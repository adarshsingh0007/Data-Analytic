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E:\FUTURE\EXCEL\Assignments\Assignment2\"/>
    </mc:Choice>
  </mc:AlternateContent>
  <xr:revisionPtr revIDLastSave="0" documentId="8_{839D8A1D-6A30-4EBB-84C8-FB97B93B7664}" xr6:coauthVersionLast="47" xr6:coauthVersionMax="47" xr10:uidLastSave="{00000000-0000-0000-0000-000000000000}"/>
  <bookViews>
    <workbookView xWindow="-110" yWindow="-110" windowWidth="19420" windowHeight="11020" firstSheet="3" activeTab="14" xr2:uid="{8FC42C71-7C3B-4010-8E62-A132485483FB}"/>
  </bookViews>
  <sheets>
    <sheet name="Dataset" sheetId="1" r:id="rId1"/>
    <sheet name="Q1" sheetId="2" r:id="rId2"/>
    <sheet name="Q2" sheetId="3" r:id="rId3"/>
    <sheet name="Q3" sheetId="4" r:id="rId4"/>
    <sheet name="Q4" sheetId="5" r:id="rId5"/>
    <sheet name="Q5" sheetId="6" r:id="rId6"/>
    <sheet name="Q6" sheetId="7" r:id="rId7"/>
    <sheet name="Q7" sheetId="8" r:id="rId8"/>
    <sheet name="Q8" sheetId="9" r:id="rId9"/>
    <sheet name="Q9" sheetId="10" r:id="rId10"/>
    <sheet name="Q10" sheetId="11" r:id="rId11"/>
    <sheet name="Q11" sheetId="12" r:id="rId12"/>
    <sheet name="Q12" sheetId="13" r:id="rId13"/>
    <sheet name="Q13" sheetId="14" r:id="rId14"/>
    <sheet name="Q14" sheetId="15" r:id="rId15"/>
  </sheets>
  <definedNames>
    <definedName name="_xlnm._FilterDatabase" localSheetId="0" hidden="1">Dataset!$A$1:$L$1001</definedName>
    <definedName name="Slicer_CourseName">#N/A</definedName>
    <definedName name="Slicer_MentorName">#N/A</definedName>
    <definedName name="Slicer_Platform">#N/A</definedName>
  </definedNames>
  <calcPr calcId="191029"/>
  <pivotCaches>
    <pivotCache cacheId="4" r:id="rId16"/>
    <pivotCache cacheId="9" r:id="rId17"/>
    <pivotCache cacheId="17"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2" i="14" l="1"/>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8" i="14"/>
  <c r="M219" i="14"/>
  <c r="M220" i="14"/>
  <c r="M221" i="14"/>
  <c r="M222" i="14"/>
  <c r="M223" i="14"/>
  <c r="M224" i="14"/>
  <c r="M225" i="14"/>
  <c r="M226" i="14"/>
  <c r="M227" i="14"/>
  <c r="M228" i="14"/>
  <c r="M229" i="14"/>
  <c r="M230" i="14"/>
  <c r="M231" i="14"/>
  <c r="M232" i="14"/>
  <c r="M233" i="14"/>
  <c r="M234" i="14"/>
  <c r="M235" i="14"/>
  <c r="M236" i="14"/>
  <c r="M237" i="14"/>
  <c r="M238" i="14"/>
  <c r="M239" i="14"/>
  <c r="M240" i="14"/>
  <c r="M241" i="14"/>
  <c r="M242" i="14"/>
  <c r="M243" i="14"/>
  <c r="M244" i="14"/>
  <c r="M245" i="14"/>
  <c r="M246" i="14"/>
  <c r="M247" i="14"/>
  <c r="M248" i="14"/>
  <c r="M249" i="14"/>
  <c r="M250" i="14"/>
  <c r="M251" i="14"/>
  <c r="M252" i="14"/>
  <c r="M253" i="14"/>
  <c r="M254" i="14"/>
  <c r="M255" i="14"/>
  <c r="M256" i="14"/>
  <c r="M257" i="14"/>
  <c r="M258" i="14"/>
  <c r="M259" i="14"/>
  <c r="M260" i="14"/>
  <c r="M261" i="14"/>
  <c r="M262" i="14"/>
  <c r="M263" i="14"/>
  <c r="M264" i="14"/>
  <c r="M265" i="14"/>
  <c r="M266" i="14"/>
  <c r="M267" i="14"/>
  <c r="M268" i="14"/>
  <c r="M269" i="14"/>
  <c r="M270" i="14"/>
  <c r="M271" i="14"/>
  <c r="M272" i="14"/>
  <c r="M273" i="14"/>
  <c r="M274" i="14"/>
  <c r="M275" i="14"/>
  <c r="M276" i="14"/>
  <c r="M277" i="14"/>
  <c r="M278" i="14"/>
  <c r="M279" i="14"/>
  <c r="M280" i="14"/>
  <c r="M281" i="14"/>
  <c r="M282" i="14"/>
  <c r="M283" i="14"/>
  <c r="M284" i="14"/>
  <c r="M285" i="14"/>
  <c r="M286" i="14"/>
  <c r="M287" i="14"/>
  <c r="M288" i="14"/>
  <c r="M289" i="14"/>
  <c r="M290" i="14"/>
  <c r="M291" i="14"/>
  <c r="M292" i="14"/>
  <c r="M293" i="14"/>
  <c r="M294" i="14"/>
  <c r="M295" i="14"/>
  <c r="M296" i="14"/>
  <c r="M297" i="14"/>
  <c r="M298" i="14"/>
  <c r="M299" i="14"/>
  <c r="M300" i="14"/>
  <c r="M301" i="14"/>
  <c r="M302" i="14"/>
  <c r="M303" i="14"/>
  <c r="M304" i="14"/>
  <c r="M305" i="14"/>
  <c r="M306" i="14"/>
  <c r="M307" i="14"/>
  <c r="M308" i="14"/>
  <c r="M309" i="14"/>
  <c r="M310" i="14"/>
  <c r="M311" i="14"/>
  <c r="M312" i="14"/>
  <c r="M313" i="14"/>
  <c r="M314" i="14"/>
  <c r="M315" i="14"/>
  <c r="M316" i="14"/>
  <c r="M317" i="14"/>
  <c r="M318" i="14"/>
  <c r="M319" i="14"/>
  <c r="M320" i="14"/>
  <c r="M321" i="14"/>
  <c r="M322" i="14"/>
  <c r="M323" i="14"/>
  <c r="M324" i="14"/>
  <c r="M325" i="14"/>
  <c r="M326" i="14"/>
  <c r="M327" i="14"/>
  <c r="M328" i="14"/>
  <c r="M329" i="14"/>
  <c r="M330" i="14"/>
  <c r="M331" i="14"/>
  <c r="M332" i="14"/>
  <c r="M333" i="14"/>
  <c r="M334" i="14"/>
  <c r="M335" i="14"/>
  <c r="M336" i="14"/>
  <c r="M337" i="14"/>
  <c r="M338" i="14"/>
  <c r="M339" i="14"/>
  <c r="M340" i="14"/>
  <c r="M341" i="14"/>
  <c r="M342" i="14"/>
  <c r="M343" i="14"/>
  <c r="M344" i="14"/>
  <c r="M345" i="14"/>
  <c r="M346" i="14"/>
  <c r="M347" i="14"/>
  <c r="M348" i="14"/>
  <c r="M349" i="14"/>
  <c r="M350" i="14"/>
  <c r="M351" i="14"/>
  <c r="M352" i="14"/>
  <c r="M353" i="14"/>
  <c r="M354" i="14"/>
  <c r="M355" i="14"/>
  <c r="M356" i="14"/>
  <c r="M357" i="14"/>
  <c r="M358" i="14"/>
  <c r="M359" i="14"/>
  <c r="M360" i="14"/>
  <c r="M361" i="14"/>
  <c r="M362" i="14"/>
  <c r="M363" i="14"/>
  <c r="M364" i="14"/>
  <c r="M365" i="14"/>
  <c r="M366" i="14"/>
  <c r="M367" i="14"/>
  <c r="M368" i="14"/>
  <c r="M369" i="14"/>
  <c r="M370" i="14"/>
  <c r="M371" i="14"/>
  <c r="M372" i="14"/>
  <c r="M373" i="14"/>
  <c r="M374" i="14"/>
  <c r="M375" i="14"/>
  <c r="M376" i="14"/>
  <c r="M377" i="14"/>
  <c r="M378" i="14"/>
  <c r="M379" i="14"/>
  <c r="M380" i="14"/>
  <c r="M381" i="14"/>
  <c r="M382" i="14"/>
  <c r="M383" i="14"/>
  <c r="M384" i="14"/>
  <c r="M385" i="14"/>
  <c r="M386" i="14"/>
  <c r="M387" i="14"/>
  <c r="M388" i="14"/>
  <c r="M389" i="14"/>
  <c r="M390" i="14"/>
  <c r="M391" i="14"/>
  <c r="M392" i="14"/>
  <c r="M393" i="14"/>
  <c r="M394" i="14"/>
  <c r="M395" i="14"/>
  <c r="M396" i="14"/>
  <c r="M397" i="14"/>
  <c r="M398" i="14"/>
  <c r="M399" i="14"/>
  <c r="M400" i="14"/>
  <c r="M401" i="14"/>
  <c r="M402" i="14"/>
  <c r="M403" i="14"/>
  <c r="M404" i="14"/>
  <c r="M405" i="14"/>
  <c r="M406" i="14"/>
  <c r="M407" i="14"/>
  <c r="M408" i="14"/>
  <c r="M409" i="14"/>
  <c r="M410" i="14"/>
  <c r="M411" i="14"/>
  <c r="M412" i="14"/>
  <c r="M413" i="14"/>
  <c r="M414" i="14"/>
  <c r="M415" i="14"/>
  <c r="M416" i="14"/>
  <c r="M417" i="14"/>
  <c r="M418" i="14"/>
  <c r="M419" i="14"/>
  <c r="M420" i="14"/>
  <c r="M421" i="14"/>
  <c r="M422" i="14"/>
  <c r="M423" i="14"/>
  <c r="M424" i="14"/>
  <c r="M425" i="14"/>
  <c r="M426" i="14"/>
  <c r="M427" i="14"/>
  <c r="M428" i="14"/>
  <c r="M429" i="14"/>
  <c r="M430" i="14"/>
  <c r="M431" i="14"/>
  <c r="M432" i="14"/>
  <c r="M433" i="14"/>
  <c r="M434" i="14"/>
  <c r="M435" i="14"/>
  <c r="M436" i="14"/>
  <c r="M437" i="14"/>
  <c r="M438" i="14"/>
  <c r="M439" i="14"/>
  <c r="M440" i="14"/>
  <c r="M441" i="14"/>
  <c r="M442" i="14"/>
  <c r="M443" i="14"/>
  <c r="M444" i="14"/>
  <c r="M445" i="14"/>
  <c r="M446" i="14"/>
  <c r="M447" i="14"/>
  <c r="M448" i="14"/>
  <c r="M449" i="14"/>
  <c r="M450" i="14"/>
  <c r="M451" i="14"/>
  <c r="M452" i="14"/>
  <c r="M453" i="14"/>
  <c r="M454" i="14"/>
  <c r="M455" i="14"/>
  <c r="M456" i="14"/>
  <c r="M457" i="14"/>
  <c r="M458" i="14"/>
  <c r="M459" i="14"/>
  <c r="M460" i="14"/>
  <c r="M461" i="14"/>
  <c r="M462" i="14"/>
  <c r="M463" i="14"/>
  <c r="M464" i="14"/>
  <c r="M465" i="14"/>
  <c r="M466" i="14"/>
  <c r="M467" i="14"/>
  <c r="M468" i="14"/>
  <c r="M469" i="14"/>
  <c r="M470" i="14"/>
  <c r="M471" i="14"/>
  <c r="M472" i="14"/>
  <c r="M473" i="14"/>
  <c r="M474" i="14"/>
  <c r="M475" i="14"/>
  <c r="M476" i="14"/>
  <c r="M477" i="14"/>
  <c r="M478" i="14"/>
  <c r="M479" i="14"/>
  <c r="M480" i="14"/>
  <c r="M481" i="14"/>
  <c r="M482" i="14"/>
  <c r="M483" i="14"/>
  <c r="M484" i="14"/>
  <c r="M485" i="14"/>
  <c r="M486" i="14"/>
  <c r="M487" i="14"/>
  <c r="M488" i="14"/>
  <c r="M489" i="14"/>
  <c r="M490" i="14"/>
  <c r="M491" i="14"/>
  <c r="M492" i="14"/>
  <c r="M493" i="14"/>
  <c r="M494" i="14"/>
  <c r="M495" i="14"/>
  <c r="M496" i="14"/>
  <c r="M497" i="14"/>
  <c r="M498" i="14"/>
  <c r="M499" i="14"/>
  <c r="M500" i="14"/>
  <c r="M501" i="14"/>
  <c r="M502" i="14"/>
  <c r="M503" i="14"/>
  <c r="M504" i="14"/>
  <c r="M505" i="14"/>
  <c r="M506" i="14"/>
  <c r="M507" i="14"/>
  <c r="M508" i="14"/>
  <c r="M509" i="14"/>
  <c r="M510" i="14"/>
  <c r="M511" i="14"/>
  <c r="M512" i="14"/>
  <c r="M513" i="14"/>
  <c r="M514" i="14"/>
  <c r="M515" i="14"/>
  <c r="M516" i="14"/>
  <c r="M517" i="14"/>
  <c r="M518" i="14"/>
  <c r="M519" i="14"/>
  <c r="M520" i="14"/>
  <c r="M521" i="14"/>
  <c r="M522" i="14"/>
  <c r="M523" i="14"/>
  <c r="M524" i="14"/>
  <c r="M525" i="14"/>
  <c r="M526" i="14"/>
  <c r="M527" i="14"/>
  <c r="M528" i="14"/>
  <c r="M529" i="14"/>
  <c r="M530" i="14"/>
  <c r="M531" i="14"/>
  <c r="M532" i="14"/>
  <c r="M533" i="14"/>
  <c r="M534" i="14"/>
  <c r="M535" i="14"/>
  <c r="M536" i="14"/>
  <c r="M537" i="14"/>
  <c r="M538" i="14"/>
  <c r="M539" i="14"/>
  <c r="M540" i="14"/>
  <c r="M541" i="14"/>
  <c r="M542" i="14"/>
  <c r="M543" i="14"/>
  <c r="M544" i="14"/>
  <c r="M545" i="14"/>
  <c r="M546" i="14"/>
  <c r="M547" i="14"/>
  <c r="M548" i="14"/>
  <c r="M549" i="14"/>
  <c r="M550" i="14"/>
  <c r="M551" i="14"/>
  <c r="M552" i="14"/>
  <c r="M553" i="14"/>
  <c r="M554" i="14"/>
  <c r="M555" i="14"/>
  <c r="M556" i="14"/>
  <c r="M557" i="14"/>
  <c r="M558" i="14"/>
  <c r="M559" i="14"/>
  <c r="M560" i="14"/>
  <c r="M561" i="14"/>
  <c r="M562" i="14"/>
  <c r="M563" i="14"/>
  <c r="M564" i="14"/>
  <c r="M565" i="14"/>
  <c r="M566" i="14"/>
  <c r="M567" i="14"/>
  <c r="M568" i="14"/>
  <c r="M569" i="14"/>
  <c r="M570" i="14"/>
  <c r="M571" i="14"/>
  <c r="M572" i="14"/>
  <c r="M573" i="14"/>
  <c r="M574" i="14"/>
  <c r="M575" i="14"/>
  <c r="M576" i="14"/>
  <c r="M577" i="14"/>
  <c r="M578" i="14"/>
  <c r="M579" i="14"/>
  <c r="M580" i="14"/>
  <c r="M581" i="14"/>
  <c r="M582" i="14"/>
  <c r="M583" i="14"/>
  <c r="M584" i="14"/>
  <c r="M585" i="14"/>
  <c r="M586" i="14"/>
  <c r="M587" i="14"/>
  <c r="M588" i="14"/>
  <c r="M589" i="14"/>
  <c r="M590" i="14"/>
  <c r="M591" i="14"/>
  <c r="M592" i="14"/>
  <c r="M593" i="14"/>
  <c r="M594" i="14"/>
  <c r="M595" i="14"/>
  <c r="M596" i="14"/>
  <c r="M597" i="14"/>
  <c r="M598" i="14"/>
  <c r="M599" i="14"/>
  <c r="M600" i="14"/>
  <c r="M601" i="14"/>
  <c r="M602" i="14"/>
  <c r="M603" i="14"/>
  <c r="M604" i="14"/>
  <c r="M605" i="14"/>
  <c r="M606" i="14"/>
  <c r="M607" i="14"/>
  <c r="M608" i="14"/>
  <c r="M609" i="14"/>
  <c r="M610" i="14"/>
  <c r="M611" i="14"/>
  <c r="M612" i="14"/>
  <c r="M613" i="14"/>
  <c r="M614" i="14"/>
  <c r="M615" i="14"/>
  <c r="M616" i="14"/>
  <c r="M617" i="14"/>
  <c r="M618" i="14"/>
  <c r="M619" i="14"/>
  <c r="M620" i="14"/>
  <c r="M621" i="14"/>
  <c r="M622" i="14"/>
  <c r="M623" i="14"/>
  <c r="M624" i="14"/>
  <c r="M625" i="14"/>
  <c r="M626" i="14"/>
  <c r="M627" i="14"/>
  <c r="M628" i="14"/>
  <c r="M629" i="14"/>
  <c r="M630" i="14"/>
  <c r="M631" i="14"/>
  <c r="M632" i="14"/>
  <c r="M633" i="14"/>
  <c r="M634" i="14"/>
  <c r="M635" i="14"/>
  <c r="M636" i="14"/>
  <c r="M637" i="14"/>
  <c r="M638" i="14"/>
  <c r="M639" i="14"/>
  <c r="M640" i="14"/>
  <c r="M641" i="14"/>
  <c r="M642" i="14"/>
  <c r="M643" i="14"/>
  <c r="M644" i="14"/>
  <c r="M645" i="14"/>
  <c r="M646" i="14"/>
  <c r="M647" i="14"/>
  <c r="M648" i="14"/>
  <c r="M649" i="14"/>
  <c r="M650" i="14"/>
  <c r="M651" i="14"/>
  <c r="M652" i="14"/>
  <c r="M653" i="14"/>
  <c r="M654" i="14"/>
  <c r="M655" i="14"/>
  <c r="M656" i="14"/>
  <c r="M657" i="14"/>
  <c r="M658" i="14"/>
  <c r="M659" i="14"/>
  <c r="M660" i="14"/>
  <c r="M661" i="14"/>
  <c r="M662" i="14"/>
  <c r="M663" i="14"/>
  <c r="M664" i="14"/>
  <c r="M665" i="14"/>
  <c r="M666" i="14"/>
  <c r="M667" i="14"/>
  <c r="M668" i="14"/>
  <c r="M669" i="14"/>
  <c r="M670" i="14"/>
  <c r="M671" i="14"/>
  <c r="M672" i="14"/>
  <c r="M673" i="14"/>
  <c r="M674" i="14"/>
  <c r="M675" i="14"/>
  <c r="M676" i="14"/>
  <c r="M677" i="14"/>
  <c r="M678" i="14"/>
  <c r="M679" i="14"/>
  <c r="M680" i="14"/>
  <c r="M681" i="14"/>
  <c r="M682" i="14"/>
  <c r="M683" i="14"/>
  <c r="M684" i="14"/>
  <c r="M685" i="14"/>
  <c r="M686" i="14"/>
  <c r="M687" i="14"/>
  <c r="M688" i="14"/>
  <c r="M689" i="14"/>
  <c r="M690" i="14"/>
  <c r="M691" i="14"/>
  <c r="M692" i="14"/>
  <c r="M693" i="14"/>
  <c r="M694" i="14"/>
  <c r="M695" i="14"/>
  <c r="M696" i="14"/>
  <c r="M697" i="14"/>
  <c r="M698" i="14"/>
  <c r="M699" i="14"/>
  <c r="M700" i="14"/>
  <c r="M701" i="14"/>
  <c r="M702" i="14"/>
  <c r="M703" i="14"/>
  <c r="M704" i="14"/>
  <c r="M705" i="14"/>
  <c r="M706" i="14"/>
  <c r="M707" i="14"/>
  <c r="M708" i="14"/>
  <c r="M709" i="14"/>
  <c r="M710" i="14"/>
  <c r="M711" i="14"/>
  <c r="M712" i="14"/>
  <c r="M713" i="14"/>
  <c r="M714" i="14"/>
  <c r="M715" i="14"/>
  <c r="M716" i="14"/>
  <c r="M717" i="14"/>
  <c r="M718" i="14"/>
  <c r="M719" i="14"/>
  <c r="M720" i="14"/>
  <c r="M721" i="14"/>
  <c r="M722" i="14"/>
  <c r="M723" i="14"/>
  <c r="M724" i="14"/>
  <c r="M725" i="14"/>
  <c r="M726" i="14"/>
  <c r="M727" i="14"/>
  <c r="M728" i="14"/>
  <c r="M729" i="14"/>
  <c r="M730" i="14"/>
  <c r="M731" i="14"/>
  <c r="M732" i="14"/>
  <c r="M733" i="14"/>
  <c r="M734" i="14"/>
  <c r="M735" i="14"/>
  <c r="M736" i="14"/>
  <c r="M737" i="14"/>
  <c r="M738" i="14"/>
  <c r="M739" i="14"/>
  <c r="M740" i="14"/>
  <c r="M741" i="14"/>
  <c r="M742" i="14"/>
  <c r="M743" i="14"/>
  <c r="M744" i="14"/>
  <c r="M745" i="14"/>
  <c r="M746" i="14"/>
  <c r="M747" i="14"/>
  <c r="M748" i="14"/>
  <c r="M749" i="14"/>
  <c r="M750" i="14"/>
  <c r="M751" i="14"/>
  <c r="M752" i="14"/>
  <c r="M753" i="14"/>
  <c r="M754" i="14"/>
  <c r="M755" i="14"/>
  <c r="M756" i="14"/>
  <c r="M757" i="14"/>
  <c r="M758" i="14"/>
  <c r="M759" i="14"/>
  <c r="M760" i="14"/>
  <c r="M761" i="14"/>
  <c r="M762" i="14"/>
  <c r="M763" i="14"/>
  <c r="M764" i="14"/>
  <c r="M765" i="14"/>
  <c r="M766" i="14"/>
  <c r="M767" i="14"/>
  <c r="M768" i="14"/>
  <c r="M769" i="14"/>
  <c r="M770" i="14"/>
  <c r="M771" i="14"/>
  <c r="M772" i="14"/>
  <c r="M773" i="14"/>
  <c r="M774" i="14"/>
  <c r="M775" i="14"/>
  <c r="M776" i="14"/>
  <c r="M777" i="14"/>
  <c r="M778" i="14"/>
  <c r="M779" i="14"/>
  <c r="M780" i="14"/>
  <c r="M781" i="14"/>
  <c r="M782" i="14"/>
  <c r="M783" i="14"/>
  <c r="M784" i="14"/>
  <c r="M785" i="14"/>
  <c r="M786" i="14"/>
  <c r="M787" i="14"/>
  <c r="M788" i="14"/>
  <c r="M789" i="14"/>
  <c r="M790" i="14"/>
  <c r="M791" i="14"/>
  <c r="M792" i="14"/>
  <c r="M793" i="14"/>
  <c r="M794" i="14"/>
  <c r="M795" i="14"/>
  <c r="M796" i="14"/>
  <c r="M797" i="14"/>
  <c r="M798" i="14"/>
  <c r="M799" i="14"/>
  <c r="M800" i="14"/>
  <c r="M801" i="14"/>
  <c r="M802" i="14"/>
  <c r="M803" i="14"/>
  <c r="M804" i="14"/>
  <c r="M805" i="14"/>
  <c r="M806" i="14"/>
  <c r="M807" i="14"/>
  <c r="M808" i="14"/>
  <c r="M809" i="14"/>
  <c r="M810" i="14"/>
  <c r="M811" i="14"/>
  <c r="M812" i="14"/>
  <c r="M813" i="14"/>
  <c r="M814" i="14"/>
  <c r="M815" i="14"/>
  <c r="M816" i="14"/>
  <c r="M817" i="14"/>
  <c r="M818" i="14"/>
  <c r="M819" i="14"/>
  <c r="M820" i="14"/>
  <c r="M821" i="14"/>
  <c r="M822" i="14"/>
  <c r="M823" i="14"/>
  <c r="M824" i="14"/>
  <c r="M825" i="14"/>
  <c r="M826" i="14"/>
  <c r="M827" i="14"/>
  <c r="M828" i="14"/>
  <c r="M829" i="14"/>
  <c r="M830" i="14"/>
  <c r="M831" i="14"/>
  <c r="M832" i="14"/>
  <c r="M833" i="14"/>
  <c r="M834" i="14"/>
  <c r="M835" i="14"/>
  <c r="M836" i="14"/>
  <c r="M837" i="14"/>
  <c r="M838" i="14"/>
  <c r="M839" i="14"/>
  <c r="M840" i="14"/>
  <c r="M841" i="14"/>
  <c r="M842" i="14"/>
  <c r="M843" i="14"/>
  <c r="M844" i="14"/>
  <c r="M845" i="14"/>
  <c r="M846" i="14"/>
  <c r="M847" i="14"/>
  <c r="M848" i="14"/>
  <c r="M849" i="14"/>
  <c r="M850" i="14"/>
  <c r="M851" i="14"/>
  <c r="M852" i="14"/>
  <c r="M853" i="14"/>
  <c r="M854" i="14"/>
  <c r="M855" i="14"/>
  <c r="M856" i="14"/>
  <c r="M857" i="14"/>
  <c r="M858" i="14"/>
  <c r="M859" i="14"/>
  <c r="M860" i="14"/>
  <c r="M861" i="14"/>
  <c r="M862" i="14"/>
  <c r="M863" i="14"/>
  <c r="M864" i="14"/>
  <c r="M865" i="14"/>
  <c r="M866" i="14"/>
  <c r="M867" i="14"/>
  <c r="M868" i="14"/>
  <c r="M869" i="14"/>
  <c r="M870" i="14"/>
  <c r="M871" i="14"/>
  <c r="M872" i="14"/>
  <c r="M873" i="14"/>
  <c r="M874" i="14"/>
  <c r="M875" i="14"/>
  <c r="M876" i="14"/>
  <c r="M877" i="14"/>
  <c r="M878" i="14"/>
  <c r="M879" i="14"/>
  <c r="M880" i="14"/>
  <c r="M881" i="14"/>
  <c r="M882" i="14"/>
  <c r="M883" i="14"/>
  <c r="M884" i="14"/>
  <c r="M885" i="14"/>
  <c r="M886" i="14"/>
  <c r="M887" i="14"/>
  <c r="M888" i="14"/>
  <c r="M889" i="14"/>
  <c r="M890" i="14"/>
  <c r="M891" i="14"/>
  <c r="M892" i="14"/>
  <c r="M893" i="14"/>
  <c r="M894" i="14"/>
  <c r="M895" i="14"/>
  <c r="M896" i="14"/>
  <c r="M897" i="14"/>
  <c r="M898" i="14"/>
  <c r="M899" i="14"/>
  <c r="M900" i="14"/>
  <c r="M901" i="14"/>
  <c r="M902" i="14"/>
  <c r="M903" i="14"/>
  <c r="M904" i="14"/>
  <c r="M905" i="14"/>
  <c r="M906" i="14"/>
  <c r="M907" i="14"/>
  <c r="M908" i="14"/>
  <c r="M909" i="14"/>
  <c r="M910" i="14"/>
  <c r="M911" i="14"/>
  <c r="M912" i="14"/>
  <c r="M913" i="14"/>
  <c r="M914" i="14"/>
  <c r="M915" i="14"/>
  <c r="M916" i="14"/>
  <c r="M917" i="14"/>
  <c r="M918" i="14"/>
  <c r="M919" i="14"/>
  <c r="M920" i="14"/>
  <c r="M921" i="14"/>
  <c r="M922" i="14"/>
  <c r="M923" i="14"/>
  <c r="M924" i="14"/>
  <c r="M925" i="14"/>
  <c r="M926" i="14"/>
  <c r="M927" i="14"/>
  <c r="M928" i="14"/>
  <c r="M929" i="14"/>
  <c r="M930" i="14"/>
  <c r="M931" i="14"/>
  <c r="M932" i="14"/>
  <c r="M933" i="14"/>
  <c r="M934" i="14"/>
  <c r="M935" i="14"/>
  <c r="M936" i="14"/>
  <c r="M937" i="14"/>
  <c r="M938" i="14"/>
  <c r="M939" i="14"/>
  <c r="M940" i="14"/>
  <c r="M941" i="14"/>
  <c r="M942" i="14"/>
  <c r="M943" i="14"/>
  <c r="M944" i="14"/>
  <c r="M945" i="14"/>
  <c r="M946" i="14"/>
  <c r="M947" i="14"/>
  <c r="M948" i="14"/>
  <c r="M949" i="14"/>
  <c r="M950" i="14"/>
  <c r="M951" i="14"/>
  <c r="M952" i="14"/>
  <c r="M953" i="14"/>
  <c r="M954" i="14"/>
  <c r="M955" i="14"/>
  <c r="M956" i="14"/>
  <c r="M957" i="14"/>
  <c r="M958" i="14"/>
  <c r="M959" i="14"/>
  <c r="M960" i="14"/>
  <c r="M961" i="14"/>
  <c r="M962" i="14"/>
  <c r="M963" i="14"/>
  <c r="M964" i="14"/>
  <c r="M965" i="14"/>
  <c r="M966" i="14"/>
  <c r="M967" i="14"/>
  <c r="M968" i="14"/>
  <c r="M969" i="14"/>
  <c r="M970" i="14"/>
  <c r="M971" i="14"/>
  <c r="M972" i="14"/>
  <c r="M973" i="14"/>
  <c r="M974" i="14"/>
  <c r="M975" i="14"/>
  <c r="M976" i="14"/>
  <c r="M977" i="14"/>
  <c r="M978" i="14"/>
  <c r="M979" i="14"/>
  <c r="M980" i="14"/>
  <c r="M981" i="14"/>
  <c r="M982" i="14"/>
  <c r="M983" i="14"/>
  <c r="M984" i="14"/>
  <c r="M985" i="14"/>
  <c r="M986" i="14"/>
  <c r="M987" i="14"/>
  <c r="M988" i="14"/>
  <c r="M989" i="14"/>
  <c r="M990" i="14"/>
  <c r="M991" i="14"/>
  <c r="M992" i="14"/>
  <c r="M993" i="14"/>
  <c r="M994" i="14"/>
  <c r="M995" i="14"/>
  <c r="M996" i="14"/>
  <c r="M997" i="14"/>
  <c r="M998" i="14"/>
  <c r="M999" i="14"/>
  <c r="M1000" i="14"/>
  <c r="M1001" i="14"/>
  <c r="M1002" i="14"/>
  <c r="M1003" i="14"/>
  <c r="M1004" i="14"/>
  <c r="M1005" i="14"/>
  <c r="M1006" i="14"/>
  <c r="M1007" i="14"/>
  <c r="M1008" i="14"/>
  <c r="M1009" i="14"/>
  <c r="M1010" i="14"/>
  <c r="M1011" i="14"/>
  <c r="M1012" i="14"/>
  <c r="M1013" i="14"/>
  <c r="M1014" i="14"/>
  <c r="M1015" i="14"/>
  <c r="M1016" i="14"/>
  <c r="M1017" i="14"/>
  <c r="M1018" i="14"/>
  <c r="M1019" i="14"/>
  <c r="M1020" i="14"/>
  <c r="M1021" i="14"/>
  <c r="M1022" i="14"/>
  <c r="M1023" i="14"/>
  <c r="M1024" i="14"/>
  <c r="M1025" i="14"/>
  <c r="M1026" i="14"/>
  <c r="M1027" i="14"/>
  <c r="M1028" i="14"/>
  <c r="M1029" i="14"/>
  <c r="M1030" i="14"/>
  <c r="M31" i="14"/>
  <c r="M2" i="6"/>
  <c r="H1031" i="14"/>
  <c r="H1032" i="14"/>
  <c r="M980" i="6"/>
  <c r="O4" i="11" a="1"/>
  <c r="O4" i="11" s="1"/>
  <c r="Q3" i="10"/>
  <c r="M9" i="9"/>
  <c r="M6" i="9"/>
  <c r="M2" i="9" a="1"/>
  <c r="M2" i="9" s="1"/>
  <c r="B3" i="8"/>
  <c r="B2" i="8"/>
  <c r="M8" i="7"/>
  <c r="M2" i="7"/>
  <c r="M3" i="7"/>
  <c r="M4" i="7"/>
  <c r="M5" i="7"/>
  <c r="M6" i="7"/>
  <c r="M7"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1" i="6"/>
  <c r="M982" i="6"/>
  <c r="M983" i="6"/>
  <c r="M984" i="6"/>
  <c r="M985" i="6"/>
  <c r="M986" i="6"/>
  <c r="M987" i="6"/>
  <c r="M988" i="6"/>
  <c r="M989" i="6"/>
  <c r="M990" i="6"/>
  <c r="M991" i="6"/>
  <c r="M992" i="6"/>
  <c r="M993" i="6"/>
  <c r="M994" i="6"/>
  <c r="M995" i="6"/>
  <c r="M996" i="6"/>
  <c r="M997" i="6"/>
  <c r="M998" i="6"/>
  <c r="M999" i="6"/>
  <c r="M1000" i="6"/>
  <c r="M1001" i="6"/>
  <c r="B3" i="5"/>
  <c r="B2" i="5"/>
  <c r="B2" i="4"/>
  <c r="B2" i="3"/>
  <c r="M1031" i="1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<sst xmlns="http://schemas.openxmlformats.org/spreadsheetml/2006/main" count="70362" uniqueCount="1276">
  <si>
    <t>StudentID</t>
  </si>
  <si>
    <t>StudentName</t>
  </si>
  <si>
    <t>CourseID</t>
  </si>
  <si>
    <t>CourseName</t>
  </si>
  <si>
    <t>BatchID</t>
  </si>
  <si>
    <t>MentorName</t>
  </si>
  <si>
    <t>Platform</t>
  </si>
  <si>
    <t>PaymentAmount</t>
  </si>
  <si>
    <t>DiscountCode</t>
  </si>
  <si>
    <t>DiscountPercent</t>
  </si>
  <si>
    <t>TargetRevenue</t>
  </si>
  <si>
    <t>PaymentDate</t>
  </si>
  <si>
    <t>S1000</t>
  </si>
  <si>
    <t>Rohit Shah</t>
  </si>
  <si>
    <t>C201</t>
  </si>
  <si>
    <t>Data Analytics</t>
  </si>
  <si>
    <t>B3</t>
  </si>
  <si>
    <t>Priya</t>
  </si>
  <si>
    <t>Web</t>
  </si>
  <si>
    <t>DISC20</t>
  </si>
  <si>
    <t>S1001</t>
  </si>
  <si>
    <t>Riya Singh</t>
  </si>
  <si>
    <t>DISC10</t>
  </si>
  <si>
    <t>S1002</t>
  </si>
  <si>
    <t>Sneha Gupta</t>
  </si>
  <si>
    <t>Saurabh</t>
  </si>
  <si>
    <t>Tablet</t>
  </si>
  <si>
    <t>DISC15</t>
  </si>
  <si>
    <t>S1003</t>
  </si>
  <si>
    <t>Sneha Iyer</t>
  </si>
  <si>
    <t>C203</t>
  </si>
  <si>
    <t>Full Stack Dev</t>
  </si>
  <si>
    <t>B1</t>
  </si>
  <si>
    <t>DISC30</t>
  </si>
  <si>
    <t>S1004</t>
  </si>
  <si>
    <t>Karan Patil</t>
  </si>
  <si>
    <t>Mobile</t>
  </si>
  <si>
    <t>S1005</t>
  </si>
  <si>
    <t>Pooja Joshi</t>
  </si>
  <si>
    <t>Amit</t>
  </si>
  <si>
    <t>S1006</t>
  </si>
  <si>
    <t>Rahul Shah</t>
  </si>
  <si>
    <t>S1007</t>
  </si>
  <si>
    <t>Riya Kulkarni</t>
  </si>
  <si>
    <t>C202</t>
  </si>
  <si>
    <t>Data Science</t>
  </si>
  <si>
    <t>B2</t>
  </si>
  <si>
    <t>S1008</t>
  </si>
  <si>
    <t>Aditya Iyer</t>
  </si>
  <si>
    <t>S1009</t>
  </si>
  <si>
    <t>Kunal Singh</t>
  </si>
  <si>
    <t>S1010</t>
  </si>
  <si>
    <t>Neha Verma</t>
  </si>
  <si>
    <t>S1011</t>
  </si>
  <si>
    <t>Dev Patel</t>
  </si>
  <si>
    <t>S1012</t>
  </si>
  <si>
    <t>Sneha Joshi</t>
  </si>
  <si>
    <t>S1013</t>
  </si>
  <si>
    <t>Aditya Mehta</t>
  </si>
  <si>
    <t>S1014</t>
  </si>
  <si>
    <t>Kunal Joshi</t>
  </si>
  <si>
    <t>C204</t>
  </si>
  <si>
    <t>UI UX Design</t>
  </si>
  <si>
    <t>S1015</t>
  </si>
  <si>
    <t>Dev Kulkarni</t>
  </si>
  <si>
    <t>S1016</t>
  </si>
  <si>
    <t>Riya Verma</t>
  </si>
  <si>
    <t>S1017</t>
  </si>
  <si>
    <t>Aarav Singh</t>
  </si>
  <si>
    <t>S1018</t>
  </si>
  <si>
    <t>Aditya Verma</t>
  </si>
  <si>
    <t>S1019</t>
  </si>
  <si>
    <t>Dev Mehta</t>
  </si>
  <si>
    <t>S1020</t>
  </si>
  <si>
    <t>Karan Jain</t>
  </si>
  <si>
    <t>S1021</t>
  </si>
  <si>
    <t>Aarav Shah</t>
  </si>
  <si>
    <t>S1022</t>
  </si>
  <si>
    <t>Riya Shah</t>
  </si>
  <si>
    <t>S1023</t>
  </si>
  <si>
    <t>Manish Mehta</t>
  </si>
  <si>
    <t>S1024</t>
  </si>
  <si>
    <t>Manish Patel</t>
  </si>
  <si>
    <t>S1025</t>
  </si>
  <si>
    <t>Kunal Gupta</t>
  </si>
  <si>
    <t>S1026</t>
  </si>
  <si>
    <t>Kavita Gupta</t>
  </si>
  <si>
    <t>S1027</t>
  </si>
  <si>
    <t>S1028</t>
  </si>
  <si>
    <t>S1029</t>
  </si>
  <si>
    <t>Rohit Verma</t>
  </si>
  <si>
    <t>S1030</t>
  </si>
  <si>
    <t>Rohit Singh</t>
  </si>
  <si>
    <t>S1031</t>
  </si>
  <si>
    <t>Sneha Patil</t>
  </si>
  <si>
    <t>S1032</t>
  </si>
  <si>
    <t>Meera Shah</t>
  </si>
  <si>
    <t>S1033</t>
  </si>
  <si>
    <t>S1034</t>
  </si>
  <si>
    <t>Rahul Kulkarni</t>
  </si>
  <si>
    <t>S1035</t>
  </si>
  <si>
    <t>Rahul Desai</t>
  </si>
  <si>
    <t>S1036</t>
  </si>
  <si>
    <t>Anjali Gupta</t>
  </si>
  <si>
    <t>S1037</t>
  </si>
  <si>
    <t>Manish Nair</t>
  </si>
  <si>
    <t>S1038</t>
  </si>
  <si>
    <t>Kavita Shah</t>
  </si>
  <si>
    <t>S1039</t>
  </si>
  <si>
    <t>Aarav Joshi</t>
  </si>
  <si>
    <t>S1040</t>
  </si>
  <si>
    <t>Kunal Rao</t>
  </si>
  <si>
    <t>S1041</t>
  </si>
  <si>
    <t>Karan Singh</t>
  </si>
  <si>
    <t>S1042</t>
  </si>
  <si>
    <t>S1043</t>
  </si>
  <si>
    <t>Pooja Shah</t>
  </si>
  <si>
    <t>S1044</t>
  </si>
  <si>
    <t>Aditya Joshi</t>
  </si>
  <si>
    <t>S1045</t>
  </si>
  <si>
    <t>Kunal Mehta</t>
  </si>
  <si>
    <t>S1046</t>
  </si>
  <si>
    <t>S1047</t>
  </si>
  <si>
    <t>Neha Rao</t>
  </si>
  <si>
    <t>S1048</t>
  </si>
  <si>
    <t>Aarav Jain</t>
  </si>
  <si>
    <t>S1049</t>
  </si>
  <si>
    <t>Anjali Verma</t>
  </si>
  <si>
    <t>S1050</t>
  </si>
  <si>
    <t>Aarav Nair</t>
  </si>
  <si>
    <t>S1051</t>
  </si>
  <si>
    <t>Aditya Jain</t>
  </si>
  <si>
    <t>S1052</t>
  </si>
  <si>
    <t>Dev Gupta</t>
  </si>
  <si>
    <t>S1053</t>
  </si>
  <si>
    <t>Karan Patel</t>
  </si>
  <si>
    <t>S1054</t>
  </si>
  <si>
    <t>Kunal Verma</t>
  </si>
  <si>
    <t>S1055</t>
  </si>
  <si>
    <t>S1056</t>
  </si>
  <si>
    <t>Dev Nair</t>
  </si>
  <si>
    <t>S1057</t>
  </si>
  <si>
    <t>Aditya Nair</t>
  </si>
  <si>
    <t>S1058</t>
  </si>
  <si>
    <t>Meera Gupta</t>
  </si>
  <si>
    <t>S1059</t>
  </si>
  <si>
    <t>S1060</t>
  </si>
  <si>
    <t>S1061</t>
  </si>
  <si>
    <t>Kunal Patel</t>
  </si>
  <si>
    <t>S1062</t>
  </si>
  <si>
    <t>Pooja Singh</t>
  </si>
  <si>
    <t>S1063</t>
  </si>
  <si>
    <t>S1064</t>
  </si>
  <si>
    <t>Anjali Mehta</t>
  </si>
  <si>
    <t>S1065</t>
  </si>
  <si>
    <t>Rahul Patel</t>
  </si>
  <si>
    <t>S1066</t>
  </si>
  <si>
    <t>Neha Patel</t>
  </si>
  <si>
    <t>S1067</t>
  </si>
  <si>
    <t>Riya Nair</t>
  </si>
  <si>
    <t>S1068</t>
  </si>
  <si>
    <t>Aarav Kulkarni</t>
  </si>
  <si>
    <t>S1069</t>
  </si>
  <si>
    <t>Rohit Joshi</t>
  </si>
  <si>
    <t>S1070</t>
  </si>
  <si>
    <t>S1071</t>
  </si>
  <si>
    <t>Aarav Gupta</t>
  </si>
  <si>
    <t>S1072</t>
  </si>
  <si>
    <t>Manish Gupta</t>
  </si>
  <si>
    <t>S1073</t>
  </si>
  <si>
    <t>S1074</t>
  </si>
  <si>
    <t>Sneha Nair</t>
  </si>
  <si>
    <t>S1075</t>
  </si>
  <si>
    <t>Riya Desai</t>
  </si>
  <si>
    <t>S1076</t>
  </si>
  <si>
    <t>Karan Mehta</t>
  </si>
  <si>
    <t>S1077</t>
  </si>
  <si>
    <t>Rahul Verma</t>
  </si>
  <si>
    <t>S1078</t>
  </si>
  <si>
    <t>S1079</t>
  </si>
  <si>
    <t>Dev Verma</t>
  </si>
  <si>
    <t>S1080</t>
  </si>
  <si>
    <t>S1081</t>
  </si>
  <si>
    <t>S1082</t>
  </si>
  <si>
    <t>Manish Kulkarni</t>
  </si>
  <si>
    <t>S1083</t>
  </si>
  <si>
    <t>Rahul Mehta</t>
  </si>
  <si>
    <t>S1084</t>
  </si>
  <si>
    <t>Neha Jain</t>
  </si>
  <si>
    <t>S1085</t>
  </si>
  <si>
    <t>Aarav Desai</t>
  </si>
  <si>
    <t>S1086</t>
  </si>
  <si>
    <t>Aarav Patil</t>
  </si>
  <si>
    <t>S1087</t>
  </si>
  <si>
    <t>S1088</t>
  </si>
  <si>
    <t>Kavita Joshi</t>
  </si>
  <si>
    <t>S1089</t>
  </si>
  <si>
    <t>S1090</t>
  </si>
  <si>
    <t>Meera Singh</t>
  </si>
  <si>
    <t>S1091</t>
  </si>
  <si>
    <t>Riya Patel</t>
  </si>
  <si>
    <t>S1092</t>
  </si>
  <si>
    <t>Manish Singh</t>
  </si>
  <si>
    <t>S1093</t>
  </si>
  <si>
    <t>Rohit Nair</t>
  </si>
  <si>
    <t>S1094</t>
  </si>
  <si>
    <t>S1095</t>
  </si>
  <si>
    <t>Meera Patil</t>
  </si>
  <si>
    <t>S1096</t>
  </si>
  <si>
    <t>Kavita Singh</t>
  </si>
  <si>
    <t>S1097</t>
  </si>
  <si>
    <t>Neha Patil</t>
  </si>
  <si>
    <t>S1098</t>
  </si>
  <si>
    <t>S1099</t>
  </si>
  <si>
    <t>S1100</t>
  </si>
  <si>
    <t>S1101</t>
  </si>
  <si>
    <t>S1102</t>
  </si>
  <si>
    <t>Manish Jain</t>
  </si>
  <si>
    <t>S1103</t>
  </si>
  <si>
    <t>S1104</t>
  </si>
  <si>
    <t>Sneha Desai</t>
  </si>
  <si>
    <t>S1105</t>
  </si>
  <si>
    <t>Aditya Shah</t>
  </si>
  <si>
    <t>S1106</t>
  </si>
  <si>
    <t>S1107</t>
  </si>
  <si>
    <t>S1108</t>
  </si>
  <si>
    <t>S1109</t>
  </si>
  <si>
    <t>Neha Shah</t>
  </si>
  <si>
    <t>S1110</t>
  </si>
  <si>
    <t>Sneha Shah</t>
  </si>
  <si>
    <t>S1111</t>
  </si>
  <si>
    <t>Neha Iyer</t>
  </si>
  <si>
    <t>S1112</t>
  </si>
  <si>
    <t>Kavita Desai</t>
  </si>
  <si>
    <t>S1113</t>
  </si>
  <si>
    <t>Sneha Mehta</t>
  </si>
  <si>
    <t>S1114</t>
  </si>
  <si>
    <t>Aditya Kulkarni</t>
  </si>
  <si>
    <t>S1115</t>
  </si>
  <si>
    <t>Rohit Patil</t>
  </si>
  <si>
    <t>S1116</t>
  </si>
  <si>
    <t>Riya Gupta</t>
  </si>
  <si>
    <t>S1117</t>
  </si>
  <si>
    <t>Aarav Mehta</t>
  </si>
  <si>
    <t>S1118</t>
  </si>
  <si>
    <t>Riya Iyer</t>
  </si>
  <si>
    <t>S1119</t>
  </si>
  <si>
    <t>S1120</t>
  </si>
  <si>
    <t>Riya Patil</t>
  </si>
  <si>
    <t>S1121</t>
  </si>
  <si>
    <t>S1122</t>
  </si>
  <si>
    <t>S1123</t>
  </si>
  <si>
    <t>S1124</t>
  </si>
  <si>
    <t>S1125</t>
  </si>
  <si>
    <t>S1126</t>
  </si>
  <si>
    <t>S1127</t>
  </si>
  <si>
    <t>Karan Rao</t>
  </si>
  <si>
    <t>S1128</t>
  </si>
  <si>
    <t>S1129</t>
  </si>
  <si>
    <t>S1130</t>
  </si>
  <si>
    <t>Kunal Desai</t>
  </si>
  <si>
    <t>S1131</t>
  </si>
  <si>
    <t>S1132</t>
  </si>
  <si>
    <t>Riya Rao</t>
  </si>
  <si>
    <t>S1133</t>
  </si>
  <si>
    <t>Anjali Rao</t>
  </si>
  <si>
    <t>S1134</t>
  </si>
  <si>
    <t>S1135</t>
  </si>
  <si>
    <t>Rahul Patil</t>
  </si>
  <si>
    <t>S1136</t>
  </si>
  <si>
    <t>Rohit Patel</t>
  </si>
  <si>
    <t>S1137</t>
  </si>
  <si>
    <t>S1138</t>
  </si>
  <si>
    <t>S1139</t>
  </si>
  <si>
    <t>Rahul Singh</t>
  </si>
  <si>
    <t>S1140</t>
  </si>
  <si>
    <t>Anjali Patel</t>
  </si>
  <si>
    <t>S1141</t>
  </si>
  <si>
    <t>Rohit Rao</t>
  </si>
  <si>
    <t>S1142</t>
  </si>
  <si>
    <t>Karan Desai</t>
  </si>
  <si>
    <t>S1143</t>
  </si>
  <si>
    <t>Pooja Jain</t>
  </si>
  <si>
    <t>S1144</t>
  </si>
  <si>
    <t>S1145</t>
  </si>
  <si>
    <t>S1146</t>
  </si>
  <si>
    <t>Aditya Singh</t>
  </si>
  <si>
    <t>S1147</t>
  </si>
  <si>
    <t>S1148</t>
  </si>
  <si>
    <t>Aditya Patil</t>
  </si>
  <si>
    <t>S1149</t>
  </si>
  <si>
    <t>Kavita Rao</t>
  </si>
  <si>
    <t>S1150</t>
  </si>
  <si>
    <t>S1151</t>
  </si>
  <si>
    <t>Dev Patil</t>
  </si>
  <si>
    <t>S1152</t>
  </si>
  <si>
    <t>Dev Desai</t>
  </si>
  <si>
    <t>S1153</t>
  </si>
  <si>
    <t>Dev Iyer</t>
  </si>
  <si>
    <t>S1154</t>
  </si>
  <si>
    <t>S1155</t>
  </si>
  <si>
    <t>Pooja Gupta</t>
  </si>
  <si>
    <t>S1156</t>
  </si>
  <si>
    <t>Meera Jain</t>
  </si>
  <si>
    <t>S1157</t>
  </si>
  <si>
    <t>Rohit Desai</t>
  </si>
  <si>
    <t>S1158</t>
  </si>
  <si>
    <t>Aditya Gupta</t>
  </si>
  <si>
    <t>S1159</t>
  </si>
  <si>
    <t>Rahul Nair</t>
  </si>
  <si>
    <t>S1160</t>
  </si>
  <si>
    <t>S1161</t>
  </si>
  <si>
    <t>S1162</t>
  </si>
  <si>
    <t>S1163</t>
  </si>
  <si>
    <t>S1164</t>
  </si>
  <si>
    <t>S1165</t>
  </si>
  <si>
    <t>S1166</t>
  </si>
  <si>
    <t>Rohit Jain</t>
  </si>
  <si>
    <t>S1167</t>
  </si>
  <si>
    <t>Meera Nair</t>
  </si>
  <si>
    <t>S1168</t>
  </si>
  <si>
    <t>Aarav Patel</t>
  </si>
  <si>
    <t>S1169</t>
  </si>
  <si>
    <t>S1170</t>
  </si>
  <si>
    <t>S1171</t>
  </si>
  <si>
    <t>Karan Shah</t>
  </si>
  <si>
    <t>S1172</t>
  </si>
  <si>
    <t>Pooja Kulkarni</t>
  </si>
  <si>
    <t>S1173</t>
  </si>
  <si>
    <t>S1174</t>
  </si>
  <si>
    <t>Neha Gupta</t>
  </si>
  <si>
    <t>S1175</t>
  </si>
  <si>
    <t>Neha Singh</t>
  </si>
  <si>
    <t>S1176</t>
  </si>
  <si>
    <t>Anjali Iyer</t>
  </si>
  <si>
    <t>S1177</t>
  </si>
  <si>
    <t>S1178</t>
  </si>
  <si>
    <t>Kavita Verma</t>
  </si>
  <si>
    <t>S1179</t>
  </si>
  <si>
    <t>S1180</t>
  </si>
  <si>
    <t>S1181</t>
  </si>
  <si>
    <t>S1182</t>
  </si>
  <si>
    <t>Anjali Desai</t>
  </si>
  <si>
    <t>S1183</t>
  </si>
  <si>
    <t>S1184</t>
  </si>
  <si>
    <t>S1185</t>
  </si>
  <si>
    <t>Manish Patil</t>
  </si>
  <si>
    <t>S1186</t>
  </si>
  <si>
    <t>S1187</t>
  </si>
  <si>
    <t>S1188</t>
  </si>
  <si>
    <t>Aditya Desai</t>
  </si>
  <si>
    <t>S1189</t>
  </si>
  <si>
    <t>S1190</t>
  </si>
  <si>
    <t>S1191</t>
  </si>
  <si>
    <t>S1192</t>
  </si>
  <si>
    <t>S1193</t>
  </si>
  <si>
    <t>Kavita Iyer</t>
  </si>
  <si>
    <t>S1194</t>
  </si>
  <si>
    <t>S1195</t>
  </si>
  <si>
    <t>Kavita Kulkarni</t>
  </si>
  <si>
    <t>S1196</t>
  </si>
  <si>
    <t>Aditya Rao</t>
  </si>
  <si>
    <t>S1197</t>
  </si>
  <si>
    <t>Karan Verma</t>
  </si>
  <si>
    <t>S1198</t>
  </si>
  <si>
    <t>S1199</t>
  </si>
  <si>
    <t>S1200</t>
  </si>
  <si>
    <t>S1201</t>
  </si>
  <si>
    <t>S1202</t>
  </si>
  <si>
    <t>S1203</t>
  </si>
  <si>
    <t>S1204</t>
  </si>
  <si>
    <t>Anjali Nair</t>
  </si>
  <si>
    <t>S1205</t>
  </si>
  <si>
    <t>Kavita Mehta</t>
  </si>
  <si>
    <t>S1206</t>
  </si>
  <si>
    <t>S1207</t>
  </si>
  <si>
    <t>S1208</t>
  </si>
  <si>
    <t>S1209</t>
  </si>
  <si>
    <t>S1210</t>
  </si>
  <si>
    <t>S1211</t>
  </si>
  <si>
    <t>S1212</t>
  </si>
  <si>
    <t>S1213</t>
  </si>
  <si>
    <t>Manish Joshi</t>
  </si>
  <si>
    <t>S1214</t>
  </si>
  <si>
    <t>S1215</t>
  </si>
  <si>
    <t>S1216</t>
  </si>
  <si>
    <t>S1217</t>
  </si>
  <si>
    <t>S1218</t>
  </si>
  <si>
    <t>Manish Verma</t>
  </si>
  <si>
    <t>S1219</t>
  </si>
  <si>
    <t>S1220</t>
  </si>
  <si>
    <t>Sneha Jain</t>
  </si>
  <si>
    <t>S1221</t>
  </si>
  <si>
    <t>Meera Patel</t>
  </si>
  <si>
    <t>S1222</t>
  </si>
  <si>
    <t>S1223</t>
  </si>
  <si>
    <t>S1224</t>
  </si>
  <si>
    <t>Anjali Patil</t>
  </si>
  <si>
    <t>S1225</t>
  </si>
  <si>
    <t>S1226</t>
  </si>
  <si>
    <t>S1227</t>
  </si>
  <si>
    <t>Sneha Patel</t>
  </si>
  <si>
    <t>S1228</t>
  </si>
  <si>
    <t>Kunal Shah</t>
  </si>
  <si>
    <t>S1229</t>
  </si>
  <si>
    <t>S1230</t>
  </si>
  <si>
    <t>Aarav Verma</t>
  </si>
  <si>
    <t>S1231</t>
  </si>
  <si>
    <t>Pooja Patil</t>
  </si>
  <si>
    <t>S1232</t>
  </si>
  <si>
    <t>S1233</t>
  </si>
  <si>
    <t>S1234</t>
  </si>
  <si>
    <t>Meera Mehta</t>
  </si>
  <si>
    <t>S1235</t>
  </si>
  <si>
    <t>Sneha Verma</t>
  </si>
  <si>
    <t>S1236</t>
  </si>
  <si>
    <t>Rohit Gupta</t>
  </si>
  <si>
    <t>S1237</t>
  </si>
  <si>
    <t>S1238</t>
  </si>
  <si>
    <t>S1239</t>
  </si>
  <si>
    <t>S1240</t>
  </si>
  <si>
    <t>S1241</t>
  </si>
  <si>
    <t>Rohit Mehta</t>
  </si>
  <si>
    <t>S1242</t>
  </si>
  <si>
    <t>S1243</t>
  </si>
  <si>
    <t>S1244</t>
  </si>
  <si>
    <t>Dev Singh</t>
  </si>
  <si>
    <t>S1245</t>
  </si>
  <si>
    <t>S1246</t>
  </si>
  <si>
    <t>Karan Iyer</t>
  </si>
  <si>
    <t>S1247</t>
  </si>
  <si>
    <t>S1248</t>
  </si>
  <si>
    <t>Riya Jain</t>
  </si>
  <si>
    <t>S1249</t>
  </si>
  <si>
    <t>S1250</t>
  </si>
  <si>
    <t>Rahul Rao</t>
  </si>
  <si>
    <t>S1251</t>
  </si>
  <si>
    <t>S1252</t>
  </si>
  <si>
    <t>S1253</t>
  </si>
  <si>
    <t>S1254</t>
  </si>
  <si>
    <t>Karan Gupta</t>
  </si>
  <si>
    <t>S1255</t>
  </si>
  <si>
    <t>S1256</t>
  </si>
  <si>
    <t>Aditya Patel</t>
  </si>
  <si>
    <t>S1257</t>
  </si>
  <si>
    <t>Kunal Iyer</t>
  </si>
  <si>
    <t>S1258</t>
  </si>
  <si>
    <t>S1259</t>
  </si>
  <si>
    <t>Manish Rao</t>
  </si>
  <si>
    <t>S1260</t>
  </si>
  <si>
    <t>S1261</t>
  </si>
  <si>
    <t>S1262</t>
  </si>
  <si>
    <t>S1263</t>
  </si>
  <si>
    <t>S1264</t>
  </si>
  <si>
    <t>Kunal Nair</t>
  </si>
  <si>
    <t>S1265</t>
  </si>
  <si>
    <t>S1266</t>
  </si>
  <si>
    <t>S1267</t>
  </si>
  <si>
    <t>S1268</t>
  </si>
  <si>
    <t>S1269</t>
  </si>
  <si>
    <t>Meera Joshi</t>
  </si>
  <si>
    <t>S1270</t>
  </si>
  <si>
    <t>S1271</t>
  </si>
  <si>
    <t>S1272</t>
  </si>
  <si>
    <t>Anjali Kulkarni</t>
  </si>
  <si>
    <t>S1273</t>
  </si>
  <si>
    <t>S1274</t>
  </si>
  <si>
    <t>S1275</t>
  </si>
  <si>
    <t>S1276</t>
  </si>
  <si>
    <t>S1277</t>
  </si>
  <si>
    <t>S1278</t>
  </si>
  <si>
    <t>S1279</t>
  </si>
  <si>
    <t>S1280</t>
  </si>
  <si>
    <t>S1281</t>
  </si>
  <si>
    <t>Rahul Jain</t>
  </si>
  <si>
    <t>S1282</t>
  </si>
  <si>
    <t>S1283</t>
  </si>
  <si>
    <t>S1284</t>
  </si>
  <si>
    <t>Pooja Patel</t>
  </si>
  <si>
    <t>S1285</t>
  </si>
  <si>
    <t>S1286</t>
  </si>
  <si>
    <t>S1287</t>
  </si>
  <si>
    <t>S1288</t>
  </si>
  <si>
    <t>Neha Desai</t>
  </si>
  <si>
    <t>S1289</t>
  </si>
  <si>
    <t>S1290</t>
  </si>
  <si>
    <t>S1291</t>
  </si>
  <si>
    <t>Meera Verma</t>
  </si>
  <si>
    <t>S1292</t>
  </si>
  <si>
    <t>Aarav Iyer</t>
  </si>
  <si>
    <t>S1293</t>
  </si>
  <si>
    <t>S1294</t>
  </si>
  <si>
    <t>S1295</t>
  </si>
  <si>
    <t>S1296</t>
  </si>
  <si>
    <t>S1297</t>
  </si>
  <si>
    <t>S1298</t>
  </si>
  <si>
    <t>S1299</t>
  </si>
  <si>
    <t>S1300</t>
  </si>
  <si>
    <t>S1301</t>
  </si>
  <si>
    <t>S1302</t>
  </si>
  <si>
    <t>Sneha Kulkarni</t>
  </si>
  <si>
    <t>S1303</t>
  </si>
  <si>
    <t>S1304</t>
  </si>
  <si>
    <t>S1305</t>
  </si>
  <si>
    <t>S1306</t>
  </si>
  <si>
    <t>S1307</t>
  </si>
  <si>
    <t>S1308</t>
  </si>
  <si>
    <t>S1309</t>
  </si>
  <si>
    <t>Neha Mehta</t>
  </si>
  <si>
    <t>S1310</t>
  </si>
  <si>
    <t>S1311</t>
  </si>
  <si>
    <t>S1312</t>
  </si>
  <si>
    <t>Rahul Gupta</t>
  </si>
  <si>
    <t>S1313</t>
  </si>
  <si>
    <t>S1314</t>
  </si>
  <si>
    <t>S1315</t>
  </si>
  <si>
    <t>Pooja Desai</t>
  </si>
  <si>
    <t>S1316</t>
  </si>
  <si>
    <t>S1317</t>
  </si>
  <si>
    <t>Kavita Patil</t>
  </si>
  <si>
    <t>S1318</t>
  </si>
  <si>
    <t>S1319</t>
  </si>
  <si>
    <t>Dev Joshi</t>
  </si>
  <si>
    <t>S1320</t>
  </si>
  <si>
    <t>S1321</t>
  </si>
  <si>
    <t>S1322</t>
  </si>
  <si>
    <t>S1323</t>
  </si>
  <si>
    <t>Rahul Iyer</t>
  </si>
  <si>
    <t>S1324</t>
  </si>
  <si>
    <t>S1325</t>
  </si>
  <si>
    <t>S1326</t>
  </si>
  <si>
    <t>S1327</t>
  </si>
  <si>
    <t>S1328</t>
  </si>
  <si>
    <t>S1329</t>
  </si>
  <si>
    <t>S1330</t>
  </si>
  <si>
    <t>S1331</t>
  </si>
  <si>
    <t>S1332</t>
  </si>
  <si>
    <t>S1333</t>
  </si>
  <si>
    <t>S1334</t>
  </si>
  <si>
    <t>S1335</t>
  </si>
  <si>
    <t>S1336</t>
  </si>
  <si>
    <t>S1337</t>
  </si>
  <si>
    <t>S1338</t>
  </si>
  <si>
    <t>S1339</t>
  </si>
  <si>
    <t>Manish Iyer</t>
  </si>
  <si>
    <t>S1340</t>
  </si>
  <si>
    <t>S1341</t>
  </si>
  <si>
    <t>S1342</t>
  </si>
  <si>
    <t>Manish Desai</t>
  </si>
  <si>
    <t>S1343</t>
  </si>
  <si>
    <t>S1344</t>
  </si>
  <si>
    <t>S1345</t>
  </si>
  <si>
    <t>S1346</t>
  </si>
  <si>
    <t>Kunal Patil</t>
  </si>
  <si>
    <t>S1347</t>
  </si>
  <si>
    <t>S1348</t>
  </si>
  <si>
    <t>S1349</t>
  </si>
  <si>
    <t>Karan Kulkarni</t>
  </si>
  <si>
    <t>S1350</t>
  </si>
  <si>
    <t>S1351</t>
  </si>
  <si>
    <t>S1352</t>
  </si>
  <si>
    <t>S1353</t>
  </si>
  <si>
    <t>S1354</t>
  </si>
  <si>
    <t>S1355</t>
  </si>
  <si>
    <t>S1356</t>
  </si>
  <si>
    <t>S1357</t>
  </si>
  <si>
    <t>S1358</t>
  </si>
  <si>
    <t>S1359</t>
  </si>
  <si>
    <t>S1360</t>
  </si>
  <si>
    <t>S1361</t>
  </si>
  <si>
    <t>S1362</t>
  </si>
  <si>
    <t>S1363</t>
  </si>
  <si>
    <t>S1364</t>
  </si>
  <si>
    <t>S1365</t>
  </si>
  <si>
    <t>S1366</t>
  </si>
  <si>
    <t>S1367</t>
  </si>
  <si>
    <t>S1368</t>
  </si>
  <si>
    <t>Anjali Jain</t>
  </si>
  <si>
    <t>S1369</t>
  </si>
  <si>
    <t>Kavita Patel</t>
  </si>
  <si>
    <t>S1370</t>
  </si>
  <si>
    <t>S1371</t>
  </si>
  <si>
    <t>S1372</t>
  </si>
  <si>
    <t>S1373</t>
  </si>
  <si>
    <t>Aarav Rao</t>
  </si>
  <si>
    <t>S1374</t>
  </si>
  <si>
    <t>S1375</t>
  </si>
  <si>
    <t>S1376</t>
  </si>
  <si>
    <t>S1377</t>
  </si>
  <si>
    <t>S1378</t>
  </si>
  <si>
    <t>S1379</t>
  </si>
  <si>
    <t>Rohit Iyer</t>
  </si>
  <si>
    <t>S1380</t>
  </si>
  <si>
    <t>S1381</t>
  </si>
  <si>
    <t>S1382</t>
  </si>
  <si>
    <t>S1383</t>
  </si>
  <si>
    <t>S1384</t>
  </si>
  <si>
    <t>S1385</t>
  </si>
  <si>
    <t>S1386</t>
  </si>
  <si>
    <t>S1387</t>
  </si>
  <si>
    <t>Neha Joshi</t>
  </si>
  <si>
    <t>S1388</t>
  </si>
  <si>
    <t>Dev Jain</t>
  </si>
  <si>
    <t>S1389</t>
  </si>
  <si>
    <t>S1390</t>
  </si>
  <si>
    <t>S1391</t>
  </si>
  <si>
    <t>S1392</t>
  </si>
  <si>
    <t>S1393</t>
  </si>
  <si>
    <t>S1394</t>
  </si>
  <si>
    <t>S1395</t>
  </si>
  <si>
    <t>S1396</t>
  </si>
  <si>
    <t>S1397</t>
  </si>
  <si>
    <t>S1398</t>
  </si>
  <si>
    <t>S1399</t>
  </si>
  <si>
    <t>S1400</t>
  </si>
  <si>
    <t>S1401</t>
  </si>
  <si>
    <t>S1402</t>
  </si>
  <si>
    <t>Rahul Joshi</t>
  </si>
  <si>
    <t>S1403</t>
  </si>
  <si>
    <t>Karan Nair</t>
  </si>
  <si>
    <t>S1404</t>
  </si>
  <si>
    <t>S1405</t>
  </si>
  <si>
    <t>S1406</t>
  </si>
  <si>
    <t>S1407</t>
  </si>
  <si>
    <t>Pooja Nair</t>
  </si>
  <si>
    <t>S1408</t>
  </si>
  <si>
    <t>S1409</t>
  </si>
  <si>
    <t>S1410</t>
  </si>
  <si>
    <t>S1411</t>
  </si>
  <si>
    <t>S1412</t>
  </si>
  <si>
    <t>S1413</t>
  </si>
  <si>
    <t>S1414</t>
  </si>
  <si>
    <t>S1415</t>
  </si>
  <si>
    <t>S1416</t>
  </si>
  <si>
    <t>S1417</t>
  </si>
  <si>
    <t>S1418</t>
  </si>
  <si>
    <t>S1419</t>
  </si>
  <si>
    <t>S1420</t>
  </si>
  <si>
    <t>S1421</t>
  </si>
  <si>
    <t>S1422</t>
  </si>
  <si>
    <t>S1423</t>
  </si>
  <si>
    <t>S1424</t>
  </si>
  <si>
    <t>S1425</t>
  </si>
  <si>
    <t>Meera Rao</t>
  </si>
  <si>
    <t>S1426</t>
  </si>
  <si>
    <t>S1427</t>
  </si>
  <si>
    <t>S1428</t>
  </si>
  <si>
    <t>S1429</t>
  </si>
  <si>
    <t>S1430</t>
  </si>
  <si>
    <t>S1431</t>
  </si>
  <si>
    <t>S1432</t>
  </si>
  <si>
    <t>S1433</t>
  </si>
  <si>
    <t>Dev Shah</t>
  </si>
  <si>
    <t>S1434</t>
  </si>
  <si>
    <t>S1435</t>
  </si>
  <si>
    <t>S1436</t>
  </si>
  <si>
    <t>S1437</t>
  </si>
  <si>
    <t>S1438</t>
  </si>
  <si>
    <t>S1439</t>
  </si>
  <si>
    <t>S1440</t>
  </si>
  <si>
    <t>S1441</t>
  </si>
  <si>
    <t>S1442</t>
  </si>
  <si>
    <t>S1443</t>
  </si>
  <si>
    <t>S1444</t>
  </si>
  <si>
    <t>S1445</t>
  </si>
  <si>
    <t>S1446</t>
  </si>
  <si>
    <t>Pooja Verma</t>
  </si>
  <si>
    <t>S1447</t>
  </si>
  <si>
    <t>S1448</t>
  </si>
  <si>
    <t>S1449</t>
  </si>
  <si>
    <t>S1450</t>
  </si>
  <si>
    <t>S1451</t>
  </si>
  <si>
    <t>Anjali Joshi</t>
  </si>
  <si>
    <t>S1452</t>
  </si>
  <si>
    <t>S1453</t>
  </si>
  <si>
    <t>S1454</t>
  </si>
  <si>
    <t>Meera Kulkarni</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</si>
  <si>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</si>
  <si>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</si>
  <si>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</si>
  <si>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</si>
  <si>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</si>
  <si>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</si>
  <si>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</si>
  <si>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</si>
  <si>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</si>
  <si>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</si>
  <si>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</si>
  <si>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</si>
  <si>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</si>
  <si>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</si>
  <si>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</si>
  <si>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</si>
  <si>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</si>
  <si>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</si>
  <si>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</si>
  <si>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</si>
  <si>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</si>
  <si>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</si>
  <si>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</si>
  <si>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</si>
  <si>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</si>
  <si>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</si>
  <si>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</si>
  <si>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</si>
  <si>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</si>
  <si>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</si>
  <si>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</si>
  <si>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</si>
  <si>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</si>
  <si>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</si>
  <si>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Neha Kulkarni</t>
  </si>
  <si>
    <t>S1489</t>
  </si>
  <si>
    <t>S1490</t>
  </si>
  <si>
    <t>S1491</t>
  </si>
  <si>
    <t>S1492</t>
  </si>
  <si>
    <t>S1493</t>
  </si>
  <si>
    <t>S1494</t>
  </si>
  <si>
    <t>S1495</t>
  </si>
  <si>
    <t>S1496</t>
  </si>
  <si>
    <t>Karan Joshi</t>
  </si>
  <si>
    <t>S1497</t>
  </si>
  <si>
    <t>S1498</t>
  </si>
  <si>
    <t>S1499</t>
  </si>
  <si>
    <t>S1500</t>
  </si>
  <si>
    <t>S1501</t>
  </si>
  <si>
    <t>S1502</t>
  </si>
  <si>
    <t>S1503</t>
  </si>
  <si>
    <t>Pooja Mehta</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</si>
  <si>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</si>
  <si>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</si>
  <si>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</si>
  <si>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</si>
  <si>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</si>
  <si>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</si>
  <si>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</si>
  <si>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</si>
  <si>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</si>
  <si>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</si>
  <si>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</si>
  <si>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</si>
  <si>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</si>
  <si>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</si>
  <si>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</si>
  <si>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</si>
  <si>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</si>
  <si>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</si>
  <si>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</si>
  <si>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</si>
  <si>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</si>
  <si>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</si>
  <si>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</si>
  <si>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Neha Nair</t>
  </si>
  <si>
    <t>S1527</t>
  </si>
  <si>
    <t>S1528</t>
  </si>
  <si>
    <t>S1529</t>
  </si>
  <si>
    <t>S1530</t>
  </si>
  <si>
    <t>S1531</t>
  </si>
  <si>
    <t>S1532</t>
  </si>
  <si>
    <t>S1533</t>
  </si>
  <si>
    <t>S1534</t>
  </si>
  <si>
    <t>S1535</t>
  </si>
  <si>
    <t>S1536</t>
  </si>
  <si>
    <t>S1537</t>
  </si>
  <si>
    <t>S1538</t>
  </si>
  <si>
    <t>Anjali Singh</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</si>
  <si>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</si>
  <si>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</si>
  <si>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</si>
  <si>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</si>
  <si>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</si>
  <si>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</si>
  <si>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</si>
  <si>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</si>
  <si>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</si>
  <si>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</si>
  <si>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</si>
  <si>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</si>
  <si>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</si>
  <si>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</si>
  <si>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</si>
  <si>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</si>
  <si>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</si>
  <si>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</si>
  <si>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</si>
  <si>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</si>
  <si>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</si>
  <si>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</si>
  <si>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</si>
  <si>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</si>
  <si>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</si>
  <si>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</si>
  <si>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</si>
  <si>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</si>
  <si>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</si>
  <si>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</si>
  <si>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</si>
  <si>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</si>
  <si>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</si>
  <si>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</si>
  <si>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</si>
  <si>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</si>
  <si>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Pooja Iyer</t>
  </si>
  <si>
    <t>S1575</t>
  </si>
  <si>
    <t>S1576</t>
  </si>
  <si>
    <t>S1577</t>
  </si>
  <si>
    <t>S1578</t>
  </si>
  <si>
    <t>S1579</t>
  </si>
  <si>
    <t>S1580</t>
  </si>
  <si>
    <t>S1581</t>
  </si>
  <si>
    <t>S1582</t>
  </si>
  <si>
    <t>S1583</t>
  </si>
  <si>
    <t>S1584</t>
  </si>
  <si>
    <t>S1585</t>
  </si>
  <si>
    <t>S1586</t>
  </si>
  <si>
    <t>S1587</t>
  </si>
  <si>
    <t>S1588</t>
  </si>
  <si>
    <t>Sneha Singh</t>
  </si>
  <si>
    <t>S1589</t>
  </si>
  <si>
    <t>S1590</t>
  </si>
  <si>
    <t>S1591</t>
  </si>
  <si>
    <t>S1592</t>
  </si>
  <si>
    <t>S1593</t>
  </si>
  <si>
    <t>S1594</t>
  </si>
  <si>
    <t>S1595</t>
  </si>
  <si>
    <t>S1596</t>
  </si>
  <si>
    <t>S1597</t>
  </si>
  <si>
    <t>Kunal Jain</t>
  </si>
  <si>
    <t>S1598</t>
  </si>
  <si>
    <t>S1599</t>
  </si>
  <si>
    <t>S1600</t>
  </si>
  <si>
    <t>S1601</t>
  </si>
  <si>
    <t>S1602</t>
  </si>
  <si>
    <t>S1603</t>
  </si>
  <si>
    <t>S1604</t>
  </si>
  <si>
    <t>S1605</t>
  </si>
  <si>
    <t>S1606</t>
  </si>
  <si>
    <t>Kavita Nair</t>
  </si>
  <si>
    <t>S1607</t>
  </si>
  <si>
    <t>S1608</t>
  </si>
  <si>
    <t>S1609</t>
  </si>
  <si>
    <t>S1610</t>
  </si>
  <si>
    <t>S1611</t>
  </si>
  <si>
    <t>Riya Mehta</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</si>
  <si>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</si>
  <si>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</si>
  <si>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</si>
  <si>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</si>
  <si>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</si>
  <si>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</si>
  <si>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</si>
  <si>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</si>
  <si>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</si>
  <si>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</si>
  <si>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</si>
  <si>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</si>
  <si>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</si>
  <si>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</si>
  <si>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</si>
  <si>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</si>
  <si>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</si>
  <si>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</si>
  <si>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</si>
  <si>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</si>
  <si>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</si>
  <si>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</si>
  <si>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</si>
  <si>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</si>
  <si>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</si>
  <si>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</si>
  <si>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</si>
  <si>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</si>
  <si>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</si>
  <si>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</si>
  <si>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</si>
  <si>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</si>
  <si>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</si>
  <si>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</si>
  <si>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</si>
  <si>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</si>
  <si>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</si>
  <si>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</si>
  <si>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</si>
  <si>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</si>
  <si>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</si>
  <si>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</si>
  <si>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</si>
  <si>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</si>
  <si>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</si>
  <si>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</si>
  <si>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</si>
  <si>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</si>
  <si>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</si>
  <si>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</si>
  <si>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</si>
  <si>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</si>
  <si>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</si>
  <si>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</si>
  <si>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</si>
  <si>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</si>
  <si>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</si>
  <si>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</si>
  <si>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</si>
  <si>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</si>
  <si>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</si>
  <si>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Manish Shah</t>
  </si>
  <si>
    <t>S1673</t>
  </si>
  <si>
    <t>S1674</t>
  </si>
  <si>
    <t>S1675</t>
  </si>
  <si>
    <t>S1676</t>
  </si>
  <si>
    <t>S1677</t>
  </si>
  <si>
    <t>S1678</t>
  </si>
  <si>
    <t>S1679</t>
  </si>
  <si>
    <t>S1680</t>
  </si>
  <si>
    <t>S1681</t>
  </si>
  <si>
    <t>S1682</t>
  </si>
  <si>
    <t>S1683</t>
  </si>
  <si>
    <t>S1684</t>
  </si>
  <si>
    <t>S1685</t>
  </si>
  <si>
    <t>S1686</t>
  </si>
  <si>
    <t>Kavita Jain</t>
  </si>
  <si>
    <t>S1687</t>
  </si>
  <si>
    <t>S1688</t>
  </si>
  <si>
    <t>S1689</t>
  </si>
  <si>
    <t>S1690</t>
  </si>
  <si>
    <t>S1691</t>
  </si>
  <si>
    <t>S1692</t>
  </si>
  <si>
    <t>S1693</t>
  </si>
  <si>
    <t>S1694</t>
  </si>
  <si>
    <t>S1695</t>
  </si>
  <si>
    <t>S1696</t>
  </si>
  <si>
    <t>S1697</t>
  </si>
  <si>
    <t>S1698</t>
  </si>
  <si>
    <t>S1699</t>
  </si>
  <si>
    <t>S1700</t>
  </si>
  <si>
    <t>S1701</t>
  </si>
  <si>
    <t>S1702</t>
  </si>
  <si>
    <t>S1703</t>
  </si>
  <si>
    <t>S1704</t>
  </si>
  <si>
    <t>Sneha Rao</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</si>
  <si>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</si>
  <si>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</si>
  <si>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</si>
  <si>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</si>
  <si>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</si>
  <si>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</si>
  <si>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</si>
  <si>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</si>
  <si>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</si>
  <si>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</si>
  <si>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</si>
  <si>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</si>
  <si>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</si>
  <si>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</si>
  <si>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</si>
  <si>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</si>
  <si>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</si>
  <si>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</si>
  <si>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</si>
  <si>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</si>
  <si>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</si>
  <si>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</si>
  <si>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</si>
  <si>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</si>
  <si>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</si>
  <si>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</si>
  <si>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</si>
  <si>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</si>
  <si>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</si>
  <si>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</si>
  <si>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</si>
  <si>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</si>
  <si>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</si>
  <si>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</si>
  <si>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</si>
  <si>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</si>
  <si>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</si>
  <si>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</si>
  <si>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</si>
  <si>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</si>
  <si>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</si>
  <si>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</si>
  <si>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</si>
  <si>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</si>
  <si>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</si>
  <si>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</si>
  <si>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</si>
  <si>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Kunal Kulkarni</t>
  </si>
  <si>
    <t>S1752</t>
  </si>
  <si>
    <t>S1753</t>
  </si>
  <si>
    <t>S1754</t>
  </si>
  <si>
    <t>S1755</t>
  </si>
  <si>
    <t>S1756</t>
  </si>
  <si>
    <t>S1757</t>
  </si>
  <si>
    <t>S1758</t>
  </si>
  <si>
    <t>S1759</t>
  </si>
  <si>
    <t>S1760</t>
  </si>
  <si>
    <t>S1761</t>
  </si>
  <si>
    <t>S1762</t>
  </si>
  <si>
    <t>S1763</t>
  </si>
  <si>
    <t>Anjali Shah</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</si>
  <si>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</si>
  <si>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</si>
  <si>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</si>
  <si>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</si>
  <si>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</si>
  <si>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</si>
  <si>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</si>
  <si>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</si>
  <si>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</si>
  <si>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</si>
  <si>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</si>
  <si>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</si>
  <si>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</si>
  <si>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</si>
  <si>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</si>
  <si>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</si>
  <si>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</si>
  <si>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</si>
  <si>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</si>
  <si>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</si>
  <si>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</si>
  <si>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</si>
  <si>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</si>
  <si>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</si>
  <si>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</si>
  <si>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</si>
  <si>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</si>
  <si>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</si>
  <si>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</si>
  <si>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</si>
  <si>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</si>
  <si>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Rohit Kulkarni</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</si>
  <si>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</si>
  <si>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</si>
  <si>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</si>
  <si>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</si>
  <si>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</si>
  <si>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</si>
  <si>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</si>
  <si>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</si>
  <si>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</si>
  <si>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</si>
  <si>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</si>
  <si>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</si>
  <si>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</si>
  <si>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</si>
  <si>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</si>
  <si>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</si>
  <si>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</si>
  <si>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</si>
  <si>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</si>
  <si>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</si>
  <si>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</si>
  <si>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</si>
  <si>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</si>
  <si>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</si>
  <si>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</si>
  <si>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</si>
  <si>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</si>
  <si>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</si>
  <si>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</si>
  <si>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</si>
  <si>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</si>
  <si>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</si>
  <si>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</si>
  <si>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</si>
  <si>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</si>
  <si>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</si>
  <si>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</si>
  <si>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</si>
  <si>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</si>
  <si>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</si>
  <si>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Dev Rao</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</si>
  <si>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</si>
  <si>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</si>
  <si>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</si>
  <si>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</si>
  <si>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</si>
  <si>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</si>
  <si>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</si>
  <si>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</si>
  <si>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</si>
  <si>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</si>
  <si>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</si>
  <si>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</si>
  <si>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</si>
  <si>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</si>
  <si>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</si>
  <si>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</si>
  <si>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</si>
  <si>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</si>
  <si>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</si>
  <si>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</si>
  <si>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</si>
  <si>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</si>
  <si>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</si>
  <si>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</si>
  <si>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</si>
  <si>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</si>
  <si>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</si>
  <si>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</si>
  <si>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</si>
  <si>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</si>
  <si>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</si>
  <si>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Pooja Rao</t>
  </si>
  <si>
    <t>S1866</t>
  </si>
  <si>
    <t>S1867</t>
  </si>
  <si>
    <t>S1868</t>
  </si>
  <si>
    <t>S1869</t>
  </si>
  <si>
    <t>S1870</t>
  </si>
  <si>
    <t>S1871</t>
  </si>
  <si>
    <t>Meera Desai</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</si>
  <si>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</si>
  <si>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</si>
  <si>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</si>
  <si>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</si>
  <si>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</si>
  <si>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</si>
  <si>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</si>
  <si>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</si>
  <si>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</si>
  <si>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</si>
  <si>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</si>
  <si>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</si>
  <si>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</si>
  <si>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</si>
  <si>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</si>
  <si>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</si>
  <si>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</si>
  <si>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</si>
  <si>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</si>
  <si>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</si>
  <si>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</si>
  <si>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</si>
  <si>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</si>
  <si>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</si>
  <si>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</si>
  <si>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</si>
  <si>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</si>
  <si>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</si>
  <si>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</si>
  <si>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</si>
  <si>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</si>
  <si>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</si>
  <si>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</si>
  <si>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</si>
  <si>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</si>
  <si>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</si>
  <si>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</si>
  <si>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</si>
  <si>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</si>
  <si>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</si>
  <si>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</si>
  <si>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</si>
  <si>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</si>
  <si>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</si>
  <si>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</si>
  <si>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</si>
  <si>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</si>
  <si>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</si>
  <si>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</si>
  <si>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</si>
  <si>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</si>
  <si>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</si>
  <si>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</si>
  <si>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</si>
  <si>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</si>
  <si>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</si>
  <si>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</si>
  <si>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</si>
  <si>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</si>
  <si>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</si>
  <si>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</si>
  <si>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</si>
  <si>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</si>
  <si>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</si>
  <si>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</si>
  <si>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</si>
  <si>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</si>
  <si>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</si>
  <si>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</si>
  <si>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</si>
  <si>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</si>
  <si>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</si>
  <si>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</si>
  <si>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</si>
  <si>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</si>
  <si>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</si>
  <si>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</si>
  <si>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Meera Iyer</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</si>
  <si>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</si>
  <si>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</si>
  <si>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</si>
  <si>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</si>
  <si>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</si>
  <si>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</si>
  <si>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</si>
  <si>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</si>
  <si>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</si>
  <si>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</si>
  <si>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</si>
  <si>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</si>
  <si>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</si>
  <si>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</si>
  <si>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</si>
  <si>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</si>
  <si>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</si>
  <si>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</si>
  <si>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</si>
  <si>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</si>
  <si>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</si>
  <si>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</si>
  <si>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</si>
  <si>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</si>
  <si>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</si>
  <si>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</si>
  <si>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</si>
  <si>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</si>
  <si>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</si>
  <si>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</si>
  <si>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</si>
  <si>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</si>
  <si>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</si>
  <si>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</si>
  <si>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</si>
  <si>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</si>
  <si>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</si>
  <si>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</si>
  <si>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</si>
  <si>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</si>
  <si>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</si>
  <si>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</si>
  <si>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</si>
  <si>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</si>
  <si>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</si>
  <si>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</si>
  <si>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</si>
  <si>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</si>
  <si>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</si>
  <si>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</si>
  <si>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</si>
  <si>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Total No of Enrollment</t>
  </si>
  <si>
    <t>Course</t>
  </si>
  <si>
    <t>Total Payment Amount</t>
  </si>
  <si>
    <t>Student_id</t>
  </si>
  <si>
    <t>Mentor_name</t>
  </si>
  <si>
    <t>s1007</t>
  </si>
  <si>
    <t>Performance Status</t>
  </si>
  <si>
    <t>Percentage of Record</t>
  </si>
  <si>
    <t>New_DiscountPercent</t>
  </si>
  <si>
    <t>STUDENT_NAME</t>
  </si>
  <si>
    <t>PLATFORM</t>
  </si>
  <si>
    <t>Total  Revenue(Before Discount)</t>
  </si>
  <si>
    <t>Total Net Revenue(AfterDiscount)</t>
  </si>
  <si>
    <t>Total Discount</t>
  </si>
  <si>
    <t>Counts no of Records =</t>
  </si>
  <si>
    <t>Row Labels</t>
  </si>
  <si>
    <t>Grand Total</t>
  </si>
  <si>
    <t>Sum of PaymentAmount</t>
  </si>
  <si>
    <t>Sum of Net Revenue</t>
  </si>
  <si>
    <t>Jan</t>
  </si>
  <si>
    <t>Feb</t>
  </si>
  <si>
    <t>Mar</t>
  </si>
  <si>
    <t>Sales &amp; Course Revenue Analytics Dashboard</t>
  </si>
  <si>
    <t>1. Top-Performing Combination Details:</t>
  </si>
  <si>
    <r>
      <t>Platform:</t>
    </r>
    <r>
      <rPr>
        <sz val="11"/>
        <color theme="1"/>
        <rFont val="Arial"/>
        <family val="2"/>
      </rPr>
      <t xml:space="preserve"> Tablet</t>
    </r>
  </si>
  <si>
    <r>
      <t>Revenue Generated:</t>
    </r>
    <r>
      <rPr>
        <sz val="11"/>
        <color theme="1"/>
        <rFont val="Arial"/>
        <family val="2"/>
      </rPr>
      <t xml:space="preserve"> ₹17,29,206</t>
    </r>
  </si>
  <si>
    <t>2. Brief Explanation:</t>
  </si>
  <si>
    <t xml:space="preserve"> resulting in higher student enrollment and higher course fees compared to other categories.</t>
  </si>
  <si>
    <t>, reviewing assignments, and watching detailed video tutorials, making it the preferred learning platform for tech students.</t>
  </si>
  <si>
    <t>Tablets offer an ideal balance between mobility and screen size for coding practices</t>
  </si>
  <si>
    <t>Full Stack Development is one of the most sought-after and comprehensive technical courses,</t>
  </si>
  <si>
    <r>
      <t>Optimal Learning Experience:</t>
    </r>
    <r>
      <rPr>
        <sz val="11"/>
        <color rgb="FF00B050"/>
        <rFont val="Arial"/>
        <family val="2"/>
      </rPr>
      <t xml:space="preserve"> </t>
    </r>
  </si>
  <si>
    <r>
      <t>High Industry Demand:</t>
    </r>
    <r>
      <rPr>
        <sz val="11"/>
        <color rgb="FF00B050"/>
        <rFont val="Arial"/>
        <family val="2"/>
      </rPr>
      <t xml:space="preserve"> </t>
    </r>
  </si>
  <si>
    <r>
      <t>Category:</t>
    </r>
    <r>
      <rPr>
        <sz val="11"/>
        <rFont val="Arial"/>
        <family val="2"/>
      </rPr>
      <t xml:space="preserve"> Full Stack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</si>
</sst>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quot;₹&quot;\ #,##0"/>
  </numFmts>
  <fonts count="12" x14ac:knownFonts="1">
    <font>
      <sz val="11"/>
      <color theme="1"/>
      <name val="Aptos Narrow"/>
      <family val="2"/>
      <scheme val="minor"/>
    </font>
    <font>
      <b/>
      <sz val="11"/>
      <color theme="1"/>
      <name val="Aptos Narrow"/>
      <family val="2"/>
      <scheme val="minor"/>
    </font>
    <font>
      <b/>
      <sz val="11"/>
      <color rgb="FFFF0000"/>
      <name val="Aptos Narrow"/>
      <family val="2"/>
      <scheme val="minor"/>
    </font>
    <font>
      <sz val="11"/>
      <color theme="1"/>
      <name val="Arial"/>
      <family val="2"/>
    </font>
    <font>
      <b/>
      <sz val="11"/>
      <color theme="1"/>
      <name val="Arial"/>
      <family val="2"/>
    </font>
    <font>
      <b/>
      <sz val="14"/>
      <color theme="0"/>
      <name val="Algerian"/>
      <family val="5"/>
    </font>
    <font>
      <b/>
      <sz val="12"/>
      <color theme="1"/>
      <name val="Arial"/>
      <family val="2"/>
    </font>
    <font>
      <b/>
      <sz val="11"/>
      <color rgb="FF00B050"/>
      <name val="Arial"/>
      <family val="2"/>
    </font>
    <font>
      <sz val="11"/>
      <color rgb="FF00B050"/>
      <name val="Arial"/>
      <family val="2"/>
    </font>
    <font>
      <sz val="11"/>
      <color rgb="FF00B050"/>
      <name val="Aptos Narrow"/>
      <family val="2"/>
      <scheme val="minor"/>
    </font>
    <font>
      <b/>
      <sz val="11"/>
      <name val="Arial"/>
      <family val="2"/>
    </font>
    <font>
      <sz val="11"/>
      <name val="Arial"/>
      <family val="2"/>
    </font>
  </fonts>
  <fills count="11">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FF00"/>
        <bgColor theme="4"/>
      </patternFill>
    </fill>
    <fill>
      <patternFill patternType="solid">
        <fgColor theme="4" tint="0.59999389629810485"/>
        <bgColor indexed="64"/>
      </patternFill>
    </fill>
    <fill>
      <patternFill patternType="solid">
        <fgColor theme="4"/>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1" xfId="0" applyBorder="1" applyAlignment="1">
      <alignment horizontal="center" vertical="center"/>
    </xf>
    <xf numFmtId="0" fontId="2" fillId="2" borderId="1" xfId="0" applyFont="1" applyFill="1" applyBorder="1" applyAlignment="1">
      <alignment horizontal="center" vertical="center"/>
    </xf>
    <xf numFmtId="0" fontId="0" fillId="0" borderId="1" xfId="0"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0" fillId="5" borderId="1" xfId="0" applyFill="1" applyBorder="1"/>
    <xf numFmtId="0" fontId="0" fillId="3" borderId="1" xfId="0" applyFill="1" applyBorder="1"/>
    <xf numFmtId="0" fontId="0" fillId="4" borderId="1" xfId="0" applyFill="1" applyBorder="1"/>
    <xf numFmtId="0" fontId="2" fillId="2" borderId="3" xfId="0" applyFont="1" applyFill="1" applyBorder="1" applyAlignment="1">
      <alignment horizontal="center" vertical="center"/>
    </xf>
    <xf numFmtId="0" fontId="0" fillId="4" borderId="4" xfId="0" applyFill="1" applyBorder="1" applyAlignment="1">
      <alignment horizontal="center" vertical="center"/>
    </xf>
    <xf numFmtId="0" fontId="0" fillId="0" borderId="5" xfId="0" applyBorder="1"/>
    <xf numFmtId="0" fontId="2" fillId="2" borderId="4" xfId="0" applyFont="1" applyFill="1" applyBorder="1" applyAlignment="1">
      <alignment horizontal="center" vertical="center"/>
    </xf>
    <xf numFmtId="0" fontId="0" fillId="3" borderId="4" xfId="0" applyFill="1" applyBorder="1" applyAlignment="1">
      <alignment horizontal="center" vertical="center"/>
    </xf>
    <xf numFmtId="0" fontId="0" fillId="6" borderId="6" xfId="0" applyFill="1" applyBorder="1" applyAlignment="1">
      <alignment horizontal="center" vertical="center"/>
    </xf>
    <xf numFmtId="0" fontId="2" fillId="2" borderId="1" xfId="0" applyFont="1" applyFill="1" applyBorder="1" applyAlignment="1">
      <alignment horizontal="center"/>
    </xf>
    <xf numFmtId="0" fontId="2" fillId="7" borderId="1" xfId="0" applyFont="1" applyFill="1" applyBorder="1" applyAlignment="1">
      <alignment horizontal="center" vertical="center"/>
    </xf>
    <xf numFmtId="0" fontId="0" fillId="8" borderId="1" xfId="0" applyFill="1" applyBorder="1" applyAlignment="1">
      <alignment horizontal="center" vertical="center"/>
    </xf>
    <xf numFmtId="0" fontId="0" fillId="0" borderId="0" xfId="0" applyNumberFormat="1"/>
    <xf numFmtId="0" fontId="0" fillId="0" borderId="1" xfId="0" pivotButton="1" applyBorder="1"/>
    <xf numFmtId="0" fontId="0" fillId="0" borderId="1" xfId="0" applyBorder="1" applyAlignment="1">
      <alignment horizontal="left"/>
    </xf>
    <xf numFmtId="0" fontId="0" fillId="0" borderId="1" xfId="0" applyNumberFormat="1" applyBorder="1"/>
    <xf numFmtId="0" fontId="4" fillId="0" borderId="0" xfId="0" applyFont="1" applyAlignment="1">
      <alignment vertical="center"/>
    </xf>
    <xf numFmtId="14" fontId="0" fillId="0" borderId="1" xfId="0" applyNumberFormat="1" applyBorder="1" applyAlignment="1">
      <alignment horizontal="center" vertical="center"/>
    </xf>
    <xf numFmtId="0" fontId="1" fillId="8" borderId="1" xfId="0" applyFont="1" applyFill="1" applyBorder="1" applyAlignment="1">
      <alignment horizontal="center" vertical="center"/>
    </xf>
    <xf numFmtId="0" fontId="1" fillId="8" borderId="2" xfId="0" applyFont="1" applyFill="1" applyBorder="1" applyAlignment="1">
      <alignment horizontal="center" vertical="center"/>
    </xf>
    <xf numFmtId="178" fontId="0" fillId="0" borderId="0" xfId="0" applyNumberFormat="1"/>
    <xf numFmtId="9" fontId="0" fillId="0" borderId="0" xfId="0" applyNumberFormat="1"/>
    <xf numFmtId="0" fontId="1" fillId="8" borderId="7" xfId="0" applyFont="1" applyFill="1" applyBorder="1" applyAlignment="1">
      <alignment horizontal="center" vertical="center"/>
    </xf>
    <xf numFmtId="0" fontId="0" fillId="0" borderId="7" xfId="0" applyBorder="1" applyAlignment="1">
      <alignment horizontal="center" vertical="center"/>
    </xf>
    <xf numFmtId="0" fontId="0" fillId="0" borderId="9" xfId="0" pivotButton="1" applyBorder="1"/>
    <xf numFmtId="0" fontId="0" fillId="0" borderId="8" xfId="0" applyBorder="1" applyAlignment="1">
      <alignment horizontal="left"/>
    </xf>
    <xf numFmtId="0" fontId="0" fillId="0" borderId="11" xfId="0" applyNumberFormat="1" applyBorder="1"/>
    <xf numFmtId="0" fontId="0" fillId="0" borderId="10" xfId="0" applyNumberFormat="1" applyBorder="1"/>
    <xf numFmtId="0" fontId="0" fillId="0" borderId="2" xfId="0" applyNumberFormat="1" applyBorder="1"/>
    <xf numFmtId="0" fontId="0" fillId="0" borderId="10" xfId="0" applyBorder="1" applyAlignment="1">
      <alignment horizontal="left"/>
    </xf>
    <xf numFmtId="0" fontId="0" fillId="0" borderId="2" xfId="0" applyBorder="1" applyAlignment="1">
      <alignment horizontal="left"/>
    </xf>
    <xf numFmtId="0" fontId="0" fillId="0" borderId="11" xfId="0" applyBorder="1" applyAlignment="1">
      <alignment horizontal="left"/>
    </xf>
    <xf numFmtId="0" fontId="0" fillId="9" borderId="15" xfId="0" applyFill="1" applyBorder="1"/>
    <xf numFmtId="0" fontId="0" fillId="9" borderId="0" xfId="0" applyFill="1" applyBorder="1"/>
    <xf numFmtId="0" fontId="0" fillId="9" borderId="16" xfId="0" applyFill="1" applyBorder="1"/>
    <xf numFmtId="0" fontId="0" fillId="9" borderId="17" xfId="0" applyFill="1" applyBorder="1"/>
    <xf numFmtId="0" fontId="0" fillId="9" borderId="18" xfId="0" applyFill="1" applyBorder="1"/>
    <xf numFmtId="0" fontId="0" fillId="9" borderId="19" xfId="0" applyFill="1" applyBorder="1"/>
    <xf numFmtId="0" fontId="5" fillId="9" borderId="13" xfId="0" applyFont="1" applyFill="1" applyBorder="1" applyAlignment="1">
      <alignment horizontal="center"/>
    </xf>
    <xf numFmtId="0" fontId="5" fillId="9" borderId="12" xfId="0" applyFont="1" applyFill="1" applyBorder="1" applyAlignment="1">
      <alignment horizontal="center"/>
    </xf>
    <xf numFmtId="0" fontId="5" fillId="9" borderId="14" xfId="0" applyFont="1" applyFill="1" applyBorder="1" applyAlignment="1">
      <alignment horizontal="center"/>
    </xf>
    <xf numFmtId="0" fontId="6" fillId="10" borderId="12" xfId="0" applyFont="1" applyFill="1" applyBorder="1" applyAlignment="1">
      <alignment vertical="center"/>
    </xf>
    <xf numFmtId="0" fontId="0" fillId="10" borderId="13" xfId="0" applyFill="1" applyBorder="1"/>
    <xf numFmtId="0" fontId="0" fillId="10" borderId="14" xfId="0" applyFill="1" applyBorder="1"/>
    <xf numFmtId="0" fontId="0" fillId="10" borderId="15" xfId="0" applyFill="1" applyBorder="1" applyAlignment="1">
      <alignment horizontal="left" vertical="center" indent="1"/>
    </xf>
    <xf numFmtId="0" fontId="0" fillId="10" borderId="0" xfId="0" applyFill="1" applyBorder="1"/>
    <xf numFmtId="0" fontId="0" fillId="10" borderId="16" xfId="0" applyFill="1" applyBorder="1"/>
    <xf numFmtId="0" fontId="4" fillId="10" borderId="15" xfId="0" applyFont="1" applyFill="1" applyBorder="1" applyAlignment="1">
      <alignment horizontal="left" vertical="center" indent="1"/>
    </xf>
    <xf numFmtId="0" fontId="0" fillId="10" borderId="15" xfId="0" applyFill="1" applyBorder="1"/>
    <xf numFmtId="0" fontId="6" fillId="10" borderId="15" xfId="0" applyFont="1" applyFill="1" applyBorder="1" applyAlignment="1">
      <alignment vertical="center"/>
    </xf>
    <xf numFmtId="0" fontId="3" fillId="10" borderId="0" xfId="0" applyFont="1" applyFill="1" applyBorder="1" applyAlignment="1">
      <alignment vertical="center"/>
    </xf>
    <xf numFmtId="0" fontId="4" fillId="10" borderId="0" xfId="0" applyFont="1" applyFill="1" applyBorder="1" applyAlignment="1">
      <alignment vertical="center"/>
    </xf>
    <xf numFmtId="0" fontId="4" fillId="10" borderId="16" xfId="0" applyFont="1" applyFill="1" applyBorder="1" applyAlignment="1">
      <alignment vertical="center"/>
    </xf>
    <xf numFmtId="0" fontId="3" fillId="10" borderId="0" xfId="0" applyFont="1" applyFill="1" applyBorder="1"/>
    <xf numFmtId="0" fontId="0" fillId="10" borderId="17" xfId="0" applyFill="1" applyBorder="1"/>
    <xf numFmtId="0" fontId="0" fillId="10" borderId="18" xfId="0" applyFill="1" applyBorder="1"/>
    <xf numFmtId="0" fontId="0" fillId="10" borderId="19" xfId="0" applyFill="1" applyBorder="1"/>
    <xf numFmtId="0" fontId="7" fillId="10" borderId="15" xfId="0" applyFont="1" applyFill="1" applyBorder="1" applyAlignment="1">
      <alignment horizontal="left" vertical="center" indent="1"/>
    </xf>
    <xf numFmtId="0" fontId="9" fillId="10" borderId="0" xfId="0" applyFont="1" applyFill="1" applyBorder="1"/>
    <xf numFmtId="0" fontId="7" fillId="10" borderId="15" xfId="0" applyFont="1" applyFill="1" applyBorder="1" applyAlignment="1">
      <alignment horizontal="center" vertical="center"/>
    </xf>
    <xf numFmtId="0" fontId="7" fillId="10" borderId="0" xfId="0" applyFont="1" applyFill="1" applyBorder="1" applyAlignment="1">
      <alignment horizontal="center" vertical="center"/>
    </xf>
    <xf numFmtId="0" fontId="10" fillId="10" borderId="15" xfId="0" applyFont="1" applyFill="1" applyBorder="1" applyAlignment="1">
      <alignment horizontal="left" vertical="center" indent="1"/>
    </xf>
  </cellXfs>
  <cellStyles count="1">
    <cellStyle name="Normal" xfId="0" builtinId="0"/>
  </cellStyles>
  <dxfs count="6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[Assignment.xlsx]Q13!PivotTable3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t>Sum</a:t>
            </a:r>
            <a:r>
              <a:rPr lang="en-US" sz="1400" b="1" baseline="0"/>
              <a:t> of Payment by Course</a:t>
            </a:r>
            <a:endParaRPr lang="en-US" sz="1400" b="1"/>
          </a:p>
        </c:rich>
      </c:tx>
      <c:layout>
        <c:manualLayout>
          <c:xMode val="edge"/>
          <c:yMode val="edge"/>
          <c:x val="0.19828197945845005"/>
          <c:y val="3.74582018714774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692413914678571"/>
          <c:y val="0.32227866079074335"/>
          <c:w val="0.35933922905159243"/>
          <c:h val="0.54977296936026232"/>
        </c:manualLayout>
      </c:layout>
      <c:bar3DChart>
        <c:barDir val="bar"/>
        <c:grouping val="clustered"/>
        <c:varyColors val="0"/>
        <c:ser>
          <c:idx val="0"/>
          <c:order val="0"/>
          <c:tx>
            <c:strRef>
              <c:f>'Q13'!$P$30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'Q13'!$O$31:$O$35</c:f>
              <c:strCache>
                <c:ptCount val="4"/>
                <c:pt idx="0">
                  <c:v>Data Analytics</c:v>
                </c:pt>
                <c:pt idx="1">
                  <c:v>Data Science</c:v>
                </c:pt>
                <c:pt idx="2">
                  <c:v>Full Stack Dev</c:v>
                </c:pt>
                <c:pt idx="3">
                  <c:v>UI UX Design</c:v>
                </c:pt>
              </c:strCache>
            </c:strRef>
          </c:cat>
          <c:val>
            <c:numRef>
              <c:f>'Q13'!$P$31:$P$35</c:f>
              <c:numCache>
                <c:formatCode>General</c:formatCode>
                <c:ptCount val="4"/>
                <c:pt idx="0">
                  <c:v>3507731</c:v>
                </c:pt>
                <c:pt idx="1">
                  <c:v>3155748</c:v>
                </c:pt>
                <c:pt idx="2">
                  <c:v>4540207</c:v>
                </c:pt>
                <c:pt idx="3">
                  <c:v>2191607</c:v>
                </c:pt>
              </c:numCache>
            </c:numRef>
          </c:val>
          <c:extLst>
            <c:ext xmlns:c16="http://schemas.microsoft.com/office/drawing/2014/chart" uri="{C3380CC4-5D6E-409C-BE32-E72D297353CC}">
              <c16:uniqueId val="{00000000-DC1A-4D6F-932C-70B1DCDDE7DA}"/>
            </c:ext>
          </c:extLst>
        </c:ser>
        <c:dLbls>
          <c:showLegendKey val="0"/>
          <c:showVal val="1"/>
          <c:showCatName val="0"/>
          <c:showSerName val="0"/>
          <c:showPercent val="0"/>
          <c:showBubbleSize val="0"/>
        </c:dLbls>
        <c:gapWidth val="65"/>
        <c:shape val="box"/>
        <c:axId val="1302925951"/>
        <c:axId val="1083078991"/>
        <c:axId val="0"/>
      </c:bar3DChart>
      <c:catAx>
        <c:axId val="1302925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078991"/>
        <c:crosses val="autoZero"/>
        <c:auto val="1"/>
        <c:lblAlgn val="ctr"/>
        <c:lblOffset val="100"/>
        <c:noMultiLvlLbl val="0"/>
      </c:catAx>
      <c:valAx>
        <c:axId val="10830789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0292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[Assignment.xlsx]Q13!PivotTable4</c:name>
    <c:fmtId val="8"/>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Revenue Trend Over Time</a:t>
            </a:r>
            <a:endParaRPr lang="en-US" sz="1200"/>
          </a:p>
        </c:rich>
      </c:tx>
      <c:layout>
        <c:manualLayout>
          <c:xMode val="edge"/>
          <c:yMode val="edge"/>
          <c:x val="0.28379092416079571"/>
          <c:y val="0.10577287464735358"/>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26688769167011"/>
          <c:y val="0.29106262758821816"/>
          <c:w val="0.81010153336096147"/>
          <c:h val="0.53811424613589964"/>
        </c:manualLayout>
      </c:layout>
      <c:lineChart>
        <c:grouping val="stacked"/>
        <c:varyColors val="0"/>
        <c:ser>
          <c:idx val="0"/>
          <c:order val="0"/>
          <c:tx>
            <c:strRef>
              <c:f>'Q13'!$P$37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'Q13'!$O$38:$O$41</c:f>
              <c:strCache>
                <c:ptCount val="3"/>
                <c:pt idx="0">
                  <c:v>Jan</c:v>
                </c:pt>
                <c:pt idx="1">
                  <c:v>Feb</c:v>
                </c:pt>
                <c:pt idx="2">
                  <c:v>Mar</c:v>
                </c:pt>
              </c:strCache>
            </c:strRef>
          </c:cat>
          <c:val>
            <c:numRef>
              <c:f>'Q13'!$P$38:$P$41</c:f>
              <c:numCache>
                <c:formatCode>General</c:formatCode>
                <c:ptCount val="3"/>
                <c:pt idx="0">
                  <c:v>6584355</c:v>
                </c:pt>
                <c:pt idx="1">
                  <c:v>6606168</c:v>
                </c:pt>
                <c:pt idx="2">
                  <c:v>204770</c:v>
                </c:pt>
              </c:numCache>
            </c:numRef>
          </c:val>
          <c:smooth val="0"/>
          <c:extLst>
            <c:ext xmlns:c16="http://schemas.microsoft.com/office/drawing/2014/chart" uri="{C3380CC4-5D6E-409C-BE32-E72D297353CC}">
              <c16:uniqueId val="{00000000-3120-40FB-9930-BFBC60545332}"/>
            </c:ext>
          </c:extLst>
        </c:ser>
        <c:dLbls>
          <c:dLblPos val="t"/>
          <c:showLegendKey val="0"/>
          <c:showVal val="1"/>
          <c:showCatName val="0"/>
          <c:showSerName val="0"/>
          <c:showPercent val="0"/>
          <c:showBubbleSize val="0"/>
        </c:dLbls>
        <c:marker val="1"/>
        <c:smooth val="0"/>
        <c:axId val="1414855199"/>
        <c:axId val="1936288015"/>
      </c:lineChart>
      <c:catAx>
        <c:axId val="14148551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288015"/>
        <c:crosses val="autoZero"/>
        <c:auto val="1"/>
        <c:lblAlgn val="ctr"/>
        <c:lblOffset val="100"/>
        <c:noMultiLvlLbl val="0"/>
      </c:catAx>
      <c:valAx>
        <c:axId val="193628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8551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76199</xdr:colOff>
      <xdr:row>2</xdr:row>
      <xdr:rowOff>100013</xdr:rowOff>
    </xdr:from>
    <xdr:to>
      <xdr:col>3</xdr:col>
      <xdr:colOff>665162</xdr:colOff>
      <xdr:row>8</xdr:row>
      <xdr:rowOff>69850</xdr:rowOff>
    </xdr:to>
    <xdr:sp macro="" textlink="">
      <xdr:nvSpPr>
        <xdr:cNvPr id="2" name="Rectangle: Rounded Corners 1">
          <a:extLst>
            <a:ext uri="{FF2B5EF4-FFF2-40B4-BE49-F238E27FC236}">
              <a16:creationId xmlns:a16="http://schemas.microsoft.com/office/drawing/2014/main" id="{187D0576-B61A-7AE3-4B67-08AA2E5E4F22}"/>
            </a:ext>
          </a:extLst>
        </xdr:cNvPr>
        <xdr:cNvSpPr/>
      </xdr:nvSpPr>
      <xdr:spPr>
        <a:xfrm>
          <a:off x="862012" y="528638"/>
          <a:ext cx="2327275" cy="1065212"/>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400" b="1">
              <a:solidFill>
                <a:schemeClr val="bg2"/>
              </a:solidFill>
            </a:rPr>
            <a:t>Total Revenue</a:t>
          </a:r>
        </a:p>
      </xdr:txBody>
    </xdr:sp>
    <xdr:clientData/>
  </xdr:twoCellAnchor>
  <xdr:twoCellAnchor>
    <xdr:from>
      <xdr:col>5</xdr:col>
      <xdr:colOff>925512</xdr:colOff>
      <xdr:row>2</xdr:row>
      <xdr:rowOff>112713</xdr:rowOff>
    </xdr:from>
    <xdr:to>
      <xdr:col>8</xdr:col>
      <xdr:colOff>633412</xdr:colOff>
      <xdr:row>8</xdr:row>
      <xdr:rowOff>82550</xdr:rowOff>
    </xdr:to>
    <xdr:sp macro="" textlink="">
      <xdr:nvSpPr>
        <xdr:cNvPr id="3" name="Rectangle: Rounded Corners 2">
          <a:extLst>
            <a:ext uri="{FF2B5EF4-FFF2-40B4-BE49-F238E27FC236}">
              <a16:creationId xmlns:a16="http://schemas.microsoft.com/office/drawing/2014/main" id="{DEDD0A1F-5745-4C2F-9150-CBFC128C5913}"/>
            </a:ext>
          </a:extLst>
        </xdr:cNvPr>
        <xdr:cNvSpPr/>
      </xdr:nvSpPr>
      <xdr:spPr>
        <a:xfrm>
          <a:off x="5060950" y="541338"/>
          <a:ext cx="2517775" cy="1065212"/>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400" b="1">
              <a:solidFill>
                <a:schemeClr val="bg2"/>
              </a:solidFill>
            </a:rPr>
            <a:t>Average</a:t>
          </a:r>
          <a:r>
            <a:rPr lang="en-IN" sz="1400" b="1" baseline="0">
              <a:solidFill>
                <a:schemeClr val="bg2"/>
              </a:solidFill>
            </a:rPr>
            <a:t> Payment</a:t>
          </a:r>
          <a:endParaRPr lang="en-IN" sz="1400" b="1">
            <a:solidFill>
              <a:schemeClr val="bg2"/>
            </a:solidFill>
          </a:endParaRPr>
        </a:p>
      </xdr:txBody>
    </xdr:sp>
    <xdr:clientData/>
  </xdr:twoCellAnchor>
  <xdr:twoCellAnchor>
    <xdr:from>
      <xdr:col>10</xdr:col>
      <xdr:colOff>161925</xdr:colOff>
      <xdr:row>2</xdr:row>
      <xdr:rowOff>85725</xdr:rowOff>
    </xdr:from>
    <xdr:to>
      <xdr:col>12</xdr:col>
      <xdr:colOff>687388</xdr:colOff>
      <xdr:row>8</xdr:row>
      <xdr:rowOff>53975</xdr:rowOff>
    </xdr:to>
    <xdr:sp macro="" textlink="">
      <xdr:nvSpPr>
        <xdr:cNvPr id="4" name="Rectangle: Rounded Corners 3">
          <a:extLst>
            <a:ext uri="{FF2B5EF4-FFF2-40B4-BE49-F238E27FC236}">
              <a16:creationId xmlns:a16="http://schemas.microsoft.com/office/drawing/2014/main" id="{17E9FA44-E269-487B-8AB5-B7F4C824989A}"/>
            </a:ext>
          </a:extLst>
        </xdr:cNvPr>
        <xdr:cNvSpPr/>
      </xdr:nvSpPr>
      <xdr:spPr>
        <a:xfrm>
          <a:off x="9313863" y="514350"/>
          <a:ext cx="2573338" cy="10636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ctr"/>
          <a:r>
            <a:rPr lang="en-IN" sz="1400" b="1"/>
            <a:t>% Target Achieved</a:t>
          </a:r>
        </a:p>
      </xdr:txBody>
    </xdr:sp>
    <xdr:clientData/>
  </xdr:twoCellAnchor>
  <xdr:twoCellAnchor>
    <xdr:from>
      <xdr:col>1</xdr:col>
      <xdr:colOff>344487</xdr:colOff>
      <xdr:row>6</xdr:row>
      <xdr:rowOff>14288</xdr:rowOff>
    </xdr:from>
    <xdr:to>
      <xdr:col>3</xdr:col>
      <xdr:colOff>334963</xdr:colOff>
      <xdr:row>7</xdr:row>
      <xdr:rowOff>103187</xdr:rowOff>
    </xdr:to>
    <xdr:sp macro="" textlink="H1031">
      <xdr:nvSpPr>
        <xdr:cNvPr id="5" name="Rectangle: Rounded Corners 4">
          <a:extLst>
            <a:ext uri="{FF2B5EF4-FFF2-40B4-BE49-F238E27FC236}">
              <a16:creationId xmlns:a16="http://schemas.microsoft.com/office/drawing/2014/main" id="{8015EF61-3145-AF8D-C649-E3974879F34C}"/>
            </a:ext>
          </a:extLst>
        </xdr:cNvPr>
        <xdr:cNvSpPr/>
      </xdr:nvSpPr>
      <xdr:spPr>
        <a:xfrm>
          <a:off x="1130300" y="1173163"/>
          <a:ext cx="1728788" cy="271462"/>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239FE6-360D-430A-A6B8-56608CAA4FFF}" type="TxLink">
            <a:rPr lang="en-US" sz="1400" b="1" i="0" u="none" strike="noStrike">
              <a:solidFill>
                <a:schemeClr val="bg1"/>
              </a:solidFill>
              <a:latin typeface="Aptos Narrow"/>
            </a:rPr>
            <a:pPr algn="ctr"/>
            <a:t>₹ 1,32,27,363</a:t>
          </a:fld>
          <a:endParaRPr lang="en-IN" sz="1400" b="1">
            <a:solidFill>
              <a:schemeClr val="bg1"/>
            </a:solidFill>
          </a:endParaRPr>
        </a:p>
      </xdr:txBody>
    </xdr:sp>
    <xdr:clientData/>
  </xdr:twoCellAnchor>
  <xdr:twoCellAnchor>
    <xdr:from>
      <xdr:col>6</xdr:col>
      <xdr:colOff>304800</xdr:colOff>
      <xdr:row>6</xdr:row>
      <xdr:rowOff>104776</xdr:rowOff>
    </xdr:from>
    <xdr:to>
      <xdr:col>8</xdr:col>
      <xdr:colOff>309562</xdr:colOff>
      <xdr:row>8</xdr:row>
      <xdr:rowOff>11113</xdr:rowOff>
    </xdr:to>
    <xdr:sp macro="" textlink="H1032">
      <xdr:nvSpPr>
        <xdr:cNvPr id="6" name="Rectangle: Rounded Corners 5">
          <a:extLst>
            <a:ext uri="{FF2B5EF4-FFF2-40B4-BE49-F238E27FC236}">
              <a16:creationId xmlns:a16="http://schemas.microsoft.com/office/drawing/2014/main" id="{08FAF756-D766-4797-8720-3165165CA83B}"/>
            </a:ext>
          </a:extLst>
        </xdr:cNvPr>
        <xdr:cNvSpPr/>
      </xdr:nvSpPr>
      <xdr:spPr>
        <a:xfrm>
          <a:off x="5384800" y="1263651"/>
          <a:ext cx="1870075" cy="271462"/>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4EA3E6-FB89-4485-B4C9-E10D4ED388F6}" type="TxLink">
            <a:rPr lang="en-US" sz="1400" b="1" i="0" u="none" strike="noStrike">
              <a:solidFill>
                <a:schemeClr val="bg1"/>
              </a:solidFill>
              <a:latin typeface="Aptos Narrow"/>
            </a:rPr>
            <a:pPr algn="ctr"/>
            <a:t>₹ 13,402</a:t>
          </a:fld>
          <a:endParaRPr lang="en-IN" sz="1400" b="1">
            <a:solidFill>
              <a:schemeClr val="bg1"/>
            </a:solidFill>
          </a:endParaRPr>
        </a:p>
      </xdr:txBody>
    </xdr:sp>
    <xdr:clientData/>
  </xdr:twoCellAnchor>
  <xdr:twoCellAnchor>
    <xdr:from>
      <xdr:col>10</xdr:col>
      <xdr:colOff>482599</xdr:colOff>
      <xdr:row>5</xdr:row>
      <xdr:rowOff>168275</xdr:rowOff>
    </xdr:from>
    <xdr:to>
      <xdr:col>12</xdr:col>
      <xdr:colOff>411162</xdr:colOff>
      <xdr:row>7</xdr:row>
      <xdr:rowOff>74612</xdr:rowOff>
    </xdr:to>
    <xdr:sp macro="" textlink="M1031">
      <xdr:nvSpPr>
        <xdr:cNvPr id="7" name="Rectangle: Rounded Corners 6">
          <a:extLst>
            <a:ext uri="{FF2B5EF4-FFF2-40B4-BE49-F238E27FC236}">
              <a16:creationId xmlns:a16="http://schemas.microsoft.com/office/drawing/2014/main" id="{E878BB02-2DB7-4BE1-909A-E9BE8BDCC928}"/>
            </a:ext>
          </a:extLst>
        </xdr:cNvPr>
        <xdr:cNvSpPr/>
      </xdr:nvSpPr>
      <xdr:spPr>
        <a:xfrm>
          <a:off x="9634537" y="1144588"/>
          <a:ext cx="1976438" cy="271462"/>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967B6F-940A-4047-95BE-F3819D7F038E}" type="TxLink">
            <a:rPr lang="en-US" sz="1400" b="1" i="0" u="none" strike="noStrike">
              <a:solidFill>
                <a:schemeClr val="bg1"/>
              </a:solidFill>
              <a:latin typeface="Aptos Narrow"/>
            </a:rPr>
            <a:pPr algn="ctr"/>
            <a:t>52%</a:t>
          </a:fld>
          <a:endParaRPr lang="en-IN" sz="1400" b="1">
            <a:solidFill>
              <a:schemeClr val="bg1"/>
            </a:solidFill>
          </a:endParaRPr>
        </a:p>
      </xdr:txBody>
    </xdr:sp>
    <xdr:clientData/>
  </xdr:twoCellAnchor>
  <xdr:twoCellAnchor>
    <xdr:from>
      <xdr:col>0</xdr:col>
      <xdr:colOff>754063</xdr:colOff>
      <xdr:row>10</xdr:row>
      <xdr:rowOff>157163</xdr:rowOff>
    </xdr:from>
    <xdr:to>
      <xdr:col>5</xdr:col>
      <xdr:colOff>19050</xdr:colOff>
      <xdr:row>23</xdr:row>
      <xdr:rowOff>157162</xdr:rowOff>
    </xdr:to>
    <xdr:graphicFrame macro="">
      <xdr:nvGraphicFramePr>
        <xdr:cNvPr id="8" name="Chart 7">
          <a:extLst>
            <a:ext uri="{FF2B5EF4-FFF2-40B4-BE49-F238E27FC236}">
              <a16:creationId xmlns:a16="http://schemas.microsoft.com/office/drawing/2014/main" id="{B656E58E-DAB5-AB7B-CE92-D33BE18A8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557212</xdr:colOff>
      <xdr:row>11</xdr:row>
      <xdr:rowOff>15875</xdr:rowOff>
    </xdr:from>
    <xdr:to>
      <xdr:col>9</xdr:col>
      <xdr:colOff>571500</xdr:colOff>
      <xdr:row>23</xdr:row>
      <xdr:rowOff>179387</xdr:rowOff>
    </xdr:to>
    <xdr:graphicFrame macro="">
      <xdr:nvGraphicFramePr>
        <xdr:cNvPr id="10" name="Chart 9">
          <a:extLst>
            <a:ext uri="{FF2B5EF4-FFF2-40B4-BE49-F238E27FC236}">
              <a16:creationId xmlns:a16="http://schemas.microsoft.com/office/drawing/2014/main" id="{745DEF69-6C7D-5E13-C39A-B1C963258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801687</xdr:colOff>
      <xdr:row>11</xdr:row>
      <xdr:rowOff>15875</xdr:rowOff>
    </xdr:from>
    <xdr:to>
      <xdr:col>11</xdr:col>
      <xdr:colOff>392112</xdr:colOff>
      <xdr:row>19</xdr:row>
      <xdr:rowOff>34925</xdr:rowOff>
    </xdr:to>
    <mc:AlternateContent xmlns:mc="http://schemas.openxmlformats.org/markup-compatibility/2006">
      <mc:Choice xmlns:a14="http://schemas.microsoft.com/office/drawing/2010/main" Requires="a14">
        <xdr:graphicFrame macro="">
          <xdr:nvGraphicFramePr>
            <xdr:cNvPr id="14" name="CourseName">
              <a:extLst>
                <a:ext uri="{FF2B5EF4-FFF2-40B4-BE49-F238E27FC236}">
                  <a16:creationId xmlns:a16="http://schemas.microsoft.com/office/drawing/2014/main" id="{83CA9B13-9EB4-458B-9259-D853633F83CA}"/>
                </a:ext>
              </a:extLst>
            </xdr:cNvPr>
            <xdr:cNvGraphicFramePr/>
          </xdr:nvGraphicFramePr>
          <xdr:xfrm>
            <a:off x="0" y="0"/>
            <a:ext cx="0" cy="0"/>
          </xdr:xfrm>
          <a:graphic>
            <a:graphicData uri="http://schemas.microsoft.com/office/drawing/2010/slicer">
              <sle:slicer xmlns:sle="http://schemas.microsoft.com/office/drawing/2010/slicer" name="CourseName"/>
            </a:graphicData>
          </a:graphic>
        </xdr:graphicFrame>
      </mc:Choice>
      <mc:Fallback>
        <xdr:sp macro="" textlink="">
          <xdr:nvSpPr>
            <xdr:cNvPr id="0" name=""/>
            <xdr:cNvSpPr>
              <a:spLocks noTextEdit="1"/>
            </xdr:cNvSpPr>
          </xdr:nvSpPr>
          <xdr:spPr>
            <a:xfrm>
              <a:off x="8778875" y="2087563"/>
              <a:ext cx="1828800" cy="147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511175</xdr:colOff>
      <xdr:row>10</xdr:row>
      <xdr:rowOff>163513</xdr:rowOff>
    </xdr:from>
    <xdr:to>
      <xdr:col>12</xdr:col>
      <xdr:colOff>1358900</xdr:colOff>
      <xdr:row>17</xdr:row>
      <xdr:rowOff>69850</xdr:rowOff>
    </xdr:to>
    <mc:AlternateContent xmlns:mc="http://schemas.openxmlformats.org/markup-compatibility/2006">
      <mc:Choice xmlns:a14="http://schemas.microsoft.com/office/drawing/2010/main" Requires="a14">
        <xdr:graphicFrame macro="">
          <xdr:nvGraphicFramePr>
            <xdr:cNvPr id="15" name="MentorName">
              <a:extLst>
                <a:ext uri="{FF2B5EF4-FFF2-40B4-BE49-F238E27FC236}">
                  <a16:creationId xmlns:a16="http://schemas.microsoft.com/office/drawing/2014/main" id="{1A1D6456-2BF1-4AC1-B6D5-07CABC90CD33}"/>
                </a:ext>
              </a:extLst>
            </xdr:cNvPr>
            <xdr:cNvGraphicFramePr/>
          </xdr:nvGraphicFramePr>
          <xdr:xfrm>
            <a:off x="0" y="0"/>
            <a:ext cx="0" cy="0"/>
          </xdr:xfrm>
          <a:graphic>
            <a:graphicData uri="http://schemas.microsoft.com/office/drawing/2010/slicer">
              <sle:slicer xmlns:sle="http://schemas.microsoft.com/office/drawing/2010/slicer" name="MentorName"/>
            </a:graphicData>
          </a:graphic>
        </xdr:graphicFrame>
      </mc:Choice>
      <mc:Fallback>
        <xdr:sp macro="" textlink="">
          <xdr:nvSpPr>
            <xdr:cNvPr id="0" name=""/>
            <xdr:cNvSpPr>
              <a:spLocks noTextEdit="1"/>
            </xdr:cNvSpPr>
          </xdr:nvSpPr>
          <xdr:spPr>
            <a:xfrm>
              <a:off x="10726738" y="2052638"/>
              <a:ext cx="1831975" cy="1184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506413</xdr:colOff>
      <xdr:row>18</xdr:row>
      <xdr:rowOff>12700</xdr:rowOff>
    </xdr:from>
    <xdr:to>
      <xdr:col>12</xdr:col>
      <xdr:colOff>1354138</xdr:colOff>
      <xdr:row>24</xdr:row>
      <xdr:rowOff>120650</xdr:rowOff>
    </xdr:to>
    <mc:AlternateContent xmlns:mc="http://schemas.openxmlformats.org/markup-compatibility/2006">
      <mc:Choice xmlns:a14="http://schemas.microsoft.com/office/drawing/2010/main" Requires="a14">
        <xdr:graphicFrame macro="">
          <xdr:nvGraphicFramePr>
            <xdr:cNvPr id="16" name="Platform">
              <a:extLst>
                <a:ext uri="{FF2B5EF4-FFF2-40B4-BE49-F238E27FC236}">
                  <a16:creationId xmlns:a16="http://schemas.microsoft.com/office/drawing/2014/main" id="{5F992164-86B2-4C8E-8C33-98C2D504E38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0721976" y="3362325"/>
              <a:ext cx="1831975" cy="120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Adarsh" refreshedDate="46315.612671759256" createdVersion="8" refreshedVersion="8" minRefreshableVersion="3" recordCount="1000" xr:uid="{1AFE8E22-9133-48B2-AE25-75E5B4A419BA}">
  <cacheSource type="worksheet">
    <worksheetSource name="Table2"/>
  </cacheSource>
  <cacheFields count="12">
    <cacheField name="StudentID" numFmtId="0">
      <sharedItems/>
    </cacheField>
    <cacheField name="StudentName" numFmtId="0">
      <sharedItems/>
    </cacheField>
    <cacheField name="CourseID" numFmtId="0">
      <sharedItems/>
    </cacheField>
    <cacheField name="CourseName" numFmtId="0">
      <sharedItems count="4">
        <s v="Data Analytics"/>
        <s v="Full Stack Dev"/>
        <s v="Data Science"/>
        <s v="UI UX Design"/>
      </sharedItems>
    </cacheField>
    <cacheField name="BatchID" numFmtId="0">
      <sharedItems/>
    </cacheField>
    <cacheField name="MentorName" numFmtId="0">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Adarsh" refreshedDate="46315.630425115742" createdVersion="8" refreshedVersion="8" minRefreshableVersion="3" recordCount="1000" xr:uid="{3AA94B80-B7E8-4D57-A834-803B489B59D7}">
  <cacheSource type="worksheet">
    <worksheetSource name="Table3"/>
  </cacheSource>
  <cacheFields count="13">
    <cacheField name="StudentID" numFmtId="0">
      <sharedItems/>
    </cacheField>
    <cacheField name="StudentName" numFmtId="0">
      <sharedItems/>
    </cacheField>
    <cacheField name="CourseID" numFmtId="0">
      <sharedItems/>
    </cacheField>
    <cacheField name="CourseName" numFmtId="0">
      <sharedItems/>
    </cacheField>
    <cacheField name="BatchID" numFmtId="0">
      <sharedItems/>
    </cacheField>
    <cacheField name="MentorName" numFmtId="0">
      <sharedItems/>
    </cacheField>
    <cacheField name="Platform" numFmtId="0">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acheField>
    <cacheField name="Net Revenue" numFmtId="0" formula="PaymentAmount * (1 -DiscountPercent )"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ghAdarsh" refreshedDate="46315.802858449075" createdVersion="8" refreshedVersion="8" minRefreshableVersion="3" recordCount="1000" xr:uid="{08A2D1BE-8BAA-449C-9817-D21A5AA30ED1}">
  <cacheSource type="worksheet">
    <worksheetSource name="Table4"/>
  </cacheSource>
  <cacheFields count="15">
    <cacheField name="StudentID" numFmtId="0">
      <sharedItems/>
    </cacheField>
    <cacheField name="StudentName" numFmtId="0">
      <sharedItems/>
    </cacheField>
    <cacheField name="CourseID" numFmtId="0">
      <sharedItems/>
    </cacheField>
    <cacheField name="CourseName" numFmtId="0">
      <sharedItems count="4">
        <s v="Data Analytics"/>
        <s v="Full Stack Dev"/>
        <s v="Data Science"/>
        <s v="UI UX Design"/>
      </sharedItems>
    </cacheField>
    <cacheField name="BatchID" numFmtId="0">
      <sharedItems/>
    </cacheField>
    <cacheField name="MentorName" numFmtId="0">
      <sharedItems count="3">
        <s v="Priya"/>
        <s v="Saurabh"/>
        <s v="Amit"/>
      </sharedItems>
    </cacheField>
    <cacheField name="Platform" numFmtId="0">
      <sharedItems count="3">
        <s v="Web"/>
        <s v="Tablet"/>
        <s v="Mobile"/>
      </sharedItems>
    </cacheField>
    <cacheField name="PaymentAmount" numFmtId="0">
      <sharedItems containsSemiMixedTypes="0" containsString="0" containsNumber="1" containsInteger="1" minValue="7015" maxValue="18991"/>
    </cacheField>
    <cacheField name="DiscountCode" numFmtId="0">
      <sharedItems containsBlank="1"/>
    </cacheField>
    <cacheField name="DiscountPercent" numFmtId="0">
      <sharedItems containsString="0" containsBlank="1" containsNumber="1" minValue="0.1" maxValue="0.3"/>
    </cacheField>
    <cacheField name="TargetRevenue" numFmtId="0">
      <sharedItems containsSemiMixedTypes="0" containsString="0" containsNumber="1" containsInteger="1" minValue="9000" maxValue="17000"/>
    </cacheField>
    <cacheField name="PaymentDate" numFmtId="14">
      <sharedItems containsSemiMixedTypes="0" containsNonDate="0" containsDate="1" containsString="0" minDate="2024-01-01T00:00:00" maxDate="2024-03-02T00:00:00" count="61">
        <d v="2024-02-17T00:00:00"/>
        <d v="2024-01-14T00:00:00"/>
        <d v="2024-01-27T00:00:00"/>
        <d v="2024-01-18T00:00:00"/>
        <d v="2024-02-24T00:00:00"/>
        <d v="2024-02-29T00:00:00"/>
        <d v="2024-02-15T00:00:00"/>
        <d v="2024-01-25T00:00:00"/>
        <d v="2024-02-14T00:00:00"/>
        <d v="2024-01-11T00:00:00"/>
        <d v="2024-02-23T00:00:00"/>
        <d v="2024-01-05T00:00:00"/>
        <d v="2024-01-10T00:00:00"/>
        <d v="2024-01-28T00:00:00"/>
        <d v="2024-01-06T00:00:00"/>
        <d v="2024-02-08T00:00:00"/>
        <d v="2024-02-25T00:00:00"/>
        <d v="2024-01-08T00:00:00"/>
        <d v="2024-02-02T00:00:00"/>
        <d v="2024-01-13T00:00:00"/>
        <d v="2024-02-01T00:00:00"/>
        <d v="2024-03-01T00:00:00"/>
        <d v="2024-01-29T00:00:00"/>
        <d v="2024-01-02T00:00:00"/>
        <d v="2024-01-15T00:00:00"/>
        <d v="2024-01-07T00:00:00"/>
        <d v="2024-02-13T00:00:00"/>
        <d v="2024-01-16T00:00:00"/>
        <d v="2024-01-19T00:00:00"/>
        <d v="2024-02-07T00:00:00"/>
        <d v="2024-01-31T00:00:00"/>
        <d v="2024-01-21T00:00:00"/>
        <d v="2024-01-26T00:00:00"/>
        <d v="2024-02-09T00:00:00"/>
        <d v="2024-01-03T00:00:00"/>
        <d v="2024-02-05T00:00:00"/>
        <d v="2024-02-04T00:00:00"/>
        <d v="2024-01-23T00:00:00"/>
        <d v="2024-02-20T00:00:00"/>
        <d v="2024-02-22T00:00:00"/>
        <d v="2024-01-22T00:00:00"/>
        <d v="2024-01-17T00:00:00"/>
        <d v="2024-02-03T00:00:00"/>
        <d v="2024-02-26T00:00:00"/>
        <d v="2024-01-30T00:00:00"/>
        <d v="2024-02-12T00:00:00"/>
        <d v="2024-02-18T00:00:00"/>
        <d v="2024-01-20T00:00:00"/>
        <d v="2024-02-27T00:00:00"/>
        <d v="2024-02-11T00:00:00"/>
        <d v="2024-02-21T00:00:00"/>
        <d v="2024-01-24T00:00:00"/>
        <d v="2024-02-06T00:00:00"/>
        <d v="2024-01-12T00:00:00"/>
        <d v="2024-01-01T00:00:00"/>
        <d v="2024-01-04T00:00:00"/>
        <d v="2024-02-10T00:00:00"/>
        <d v="2024-02-19T00:00:00"/>
        <d v="2024-02-28T00:00:00"/>
        <d v="2024-01-09T00:00:00"/>
        <d v="2024-02-16T00:00:00"/>
      </sharedItems>
      <fieldGroup par="14"/>
    </cacheField>
    <cacheField name="Performance Status" numFmtId="0">
      <sharedItems/>
    </cacheField>
    <cacheField name="Days (PaymentDate)" numFmtId="0" databaseField="0">
      <fieldGroup base="11">
        <rangePr groupBy="days" startDate="2024-01-01T00:00:00" endDate="2024-03-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4"/>
        </groupItems>
      </fieldGroup>
    </cacheField>
    <cacheField name="Months (PaymentDate)" numFmtId="0" databaseField="0">
      <fieldGroup base="11">
        <rangePr groupBy="months" startDate="2024-01-01T00:00:00" endDate="2024-03-02T00:00:00"/>
        <groupItems count="14">
          <s v="&lt;01-01-2024"/>
          <s v="Jan"/>
          <s v="Feb"/>
          <s v="Mar"/>
          <s v="Apr"/>
          <s v="May"/>
          <s v="Jun"/>
          <s v="Jul"/>
          <s v="Aug"/>
          <s v="Sep"/>
          <s v="Oct"/>
          <s v="Nov"/>
          <s v="Dec"/>
          <s v="&gt;02-03-2024"/>
        </groupItems>
      </fieldGroup>
    </cacheField>
  </cacheFields>
  <extLst>
    <ext xmlns:x14="http://schemas.microsoft.com/office/spreadsheetml/2009/9/main" uri="{725AE2AE-9491-48be-B2B4-4EB974FC3084}">
      <x14:pivotCacheDefinition pivotCacheId="1649432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s v="B3"/>
    <s v="Priya"/>
    <x v="0"/>
    <n v="12914"/>
    <s v="DISC20"/>
    <n v="0.2"/>
    <n v="14000"/>
    <d v="2024-02-17T00:00:00"/>
  </r>
  <r>
    <s v="S1001"/>
    <s v="Riya Singh"/>
    <s v="C201"/>
    <x v="0"/>
    <s v="B3"/>
    <s v="Priya"/>
    <x v="0"/>
    <n v="12122"/>
    <s v="DISC10"/>
    <n v="0.1"/>
    <n v="14000"/>
    <d v="2024-01-14T00:00:00"/>
  </r>
  <r>
    <s v="S1002"/>
    <s v="Sneha Gupta"/>
    <s v="C201"/>
    <x v="0"/>
    <s v="B3"/>
    <s v="Saurabh"/>
    <x v="1"/>
    <n v="14661"/>
    <s v="DISC15"/>
    <m/>
    <n v="14000"/>
    <d v="2024-01-27T00:00:00"/>
  </r>
  <r>
    <s v="S1003"/>
    <s v="Sneha Iyer"/>
    <s v="C203"/>
    <x v="1"/>
    <s v="B1"/>
    <s v="Saurabh"/>
    <x v="1"/>
    <n v="16731"/>
    <s v="DISC30"/>
    <n v="0.3"/>
    <n v="17000"/>
    <d v="2024-01-18T00:00:00"/>
  </r>
  <r>
    <s v="S1004"/>
    <s v="Karan Patil"/>
    <s v="C203"/>
    <x v="1"/>
    <s v="B1"/>
    <s v="Saurabh"/>
    <x v="2"/>
    <n v="15396"/>
    <s v="DISC30"/>
    <n v="0.3"/>
    <n v="17000"/>
    <d v="2024-02-24T00:00:00"/>
  </r>
  <r>
    <s v="S1005"/>
    <s v="Pooja Joshi"/>
    <s v="C203"/>
    <x v="1"/>
    <s v="B1"/>
    <s v="Amit"/>
    <x v="2"/>
    <n v="17196"/>
    <s v="DISC10"/>
    <n v="0.1"/>
    <n v="17000"/>
    <d v="2024-02-29T00:00:00"/>
  </r>
  <r>
    <s v="S1006"/>
    <s v="Rahul Shah"/>
    <s v="C203"/>
    <x v="1"/>
    <s v="B3"/>
    <s v="Amit"/>
    <x v="2"/>
    <n v="17364"/>
    <s v="DISC20"/>
    <n v="0.2"/>
    <n v="17000"/>
    <d v="2024-02-15T00:00:00"/>
  </r>
  <r>
    <s v="S1007"/>
    <s v="Riya Kulkarni"/>
    <s v="C202"/>
    <x v="2"/>
    <s v="B2"/>
    <s v="Saurabh"/>
    <x v="0"/>
    <n v="14549"/>
    <s v="DISC10"/>
    <n v="0.1"/>
    <n v="13000"/>
    <d v="2024-01-25T00:00:00"/>
  </r>
  <r>
    <s v="S1008"/>
    <s v="Aditya Iyer"/>
    <s v="C203"/>
    <x v="1"/>
    <s v="B1"/>
    <s v="Priya"/>
    <x v="2"/>
    <n v="15858"/>
    <s v="DISC30"/>
    <n v="0.3"/>
    <n v="17000"/>
    <d v="2024-02-14T00:00:00"/>
  </r>
  <r>
    <s v="S1009"/>
    <s v="Kunal Singh"/>
    <s v="C201"/>
    <x v="0"/>
    <s v="B3"/>
    <s v="Amit"/>
    <x v="0"/>
    <n v="14187"/>
    <s v="DISC20"/>
    <n v="0.2"/>
    <n v="14000"/>
    <d v="2024-01-11T00:00:00"/>
  </r>
  <r>
    <s v="S1010"/>
    <s v="Neha Verma"/>
    <s v="C203"/>
    <x v="1"/>
    <s v="B3"/>
    <s v="Amit"/>
    <x v="1"/>
    <n v="15899"/>
    <s v="DISC30"/>
    <n v="0.3"/>
    <n v="17000"/>
    <d v="2024-02-23T00:00:00"/>
  </r>
  <r>
    <s v="S1011"/>
    <s v="Dev Patel"/>
    <s v="C201"/>
    <x v="0"/>
    <s v="B1"/>
    <s v="Saurabh"/>
    <x v="2"/>
    <n v="13643"/>
    <s v="DISC30"/>
    <n v="0.3"/>
    <n v="14000"/>
    <d v="2024-01-05T00:00:00"/>
  </r>
  <r>
    <s v="S1012"/>
    <s v="Sneha Joshi"/>
    <s v="C203"/>
    <x v="1"/>
    <s v="B1"/>
    <s v="Amit"/>
    <x v="2"/>
    <n v="16620"/>
    <m/>
    <m/>
    <n v="17000"/>
    <d v="2024-01-10T00:00:00"/>
  </r>
  <r>
    <s v="S1013"/>
    <s v="Aditya Mehta"/>
    <s v="C202"/>
    <x v="2"/>
    <s v="B3"/>
    <s v="Amit"/>
    <x v="1"/>
    <n v="12076"/>
    <s v="DISC15"/>
    <m/>
    <n v="13000"/>
    <d v="2024-01-28T00:00:00"/>
  </r>
  <r>
    <s v="S1014"/>
    <s v="Kunal Joshi"/>
    <s v="C204"/>
    <x v="3"/>
    <s v="B2"/>
    <s v="Saurabh"/>
    <x v="0"/>
    <n v="9087"/>
    <m/>
    <m/>
    <n v="9000"/>
    <d v="2024-01-06T00:00:00"/>
  </r>
  <r>
    <s v="S1015"/>
    <s v="Dev Kulkarni"/>
    <s v="C201"/>
    <x v="0"/>
    <s v="B1"/>
    <s v="Amit"/>
    <x v="0"/>
    <n v="15244"/>
    <m/>
    <m/>
    <n v="14000"/>
    <d v="2024-02-08T00:00:00"/>
  </r>
  <r>
    <s v="S1016"/>
    <s v="Riya Verma"/>
    <s v="C204"/>
    <x v="3"/>
    <s v="B3"/>
    <s v="Priya"/>
    <x v="1"/>
    <n v="8029"/>
    <s v="DISC15"/>
    <m/>
    <n v="9000"/>
    <d v="2024-02-25T00:00:00"/>
  </r>
  <r>
    <s v="S1017"/>
    <s v="Aarav Singh"/>
    <s v="C201"/>
    <x v="0"/>
    <s v="B3"/>
    <s v="Amit"/>
    <x v="2"/>
    <n v="15148"/>
    <s v="DISC30"/>
    <n v="0.3"/>
    <n v="14000"/>
    <d v="2024-01-08T00:00:00"/>
  </r>
  <r>
    <s v="S1018"/>
    <s v="Aditya Verma"/>
    <s v="C202"/>
    <x v="2"/>
    <s v="B2"/>
    <s v="Saurabh"/>
    <x v="1"/>
    <n v="14587"/>
    <s v="DISC30"/>
    <n v="0.3"/>
    <n v="13000"/>
    <d v="2024-02-02T00:00:00"/>
  </r>
  <r>
    <s v="S1019"/>
    <s v="Dev Mehta"/>
    <s v="C201"/>
    <x v="0"/>
    <s v="B3"/>
    <s v="Priya"/>
    <x v="1"/>
    <n v="14079"/>
    <s v="DISC15"/>
    <m/>
    <n v="14000"/>
    <d v="2024-01-13T00:00:00"/>
  </r>
  <r>
    <s v="S1020"/>
    <s v="Karan Jain"/>
    <s v="C202"/>
    <x v="2"/>
    <s v="B3"/>
    <s v="Amit"/>
    <x v="0"/>
    <n v="13453"/>
    <s v="DISC30"/>
    <n v="0.3"/>
    <n v="13000"/>
    <d v="2024-02-01T00:00:00"/>
  </r>
  <r>
    <s v="S1021"/>
    <s v="Aarav Shah"/>
    <s v="C203"/>
    <x v="1"/>
    <s v="B2"/>
    <s v="Saurabh"/>
    <x v="0"/>
    <n v="15986"/>
    <s v="DISC15"/>
    <m/>
    <n v="17000"/>
    <d v="2024-03-01T00:00:00"/>
  </r>
  <r>
    <s v="S1022"/>
    <s v="Riya Shah"/>
    <s v="C204"/>
    <x v="3"/>
    <s v="B1"/>
    <s v="Amit"/>
    <x v="0"/>
    <n v="7525"/>
    <m/>
    <m/>
    <n v="9000"/>
    <d v="2024-03-01T00:00:00"/>
  </r>
  <r>
    <s v="S1023"/>
    <s v="Manish Mehta"/>
    <s v="C203"/>
    <x v="1"/>
    <s v="B3"/>
    <s v="Amit"/>
    <x v="2"/>
    <n v="18950"/>
    <s v="DISC20"/>
    <n v="0.2"/>
    <n v="17000"/>
    <d v="2024-02-29T00:00:00"/>
  </r>
  <r>
    <s v="S1024"/>
    <s v="Manish Patel"/>
    <s v="C202"/>
    <x v="2"/>
    <s v="B3"/>
    <s v="Priya"/>
    <x v="2"/>
    <n v="13751"/>
    <s v="DISC30"/>
    <n v="0.3"/>
    <n v="13000"/>
    <d v="2024-01-29T00:00:00"/>
  </r>
  <r>
    <s v="S1025"/>
    <s v="Kunal Gupta"/>
    <s v="C204"/>
    <x v="3"/>
    <s v="B1"/>
    <s v="Saurabh"/>
    <x v="0"/>
    <n v="7262"/>
    <s v="DISC30"/>
    <n v="0.3"/>
    <n v="9000"/>
    <d v="2024-01-02T00:00:00"/>
  </r>
  <r>
    <s v="S1026"/>
    <s v="Kavita Gupta"/>
    <s v="C202"/>
    <x v="2"/>
    <s v="B3"/>
    <s v="Saurabh"/>
    <x v="0"/>
    <n v="11290"/>
    <s v="DISC10"/>
    <n v="0.1"/>
    <n v="13000"/>
    <d v="2024-01-15T00:00:00"/>
  </r>
  <r>
    <s v="S1027"/>
    <s v="Riya Kulkarni"/>
    <s v="C203"/>
    <x v="1"/>
    <s v="B1"/>
    <s v="Amit"/>
    <x v="0"/>
    <n v="16140"/>
    <m/>
    <m/>
    <n v="17000"/>
    <d v="2024-01-14T00:00:00"/>
  </r>
  <r>
    <s v="S1028"/>
    <s v="Manish Mehta"/>
    <s v="C204"/>
    <x v="3"/>
    <s v="B1"/>
    <s v="Priya"/>
    <x v="2"/>
    <n v="7779"/>
    <s v="DISC10"/>
    <n v="0.1"/>
    <n v="9000"/>
    <d v="2024-01-07T00:00:00"/>
  </r>
  <r>
    <s v="S1029"/>
    <s v="Rohit Verma"/>
    <s v="C203"/>
    <x v="1"/>
    <s v="B2"/>
    <s v="Priya"/>
    <x v="2"/>
    <n v="18538"/>
    <s v="DISC10"/>
    <n v="0.1"/>
    <n v="17000"/>
    <d v="2024-02-13T00:00:00"/>
  </r>
  <r>
    <s v="S1030"/>
    <s v="Rohit Singh"/>
    <s v="C201"/>
    <x v="0"/>
    <s v="B1"/>
    <s v="Priya"/>
    <x v="1"/>
    <n v="13389"/>
    <s v="DISC10"/>
    <n v="0.1"/>
    <n v="14000"/>
    <d v="2024-01-16T00:00:00"/>
  </r>
  <r>
    <s v="S1031"/>
    <s v="Sneha Patil"/>
    <s v="C204"/>
    <x v="3"/>
    <s v="B1"/>
    <s v="Priya"/>
    <x v="0"/>
    <n v="8140"/>
    <m/>
    <m/>
    <n v="9000"/>
    <d v="2024-01-16T00:00:00"/>
  </r>
  <r>
    <s v="S1032"/>
    <s v="Meera Shah"/>
    <s v="C204"/>
    <x v="3"/>
    <s v="B3"/>
    <s v="Saurabh"/>
    <x v="0"/>
    <n v="9671"/>
    <s v="DISC15"/>
    <m/>
    <n v="9000"/>
    <d v="2024-02-23T00:00:00"/>
  </r>
  <r>
    <s v="S1033"/>
    <s v="Aarav Shah"/>
    <s v="C202"/>
    <x v="2"/>
    <s v="B1"/>
    <s v="Priya"/>
    <x v="2"/>
    <n v="12971"/>
    <s v="DISC20"/>
    <n v="0.2"/>
    <n v="13000"/>
    <d v="2024-02-25T00:00:00"/>
  </r>
  <r>
    <s v="S1034"/>
    <s v="Rahul Kulkarni"/>
    <s v="C202"/>
    <x v="2"/>
    <s v="B2"/>
    <s v="Saurabh"/>
    <x v="2"/>
    <n v="12086"/>
    <m/>
    <m/>
    <n v="13000"/>
    <d v="2024-01-19T00:00:00"/>
  </r>
  <r>
    <s v="S1035"/>
    <s v="Rahul Desai"/>
    <s v="C204"/>
    <x v="3"/>
    <s v="B1"/>
    <s v="Saurabh"/>
    <x v="2"/>
    <n v="7891"/>
    <s v="DISC10"/>
    <n v="0.1"/>
    <n v="9000"/>
    <d v="2024-02-07T00:00:00"/>
  </r>
  <r>
    <s v="S1036"/>
    <s v="Anjali Gupta"/>
    <s v="C201"/>
    <x v="0"/>
    <s v="B3"/>
    <s v="Priya"/>
    <x v="0"/>
    <n v="12205"/>
    <s v="DISC15"/>
    <m/>
    <n v="14000"/>
    <d v="2024-01-31T00:00:00"/>
  </r>
  <r>
    <s v="S1037"/>
    <s v="Manish Nair"/>
    <s v="C202"/>
    <x v="2"/>
    <s v="B1"/>
    <s v="Amit"/>
    <x v="0"/>
    <n v="14487"/>
    <s v="DISC20"/>
    <n v="0.2"/>
    <n v="13000"/>
    <d v="2024-01-05T00:00:00"/>
  </r>
  <r>
    <s v="S1038"/>
    <s v="Kavita Shah"/>
    <s v="C202"/>
    <x v="2"/>
    <s v="B2"/>
    <s v="Saurabh"/>
    <x v="1"/>
    <n v="12008"/>
    <s v="DISC15"/>
    <m/>
    <n v="13000"/>
    <d v="2024-02-08T00:00:00"/>
  </r>
  <r>
    <s v="S1039"/>
    <s v="Aarav Joshi"/>
    <s v="C201"/>
    <x v="0"/>
    <s v="B2"/>
    <s v="Amit"/>
    <x v="1"/>
    <n v="14315"/>
    <s v="DISC15"/>
    <m/>
    <n v="14000"/>
    <d v="2024-01-21T00:00:00"/>
  </r>
  <r>
    <s v="S1040"/>
    <s v="Kunal Rao"/>
    <s v="C202"/>
    <x v="2"/>
    <s v="B3"/>
    <s v="Amit"/>
    <x v="2"/>
    <n v="11977"/>
    <s v="DISC30"/>
    <n v="0.3"/>
    <n v="13000"/>
    <d v="2024-01-26T00:00:00"/>
  </r>
  <r>
    <s v="S1041"/>
    <s v="Karan Singh"/>
    <s v="C203"/>
    <x v="1"/>
    <s v="B2"/>
    <s v="Priya"/>
    <x v="0"/>
    <n v="15038"/>
    <m/>
    <m/>
    <n v="17000"/>
    <d v="2024-02-09T00:00:00"/>
  </r>
  <r>
    <s v="S1042"/>
    <s v="Kavita Shah"/>
    <s v="C201"/>
    <x v="0"/>
    <s v="B3"/>
    <s v="Saurabh"/>
    <x v="1"/>
    <n v="13086"/>
    <s v="DISC20"/>
    <n v="0.2"/>
    <n v="14000"/>
    <d v="2024-02-29T00:00:00"/>
  </r>
  <r>
    <s v="S1043"/>
    <s v="Pooja Shah"/>
    <s v="C202"/>
    <x v="2"/>
    <s v="B2"/>
    <s v="Priya"/>
    <x v="0"/>
    <n v="12794"/>
    <s v="DISC15"/>
    <m/>
    <n v="13000"/>
    <d v="2024-02-15T00:00:00"/>
  </r>
  <r>
    <s v="S1044"/>
    <s v="Aditya Joshi"/>
    <s v="C201"/>
    <x v="0"/>
    <s v="B3"/>
    <s v="Amit"/>
    <x v="2"/>
    <n v="15816"/>
    <s v="DISC10"/>
    <n v="0.1"/>
    <n v="14000"/>
    <d v="2024-03-01T00:00:00"/>
  </r>
  <r>
    <s v="S1045"/>
    <s v="Kunal Mehta"/>
    <s v="C203"/>
    <x v="1"/>
    <s v="B1"/>
    <s v="Saurabh"/>
    <x v="1"/>
    <n v="17266"/>
    <s v="DISC20"/>
    <n v="0.2"/>
    <n v="17000"/>
    <d v="2024-01-18T00:00:00"/>
  </r>
  <r>
    <s v="S1046"/>
    <s v="Aditya Joshi"/>
    <s v="C202"/>
    <x v="2"/>
    <s v="B3"/>
    <s v="Priya"/>
    <x v="0"/>
    <n v="13815"/>
    <s v="DISC30"/>
    <n v="0.3"/>
    <n v="13000"/>
    <d v="2024-02-02T00:00:00"/>
  </r>
  <r>
    <s v="S1047"/>
    <s v="Neha Rao"/>
    <s v="C201"/>
    <x v="0"/>
    <s v="B1"/>
    <s v="Amit"/>
    <x v="2"/>
    <n v="15397"/>
    <s v="DISC30"/>
    <n v="0.3"/>
    <n v="14000"/>
    <d v="2024-01-03T00:00:00"/>
  </r>
  <r>
    <s v="S1048"/>
    <s v="Aarav Jain"/>
    <s v="C202"/>
    <x v="2"/>
    <s v="B3"/>
    <s v="Priya"/>
    <x v="0"/>
    <n v="14036"/>
    <m/>
    <m/>
    <n v="13000"/>
    <d v="2024-02-05T00:00:00"/>
  </r>
  <r>
    <s v="S1049"/>
    <s v="Anjali Verma"/>
    <s v="C201"/>
    <x v="0"/>
    <s v="B1"/>
    <s v="Saurabh"/>
    <x v="1"/>
    <n v="15702"/>
    <s v="DISC20"/>
    <n v="0.2"/>
    <n v="14000"/>
    <d v="2024-02-04T00:00:00"/>
  </r>
  <r>
    <s v="S1050"/>
    <s v="Aarav Nair"/>
    <s v="C203"/>
    <x v="1"/>
    <s v="B3"/>
    <s v="Amit"/>
    <x v="0"/>
    <n v="16760"/>
    <s v="DISC20"/>
    <n v="0.2"/>
    <n v="17000"/>
    <d v="2024-01-03T00:00:00"/>
  </r>
  <r>
    <s v="S1051"/>
    <s v="Aditya Jain"/>
    <s v="C201"/>
    <x v="0"/>
    <s v="B2"/>
    <s v="Saurabh"/>
    <x v="1"/>
    <n v="13022"/>
    <s v="DISC10"/>
    <n v="0.1"/>
    <n v="14000"/>
    <d v="2024-01-23T00:00:00"/>
  </r>
  <r>
    <s v="S1052"/>
    <s v="Dev Gupta"/>
    <s v="C204"/>
    <x v="3"/>
    <s v="B3"/>
    <s v="Amit"/>
    <x v="0"/>
    <n v="10791"/>
    <s v="DISC20"/>
    <n v="0.2"/>
    <n v="9000"/>
    <d v="2024-02-25T00:00:00"/>
  </r>
  <r>
    <s v="S1053"/>
    <s v="Karan Patel"/>
    <s v="C202"/>
    <x v="2"/>
    <s v="B2"/>
    <s v="Saurabh"/>
    <x v="0"/>
    <n v="14016"/>
    <s v="DISC30"/>
    <n v="0.3"/>
    <n v="13000"/>
    <d v="2024-02-20T00:00:00"/>
  </r>
  <r>
    <s v="S1054"/>
    <s v="Kunal Verma"/>
    <s v="C202"/>
    <x v="2"/>
    <s v="B2"/>
    <s v="Saurabh"/>
    <x v="1"/>
    <n v="11442"/>
    <m/>
    <m/>
    <n v="13000"/>
    <d v="2024-02-25T00:00:00"/>
  </r>
  <r>
    <s v="S1055"/>
    <s v="Aarav Nair"/>
    <s v="C204"/>
    <x v="3"/>
    <s v="B1"/>
    <s v="Saurabh"/>
    <x v="2"/>
    <n v="8432"/>
    <s v="DISC30"/>
    <n v="0.3"/>
    <n v="9000"/>
    <d v="2024-02-22T00:00:00"/>
  </r>
  <r>
    <s v="S1056"/>
    <s v="Dev Nair"/>
    <s v="C202"/>
    <x v="2"/>
    <s v="B1"/>
    <s v="Saurabh"/>
    <x v="1"/>
    <n v="11791"/>
    <m/>
    <m/>
    <n v="13000"/>
    <d v="2024-01-22T00:00:00"/>
  </r>
  <r>
    <s v="S1057"/>
    <s v="Aditya Nair"/>
    <s v="C201"/>
    <x v="0"/>
    <s v="B2"/>
    <s v="Priya"/>
    <x v="1"/>
    <n v="14086"/>
    <m/>
    <m/>
    <n v="14000"/>
    <d v="2024-02-13T00:00:00"/>
  </r>
  <r>
    <s v="S1058"/>
    <s v="Meera Gupta"/>
    <s v="C203"/>
    <x v="1"/>
    <s v="B1"/>
    <s v="Saurabh"/>
    <x v="2"/>
    <n v="15731"/>
    <s v="DISC15"/>
    <m/>
    <n v="17000"/>
    <d v="2024-01-17T00:00:00"/>
  </r>
  <r>
    <s v="S1059"/>
    <s v="Aarav Shah"/>
    <s v="C204"/>
    <x v="3"/>
    <s v="B2"/>
    <s v="Amit"/>
    <x v="2"/>
    <n v="8787"/>
    <s v="DISC15"/>
    <m/>
    <n v="9000"/>
    <d v="2024-02-02T00:00:00"/>
  </r>
  <r>
    <s v="S1060"/>
    <s v="Riya Verma"/>
    <s v="C202"/>
    <x v="2"/>
    <s v="B2"/>
    <s v="Saurabh"/>
    <x v="1"/>
    <n v="12786"/>
    <s v="DISC10"/>
    <n v="0.1"/>
    <n v="13000"/>
    <d v="2024-02-03T00:00:00"/>
  </r>
  <r>
    <s v="S1061"/>
    <s v="Kunal Patel"/>
    <s v="C202"/>
    <x v="2"/>
    <s v="B2"/>
    <s v="Priya"/>
    <x v="0"/>
    <n v="14886"/>
    <s v="DISC30"/>
    <n v="0.3"/>
    <n v="13000"/>
    <d v="2024-02-09T00:00:00"/>
  </r>
  <r>
    <s v="S1062"/>
    <s v="Pooja Singh"/>
    <s v="C201"/>
    <x v="0"/>
    <s v="B3"/>
    <s v="Priya"/>
    <x v="1"/>
    <n v="13266"/>
    <m/>
    <m/>
    <n v="14000"/>
    <d v="2024-01-21T00:00:00"/>
  </r>
  <r>
    <s v="S1063"/>
    <s v="Rahul Desai"/>
    <s v="C203"/>
    <x v="1"/>
    <s v="B3"/>
    <s v="Saurabh"/>
    <x v="0"/>
    <n v="16722"/>
    <m/>
    <m/>
    <n v="17000"/>
    <d v="2024-02-13T00:00:00"/>
  </r>
  <r>
    <s v="S1064"/>
    <s v="Anjali Mehta"/>
    <s v="C203"/>
    <x v="1"/>
    <s v="B2"/>
    <s v="Amit"/>
    <x v="0"/>
    <n v="16244"/>
    <s v="DISC30"/>
    <n v="0.3"/>
    <n v="17000"/>
    <d v="2024-01-14T00:00:00"/>
  </r>
  <r>
    <s v="S1065"/>
    <s v="Rahul Patel"/>
    <s v="C203"/>
    <x v="1"/>
    <s v="B2"/>
    <s v="Priya"/>
    <x v="2"/>
    <n v="17767"/>
    <s v="DISC20"/>
    <n v="0.2"/>
    <n v="17000"/>
    <d v="2024-02-02T00:00:00"/>
  </r>
  <r>
    <s v="S1066"/>
    <s v="Neha Patel"/>
    <s v="C202"/>
    <x v="2"/>
    <s v="B3"/>
    <s v="Saurabh"/>
    <x v="2"/>
    <n v="13111"/>
    <s v="DISC15"/>
    <m/>
    <n v="13000"/>
    <d v="2024-01-22T00:00:00"/>
  </r>
  <r>
    <s v="S1067"/>
    <s v="Riya Nair"/>
    <s v="C202"/>
    <x v="2"/>
    <s v="B3"/>
    <s v="Priya"/>
    <x v="0"/>
    <n v="14303"/>
    <s v="DISC20"/>
    <n v="0.2"/>
    <n v="13000"/>
    <d v="2024-01-10T00:00:00"/>
  </r>
  <r>
    <s v="S1068"/>
    <s v="Aarav Kulkarni"/>
    <s v="C202"/>
    <x v="2"/>
    <s v="B2"/>
    <s v="Amit"/>
    <x v="0"/>
    <n v="12865"/>
    <m/>
    <m/>
    <n v="13000"/>
    <d v="2024-02-26T00:00:00"/>
  </r>
  <r>
    <s v="S1069"/>
    <s v="Rohit Joshi"/>
    <s v="C202"/>
    <x v="2"/>
    <s v="B3"/>
    <s v="Amit"/>
    <x v="2"/>
    <n v="13024"/>
    <m/>
    <m/>
    <n v="13000"/>
    <d v="2024-01-16T00:00:00"/>
  </r>
  <r>
    <s v="S1070"/>
    <s v="Karan Singh"/>
    <s v="C201"/>
    <x v="0"/>
    <s v="B1"/>
    <s v="Priya"/>
    <x v="0"/>
    <n v="12720"/>
    <s v="DISC15"/>
    <m/>
    <n v="14000"/>
    <d v="2024-01-30T00:00:00"/>
  </r>
  <r>
    <s v="S1071"/>
    <s v="Aarav Gupta"/>
    <s v="C202"/>
    <x v="2"/>
    <s v="B1"/>
    <s v="Priya"/>
    <x v="0"/>
    <n v="14282"/>
    <m/>
    <m/>
    <n v="13000"/>
    <d v="2024-02-12T00:00:00"/>
  </r>
  <r>
    <s v="S1072"/>
    <s v="Manish Gupta"/>
    <s v="C203"/>
    <x v="1"/>
    <s v="B2"/>
    <s v="Amit"/>
    <x v="1"/>
    <n v="18653"/>
    <s v="DISC15"/>
    <m/>
    <n v="17000"/>
    <d v="2024-01-28T00:00:00"/>
  </r>
  <r>
    <s v="S1073"/>
    <s v="Meera Gupta"/>
    <s v="C204"/>
    <x v="3"/>
    <s v="B1"/>
    <s v="Amit"/>
    <x v="2"/>
    <n v="8843"/>
    <s v="DISC30"/>
    <n v="0.3"/>
    <n v="9000"/>
    <d v="2024-02-18T00:00:00"/>
  </r>
  <r>
    <s v="S1074"/>
    <s v="Sneha Nair"/>
    <s v="C203"/>
    <x v="1"/>
    <s v="B3"/>
    <s v="Priya"/>
    <x v="1"/>
    <n v="15979"/>
    <s v="DISC30"/>
    <n v="0.3"/>
    <n v="17000"/>
    <d v="2024-01-29T00:00:00"/>
  </r>
  <r>
    <s v="S1075"/>
    <s v="Riya Desai"/>
    <s v="C203"/>
    <x v="1"/>
    <s v="B1"/>
    <s v="Priya"/>
    <x v="2"/>
    <n v="16309"/>
    <s v="DISC15"/>
    <m/>
    <n v="17000"/>
    <d v="2024-01-06T00:00:00"/>
  </r>
  <r>
    <s v="S1076"/>
    <s v="Karan Mehta"/>
    <s v="C202"/>
    <x v="2"/>
    <s v="B2"/>
    <s v="Amit"/>
    <x v="0"/>
    <n v="13893"/>
    <s v="DISC20"/>
    <n v="0.2"/>
    <n v="13000"/>
    <d v="2024-01-05T00:00:00"/>
  </r>
  <r>
    <s v="S1077"/>
    <s v="Rahul Verma"/>
    <s v="C203"/>
    <x v="1"/>
    <s v="B3"/>
    <s v="Priya"/>
    <x v="2"/>
    <n v="15255"/>
    <s v="DISC20"/>
    <n v="0.2"/>
    <n v="17000"/>
    <d v="2024-02-23T00:00:00"/>
  </r>
  <r>
    <s v="S1078"/>
    <s v="Rahul Verma"/>
    <s v="C201"/>
    <x v="0"/>
    <s v="B3"/>
    <s v="Priya"/>
    <x v="2"/>
    <n v="12024"/>
    <s v="DISC30"/>
    <n v="0.3"/>
    <n v="14000"/>
    <d v="2024-01-20T00:00:00"/>
  </r>
  <r>
    <s v="S1079"/>
    <s v="Dev Verma"/>
    <s v="C204"/>
    <x v="3"/>
    <s v="B3"/>
    <s v="Amit"/>
    <x v="1"/>
    <n v="9236"/>
    <s v="DISC15"/>
    <m/>
    <n v="9000"/>
    <d v="2024-02-27T00:00:00"/>
  </r>
  <r>
    <s v="S1080"/>
    <s v="Sneha Iyer"/>
    <s v="C202"/>
    <x v="2"/>
    <s v="B2"/>
    <s v="Priya"/>
    <x v="2"/>
    <n v="11118"/>
    <m/>
    <m/>
    <n v="13000"/>
    <d v="2024-01-22T00:00:00"/>
  </r>
  <r>
    <s v="S1081"/>
    <s v="Rohit Singh"/>
    <s v="C204"/>
    <x v="3"/>
    <s v="B3"/>
    <s v="Saurabh"/>
    <x v="2"/>
    <n v="10766"/>
    <s v="DISC20"/>
    <n v="0.2"/>
    <n v="9000"/>
    <d v="2024-02-09T00:00:00"/>
  </r>
  <r>
    <s v="S1082"/>
    <s v="Manish Kulkarni"/>
    <s v="C204"/>
    <x v="3"/>
    <s v="B3"/>
    <s v="Amit"/>
    <x v="1"/>
    <n v="7111"/>
    <s v="DISC10"/>
    <n v="0.1"/>
    <n v="9000"/>
    <d v="2024-02-11T00:00:00"/>
  </r>
  <r>
    <s v="S1083"/>
    <s v="Rahul Mehta"/>
    <s v="C204"/>
    <x v="3"/>
    <s v="B1"/>
    <s v="Saurabh"/>
    <x v="2"/>
    <n v="8552"/>
    <s v="DISC30"/>
    <n v="0.3"/>
    <n v="9000"/>
    <d v="2024-01-14T00:00:00"/>
  </r>
  <r>
    <s v="S1084"/>
    <s v="Neha Jain"/>
    <s v="C203"/>
    <x v="1"/>
    <s v="B2"/>
    <s v="Priya"/>
    <x v="2"/>
    <n v="16033"/>
    <s v="DISC10"/>
    <n v="0.1"/>
    <n v="17000"/>
    <d v="2024-01-31T00:00:00"/>
  </r>
  <r>
    <s v="S1085"/>
    <s v="Aarav Desai"/>
    <s v="C201"/>
    <x v="0"/>
    <s v="B2"/>
    <s v="Saurabh"/>
    <x v="1"/>
    <n v="12281"/>
    <s v="DISC10"/>
    <n v="0.1"/>
    <n v="14000"/>
    <d v="2024-02-18T00:00:00"/>
  </r>
  <r>
    <s v="S1086"/>
    <s v="Aarav Patil"/>
    <s v="C202"/>
    <x v="2"/>
    <s v="B1"/>
    <s v="Amit"/>
    <x v="0"/>
    <n v="11977"/>
    <s v="DISC20"/>
    <n v="0.2"/>
    <n v="13000"/>
    <d v="2024-01-31T00:00:00"/>
  </r>
  <r>
    <s v="S1087"/>
    <s v="Rohit Shah"/>
    <s v="C202"/>
    <x v="2"/>
    <s v="B2"/>
    <s v="Amit"/>
    <x v="2"/>
    <n v="14141"/>
    <s v="DISC30"/>
    <n v="0.3"/>
    <n v="13000"/>
    <d v="2024-01-11T00:00:00"/>
  </r>
  <r>
    <s v="S1088"/>
    <s v="Kavita Joshi"/>
    <s v="C201"/>
    <x v="0"/>
    <s v="B1"/>
    <s v="Priya"/>
    <x v="0"/>
    <n v="14370"/>
    <s v="DISC10"/>
    <n v="0.1"/>
    <n v="14000"/>
    <d v="2024-02-29T00:00:00"/>
  </r>
  <r>
    <s v="S1089"/>
    <s v="Aditya Joshi"/>
    <s v="C204"/>
    <x v="3"/>
    <s v="B2"/>
    <s v="Amit"/>
    <x v="0"/>
    <n v="7311"/>
    <s v="DISC15"/>
    <m/>
    <n v="9000"/>
    <d v="2024-02-14T00:00:00"/>
  </r>
  <r>
    <s v="S1090"/>
    <s v="Meera Singh"/>
    <s v="C202"/>
    <x v="2"/>
    <s v="B1"/>
    <s v="Amit"/>
    <x v="2"/>
    <n v="14482"/>
    <s v="DISC15"/>
    <m/>
    <n v="13000"/>
    <d v="2024-02-21T00:00:00"/>
  </r>
  <r>
    <s v="S1091"/>
    <s v="Riya Patel"/>
    <s v="C201"/>
    <x v="0"/>
    <s v="B2"/>
    <s v="Amit"/>
    <x v="2"/>
    <n v="14709"/>
    <s v="DISC30"/>
    <n v="0.3"/>
    <n v="14000"/>
    <d v="2024-01-05T00:00:00"/>
  </r>
  <r>
    <s v="S1092"/>
    <s v="Manish Singh"/>
    <s v="C203"/>
    <x v="1"/>
    <s v="B1"/>
    <s v="Priya"/>
    <x v="2"/>
    <n v="15432"/>
    <m/>
    <m/>
    <n v="17000"/>
    <d v="2024-01-24T00:00:00"/>
  </r>
  <r>
    <s v="S1093"/>
    <s v="Rohit Nair"/>
    <s v="C204"/>
    <x v="3"/>
    <s v="B3"/>
    <s v="Saurabh"/>
    <x v="2"/>
    <n v="7721"/>
    <s v="DISC15"/>
    <m/>
    <n v="9000"/>
    <d v="2024-02-11T00:00:00"/>
  </r>
  <r>
    <s v="S1094"/>
    <s v="Aditya Joshi"/>
    <s v="C204"/>
    <x v="3"/>
    <s v="B2"/>
    <s v="Priya"/>
    <x v="1"/>
    <n v="9426"/>
    <s v="DISC30"/>
    <n v="0.3"/>
    <n v="9000"/>
    <d v="2024-01-21T00:00:00"/>
  </r>
  <r>
    <s v="S1095"/>
    <s v="Meera Patil"/>
    <s v="C201"/>
    <x v="0"/>
    <s v="B2"/>
    <s v="Priya"/>
    <x v="0"/>
    <n v="15073"/>
    <m/>
    <m/>
    <n v="14000"/>
    <d v="2024-02-06T00:00:00"/>
  </r>
  <r>
    <s v="S1096"/>
    <s v="Kavita Singh"/>
    <s v="C204"/>
    <x v="3"/>
    <s v="B2"/>
    <s v="Saurabh"/>
    <x v="2"/>
    <n v="10485"/>
    <s v="DISC30"/>
    <n v="0.3"/>
    <n v="9000"/>
    <d v="2024-01-12T00:00:00"/>
  </r>
  <r>
    <s v="S1097"/>
    <s v="Neha Patil"/>
    <s v="C203"/>
    <x v="1"/>
    <s v="B2"/>
    <s v="Priya"/>
    <x v="2"/>
    <n v="18605"/>
    <s v="DISC15"/>
    <m/>
    <n v="17000"/>
    <d v="2024-02-14T00:00:00"/>
  </r>
  <r>
    <s v="S1098"/>
    <s v="Kunal Rao"/>
    <s v="C201"/>
    <x v="0"/>
    <s v="B3"/>
    <s v="Saurabh"/>
    <x v="0"/>
    <n v="12988"/>
    <m/>
    <m/>
    <n v="14000"/>
    <d v="2024-02-01T00:00:00"/>
  </r>
  <r>
    <s v="S1099"/>
    <s v="Manish Patel"/>
    <s v="C202"/>
    <x v="2"/>
    <s v="B3"/>
    <s v="Priya"/>
    <x v="1"/>
    <n v="13915"/>
    <m/>
    <m/>
    <n v="13000"/>
    <d v="2024-01-29T00:00:00"/>
  </r>
  <r>
    <s v="S1100"/>
    <s v="Dev Kulkarni"/>
    <s v="C201"/>
    <x v="0"/>
    <s v="B2"/>
    <s v="Saurabh"/>
    <x v="2"/>
    <n v="14833"/>
    <s v="DISC20"/>
    <n v="0.2"/>
    <n v="14000"/>
    <d v="2024-01-20T00:00:00"/>
  </r>
  <r>
    <s v="S1101"/>
    <s v="Rohit Joshi"/>
    <s v="C203"/>
    <x v="1"/>
    <s v="B2"/>
    <s v="Amit"/>
    <x v="1"/>
    <n v="16408"/>
    <m/>
    <m/>
    <n v="17000"/>
    <d v="2024-02-17T00:00:00"/>
  </r>
  <r>
    <s v="S1102"/>
    <s v="Manish Jain"/>
    <s v="C203"/>
    <x v="1"/>
    <s v="B3"/>
    <s v="Priya"/>
    <x v="2"/>
    <n v="16255"/>
    <s v="DISC30"/>
    <n v="0.3"/>
    <n v="17000"/>
    <d v="2024-01-15T00:00:00"/>
  </r>
  <r>
    <s v="S1103"/>
    <s v="Riya Desai"/>
    <s v="C202"/>
    <x v="2"/>
    <s v="B2"/>
    <s v="Saurabh"/>
    <x v="1"/>
    <n v="13194"/>
    <s v="DISC20"/>
    <n v="0.2"/>
    <n v="13000"/>
    <d v="2024-01-13T00:00:00"/>
  </r>
  <r>
    <s v="S1104"/>
    <s v="Sneha Desai"/>
    <s v="C204"/>
    <x v="3"/>
    <s v="B2"/>
    <s v="Amit"/>
    <x v="1"/>
    <n v="11000"/>
    <s v="DISC15"/>
    <m/>
    <n v="9000"/>
    <d v="2024-02-08T00:00:00"/>
  </r>
  <r>
    <s v="S1105"/>
    <s v="Aditya Shah"/>
    <s v="C202"/>
    <x v="2"/>
    <s v="B2"/>
    <s v="Saurabh"/>
    <x v="2"/>
    <n v="11734"/>
    <s v="DISC30"/>
    <n v="0.3"/>
    <n v="13000"/>
    <d v="2024-01-01T00:00:00"/>
  </r>
  <r>
    <s v="S1106"/>
    <s v="Anjali Gupta"/>
    <s v="C202"/>
    <x v="2"/>
    <s v="B2"/>
    <s v="Saurabh"/>
    <x v="0"/>
    <n v="13266"/>
    <s v="DISC30"/>
    <n v="0.3"/>
    <n v="13000"/>
    <d v="2024-02-14T00:00:00"/>
  </r>
  <r>
    <s v="S1107"/>
    <s v="Karan Singh"/>
    <s v="C204"/>
    <x v="3"/>
    <s v="B1"/>
    <s v="Saurabh"/>
    <x v="1"/>
    <n v="8164"/>
    <m/>
    <m/>
    <n v="9000"/>
    <d v="2024-01-31T00:00:00"/>
  </r>
  <r>
    <s v="S1108"/>
    <s v="Neha Jain"/>
    <s v="C202"/>
    <x v="2"/>
    <s v="B1"/>
    <s v="Priya"/>
    <x v="2"/>
    <n v="11467"/>
    <s v="DISC10"/>
    <n v="0.1"/>
    <n v="13000"/>
    <d v="2024-01-26T00:00:00"/>
  </r>
  <r>
    <s v="S1109"/>
    <s v="Neha Shah"/>
    <s v="C201"/>
    <x v="0"/>
    <s v="B1"/>
    <s v="Saurabh"/>
    <x v="1"/>
    <n v="15887"/>
    <s v="DISC30"/>
    <n v="0.3"/>
    <n v="14000"/>
    <d v="2024-01-06T00:00:00"/>
  </r>
  <r>
    <s v="S1110"/>
    <s v="Sneha Shah"/>
    <s v="C204"/>
    <x v="3"/>
    <s v="B3"/>
    <s v="Amit"/>
    <x v="1"/>
    <n v="7924"/>
    <s v="DISC15"/>
    <m/>
    <n v="9000"/>
    <d v="2024-01-25T00:00:00"/>
  </r>
  <r>
    <s v="S1111"/>
    <s v="Neha Iyer"/>
    <s v="C203"/>
    <x v="1"/>
    <s v="B3"/>
    <s v="Priya"/>
    <x v="2"/>
    <n v="17329"/>
    <s v="DISC15"/>
    <m/>
    <n v="17000"/>
    <d v="2024-01-04T00:00:00"/>
  </r>
  <r>
    <s v="S1112"/>
    <s v="Kavita Desai"/>
    <s v="C201"/>
    <x v="0"/>
    <s v="B1"/>
    <s v="Amit"/>
    <x v="0"/>
    <n v="13083"/>
    <s v="DISC10"/>
    <n v="0.1"/>
    <n v="14000"/>
    <d v="2024-01-11T00:00:00"/>
  </r>
  <r>
    <s v="S1113"/>
    <s v="Sneha Mehta"/>
    <s v="C201"/>
    <x v="0"/>
    <s v="B1"/>
    <s v="Saurabh"/>
    <x v="2"/>
    <n v="13845"/>
    <s v="DISC15"/>
    <m/>
    <n v="14000"/>
    <d v="2024-01-31T00:00:00"/>
  </r>
  <r>
    <s v="S1114"/>
    <s v="Aditya Kulkarni"/>
    <s v="C202"/>
    <x v="2"/>
    <s v="B2"/>
    <s v="Amit"/>
    <x v="2"/>
    <n v="13879"/>
    <m/>
    <m/>
    <n v="13000"/>
    <d v="2024-01-05T00:00:00"/>
  </r>
  <r>
    <s v="S1115"/>
    <s v="Rohit Patil"/>
    <s v="C203"/>
    <x v="1"/>
    <s v="B3"/>
    <s v="Amit"/>
    <x v="1"/>
    <n v="18292"/>
    <s v="DISC20"/>
    <n v="0.2"/>
    <n v="17000"/>
    <d v="2024-01-28T00:00:00"/>
  </r>
  <r>
    <s v="S1116"/>
    <s v="Riya Gupta"/>
    <s v="C202"/>
    <x v="2"/>
    <s v="B3"/>
    <s v="Saurabh"/>
    <x v="2"/>
    <n v="14385"/>
    <s v="DISC20"/>
    <n v="0.2"/>
    <n v="13000"/>
    <d v="2024-01-05T00:00:00"/>
  </r>
  <r>
    <s v="S1117"/>
    <s v="Aarav Mehta"/>
    <s v="C203"/>
    <x v="1"/>
    <s v="B3"/>
    <s v="Amit"/>
    <x v="1"/>
    <n v="18773"/>
    <s v="DISC30"/>
    <n v="0.3"/>
    <n v="17000"/>
    <d v="2024-01-29T00:00:00"/>
  </r>
  <r>
    <s v="S1118"/>
    <s v="Riya Iyer"/>
    <s v="C203"/>
    <x v="1"/>
    <s v="B3"/>
    <s v="Priya"/>
    <x v="2"/>
    <n v="17049"/>
    <s v="DISC15"/>
    <m/>
    <n v="17000"/>
    <d v="2024-02-01T00:00:00"/>
  </r>
  <r>
    <s v="S1119"/>
    <s v="Neha Shah"/>
    <s v="C201"/>
    <x v="0"/>
    <s v="B2"/>
    <s v="Amit"/>
    <x v="2"/>
    <n v="14472"/>
    <s v="DISC30"/>
    <n v="0.3"/>
    <n v="14000"/>
    <d v="2024-01-02T00:00:00"/>
  </r>
  <r>
    <s v="S1120"/>
    <s v="Riya Patil"/>
    <s v="C201"/>
    <x v="0"/>
    <s v="B3"/>
    <s v="Priya"/>
    <x v="1"/>
    <n v="12164"/>
    <s v="DISC20"/>
    <n v="0.2"/>
    <n v="14000"/>
    <d v="2024-01-31T00:00:00"/>
  </r>
  <r>
    <s v="S1121"/>
    <s v="Manish Singh"/>
    <s v="C204"/>
    <x v="3"/>
    <s v="B2"/>
    <s v="Saurabh"/>
    <x v="1"/>
    <n v="8785"/>
    <m/>
    <m/>
    <n v="9000"/>
    <d v="2024-01-06T00:00:00"/>
  </r>
  <r>
    <s v="S1122"/>
    <s v="Neha Jain"/>
    <s v="C204"/>
    <x v="3"/>
    <s v="B2"/>
    <s v="Priya"/>
    <x v="1"/>
    <n v="7428"/>
    <s v="DISC20"/>
    <n v="0.2"/>
    <n v="9000"/>
    <d v="2024-01-22T00:00:00"/>
  </r>
  <r>
    <s v="S1123"/>
    <s v="Rahul Desai"/>
    <s v="C204"/>
    <x v="3"/>
    <s v="B2"/>
    <s v="Amit"/>
    <x v="2"/>
    <n v="10332"/>
    <s v="DISC15"/>
    <m/>
    <n v="9000"/>
    <d v="2024-01-03T00:00:00"/>
  </r>
  <r>
    <s v="S1124"/>
    <s v="Neha Shah"/>
    <s v="C203"/>
    <x v="1"/>
    <s v="B2"/>
    <s v="Priya"/>
    <x v="0"/>
    <n v="18973"/>
    <m/>
    <m/>
    <n v="17000"/>
    <d v="2024-02-25T00:00:00"/>
  </r>
  <r>
    <s v="S1125"/>
    <s v="Manish Nair"/>
    <s v="C201"/>
    <x v="0"/>
    <s v="B3"/>
    <s v="Amit"/>
    <x v="2"/>
    <n v="13692"/>
    <s v="DISC10"/>
    <n v="0.1"/>
    <n v="14000"/>
    <d v="2024-01-13T00:00:00"/>
  </r>
  <r>
    <s v="S1126"/>
    <s v="Manish Jain"/>
    <s v="C204"/>
    <x v="3"/>
    <s v="B3"/>
    <s v="Priya"/>
    <x v="0"/>
    <n v="7833"/>
    <s v="DISC30"/>
    <n v="0.3"/>
    <n v="9000"/>
    <d v="2024-02-05T00:00:00"/>
  </r>
  <r>
    <s v="S1127"/>
    <s v="Karan Rao"/>
    <s v="C204"/>
    <x v="3"/>
    <s v="B3"/>
    <s v="Priya"/>
    <x v="0"/>
    <n v="7118"/>
    <s v="DISC15"/>
    <m/>
    <n v="9000"/>
    <d v="2024-02-21T00:00:00"/>
  </r>
  <r>
    <s v="S1128"/>
    <s v="Sneha Desai"/>
    <s v="C202"/>
    <x v="2"/>
    <s v="B2"/>
    <s v="Amit"/>
    <x v="0"/>
    <n v="13262"/>
    <m/>
    <m/>
    <n v="13000"/>
    <d v="2024-01-06T00:00:00"/>
  </r>
  <r>
    <s v="S1129"/>
    <s v="Sneha Nair"/>
    <s v="C201"/>
    <x v="0"/>
    <s v="B2"/>
    <s v="Saurabh"/>
    <x v="1"/>
    <n v="15408"/>
    <s v="DISC20"/>
    <n v="0.2"/>
    <n v="14000"/>
    <d v="2024-02-01T00:00:00"/>
  </r>
  <r>
    <s v="S1130"/>
    <s v="Kunal Desai"/>
    <s v="C203"/>
    <x v="1"/>
    <s v="B3"/>
    <s v="Amit"/>
    <x v="2"/>
    <n v="16701"/>
    <m/>
    <m/>
    <n v="17000"/>
    <d v="2024-01-31T00:00:00"/>
  </r>
  <r>
    <s v="S1131"/>
    <s v="Sneha Iyer"/>
    <s v="C202"/>
    <x v="2"/>
    <s v="B2"/>
    <s v="Saurabh"/>
    <x v="1"/>
    <n v="13081"/>
    <s v="DISC20"/>
    <n v="0.2"/>
    <n v="13000"/>
    <d v="2024-02-25T00:00:00"/>
  </r>
  <r>
    <s v="S1132"/>
    <s v="Riya Rao"/>
    <s v="C204"/>
    <x v="3"/>
    <s v="B2"/>
    <s v="Amit"/>
    <x v="2"/>
    <n v="10360"/>
    <s v="DISC10"/>
    <n v="0.1"/>
    <n v="9000"/>
    <d v="2024-01-19T00:00:00"/>
  </r>
  <r>
    <s v="S1133"/>
    <s v="Anjali Rao"/>
    <s v="C204"/>
    <x v="3"/>
    <s v="B1"/>
    <s v="Priya"/>
    <x v="1"/>
    <n v="8983"/>
    <s v="DISC30"/>
    <n v="0.3"/>
    <n v="9000"/>
    <d v="2024-01-22T00:00:00"/>
  </r>
  <r>
    <s v="S1134"/>
    <s v="Manish Patel"/>
    <s v="C204"/>
    <x v="3"/>
    <s v="B2"/>
    <s v="Priya"/>
    <x v="0"/>
    <n v="9856"/>
    <s v="DISC20"/>
    <n v="0.2"/>
    <n v="9000"/>
    <d v="2024-02-06T00:00:00"/>
  </r>
  <r>
    <s v="S1135"/>
    <s v="Rahul Patil"/>
    <s v="C204"/>
    <x v="3"/>
    <s v="B1"/>
    <s v="Priya"/>
    <x v="1"/>
    <n v="8937"/>
    <m/>
    <m/>
    <n v="9000"/>
    <d v="2024-01-25T00:00:00"/>
  </r>
  <r>
    <s v="S1136"/>
    <s v="Rohit Patel"/>
    <s v="C202"/>
    <x v="2"/>
    <s v="B2"/>
    <s v="Saurabh"/>
    <x v="0"/>
    <n v="13057"/>
    <s v="DISC15"/>
    <m/>
    <n v="13000"/>
    <d v="2024-01-22T00:00:00"/>
  </r>
  <r>
    <s v="S1137"/>
    <s v="Meera Shah"/>
    <s v="C204"/>
    <x v="3"/>
    <s v="B1"/>
    <s v="Amit"/>
    <x v="2"/>
    <n v="7062"/>
    <s v="DISC20"/>
    <n v="0.2"/>
    <n v="9000"/>
    <d v="2024-01-27T00:00:00"/>
  </r>
  <r>
    <s v="S1138"/>
    <s v="Meera Singh"/>
    <s v="C202"/>
    <x v="2"/>
    <s v="B1"/>
    <s v="Priya"/>
    <x v="2"/>
    <n v="12386"/>
    <s v="DISC15"/>
    <m/>
    <n v="13000"/>
    <d v="2024-02-14T00:00:00"/>
  </r>
  <r>
    <s v="S1139"/>
    <s v="Rahul Singh"/>
    <s v="C201"/>
    <x v="0"/>
    <s v="B2"/>
    <s v="Amit"/>
    <x v="1"/>
    <n v="13556"/>
    <s v="DISC30"/>
    <n v="0.3"/>
    <n v="14000"/>
    <d v="2024-02-10T00:00:00"/>
  </r>
  <r>
    <s v="S1140"/>
    <s v="Anjali Patel"/>
    <s v="C204"/>
    <x v="3"/>
    <s v="B3"/>
    <s v="Saurabh"/>
    <x v="1"/>
    <n v="7280"/>
    <s v="DISC20"/>
    <n v="0.2"/>
    <n v="9000"/>
    <d v="2024-02-10T00:00:00"/>
  </r>
  <r>
    <s v="S1141"/>
    <s v="Rohit Rao"/>
    <s v="C202"/>
    <x v="2"/>
    <s v="B3"/>
    <s v="Saurabh"/>
    <x v="2"/>
    <n v="11403"/>
    <s v="DISC10"/>
    <n v="0.1"/>
    <n v="13000"/>
    <d v="2024-01-29T00:00:00"/>
  </r>
  <r>
    <s v="S1142"/>
    <s v="Karan Desai"/>
    <s v="C203"/>
    <x v="1"/>
    <s v="B1"/>
    <s v="Saurabh"/>
    <x v="2"/>
    <n v="18261"/>
    <s v="DISC10"/>
    <n v="0.1"/>
    <n v="17000"/>
    <d v="2024-01-19T00:00:00"/>
  </r>
  <r>
    <s v="S1143"/>
    <s v="Pooja Jain"/>
    <s v="C204"/>
    <x v="3"/>
    <s v="B1"/>
    <s v="Saurabh"/>
    <x v="1"/>
    <n v="8687"/>
    <s v="DISC15"/>
    <m/>
    <n v="9000"/>
    <d v="2024-02-13T00:00:00"/>
  </r>
  <r>
    <s v="S1144"/>
    <s v="Dev Mehta"/>
    <s v="C202"/>
    <x v="2"/>
    <s v="B1"/>
    <s v="Saurabh"/>
    <x v="1"/>
    <n v="14566"/>
    <m/>
    <m/>
    <n v="13000"/>
    <d v="2024-02-09T00:00:00"/>
  </r>
  <r>
    <s v="S1145"/>
    <s v="Rohit Patil"/>
    <s v="C204"/>
    <x v="3"/>
    <s v="B3"/>
    <s v="Saurabh"/>
    <x v="0"/>
    <n v="8888"/>
    <s v="DISC30"/>
    <n v="0.3"/>
    <n v="9000"/>
    <d v="2024-01-30T00:00:00"/>
  </r>
  <r>
    <s v="S1146"/>
    <s v="Aditya Singh"/>
    <s v="C201"/>
    <x v="0"/>
    <s v="B2"/>
    <s v="Priya"/>
    <x v="1"/>
    <n v="14238"/>
    <s v="DISC20"/>
    <n v="0.2"/>
    <n v="14000"/>
    <d v="2024-01-05T00:00:00"/>
  </r>
  <r>
    <s v="S1147"/>
    <s v="Neha Jain"/>
    <s v="C203"/>
    <x v="1"/>
    <s v="B3"/>
    <s v="Priya"/>
    <x v="1"/>
    <n v="16024"/>
    <m/>
    <m/>
    <n v="17000"/>
    <d v="2024-02-24T00:00:00"/>
  </r>
  <r>
    <s v="S1148"/>
    <s v="Aditya Patil"/>
    <s v="C204"/>
    <x v="3"/>
    <s v="B2"/>
    <s v="Saurabh"/>
    <x v="0"/>
    <n v="8562"/>
    <s v="DISC15"/>
    <m/>
    <n v="9000"/>
    <d v="2024-01-23T00:00:00"/>
  </r>
  <r>
    <s v="S1149"/>
    <s v="Kavita Rao"/>
    <s v="C203"/>
    <x v="1"/>
    <s v="B1"/>
    <s v="Amit"/>
    <x v="2"/>
    <n v="16124"/>
    <s v="DISC10"/>
    <n v="0.1"/>
    <n v="17000"/>
    <d v="2024-02-06T00:00:00"/>
  </r>
  <r>
    <s v="S1150"/>
    <s v="Meera Singh"/>
    <s v="C201"/>
    <x v="0"/>
    <s v="B3"/>
    <s v="Amit"/>
    <x v="2"/>
    <n v="15411"/>
    <s v="DISC30"/>
    <n v="0.3"/>
    <n v="14000"/>
    <d v="2024-02-19T00:00:00"/>
  </r>
  <r>
    <s v="S1151"/>
    <s v="Dev Patil"/>
    <s v="C203"/>
    <x v="1"/>
    <s v="B1"/>
    <s v="Amit"/>
    <x v="0"/>
    <n v="17543"/>
    <s v="DISC30"/>
    <n v="0.3"/>
    <n v="17000"/>
    <d v="2024-02-13T00:00:00"/>
  </r>
  <r>
    <s v="S1152"/>
    <s v="Dev Desai"/>
    <s v="C202"/>
    <x v="2"/>
    <s v="B3"/>
    <s v="Saurabh"/>
    <x v="1"/>
    <n v="13647"/>
    <s v="DISC10"/>
    <n v="0.1"/>
    <n v="13000"/>
    <d v="2024-01-20T00:00:00"/>
  </r>
  <r>
    <s v="S1153"/>
    <s v="Dev Iyer"/>
    <s v="C201"/>
    <x v="0"/>
    <s v="B3"/>
    <s v="Priya"/>
    <x v="1"/>
    <n v="12538"/>
    <s v="DISC10"/>
    <n v="0.1"/>
    <n v="14000"/>
    <d v="2024-02-28T00:00:00"/>
  </r>
  <r>
    <s v="S1154"/>
    <s v="Aditya Jain"/>
    <s v="C204"/>
    <x v="3"/>
    <s v="B1"/>
    <s v="Saurabh"/>
    <x v="0"/>
    <n v="10221"/>
    <s v="DISC15"/>
    <m/>
    <n v="9000"/>
    <d v="2024-02-26T00:00:00"/>
  </r>
  <r>
    <s v="S1155"/>
    <s v="Pooja Gupta"/>
    <s v="C203"/>
    <x v="1"/>
    <s v="B1"/>
    <s v="Priya"/>
    <x v="2"/>
    <n v="18962"/>
    <s v="DISC30"/>
    <n v="0.3"/>
    <n v="17000"/>
    <d v="2024-02-17T00:00:00"/>
  </r>
  <r>
    <s v="S1156"/>
    <s v="Meera Jain"/>
    <s v="C201"/>
    <x v="0"/>
    <s v="B2"/>
    <s v="Saurabh"/>
    <x v="0"/>
    <n v="15089"/>
    <s v="DISC20"/>
    <n v="0.2"/>
    <n v="14000"/>
    <d v="2024-02-25T00:00:00"/>
  </r>
  <r>
    <s v="S1157"/>
    <s v="Rohit Desai"/>
    <s v="C204"/>
    <x v="3"/>
    <s v="B3"/>
    <s v="Priya"/>
    <x v="0"/>
    <n v="10238"/>
    <m/>
    <m/>
    <n v="9000"/>
    <d v="2024-01-01T00:00:00"/>
  </r>
  <r>
    <s v="S1158"/>
    <s v="Aditya Gupta"/>
    <s v="C201"/>
    <x v="0"/>
    <s v="B2"/>
    <s v="Priya"/>
    <x v="1"/>
    <n v="15067"/>
    <s v="DISC30"/>
    <n v="0.3"/>
    <n v="14000"/>
    <d v="2024-02-07T00:00:00"/>
  </r>
  <r>
    <s v="S1159"/>
    <s v="Rahul Nair"/>
    <s v="C203"/>
    <x v="1"/>
    <s v="B1"/>
    <s v="Amit"/>
    <x v="0"/>
    <n v="16931"/>
    <s v="DISC10"/>
    <n v="0.1"/>
    <n v="17000"/>
    <d v="2024-02-09T00:00:00"/>
  </r>
  <r>
    <s v="S1160"/>
    <s v="Kunal Gupta"/>
    <s v="C203"/>
    <x v="1"/>
    <s v="B3"/>
    <s v="Saurabh"/>
    <x v="1"/>
    <n v="15258"/>
    <m/>
    <m/>
    <n v="17000"/>
    <d v="2024-02-28T00:00:00"/>
  </r>
  <r>
    <s v="S1161"/>
    <s v="Anjali Rao"/>
    <s v="C204"/>
    <x v="3"/>
    <s v="B1"/>
    <s v="Saurabh"/>
    <x v="0"/>
    <n v="10875"/>
    <s v="DISC10"/>
    <n v="0.1"/>
    <n v="9000"/>
    <d v="2024-01-20T00:00:00"/>
  </r>
  <r>
    <s v="S1162"/>
    <s v="Neha Shah"/>
    <s v="C201"/>
    <x v="0"/>
    <s v="B1"/>
    <s v="Amit"/>
    <x v="0"/>
    <n v="13591"/>
    <m/>
    <m/>
    <n v="14000"/>
    <d v="2024-01-24T00:00:00"/>
  </r>
  <r>
    <s v="S1163"/>
    <s v="Rohit Desai"/>
    <s v="C204"/>
    <x v="3"/>
    <s v="B3"/>
    <s v="Amit"/>
    <x v="1"/>
    <n v="7632"/>
    <m/>
    <m/>
    <n v="9000"/>
    <d v="2024-02-11T00:00:00"/>
  </r>
  <r>
    <s v="S1164"/>
    <s v="Riya Nair"/>
    <s v="C204"/>
    <x v="3"/>
    <s v="B3"/>
    <s v="Priya"/>
    <x v="2"/>
    <n v="7134"/>
    <s v="DISC30"/>
    <n v="0.3"/>
    <n v="9000"/>
    <d v="2024-01-14T00:00:00"/>
  </r>
  <r>
    <s v="S1165"/>
    <s v="Neha Iyer"/>
    <s v="C202"/>
    <x v="2"/>
    <s v="B2"/>
    <s v="Saurabh"/>
    <x v="1"/>
    <n v="12504"/>
    <s v="DISC15"/>
    <m/>
    <n v="13000"/>
    <d v="2024-02-27T00:00:00"/>
  </r>
  <r>
    <s v="S1166"/>
    <s v="Rohit Jain"/>
    <s v="C201"/>
    <x v="0"/>
    <s v="B2"/>
    <s v="Priya"/>
    <x v="0"/>
    <n v="15965"/>
    <s v="DISC10"/>
    <n v="0.1"/>
    <n v="14000"/>
    <d v="2024-03-01T00:00:00"/>
  </r>
  <r>
    <s v="S1167"/>
    <s v="Meera Nair"/>
    <s v="C204"/>
    <x v="3"/>
    <s v="B1"/>
    <s v="Amit"/>
    <x v="0"/>
    <n v="9628"/>
    <s v="DISC15"/>
    <m/>
    <n v="9000"/>
    <d v="2024-01-02T00:00:00"/>
  </r>
  <r>
    <s v="S1168"/>
    <s v="Aarav Patel"/>
    <s v="C203"/>
    <x v="1"/>
    <s v="B1"/>
    <s v="Saurabh"/>
    <x v="1"/>
    <n v="15840"/>
    <s v="DISC10"/>
    <n v="0.1"/>
    <n v="17000"/>
    <d v="2024-02-23T00:00:00"/>
  </r>
  <r>
    <s v="S1169"/>
    <s v="Dev Gupta"/>
    <s v="C202"/>
    <x v="2"/>
    <s v="B3"/>
    <s v="Saurabh"/>
    <x v="0"/>
    <n v="12345"/>
    <s v="DISC20"/>
    <n v="0.2"/>
    <n v="13000"/>
    <d v="2024-02-20T00:00:00"/>
  </r>
  <r>
    <s v="S1170"/>
    <s v="Kunal Joshi"/>
    <s v="C201"/>
    <x v="0"/>
    <s v="B2"/>
    <s v="Saurabh"/>
    <x v="0"/>
    <n v="14212"/>
    <s v="DISC30"/>
    <n v="0.3"/>
    <n v="14000"/>
    <d v="2024-02-21T00:00:00"/>
  </r>
  <r>
    <s v="S1171"/>
    <s v="Karan Shah"/>
    <s v="C201"/>
    <x v="0"/>
    <s v="B1"/>
    <s v="Saurabh"/>
    <x v="2"/>
    <n v="15235"/>
    <s v="DISC20"/>
    <n v="0.2"/>
    <n v="14000"/>
    <d v="2024-02-07T00:00:00"/>
  </r>
  <r>
    <s v="S1172"/>
    <s v="Pooja Kulkarni"/>
    <s v="C202"/>
    <x v="2"/>
    <s v="B2"/>
    <s v="Saurabh"/>
    <x v="0"/>
    <n v="14038"/>
    <m/>
    <m/>
    <n v="13000"/>
    <d v="2024-02-03T00:00:00"/>
  </r>
  <r>
    <s v="S1173"/>
    <s v="Riya Desai"/>
    <s v="C201"/>
    <x v="0"/>
    <s v="B2"/>
    <s v="Priya"/>
    <x v="2"/>
    <n v="14102"/>
    <s v="DISC15"/>
    <m/>
    <n v="14000"/>
    <d v="2024-01-07T00:00:00"/>
  </r>
  <r>
    <s v="S1174"/>
    <s v="Neha Gupta"/>
    <s v="C202"/>
    <x v="2"/>
    <s v="B3"/>
    <s v="Saurabh"/>
    <x v="1"/>
    <n v="14208"/>
    <s v="DISC15"/>
    <m/>
    <n v="13000"/>
    <d v="2024-01-20T00:00:00"/>
  </r>
  <r>
    <s v="S1175"/>
    <s v="Neha Singh"/>
    <s v="C201"/>
    <x v="0"/>
    <s v="B1"/>
    <s v="Priya"/>
    <x v="2"/>
    <n v="13746"/>
    <s v="DISC10"/>
    <n v="0.1"/>
    <n v="14000"/>
    <d v="2024-02-01T00:00:00"/>
  </r>
  <r>
    <s v="S1176"/>
    <s v="Anjali Iyer"/>
    <s v="C201"/>
    <x v="0"/>
    <s v="B1"/>
    <s v="Priya"/>
    <x v="1"/>
    <n v="12607"/>
    <s v="DISC10"/>
    <n v="0.1"/>
    <n v="14000"/>
    <d v="2024-01-09T00:00:00"/>
  </r>
  <r>
    <s v="S1177"/>
    <s v="Aditya Joshi"/>
    <s v="C203"/>
    <x v="1"/>
    <s v="B2"/>
    <s v="Amit"/>
    <x v="1"/>
    <n v="16207"/>
    <m/>
    <m/>
    <n v="17000"/>
    <d v="2024-02-02T00:00:00"/>
  </r>
  <r>
    <s v="S1178"/>
    <s v="Kavita Verma"/>
    <s v="C201"/>
    <x v="0"/>
    <s v="B3"/>
    <s v="Saurabh"/>
    <x v="1"/>
    <n v="14666"/>
    <s v="DISC15"/>
    <m/>
    <n v="14000"/>
    <d v="2024-02-16T00:00:00"/>
  </r>
  <r>
    <s v="S1179"/>
    <s v="Meera Patil"/>
    <s v="C204"/>
    <x v="3"/>
    <s v="B2"/>
    <s v="Saurabh"/>
    <x v="2"/>
    <n v="8388"/>
    <m/>
    <m/>
    <n v="9000"/>
    <d v="2024-01-26T00:00:00"/>
  </r>
  <r>
    <s v="S1180"/>
    <s v="Rahul Desai"/>
    <s v="C201"/>
    <x v="0"/>
    <s v="B2"/>
    <s v="Priya"/>
    <x v="2"/>
    <n v="14724"/>
    <s v="DISC30"/>
    <n v="0.3"/>
    <n v="14000"/>
    <d v="2024-01-24T00:00:00"/>
  </r>
  <r>
    <s v="S1181"/>
    <s v="Karan Singh"/>
    <s v="C204"/>
    <x v="3"/>
    <s v="B1"/>
    <s v="Saurabh"/>
    <x v="0"/>
    <n v="7381"/>
    <m/>
    <m/>
    <n v="9000"/>
    <d v="2024-01-07T00:00:00"/>
  </r>
  <r>
    <s v="S1182"/>
    <s v="Anjali Desai"/>
    <s v="C203"/>
    <x v="1"/>
    <s v="B1"/>
    <s v="Amit"/>
    <x v="0"/>
    <n v="17402"/>
    <s v="DISC15"/>
    <m/>
    <n v="17000"/>
    <d v="2024-02-05T00:00:00"/>
  </r>
  <r>
    <s v="S1183"/>
    <s v="Pooja Singh"/>
    <s v="C201"/>
    <x v="0"/>
    <s v="B2"/>
    <s v="Priya"/>
    <x v="1"/>
    <n v="15854"/>
    <m/>
    <m/>
    <n v="14000"/>
    <d v="2024-02-25T00:00:00"/>
  </r>
  <r>
    <s v="S1184"/>
    <s v="Kunal Desai"/>
    <s v="C201"/>
    <x v="0"/>
    <s v="B2"/>
    <s v="Amit"/>
    <x v="2"/>
    <n v="13440"/>
    <s v="DISC10"/>
    <n v="0.1"/>
    <n v="14000"/>
    <d v="2024-02-06T00:00:00"/>
  </r>
  <r>
    <s v="S1185"/>
    <s v="Manish Patil"/>
    <s v="C202"/>
    <x v="2"/>
    <s v="B3"/>
    <s v="Priya"/>
    <x v="0"/>
    <n v="14470"/>
    <s v="DISC10"/>
    <n v="0.1"/>
    <n v="13000"/>
    <d v="2024-01-23T00:00:00"/>
  </r>
  <r>
    <s v="S1186"/>
    <s v="Meera Gupta"/>
    <s v="C203"/>
    <x v="1"/>
    <s v="B1"/>
    <s v="Priya"/>
    <x v="1"/>
    <n v="15926"/>
    <m/>
    <m/>
    <n v="17000"/>
    <d v="2024-02-24T00:00:00"/>
  </r>
  <r>
    <s v="S1187"/>
    <s v="Manish Patel"/>
    <s v="C201"/>
    <x v="0"/>
    <s v="B3"/>
    <s v="Amit"/>
    <x v="1"/>
    <n v="13095"/>
    <s v="DISC10"/>
    <n v="0.1"/>
    <n v="14000"/>
    <d v="2024-01-12T00:00:00"/>
  </r>
  <r>
    <s v="S1188"/>
    <s v="Aditya Desai"/>
    <s v="C203"/>
    <x v="1"/>
    <s v="B2"/>
    <s v="Priya"/>
    <x v="0"/>
    <n v="15743"/>
    <s v="DISC20"/>
    <n v="0.2"/>
    <n v="17000"/>
    <d v="2024-02-06T00:00:00"/>
  </r>
  <r>
    <s v="S1189"/>
    <s v="Rohit Verma"/>
    <s v="C201"/>
    <x v="0"/>
    <s v="B1"/>
    <s v="Amit"/>
    <x v="1"/>
    <n v="15980"/>
    <s v="DISC10"/>
    <n v="0.1"/>
    <n v="14000"/>
    <d v="2024-01-06T00:00:00"/>
  </r>
  <r>
    <s v="S1190"/>
    <s v="Anjali Gupta"/>
    <s v="C202"/>
    <x v="2"/>
    <s v="B2"/>
    <s v="Priya"/>
    <x v="2"/>
    <n v="12396"/>
    <s v="DISC20"/>
    <n v="0.2"/>
    <n v="13000"/>
    <d v="2024-01-24T00:00:00"/>
  </r>
  <r>
    <s v="S1191"/>
    <s v="Aditya Desai"/>
    <s v="C203"/>
    <x v="1"/>
    <s v="B3"/>
    <s v="Amit"/>
    <x v="0"/>
    <n v="18618"/>
    <s v="DISC10"/>
    <n v="0.1"/>
    <n v="17000"/>
    <d v="2024-01-10T00:00:00"/>
  </r>
  <r>
    <s v="S1192"/>
    <s v="Karan Patel"/>
    <s v="C201"/>
    <x v="0"/>
    <s v="B3"/>
    <s v="Saurabh"/>
    <x v="2"/>
    <n v="13814"/>
    <m/>
    <m/>
    <n v="14000"/>
    <d v="2024-02-01T00:00:00"/>
  </r>
  <r>
    <s v="S1193"/>
    <s v="Kavita Iyer"/>
    <s v="C204"/>
    <x v="3"/>
    <s v="B2"/>
    <s v="Saurabh"/>
    <x v="1"/>
    <n v="7466"/>
    <s v="DISC30"/>
    <n v="0.3"/>
    <n v="9000"/>
    <d v="2024-01-28T00:00:00"/>
  </r>
  <r>
    <s v="S1194"/>
    <s v="Riya Rao"/>
    <s v="C204"/>
    <x v="3"/>
    <s v="B3"/>
    <s v="Amit"/>
    <x v="2"/>
    <n v="7186"/>
    <s v="DISC20"/>
    <n v="0.2"/>
    <n v="9000"/>
    <d v="2024-01-26T00:00:00"/>
  </r>
  <r>
    <s v="S1195"/>
    <s v="Kavita Kulkarni"/>
    <s v="C201"/>
    <x v="0"/>
    <s v="B1"/>
    <s v="Priya"/>
    <x v="0"/>
    <n v="15143"/>
    <s v="DISC20"/>
    <n v="0.2"/>
    <n v="14000"/>
    <d v="2024-02-18T00:00:00"/>
  </r>
  <r>
    <s v="S1196"/>
    <s v="Aditya Rao"/>
    <s v="C203"/>
    <x v="1"/>
    <s v="B1"/>
    <s v="Saurabh"/>
    <x v="2"/>
    <n v="18059"/>
    <m/>
    <m/>
    <n v="17000"/>
    <d v="2024-01-12T00:00:00"/>
  </r>
  <r>
    <s v="S1197"/>
    <s v="Karan Verma"/>
    <s v="C202"/>
    <x v="2"/>
    <s v="B3"/>
    <s v="Amit"/>
    <x v="1"/>
    <n v="14302"/>
    <s v="DISC30"/>
    <n v="0.3"/>
    <n v="13000"/>
    <d v="2024-01-05T00:00:00"/>
  </r>
  <r>
    <s v="S1198"/>
    <s v="Rahul Nair"/>
    <s v="C201"/>
    <x v="0"/>
    <s v="B2"/>
    <s v="Saurabh"/>
    <x v="2"/>
    <n v="15773"/>
    <s v="DISC10"/>
    <n v="0.1"/>
    <n v="14000"/>
    <d v="2024-02-25T00:00:00"/>
  </r>
  <r>
    <s v="S1199"/>
    <s v="Pooja Joshi"/>
    <s v="C204"/>
    <x v="3"/>
    <s v="B3"/>
    <s v="Priya"/>
    <x v="1"/>
    <n v="9622"/>
    <m/>
    <m/>
    <n v="9000"/>
    <d v="2024-01-19T00:00:00"/>
  </r>
  <r>
    <s v="S1200"/>
    <s v="Riya Verma"/>
    <s v="C201"/>
    <x v="0"/>
    <s v="B2"/>
    <s v="Saurabh"/>
    <x v="1"/>
    <n v="13884"/>
    <s v="DISC30"/>
    <n v="0.3"/>
    <n v="14000"/>
    <d v="2024-01-06T00:00:00"/>
  </r>
  <r>
    <s v="S1201"/>
    <s v="Rahul Nair"/>
    <s v="C201"/>
    <x v="0"/>
    <s v="B1"/>
    <s v="Priya"/>
    <x v="1"/>
    <n v="13640"/>
    <s v="DISC15"/>
    <m/>
    <n v="14000"/>
    <d v="2024-01-06T00:00:00"/>
  </r>
  <r>
    <s v="S1202"/>
    <s v="Rahul Nair"/>
    <s v="C203"/>
    <x v="1"/>
    <s v="B3"/>
    <s v="Priya"/>
    <x v="0"/>
    <n v="16364"/>
    <s v="DISC20"/>
    <n v="0.2"/>
    <n v="17000"/>
    <d v="2024-01-05T00:00:00"/>
  </r>
  <r>
    <s v="S1203"/>
    <s v="Manish Singh"/>
    <s v="C201"/>
    <x v="0"/>
    <s v="B3"/>
    <s v="Amit"/>
    <x v="0"/>
    <n v="15710"/>
    <s v="DISC30"/>
    <n v="0.3"/>
    <n v="14000"/>
    <d v="2024-01-23T00:00:00"/>
  </r>
  <r>
    <s v="S1204"/>
    <s v="Anjali Nair"/>
    <s v="C202"/>
    <x v="2"/>
    <s v="B1"/>
    <s v="Saurabh"/>
    <x v="0"/>
    <n v="12048"/>
    <s v="DISC20"/>
    <n v="0.2"/>
    <n v="13000"/>
    <d v="2024-01-12T00:00:00"/>
  </r>
  <r>
    <s v="S1205"/>
    <s v="Kavita Mehta"/>
    <s v="C201"/>
    <x v="0"/>
    <s v="B1"/>
    <s v="Amit"/>
    <x v="2"/>
    <n v="13900"/>
    <s v="DISC15"/>
    <m/>
    <n v="14000"/>
    <d v="2024-02-18T00:00:00"/>
  </r>
  <r>
    <s v="S1206"/>
    <s v="Kavita Iyer"/>
    <s v="C203"/>
    <x v="1"/>
    <s v="B3"/>
    <s v="Priya"/>
    <x v="0"/>
    <n v="16801"/>
    <s v="DISC10"/>
    <n v="0.1"/>
    <n v="17000"/>
    <d v="2024-01-31T00:00:00"/>
  </r>
  <r>
    <s v="S1207"/>
    <s v="Neha Singh"/>
    <s v="C203"/>
    <x v="1"/>
    <s v="B2"/>
    <s v="Amit"/>
    <x v="0"/>
    <n v="16441"/>
    <s v="DISC15"/>
    <m/>
    <n v="17000"/>
    <d v="2024-01-05T00:00:00"/>
  </r>
  <r>
    <s v="S1208"/>
    <s v="Aditya Iyer"/>
    <s v="C204"/>
    <x v="3"/>
    <s v="B1"/>
    <s v="Saurabh"/>
    <x v="2"/>
    <n v="10406"/>
    <s v="DISC30"/>
    <n v="0.3"/>
    <n v="9000"/>
    <d v="2024-01-05T00:00:00"/>
  </r>
  <r>
    <s v="S1209"/>
    <s v="Rohit Nair"/>
    <s v="C201"/>
    <x v="0"/>
    <s v="B3"/>
    <s v="Amit"/>
    <x v="1"/>
    <n v="13574"/>
    <m/>
    <m/>
    <n v="14000"/>
    <d v="2024-02-07T00:00:00"/>
  </r>
  <r>
    <s v="S1210"/>
    <s v="Manish Patel"/>
    <s v="C201"/>
    <x v="0"/>
    <s v="B2"/>
    <s v="Amit"/>
    <x v="1"/>
    <n v="12771"/>
    <s v="DISC30"/>
    <n v="0.3"/>
    <n v="14000"/>
    <d v="2024-02-08T00:00:00"/>
  </r>
  <r>
    <s v="S1211"/>
    <s v="Neha Gupta"/>
    <s v="C202"/>
    <x v="2"/>
    <s v="B1"/>
    <s v="Priya"/>
    <x v="0"/>
    <n v="14321"/>
    <s v="DISC30"/>
    <n v="0.3"/>
    <n v="13000"/>
    <d v="2024-02-15T00:00:00"/>
  </r>
  <r>
    <s v="S1212"/>
    <s v="Riya Gupta"/>
    <s v="C202"/>
    <x v="2"/>
    <s v="B1"/>
    <s v="Saurabh"/>
    <x v="1"/>
    <n v="12793"/>
    <m/>
    <m/>
    <n v="13000"/>
    <d v="2024-02-03T00:00:00"/>
  </r>
  <r>
    <s v="S1213"/>
    <s v="Manish Joshi"/>
    <s v="C202"/>
    <x v="2"/>
    <s v="B2"/>
    <s v="Priya"/>
    <x v="2"/>
    <n v="12586"/>
    <m/>
    <m/>
    <n v="13000"/>
    <d v="2024-02-19T00:00:00"/>
  </r>
  <r>
    <s v="S1214"/>
    <s v="Pooja Singh"/>
    <s v="C201"/>
    <x v="0"/>
    <s v="B3"/>
    <s v="Amit"/>
    <x v="2"/>
    <n v="12269"/>
    <s v="DISC30"/>
    <n v="0.3"/>
    <n v="14000"/>
    <d v="2024-01-07T00:00:00"/>
  </r>
  <r>
    <s v="S1215"/>
    <s v="Manish Singh"/>
    <s v="C204"/>
    <x v="3"/>
    <s v="B2"/>
    <s v="Priya"/>
    <x v="1"/>
    <n v="10488"/>
    <s v="DISC15"/>
    <m/>
    <n v="9000"/>
    <d v="2024-02-25T00:00:00"/>
  </r>
  <r>
    <s v="S1216"/>
    <s v="Karan Jain"/>
    <s v="C201"/>
    <x v="0"/>
    <s v="B3"/>
    <s v="Amit"/>
    <x v="0"/>
    <n v="15754"/>
    <s v="DISC30"/>
    <n v="0.3"/>
    <n v="14000"/>
    <d v="2024-01-20T00:00:00"/>
  </r>
  <r>
    <s v="S1217"/>
    <s v="Rohit Desai"/>
    <s v="C204"/>
    <x v="3"/>
    <s v="B1"/>
    <s v="Amit"/>
    <x v="1"/>
    <n v="10842"/>
    <s v="DISC10"/>
    <n v="0.1"/>
    <n v="9000"/>
    <d v="2024-01-20T00:00:00"/>
  </r>
  <r>
    <s v="S1218"/>
    <s v="Manish Verma"/>
    <s v="C203"/>
    <x v="1"/>
    <s v="B1"/>
    <s v="Amit"/>
    <x v="1"/>
    <n v="18395"/>
    <s v="DISC15"/>
    <m/>
    <n v="17000"/>
    <d v="2024-01-06T00:00:00"/>
  </r>
  <r>
    <s v="S1219"/>
    <s v="Rohit Singh"/>
    <s v="C204"/>
    <x v="3"/>
    <s v="B3"/>
    <s v="Priya"/>
    <x v="0"/>
    <n v="8485"/>
    <s v="DISC30"/>
    <n v="0.3"/>
    <n v="9000"/>
    <d v="2024-01-12T00:00:00"/>
  </r>
  <r>
    <s v="S1220"/>
    <s v="Sneha Jain"/>
    <s v="C204"/>
    <x v="3"/>
    <s v="B1"/>
    <s v="Saurabh"/>
    <x v="0"/>
    <n v="7634"/>
    <s v="DISC10"/>
    <n v="0.1"/>
    <n v="9000"/>
    <d v="2024-01-19T00:00:00"/>
  </r>
  <r>
    <s v="S1221"/>
    <s v="Meera Patel"/>
    <s v="C201"/>
    <x v="0"/>
    <s v="B3"/>
    <s v="Amit"/>
    <x v="1"/>
    <n v="15619"/>
    <s v="DISC15"/>
    <m/>
    <n v="14000"/>
    <d v="2024-01-03T00:00:00"/>
  </r>
  <r>
    <s v="S1222"/>
    <s v="Rohit Jain"/>
    <s v="C202"/>
    <x v="2"/>
    <s v="B3"/>
    <s v="Priya"/>
    <x v="0"/>
    <n v="11664"/>
    <s v="DISC20"/>
    <n v="0.2"/>
    <n v="13000"/>
    <d v="2024-02-23T00:00:00"/>
  </r>
  <r>
    <s v="S1223"/>
    <s v="Anjali Patel"/>
    <s v="C202"/>
    <x v="2"/>
    <s v="B3"/>
    <s v="Priya"/>
    <x v="0"/>
    <n v="12682"/>
    <s v="DISC30"/>
    <n v="0.3"/>
    <n v="13000"/>
    <d v="2024-02-13T00:00:00"/>
  </r>
  <r>
    <s v="S1224"/>
    <s v="Anjali Patil"/>
    <s v="C204"/>
    <x v="3"/>
    <s v="B3"/>
    <s v="Priya"/>
    <x v="1"/>
    <n v="10210"/>
    <m/>
    <m/>
    <n v="9000"/>
    <d v="2024-01-15T00:00:00"/>
  </r>
  <r>
    <s v="S1225"/>
    <s v="Manish Patil"/>
    <s v="C203"/>
    <x v="1"/>
    <s v="B2"/>
    <s v="Saurabh"/>
    <x v="2"/>
    <n v="17778"/>
    <s v="DISC15"/>
    <m/>
    <n v="17000"/>
    <d v="2024-01-29T00:00:00"/>
  </r>
  <r>
    <s v="S1226"/>
    <s v="Neha Patel"/>
    <s v="C203"/>
    <x v="1"/>
    <s v="B2"/>
    <s v="Amit"/>
    <x v="1"/>
    <n v="16714"/>
    <s v="DISC20"/>
    <n v="0.2"/>
    <n v="17000"/>
    <d v="2024-02-22T00:00:00"/>
  </r>
  <r>
    <s v="S1227"/>
    <s v="Sneha Patel"/>
    <s v="C202"/>
    <x v="2"/>
    <s v="B2"/>
    <s v="Saurabh"/>
    <x v="1"/>
    <n v="12968"/>
    <s v="DISC30"/>
    <n v="0.3"/>
    <n v="13000"/>
    <d v="2024-02-05T00:00:00"/>
  </r>
  <r>
    <s v="S1228"/>
    <s v="Kunal Shah"/>
    <s v="C201"/>
    <x v="0"/>
    <s v="B2"/>
    <s v="Saurabh"/>
    <x v="0"/>
    <n v="13117"/>
    <m/>
    <m/>
    <n v="14000"/>
    <d v="2024-02-27T00:00:00"/>
  </r>
  <r>
    <s v="S1229"/>
    <s v="Manish Mehta"/>
    <s v="C204"/>
    <x v="3"/>
    <s v="B1"/>
    <s v="Saurabh"/>
    <x v="2"/>
    <n v="10623"/>
    <s v="DISC30"/>
    <n v="0.3"/>
    <n v="9000"/>
    <d v="2024-02-29T00:00:00"/>
  </r>
  <r>
    <s v="S1230"/>
    <s v="Aarav Verma"/>
    <s v="C201"/>
    <x v="0"/>
    <s v="B2"/>
    <s v="Amit"/>
    <x v="2"/>
    <n v="12965"/>
    <m/>
    <m/>
    <n v="14000"/>
    <d v="2024-01-06T00:00:00"/>
  </r>
  <r>
    <s v="S1231"/>
    <s v="Pooja Patil"/>
    <s v="C201"/>
    <x v="0"/>
    <s v="B2"/>
    <s v="Saurabh"/>
    <x v="1"/>
    <n v="14662"/>
    <s v="DISC30"/>
    <n v="0.3"/>
    <n v="14000"/>
    <d v="2024-02-20T00:00:00"/>
  </r>
  <r>
    <s v="S1232"/>
    <s v="Karan Mehta"/>
    <s v="C201"/>
    <x v="0"/>
    <s v="B2"/>
    <s v="Priya"/>
    <x v="1"/>
    <n v="15404"/>
    <s v="DISC20"/>
    <n v="0.2"/>
    <n v="14000"/>
    <d v="2024-02-18T00:00:00"/>
  </r>
  <r>
    <s v="S1233"/>
    <s v="Anjali Iyer"/>
    <s v="C204"/>
    <x v="3"/>
    <s v="B3"/>
    <s v="Saurabh"/>
    <x v="0"/>
    <n v="7077"/>
    <s v="DISC30"/>
    <n v="0.3"/>
    <n v="9000"/>
    <d v="2024-01-14T00:00:00"/>
  </r>
  <r>
    <s v="S1234"/>
    <s v="Meera Mehta"/>
    <s v="C204"/>
    <x v="3"/>
    <s v="B1"/>
    <s v="Priya"/>
    <x v="0"/>
    <n v="8233"/>
    <s v="DISC10"/>
    <n v="0.1"/>
    <n v="9000"/>
    <d v="2024-01-04T00:00:00"/>
  </r>
  <r>
    <s v="S1235"/>
    <s v="Sneha Verma"/>
    <s v="C204"/>
    <x v="3"/>
    <s v="B1"/>
    <s v="Saurabh"/>
    <x v="2"/>
    <n v="9444"/>
    <s v="DISC15"/>
    <m/>
    <n v="9000"/>
    <d v="2024-01-02T00:00:00"/>
  </r>
  <r>
    <s v="S1236"/>
    <s v="Rohit Gupta"/>
    <s v="C202"/>
    <x v="2"/>
    <s v="B3"/>
    <s v="Saurabh"/>
    <x v="2"/>
    <n v="12758"/>
    <s v="DISC10"/>
    <n v="0.1"/>
    <n v="13000"/>
    <d v="2024-02-09T00:00:00"/>
  </r>
  <r>
    <s v="S1237"/>
    <s v="Pooja Patil"/>
    <s v="C204"/>
    <x v="3"/>
    <s v="B1"/>
    <s v="Amit"/>
    <x v="1"/>
    <n v="7350"/>
    <s v="DISC15"/>
    <m/>
    <n v="9000"/>
    <d v="2024-01-24T00:00:00"/>
  </r>
  <r>
    <s v="S1238"/>
    <s v="Riya Gupta"/>
    <s v="C201"/>
    <x v="0"/>
    <s v="B2"/>
    <s v="Priya"/>
    <x v="0"/>
    <n v="14603"/>
    <m/>
    <m/>
    <n v="14000"/>
    <d v="2024-01-24T00:00:00"/>
  </r>
  <r>
    <s v="S1239"/>
    <s v="Aditya Desai"/>
    <s v="C201"/>
    <x v="0"/>
    <s v="B2"/>
    <s v="Saurabh"/>
    <x v="2"/>
    <n v="12987"/>
    <s v="DISC10"/>
    <n v="0.1"/>
    <n v="14000"/>
    <d v="2024-02-19T00:00:00"/>
  </r>
  <r>
    <s v="S1240"/>
    <s v="Kavita Desai"/>
    <s v="C203"/>
    <x v="1"/>
    <s v="B1"/>
    <s v="Saurabh"/>
    <x v="2"/>
    <n v="17236"/>
    <s v="DISC30"/>
    <n v="0.3"/>
    <n v="17000"/>
    <d v="2024-02-22T00:00:00"/>
  </r>
  <r>
    <s v="S1241"/>
    <s v="Rohit Mehta"/>
    <s v="C204"/>
    <x v="3"/>
    <s v="B3"/>
    <s v="Priya"/>
    <x v="1"/>
    <n v="7746"/>
    <s v="DISC20"/>
    <n v="0.2"/>
    <n v="9000"/>
    <d v="2024-01-05T00:00:00"/>
  </r>
  <r>
    <s v="S1242"/>
    <s v="Anjali Patel"/>
    <s v="C204"/>
    <x v="3"/>
    <s v="B1"/>
    <s v="Priya"/>
    <x v="0"/>
    <n v="7179"/>
    <s v="DISC20"/>
    <n v="0.2"/>
    <n v="9000"/>
    <d v="2024-02-26T00:00:00"/>
  </r>
  <r>
    <s v="S1243"/>
    <s v="Aarav Jain"/>
    <s v="C203"/>
    <x v="1"/>
    <s v="B3"/>
    <s v="Priya"/>
    <x v="1"/>
    <n v="16939"/>
    <s v="DISC30"/>
    <n v="0.3"/>
    <n v="17000"/>
    <d v="2024-01-03T00:00:00"/>
  </r>
  <r>
    <s v="S1244"/>
    <s v="Dev Singh"/>
    <s v="C202"/>
    <x v="2"/>
    <s v="B2"/>
    <s v="Priya"/>
    <x v="0"/>
    <n v="14546"/>
    <s v="DISC30"/>
    <n v="0.3"/>
    <n v="13000"/>
    <d v="2024-01-18T00:00:00"/>
  </r>
  <r>
    <s v="S1245"/>
    <s v="Riya Patel"/>
    <s v="C203"/>
    <x v="1"/>
    <s v="B2"/>
    <s v="Priya"/>
    <x v="1"/>
    <n v="16801"/>
    <m/>
    <m/>
    <n v="17000"/>
    <d v="2024-01-22T00:00:00"/>
  </r>
  <r>
    <s v="S1246"/>
    <s v="Karan Iyer"/>
    <s v="C204"/>
    <x v="3"/>
    <s v="B2"/>
    <s v="Amit"/>
    <x v="2"/>
    <n v="10281"/>
    <s v="DISC10"/>
    <n v="0.1"/>
    <n v="9000"/>
    <d v="2024-02-16T00:00:00"/>
  </r>
  <r>
    <s v="S1247"/>
    <s v="Rahul Shah"/>
    <s v="C204"/>
    <x v="3"/>
    <s v="B3"/>
    <s v="Saurabh"/>
    <x v="1"/>
    <n v="8203"/>
    <s v="DISC30"/>
    <n v="0.3"/>
    <n v="9000"/>
    <d v="2024-01-07T00:00:00"/>
  </r>
  <r>
    <s v="S1248"/>
    <s v="Riya Jain"/>
    <s v="C203"/>
    <x v="1"/>
    <s v="B2"/>
    <s v="Priya"/>
    <x v="1"/>
    <n v="17939"/>
    <m/>
    <m/>
    <n v="17000"/>
    <d v="2024-01-11T00:00:00"/>
  </r>
  <r>
    <s v="S1249"/>
    <s v="Anjali Iyer"/>
    <s v="C203"/>
    <x v="1"/>
    <s v="B2"/>
    <s v="Saurabh"/>
    <x v="1"/>
    <n v="18563"/>
    <s v="DISC30"/>
    <n v="0.3"/>
    <n v="17000"/>
    <d v="2024-02-09T00:00:00"/>
  </r>
  <r>
    <s v="S1250"/>
    <s v="Rahul Rao"/>
    <s v="C201"/>
    <x v="0"/>
    <s v="B1"/>
    <s v="Amit"/>
    <x v="1"/>
    <n v="13663"/>
    <s v="DISC30"/>
    <n v="0.3"/>
    <n v="14000"/>
    <d v="2024-02-02T00:00:00"/>
  </r>
  <r>
    <s v="S1251"/>
    <s v="Dev Desai"/>
    <s v="C202"/>
    <x v="2"/>
    <s v="B1"/>
    <s v="Saurabh"/>
    <x v="1"/>
    <n v="13777"/>
    <m/>
    <m/>
    <n v="13000"/>
    <d v="2024-01-03T00:00:00"/>
  </r>
  <r>
    <s v="S1252"/>
    <s v="Karan Shah"/>
    <s v="C202"/>
    <x v="2"/>
    <s v="B3"/>
    <s v="Priya"/>
    <x v="2"/>
    <n v="12568"/>
    <s v="DISC15"/>
    <m/>
    <n v="13000"/>
    <d v="2024-01-03T00:00:00"/>
  </r>
  <r>
    <s v="S1253"/>
    <s v="Kavita Mehta"/>
    <s v="C204"/>
    <x v="3"/>
    <s v="B2"/>
    <s v="Priya"/>
    <x v="2"/>
    <n v="10125"/>
    <s v="DISC10"/>
    <n v="0.1"/>
    <n v="9000"/>
    <d v="2024-02-06T00:00:00"/>
  </r>
  <r>
    <s v="S1254"/>
    <s v="Karan Gupta"/>
    <s v="C203"/>
    <x v="1"/>
    <s v="B2"/>
    <s v="Priya"/>
    <x v="1"/>
    <n v="16141"/>
    <s v="DISC20"/>
    <n v="0.2"/>
    <n v="17000"/>
    <d v="2024-01-08T00:00:00"/>
  </r>
  <r>
    <s v="S1255"/>
    <s v="Aarav Desai"/>
    <s v="C202"/>
    <x v="2"/>
    <s v="B2"/>
    <s v="Amit"/>
    <x v="2"/>
    <n v="14741"/>
    <s v="DISC15"/>
    <m/>
    <n v="13000"/>
    <d v="2024-01-08T00:00:00"/>
  </r>
  <r>
    <s v="S1256"/>
    <s v="Aditya Patel"/>
    <s v="C203"/>
    <x v="1"/>
    <s v="B3"/>
    <s v="Priya"/>
    <x v="0"/>
    <n v="17506"/>
    <s v="DISC30"/>
    <n v="0.3"/>
    <n v="17000"/>
    <d v="2024-02-14T00:00:00"/>
  </r>
  <r>
    <s v="S1257"/>
    <s v="Kunal Iyer"/>
    <s v="C202"/>
    <x v="2"/>
    <s v="B1"/>
    <s v="Saurabh"/>
    <x v="0"/>
    <n v="12851"/>
    <s v="DISC20"/>
    <n v="0.2"/>
    <n v="13000"/>
    <d v="2024-02-27T00:00:00"/>
  </r>
  <r>
    <s v="S1258"/>
    <s v="Anjali Iyer"/>
    <s v="C201"/>
    <x v="0"/>
    <s v="B3"/>
    <s v="Priya"/>
    <x v="1"/>
    <n v="13423"/>
    <s v="DISC10"/>
    <n v="0.1"/>
    <n v="14000"/>
    <d v="2024-02-05T00:00:00"/>
  </r>
  <r>
    <s v="S1259"/>
    <s v="Manish Rao"/>
    <s v="C203"/>
    <x v="1"/>
    <s v="B1"/>
    <s v="Amit"/>
    <x v="1"/>
    <n v="18798"/>
    <s v="DISC20"/>
    <n v="0.2"/>
    <n v="17000"/>
    <d v="2024-02-20T00:00:00"/>
  </r>
  <r>
    <s v="S1260"/>
    <s v="Pooja Gupta"/>
    <s v="C202"/>
    <x v="2"/>
    <s v="B1"/>
    <s v="Saurabh"/>
    <x v="0"/>
    <n v="11969"/>
    <m/>
    <m/>
    <n v="13000"/>
    <d v="2024-01-02T00:00:00"/>
  </r>
  <r>
    <s v="S1261"/>
    <s v="Pooja Gupta"/>
    <s v="C203"/>
    <x v="1"/>
    <s v="B2"/>
    <s v="Amit"/>
    <x v="0"/>
    <n v="17506"/>
    <s v="DISC10"/>
    <n v="0.1"/>
    <n v="17000"/>
    <d v="2024-01-05T00:00:00"/>
  </r>
  <r>
    <s v="S1262"/>
    <s v="Aditya Verma"/>
    <s v="C204"/>
    <x v="3"/>
    <s v="B3"/>
    <s v="Priya"/>
    <x v="2"/>
    <n v="10372"/>
    <s v="DISC15"/>
    <m/>
    <n v="9000"/>
    <d v="2024-01-05T00:00:00"/>
  </r>
  <r>
    <s v="S1263"/>
    <s v="Karan Jain"/>
    <s v="C201"/>
    <x v="0"/>
    <s v="B2"/>
    <s v="Priya"/>
    <x v="1"/>
    <n v="14119"/>
    <s v="DISC30"/>
    <n v="0.3"/>
    <n v="14000"/>
    <d v="2024-01-09T00:00:00"/>
  </r>
  <r>
    <s v="S1264"/>
    <s v="Kunal Nair"/>
    <s v="C202"/>
    <x v="2"/>
    <s v="B1"/>
    <s v="Priya"/>
    <x v="1"/>
    <n v="14730"/>
    <s v="DISC10"/>
    <n v="0.1"/>
    <n v="13000"/>
    <d v="2024-02-23T00:00:00"/>
  </r>
  <r>
    <s v="S1265"/>
    <s v="Riya Gupta"/>
    <s v="C202"/>
    <x v="2"/>
    <s v="B2"/>
    <s v="Saurabh"/>
    <x v="0"/>
    <n v="12321"/>
    <s v="DISC20"/>
    <n v="0.2"/>
    <n v="13000"/>
    <d v="2024-01-23T00:00:00"/>
  </r>
  <r>
    <s v="S1266"/>
    <s v="Manish Rao"/>
    <s v="C201"/>
    <x v="0"/>
    <s v="B2"/>
    <s v="Saurabh"/>
    <x v="1"/>
    <n v="15917"/>
    <s v="DISC15"/>
    <m/>
    <n v="14000"/>
    <d v="2024-01-18T00:00:00"/>
  </r>
  <r>
    <s v="S1267"/>
    <s v="Karan Singh"/>
    <s v="C203"/>
    <x v="1"/>
    <s v="B3"/>
    <s v="Amit"/>
    <x v="0"/>
    <n v="17058"/>
    <s v="DISC20"/>
    <n v="0.2"/>
    <n v="17000"/>
    <d v="2024-02-07T00:00:00"/>
  </r>
  <r>
    <s v="S1268"/>
    <s v="Kavita Mehta"/>
    <s v="C202"/>
    <x v="2"/>
    <s v="B3"/>
    <s v="Amit"/>
    <x v="1"/>
    <n v="14694"/>
    <s v="DISC15"/>
    <m/>
    <n v="13000"/>
    <d v="2024-01-22T00:00:00"/>
  </r>
  <r>
    <s v="S1269"/>
    <s v="Meera Joshi"/>
    <s v="C201"/>
    <x v="0"/>
    <s v="B1"/>
    <s v="Saurabh"/>
    <x v="0"/>
    <n v="15885"/>
    <s v="DISC15"/>
    <m/>
    <n v="14000"/>
    <d v="2024-01-17T00:00:00"/>
  </r>
  <r>
    <s v="S1270"/>
    <s v="Rohit Patil"/>
    <s v="C204"/>
    <x v="3"/>
    <s v="B3"/>
    <s v="Amit"/>
    <x v="0"/>
    <n v="9039"/>
    <s v="DISC15"/>
    <m/>
    <n v="9000"/>
    <d v="2024-01-19T00:00:00"/>
  </r>
  <r>
    <s v="S1271"/>
    <s v="Rohit Rao"/>
    <s v="C204"/>
    <x v="3"/>
    <s v="B1"/>
    <s v="Amit"/>
    <x v="2"/>
    <n v="8218"/>
    <m/>
    <m/>
    <n v="9000"/>
    <d v="2024-01-05T00:00:00"/>
  </r>
  <r>
    <s v="S1272"/>
    <s v="Anjali Kulkarni"/>
    <s v="C202"/>
    <x v="2"/>
    <s v="B2"/>
    <s v="Priya"/>
    <x v="2"/>
    <n v="12902"/>
    <s v="DISC20"/>
    <n v="0.2"/>
    <n v="13000"/>
    <d v="2024-01-22T00:00:00"/>
  </r>
  <r>
    <s v="S1273"/>
    <s v="Kavita Mehta"/>
    <s v="C203"/>
    <x v="1"/>
    <s v="B3"/>
    <s v="Priya"/>
    <x v="1"/>
    <n v="18525"/>
    <s v="DISC30"/>
    <n v="0.3"/>
    <n v="17000"/>
    <d v="2024-01-26T00:00:00"/>
  </r>
  <r>
    <s v="S1274"/>
    <s v="Karan Patel"/>
    <s v="C203"/>
    <x v="1"/>
    <s v="B3"/>
    <s v="Amit"/>
    <x v="0"/>
    <n v="16307"/>
    <s v="DISC20"/>
    <n v="0.2"/>
    <n v="17000"/>
    <d v="2024-01-30T00:00:00"/>
  </r>
  <r>
    <s v="S1275"/>
    <s v="Riya Rao"/>
    <s v="C204"/>
    <x v="3"/>
    <s v="B1"/>
    <s v="Saurabh"/>
    <x v="0"/>
    <n v="7207"/>
    <s v="DISC30"/>
    <n v="0.3"/>
    <n v="9000"/>
    <d v="2024-03-01T00:00:00"/>
  </r>
  <r>
    <s v="S1276"/>
    <s v="Rahul Nair"/>
    <s v="C204"/>
    <x v="3"/>
    <s v="B1"/>
    <s v="Saurabh"/>
    <x v="2"/>
    <n v="10824"/>
    <s v="DISC15"/>
    <m/>
    <n v="9000"/>
    <d v="2024-02-16T00:00:00"/>
  </r>
  <r>
    <s v="S1277"/>
    <s v="Pooja Patil"/>
    <s v="C202"/>
    <x v="2"/>
    <s v="B2"/>
    <s v="Amit"/>
    <x v="2"/>
    <n v="13042"/>
    <s v="DISC30"/>
    <n v="0.3"/>
    <n v="13000"/>
    <d v="2024-02-01T00:00:00"/>
  </r>
  <r>
    <s v="S1278"/>
    <s v="Aarav Shah"/>
    <s v="C204"/>
    <x v="3"/>
    <s v="B3"/>
    <s v="Priya"/>
    <x v="0"/>
    <n v="7881"/>
    <s v="DISC15"/>
    <m/>
    <n v="9000"/>
    <d v="2024-01-23T00:00:00"/>
  </r>
  <r>
    <s v="S1279"/>
    <s v="Aarav Kulkarni"/>
    <s v="C203"/>
    <x v="1"/>
    <s v="B2"/>
    <s v="Amit"/>
    <x v="1"/>
    <n v="17754"/>
    <m/>
    <m/>
    <n v="17000"/>
    <d v="2024-01-19T00:00:00"/>
  </r>
  <r>
    <s v="S1280"/>
    <s v="Manish Kulkarni"/>
    <s v="C201"/>
    <x v="0"/>
    <s v="B2"/>
    <s v="Saurabh"/>
    <x v="2"/>
    <n v="14979"/>
    <s v="DISC30"/>
    <n v="0.3"/>
    <n v="14000"/>
    <d v="2024-02-18T00:00:00"/>
  </r>
  <r>
    <s v="S1281"/>
    <s v="Rahul Jain"/>
    <s v="C201"/>
    <x v="0"/>
    <s v="B2"/>
    <s v="Saurabh"/>
    <x v="1"/>
    <n v="14301"/>
    <s v="DISC20"/>
    <n v="0.2"/>
    <n v="14000"/>
    <d v="2024-01-24T00:00:00"/>
  </r>
  <r>
    <s v="S1282"/>
    <s v="Manish Rao"/>
    <s v="C201"/>
    <x v="0"/>
    <s v="B2"/>
    <s v="Amit"/>
    <x v="2"/>
    <n v="15130"/>
    <s v="DISC15"/>
    <m/>
    <n v="14000"/>
    <d v="2024-01-18T00:00:00"/>
  </r>
  <r>
    <s v="S1283"/>
    <s v="Meera Joshi"/>
    <s v="C201"/>
    <x v="0"/>
    <s v="B1"/>
    <s v="Saurabh"/>
    <x v="2"/>
    <n v="13528"/>
    <s v="DISC30"/>
    <n v="0.3"/>
    <n v="14000"/>
    <d v="2024-02-05T00:00:00"/>
  </r>
  <r>
    <s v="S1284"/>
    <s v="Pooja Patel"/>
    <s v="C202"/>
    <x v="2"/>
    <s v="B1"/>
    <s v="Amit"/>
    <x v="1"/>
    <n v="12644"/>
    <s v="DISC15"/>
    <m/>
    <n v="13000"/>
    <d v="2024-01-03T00:00:00"/>
  </r>
  <r>
    <s v="S1285"/>
    <s v="Aarav Kulkarni"/>
    <s v="C202"/>
    <x v="2"/>
    <s v="B3"/>
    <s v="Priya"/>
    <x v="2"/>
    <n v="13127"/>
    <m/>
    <m/>
    <n v="13000"/>
    <d v="2024-01-10T00:00:00"/>
  </r>
  <r>
    <s v="S1286"/>
    <s v="Kavita Gupta"/>
    <s v="C202"/>
    <x v="2"/>
    <s v="B2"/>
    <s v="Amit"/>
    <x v="2"/>
    <n v="11665"/>
    <m/>
    <m/>
    <n v="13000"/>
    <d v="2024-02-09T00:00:00"/>
  </r>
  <r>
    <s v="S1287"/>
    <s v="Anjali Nair"/>
    <s v="C203"/>
    <x v="1"/>
    <s v="B3"/>
    <s v="Priya"/>
    <x v="1"/>
    <n v="18392"/>
    <s v="DISC15"/>
    <m/>
    <n v="17000"/>
    <d v="2024-02-04T00:00:00"/>
  </r>
  <r>
    <s v="S1288"/>
    <s v="Neha Desai"/>
    <s v="C203"/>
    <x v="1"/>
    <s v="B2"/>
    <s v="Saurabh"/>
    <x v="2"/>
    <n v="16356"/>
    <s v="DISC10"/>
    <n v="0.1"/>
    <n v="17000"/>
    <d v="2024-01-27T00:00:00"/>
  </r>
  <r>
    <s v="S1289"/>
    <s v="Kavita Rao"/>
    <s v="C201"/>
    <x v="0"/>
    <s v="B3"/>
    <s v="Priya"/>
    <x v="2"/>
    <n v="15961"/>
    <s v="DISC15"/>
    <m/>
    <n v="14000"/>
    <d v="2024-02-06T00:00:00"/>
  </r>
  <r>
    <s v="S1290"/>
    <s v="Sneha Desai"/>
    <s v="C201"/>
    <x v="0"/>
    <s v="B3"/>
    <s v="Priya"/>
    <x v="0"/>
    <n v="14147"/>
    <s v="DISC15"/>
    <m/>
    <n v="14000"/>
    <d v="2024-02-19T00:00:00"/>
  </r>
  <r>
    <s v="S1291"/>
    <s v="Meera Verma"/>
    <s v="C202"/>
    <x v="2"/>
    <s v="B3"/>
    <s v="Saurabh"/>
    <x v="0"/>
    <n v="13345"/>
    <s v="DISC10"/>
    <n v="0.1"/>
    <n v="13000"/>
    <d v="2024-01-13T00:00:00"/>
  </r>
  <r>
    <s v="S1292"/>
    <s v="Aarav Iyer"/>
    <s v="C203"/>
    <x v="1"/>
    <s v="B2"/>
    <s v="Saurabh"/>
    <x v="2"/>
    <n v="17828"/>
    <s v="DISC20"/>
    <n v="0.2"/>
    <n v="17000"/>
    <d v="2024-01-27T00:00:00"/>
  </r>
  <r>
    <s v="S1293"/>
    <s v="Manish Patel"/>
    <s v="C204"/>
    <x v="3"/>
    <s v="B3"/>
    <s v="Amit"/>
    <x v="0"/>
    <n v="9890"/>
    <s v="DISC20"/>
    <n v="0.2"/>
    <n v="9000"/>
    <d v="2024-02-03T00:00:00"/>
  </r>
  <r>
    <s v="S1294"/>
    <s v="Sneha Gupta"/>
    <s v="C203"/>
    <x v="1"/>
    <s v="B3"/>
    <s v="Priya"/>
    <x v="1"/>
    <n v="16543"/>
    <s v="DISC30"/>
    <n v="0.3"/>
    <n v="17000"/>
    <d v="2024-01-12T00:00:00"/>
  </r>
  <r>
    <s v="S1295"/>
    <s v="Neha Gupta"/>
    <s v="C203"/>
    <x v="1"/>
    <s v="B3"/>
    <s v="Priya"/>
    <x v="1"/>
    <n v="18162"/>
    <s v="DISC30"/>
    <n v="0.3"/>
    <n v="17000"/>
    <d v="2024-02-09T00:00:00"/>
  </r>
  <r>
    <s v="S1296"/>
    <s v="Neha Patil"/>
    <s v="C202"/>
    <x v="2"/>
    <s v="B2"/>
    <s v="Amit"/>
    <x v="2"/>
    <n v="11921"/>
    <s v="DISC30"/>
    <n v="0.3"/>
    <n v="13000"/>
    <d v="2024-02-19T00:00:00"/>
  </r>
  <r>
    <s v="S1297"/>
    <s v="Aditya Desai"/>
    <s v="C202"/>
    <x v="2"/>
    <s v="B3"/>
    <s v="Amit"/>
    <x v="2"/>
    <n v="12298"/>
    <m/>
    <m/>
    <n v="13000"/>
    <d v="2024-01-23T00:00:00"/>
  </r>
  <r>
    <s v="S1298"/>
    <s v="Manish Patel"/>
    <s v="C203"/>
    <x v="1"/>
    <s v="B2"/>
    <s v="Saurabh"/>
    <x v="1"/>
    <n v="17771"/>
    <s v="DISC15"/>
    <m/>
    <n v="17000"/>
    <d v="2024-01-25T00:00:00"/>
  </r>
  <r>
    <s v="S1299"/>
    <s v="Kunal Verma"/>
    <s v="C203"/>
    <x v="1"/>
    <s v="B1"/>
    <s v="Priya"/>
    <x v="0"/>
    <n v="16178"/>
    <s v="DISC10"/>
    <n v="0.1"/>
    <n v="17000"/>
    <d v="2024-01-23T00:00:00"/>
  </r>
  <r>
    <s v="S1300"/>
    <s v="Kunal Iyer"/>
    <s v="C203"/>
    <x v="1"/>
    <s v="B3"/>
    <s v="Priya"/>
    <x v="0"/>
    <n v="15827"/>
    <s v="DISC15"/>
    <m/>
    <n v="17000"/>
    <d v="2024-01-18T00:00:00"/>
  </r>
  <r>
    <s v="S1301"/>
    <s v="Kunal Gupta"/>
    <s v="C203"/>
    <x v="1"/>
    <s v="B1"/>
    <s v="Saurabh"/>
    <x v="1"/>
    <n v="18034"/>
    <s v="DISC15"/>
    <m/>
    <n v="17000"/>
    <d v="2024-01-16T00:00:00"/>
  </r>
  <r>
    <s v="S1302"/>
    <s v="Sneha Kulkarni"/>
    <s v="C202"/>
    <x v="2"/>
    <s v="B3"/>
    <s v="Saurabh"/>
    <x v="0"/>
    <n v="11410"/>
    <m/>
    <m/>
    <n v="13000"/>
    <d v="2024-01-22T00:00:00"/>
  </r>
  <r>
    <s v="S1303"/>
    <s v="Anjali Iyer"/>
    <s v="C201"/>
    <x v="0"/>
    <s v="B3"/>
    <s v="Saurabh"/>
    <x v="0"/>
    <n v="15950"/>
    <s v="DISC15"/>
    <m/>
    <n v="14000"/>
    <d v="2024-02-29T00:00:00"/>
  </r>
  <r>
    <s v="S1304"/>
    <s v="Karan Verma"/>
    <s v="C204"/>
    <x v="3"/>
    <s v="B2"/>
    <s v="Amit"/>
    <x v="0"/>
    <n v="10096"/>
    <s v="DISC30"/>
    <n v="0.3"/>
    <n v="9000"/>
    <d v="2024-01-21T00:00:00"/>
  </r>
  <r>
    <s v="S1305"/>
    <s v="Aditya Singh"/>
    <s v="C201"/>
    <x v="0"/>
    <s v="B1"/>
    <s v="Amit"/>
    <x v="1"/>
    <n v="12951"/>
    <s v="DISC15"/>
    <m/>
    <n v="14000"/>
    <d v="2024-02-17T00:00:00"/>
  </r>
  <r>
    <s v="S1306"/>
    <s v="Anjali Nair"/>
    <s v="C201"/>
    <x v="0"/>
    <s v="B1"/>
    <s v="Priya"/>
    <x v="0"/>
    <n v="15825"/>
    <s v="DISC10"/>
    <n v="0.1"/>
    <n v="14000"/>
    <d v="2024-02-23T00:00:00"/>
  </r>
  <r>
    <s v="S1307"/>
    <s v="Rahul Patel"/>
    <s v="C204"/>
    <x v="3"/>
    <s v="B1"/>
    <s v="Amit"/>
    <x v="2"/>
    <n v="10591"/>
    <s v="DISC10"/>
    <n v="0.1"/>
    <n v="9000"/>
    <d v="2024-01-01T00:00:00"/>
  </r>
  <r>
    <s v="S1308"/>
    <s v="Aditya Joshi"/>
    <s v="C201"/>
    <x v="0"/>
    <s v="B2"/>
    <s v="Priya"/>
    <x v="2"/>
    <n v="14626"/>
    <s v="DISC15"/>
    <m/>
    <n v="14000"/>
    <d v="2024-02-03T00:00:00"/>
  </r>
  <r>
    <s v="S1309"/>
    <s v="Neha Mehta"/>
    <s v="C204"/>
    <x v="3"/>
    <s v="B2"/>
    <s v="Saurabh"/>
    <x v="0"/>
    <n v="8354"/>
    <s v="DISC20"/>
    <n v="0.2"/>
    <n v="9000"/>
    <d v="2024-02-16T00:00:00"/>
  </r>
  <r>
    <s v="S1310"/>
    <s v="Neha Singh"/>
    <s v="C203"/>
    <x v="1"/>
    <s v="B3"/>
    <s v="Saurabh"/>
    <x v="0"/>
    <n v="18017"/>
    <s v="DISC30"/>
    <n v="0.3"/>
    <n v="17000"/>
    <d v="2024-02-20T00:00:00"/>
  </r>
  <r>
    <s v="S1311"/>
    <s v="Aditya Joshi"/>
    <s v="C202"/>
    <x v="2"/>
    <s v="B1"/>
    <s v="Amit"/>
    <x v="1"/>
    <n v="14674"/>
    <m/>
    <m/>
    <n v="13000"/>
    <d v="2024-02-22T00:00:00"/>
  </r>
  <r>
    <s v="S1312"/>
    <s v="Rahul Gupta"/>
    <s v="C203"/>
    <x v="1"/>
    <s v="B1"/>
    <s v="Priya"/>
    <x v="1"/>
    <n v="15390"/>
    <s v="DISC20"/>
    <n v="0.2"/>
    <n v="17000"/>
    <d v="2024-01-09T00:00:00"/>
  </r>
  <r>
    <s v="S1313"/>
    <s v="Neha Jain"/>
    <s v="C202"/>
    <x v="2"/>
    <s v="B1"/>
    <s v="Priya"/>
    <x v="2"/>
    <n v="11964"/>
    <m/>
    <m/>
    <n v="13000"/>
    <d v="2024-02-18T00:00:00"/>
  </r>
  <r>
    <s v="S1314"/>
    <s v="Aditya Jain"/>
    <s v="C203"/>
    <x v="1"/>
    <s v="B3"/>
    <s v="Amit"/>
    <x v="1"/>
    <n v="15046"/>
    <s v="DISC30"/>
    <n v="0.3"/>
    <n v="17000"/>
    <d v="2024-02-11T00:00:00"/>
  </r>
  <r>
    <s v="S1315"/>
    <s v="Pooja Desai"/>
    <s v="C202"/>
    <x v="2"/>
    <s v="B1"/>
    <s v="Amit"/>
    <x v="0"/>
    <n v="12906"/>
    <s v="DISC30"/>
    <n v="0.3"/>
    <n v="13000"/>
    <d v="2024-01-11T00:00:00"/>
  </r>
  <r>
    <s v="S1316"/>
    <s v="Rahul Singh"/>
    <s v="C203"/>
    <x v="1"/>
    <s v="B3"/>
    <s v="Saurabh"/>
    <x v="1"/>
    <n v="18752"/>
    <s v="DISC30"/>
    <n v="0.3"/>
    <n v="17000"/>
    <d v="2024-01-24T00:00:00"/>
  </r>
  <r>
    <s v="S1317"/>
    <s v="Kavita Patil"/>
    <s v="C202"/>
    <x v="2"/>
    <s v="B1"/>
    <s v="Priya"/>
    <x v="0"/>
    <n v="12863"/>
    <s v="DISC15"/>
    <m/>
    <n v="13000"/>
    <d v="2024-01-24T00:00:00"/>
  </r>
  <r>
    <s v="S1318"/>
    <s v="Rahul Desai"/>
    <s v="C204"/>
    <x v="3"/>
    <s v="B3"/>
    <s v="Amit"/>
    <x v="0"/>
    <n v="10120"/>
    <s v="DISC20"/>
    <n v="0.2"/>
    <n v="9000"/>
    <d v="2024-02-13T00:00:00"/>
  </r>
  <r>
    <s v="S1319"/>
    <s v="Dev Joshi"/>
    <s v="C201"/>
    <x v="0"/>
    <s v="B3"/>
    <s v="Priya"/>
    <x v="1"/>
    <n v="14882"/>
    <s v="DISC30"/>
    <n v="0.3"/>
    <n v="14000"/>
    <d v="2024-01-05T00:00:00"/>
  </r>
  <r>
    <s v="S1320"/>
    <s v="Kunal Joshi"/>
    <s v="C201"/>
    <x v="0"/>
    <s v="B1"/>
    <s v="Amit"/>
    <x v="1"/>
    <n v="12828"/>
    <s v="DISC15"/>
    <m/>
    <n v="14000"/>
    <d v="2024-02-04T00:00:00"/>
  </r>
  <r>
    <s v="S1321"/>
    <s v="Karan Mehta"/>
    <s v="C203"/>
    <x v="1"/>
    <s v="B3"/>
    <s v="Priya"/>
    <x v="0"/>
    <n v="17786"/>
    <s v="DISC20"/>
    <n v="0.2"/>
    <n v="17000"/>
    <d v="2024-02-15T00:00:00"/>
  </r>
  <r>
    <s v="S1322"/>
    <s v="Kavita Iyer"/>
    <s v="C201"/>
    <x v="0"/>
    <s v="B3"/>
    <s v="Priya"/>
    <x v="0"/>
    <n v="13857"/>
    <s v="DISC20"/>
    <n v="0.2"/>
    <n v="14000"/>
    <d v="2024-02-02T00:00:00"/>
  </r>
  <r>
    <s v="S1323"/>
    <s v="Rahul Iyer"/>
    <s v="C201"/>
    <x v="0"/>
    <s v="B3"/>
    <s v="Priya"/>
    <x v="1"/>
    <n v="15305"/>
    <s v="DISC30"/>
    <n v="0.3"/>
    <n v="14000"/>
    <d v="2024-02-16T00:00:00"/>
  </r>
  <r>
    <s v="S1324"/>
    <s v="Aarav Verma"/>
    <s v="C203"/>
    <x v="1"/>
    <s v="B1"/>
    <s v="Amit"/>
    <x v="0"/>
    <n v="17368"/>
    <s v="DISC10"/>
    <n v="0.1"/>
    <n v="17000"/>
    <d v="2024-01-03T00:00:00"/>
  </r>
  <r>
    <s v="S1325"/>
    <s v="Rahul Jain"/>
    <s v="C201"/>
    <x v="0"/>
    <s v="B3"/>
    <s v="Saurabh"/>
    <x v="0"/>
    <n v="15824"/>
    <m/>
    <m/>
    <n v="14000"/>
    <d v="2024-01-03T00:00:00"/>
  </r>
  <r>
    <s v="S1326"/>
    <s v="Aditya Verma"/>
    <s v="C202"/>
    <x v="2"/>
    <s v="B1"/>
    <s v="Amit"/>
    <x v="1"/>
    <n v="13645"/>
    <m/>
    <m/>
    <n v="13000"/>
    <d v="2024-01-24T00:00:00"/>
  </r>
  <r>
    <s v="S1327"/>
    <s v="Kunal Verma"/>
    <s v="C204"/>
    <x v="3"/>
    <s v="B2"/>
    <s v="Priya"/>
    <x v="0"/>
    <n v="9796"/>
    <s v="DISC15"/>
    <m/>
    <n v="9000"/>
    <d v="2024-01-09T00:00:00"/>
  </r>
  <r>
    <s v="S1328"/>
    <s v="Rohit Nair"/>
    <s v="C203"/>
    <x v="1"/>
    <s v="B1"/>
    <s v="Saurabh"/>
    <x v="1"/>
    <n v="16609"/>
    <s v="DISC15"/>
    <m/>
    <n v="17000"/>
    <d v="2024-01-09T00:00:00"/>
  </r>
  <r>
    <s v="S1329"/>
    <s v="Anjali Patil"/>
    <s v="C201"/>
    <x v="0"/>
    <s v="B1"/>
    <s v="Priya"/>
    <x v="2"/>
    <n v="14758"/>
    <s v="DISC15"/>
    <m/>
    <n v="14000"/>
    <d v="2024-01-28T00:00:00"/>
  </r>
  <r>
    <s v="S1330"/>
    <s v="Manish Verma"/>
    <s v="C202"/>
    <x v="2"/>
    <s v="B1"/>
    <s v="Priya"/>
    <x v="2"/>
    <n v="11635"/>
    <s v="DISC30"/>
    <n v="0.3"/>
    <n v="13000"/>
    <d v="2024-01-13T00:00:00"/>
  </r>
  <r>
    <s v="S1331"/>
    <s v="Kunal Desai"/>
    <s v="C201"/>
    <x v="0"/>
    <s v="B1"/>
    <s v="Amit"/>
    <x v="2"/>
    <n v="14518"/>
    <s v="DISC10"/>
    <n v="0.1"/>
    <n v="14000"/>
    <d v="2024-01-16T00:00:00"/>
  </r>
  <r>
    <s v="S1332"/>
    <s v="Sneha Shah"/>
    <s v="C201"/>
    <x v="0"/>
    <s v="B3"/>
    <s v="Saurabh"/>
    <x v="2"/>
    <n v="14448"/>
    <s v="DISC10"/>
    <n v="0.1"/>
    <n v="14000"/>
    <d v="2024-01-16T00:00:00"/>
  </r>
  <r>
    <s v="S1333"/>
    <s v="Anjali Kulkarni"/>
    <s v="C204"/>
    <x v="3"/>
    <s v="B2"/>
    <s v="Saurabh"/>
    <x v="1"/>
    <n v="7889"/>
    <s v="DISC10"/>
    <n v="0.1"/>
    <n v="9000"/>
    <d v="2024-01-09T00:00:00"/>
  </r>
  <r>
    <s v="S1334"/>
    <s v="Manish Rao"/>
    <s v="C202"/>
    <x v="2"/>
    <s v="B3"/>
    <s v="Amit"/>
    <x v="2"/>
    <n v="13365"/>
    <s v="DISC15"/>
    <m/>
    <n v="13000"/>
    <d v="2024-02-19T00:00:00"/>
  </r>
  <r>
    <s v="S1335"/>
    <s v="Rohit Nair"/>
    <s v="C203"/>
    <x v="1"/>
    <s v="B1"/>
    <s v="Priya"/>
    <x v="0"/>
    <n v="17704"/>
    <s v="DISC15"/>
    <m/>
    <n v="17000"/>
    <d v="2024-01-15T00:00:00"/>
  </r>
  <r>
    <s v="S1336"/>
    <s v="Rahul Rao"/>
    <s v="C203"/>
    <x v="1"/>
    <s v="B1"/>
    <s v="Amit"/>
    <x v="1"/>
    <n v="18603"/>
    <s v="DISC20"/>
    <n v="0.2"/>
    <n v="17000"/>
    <d v="2024-02-10T00:00:00"/>
  </r>
  <r>
    <s v="S1337"/>
    <s v="Rohit Verma"/>
    <s v="C204"/>
    <x v="3"/>
    <s v="B1"/>
    <s v="Priya"/>
    <x v="1"/>
    <n v="9749"/>
    <m/>
    <m/>
    <n v="9000"/>
    <d v="2024-02-20T00:00:00"/>
  </r>
  <r>
    <s v="S1338"/>
    <s v="Manish Jain"/>
    <s v="C204"/>
    <x v="3"/>
    <s v="B2"/>
    <s v="Saurabh"/>
    <x v="2"/>
    <n v="8541"/>
    <s v="DISC20"/>
    <n v="0.2"/>
    <n v="9000"/>
    <d v="2024-02-18T00:00:00"/>
  </r>
  <r>
    <s v="S1339"/>
    <s v="Manish Iyer"/>
    <s v="C202"/>
    <x v="2"/>
    <s v="B1"/>
    <s v="Priya"/>
    <x v="1"/>
    <n v="11591"/>
    <m/>
    <m/>
    <n v="13000"/>
    <d v="2024-02-28T00:00:00"/>
  </r>
  <r>
    <s v="S1340"/>
    <s v="Aarav Gupta"/>
    <s v="C204"/>
    <x v="3"/>
    <s v="B2"/>
    <s v="Amit"/>
    <x v="1"/>
    <n v="7549"/>
    <m/>
    <m/>
    <n v="9000"/>
    <d v="2024-01-16T00:00:00"/>
  </r>
  <r>
    <s v="S1341"/>
    <s v="Aditya Patil"/>
    <s v="C203"/>
    <x v="1"/>
    <s v="B3"/>
    <s v="Saurabh"/>
    <x v="2"/>
    <n v="18469"/>
    <s v="DISC30"/>
    <n v="0.3"/>
    <n v="17000"/>
    <d v="2024-01-06T00:00:00"/>
  </r>
  <r>
    <s v="S1342"/>
    <s v="Manish Desai"/>
    <s v="C202"/>
    <x v="2"/>
    <s v="B1"/>
    <s v="Priya"/>
    <x v="2"/>
    <n v="13759"/>
    <s v="DISC15"/>
    <m/>
    <n v="13000"/>
    <d v="2024-02-08T00:00:00"/>
  </r>
  <r>
    <s v="S1343"/>
    <s v="Aarav Nair"/>
    <s v="C201"/>
    <x v="0"/>
    <s v="B1"/>
    <s v="Amit"/>
    <x v="1"/>
    <n v="14750"/>
    <s v="DISC15"/>
    <m/>
    <n v="14000"/>
    <d v="2024-01-14T00:00:00"/>
  </r>
  <r>
    <s v="S1344"/>
    <s v="Neha Patil"/>
    <s v="C203"/>
    <x v="1"/>
    <s v="B2"/>
    <s v="Saurabh"/>
    <x v="0"/>
    <n v="18838"/>
    <s v="DISC20"/>
    <n v="0.2"/>
    <n v="17000"/>
    <d v="2024-02-17T00:00:00"/>
  </r>
  <r>
    <s v="S1345"/>
    <s v="Riya Desai"/>
    <s v="C204"/>
    <x v="3"/>
    <s v="B1"/>
    <s v="Amit"/>
    <x v="1"/>
    <n v="9882"/>
    <s v="DISC20"/>
    <n v="0.2"/>
    <n v="9000"/>
    <d v="2024-01-26T00:00:00"/>
  </r>
  <r>
    <s v="S1346"/>
    <s v="Kunal Patil"/>
    <s v="C203"/>
    <x v="1"/>
    <s v="B2"/>
    <s v="Priya"/>
    <x v="2"/>
    <n v="17185"/>
    <s v="DISC30"/>
    <n v="0.3"/>
    <n v="17000"/>
    <d v="2024-01-20T00:00:00"/>
  </r>
  <r>
    <s v="S1347"/>
    <s v="Aditya Jain"/>
    <s v="C204"/>
    <x v="3"/>
    <s v="B2"/>
    <s v="Saurabh"/>
    <x v="1"/>
    <n v="8923"/>
    <s v="DISC30"/>
    <n v="0.3"/>
    <n v="9000"/>
    <d v="2024-02-28T00:00:00"/>
  </r>
  <r>
    <s v="S1348"/>
    <s v="Sneha Jain"/>
    <s v="C203"/>
    <x v="1"/>
    <s v="B2"/>
    <s v="Saurabh"/>
    <x v="1"/>
    <n v="18539"/>
    <s v="DISC20"/>
    <n v="0.2"/>
    <n v="17000"/>
    <d v="2024-02-17T00:00:00"/>
  </r>
  <r>
    <s v="S1349"/>
    <s v="Karan Kulkarni"/>
    <s v="C203"/>
    <x v="1"/>
    <s v="B3"/>
    <s v="Amit"/>
    <x v="1"/>
    <n v="17949"/>
    <m/>
    <m/>
    <n v="17000"/>
    <d v="2024-01-19T00:00:00"/>
  </r>
  <r>
    <s v="S1350"/>
    <s v="Karan Patil"/>
    <s v="C203"/>
    <x v="1"/>
    <s v="B1"/>
    <s v="Priya"/>
    <x v="1"/>
    <n v="18413"/>
    <s v="DISC20"/>
    <n v="0.2"/>
    <n v="17000"/>
    <d v="2024-02-01T00:00:00"/>
  </r>
  <r>
    <s v="S1351"/>
    <s v="Manish Singh"/>
    <s v="C203"/>
    <x v="1"/>
    <s v="B2"/>
    <s v="Priya"/>
    <x v="1"/>
    <n v="17628"/>
    <m/>
    <m/>
    <n v="17000"/>
    <d v="2024-01-30T00:00:00"/>
  </r>
  <r>
    <s v="S1352"/>
    <s v="Karan Desai"/>
    <s v="C203"/>
    <x v="1"/>
    <s v="B1"/>
    <s v="Saurabh"/>
    <x v="1"/>
    <n v="17238"/>
    <m/>
    <m/>
    <n v="17000"/>
    <d v="2024-01-12T00:00:00"/>
  </r>
  <r>
    <s v="S1353"/>
    <s v="Kunal Gupta"/>
    <s v="C201"/>
    <x v="0"/>
    <s v="B3"/>
    <s v="Saurabh"/>
    <x v="0"/>
    <n v="15871"/>
    <s v="DISC10"/>
    <n v="0.1"/>
    <n v="14000"/>
    <d v="2024-02-18T00:00:00"/>
  </r>
  <r>
    <s v="S1354"/>
    <s v="Aarav Verma"/>
    <s v="C202"/>
    <x v="2"/>
    <s v="B3"/>
    <s v="Saurabh"/>
    <x v="0"/>
    <n v="13896"/>
    <s v="DISC20"/>
    <n v="0.2"/>
    <n v="13000"/>
    <d v="2024-01-01T00:00:00"/>
  </r>
  <r>
    <s v="S1355"/>
    <s v="Sneha Gupta"/>
    <s v="C204"/>
    <x v="3"/>
    <s v="B2"/>
    <s v="Saurabh"/>
    <x v="1"/>
    <n v="9612"/>
    <s v="DISC15"/>
    <m/>
    <n v="9000"/>
    <d v="2024-02-28T00:00:00"/>
  </r>
  <r>
    <s v="S1356"/>
    <s v="Neha Singh"/>
    <s v="C204"/>
    <x v="3"/>
    <s v="B1"/>
    <s v="Saurabh"/>
    <x v="1"/>
    <n v="9259"/>
    <m/>
    <m/>
    <n v="9000"/>
    <d v="2024-01-01T00:00:00"/>
  </r>
  <r>
    <s v="S1357"/>
    <s v="Aarav Gupta"/>
    <s v="C203"/>
    <x v="1"/>
    <s v="B3"/>
    <s v="Priya"/>
    <x v="0"/>
    <n v="17057"/>
    <m/>
    <m/>
    <n v="17000"/>
    <d v="2024-02-21T00:00:00"/>
  </r>
  <r>
    <s v="S1358"/>
    <s v="Kunal Mehta"/>
    <s v="C201"/>
    <x v="0"/>
    <s v="B1"/>
    <s v="Amit"/>
    <x v="0"/>
    <n v="12987"/>
    <s v="DISC20"/>
    <n v="0.2"/>
    <n v="14000"/>
    <d v="2024-02-09T00:00:00"/>
  </r>
  <r>
    <s v="S1359"/>
    <s v="Manish Rao"/>
    <s v="C203"/>
    <x v="1"/>
    <s v="B2"/>
    <s v="Priya"/>
    <x v="0"/>
    <n v="16528"/>
    <m/>
    <m/>
    <n v="17000"/>
    <d v="2024-01-30T00:00:00"/>
  </r>
  <r>
    <s v="S1360"/>
    <s v="Kavita Patil"/>
    <s v="C202"/>
    <x v="2"/>
    <s v="B2"/>
    <s v="Amit"/>
    <x v="0"/>
    <n v="13677"/>
    <s v="DISC10"/>
    <n v="0.1"/>
    <n v="13000"/>
    <d v="2024-01-06T00:00:00"/>
  </r>
  <r>
    <s v="S1361"/>
    <s v="Rahul Verma"/>
    <s v="C204"/>
    <x v="3"/>
    <s v="B3"/>
    <s v="Priya"/>
    <x v="0"/>
    <n v="9608"/>
    <s v="DISC10"/>
    <n v="0.1"/>
    <n v="9000"/>
    <d v="2024-02-14T00:00:00"/>
  </r>
  <r>
    <s v="S1362"/>
    <s v="Karan Shah"/>
    <s v="C204"/>
    <x v="3"/>
    <s v="B2"/>
    <s v="Amit"/>
    <x v="2"/>
    <n v="9317"/>
    <s v="DISC10"/>
    <n v="0.1"/>
    <n v="9000"/>
    <d v="2024-02-27T00:00:00"/>
  </r>
  <r>
    <s v="S1363"/>
    <s v="Manish Kulkarni"/>
    <s v="C202"/>
    <x v="2"/>
    <s v="B1"/>
    <s v="Amit"/>
    <x v="1"/>
    <n v="12947"/>
    <s v="DISC30"/>
    <n v="0.3"/>
    <n v="13000"/>
    <d v="2024-01-03T00:00:00"/>
  </r>
  <r>
    <s v="S1364"/>
    <s v="Kunal Shah"/>
    <s v="C203"/>
    <x v="1"/>
    <s v="B3"/>
    <s v="Amit"/>
    <x v="1"/>
    <n v="15134"/>
    <s v="DISC20"/>
    <n v="0.2"/>
    <n v="17000"/>
    <d v="2024-02-29T00:00:00"/>
  </r>
  <r>
    <s v="S1365"/>
    <s v="Meera Jain"/>
    <s v="C201"/>
    <x v="0"/>
    <s v="B1"/>
    <s v="Amit"/>
    <x v="0"/>
    <n v="15081"/>
    <m/>
    <m/>
    <n v="14000"/>
    <d v="2024-02-29T00:00:00"/>
  </r>
  <r>
    <s v="S1366"/>
    <s v="Riya Rao"/>
    <s v="C202"/>
    <x v="2"/>
    <s v="B3"/>
    <s v="Saurabh"/>
    <x v="1"/>
    <n v="14418"/>
    <m/>
    <m/>
    <n v="13000"/>
    <d v="2024-02-13T00:00:00"/>
  </r>
  <r>
    <s v="S1367"/>
    <s v="Kunal Gupta"/>
    <s v="C203"/>
    <x v="1"/>
    <s v="B2"/>
    <s v="Amit"/>
    <x v="0"/>
    <n v="18237"/>
    <s v="DISC10"/>
    <n v="0.1"/>
    <n v="17000"/>
    <d v="2024-02-02T00:00:00"/>
  </r>
  <r>
    <s v="S1368"/>
    <s v="Anjali Jain"/>
    <s v="C201"/>
    <x v="0"/>
    <s v="B1"/>
    <s v="Priya"/>
    <x v="0"/>
    <n v="15435"/>
    <s v="DISC10"/>
    <n v="0.1"/>
    <n v="14000"/>
    <d v="2024-01-22T00:00:00"/>
  </r>
  <r>
    <s v="S1369"/>
    <s v="Kavita Patel"/>
    <s v="C204"/>
    <x v="3"/>
    <s v="B2"/>
    <s v="Saurabh"/>
    <x v="1"/>
    <n v="8119"/>
    <m/>
    <m/>
    <n v="9000"/>
    <d v="2024-02-01T00:00:00"/>
  </r>
  <r>
    <s v="S1370"/>
    <s v="Sneha Jain"/>
    <s v="C204"/>
    <x v="3"/>
    <s v="B2"/>
    <s v="Saurabh"/>
    <x v="1"/>
    <n v="9399"/>
    <m/>
    <m/>
    <n v="9000"/>
    <d v="2024-01-06T00:00:00"/>
  </r>
  <r>
    <s v="S1371"/>
    <s v="Dev Joshi"/>
    <s v="C203"/>
    <x v="1"/>
    <s v="B1"/>
    <s v="Amit"/>
    <x v="0"/>
    <n v="15336"/>
    <s v="DISC30"/>
    <n v="0.3"/>
    <n v="17000"/>
    <d v="2024-01-10T00:00:00"/>
  </r>
  <r>
    <s v="S1372"/>
    <s v="Rahul Desai"/>
    <s v="C202"/>
    <x v="2"/>
    <s v="B3"/>
    <s v="Priya"/>
    <x v="2"/>
    <n v="12477"/>
    <s v="DISC10"/>
    <n v="0.1"/>
    <n v="13000"/>
    <d v="2024-01-06T00:00:00"/>
  </r>
  <r>
    <s v="S1373"/>
    <s v="Aarav Rao"/>
    <s v="C204"/>
    <x v="3"/>
    <s v="B2"/>
    <s v="Priya"/>
    <x v="0"/>
    <n v="7542"/>
    <s v="DISC10"/>
    <n v="0.1"/>
    <n v="9000"/>
    <d v="2024-01-12T00:00:00"/>
  </r>
  <r>
    <s v="S1374"/>
    <s v="Rahul Iyer"/>
    <s v="C204"/>
    <x v="3"/>
    <s v="B1"/>
    <s v="Saurabh"/>
    <x v="0"/>
    <n v="8449"/>
    <s v="DISC15"/>
    <m/>
    <n v="9000"/>
    <d v="2024-01-06T00:00:00"/>
  </r>
  <r>
    <s v="S1375"/>
    <s v="Kavita Joshi"/>
    <s v="C203"/>
    <x v="1"/>
    <s v="B2"/>
    <s v="Saurabh"/>
    <x v="2"/>
    <n v="16694"/>
    <m/>
    <m/>
    <n v="17000"/>
    <d v="2024-02-19T00:00:00"/>
  </r>
  <r>
    <s v="S1376"/>
    <s v="Riya Desai"/>
    <s v="C202"/>
    <x v="2"/>
    <s v="B3"/>
    <s v="Amit"/>
    <x v="0"/>
    <n v="13807"/>
    <m/>
    <m/>
    <n v="13000"/>
    <d v="2024-01-11T00:00:00"/>
  </r>
  <r>
    <s v="S1377"/>
    <s v="Karan Rao"/>
    <s v="C203"/>
    <x v="1"/>
    <s v="B2"/>
    <s v="Priya"/>
    <x v="0"/>
    <n v="15259"/>
    <s v="DISC20"/>
    <n v="0.2"/>
    <n v="17000"/>
    <d v="2024-01-28T00:00:00"/>
  </r>
  <r>
    <s v="S1378"/>
    <s v="Aditya Verma"/>
    <s v="C203"/>
    <x v="1"/>
    <s v="B2"/>
    <s v="Saurabh"/>
    <x v="2"/>
    <n v="16030"/>
    <s v="DISC20"/>
    <n v="0.2"/>
    <n v="17000"/>
    <d v="2024-02-16T00:00:00"/>
  </r>
  <r>
    <s v="S1379"/>
    <s v="Rohit Iyer"/>
    <s v="C202"/>
    <x v="2"/>
    <s v="B2"/>
    <s v="Saurabh"/>
    <x v="0"/>
    <n v="12247"/>
    <s v="DISC10"/>
    <n v="0.1"/>
    <n v="13000"/>
    <d v="2024-03-01T00:00:00"/>
  </r>
  <r>
    <s v="S1380"/>
    <s v="Rahul Jain"/>
    <s v="C204"/>
    <x v="3"/>
    <s v="B2"/>
    <s v="Priya"/>
    <x v="2"/>
    <n v="8763"/>
    <s v="DISC15"/>
    <m/>
    <n v="9000"/>
    <d v="2024-01-09T00:00:00"/>
  </r>
  <r>
    <s v="S1381"/>
    <s v="Aditya Jain"/>
    <s v="C202"/>
    <x v="2"/>
    <s v="B2"/>
    <s v="Priya"/>
    <x v="0"/>
    <n v="14950"/>
    <m/>
    <m/>
    <n v="13000"/>
    <d v="2024-01-21T00:00:00"/>
  </r>
  <r>
    <s v="S1382"/>
    <s v="Aditya Desai"/>
    <s v="C204"/>
    <x v="3"/>
    <s v="B3"/>
    <s v="Saurabh"/>
    <x v="2"/>
    <n v="8540"/>
    <s v="DISC30"/>
    <n v="0.3"/>
    <n v="9000"/>
    <d v="2024-02-22T00:00:00"/>
  </r>
  <r>
    <s v="S1383"/>
    <s v="Dev Verma"/>
    <s v="C203"/>
    <x v="1"/>
    <s v="B1"/>
    <s v="Amit"/>
    <x v="0"/>
    <n v="17425"/>
    <s v="DISC15"/>
    <m/>
    <n v="17000"/>
    <d v="2024-01-12T00:00:00"/>
  </r>
  <r>
    <s v="S1384"/>
    <s v="Rohit Patel"/>
    <s v="C201"/>
    <x v="0"/>
    <s v="B3"/>
    <s v="Priya"/>
    <x v="1"/>
    <n v="12858"/>
    <m/>
    <m/>
    <n v="14000"/>
    <d v="2024-02-21T00:00:00"/>
  </r>
  <r>
    <s v="S1385"/>
    <s v="Aditya Nair"/>
    <s v="C201"/>
    <x v="0"/>
    <s v="B2"/>
    <s v="Amit"/>
    <x v="2"/>
    <n v="12570"/>
    <s v="DISC30"/>
    <n v="0.3"/>
    <n v="14000"/>
    <d v="2024-01-16T00:00:00"/>
  </r>
  <r>
    <s v="S1386"/>
    <s v="Aditya Singh"/>
    <s v="C202"/>
    <x v="2"/>
    <s v="B3"/>
    <s v="Priya"/>
    <x v="2"/>
    <n v="11302"/>
    <m/>
    <m/>
    <n v="13000"/>
    <d v="2024-02-08T00:00:00"/>
  </r>
  <r>
    <s v="S1387"/>
    <s v="Neha Joshi"/>
    <s v="C204"/>
    <x v="3"/>
    <s v="B3"/>
    <s v="Amit"/>
    <x v="1"/>
    <n v="8713"/>
    <s v="DISC15"/>
    <m/>
    <n v="9000"/>
    <d v="2024-01-03T00:00:00"/>
  </r>
  <r>
    <s v="S1388"/>
    <s v="Dev Jain"/>
    <s v="C201"/>
    <x v="0"/>
    <s v="B1"/>
    <s v="Saurabh"/>
    <x v="1"/>
    <n v="14722"/>
    <s v="DISC30"/>
    <n v="0.3"/>
    <n v="14000"/>
    <d v="2024-01-11T00:00:00"/>
  </r>
  <r>
    <s v="S1389"/>
    <s v="Rohit Joshi"/>
    <s v="C201"/>
    <x v="0"/>
    <s v="B3"/>
    <s v="Amit"/>
    <x v="1"/>
    <n v="14649"/>
    <m/>
    <m/>
    <n v="14000"/>
    <d v="2024-02-18T00:00:00"/>
  </r>
  <r>
    <s v="S1390"/>
    <s v="Pooja Patel"/>
    <s v="C204"/>
    <x v="3"/>
    <s v="B1"/>
    <s v="Saurabh"/>
    <x v="0"/>
    <n v="8059"/>
    <s v="DISC20"/>
    <n v="0.2"/>
    <n v="9000"/>
    <d v="2024-02-02T00:00:00"/>
  </r>
  <r>
    <s v="S1391"/>
    <s v="Anjali Gupta"/>
    <s v="C202"/>
    <x v="2"/>
    <s v="B2"/>
    <s v="Priya"/>
    <x v="2"/>
    <n v="12896"/>
    <s v="DISC15"/>
    <m/>
    <n v="13000"/>
    <d v="2024-02-14T00:00:00"/>
  </r>
  <r>
    <s v="S1392"/>
    <s v="Manish Mehta"/>
    <s v="C203"/>
    <x v="1"/>
    <s v="B1"/>
    <s v="Priya"/>
    <x v="0"/>
    <n v="16210"/>
    <m/>
    <m/>
    <n v="17000"/>
    <d v="2024-02-28T00:00:00"/>
  </r>
  <r>
    <s v="S1393"/>
    <s v="Riya Shah"/>
    <s v="C202"/>
    <x v="2"/>
    <s v="B2"/>
    <s v="Priya"/>
    <x v="2"/>
    <n v="12865"/>
    <s v="DISC20"/>
    <n v="0.2"/>
    <n v="13000"/>
    <d v="2024-02-03T00:00:00"/>
  </r>
  <r>
    <s v="S1394"/>
    <s v="Neha Jain"/>
    <s v="C204"/>
    <x v="3"/>
    <s v="B1"/>
    <s v="Priya"/>
    <x v="1"/>
    <n v="9853"/>
    <m/>
    <m/>
    <n v="9000"/>
    <d v="2024-01-21T00:00:00"/>
  </r>
  <r>
    <s v="S1395"/>
    <s v="Riya Rao"/>
    <s v="C201"/>
    <x v="0"/>
    <s v="B3"/>
    <s v="Saurabh"/>
    <x v="0"/>
    <n v="15478"/>
    <s v="DISC30"/>
    <n v="0.3"/>
    <n v="14000"/>
    <d v="2024-02-11T00:00:00"/>
  </r>
  <r>
    <s v="S1396"/>
    <s v="Riya Singh"/>
    <s v="C202"/>
    <x v="2"/>
    <s v="B3"/>
    <s v="Saurabh"/>
    <x v="1"/>
    <n v="11714"/>
    <s v="DISC15"/>
    <m/>
    <n v="13000"/>
    <d v="2024-01-11T00:00:00"/>
  </r>
  <r>
    <s v="S1397"/>
    <s v="Pooja Gupta"/>
    <s v="C204"/>
    <x v="3"/>
    <s v="B2"/>
    <s v="Saurabh"/>
    <x v="2"/>
    <n v="9579"/>
    <s v="DISC20"/>
    <n v="0.2"/>
    <n v="9000"/>
    <d v="2024-01-12T00:00:00"/>
  </r>
  <r>
    <s v="S1398"/>
    <s v="Rohit Singh"/>
    <s v="C204"/>
    <x v="3"/>
    <s v="B2"/>
    <s v="Saurabh"/>
    <x v="1"/>
    <n v="9515"/>
    <s v="DISC20"/>
    <n v="0.2"/>
    <n v="9000"/>
    <d v="2024-01-29T00:00:00"/>
  </r>
  <r>
    <s v="S1399"/>
    <s v="Kavita Verma"/>
    <s v="C204"/>
    <x v="3"/>
    <s v="B1"/>
    <s v="Amit"/>
    <x v="0"/>
    <n v="7842"/>
    <s v="DISC30"/>
    <n v="0.3"/>
    <n v="9000"/>
    <d v="2024-02-18T00:00:00"/>
  </r>
  <r>
    <s v="S1400"/>
    <s v="Anjali Patel"/>
    <s v="C201"/>
    <x v="0"/>
    <s v="B3"/>
    <s v="Saurabh"/>
    <x v="1"/>
    <n v="12765"/>
    <s v="DISC30"/>
    <n v="0.3"/>
    <n v="14000"/>
    <d v="2024-01-21T00:00:00"/>
  </r>
  <r>
    <s v="S1401"/>
    <s v="Sneha Iyer"/>
    <s v="C201"/>
    <x v="0"/>
    <s v="B2"/>
    <s v="Amit"/>
    <x v="2"/>
    <n v="14161"/>
    <s v="DISC30"/>
    <n v="0.3"/>
    <n v="14000"/>
    <d v="2024-02-08T00:00:00"/>
  </r>
  <r>
    <s v="S1402"/>
    <s v="Rahul Joshi"/>
    <s v="C204"/>
    <x v="3"/>
    <s v="B3"/>
    <s v="Saurabh"/>
    <x v="2"/>
    <n v="8441"/>
    <m/>
    <m/>
    <n v="9000"/>
    <d v="2024-02-09T00:00:00"/>
  </r>
  <r>
    <s v="S1403"/>
    <s v="Karan Nair"/>
    <s v="C203"/>
    <x v="1"/>
    <s v="B3"/>
    <s v="Amit"/>
    <x v="0"/>
    <n v="17752"/>
    <s v="DISC20"/>
    <n v="0.2"/>
    <n v="17000"/>
    <d v="2024-01-21T00:00:00"/>
  </r>
  <r>
    <s v="S1404"/>
    <s v="Riya Patil"/>
    <s v="C203"/>
    <x v="1"/>
    <s v="B1"/>
    <s v="Saurabh"/>
    <x v="2"/>
    <n v="17840"/>
    <s v="DISC20"/>
    <n v="0.2"/>
    <n v="17000"/>
    <d v="2024-02-02T00:00:00"/>
  </r>
  <r>
    <s v="S1405"/>
    <s v="Rahul Verma"/>
    <s v="C202"/>
    <x v="2"/>
    <s v="B3"/>
    <s v="Priya"/>
    <x v="2"/>
    <n v="11760"/>
    <m/>
    <m/>
    <n v="13000"/>
    <d v="2024-02-10T00:00:00"/>
  </r>
  <r>
    <s v="S1406"/>
    <s v="Manish Desai"/>
    <s v="C202"/>
    <x v="2"/>
    <s v="B3"/>
    <s v="Saurabh"/>
    <x v="2"/>
    <n v="12183"/>
    <s v="DISC20"/>
    <n v="0.2"/>
    <n v="13000"/>
    <d v="2024-01-12T00:00:00"/>
  </r>
  <r>
    <s v="S1407"/>
    <s v="Pooja Nair"/>
    <s v="C204"/>
    <x v="3"/>
    <s v="B3"/>
    <s v="Saurabh"/>
    <x v="2"/>
    <n v="10898"/>
    <s v="DISC10"/>
    <n v="0.1"/>
    <n v="9000"/>
    <d v="2024-02-01T00:00:00"/>
  </r>
  <r>
    <s v="S1408"/>
    <s v="Karan Patil"/>
    <s v="C204"/>
    <x v="3"/>
    <s v="B3"/>
    <s v="Amit"/>
    <x v="1"/>
    <n v="9027"/>
    <m/>
    <m/>
    <n v="9000"/>
    <d v="2024-02-13T00:00:00"/>
  </r>
  <r>
    <s v="S1409"/>
    <s v="Neha Verma"/>
    <s v="C204"/>
    <x v="3"/>
    <s v="B2"/>
    <s v="Saurabh"/>
    <x v="0"/>
    <n v="9315"/>
    <s v="DISC10"/>
    <n v="0.1"/>
    <n v="9000"/>
    <d v="2024-02-20T00:00:00"/>
  </r>
  <r>
    <s v="S1410"/>
    <s v="Dev Patil"/>
    <s v="C203"/>
    <x v="1"/>
    <s v="B1"/>
    <s v="Priya"/>
    <x v="0"/>
    <n v="17202"/>
    <s v="DISC30"/>
    <n v="0.3"/>
    <n v="17000"/>
    <d v="2024-01-11T00:00:00"/>
  </r>
  <r>
    <s v="S1411"/>
    <s v="Dev Iyer"/>
    <s v="C204"/>
    <x v="3"/>
    <s v="B3"/>
    <s v="Amit"/>
    <x v="0"/>
    <n v="9345"/>
    <s v="DISC10"/>
    <n v="0.1"/>
    <n v="9000"/>
    <d v="2024-01-18T00:00:00"/>
  </r>
  <r>
    <s v="S1412"/>
    <s v="Dev Gupta"/>
    <s v="C203"/>
    <x v="1"/>
    <s v="B3"/>
    <s v="Saurabh"/>
    <x v="1"/>
    <n v="16807"/>
    <s v="DISC15"/>
    <m/>
    <n v="17000"/>
    <d v="2024-01-14T00:00:00"/>
  </r>
  <r>
    <s v="S1413"/>
    <s v="Rahul Shah"/>
    <s v="C202"/>
    <x v="2"/>
    <s v="B2"/>
    <s v="Saurabh"/>
    <x v="2"/>
    <n v="12076"/>
    <s v="DISC30"/>
    <n v="0.3"/>
    <n v="13000"/>
    <d v="2024-02-25T00:00:00"/>
  </r>
  <r>
    <s v="S1414"/>
    <s v="Meera Shah"/>
    <s v="C204"/>
    <x v="3"/>
    <s v="B1"/>
    <s v="Saurabh"/>
    <x v="0"/>
    <n v="10320"/>
    <s v="DISC15"/>
    <m/>
    <n v="9000"/>
    <d v="2024-02-14T00:00:00"/>
  </r>
  <r>
    <s v="S1415"/>
    <s v="Pooja Nair"/>
    <s v="C204"/>
    <x v="3"/>
    <s v="B1"/>
    <s v="Amit"/>
    <x v="0"/>
    <n v="10214"/>
    <s v="DISC20"/>
    <n v="0.2"/>
    <n v="9000"/>
    <d v="2024-02-22T00:00:00"/>
  </r>
  <r>
    <s v="S1416"/>
    <s v="Sneha Patel"/>
    <s v="C201"/>
    <x v="0"/>
    <s v="B3"/>
    <s v="Priya"/>
    <x v="1"/>
    <n v="13151"/>
    <s v="DISC15"/>
    <m/>
    <n v="14000"/>
    <d v="2024-02-04T00:00:00"/>
  </r>
  <r>
    <s v="S1417"/>
    <s v="Karan Jain"/>
    <s v="C203"/>
    <x v="1"/>
    <s v="B2"/>
    <s v="Amit"/>
    <x v="2"/>
    <n v="18901"/>
    <s v="DISC15"/>
    <m/>
    <n v="17000"/>
    <d v="2024-02-27T00:00:00"/>
  </r>
  <r>
    <s v="S1418"/>
    <s v="Rohit Nair"/>
    <s v="C201"/>
    <x v="0"/>
    <s v="B1"/>
    <s v="Priya"/>
    <x v="0"/>
    <n v="13135"/>
    <s v="DISC20"/>
    <n v="0.2"/>
    <n v="14000"/>
    <d v="2024-02-14T00:00:00"/>
  </r>
  <r>
    <s v="S1419"/>
    <s v="Meera Mehta"/>
    <s v="C202"/>
    <x v="2"/>
    <s v="B1"/>
    <s v="Amit"/>
    <x v="2"/>
    <n v="14393"/>
    <s v="DISC20"/>
    <n v="0.2"/>
    <n v="13000"/>
    <d v="2024-02-18T00:00:00"/>
  </r>
  <r>
    <s v="S1420"/>
    <s v="Meera Singh"/>
    <s v="C204"/>
    <x v="3"/>
    <s v="B2"/>
    <s v="Saurabh"/>
    <x v="1"/>
    <n v="9590"/>
    <s v="DISC30"/>
    <n v="0.3"/>
    <n v="9000"/>
    <d v="2024-02-10T00:00:00"/>
  </r>
  <r>
    <s v="S1421"/>
    <s v="Rahul Verma"/>
    <s v="C204"/>
    <x v="3"/>
    <s v="B1"/>
    <s v="Amit"/>
    <x v="0"/>
    <n v="8650"/>
    <s v="DISC15"/>
    <m/>
    <n v="9000"/>
    <d v="2024-02-17T00:00:00"/>
  </r>
  <r>
    <s v="S1422"/>
    <s v="Aditya Desai"/>
    <s v="C203"/>
    <x v="1"/>
    <s v="B2"/>
    <s v="Priya"/>
    <x v="2"/>
    <n v="17383"/>
    <s v="DISC10"/>
    <n v="0.1"/>
    <n v="17000"/>
    <d v="2024-02-25T00:00:00"/>
  </r>
  <r>
    <s v="S1423"/>
    <s v="Dev Nair"/>
    <s v="C201"/>
    <x v="0"/>
    <s v="B3"/>
    <s v="Priya"/>
    <x v="1"/>
    <n v="14720"/>
    <s v="DISC30"/>
    <n v="0.3"/>
    <n v="14000"/>
    <d v="2024-02-24T00:00:00"/>
  </r>
  <r>
    <s v="S1424"/>
    <s v="Riya Patel"/>
    <s v="C204"/>
    <x v="3"/>
    <s v="B1"/>
    <s v="Priya"/>
    <x v="0"/>
    <n v="9026"/>
    <s v="DISC30"/>
    <n v="0.3"/>
    <n v="9000"/>
    <d v="2024-01-21T00:00:00"/>
  </r>
  <r>
    <s v="S1425"/>
    <s v="Meera Rao"/>
    <s v="C203"/>
    <x v="1"/>
    <s v="B3"/>
    <s v="Amit"/>
    <x v="0"/>
    <n v="17318"/>
    <m/>
    <m/>
    <n v="17000"/>
    <d v="2024-02-20T00:00:00"/>
  </r>
  <r>
    <s v="S1426"/>
    <s v="Pooja Singh"/>
    <s v="C201"/>
    <x v="0"/>
    <s v="B1"/>
    <s v="Saurabh"/>
    <x v="1"/>
    <n v="15210"/>
    <m/>
    <m/>
    <n v="14000"/>
    <d v="2024-01-02T00:00:00"/>
  </r>
  <r>
    <s v="S1427"/>
    <s v="Riya Nair"/>
    <s v="C202"/>
    <x v="2"/>
    <s v="B2"/>
    <s v="Priya"/>
    <x v="0"/>
    <n v="14924"/>
    <m/>
    <m/>
    <n v="13000"/>
    <d v="2024-01-13T00:00:00"/>
  </r>
  <r>
    <s v="S1428"/>
    <s v="Anjali Mehta"/>
    <s v="C203"/>
    <x v="1"/>
    <s v="B1"/>
    <s v="Priya"/>
    <x v="0"/>
    <n v="17681"/>
    <s v="DISC30"/>
    <n v="0.3"/>
    <n v="17000"/>
    <d v="2024-01-17T00:00:00"/>
  </r>
  <r>
    <s v="S1429"/>
    <s v="Riya Jain"/>
    <s v="C202"/>
    <x v="2"/>
    <s v="B1"/>
    <s v="Priya"/>
    <x v="1"/>
    <n v="12251"/>
    <s v="DISC20"/>
    <n v="0.2"/>
    <n v="13000"/>
    <d v="2024-01-28T00:00:00"/>
  </r>
  <r>
    <s v="S1430"/>
    <s v="Rohit Shah"/>
    <s v="C201"/>
    <x v="0"/>
    <s v="B1"/>
    <s v="Saurabh"/>
    <x v="2"/>
    <n v="12319"/>
    <s v="DISC20"/>
    <n v="0.2"/>
    <n v="14000"/>
    <d v="2024-02-07T00:00:00"/>
  </r>
  <r>
    <s v="S1431"/>
    <s v="Sneha Gupta"/>
    <s v="C204"/>
    <x v="3"/>
    <s v="B1"/>
    <s v="Saurabh"/>
    <x v="1"/>
    <n v="8407"/>
    <s v="DISC10"/>
    <n v="0.1"/>
    <n v="9000"/>
    <d v="2024-02-25T00:00:00"/>
  </r>
  <r>
    <s v="S1432"/>
    <s v="Rahul Desai"/>
    <s v="C202"/>
    <x v="2"/>
    <s v="B2"/>
    <s v="Saurabh"/>
    <x v="0"/>
    <n v="12569"/>
    <s v="DISC10"/>
    <n v="0.1"/>
    <n v="13000"/>
    <d v="2024-02-16T00:00:00"/>
  </r>
  <r>
    <s v="S1433"/>
    <s v="Dev Shah"/>
    <s v="C201"/>
    <x v="0"/>
    <s v="B2"/>
    <s v="Priya"/>
    <x v="2"/>
    <n v="12561"/>
    <m/>
    <m/>
    <n v="14000"/>
    <d v="2024-02-19T00:00:00"/>
  </r>
  <r>
    <s v="S1434"/>
    <s v="Meera Patel"/>
    <s v="C202"/>
    <x v="2"/>
    <s v="B3"/>
    <s v="Amit"/>
    <x v="0"/>
    <n v="11280"/>
    <s v="DISC15"/>
    <m/>
    <n v="13000"/>
    <d v="2024-02-06T00:00:00"/>
  </r>
  <r>
    <s v="S1435"/>
    <s v="Aarav Joshi"/>
    <s v="C202"/>
    <x v="2"/>
    <s v="B2"/>
    <s v="Priya"/>
    <x v="1"/>
    <n v="11872"/>
    <s v="DISC20"/>
    <n v="0.2"/>
    <n v="13000"/>
    <d v="2024-02-28T00:00:00"/>
  </r>
  <r>
    <s v="S1436"/>
    <s v="Rahul Joshi"/>
    <s v="C204"/>
    <x v="3"/>
    <s v="B1"/>
    <s v="Saurabh"/>
    <x v="0"/>
    <n v="7573"/>
    <s v="DISC10"/>
    <n v="0.1"/>
    <n v="9000"/>
    <d v="2024-02-07T00:00:00"/>
  </r>
  <r>
    <s v="S1437"/>
    <s v="Anjali Verma"/>
    <s v="C203"/>
    <x v="1"/>
    <s v="B2"/>
    <s v="Priya"/>
    <x v="0"/>
    <n v="16014"/>
    <s v="DISC30"/>
    <n v="0.3"/>
    <n v="17000"/>
    <d v="2024-02-11T00:00:00"/>
  </r>
  <r>
    <s v="S1438"/>
    <s v="Riya Patil"/>
    <s v="C203"/>
    <x v="1"/>
    <s v="B3"/>
    <s v="Saurabh"/>
    <x v="1"/>
    <n v="18587"/>
    <s v="DISC30"/>
    <n v="0.3"/>
    <n v="17000"/>
    <d v="2024-01-14T00:00:00"/>
  </r>
  <r>
    <s v="S1439"/>
    <s v="Manish Joshi"/>
    <s v="C202"/>
    <x v="2"/>
    <s v="B3"/>
    <s v="Priya"/>
    <x v="2"/>
    <n v="13646"/>
    <s v="DISC10"/>
    <n v="0.1"/>
    <n v="13000"/>
    <d v="2024-02-20T00:00:00"/>
  </r>
  <r>
    <s v="S1440"/>
    <s v="Kunal Patel"/>
    <s v="C202"/>
    <x v="2"/>
    <s v="B2"/>
    <s v="Priya"/>
    <x v="0"/>
    <n v="11987"/>
    <m/>
    <m/>
    <n v="13000"/>
    <d v="2024-02-10T00:00:00"/>
  </r>
  <r>
    <s v="S1441"/>
    <s v="Kavita Shah"/>
    <s v="C201"/>
    <x v="0"/>
    <s v="B2"/>
    <s v="Priya"/>
    <x v="0"/>
    <n v="13584"/>
    <s v="DISC15"/>
    <m/>
    <n v="14000"/>
    <d v="2024-01-27T00:00:00"/>
  </r>
  <r>
    <s v="S1442"/>
    <s v="Pooja Gupta"/>
    <s v="C202"/>
    <x v="2"/>
    <s v="B2"/>
    <s v="Saurabh"/>
    <x v="0"/>
    <n v="13405"/>
    <s v="DISC10"/>
    <n v="0.1"/>
    <n v="13000"/>
    <d v="2024-01-01T00:00:00"/>
  </r>
  <r>
    <s v="S1443"/>
    <s v="Aditya Patil"/>
    <s v="C201"/>
    <x v="0"/>
    <s v="B1"/>
    <s v="Priya"/>
    <x v="1"/>
    <n v="13173"/>
    <s v="DISC15"/>
    <m/>
    <n v="14000"/>
    <d v="2024-02-19T00:00:00"/>
  </r>
  <r>
    <s v="S1444"/>
    <s v="Rahul Verma"/>
    <s v="C204"/>
    <x v="3"/>
    <s v="B1"/>
    <s v="Amit"/>
    <x v="1"/>
    <n v="9202"/>
    <s v="DISC15"/>
    <m/>
    <n v="9000"/>
    <d v="2024-01-10T00:00:00"/>
  </r>
  <r>
    <s v="S1445"/>
    <s v="Aditya Shah"/>
    <s v="C203"/>
    <x v="1"/>
    <s v="B1"/>
    <s v="Amit"/>
    <x v="0"/>
    <n v="18990"/>
    <s v="DISC20"/>
    <n v="0.2"/>
    <n v="17000"/>
    <d v="2024-02-04T00:00:00"/>
  </r>
  <r>
    <s v="S1446"/>
    <s v="Pooja Verma"/>
    <s v="C201"/>
    <x v="0"/>
    <s v="B2"/>
    <s v="Amit"/>
    <x v="2"/>
    <n v="14989"/>
    <s v="DISC20"/>
    <n v="0.2"/>
    <n v="14000"/>
    <d v="2024-01-04T00:00:00"/>
  </r>
  <r>
    <s v="S1447"/>
    <s v="Sneha Shah"/>
    <s v="C204"/>
    <x v="3"/>
    <s v="B1"/>
    <s v="Priya"/>
    <x v="1"/>
    <n v="9493"/>
    <s v="DISC10"/>
    <n v="0.1"/>
    <n v="9000"/>
    <d v="2024-01-20T00:00:00"/>
  </r>
  <r>
    <s v="S1448"/>
    <s v="Rohit Desai"/>
    <s v="C202"/>
    <x v="2"/>
    <s v="B1"/>
    <s v="Saurabh"/>
    <x v="1"/>
    <n v="11562"/>
    <s v="DISC10"/>
    <n v="0.1"/>
    <n v="13000"/>
    <d v="2024-01-11T00:00:00"/>
  </r>
  <r>
    <s v="S1449"/>
    <s v="Neha Jain"/>
    <s v="C203"/>
    <x v="1"/>
    <s v="B1"/>
    <s v="Priya"/>
    <x v="0"/>
    <n v="18071"/>
    <s v="DISC30"/>
    <n v="0.3"/>
    <n v="17000"/>
    <d v="2024-02-16T00:00:00"/>
  </r>
  <r>
    <s v="S1450"/>
    <s v="Kunal Shah"/>
    <s v="C201"/>
    <x v="0"/>
    <s v="B2"/>
    <s v="Priya"/>
    <x v="2"/>
    <n v="14145"/>
    <s v="DISC10"/>
    <n v="0.1"/>
    <n v="14000"/>
    <d v="2024-01-17T00:00:00"/>
  </r>
  <r>
    <s v="S1451"/>
    <s v="Anjali Joshi"/>
    <s v="C201"/>
    <x v="0"/>
    <s v="B2"/>
    <s v="Priya"/>
    <x v="1"/>
    <n v="13475"/>
    <s v="DISC10"/>
    <n v="0.1"/>
    <n v="14000"/>
    <d v="2024-02-01T00:00:00"/>
  </r>
  <r>
    <s v="S1452"/>
    <s v="Meera Joshi"/>
    <s v="C202"/>
    <x v="2"/>
    <s v="B2"/>
    <s v="Saurabh"/>
    <x v="2"/>
    <n v="14167"/>
    <s v="DISC10"/>
    <n v="0.1"/>
    <n v="13000"/>
    <d v="2024-02-27T00:00:00"/>
  </r>
  <r>
    <s v="S1453"/>
    <s v="Kavita Singh"/>
    <s v="C201"/>
    <x v="0"/>
    <s v="B1"/>
    <s v="Amit"/>
    <x v="1"/>
    <n v="12010"/>
    <s v="DISC10"/>
    <n v="0.1"/>
    <n v="14000"/>
    <d v="2024-02-24T00:00:00"/>
  </r>
  <r>
    <s v="S1454"/>
    <s v="Meera Kulkarni"/>
    <s v="C202"/>
    <x v="2"/>
    <s v="B1"/>
    <s v="Priya"/>
    <x v="2"/>
    <n v="12568"/>
    <s v="DISC20"/>
    <n v="0.2"/>
    <n v="13000"/>
    <d v="2024-01-12T00:00:00"/>
  </r>
  <r>
    <s v="S1455"/>
    <s v="Kunal Nair"/>
    <s v="C201"/>
    <x v="0"/>
    <s v="B3"/>
    <s v="Amit"/>
    <x v="1"/>
    <n v="14685"/>
    <m/>
    <m/>
    <n v="14000"/>
    <d v="2024-01-15T00:00:00"/>
  </r>
  <r>
    <s v="S1456"/>
    <s v="Pooja Patil"/>
    <s v="C204"/>
    <x v="3"/>
    <s v="B3"/>
    <s v="Priya"/>
    <x v="2"/>
    <n v="10383"/>
    <s v="DISC10"/>
    <n v="0.1"/>
    <n v="9000"/>
    <d v="2024-02-06T00:00:00"/>
  </r>
  <r>
    <s v="S1457"/>
    <s v="Pooja Shah"/>
    <s v="C201"/>
    <x v="0"/>
    <s v="B1"/>
    <s v="Saurabh"/>
    <x v="1"/>
    <n v="12188"/>
    <m/>
    <m/>
    <n v="14000"/>
    <d v="2024-01-05T00:00:00"/>
  </r>
  <r>
    <s v="S1458"/>
    <s v="Kunal Iyer"/>
    <s v="C203"/>
    <x v="1"/>
    <s v="B2"/>
    <s v="Priya"/>
    <x v="0"/>
    <n v="17265"/>
    <m/>
    <m/>
    <n v="17000"/>
    <d v="2024-01-01T00:00:00"/>
  </r>
  <r>
    <s v="S1459"/>
    <s v="Pooja Patil"/>
    <s v="C203"/>
    <x v="1"/>
    <s v="B3"/>
    <s v="Priya"/>
    <x v="1"/>
    <n v="17550"/>
    <s v="DISC20"/>
    <n v="0.2"/>
    <n v="17000"/>
    <d v="2024-01-30T00:00:00"/>
  </r>
  <r>
    <s v="S1460"/>
    <s v="Pooja Joshi"/>
    <s v="C204"/>
    <x v="3"/>
    <s v="B1"/>
    <s v="Amit"/>
    <x v="1"/>
    <n v="10114"/>
    <s v="DISC20"/>
    <n v="0.2"/>
    <n v="9000"/>
    <d v="2024-01-10T00:00:00"/>
  </r>
  <r>
    <s v="S1461"/>
    <s v="Aarav Verma"/>
    <s v="C201"/>
    <x v="0"/>
    <s v="B1"/>
    <s v="Amit"/>
    <x v="2"/>
    <n v="14604"/>
    <s v="DISC10"/>
    <n v="0.1"/>
    <n v="14000"/>
    <d v="2024-03-01T00:00:00"/>
  </r>
  <r>
    <s v="S1462"/>
    <s v="Pooja Kulkarni"/>
    <s v="C204"/>
    <x v="3"/>
    <s v="B3"/>
    <s v="Amit"/>
    <x v="2"/>
    <n v="7425"/>
    <s v="DISC20"/>
    <n v="0.2"/>
    <n v="9000"/>
    <d v="2024-02-03T00:00:00"/>
  </r>
  <r>
    <s v="S1463"/>
    <s v="Sneha Verma"/>
    <s v="C204"/>
    <x v="3"/>
    <s v="B1"/>
    <s v="Saurabh"/>
    <x v="1"/>
    <n v="8146"/>
    <s v="DISC10"/>
    <n v="0.1"/>
    <n v="9000"/>
    <d v="2024-01-03T00:00:00"/>
  </r>
  <r>
    <s v="S1464"/>
    <s v="Kunal Patil"/>
    <s v="C204"/>
    <x v="3"/>
    <s v="B3"/>
    <s v="Priya"/>
    <x v="2"/>
    <n v="10991"/>
    <s v="DISC10"/>
    <n v="0.1"/>
    <n v="9000"/>
    <d v="2024-02-07T00:00:00"/>
  </r>
  <r>
    <s v="S1465"/>
    <s v="Riya Gupta"/>
    <s v="C202"/>
    <x v="2"/>
    <s v="B3"/>
    <s v="Priya"/>
    <x v="0"/>
    <n v="13424"/>
    <s v="DISC15"/>
    <m/>
    <n v="13000"/>
    <d v="2024-01-04T00:00:00"/>
  </r>
  <r>
    <s v="S1466"/>
    <s v="Rahul Singh"/>
    <s v="C202"/>
    <x v="2"/>
    <s v="B1"/>
    <s v="Priya"/>
    <x v="2"/>
    <n v="14485"/>
    <s v="DISC30"/>
    <n v="0.3"/>
    <n v="13000"/>
    <d v="2024-02-29T00:00:00"/>
  </r>
  <r>
    <s v="S1467"/>
    <s v="Dev Verma"/>
    <s v="C203"/>
    <x v="1"/>
    <s v="B2"/>
    <s v="Priya"/>
    <x v="2"/>
    <n v="15956"/>
    <s v="DISC10"/>
    <n v="0.1"/>
    <n v="17000"/>
    <d v="2024-03-01T00:00:00"/>
  </r>
  <r>
    <s v="S1468"/>
    <s v="Sneha Mehta"/>
    <s v="C201"/>
    <x v="0"/>
    <s v="B1"/>
    <s v="Saurabh"/>
    <x v="0"/>
    <n v="13841"/>
    <m/>
    <m/>
    <n v="14000"/>
    <d v="2024-01-21T00:00:00"/>
  </r>
  <r>
    <s v="S1469"/>
    <s v="Rahul Shah"/>
    <s v="C203"/>
    <x v="1"/>
    <s v="B1"/>
    <s v="Priya"/>
    <x v="2"/>
    <n v="16897"/>
    <s v="DISC30"/>
    <n v="0.3"/>
    <n v="17000"/>
    <d v="2024-02-24T00:00:00"/>
  </r>
  <r>
    <s v="S1470"/>
    <s v="Riya Shah"/>
    <s v="C202"/>
    <x v="2"/>
    <s v="B3"/>
    <s v="Priya"/>
    <x v="1"/>
    <n v="13854"/>
    <s v="DISC15"/>
    <m/>
    <n v="13000"/>
    <d v="2024-01-03T00:00:00"/>
  </r>
  <r>
    <s v="S1471"/>
    <s v="Sneha Nair"/>
    <s v="C203"/>
    <x v="1"/>
    <s v="B1"/>
    <s v="Saurabh"/>
    <x v="1"/>
    <n v="16016"/>
    <s v="DISC30"/>
    <n v="0.3"/>
    <n v="17000"/>
    <d v="2024-01-26T00:00:00"/>
  </r>
  <r>
    <s v="S1472"/>
    <s v="Manish Kulkarni"/>
    <s v="C203"/>
    <x v="1"/>
    <s v="B2"/>
    <s v="Saurabh"/>
    <x v="0"/>
    <n v="18899"/>
    <m/>
    <m/>
    <n v="17000"/>
    <d v="2024-02-24T00:00:00"/>
  </r>
  <r>
    <s v="S1473"/>
    <s v="Neha Gupta"/>
    <s v="C202"/>
    <x v="2"/>
    <s v="B1"/>
    <s v="Priya"/>
    <x v="0"/>
    <n v="14292"/>
    <s v="DISC20"/>
    <n v="0.2"/>
    <n v="13000"/>
    <d v="2024-01-08T00:00:00"/>
  </r>
  <r>
    <s v="S1474"/>
    <s v="Aarav Kulkarni"/>
    <s v="C202"/>
    <x v="2"/>
    <s v="B1"/>
    <s v="Saurabh"/>
    <x v="2"/>
    <n v="12524"/>
    <s v="DISC10"/>
    <n v="0.1"/>
    <n v="13000"/>
    <d v="2024-02-07T00:00:00"/>
  </r>
  <r>
    <s v="S1475"/>
    <s v="Kavita Rao"/>
    <s v="C201"/>
    <x v="0"/>
    <s v="B1"/>
    <s v="Saurabh"/>
    <x v="0"/>
    <n v="15696"/>
    <m/>
    <m/>
    <n v="14000"/>
    <d v="2024-02-21T00:00:00"/>
  </r>
  <r>
    <s v="S1476"/>
    <s v="Karan Shah"/>
    <s v="C203"/>
    <x v="1"/>
    <s v="B1"/>
    <s v="Saurabh"/>
    <x v="2"/>
    <n v="15207"/>
    <s v="DISC20"/>
    <n v="0.2"/>
    <n v="17000"/>
    <d v="2024-02-29T00:00:00"/>
  </r>
  <r>
    <s v="S1477"/>
    <s v="Kavita Verma"/>
    <s v="C204"/>
    <x v="3"/>
    <s v="B2"/>
    <s v="Saurabh"/>
    <x v="2"/>
    <n v="9798"/>
    <m/>
    <m/>
    <n v="9000"/>
    <d v="2024-01-12T00:00:00"/>
  </r>
  <r>
    <s v="S1478"/>
    <s v="Pooja Patil"/>
    <s v="C202"/>
    <x v="2"/>
    <s v="B2"/>
    <s v="Priya"/>
    <x v="2"/>
    <n v="14618"/>
    <s v="DISC20"/>
    <n v="0.2"/>
    <n v="13000"/>
    <d v="2024-01-03T00:00:00"/>
  </r>
  <r>
    <s v="S1479"/>
    <s v="Kavita Joshi"/>
    <s v="C202"/>
    <x v="2"/>
    <s v="B3"/>
    <s v="Priya"/>
    <x v="2"/>
    <n v="12687"/>
    <s v="DISC15"/>
    <m/>
    <n v="13000"/>
    <d v="2024-01-31T00:00:00"/>
  </r>
  <r>
    <s v="S1480"/>
    <s v="Aarav Shah"/>
    <s v="C203"/>
    <x v="1"/>
    <s v="B2"/>
    <s v="Saurabh"/>
    <x v="2"/>
    <n v="15816"/>
    <s v="DISC15"/>
    <m/>
    <n v="17000"/>
    <d v="2024-01-16T00:00:00"/>
  </r>
  <r>
    <s v="S1481"/>
    <s v="Rohit Patel"/>
    <s v="C201"/>
    <x v="0"/>
    <s v="B2"/>
    <s v="Amit"/>
    <x v="2"/>
    <n v="13964"/>
    <s v="DISC15"/>
    <m/>
    <n v="14000"/>
    <d v="2024-02-20T00:00:00"/>
  </r>
  <r>
    <s v="S1482"/>
    <s v="Neha Jain"/>
    <s v="C203"/>
    <x v="1"/>
    <s v="B2"/>
    <s v="Priya"/>
    <x v="0"/>
    <n v="15106"/>
    <s v="DISC30"/>
    <n v="0.3"/>
    <n v="17000"/>
    <d v="2024-02-08T00:00:00"/>
  </r>
  <r>
    <s v="S1483"/>
    <s v="Sneha Kulkarni"/>
    <s v="C203"/>
    <x v="1"/>
    <s v="B1"/>
    <s v="Priya"/>
    <x v="1"/>
    <n v="16464"/>
    <s v="DISC15"/>
    <m/>
    <n v="17000"/>
    <d v="2024-01-15T00:00:00"/>
  </r>
  <r>
    <s v="S1484"/>
    <s v="Karan Shah"/>
    <s v="C202"/>
    <x v="2"/>
    <s v="B3"/>
    <s v="Saurabh"/>
    <x v="2"/>
    <n v="13185"/>
    <s v="DISC10"/>
    <n v="0.1"/>
    <n v="13000"/>
    <d v="2024-02-18T00:00:00"/>
  </r>
  <r>
    <s v="S1485"/>
    <s v="Sneha Joshi"/>
    <s v="C204"/>
    <x v="3"/>
    <s v="B2"/>
    <s v="Saurabh"/>
    <x v="0"/>
    <n v="7968"/>
    <s v="DISC15"/>
    <m/>
    <n v="9000"/>
    <d v="2024-01-21T00:00:00"/>
  </r>
  <r>
    <s v="S1486"/>
    <s v="Dev Desai"/>
    <s v="C203"/>
    <x v="1"/>
    <s v="B3"/>
    <s v="Saurabh"/>
    <x v="1"/>
    <n v="17869"/>
    <s v="DISC30"/>
    <n v="0.3"/>
    <n v="17000"/>
    <d v="2024-03-01T00:00:00"/>
  </r>
  <r>
    <s v="S1487"/>
    <s v="Kavita Joshi"/>
    <s v="C202"/>
    <x v="2"/>
    <s v="B3"/>
    <s v="Saurabh"/>
    <x v="2"/>
    <n v="13220"/>
    <s v="DISC30"/>
    <n v="0.3"/>
    <n v="13000"/>
    <d v="2024-01-12T00:00:00"/>
  </r>
  <r>
    <s v="S1488"/>
    <s v="Neha Kulkarni"/>
    <s v="C201"/>
    <x v="0"/>
    <s v="B1"/>
    <s v="Saurabh"/>
    <x v="1"/>
    <n v="12896"/>
    <s v="DISC10"/>
    <n v="0.1"/>
    <n v="14000"/>
    <d v="2024-02-03T00:00:00"/>
  </r>
  <r>
    <s v="S1489"/>
    <s v="Neha Kulkarni"/>
    <s v="C203"/>
    <x v="1"/>
    <s v="B3"/>
    <s v="Saurabh"/>
    <x v="0"/>
    <n v="16395"/>
    <s v="DISC20"/>
    <n v="0.2"/>
    <n v="17000"/>
    <d v="2024-02-28T00:00:00"/>
  </r>
  <r>
    <s v="S1490"/>
    <s v="Dev Nair"/>
    <s v="C203"/>
    <x v="1"/>
    <s v="B1"/>
    <s v="Saurabh"/>
    <x v="0"/>
    <n v="17402"/>
    <s v="DISC20"/>
    <n v="0.2"/>
    <n v="17000"/>
    <d v="2024-02-19T00:00:00"/>
  </r>
  <r>
    <s v="S1491"/>
    <s v="Riya Nair"/>
    <s v="C203"/>
    <x v="1"/>
    <s v="B1"/>
    <s v="Priya"/>
    <x v="1"/>
    <n v="18858"/>
    <m/>
    <m/>
    <n v="17000"/>
    <d v="2024-02-07T00:00:00"/>
  </r>
  <r>
    <s v="S1492"/>
    <s v="Riya Jain"/>
    <s v="C203"/>
    <x v="1"/>
    <s v="B2"/>
    <s v="Saurabh"/>
    <x v="0"/>
    <n v="17999"/>
    <m/>
    <m/>
    <n v="17000"/>
    <d v="2024-02-20T00:00:00"/>
  </r>
  <r>
    <s v="S1493"/>
    <s v="Rohit Iyer"/>
    <s v="C203"/>
    <x v="1"/>
    <s v="B1"/>
    <s v="Amit"/>
    <x v="1"/>
    <n v="17840"/>
    <s v="DISC15"/>
    <m/>
    <n v="17000"/>
    <d v="2024-02-20T00:00:00"/>
  </r>
  <r>
    <s v="S1494"/>
    <s v="Pooja Patil"/>
    <s v="C202"/>
    <x v="2"/>
    <s v="B2"/>
    <s v="Priya"/>
    <x v="1"/>
    <n v="13820"/>
    <s v="DISC30"/>
    <n v="0.3"/>
    <n v="13000"/>
    <d v="2024-01-09T00:00:00"/>
  </r>
  <r>
    <s v="S1495"/>
    <s v="Karan Desai"/>
    <s v="C201"/>
    <x v="0"/>
    <s v="B3"/>
    <s v="Amit"/>
    <x v="2"/>
    <n v="15484"/>
    <s v="DISC15"/>
    <m/>
    <n v="14000"/>
    <d v="2024-01-03T00:00:00"/>
  </r>
  <r>
    <s v="S1496"/>
    <s v="Karan Joshi"/>
    <s v="C203"/>
    <x v="1"/>
    <s v="B3"/>
    <s v="Saurabh"/>
    <x v="1"/>
    <n v="17316"/>
    <s v="DISC10"/>
    <n v="0.1"/>
    <n v="17000"/>
    <d v="2024-02-29T00:00:00"/>
  </r>
  <r>
    <s v="S1497"/>
    <s v="Neha Mehta"/>
    <s v="C203"/>
    <x v="1"/>
    <s v="B3"/>
    <s v="Saurabh"/>
    <x v="0"/>
    <n v="16420"/>
    <s v="DISC30"/>
    <n v="0.3"/>
    <n v="17000"/>
    <d v="2024-01-11T00:00:00"/>
  </r>
  <r>
    <s v="S1498"/>
    <s v="Rohit Shah"/>
    <s v="C203"/>
    <x v="1"/>
    <s v="B2"/>
    <s v="Saurabh"/>
    <x v="2"/>
    <n v="15858"/>
    <s v="DISC20"/>
    <n v="0.2"/>
    <n v="17000"/>
    <d v="2024-02-14T00:00:00"/>
  </r>
  <r>
    <s v="S1499"/>
    <s v="Riya Jain"/>
    <s v="C203"/>
    <x v="1"/>
    <s v="B1"/>
    <s v="Amit"/>
    <x v="0"/>
    <n v="15197"/>
    <m/>
    <m/>
    <n v="17000"/>
    <d v="2024-01-29T00:00:00"/>
  </r>
  <r>
    <s v="S1500"/>
    <s v="Anjali Verma"/>
    <s v="C202"/>
    <x v="2"/>
    <s v="B2"/>
    <s v="Priya"/>
    <x v="2"/>
    <n v="12438"/>
    <s v="DISC15"/>
    <m/>
    <n v="13000"/>
    <d v="2024-01-25T00:00:00"/>
  </r>
  <r>
    <s v="S1501"/>
    <s v="Riya Nair"/>
    <s v="C204"/>
    <x v="3"/>
    <s v="B3"/>
    <s v="Amit"/>
    <x v="1"/>
    <n v="7923"/>
    <s v="DISC20"/>
    <n v="0.2"/>
    <n v="9000"/>
    <d v="2024-01-29T00:00:00"/>
  </r>
  <r>
    <s v="S1502"/>
    <s v="Riya Patel"/>
    <s v="C201"/>
    <x v="0"/>
    <s v="B2"/>
    <s v="Saurabh"/>
    <x v="2"/>
    <n v="13069"/>
    <s v="DISC10"/>
    <n v="0.1"/>
    <n v="14000"/>
    <d v="2024-01-05T00:00:00"/>
  </r>
  <r>
    <s v="S1503"/>
    <s v="Pooja Mehta"/>
    <s v="C204"/>
    <x v="3"/>
    <s v="B1"/>
    <s v="Amit"/>
    <x v="0"/>
    <n v="9240"/>
    <s v="DISC10"/>
    <n v="0.1"/>
    <n v="9000"/>
    <d v="2024-01-22T00:00:00"/>
  </r>
  <r>
    <s v="S1504"/>
    <s v="Kavita Joshi"/>
    <s v="C204"/>
    <x v="3"/>
    <s v="B3"/>
    <s v="Saurabh"/>
    <x v="2"/>
    <n v="10860"/>
    <s v="DISC20"/>
    <n v="0.2"/>
    <n v="9000"/>
    <d v="2024-02-08T00:00:00"/>
  </r>
  <r>
    <s v="S1505"/>
    <s v="Kunal Verma"/>
    <s v="C202"/>
    <x v="2"/>
    <s v="B1"/>
    <s v="Saurabh"/>
    <x v="2"/>
    <n v="11841"/>
    <s v="DISC20"/>
    <n v="0.2"/>
    <n v="13000"/>
    <d v="2024-01-27T00:00:00"/>
  </r>
  <r>
    <s v="S1506"/>
    <s v="Anjali Gupta"/>
    <s v="C203"/>
    <x v="1"/>
    <s v="B3"/>
    <s v="Priya"/>
    <x v="2"/>
    <n v="15972"/>
    <s v="DISC10"/>
    <n v="0.1"/>
    <n v="17000"/>
    <d v="2024-01-04T00:00:00"/>
  </r>
  <r>
    <s v="S1507"/>
    <s v="Rahul Joshi"/>
    <s v="C204"/>
    <x v="3"/>
    <s v="B1"/>
    <s v="Saurabh"/>
    <x v="2"/>
    <n v="7015"/>
    <m/>
    <m/>
    <n v="9000"/>
    <d v="2024-01-06T00:00:00"/>
  </r>
  <r>
    <s v="S1508"/>
    <s v="Aditya Nair"/>
    <s v="C204"/>
    <x v="3"/>
    <s v="B1"/>
    <s v="Saurabh"/>
    <x v="0"/>
    <n v="7847"/>
    <s v="DISC20"/>
    <n v="0.2"/>
    <n v="9000"/>
    <d v="2024-02-10T00:00:00"/>
  </r>
  <r>
    <s v="S1509"/>
    <s v="Aditya Shah"/>
    <s v="C204"/>
    <x v="3"/>
    <s v="B1"/>
    <s v="Priya"/>
    <x v="2"/>
    <n v="8928"/>
    <m/>
    <m/>
    <n v="9000"/>
    <d v="2024-02-27T00:00:00"/>
  </r>
  <r>
    <s v="S1510"/>
    <s v="Rohit Rao"/>
    <s v="C201"/>
    <x v="0"/>
    <s v="B3"/>
    <s v="Amit"/>
    <x v="2"/>
    <n v="12757"/>
    <s v="DISC30"/>
    <n v="0.3"/>
    <n v="14000"/>
    <d v="2024-02-26T00:00:00"/>
  </r>
  <r>
    <s v="S1511"/>
    <s v="Rahul Jain"/>
    <s v="C202"/>
    <x v="2"/>
    <s v="B2"/>
    <s v="Saurabh"/>
    <x v="2"/>
    <n v="12801"/>
    <m/>
    <m/>
    <n v="13000"/>
    <d v="2024-01-17T00:00:00"/>
  </r>
  <r>
    <s v="S1512"/>
    <s v="Sneha Nair"/>
    <s v="C203"/>
    <x v="1"/>
    <s v="B3"/>
    <s v="Saurabh"/>
    <x v="0"/>
    <n v="18081"/>
    <s v="DISC10"/>
    <n v="0.1"/>
    <n v="17000"/>
    <d v="2024-01-06T00:00:00"/>
  </r>
  <r>
    <s v="S1513"/>
    <s v="Rohit Jain"/>
    <s v="C204"/>
    <x v="3"/>
    <s v="B3"/>
    <s v="Saurabh"/>
    <x v="1"/>
    <n v="7249"/>
    <m/>
    <m/>
    <n v="9000"/>
    <d v="2024-02-22T00:00:00"/>
  </r>
  <r>
    <s v="S1514"/>
    <s v="Manish Verma"/>
    <s v="C204"/>
    <x v="3"/>
    <s v="B3"/>
    <s v="Saurabh"/>
    <x v="2"/>
    <n v="8224"/>
    <s v="DISC10"/>
    <n v="0.1"/>
    <n v="9000"/>
    <d v="2024-01-26T00:00:00"/>
  </r>
  <r>
    <s v="S1515"/>
    <s v="Kunal Nair"/>
    <s v="C201"/>
    <x v="0"/>
    <s v="B3"/>
    <s v="Amit"/>
    <x v="1"/>
    <n v="15278"/>
    <s v="DISC15"/>
    <m/>
    <n v="14000"/>
    <d v="2024-02-13T00:00:00"/>
  </r>
  <r>
    <s v="S1516"/>
    <s v="Kavita Mehta"/>
    <s v="C201"/>
    <x v="0"/>
    <s v="B2"/>
    <s v="Saurabh"/>
    <x v="0"/>
    <n v="15981"/>
    <s v="DISC20"/>
    <n v="0.2"/>
    <n v="14000"/>
    <d v="2024-02-21T00:00:00"/>
  </r>
  <r>
    <s v="S1517"/>
    <s v="Sneha Mehta"/>
    <s v="C201"/>
    <x v="0"/>
    <s v="B2"/>
    <s v="Saurabh"/>
    <x v="1"/>
    <n v="13783"/>
    <s v="DISC20"/>
    <n v="0.2"/>
    <n v="14000"/>
    <d v="2024-02-22T00:00:00"/>
  </r>
  <r>
    <s v="S1518"/>
    <s v="Rohit Mehta"/>
    <s v="C203"/>
    <x v="1"/>
    <s v="B2"/>
    <s v="Amit"/>
    <x v="0"/>
    <n v="15356"/>
    <m/>
    <m/>
    <n v="17000"/>
    <d v="2024-02-05T00:00:00"/>
  </r>
  <r>
    <s v="S1519"/>
    <s v="Rahul Gupta"/>
    <s v="C203"/>
    <x v="1"/>
    <s v="B2"/>
    <s v="Amit"/>
    <x v="2"/>
    <n v="18756"/>
    <s v="DISC10"/>
    <n v="0.1"/>
    <n v="17000"/>
    <d v="2024-02-20T00:00:00"/>
  </r>
  <r>
    <s v="S1520"/>
    <s v="Anjali Joshi"/>
    <s v="C204"/>
    <x v="3"/>
    <s v="B1"/>
    <s v="Priya"/>
    <x v="0"/>
    <n v="7607"/>
    <s v="DISC15"/>
    <m/>
    <n v="9000"/>
    <d v="2024-02-07T00:00:00"/>
  </r>
  <r>
    <s v="S1521"/>
    <s v="Kavita Patel"/>
    <s v="C201"/>
    <x v="0"/>
    <s v="B1"/>
    <s v="Amit"/>
    <x v="0"/>
    <n v="15218"/>
    <s v="DISC30"/>
    <n v="0.3"/>
    <n v="14000"/>
    <d v="2024-02-25T00:00:00"/>
  </r>
  <r>
    <s v="S1522"/>
    <s v="Manish Jain"/>
    <s v="C204"/>
    <x v="3"/>
    <s v="B2"/>
    <s v="Priya"/>
    <x v="1"/>
    <n v="8988"/>
    <s v="DISC15"/>
    <m/>
    <n v="9000"/>
    <d v="2024-02-08T00:00:00"/>
  </r>
  <r>
    <s v="S1523"/>
    <s v="Neha Kulkarni"/>
    <s v="C202"/>
    <x v="2"/>
    <s v="B2"/>
    <s v="Priya"/>
    <x v="0"/>
    <n v="13532"/>
    <s v="DISC15"/>
    <m/>
    <n v="13000"/>
    <d v="2024-02-13T00:00:00"/>
  </r>
  <r>
    <s v="S1524"/>
    <s v="Anjali Verma"/>
    <s v="C201"/>
    <x v="0"/>
    <s v="B2"/>
    <s v="Priya"/>
    <x v="1"/>
    <n v="12973"/>
    <s v="DISC10"/>
    <n v="0.1"/>
    <n v="14000"/>
    <d v="2024-02-17T00:00:00"/>
  </r>
  <r>
    <s v="S1525"/>
    <s v="Neha Rao"/>
    <s v="C203"/>
    <x v="1"/>
    <s v="B1"/>
    <s v="Priya"/>
    <x v="2"/>
    <n v="16273"/>
    <s v="DISC30"/>
    <n v="0.3"/>
    <n v="17000"/>
    <d v="2024-02-23T00:00:00"/>
  </r>
  <r>
    <s v="S1526"/>
    <s v="Neha Nair"/>
    <s v="C201"/>
    <x v="0"/>
    <s v="B1"/>
    <s v="Saurabh"/>
    <x v="2"/>
    <n v="15990"/>
    <m/>
    <m/>
    <n v="14000"/>
    <d v="2024-02-19T00:00:00"/>
  </r>
  <r>
    <s v="S1527"/>
    <s v="Meera Jain"/>
    <s v="C203"/>
    <x v="1"/>
    <s v="B3"/>
    <s v="Priya"/>
    <x v="1"/>
    <n v="17644"/>
    <s v="DISC10"/>
    <n v="0.1"/>
    <n v="17000"/>
    <d v="2024-01-13T00:00:00"/>
  </r>
  <r>
    <s v="S1528"/>
    <s v="Neha Patil"/>
    <s v="C204"/>
    <x v="3"/>
    <s v="B3"/>
    <s v="Priya"/>
    <x v="1"/>
    <n v="10552"/>
    <s v="DISC30"/>
    <n v="0.3"/>
    <n v="9000"/>
    <d v="2024-02-22T00:00:00"/>
  </r>
  <r>
    <s v="S1529"/>
    <s v="Aarav Gupta"/>
    <s v="C202"/>
    <x v="2"/>
    <s v="B1"/>
    <s v="Priya"/>
    <x v="1"/>
    <n v="13075"/>
    <m/>
    <m/>
    <n v="13000"/>
    <d v="2024-01-09T00:00:00"/>
  </r>
  <r>
    <s v="S1530"/>
    <s v="Dev Nair"/>
    <s v="C201"/>
    <x v="0"/>
    <s v="B1"/>
    <s v="Saurabh"/>
    <x v="0"/>
    <n v="15428"/>
    <s v="DISC10"/>
    <n v="0.1"/>
    <n v="14000"/>
    <d v="2024-01-16T00:00:00"/>
  </r>
  <r>
    <s v="S1531"/>
    <s v="Aarav Iyer"/>
    <s v="C201"/>
    <x v="0"/>
    <s v="B2"/>
    <s v="Amit"/>
    <x v="0"/>
    <n v="13122"/>
    <s v="DISC30"/>
    <n v="0.3"/>
    <n v="14000"/>
    <d v="2024-02-22T00:00:00"/>
  </r>
  <r>
    <s v="S1532"/>
    <s v="Neha Gupta"/>
    <s v="C204"/>
    <x v="3"/>
    <s v="B3"/>
    <s v="Saurabh"/>
    <x v="1"/>
    <n v="7125"/>
    <s v="DISC20"/>
    <n v="0.2"/>
    <n v="9000"/>
    <d v="2024-01-24T00:00:00"/>
  </r>
  <r>
    <s v="S1533"/>
    <s v="Neha Joshi"/>
    <s v="C204"/>
    <x v="3"/>
    <s v="B1"/>
    <s v="Priya"/>
    <x v="1"/>
    <n v="9258"/>
    <s v="DISC30"/>
    <n v="0.3"/>
    <n v="9000"/>
    <d v="2024-01-23T00:00:00"/>
  </r>
  <r>
    <s v="S1534"/>
    <s v="Karan Nair"/>
    <s v="C203"/>
    <x v="1"/>
    <s v="B3"/>
    <s v="Amit"/>
    <x v="0"/>
    <n v="16167"/>
    <s v="DISC10"/>
    <n v="0.1"/>
    <n v="17000"/>
    <d v="2024-01-25T00:00:00"/>
  </r>
  <r>
    <s v="S1535"/>
    <s v="Aarav Mehta"/>
    <s v="C202"/>
    <x v="2"/>
    <s v="B1"/>
    <s v="Amit"/>
    <x v="0"/>
    <n v="13775"/>
    <s v="DISC20"/>
    <n v="0.2"/>
    <n v="13000"/>
    <d v="2024-01-18T00:00:00"/>
  </r>
  <r>
    <s v="S1536"/>
    <s v="Rohit Verma"/>
    <s v="C201"/>
    <x v="0"/>
    <s v="B3"/>
    <s v="Saurabh"/>
    <x v="2"/>
    <n v="15733"/>
    <s v="DISC20"/>
    <n v="0.2"/>
    <n v="14000"/>
    <d v="2024-02-11T00:00:00"/>
  </r>
  <r>
    <s v="S1537"/>
    <s v="Karan Joshi"/>
    <s v="C201"/>
    <x v="0"/>
    <s v="B1"/>
    <s v="Priya"/>
    <x v="1"/>
    <n v="15297"/>
    <s v="DISC30"/>
    <n v="0.3"/>
    <n v="14000"/>
    <d v="2024-02-15T00:00:00"/>
  </r>
  <r>
    <s v="S1538"/>
    <s v="Anjali Singh"/>
    <s v="C203"/>
    <x v="1"/>
    <s v="B2"/>
    <s v="Priya"/>
    <x v="2"/>
    <n v="16880"/>
    <s v="DISC30"/>
    <n v="0.3"/>
    <n v="17000"/>
    <d v="2024-01-14T00:00:00"/>
  </r>
  <r>
    <s v="S1539"/>
    <s v="Neha Rao"/>
    <s v="C204"/>
    <x v="3"/>
    <s v="B3"/>
    <s v="Saurabh"/>
    <x v="0"/>
    <n v="9095"/>
    <s v="DISC30"/>
    <n v="0.3"/>
    <n v="9000"/>
    <d v="2024-02-05T00:00:00"/>
  </r>
  <r>
    <s v="S1540"/>
    <s v="Rohit Joshi"/>
    <s v="C203"/>
    <x v="1"/>
    <s v="B2"/>
    <s v="Amit"/>
    <x v="0"/>
    <n v="16973"/>
    <s v="DISC10"/>
    <n v="0.1"/>
    <n v="17000"/>
    <d v="2024-01-22T00:00:00"/>
  </r>
  <r>
    <s v="S1541"/>
    <s v="Aditya Singh"/>
    <s v="C203"/>
    <x v="1"/>
    <s v="B2"/>
    <s v="Priya"/>
    <x v="1"/>
    <n v="17912"/>
    <s v="DISC30"/>
    <n v="0.3"/>
    <n v="17000"/>
    <d v="2024-01-13T00:00:00"/>
  </r>
  <r>
    <s v="S1542"/>
    <s v="Karan Gupta"/>
    <s v="C202"/>
    <x v="2"/>
    <s v="B1"/>
    <s v="Amit"/>
    <x v="2"/>
    <n v="13705"/>
    <s v="DISC30"/>
    <n v="0.3"/>
    <n v="13000"/>
    <d v="2024-02-13T00:00:00"/>
  </r>
  <r>
    <s v="S1543"/>
    <s v="Karan Desai"/>
    <s v="C201"/>
    <x v="0"/>
    <s v="B3"/>
    <s v="Priya"/>
    <x v="2"/>
    <n v="13062"/>
    <m/>
    <m/>
    <n v="14000"/>
    <d v="2024-01-26T00:00:00"/>
  </r>
  <r>
    <s v="S1544"/>
    <s v="Rahul Desai"/>
    <s v="C201"/>
    <x v="0"/>
    <s v="B3"/>
    <s v="Amit"/>
    <x v="1"/>
    <n v="15342"/>
    <s v="DISC20"/>
    <n v="0.2"/>
    <n v="14000"/>
    <d v="2024-01-22T00:00:00"/>
  </r>
  <r>
    <s v="S1545"/>
    <s v="Anjali Desai"/>
    <s v="C202"/>
    <x v="2"/>
    <s v="B3"/>
    <s v="Amit"/>
    <x v="1"/>
    <n v="14214"/>
    <m/>
    <m/>
    <n v="13000"/>
    <d v="2024-02-28T00:00:00"/>
  </r>
  <r>
    <s v="S1546"/>
    <s v="Rohit Jain"/>
    <s v="C203"/>
    <x v="1"/>
    <s v="B1"/>
    <s v="Amit"/>
    <x v="1"/>
    <n v="15741"/>
    <s v="DISC30"/>
    <n v="0.3"/>
    <n v="17000"/>
    <d v="2024-01-07T00:00:00"/>
  </r>
  <r>
    <s v="S1547"/>
    <s v="Neha Mehta"/>
    <s v="C203"/>
    <x v="1"/>
    <s v="B3"/>
    <s v="Amit"/>
    <x v="0"/>
    <n v="18878"/>
    <s v="DISC30"/>
    <n v="0.3"/>
    <n v="17000"/>
    <d v="2024-02-11T00:00:00"/>
  </r>
  <r>
    <s v="S1548"/>
    <s v="Riya Patil"/>
    <s v="C203"/>
    <x v="1"/>
    <s v="B1"/>
    <s v="Amit"/>
    <x v="2"/>
    <n v="16722"/>
    <s v="DISC30"/>
    <n v="0.3"/>
    <n v="17000"/>
    <d v="2024-01-24T00:00:00"/>
  </r>
  <r>
    <s v="S1549"/>
    <s v="Aditya Joshi"/>
    <s v="C203"/>
    <x v="1"/>
    <s v="B2"/>
    <s v="Saurabh"/>
    <x v="2"/>
    <n v="15219"/>
    <s v="DISC15"/>
    <m/>
    <n v="17000"/>
    <d v="2024-02-07T00:00:00"/>
  </r>
  <r>
    <s v="S1550"/>
    <s v="Kavita Shah"/>
    <s v="C204"/>
    <x v="3"/>
    <s v="B1"/>
    <s v="Amit"/>
    <x v="0"/>
    <n v="10553"/>
    <m/>
    <m/>
    <n v="9000"/>
    <d v="2024-02-03T00:00:00"/>
  </r>
  <r>
    <s v="S1551"/>
    <s v="Aditya Verma"/>
    <s v="C201"/>
    <x v="0"/>
    <s v="B1"/>
    <s v="Saurabh"/>
    <x v="0"/>
    <n v="13403"/>
    <m/>
    <m/>
    <n v="14000"/>
    <d v="2024-02-06T00:00:00"/>
  </r>
  <r>
    <s v="S1552"/>
    <s v="Kunal Iyer"/>
    <s v="C202"/>
    <x v="2"/>
    <s v="B2"/>
    <s v="Amit"/>
    <x v="0"/>
    <n v="14190"/>
    <s v="DISC10"/>
    <n v="0.1"/>
    <n v="13000"/>
    <d v="2024-02-01T00:00:00"/>
  </r>
  <r>
    <s v="S1553"/>
    <s v="Pooja Singh"/>
    <s v="C202"/>
    <x v="2"/>
    <s v="B2"/>
    <s v="Amit"/>
    <x v="0"/>
    <n v="11019"/>
    <m/>
    <m/>
    <n v="13000"/>
    <d v="2024-01-18T00:00:00"/>
  </r>
  <r>
    <s v="S1554"/>
    <s v="Sneha Patel"/>
    <s v="C202"/>
    <x v="2"/>
    <s v="B3"/>
    <s v="Saurabh"/>
    <x v="2"/>
    <n v="14216"/>
    <s v="DISC10"/>
    <n v="0.1"/>
    <n v="13000"/>
    <d v="2024-01-09T00:00:00"/>
  </r>
  <r>
    <s v="S1555"/>
    <s v="Kavita Verma"/>
    <s v="C204"/>
    <x v="3"/>
    <s v="B2"/>
    <s v="Priya"/>
    <x v="2"/>
    <n v="8570"/>
    <s v="DISC10"/>
    <n v="0.1"/>
    <n v="9000"/>
    <d v="2024-01-03T00:00:00"/>
  </r>
  <r>
    <s v="S1556"/>
    <s v="Manish Patil"/>
    <s v="C203"/>
    <x v="1"/>
    <s v="B1"/>
    <s v="Priya"/>
    <x v="1"/>
    <n v="15780"/>
    <s v="DISC10"/>
    <n v="0.1"/>
    <n v="17000"/>
    <d v="2024-02-13T00:00:00"/>
  </r>
  <r>
    <s v="S1557"/>
    <s v="Aarav Singh"/>
    <s v="C202"/>
    <x v="2"/>
    <s v="B1"/>
    <s v="Amit"/>
    <x v="2"/>
    <n v="12278"/>
    <s v="DISC20"/>
    <n v="0.2"/>
    <n v="13000"/>
    <d v="2024-01-07T00:00:00"/>
  </r>
  <r>
    <s v="S1558"/>
    <s v="Rahul Gupta"/>
    <s v="C203"/>
    <x v="1"/>
    <s v="B1"/>
    <s v="Saurabh"/>
    <x v="0"/>
    <n v="16221"/>
    <s v="DISC30"/>
    <n v="0.3"/>
    <n v="17000"/>
    <d v="2024-01-30T00:00:00"/>
  </r>
  <r>
    <s v="S1559"/>
    <s v="Anjali Gupta"/>
    <s v="C203"/>
    <x v="1"/>
    <s v="B2"/>
    <s v="Amit"/>
    <x v="0"/>
    <n v="16403"/>
    <m/>
    <m/>
    <n v="17000"/>
    <d v="2024-01-23T00:00:00"/>
  </r>
  <r>
    <s v="S1560"/>
    <s v="Dev Patil"/>
    <s v="C202"/>
    <x v="2"/>
    <s v="B2"/>
    <s v="Saurabh"/>
    <x v="0"/>
    <n v="11918"/>
    <s v="DISC20"/>
    <n v="0.2"/>
    <n v="13000"/>
    <d v="2024-01-14T00:00:00"/>
  </r>
  <r>
    <s v="S1561"/>
    <s v="Anjali Kulkarni"/>
    <s v="C202"/>
    <x v="2"/>
    <s v="B1"/>
    <s v="Priya"/>
    <x v="1"/>
    <n v="13664"/>
    <s v="DISC10"/>
    <n v="0.1"/>
    <n v="13000"/>
    <d v="2024-01-25T00:00:00"/>
  </r>
  <r>
    <s v="S1562"/>
    <s v="Kunal Singh"/>
    <s v="C203"/>
    <x v="1"/>
    <s v="B3"/>
    <s v="Amit"/>
    <x v="0"/>
    <n v="17432"/>
    <s v="DISC10"/>
    <n v="0.1"/>
    <n v="17000"/>
    <d v="2024-02-12T00:00:00"/>
  </r>
  <r>
    <s v="S1563"/>
    <s v="Riya Singh"/>
    <s v="C201"/>
    <x v="0"/>
    <s v="B1"/>
    <s v="Amit"/>
    <x v="0"/>
    <n v="13707"/>
    <m/>
    <m/>
    <n v="14000"/>
    <d v="2024-01-25T00:00:00"/>
  </r>
  <r>
    <s v="S1564"/>
    <s v="Riya Gupta"/>
    <s v="C203"/>
    <x v="1"/>
    <s v="B2"/>
    <s v="Amit"/>
    <x v="0"/>
    <n v="15841"/>
    <s v="DISC10"/>
    <n v="0.1"/>
    <n v="17000"/>
    <d v="2024-01-20T00:00:00"/>
  </r>
  <r>
    <s v="S1565"/>
    <s v="Rahul Singh"/>
    <s v="C201"/>
    <x v="0"/>
    <s v="B3"/>
    <s v="Amit"/>
    <x v="2"/>
    <n v="14550"/>
    <s v="DISC15"/>
    <m/>
    <n v="14000"/>
    <d v="2024-02-14T00:00:00"/>
  </r>
  <r>
    <s v="S1566"/>
    <s v="Karan Verma"/>
    <s v="C201"/>
    <x v="0"/>
    <s v="B3"/>
    <s v="Amit"/>
    <x v="1"/>
    <n v="12482"/>
    <s v="DISC30"/>
    <n v="0.3"/>
    <n v="14000"/>
    <d v="2024-01-08T00:00:00"/>
  </r>
  <r>
    <s v="S1567"/>
    <s v="Dev Shah"/>
    <s v="C204"/>
    <x v="3"/>
    <s v="B1"/>
    <s v="Amit"/>
    <x v="0"/>
    <n v="10186"/>
    <s v="DISC30"/>
    <n v="0.3"/>
    <n v="9000"/>
    <d v="2024-02-23T00:00:00"/>
  </r>
  <r>
    <s v="S1568"/>
    <s v="Manish Patil"/>
    <s v="C203"/>
    <x v="1"/>
    <s v="B3"/>
    <s v="Priya"/>
    <x v="2"/>
    <n v="15656"/>
    <s v="DISC10"/>
    <n v="0.1"/>
    <n v="17000"/>
    <d v="2024-02-05T00:00:00"/>
  </r>
  <r>
    <s v="S1569"/>
    <s v="Neha Patil"/>
    <s v="C204"/>
    <x v="3"/>
    <s v="B2"/>
    <s v="Saurabh"/>
    <x v="0"/>
    <n v="7052"/>
    <s v="DISC10"/>
    <n v="0.1"/>
    <n v="9000"/>
    <d v="2024-02-28T00:00:00"/>
  </r>
  <r>
    <s v="S1570"/>
    <s v="Riya Nair"/>
    <s v="C204"/>
    <x v="3"/>
    <s v="B1"/>
    <s v="Saurabh"/>
    <x v="1"/>
    <n v="7307"/>
    <s v="DISC10"/>
    <n v="0.1"/>
    <n v="9000"/>
    <d v="2024-02-27T00:00:00"/>
  </r>
  <r>
    <s v="S1571"/>
    <s v="Aditya Singh"/>
    <s v="C202"/>
    <x v="2"/>
    <s v="B2"/>
    <s v="Priya"/>
    <x v="2"/>
    <n v="12901"/>
    <s v="DISC10"/>
    <n v="0.1"/>
    <n v="13000"/>
    <d v="2024-01-07T00:00:00"/>
  </r>
  <r>
    <s v="S1572"/>
    <s v="Meera Mehta"/>
    <s v="C201"/>
    <x v="0"/>
    <s v="B2"/>
    <s v="Priya"/>
    <x v="1"/>
    <n v="13280"/>
    <m/>
    <m/>
    <n v="14000"/>
    <d v="2024-02-17T00:00:00"/>
  </r>
  <r>
    <s v="S1573"/>
    <s v="Riya Shah"/>
    <s v="C201"/>
    <x v="0"/>
    <s v="B1"/>
    <s v="Saurabh"/>
    <x v="1"/>
    <n v="14650"/>
    <s v="DISC20"/>
    <n v="0.2"/>
    <n v="14000"/>
    <d v="2024-01-22T00:00:00"/>
  </r>
  <r>
    <s v="S1574"/>
    <s v="Pooja Iyer"/>
    <s v="C203"/>
    <x v="1"/>
    <s v="B3"/>
    <s v="Saurabh"/>
    <x v="2"/>
    <n v="18338"/>
    <s v="DISC30"/>
    <n v="0.3"/>
    <n v="17000"/>
    <d v="2024-01-12T00:00:00"/>
  </r>
  <r>
    <s v="S1575"/>
    <s v="Riya Verma"/>
    <s v="C204"/>
    <x v="3"/>
    <s v="B2"/>
    <s v="Priya"/>
    <x v="2"/>
    <n v="9825"/>
    <m/>
    <m/>
    <n v="9000"/>
    <d v="2024-02-21T00:00:00"/>
  </r>
  <r>
    <s v="S1576"/>
    <s v="Rahul Singh"/>
    <s v="C202"/>
    <x v="2"/>
    <s v="B1"/>
    <s v="Saurabh"/>
    <x v="1"/>
    <n v="13975"/>
    <s v="DISC10"/>
    <n v="0.1"/>
    <n v="13000"/>
    <d v="2024-03-01T00:00:00"/>
  </r>
  <r>
    <s v="S1577"/>
    <s v="Meera Mehta"/>
    <s v="C201"/>
    <x v="0"/>
    <s v="B2"/>
    <s v="Amit"/>
    <x v="2"/>
    <n v="15286"/>
    <s v="DISC15"/>
    <m/>
    <n v="14000"/>
    <d v="2024-02-13T00:00:00"/>
  </r>
  <r>
    <s v="S1578"/>
    <s v="Neha Mehta"/>
    <s v="C204"/>
    <x v="3"/>
    <s v="B2"/>
    <s v="Amit"/>
    <x v="0"/>
    <n v="10533"/>
    <s v="DISC20"/>
    <n v="0.2"/>
    <n v="9000"/>
    <d v="2024-01-31T00:00:00"/>
  </r>
  <r>
    <s v="S1579"/>
    <s v="Kunal Iyer"/>
    <s v="C201"/>
    <x v="0"/>
    <s v="B2"/>
    <s v="Priya"/>
    <x v="0"/>
    <n v="12259"/>
    <s v="DISC30"/>
    <n v="0.3"/>
    <n v="14000"/>
    <d v="2024-02-11T00:00:00"/>
  </r>
  <r>
    <s v="S1580"/>
    <s v="Pooja Kulkarni"/>
    <s v="C202"/>
    <x v="2"/>
    <s v="B3"/>
    <s v="Priya"/>
    <x v="1"/>
    <n v="13142"/>
    <s v="DISC15"/>
    <m/>
    <n v="13000"/>
    <d v="2024-01-07T00:00:00"/>
  </r>
  <r>
    <s v="S1581"/>
    <s v="Rahul Singh"/>
    <s v="C202"/>
    <x v="2"/>
    <s v="B2"/>
    <s v="Priya"/>
    <x v="1"/>
    <n v="13770"/>
    <m/>
    <m/>
    <n v="13000"/>
    <d v="2024-01-10T00:00:00"/>
  </r>
  <r>
    <s v="S1582"/>
    <s v="Meera Nair"/>
    <s v="C201"/>
    <x v="0"/>
    <s v="B1"/>
    <s v="Amit"/>
    <x v="0"/>
    <n v="14070"/>
    <m/>
    <m/>
    <n v="14000"/>
    <d v="2024-02-24T00:00:00"/>
  </r>
  <r>
    <s v="S1583"/>
    <s v="Neha Nair"/>
    <s v="C202"/>
    <x v="2"/>
    <s v="B1"/>
    <s v="Priya"/>
    <x v="2"/>
    <n v="11986"/>
    <s v="DISC30"/>
    <n v="0.3"/>
    <n v="13000"/>
    <d v="2024-01-18T00:00:00"/>
  </r>
  <r>
    <s v="S1584"/>
    <s v="Aarav Gupta"/>
    <s v="C202"/>
    <x v="2"/>
    <s v="B3"/>
    <s v="Amit"/>
    <x v="2"/>
    <n v="12651"/>
    <s v="DISC20"/>
    <n v="0.2"/>
    <n v="13000"/>
    <d v="2024-01-06T00:00:00"/>
  </r>
  <r>
    <s v="S1585"/>
    <s v="Neha Iyer"/>
    <s v="C204"/>
    <x v="3"/>
    <s v="B1"/>
    <s v="Priya"/>
    <x v="2"/>
    <n v="8294"/>
    <s v="DISC10"/>
    <n v="0.1"/>
    <n v="9000"/>
    <d v="2024-02-01T00:00:00"/>
  </r>
  <r>
    <s v="S1586"/>
    <s v="Anjali Singh"/>
    <s v="C201"/>
    <x v="0"/>
    <s v="B1"/>
    <s v="Priya"/>
    <x v="2"/>
    <n v="12146"/>
    <s v="DISC15"/>
    <m/>
    <n v="14000"/>
    <d v="2024-02-05T00:00:00"/>
  </r>
  <r>
    <s v="S1587"/>
    <s v="Aarav Nair"/>
    <s v="C201"/>
    <x v="0"/>
    <s v="B3"/>
    <s v="Amit"/>
    <x v="1"/>
    <n v="13247"/>
    <s v="DISC15"/>
    <m/>
    <n v="14000"/>
    <d v="2024-02-05T00:00:00"/>
  </r>
  <r>
    <s v="S1588"/>
    <s v="Sneha Singh"/>
    <s v="C204"/>
    <x v="3"/>
    <s v="B2"/>
    <s v="Priya"/>
    <x v="0"/>
    <n v="10344"/>
    <s v="DISC20"/>
    <n v="0.2"/>
    <n v="9000"/>
    <d v="2024-02-24T00:00:00"/>
  </r>
  <r>
    <s v="S1589"/>
    <s v="Neha Jain"/>
    <s v="C204"/>
    <x v="3"/>
    <s v="B3"/>
    <s v="Amit"/>
    <x v="2"/>
    <n v="9932"/>
    <m/>
    <m/>
    <n v="9000"/>
    <d v="2024-01-08T00:00:00"/>
  </r>
  <r>
    <s v="S1590"/>
    <s v="Riya Patel"/>
    <s v="C202"/>
    <x v="2"/>
    <s v="B1"/>
    <s v="Priya"/>
    <x v="2"/>
    <n v="14399"/>
    <s v="DISC30"/>
    <n v="0.3"/>
    <n v="13000"/>
    <d v="2024-02-05T00:00:00"/>
  </r>
  <r>
    <s v="S1591"/>
    <s v="Manish Jain"/>
    <s v="C201"/>
    <x v="0"/>
    <s v="B1"/>
    <s v="Saurabh"/>
    <x v="2"/>
    <n v="12575"/>
    <m/>
    <m/>
    <n v="14000"/>
    <d v="2024-01-07T00:00:00"/>
  </r>
  <r>
    <s v="S1592"/>
    <s v="Aditya Joshi"/>
    <s v="C202"/>
    <x v="2"/>
    <s v="B1"/>
    <s v="Saurabh"/>
    <x v="2"/>
    <n v="11883"/>
    <m/>
    <m/>
    <n v="13000"/>
    <d v="2024-02-22T00:00:00"/>
  </r>
  <r>
    <s v="S1593"/>
    <s v="Dev Patil"/>
    <s v="C203"/>
    <x v="1"/>
    <s v="B1"/>
    <s v="Priya"/>
    <x v="0"/>
    <n v="18795"/>
    <s v="DISC15"/>
    <m/>
    <n v="17000"/>
    <d v="2024-01-08T00:00:00"/>
  </r>
  <r>
    <s v="S1594"/>
    <s v="Dev Iyer"/>
    <s v="C204"/>
    <x v="3"/>
    <s v="B3"/>
    <s v="Amit"/>
    <x v="1"/>
    <n v="7551"/>
    <m/>
    <m/>
    <n v="9000"/>
    <d v="2024-01-01T00:00:00"/>
  </r>
  <r>
    <s v="S1595"/>
    <s v="Manish Desai"/>
    <s v="C201"/>
    <x v="0"/>
    <s v="B3"/>
    <s v="Priya"/>
    <x v="1"/>
    <n v="13978"/>
    <s v="DISC15"/>
    <m/>
    <n v="14000"/>
    <d v="2024-02-19T00:00:00"/>
  </r>
  <r>
    <s v="S1596"/>
    <s v="Kunal Mehta"/>
    <s v="C202"/>
    <x v="2"/>
    <s v="B3"/>
    <s v="Saurabh"/>
    <x v="0"/>
    <n v="12586"/>
    <s v="DISC15"/>
    <m/>
    <n v="13000"/>
    <d v="2024-02-08T00:00:00"/>
  </r>
  <r>
    <s v="S1597"/>
    <s v="Kunal Jain"/>
    <s v="C204"/>
    <x v="3"/>
    <s v="B2"/>
    <s v="Amit"/>
    <x v="1"/>
    <n v="10122"/>
    <s v="DISC20"/>
    <n v="0.2"/>
    <n v="9000"/>
    <d v="2024-01-18T00:00:00"/>
  </r>
  <r>
    <s v="S1598"/>
    <s v="Rahul Jain"/>
    <s v="C203"/>
    <x v="1"/>
    <s v="B2"/>
    <s v="Saurabh"/>
    <x v="0"/>
    <n v="16690"/>
    <s v="DISC15"/>
    <m/>
    <n v="17000"/>
    <d v="2024-02-14T00:00:00"/>
  </r>
  <r>
    <s v="S1599"/>
    <s v="Kunal Desai"/>
    <s v="C203"/>
    <x v="1"/>
    <s v="B3"/>
    <s v="Amit"/>
    <x v="2"/>
    <n v="17915"/>
    <s v="DISC15"/>
    <m/>
    <n v="17000"/>
    <d v="2024-02-10T00:00:00"/>
  </r>
  <r>
    <s v="S1600"/>
    <s v="Sneha Patil"/>
    <s v="C202"/>
    <x v="2"/>
    <s v="B3"/>
    <s v="Amit"/>
    <x v="2"/>
    <n v="13812"/>
    <s v="DISC30"/>
    <n v="0.3"/>
    <n v="13000"/>
    <d v="2024-02-28T00:00:00"/>
  </r>
  <r>
    <s v="S1601"/>
    <s v="Rohit Mehta"/>
    <s v="C202"/>
    <x v="2"/>
    <s v="B3"/>
    <s v="Amit"/>
    <x v="1"/>
    <n v="13608"/>
    <s v="DISC30"/>
    <n v="0.3"/>
    <n v="13000"/>
    <d v="2024-02-15T00:00:00"/>
  </r>
  <r>
    <s v="S1602"/>
    <s v="Riya Patel"/>
    <s v="C203"/>
    <x v="1"/>
    <s v="B3"/>
    <s v="Priya"/>
    <x v="1"/>
    <n v="17337"/>
    <m/>
    <m/>
    <n v="17000"/>
    <d v="2024-02-13T00:00:00"/>
  </r>
  <r>
    <s v="S1603"/>
    <s v="Anjali Nair"/>
    <s v="C203"/>
    <x v="1"/>
    <s v="B2"/>
    <s v="Saurabh"/>
    <x v="1"/>
    <n v="15436"/>
    <s v="DISC10"/>
    <n v="0.1"/>
    <n v="17000"/>
    <d v="2024-01-25T00:00:00"/>
  </r>
  <r>
    <s v="S1604"/>
    <s v="Karan Kulkarni"/>
    <s v="C201"/>
    <x v="0"/>
    <s v="B1"/>
    <s v="Priya"/>
    <x v="0"/>
    <n v="13173"/>
    <s v="DISC30"/>
    <n v="0.3"/>
    <n v="14000"/>
    <d v="2024-01-10T00:00:00"/>
  </r>
  <r>
    <s v="S1605"/>
    <s v="Meera Kulkarni"/>
    <s v="C203"/>
    <x v="1"/>
    <s v="B1"/>
    <s v="Amit"/>
    <x v="0"/>
    <n v="16469"/>
    <m/>
    <m/>
    <n v="17000"/>
    <d v="2024-01-07T00:00:00"/>
  </r>
  <r>
    <s v="S1606"/>
    <s v="Kavita Nair"/>
    <s v="C202"/>
    <x v="2"/>
    <s v="B3"/>
    <s v="Amit"/>
    <x v="1"/>
    <n v="12592"/>
    <s v="DISC20"/>
    <n v="0.2"/>
    <n v="13000"/>
    <d v="2024-02-02T00:00:00"/>
  </r>
  <r>
    <s v="S1607"/>
    <s v="Dev Patel"/>
    <s v="C203"/>
    <x v="1"/>
    <s v="B3"/>
    <s v="Amit"/>
    <x v="0"/>
    <n v="18794"/>
    <m/>
    <m/>
    <n v="17000"/>
    <d v="2024-01-25T00:00:00"/>
  </r>
  <r>
    <s v="S1608"/>
    <s v="Rahul Patel"/>
    <s v="C203"/>
    <x v="1"/>
    <s v="B3"/>
    <s v="Saurabh"/>
    <x v="0"/>
    <n v="18046"/>
    <s v="DISC30"/>
    <n v="0.3"/>
    <n v="17000"/>
    <d v="2024-01-13T00:00:00"/>
  </r>
  <r>
    <s v="S1609"/>
    <s v="Kavita Nair"/>
    <s v="C204"/>
    <x v="3"/>
    <s v="B1"/>
    <s v="Amit"/>
    <x v="1"/>
    <n v="9906"/>
    <s v="DISC30"/>
    <n v="0.3"/>
    <n v="9000"/>
    <d v="2024-02-18T00:00:00"/>
  </r>
  <r>
    <s v="S1610"/>
    <s v="Kavita Gupta"/>
    <s v="C202"/>
    <x v="2"/>
    <s v="B3"/>
    <s v="Saurabh"/>
    <x v="2"/>
    <n v="12838"/>
    <s v="DISC20"/>
    <n v="0.2"/>
    <n v="13000"/>
    <d v="2024-02-13T00:00:00"/>
  </r>
  <r>
    <s v="S1611"/>
    <s v="Riya Mehta"/>
    <s v="C202"/>
    <x v="2"/>
    <s v="B3"/>
    <s v="Amit"/>
    <x v="0"/>
    <n v="12545"/>
    <s v="DISC10"/>
    <n v="0.1"/>
    <n v="13000"/>
    <d v="2024-01-28T00:00:00"/>
  </r>
  <r>
    <s v="S1612"/>
    <s v="Aditya Gupta"/>
    <s v="C203"/>
    <x v="1"/>
    <s v="B1"/>
    <s v="Saurabh"/>
    <x v="1"/>
    <n v="18465"/>
    <s v="DISC30"/>
    <n v="0.3"/>
    <n v="17000"/>
    <d v="2024-01-01T00:00:00"/>
  </r>
  <r>
    <s v="S1613"/>
    <s v="Pooja Iyer"/>
    <s v="C202"/>
    <x v="2"/>
    <s v="B1"/>
    <s v="Saurabh"/>
    <x v="2"/>
    <n v="13444"/>
    <s v="DISC10"/>
    <n v="0.1"/>
    <n v="13000"/>
    <d v="2024-02-19T00:00:00"/>
  </r>
  <r>
    <s v="S1614"/>
    <s v="Kunal Singh"/>
    <s v="C203"/>
    <x v="1"/>
    <s v="B2"/>
    <s v="Amit"/>
    <x v="1"/>
    <n v="16466"/>
    <s v="DISC10"/>
    <n v="0.1"/>
    <n v="17000"/>
    <d v="2024-02-20T00:00:00"/>
  </r>
  <r>
    <s v="S1615"/>
    <s v="Anjali Jain"/>
    <s v="C202"/>
    <x v="2"/>
    <s v="B1"/>
    <s v="Amit"/>
    <x v="0"/>
    <n v="14220"/>
    <s v="DISC15"/>
    <m/>
    <n v="13000"/>
    <d v="2024-01-11T00:00:00"/>
  </r>
  <r>
    <s v="S1616"/>
    <s v="Rahul Gupta"/>
    <s v="C204"/>
    <x v="3"/>
    <s v="B1"/>
    <s v="Priya"/>
    <x v="0"/>
    <n v="10618"/>
    <s v="DISC20"/>
    <n v="0.2"/>
    <n v="9000"/>
    <d v="2024-02-12T00:00:00"/>
  </r>
  <r>
    <s v="S1617"/>
    <s v="Pooja Jain"/>
    <s v="C203"/>
    <x v="1"/>
    <s v="B2"/>
    <s v="Saurabh"/>
    <x v="1"/>
    <n v="17172"/>
    <m/>
    <m/>
    <n v="17000"/>
    <d v="2024-02-05T00:00:00"/>
  </r>
  <r>
    <s v="S1618"/>
    <s v="Meera Patel"/>
    <s v="C201"/>
    <x v="0"/>
    <s v="B1"/>
    <s v="Amit"/>
    <x v="2"/>
    <n v="13825"/>
    <s v="DISC20"/>
    <n v="0.2"/>
    <n v="14000"/>
    <d v="2024-02-27T00:00:00"/>
  </r>
  <r>
    <s v="S1619"/>
    <s v="Rohit Joshi"/>
    <s v="C202"/>
    <x v="2"/>
    <s v="B1"/>
    <s v="Amit"/>
    <x v="2"/>
    <n v="12562"/>
    <s v="DISC10"/>
    <n v="0.1"/>
    <n v="13000"/>
    <d v="2024-01-25T00:00:00"/>
  </r>
  <r>
    <s v="S1620"/>
    <s v="Aditya Gupta"/>
    <s v="C203"/>
    <x v="1"/>
    <s v="B1"/>
    <s v="Amit"/>
    <x v="2"/>
    <n v="17106"/>
    <s v="DISC15"/>
    <m/>
    <n v="17000"/>
    <d v="2024-01-29T00:00:00"/>
  </r>
  <r>
    <s v="S1621"/>
    <s v="Neha Kulkarni"/>
    <s v="C203"/>
    <x v="1"/>
    <s v="B3"/>
    <s v="Saurabh"/>
    <x v="2"/>
    <n v="17104"/>
    <s v="DISC10"/>
    <n v="0.1"/>
    <n v="17000"/>
    <d v="2024-03-01T00:00:00"/>
  </r>
  <r>
    <s v="S1622"/>
    <s v="Riya Mehta"/>
    <s v="C201"/>
    <x v="0"/>
    <s v="B3"/>
    <s v="Saurabh"/>
    <x v="0"/>
    <n v="14745"/>
    <s v="DISC20"/>
    <n v="0.2"/>
    <n v="14000"/>
    <d v="2024-02-25T00:00:00"/>
  </r>
  <r>
    <s v="S1623"/>
    <s v="Rohit Verma"/>
    <s v="C201"/>
    <x v="0"/>
    <s v="B1"/>
    <s v="Amit"/>
    <x v="1"/>
    <n v="15598"/>
    <m/>
    <m/>
    <n v="14000"/>
    <d v="2024-02-11T00:00:00"/>
  </r>
  <r>
    <s v="S1624"/>
    <s v="Meera Shah"/>
    <s v="C202"/>
    <x v="2"/>
    <s v="B1"/>
    <s v="Priya"/>
    <x v="1"/>
    <n v="12358"/>
    <s v="DISC10"/>
    <n v="0.1"/>
    <n v="13000"/>
    <d v="2024-01-06T00:00:00"/>
  </r>
  <r>
    <s v="S1625"/>
    <s v="Riya Kulkarni"/>
    <s v="C202"/>
    <x v="2"/>
    <s v="B2"/>
    <s v="Amit"/>
    <x v="0"/>
    <n v="13355"/>
    <s v="DISC20"/>
    <n v="0.2"/>
    <n v="13000"/>
    <d v="2024-02-28T00:00:00"/>
  </r>
  <r>
    <s v="S1626"/>
    <s v="Aditya Verma"/>
    <s v="C204"/>
    <x v="3"/>
    <s v="B2"/>
    <s v="Amit"/>
    <x v="2"/>
    <n v="8773"/>
    <s v="DISC30"/>
    <n v="0.3"/>
    <n v="9000"/>
    <d v="2024-01-02T00:00:00"/>
  </r>
  <r>
    <s v="S1627"/>
    <s v="Rahul Singh"/>
    <s v="C201"/>
    <x v="0"/>
    <s v="B3"/>
    <s v="Saurabh"/>
    <x v="1"/>
    <n v="14950"/>
    <s v="DISC15"/>
    <m/>
    <n v="14000"/>
    <d v="2024-01-05T00:00:00"/>
  </r>
  <r>
    <s v="S1628"/>
    <s v="Dev Desai"/>
    <s v="C201"/>
    <x v="0"/>
    <s v="B3"/>
    <s v="Saurabh"/>
    <x v="2"/>
    <n v="15801"/>
    <s v="DISC15"/>
    <m/>
    <n v="14000"/>
    <d v="2024-01-07T00:00:00"/>
  </r>
  <r>
    <s v="S1629"/>
    <s v="Aditya Patel"/>
    <s v="C203"/>
    <x v="1"/>
    <s v="B3"/>
    <s v="Saurabh"/>
    <x v="2"/>
    <n v="18134"/>
    <m/>
    <m/>
    <n v="17000"/>
    <d v="2024-01-25T00:00:00"/>
  </r>
  <r>
    <s v="S1630"/>
    <s v="Rahul Nair"/>
    <s v="C201"/>
    <x v="0"/>
    <s v="B2"/>
    <s v="Saurabh"/>
    <x v="1"/>
    <n v="12900"/>
    <s v="DISC20"/>
    <n v="0.2"/>
    <n v="14000"/>
    <d v="2024-02-17T00:00:00"/>
  </r>
  <r>
    <s v="S1631"/>
    <s v="Rahul Patel"/>
    <s v="C203"/>
    <x v="1"/>
    <s v="B3"/>
    <s v="Saurabh"/>
    <x v="2"/>
    <n v="17774"/>
    <s v="DISC30"/>
    <n v="0.3"/>
    <n v="17000"/>
    <d v="2024-03-01T00:00:00"/>
  </r>
  <r>
    <s v="S1632"/>
    <s v="Aarav Gupta"/>
    <s v="C202"/>
    <x v="2"/>
    <s v="B1"/>
    <s v="Saurabh"/>
    <x v="0"/>
    <n v="13345"/>
    <s v="DISC15"/>
    <m/>
    <n v="13000"/>
    <d v="2024-01-26T00:00:00"/>
  </r>
  <r>
    <s v="S1633"/>
    <s v="Manish Gupta"/>
    <s v="C201"/>
    <x v="0"/>
    <s v="B2"/>
    <s v="Saurabh"/>
    <x v="1"/>
    <n v="15036"/>
    <s v="DISC30"/>
    <n v="0.3"/>
    <n v="14000"/>
    <d v="2024-01-14T00:00:00"/>
  </r>
  <r>
    <s v="S1634"/>
    <s v="Rahul Singh"/>
    <s v="C202"/>
    <x v="2"/>
    <s v="B1"/>
    <s v="Saurabh"/>
    <x v="0"/>
    <n v="13526"/>
    <s v="DISC30"/>
    <n v="0.3"/>
    <n v="13000"/>
    <d v="2024-01-13T00:00:00"/>
  </r>
  <r>
    <s v="S1635"/>
    <s v="Riya Mehta"/>
    <s v="C201"/>
    <x v="0"/>
    <s v="B3"/>
    <s v="Priya"/>
    <x v="1"/>
    <n v="14251"/>
    <s v="DISC10"/>
    <n v="0.1"/>
    <n v="14000"/>
    <d v="2024-01-19T00:00:00"/>
  </r>
  <r>
    <s v="S1636"/>
    <s v="Rohit Shah"/>
    <s v="C203"/>
    <x v="1"/>
    <s v="B1"/>
    <s v="Saurabh"/>
    <x v="1"/>
    <n v="17378"/>
    <m/>
    <m/>
    <n v="17000"/>
    <d v="2024-03-01T00:00:00"/>
  </r>
  <r>
    <s v="S1637"/>
    <s v="Pooja Jain"/>
    <s v="C202"/>
    <x v="2"/>
    <s v="B3"/>
    <s v="Amit"/>
    <x v="0"/>
    <n v="11409"/>
    <s v="DISC30"/>
    <n v="0.3"/>
    <n v="13000"/>
    <d v="2024-02-09T00:00:00"/>
  </r>
  <r>
    <s v="S1638"/>
    <s v="Riya Patil"/>
    <s v="C203"/>
    <x v="1"/>
    <s v="B2"/>
    <s v="Priya"/>
    <x v="2"/>
    <n v="17524"/>
    <s v="DISC30"/>
    <n v="0.3"/>
    <n v="17000"/>
    <d v="2024-02-14T00:00:00"/>
  </r>
  <r>
    <s v="S1639"/>
    <s v="Kavita Mehta"/>
    <s v="C203"/>
    <x v="1"/>
    <s v="B2"/>
    <s v="Priya"/>
    <x v="0"/>
    <n v="15019"/>
    <s v="DISC30"/>
    <n v="0.3"/>
    <n v="17000"/>
    <d v="2024-01-16T00:00:00"/>
  </r>
  <r>
    <s v="S1640"/>
    <s v="Dev Patil"/>
    <s v="C204"/>
    <x v="3"/>
    <s v="B2"/>
    <s v="Priya"/>
    <x v="0"/>
    <n v="9783"/>
    <s v="DISC30"/>
    <n v="0.3"/>
    <n v="9000"/>
    <d v="2024-02-26T00:00:00"/>
  </r>
  <r>
    <s v="S1641"/>
    <s v="Neha Iyer"/>
    <s v="C204"/>
    <x v="3"/>
    <s v="B2"/>
    <s v="Priya"/>
    <x v="2"/>
    <n v="9259"/>
    <s v="DISC10"/>
    <n v="0.1"/>
    <n v="9000"/>
    <d v="2024-01-12T00:00:00"/>
  </r>
  <r>
    <s v="S1642"/>
    <s v="Rohit Joshi"/>
    <s v="C201"/>
    <x v="0"/>
    <s v="B2"/>
    <s v="Saurabh"/>
    <x v="1"/>
    <n v="12804"/>
    <s v="DISC30"/>
    <n v="0.3"/>
    <n v="14000"/>
    <d v="2024-02-16T00:00:00"/>
  </r>
  <r>
    <s v="S1643"/>
    <s v="Kunal Singh"/>
    <s v="C201"/>
    <x v="0"/>
    <s v="B3"/>
    <s v="Saurabh"/>
    <x v="0"/>
    <n v="15479"/>
    <s v="DISC15"/>
    <m/>
    <n v="14000"/>
    <d v="2024-02-10T00:00:00"/>
  </r>
  <r>
    <s v="S1644"/>
    <s v="Aarav Nair"/>
    <s v="C204"/>
    <x v="3"/>
    <s v="B3"/>
    <s v="Saurabh"/>
    <x v="0"/>
    <n v="9259"/>
    <s v="DISC30"/>
    <n v="0.3"/>
    <n v="9000"/>
    <d v="2024-02-04T00:00:00"/>
  </r>
  <r>
    <s v="S1645"/>
    <s v="Kunal Gupta"/>
    <s v="C204"/>
    <x v="3"/>
    <s v="B3"/>
    <s v="Saurabh"/>
    <x v="2"/>
    <n v="8607"/>
    <s v="DISC20"/>
    <n v="0.2"/>
    <n v="9000"/>
    <d v="2024-02-27T00:00:00"/>
  </r>
  <r>
    <s v="S1646"/>
    <s v="Dev Joshi"/>
    <s v="C203"/>
    <x v="1"/>
    <s v="B1"/>
    <s v="Priya"/>
    <x v="1"/>
    <n v="17090"/>
    <s v="DISC10"/>
    <n v="0.1"/>
    <n v="17000"/>
    <d v="2024-01-26T00:00:00"/>
  </r>
  <r>
    <s v="S1647"/>
    <s v="Pooja Gupta"/>
    <s v="C201"/>
    <x v="0"/>
    <s v="B3"/>
    <s v="Saurabh"/>
    <x v="1"/>
    <n v="14802"/>
    <s v="DISC20"/>
    <n v="0.2"/>
    <n v="14000"/>
    <d v="2024-02-18T00:00:00"/>
  </r>
  <r>
    <s v="S1648"/>
    <s v="Manish Mehta"/>
    <s v="C204"/>
    <x v="3"/>
    <s v="B1"/>
    <s v="Saurabh"/>
    <x v="1"/>
    <n v="10885"/>
    <s v="DISC15"/>
    <m/>
    <n v="9000"/>
    <d v="2024-02-12T00:00:00"/>
  </r>
  <r>
    <s v="S1649"/>
    <s v="Meera Mehta"/>
    <s v="C204"/>
    <x v="3"/>
    <s v="B2"/>
    <s v="Saurabh"/>
    <x v="0"/>
    <n v="10118"/>
    <m/>
    <m/>
    <n v="9000"/>
    <d v="2024-01-15T00:00:00"/>
  </r>
  <r>
    <s v="S1650"/>
    <s v="Riya Rao"/>
    <s v="C203"/>
    <x v="1"/>
    <s v="B1"/>
    <s v="Saurabh"/>
    <x v="1"/>
    <n v="15846"/>
    <s v="DISC15"/>
    <m/>
    <n v="17000"/>
    <d v="2024-02-28T00:00:00"/>
  </r>
  <r>
    <s v="S1651"/>
    <s v="Dev Jain"/>
    <s v="C204"/>
    <x v="3"/>
    <s v="B2"/>
    <s v="Priya"/>
    <x v="0"/>
    <n v="7163"/>
    <s v="DISC30"/>
    <n v="0.3"/>
    <n v="9000"/>
    <d v="2024-01-07T00:00:00"/>
  </r>
  <r>
    <s v="S1652"/>
    <s v="Anjali Gupta"/>
    <s v="C203"/>
    <x v="1"/>
    <s v="B3"/>
    <s v="Priya"/>
    <x v="1"/>
    <n v="17229"/>
    <s v="DISC15"/>
    <m/>
    <n v="17000"/>
    <d v="2024-01-12T00:00:00"/>
  </r>
  <r>
    <s v="S1653"/>
    <s v="Rahul Singh"/>
    <s v="C204"/>
    <x v="3"/>
    <s v="B2"/>
    <s v="Amit"/>
    <x v="1"/>
    <n v="10679"/>
    <s v="DISC10"/>
    <n v="0.1"/>
    <n v="9000"/>
    <d v="2024-02-03T00:00:00"/>
  </r>
  <r>
    <s v="S1654"/>
    <s v="Aditya Verma"/>
    <s v="C202"/>
    <x v="2"/>
    <s v="B3"/>
    <s v="Priya"/>
    <x v="2"/>
    <n v="14347"/>
    <s v="DISC30"/>
    <n v="0.3"/>
    <n v="13000"/>
    <d v="2024-02-01T00:00:00"/>
  </r>
  <r>
    <s v="S1655"/>
    <s v="Dev Iyer"/>
    <s v="C201"/>
    <x v="0"/>
    <s v="B3"/>
    <s v="Saurabh"/>
    <x v="2"/>
    <n v="12678"/>
    <s v="DISC20"/>
    <n v="0.2"/>
    <n v="14000"/>
    <d v="2024-01-05T00:00:00"/>
  </r>
  <r>
    <s v="S1656"/>
    <s v="Manish Singh"/>
    <s v="C203"/>
    <x v="1"/>
    <s v="B1"/>
    <s v="Saurabh"/>
    <x v="0"/>
    <n v="15644"/>
    <s v="DISC30"/>
    <n v="0.3"/>
    <n v="17000"/>
    <d v="2024-02-08T00:00:00"/>
  </r>
  <r>
    <s v="S1657"/>
    <s v="Anjali Nair"/>
    <s v="C201"/>
    <x v="0"/>
    <s v="B3"/>
    <s v="Saurabh"/>
    <x v="2"/>
    <n v="15322"/>
    <s v="DISC30"/>
    <n v="0.3"/>
    <n v="14000"/>
    <d v="2024-02-16T00:00:00"/>
  </r>
  <r>
    <s v="S1658"/>
    <s v="Riya Iyer"/>
    <s v="C204"/>
    <x v="3"/>
    <s v="B2"/>
    <s v="Saurabh"/>
    <x v="1"/>
    <n v="7660"/>
    <m/>
    <m/>
    <n v="9000"/>
    <d v="2024-01-02T00:00:00"/>
  </r>
  <r>
    <s v="S1659"/>
    <s v="Sneha Kulkarni"/>
    <s v="C202"/>
    <x v="2"/>
    <s v="B3"/>
    <s v="Amit"/>
    <x v="0"/>
    <n v="11551"/>
    <s v="DISC15"/>
    <m/>
    <n v="13000"/>
    <d v="2024-01-03T00:00:00"/>
  </r>
  <r>
    <s v="S1660"/>
    <s v="Kunal Joshi"/>
    <s v="C202"/>
    <x v="2"/>
    <s v="B1"/>
    <s v="Saurabh"/>
    <x v="2"/>
    <n v="14778"/>
    <s v="DISC20"/>
    <n v="0.2"/>
    <n v="13000"/>
    <d v="2024-02-03T00:00:00"/>
  </r>
  <r>
    <s v="S1661"/>
    <s v="Rahul Joshi"/>
    <s v="C201"/>
    <x v="0"/>
    <s v="B3"/>
    <s v="Amit"/>
    <x v="1"/>
    <n v="15364"/>
    <s v="DISC30"/>
    <n v="0.3"/>
    <n v="14000"/>
    <d v="2024-03-01T00:00:00"/>
  </r>
  <r>
    <s v="S1662"/>
    <s v="Riya Patil"/>
    <s v="C204"/>
    <x v="3"/>
    <s v="B3"/>
    <s v="Priya"/>
    <x v="2"/>
    <n v="7698"/>
    <s v="DISC20"/>
    <n v="0.2"/>
    <n v="9000"/>
    <d v="2024-02-23T00:00:00"/>
  </r>
  <r>
    <s v="S1663"/>
    <s v="Rahul Joshi"/>
    <s v="C202"/>
    <x v="2"/>
    <s v="B3"/>
    <s v="Saurabh"/>
    <x v="1"/>
    <n v="13701"/>
    <s v="DISC15"/>
    <m/>
    <n v="13000"/>
    <d v="2024-01-17T00:00:00"/>
  </r>
  <r>
    <s v="S1664"/>
    <s v="Karan Desai"/>
    <s v="C203"/>
    <x v="1"/>
    <s v="B2"/>
    <s v="Amit"/>
    <x v="1"/>
    <n v="15281"/>
    <s v="DISC20"/>
    <n v="0.2"/>
    <n v="17000"/>
    <d v="2024-01-25T00:00:00"/>
  </r>
  <r>
    <s v="S1665"/>
    <s v="Rahul Mehta"/>
    <s v="C201"/>
    <x v="0"/>
    <s v="B1"/>
    <s v="Saurabh"/>
    <x v="1"/>
    <n v="15520"/>
    <s v="DISC15"/>
    <m/>
    <n v="14000"/>
    <d v="2024-02-13T00:00:00"/>
  </r>
  <r>
    <s v="S1666"/>
    <s v="Rahul Nair"/>
    <s v="C202"/>
    <x v="2"/>
    <s v="B3"/>
    <s v="Saurabh"/>
    <x v="0"/>
    <n v="12949"/>
    <s v="DISC15"/>
    <m/>
    <n v="13000"/>
    <d v="2024-02-08T00:00:00"/>
  </r>
  <r>
    <s v="S1667"/>
    <s v="Aarav Patel"/>
    <s v="C201"/>
    <x v="0"/>
    <s v="B1"/>
    <s v="Priya"/>
    <x v="1"/>
    <n v="12533"/>
    <s v="DISC15"/>
    <m/>
    <n v="14000"/>
    <d v="2024-02-04T00:00:00"/>
  </r>
  <r>
    <s v="S1668"/>
    <s v="Meera Kulkarni"/>
    <s v="C204"/>
    <x v="3"/>
    <s v="B3"/>
    <s v="Priya"/>
    <x v="2"/>
    <n v="10583"/>
    <s v="DISC10"/>
    <n v="0.1"/>
    <n v="9000"/>
    <d v="2024-02-14T00:00:00"/>
  </r>
  <r>
    <s v="S1669"/>
    <s v="Manish Verma"/>
    <s v="C202"/>
    <x v="2"/>
    <s v="B2"/>
    <s v="Priya"/>
    <x v="2"/>
    <n v="13412"/>
    <s v="DISC15"/>
    <m/>
    <n v="13000"/>
    <d v="2024-01-07T00:00:00"/>
  </r>
  <r>
    <s v="S1670"/>
    <s v="Rahul Mehta"/>
    <s v="C203"/>
    <x v="1"/>
    <s v="B2"/>
    <s v="Saurabh"/>
    <x v="0"/>
    <n v="16160"/>
    <s v="DISC15"/>
    <m/>
    <n v="17000"/>
    <d v="2024-02-26T00:00:00"/>
  </r>
  <r>
    <s v="S1671"/>
    <s v="Manish Verma"/>
    <s v="C203"/>
    <x v="1"/>
    <s v="B1"/>
    <s v="Saurabh"/>
    <x v="1"/>
    <n v="18045"/>
    <s v="DISC10"/>
    <n v="0.1"/>
    <n v="17000"/>
    <d v="2024-02-06T00:00:00"/>
  </r>
  <r>
    <s v="S1672"/>
    <s v="Manish Shah"/>
    <s v="C201"/>
    <x v="0"/>
    <s v="B2"/>
    <s v="Amit"/>
    <x v="0"/>
    <n v="14817"/>
    <s v="DISC30"/>
    <n v="0.3"/>
    <n v="14000"/>
    <d v="2024-01-27T00:00:00"/>
  </r>
  <r>
    <s v="S1673"/>
    <s v="Pooja Shah"/>
    <s v="C202"/>
    <x v="2"/>
    <s v="B2"/>
    <s v="Amit"/>
    <x v="1"/>
    <n v="12038"/>
    <s v="DISC30"/>
    <n v="0.3"/>
    <n v="13000"/>
    <d v="2024-02-24T00:00:00"/>
  </r>
  <r>
    <s v="S1674"/>
    <s v="Manish Verma"/>
    <s v="C203"/>
    <x v="1"/>
    <s v="B3"/>
    <s v="Priya"/>
    <x v="1"/>
    <n v="16627"/>
    <s v="DISC20"/>
    <n v="0.2"/>
    <n v="17000"/>
    <d v="2024-01-27T00:00:00"/>
  </r>
  <r>
    <s v="S1675"/>
    <s v="Manish Patel"/>
    <s v="C204"/>
    <x v="3"/>
    <s v="B1"/>
    <s v="Priya"/>
    <x v="1"/>
    <n v="9272"/>
    <m/>
    <m/>
    <n v="9000"/>
    <d v="2024-01-17T00:00:00"/>
  </r>
  <r>
    <s v="S1676"/>
    <s v="Aditya Joshi"/>
    <s v="C203"/>
    <x v="1"/>
    <s v="B3"/>
    <s v="Priya"/>
    <x v="1"/>
    <n v="15565"/>
    <s v="DISC10"/>
    <n v="0.1"/>
    <n v="17000"/>
    <d v="2024-02-17T00:00:00"/>
  </r>
  <r>
    <s v="S1677"/>
    <s v="Sneha Iyer"/>
    <s v="C202"/>
    <x v="2"/>
    <s v="B1"/>
    <s v="Saurabh"/>
    <x v="1"/>
    <n v="12640"/>
    <s v="DISC30"/>
    <n v="0.3"/>
    <n v="13000"/>
    <d v="2024-02-21T00:00:00"/>
  </r>
  <r>
    <s v="S1678"/>
    <s v="Manish Joshi"/>
    <s v="C201"/>
    <x v="0"/>
    <s v="B1"/>
    <s v="Priya"/>
    <x v="1"/>
    <n v="12021"/>
    <s v="DISC10"/>
    <n v="0.1"/>
    <n v="14000"/>
    <d v="2024-02-22T00:00:00"/>
  </r>
  <r>
    <s v="S1679"/>
    <s v="Karan Iyer"/>
    <s v="C204"/>
    <x v="3"/>
    <s v="B1"/>
    <s v="Saurabh"/>
    <x v="2"/>
    <n v="7908"/>
    <s v="DISC30"/>
    <n v="0.3"/>
    <n v="9000"/>
    <d v="2024-01-06T00:00:00"/>
  </r>
  <r>
    <s v="S1680"/>
    <s v="Kavita Kulkarni"/>
    <s v="C204"/>
    <x v="3"/>
    <s v="B2"/>
    <s v="Amit"/>
    <x v="1"/>
    <n v="9134"/>
    <s v="DISC30"/>
    <n v="0.3"/>
    <n v="9000"/>
    <d v="2024-02-15T00:00:00"/>
  </r>
  <r>
    <s v="S1681"/>
    <s v="Kavita Kulkarni"/>
    <s v="C202"/>
    <x v="2"/>
    <s v="B3"/>
    <s v="Priya"/>
    <x v="2"/>
    <n v="11043"/>
    <s v="DISC20"/>
    <n v="0.2"/>
    <n v="13000"/>
    <d v="2024-02-24T00:00:00"/>
  </r>
  <r>
    <s v="S1682"/>
    <s v="Rohit Patel"/>
    <s v="C203"/>
    <x v="1"/>
    <s v="B1"/>
    <s v="Saurabh"/>
    <x v="1"/>
    <n v="17091"/>
    <s v="DISC15"/>
    <m/>
    <n v="17000"/>
    <d v="2024-02-14T00:00:00"/>
  </r>
  <r>
    <s v="S1683"/>
    <s v="Sneha Joshi"/>
    <s v="C202"/>
    <x v="2"/>
    <s v="B3"/>
    <s v="Saurabh"/>
    <x v="2"/>
    <n v="11979"/>
    <s v="DISC10"/>
    <n v="0.1"/>
    <n v="13000"/>
    <d v="2024-01-11T00:00:00"/>
  </r>
  <r>
    <s v="S1684"/>
    <s v="Riya Rao"/>
    <s v="C204"/>
    <x v="3"/>
    <s v="B2"/>
    <s v="Amit"/>
    <x v="2"/>
    <n v="8660"/>
    <s v="DISC15"/>
    <m/>
    <n v="9000"/>
    <d v="2024-01-13T00:00:00"/>
  </r>
  <r>
    <s v="S1685"/>
    <s v="Manish Kulkarni"/>
    <s v="C201"/>
    <x v="0"/>
    <s v="B1"/>
    <s v="Amit"/>
    <x v="2"/>
    <n v="14974"/>
    <s v="DISC15"/>
    <m/>
    <n v="14000"/>
    <d v="2024-02-28T00:00:00"/>
  </r>
  <r>
    <s v="S1686"/>
    <s v="Kavita Jain"/>
    <s v="C203"/>
    <x v="1"/>
    <s v="B2"/>
    <s v="Saurabh"/>
    <x v="1"/>
    <n v="18944"/>
    <s v="DISC20"/>
    <n v="0.2"/>
    <n v="17000"/>
    <d v="2024-01-30T00:00:00"/>
  </r>
  <r>
    <s v="S1687"/>
    <s v="Kunal Verma"/>
    <s v="C201"/>
    <x v="0"/>
    <s v="B2"/>
    <s v="Saurabh"/>
    <x v="2"/>
    <n v="14073"/>
    <s v="DISC10"/>
    <n v="0.1"/>
    <n v="14000"/>
    <d v="2024-02-05T00:00:00"/>
  </r>
  <r>
    <s v="S1688"/>
    <s v="Riya Gupta"/>
    <s v="C203"/>
    <x v="1"/>
    <s v="B2"/>
    <s v="Saurabh"/>
    <x v="1"/>
    <n v="18918"/>
    <s v="DISC30"/>
    <n v="0.3"/>
    <n v="17000"/>
    <d v="2024-02-26T00:00:00"/>
  </r>
  <r>
    <s v="S1689"/>
    <s v="Manish Nair"/>
    <s v="C203"/>
    <x v="1"/>
    <s v="B3"/>
    <s v="Priya"/>
    <x v="2"/>
    <n v="17306"/>
    <m/>
    <m/>
    <n v="17000"/>
    <d v="2024-02-19T00:00:00"/>
  </r>
  <r>
    <s v="S1690"/>
    <s v="Sneha Patel"/>
    <s v="C203"/>
    <x v="1"/>
    <s v="B2"/>
    <s v="Amit"/>
    <x v="2"/>
    <n v="18672"/>
    <s v="DISC15"/>
    <m/>
    <n v="17000"/>
    <d v="2024-02-25T00:00:00"/>
  </r>
  <r>
    <s v="S1691"/>
    <s v="Aarav Iyer"/>
    <s v="C201"/>
    <x v="0"/>
    <s v="B2"/>
    <s v="Saurabh"/>
    <x v="2"/>
    <n v="14595"/>
    <s v="DISC20"/>
    <n v="0.2"/>
    <n v="14000"/>
    <d v="2024-02-13T00:00:00"/>
  </r>
  <r>
    <s v="S1692"/>
    <s v="Anjali Patil"/>
    <s v="C203"/>
    <x v="1"/>
    <s v="B2"/>
    <s v="Priya"/>
    <x v="1"/>
    <n v="17194"/>
    <s v="DISC10"/>
    <n v="0.1"/>
    <n v="17000"/>
    <d v="2024-02-14T00:00:00"/>
  </r>
  <r>
    <s v="S1693"/>
    <s v="Meera Rao"/>
    <s v="C202"/>
    <x v="2"/>
    <s v="B2"/>
    <s v="Saurabh"/>
    <x v="2"/>
    <n v="13759"/>
    <s v="DISC30"/>
    <n v="0.3"/>
    <n v="13000"/>
    <d v="2024-01-05T00:00:00"/>
  </r>
  <r>
    <s v="S1694"/>
    <s v="Manish Mehta"/>
    <s v="C204"/>
    <x v="3"/>
    <s v="B2"/>
    <s v="Priya"/>
    <x v="0"/>
    <n v="10663"/>
    <s v="DISC15"/>
    <m/>
    <n v="9000"/>
    <d v="2024-01-18T00:00:00"/>
  </r>
  <r>
    <s v="S1695"/>
    <s v="Karan Desai"/>
    <s v="C202"/>
    <x v="2"/>
    <s v="B2"/>
    <s v="Amit"/>
    <x v="0"/>
    <n v="11961"/>
    <s v="DISC20"/>
    <n v="0.2"/>
    <n v="13000"/>
    <d v="2024-02-25T00:00:00"/>
  </r>
  <r>
    <s v="S1696"/>
    <s v="Aditya Patil"/>
    <s v="C202"/>
    <x v="2"/>
    <s v="B1"/>
    <s v="Saurabh"/>
    <x v="1"/>
    <n v="12458"/>
    <s v="DISC20"/>
    <n v="0.2"/>
    <n v="13000"/>
    <d v="2024-02-19T00:00:00"/>
  </r>
  <r>
    <s v="S1697"/>
    <s v="Riya Shah"/>
    <s v="C201"/>
    <x v="0"/>
    <s v="B3"/>
    <s v="Amit"/>
    <x v="2"/>
    <n v="14514"/>
    <s v="DISC10"/>
    <n v="0.1"/>
    <n v="14000"/>
    <d v="2024-02-18T00:00:00"/>
  </r>
  <r>
    <s v="S1698"/>
    <s v="Meera Gupta"/>
    <s v="C201"/>
    <x v="0"/>
    <s v="B2"/>
    <s v="Priya"/>
    <x v="1"/>
    <n v="13291"/>
    <m/>
    <m/>
    <n v="14000"/>
    <d v="2024-02-27T00:00:00"/>
  </r>
  <r>
    <s v="S1699"/>
    <s v="Kunal Joshi"/>
    <s v="C203"/>
    <x v="1"/>
    <s v="B2"/>
    <s v="Saurabh"/>
    <x v="1"/>
    <n v="16147"/>
    <m/>
    <m/>
    <n v="17000"/>
    <d v="2024-01-15T00:00:00"/>
  </r>
  <r>
    <s v="S1700"/>
    <s v="Dev Joshi"/>
    <s v="C202"/>
    <x v="2"/>
    <s v="B1"/>
    <s v="Amit"/>
    <x v="2"/>
    <n v="12959"/>
    <s v="DISC15"/>
    <m/>
    <n v="13000"/>
    <d v="2024-01-03T00:00:00"/>
  </r>
  <r>
    <s v="S1701"/>
    <s v="Manish Jain"/>
    <s v="C204"/>
    <x v="3"/>
    <s v="B3"/>
    <s v="Saurabh"/>
    <x v="2"/>
    <n v="10999"/>
    <s v="DISC10"/>
    <n v="0.1"/>
    <n v="9000"/>
    <d v="2024-02-14T00:00:00"/>
  </r>
  <r>
    <s v="S1702"/>
    <s v="Manish Iyer"/>
    <s v="C203"/>
    <x v="1"/>
    <s v="B3"/>
    <s v="Saurabh"/>
    <x v="0"/>
    <n v="17761"/>
    <s v="DISC20"/>
    <n v="0.2"/>
    <n v="17000"/>
    <d v="2024-01-25T00:00:00"/>
  </r>
  <r>
    <s v="S1703"/>
    <s v="Kavita Shah"/>
    <s v="C203"/>
    <x v="1"/>
    <s v="B2"/>
    <s v="Amit"/>
    <x v="2"/>
    <n v="15766"/>
    <s v="DISC15"/>
    <m/>
    <n v="17000"/>
    <d v="2024-01-17T00:00:00"/>
  </r>
  <r>
    <s v="S1704"/>
    <s v="Sneha Rao"/>
    <s v="C204"/>
    <x v="3"/>
    <s v="B3"/>
    <s v="Priya"/>
    <x v="2"/>
    <n v="7753"/>
    <m/>
    <m/>
    <n v="9000"/>
    <d v="2024-01-28T00:00:00"/>
  </r>
  <r>
    <s v="S1705"/>
    <s v="Sneha Verma"/>
    <s v="C203"/>
    <x v="1"/>
    <s v="B2"/>
    <s v="Priya"/>
    <x v="2"/>
    <n v="16846"/>
    <s v="DISC20"/>
    <n v="0.2"/>
    <n v="17000"/>
    <d v="2024-02-06T00:00:00"/>
  </r>
  <r>
    <s v="S1706"/>
    <s v="Karan Joshi"/>
    <s v="C202"/>
    <x v="2"/>
    <s v="B1"/>
    <s v="Amit"/>
    <x v="2"/>
    <n v="14293"/>
    <s v="DISC20"/>
    <n v="0.2"/>
    <n v="13000"/>
    <d v="2024-02-05T00:00:00"/>
  </r>
  <r>
    <s v="S1707"/>
    <s v="Rahul Nair"/>
    <s v="C204"/>
    <x v="3"/>
    <s v="B1"/>
    <s v="Saurabh"/>
    <x v="1"/>
    <n v="7612"/>
    <m/>
    <m/>
    <n v="9000"/>
    <d v="2024-02-21T00:00:00"/>
  </r>
  <r>
    <s v="S1708"/>
    <s v="Aarav Mehta"/>
    <s v="C204"/>
    <x v="3"/>
    <s v="B2"/>
    <s v="Saurabh"/>
    <x v="1"/>
    <n v="9117"/>
    <s v="DISC15"/>
    <m/>
    <n v="9000"/>
    <d v="2024-02-16T00:00:00"/>
  </r>
  <r>
    <s v="S1709"/>
    <s v="Pooja Patel"/>
    <s v="C204"/>
    <x v="3"/>
    <s v="B2"/>
    <s v="Priya"/>
    <x v="1"/>
    <n v="10516"/>
    <s v="DISC15"/>
    <m/>
    <n v="9000"/>
    <d v="2024-01-04T00:00:00"/>
  </r>
  <r>
    <s v="S1710"/>
    <s v="Rahul Shah"/>
    <s v="C202"/>
    <x v="2"/>
    <s v="B1"/>
    <s v="Saurabh"/>
    <x v="2"/>
    <n v="12951"/>
    <s v="DISC10"/>
    <n v="0.1"/>
    <n v="13000"/>
    <d v="2024-01-29T00:00:00"/>
  </r>
  <r>
    <s v="S1711"/>
    <s v="Anjali Jain"/>
    <s v="C203"/>
    <x v="1"/>
    <s v="B2"/>
    <s v="Priya"/>
    <x v="1"/>
    <n v="17283"/>
    <s v="DISC30"/>
    <n v="0.3"/>
    <n v="17000"/>
    <d v="2024-01-23T00:00:00"/>
  </r>
  <r>
    <s v="S1712"/>
    <s v="Aarav Verma"/>
    <s v="C201"/>
    <x v="0"/>
    <s v="B2"/>
    <s v="Amit"/>
    <x v="1"/>
    <n v="12814"/>
    <s v="DISC15"/>
    <m/>
    <n v="14000"/>
    <d v="2024-02-06T00:00:00"/>
  </r>
  <r>
    <s v="S1713"/>
    <s v="Rohit Singh"/>
    <s v="C202"/>
    <x v="2"/>
    <s v="B2"/>
    <s v="Priya"/>
    <x v="2"/>
    <n v="13757"/>
    <s v="DISC15"/>
    <m/>
    <n v="13000"/>
    <d v="2024-02-01T00:00:00"/>
  </r>
  <r>
    <s v="S1714"/>
    <s v="Dev Desai"/>
    <s v="C204"/>
    <x v="3"/>
    <s v="B1"/>
    <s v="Priya"/>
    <x v="1"/>
    <n v="8173"/>
    <m/>
    <m/>
    <n v="9000"/>
    <d v="2024-02-10T00:00:00"/>
  </r>
  <r>
    <s v="S1715"/>
    <s v="Karan Nair"/>
    <s v="C202"/>
    <x v="2"/>
    <s v="B3"/>
    <s v="Priya"/>
    <x v="2"/>
    <n v="13585"/>
    <s v="DISC15"/>
    <m/>
    <n v="13000"/>
    <d v="2024-02-06T00:00:00"/>
  </r>
  <r>
    <s v="S1716"/>
    <s v="Rahul Nair"/>
    <s v="C201"/>
    <x v="0"/>
    <s v="B1"/>
    <s v="Saurabh"/>
    <x v="2"/>
    <n v="12934"/>
    <s v="DISC30"/>
    <n v="0.3"/>
    <n v="14000"/>
    <d v="2024-01-21T00:00:00"/>
  </r>
  <r>
    <s v="S1717"/>
    <s v="Rohit Rao"/>
    <s v="C203"/>
    <x v="1"/>
    <s v="B3"/>
    <s v="Amit"/>
    <x v="2"/>
    <n v="16111"/>
    <m/>
    <m/>
    <n v="17000"/>
    <d v="2024-02-19T00:00:00"/>
  </r>
  <r>
    <s v="S1718"/>
    <s v="Meera Jain"/>
    <s v="C204"/>
    <x v="3"/>
    <s v="B2"/>
    <s v="Saurabh"/>
    <x v="0"/>
    <n v="10498"/>
    <s v="DISC10"/>
    <n v="0.1"/>
    <n v="9000"/>
    <d v="2024-01-09T00:00:00"/>
  </r>
  <r>
    <s v="S1719"/>
    <s v="Anjali Patil"/>
    <s v="C203"/>
    <x v="1"/>
    <s v="B3"/>
    <s v="Amit"/>
    <x v="1"/>
    <n v="15327"/>
    <s v="DISC20"/>
    <n v="0.2"/>
    <n v="17000"/>
    <d v="2024-01-11T00:00:00"/>
  </r>
  <r>
    <s v="S1720"/>
    <s v="Rahul Shah"/>
    <s v="C201"/>
    <x v="0"/>
    <s v="B1"/>
    <s v="Priya"/>
    <x v="1"/>
    <n v="12220"/>
    <s v="DISC10"/>
    <n v="0.1"/>
    <n v="14000"/>
    <d v="2024-02-19T00:00:00"/>
  </r>
  <r>
    <s v="S1721"/>
    <s v="Rahul Gupta"/>
    <s v="C201"/>
    <x v="0"/>
    <s v="B1"/>
    <s v="Priya"/>
    <x v="1"/>
    <n v="12636"/>
    <s v="DISC10"/>
    <n v="0.1"/>
    <n v="14000"/>
    <d v="2024-02-11T00:00:00"/>
  </r>
  <r>
    <s v="S1722"/>
    <s v="Kunal Verma"/>
    <s v="C203"/>
    <x v="1"/>
    <s v="B1"/>
    <s v="Saurabh"/>
    <x v="1"/>
    <n v="16163"/>
    <m/>
    <m/>
    <n v="17000"/>
    <d v="2024-02-10T00:00:00"/>
  </r>
  <r>
    <s v="S1723"/>
    <s v="Karan Mehta"/>
    <s v="C202"/>
    <x v="2"/>
    <s v="B1"/>
    <s v="Saurabh"/>
    <x v="1"/>
    <n v="12461"/>
    <s v="DISC30"/>
    <n v="0.3"/>
    <n v="13000"/>
    <d v="2024-02-25T00:00:00"/>
  </r>
  <r>
    <s v="S1724"/>
    <s v="Neha Iyer"/>
    <s v="C203"/>
    <x v="1"/>
    <s v="B3"/>
    <s v="Priya"/>
    <x v="0"/>
    <n v="18971"/>
    <s v="DISC15"/>
    <m/>
    <n v="17000"/>
    <d v="2024-01-12T00:00:00"/>
  </r>
  <r>
    <s v="S1725"/>
    <s v="Kavita Joshi"/>
    <s v="C204"/>
    <x v="3"/>
    <s v="B3"/>
    <s v="Amit"/>
    <x v="1"/>
    <n v="10593"/>
    <s v="DISC15"/>
    <m/>
    <n v="9000"/>
    <d v="2024-01-28T00:00:00"/>
  </r>
  <r>
    <s v="S1726"/>
    <s v="Manish Singh"/>
    <s v="C203"/>
    <x v="1"/>
    <s v="B2"/>
    <s v="Priya"/>
    <x v="1"/>
    <n v="15930"/>
    <s v="DISC10"/>
    <n v="0.1"/>
    <n v="17000"/>
    <d v="2024-01-29T00:00:00"/>
  </r>
  <r>
    <s v="S1727"/>
    <s v="Aditya Jain"/>
    <s v="C204"/>
    <x v="3"/>
    <s v="B2"/>
    <s v="Saurabh"/>
    <x v="2"/>
    <n v="7043"/>
    <s v="DISC10"/>
    <n v="0.1"/>
    <n v="9000"/>
    <d v="2024-02-03T00:00:00"/>
  </r>
  <r>
    <s v="S1728"/>
    <s v="Meera Patel"/>
    <s v="C202"/>
    <x v="2"/>
    <s v="B2"/>
    <s v="Priya"/>
    <x v="2"/>
    <n v="13191"/>
    <s v="DISC10"/>
    <n v="0.1"/>
    <n v="13000"/>
    <d v="2024-02-14T00:00:00"/>
  </r>
  <r>
    <s v="S1729"/>
    <s v="Kunal Iyer"/>
    <s v="C204"/>
    <x v="3"/>
    <s v="B2"/>
    <s v="Saurabh"/>
    <x v="2"/>
    <n v="10268"/>
    <s v="DISC30"/>
    <n v="0.3"/>
    <n v="9000"/>
    <d v="2024-02-08T00:00:00"/>
  </r>
  <r>
    <s v="S1730"/>
    <s v="Sneha Patel"/>
    <s v="C201"/>
    <x v="0"/>
    <s v="B3"/>
    <s v="Priya"/>
    <x v="0"/>
    <n v="13686"/>
    <s v="DISC15"/>
    <m/>
    <n v="14000"/>
    <d v="2024-01-28T00:00:00"/>
  </r>
  <r>
    <s v="S1731"/>
    <s v="Rahul Patil"/>
    <s v="C202"/>
    <x v="2"/>
    <s v="B3"/>
    <s v="Amit"/>
    <x v="1"/>
    <n v="12596"/>
    <m/>
    <m/>
    <n v="13000"/>
    <d v="2024-01-15T00:00:00"/>
  </r>
  <r>
    <s v="S1732"/>
    <s v="Aditya Shah"/>
    <s v="C204"/>
    <x v="3"/>
    <s v="B3"/>
    <s v="Saurabh"/>
    <x v="1"/>
    <n v="10131"/>
    <s v="DISC15"/>
    <m/>
    <n v="9000"/>
    <d v="2024-02-21T00:00:00"/>
  </r>
  <r>
    <s v="S1733"/>
    <s v="Anjali Singh"/>
    <s v="C203"/>
    <x v="1"/>
    <s v="B2"/>
    <s v="Amit"/>
    <x v="1"/>
    <n v="17178"/>
    <s v="DISC30"/>
    <n v="0.3"/>
    <n v="17000"/>
    <d v="2024-01-27T00:00:00"/>
  </r>
  <r>
    <s v="S1734"/>
    <s v="Sneha Nair"/>
    <s v="C201"/>
    <x v="0"/>
    <s v="B1"/>
    <s v="Saurabh"/>
    <x v="2"/>
    <n v="12452"/>
    <m/>
    <m/>
    <n v="14000"/>
    <d v="2024-02-09T00:00:00"/>
  </r>
  <r>
    <s v="S1735"/>
    <s v="Neha Rao"/>
    <s v="C204"/>
    <x v="3"/>
    <s v="B1"/>
    <s v="Priya"/>
    <x v="0"/>
    <n v="7623"/>
    <s v="DISC10"/>
    <n v="0.1"/>
    <n v="9000"/>
    <d v="2024-02-04T00:00:00"/>
  </r>
  <r>
    <s v="S1736"/>
    <s v="Aarav Mehta"/>
    <s v="C201"/>
    <x v="0"/>
    <s v="B2"/>
    <s v="Priya"/>
    <x v="0"/>
    <n v="14929"/>
    <m/>
    <m/>
    <n v="14000"/>
    <d v="2024-02-16T00:00:00"/>
  </r>
  <r>
    <s v="S1737"/>
    <s v="Aarav Patil"/>
    <s v="C201"/>
    <x v="0"/>
    <s v="B1"/>
    <s v="Saurabh"/>
    <x v="2"/>
    <n v="12889"/>
    <s v="DISC30"/>
    <n v="0.3"/>
    <n v="14000"/>
    <d v="2024-01-27T00:00:00"/>
  </r>
  <r>
    <s v="S1738"/>
    <s v="Aditya Patel"/>
    <s v="C204"/>
    <x v="3"/>
    <s v="B2"/>
    <s v="Priya"/>
    <x v="1"/>
    <n v="10241"/>
    <s v="DISC10"/>
    <n v="0.1"/>
    <n v="9000"/>
    <d v="2024-01-22T00:00:00"/>
  </r>
  <r>
    <s v="S1739"/>
    <s v="Riya Nair"/>
    <s v="C202"/>
    <x v="2"/>
    <s v="B1"/>
    <s v="Priya"/>
    <x v="2"/>
    <n v="11292"/>
    <s v="DISC15"/>
    <m/>
    <n v="13000"/>
    <d v="2024-01-31T00:00:00"/>
  </r>
  <r>
    <s v="S1740"/>
    <s v="Karan Patil"/>
    <s v="C203"/>
    <x v="1"/>
    <s v="B2"/>
    <s v="Saurabh"/>
    <x v="0"/>
    <n v="18991"/>
    <s v="DISC20"/>
    <n v="0.2"/>
    <n v="17000"/>
    <d v="2024-01-25T00:00:00"/>
  </r>
  <r>
    <s v="S1741"/>
    <s v="Dev Iyer"/>
    <s v="C202"/>
    <x v="2"/>
    <s v="B3"/>
    <s v="Saurabh"/>
    <x v="0"/>
    <n v="12887"/>
    <s v="DISC10"/>
    <n v="0.1"/>
    <n v="13000"/>
    <d v="2024-02-03T00:00:00"/>
  </r>
  <r>
    <s v="S1742"/>
    <s v="Rohit Patil"/>
    <s v="C204"/>
    <x v="3"/>
    <s v="B2"/>
    <s v="Amit"/>
    <x v="2"/>
    <n v="10834"/>
    <s v="DISC30"/>
    <n v="0.3"/>
    <n v="9000"/>
    <d v="2024-01-11T00:00:00"/>
  </r>
  <r>
    <s v="S1743"/>
    <s v="Rohit Desai"/>
    <s v="C201"/>
    <x v="0"/>
    <s v="B3"/>
    <s v="Amit"/>
    <x v="1"/>
    <n v="12500"/>
    <s v="DISC30"/>
    <n v="0.3"/>
    <n v="14000"/>
    <d v="2024-01-31T00:00:00"/>
  </r>
  <r>
    <s v="S1744"/>
    <s v="Rohit Rao"/>
    <s v="C202"/>
    <x v="2"/>
    <s v="B2"/>
    <s v="Saurabh"/>
    <x v="1"/>
    <n v="11892"/>
    <s v="DISC10"/>
    <n v="0.1"/>
    <n v="13000"/>
    <d v="2024-01-16T00:00:00"/>
  </r>
  <r>
    <s v="S1745"/>
    <s v="Rohit Verma"/>
    <s v="C203"/>
    <x v="1"/>
    <s v="B1"/>
    <s v="Saurabh"/>
    <x v="2"/>
    <n v="17394"/>
    <s v="DISC10"/>
    <n v="0.1"/>
    <n v="17000"/>
    <d v="2024-01-26T00:00:00"/>
  </r>
  <r>
    <s v="S1746"/>
    <s v="Dev Patil"/>
    <s v="C201"/>
    <x v="0"/>
    <s v="B1"/>
    <s v="Amit"/>
    <x v="1"/>
    <n v="13946"/>
    <s v="DISC15"/>
    <m/>
    <n v="14000"/>
    <d v="2024-01-10T00:00:00"/>
  </r>
  <r>
    <s v="S1747"/>
    <s v="Pooja Patel"/>
    <s v="C201"/>
    <x v="0"/>
    <s v="B1"/>
    <s v="Saurabh"/>
    <x v="2"/>
    <n v="12374"/>
    <s v="DISC15"/>
    <m/>
    <n v="14000"/>
    <d v="2024-01-22T00:00:00"/>
  </r>
  <r>
    <s v="S1748"/>
    <s v="Kunal Patel"/>
    <s v="C201"/>
    <x v="0"/>
    <s v="B1"/>
    <s v="Priya"/>
    <x v="1"/>
    <n v="12630"/>
    <s v="DISC15"/>
    <m/>
    <n v="14000"/>
    <d v="2024-02-20T00:00:00"/>
  </r>
  <r>
    <s v="S1749"/>
    <s v="Riya Mehta"/>
    <s v="C204"/>
    <x v="3"/>
    <s v="B1"/>
    <s v="Priya"/>
    <x v="1"/>
    <n v="10229"/>
    <s v="DISC30"/>
    <n v="0.3"/>
    <n v="9000"/>
    <d v="2024-02-21T00:00:00"/>
  </r>
  <r>
    <s v="S1750"/>
    <s v="Kunal Iyer"/>
    <s v="C202"/>
    <x v="2"/>
    <s v="B1"/>
    <s v="Amit"/>
    <x v="2"/>
    <n v="12467"/>
    <s v="DISC20"/>
    <n v="0.2"/>
    <n v="13000"/>
    <d v="2024-01-17T00:00:00"/>
  </r>
  <r>
    <s v="S1751"/>
    <s v="Kunal Kulkarni"/>
    <s v="C204"/>
    <x v="3"/>
    <s v="B3"/>
    <s v="Priya"/>
    <x v="1"/>
    <n v="8207"/>
    <s v="DISC15"/>
    <m/>
    <n v="9000"/>
    <d v="2024-02-14T00:00:00"/>
  </r>
  <r>
    <s v="S1752"/>
    <s v="Neha Patil"/>
    <s v="C202"/>
    <x v="2"/>
    <s v="B3"/>
    <s v="Priya"/>
    <x v="2"/>
    <n v="13999"/>
    <m/>
    <m/>
    <n v="13000"/>
    <d v="2024-01-18T00:00:00"/>
  </r>
  <r>
    <s v="S1753"/>
    <s v="Meera Nair"/>
    <s v="C202"/>
    <x v="2"/>
    <s v="B1"/>
    <s v="Amit"/>
    <x v="0"/>
    <n v="12840"/>
    <s v="DISC30"/>
    <n v="0.3"/>
    <n v="13000"/>
    <d v="2024-02-22T00:00:00"/>
  </r>
  <r>
    <s v="S1754"/>
    <s v="Aditya Gupta"/>
    <s v="C203"/>
    <x v="1"/>
    <s v="B2"/>
    <s v="Saurabh"/>
    <x v="1"/>
    <n v="17072"/>
    <m/>
    <m/>
    <n v="17000"/>
    <d v="2024-02-16T00:00:00"/>
  </r>
  <r>
    <s v="S1755"/>
    <s v="Karan Kulkarni"/>
    <s v="C203"/>
    <x v="1"/>
    <s v="B3"/>
    <s v="Saurabh"/>
    <x v="2"/>
    <n v="17953"/>
    <s v="DISC10"/>
    <n v="0.1"/>
    <n v="17000"/>
    <d v="2024-02-12T00:00:00"/>
  </r>
  <r>
    <s v="S1756"/>
    <s v="Manish Nair"/>
    <s v="C204"/>
    <x v="3"/>
    <s v="B1"/>
    <s v="Amit"/>
    <x v="1"/>
    <n v="9037"/>
    <s v="DISC15"/>
    <m/>
    <n v="9000"/>
    <d v="2024-01-10T00:00:00"/>
  </r>
  <r>
    <s v="S1757"/>
    <s v="Kavita Rao"/>
    <s v="C203"/>
    <x v="1"/>
    <s v="B2"/>
    <s v="Amit"/>
    <x v="2"/>
    <n v="15452"/>
    <s v="DISC10"/>
    <n v="0.1"/>
    <n v="17000"/>
    <d v="2024-02-03T00:00:00"/>
  </r>
  <r>
    <s v="S1758"/>
    <s v="Rohit Shah"/>
    <s v="C201"/>
    <x v="0"/>
    <s v="B1"/>
    <s v="Saurabh"/>
    <x v="0"/>
    <n v="12827"/>
    <s v="DISC10"/>
    <n v="0.1"/>
    <n v="14000"/>
    <d v="2024-02-01T00:00:00"/>
  </r>
  <r>
    <s v="S1759"/>
    <s v="Sneha Shah"/>
    <s v="C201"/>
    <x v="0"/>
    <s v="B3"/>
    <s v="Amit"/>
    <x v="2"/>
    <n v="14694"/>
    <m/>
    <m/>
    <n v="14000"/>
    <d v="2024-02-03T00:00:00"/>
  </r>
  <r>
    <s v="S1760"/>
    <s v="Kavita Desai"/>
    <s v="C203"/>
    <x v="1"/>
    <s v="B1"/>
    <s v="Priya"/>
    <x v="0"/>
    <n v="17481"/>
    <s v="DISC10"/>
    <n v="0.1"/>
    <n v="17000"/>
    <d v="2024-01-01T00:00:00"/>
  </r>
  <r>
    <s v="S1761"/>
    <s v="Kunal Patil"/>
    <s v="C204"/>
    <x v="3"/>
    <s v="B1"/>
    <s v="Priya"/>
    <x v="1"/>
    <n v="7248"/>
    <s v="DISC30"/>
    <n v="0.3"/>
    <n v="9000"/>
    <d v="2024-02-05T00:00:00"/>
  </r>
  <r>
    <s v="S1762"/>
    <s v="Anjali Verma"/>
    <s v="C203"/>
    <x v="1"/>
    <s v="B3"/>
    <s v="Saurabh"/>
    <x v="1"/>
    <n v="16088"/>
    <s v="DISC15"/>
    <m/>
    <n v="17000"/>
    <d v="2024-01-03T00:00:00"/>
  </r>
  <r>
    <s v="S1763"/>
    <s v="Anjali Shah"/>
    <s v="C203"/>
    <x v="1"/>
    <s v="B1"/>
    <s v="Saurabh"/>
    <x v="1"/>
    <n v="15397"/>
    <s v="DISC10"/>
    <n v="0.1"/>
    <n v="17000"/>
    <d v="2024-02-16T00:00:00"/>
  </r>
  <r>
    <s v="S1764"/>
    <s v="Sneha Gupta"/>
    <s v="C204"/>
    <x v="3"/>
    <s v="B1"/>
    <s v="Saurabh"/>
    <x v="1"/>
    <n v="9690"/>
    <s v="DISC20"/>
    <n v="0.2"/>
    <n v="9000"/>
    <d v="2024-02-06T00:00:00"/>
  </r>
  <r>
    <s v="S1765"/>
    <s v="Rohit Mehta"/>
    <s v="C204"/>
    <x v="3"/>
    <s v="B3"/>
    <s v="Saurabh"/>
    <x v="1"/>
    <n v="9361"/>
    <s v="DISC30"/>
    <n v="0.3"/>
    <n v="9000"/>
    <d v="2024-02-13T00:00:00"/>
  </r>
  <r>
    <s v="S1766"/>
    <s v="Neha Desai"/>
    <s v="C204"/>
    <x v="3"/>
    <s v="B1"/>
    <s v="Saurabh"/>
    <x v="0"/>
    <n v="9252"/>
    <m/>
    <m/>
    <n v="9000"/>
    <d v="2024-02-02T00:00:00"/>
  </r>
  <r>
    <s v="S1767"/>
    <s v="Pooja Singh"/>
    <s v="C202"/>
    <x v="2"/>
    <s v="B3"/>
    <s v="Amit"/>
    <x v="2"/>
    <n v="14823"/>
    <s v="DISC30"/>
    <n v="0.3"/>
    <n v="13000"/>
    <d v="2024-02-27T00:00:00"/>
  </r>
  <r>
    <s v="S1768"/>
    <s v="Pooja Gupta"/>
    <s v="C203"/>
    <x v="1"/>
    <s v="B2"/>
    <s v="Priya"/>
    <x v="1"/>
    <n v="16763"/>
    <s v="DISC30"/>
    <n v="0.3"/>
    <n v="17000"/>
    <d v="2024-02-08T00:00:00"/>
  </r>
  <r>
    <s v="S1769"/>
    <s v="Sneha Joshi"/>
    <s v="C202"/>
    <x v="2"/>
    <s v="B2"/>
    <s v="Amit"/>
    <x v="1"/>
    <n v="12040"/>
    <s v="DISC30"/>
    <n v="0.3"/>
    <n v="13000"/>
    <d v="2024-01-29T00:00:00"/>
  </r>
  <r>
    <s v="S1770"/>
    <s v="Neha Verma"/>
    <s v="C201"/>
    <x v="0"/>
    <s v="B3"/>
    <s v="Saurabh"/>
    <x v="2"/>
    <n v="14440"/>
    <s v="DISC10"/>
    <n v="0.1"/>
    <n v="14000"/>
    <d v="2024-02-03T00:00:00"/>
  </r>
  <r>
    <s v="S1771"/>
    <s v="Karan Rao"/>
    <s v="C201"/>
    <x v="0"/>
    <s v="B2"/>
    <s v="Saurabh"/>
    <x v="0"/>
    <n v="15505"/>
    <s v="DISC30"/>
    <n v="0.3"/>
    <n v="14000"/>
    <d v="2024-01-02T00:00:00"/>
  </r>
  <r>
    <s v="S1772"/>
    <s v="Dev Nair"/>
    <s v="C203"/>
    <x v="1"/>
    <s v="B3"/>
    <s v="Amit"/>
    <x v="1"/>
    <n v="17337"/>
    <s v="DISC15"/>
    <m/>
    <n v="17000"/>
    <d v="2024-01-10T00:00:00"/>
  </r>
  <r>
    <s v="S1773"/>
    <s v="Riya Kulkarni"/>
    <s v="C204"/>
    <x v="3"/>
    <s v="B2"/>
    <s v="Saurabh"/>
    <x v="0"/>
    <n v="8085"/>
    <s v="DISC30"/>
    <n v="0.3"/>
    <n v="9000"/>
    <d v="2024-02-26T00:00:00"/>
  </r>
  <r>
    <s v="S1774"/>
    <s v="Kavita Patil"/>
    <s v="C202"/>
    <x v="2"/>
    <s v="B2"/>
    <s v="Priya"/>
    <x v="0"/>
    <n v="13336"/>
    <m/>
    <m/>
    <n v="13000"/>
    <d v="2024-02-06T00:00:00"/>
  </r>
  <r>
    <s v="S1775"/>
    <s v="Kunal Patil"/>
    <s v="C201"/>
    <x v="0"/>
    <s v="B3"/>
    <s v="Priya"/>
    <x v="2"/>
    <n v="12708"/>
    <m/>
    <m/>
    <n v="14000"/>
    <d v="2024-02-22T00:00:00"/>
  </r>
  <r>
    <s v="S1776"/>
    <s v="Kunal Desai"/>
    <s v="C201"/>
    <x v="0"/>
    <s v="B3"/>
    <s v="Amit"/>
    <x v="2"/>
    <n v="12153"/>
    <s v="DISC15"/>
    <m/>
    <n v="14000"/>
    <d v="2024-01-25T00:00:00"/>
  </r>
  <r>
    <s v="S1777"/>
    <s v="Riya Patel"/>
    <s v="C201"/>
    <x v="0"/>
    <s v="B2"/>
    <s v="Priya"/>
    <x v="2"/>
    <n v="13706"/>
    <s v="DISC10"/>
    <n v="0.1"/>
    <n v="14000"/>
    <d v="2024-02-25T00:00:00"/>
  </r>
  <r>
    <s v="S1778"/>
    <s v="Dev Patil"/>
    <s v="C201"/>
    <x v="0"/>
    <s v="B3"/>
    <s v="Amit"/>
    <x v="2"/>
    <n v="12221"/>
    <s v="DISC30"/>
    <n v="0.3"/>
    <n v="14000"/>
    <d v="2024-02-03T00:00:00"/>
  </r>
  <r>
    <s v="S1779"/>
    <s v="Aarav Jain"/>
    <s v="C202"/>
    <x v="2"/>
    <s v="B2"/>
    <s v="Amit"/>
    <x v="1"/>
    <n v="11904"/>
    <s v="DISC20"/>
    <n v="0.2"/>
    <n v="13000"/>
    <d v="2024-01-04T00:00:00"/>
  </r>
  <r>
    <s v="S1780"/>
    <s v="Rohit Desai"/>
    <s v="C204"/>
    <x v="3"/>
    <s v="B2"/>
    <s v="Amit"/>
    <x v="1"/>
    <n v="9067"/>
    <s v="DISC10"/>
    <n v="0.1"/>
    <n v="9000"/>
    <d v="2024-01-15T00:00:00"/>
  </r>
  <r>
    <s v="S1781"/>
    <s v="Rahul Rao"/>
    <s v="C204"/>
    <x v="3"/>
    <s v="B1"/>
    <s v="Saurabh"/>
    <x v="2"/>
    <n v="7338"/>
    <m/>
    <m/>
    <n v="9000"/>
    <d v="2024-02-06T00:00:00"/>
  </r>
  <r>
    <s v="S1782"/>
    <s v="Anjali Kulkarni"/>
    <s v="C204"/>
    <x v="3"/>
    <s v="B2"/>
    <s v="Saurabh"/>
    <x v="2"/>
    <n v="9055"/>
    <m/>
    <m/>
    <n v="9000"/>
    <d v="2024-02-19T00:00:00"/>
  </r>
  <r>
    <s v="S1783"/>
    <s v="Anjali Mehta"/>
    <s v="C202"/>
    <x v="2"/>
    <s v="B2"/>
    <s v="Amit"/>
    <x v="0"/>
    <n v="12998"/>
    <m/>
    <m/>
    <n v="13000"/>
    <d v="2024-02-11T00:00:00"/>
  </r>
  <r>
    <s v="S1784"/>
    <s v="Kavita Patil"/>
    <s v="C202"/>
    <x v="2"/>
    <s v="B1"/>
    <s v="Saurabh"/>
    <x v="2"/>
    <n v="14181"/>
    <m/>
    <m/>
    <n v="13000"/>
    <d v="2024-01-21T00:00:00"/>
  </r>
  <r>
    <s v="S1785"/>
    <s v="Rohit Joshi"/>
    <s v="C201"/>
    <x v="0"/>
    <s v="B1"/>
    <s v="Amit"/>
    <x v="2"/>
    <n v="13734"/>
    <s v="DISC30"/>
    <n v="0.3"/>
    <n v="14000"/>
    <d v="2024-01-23T00:00:00"/>
  </r>
  <r>
    <s v="S1786"/>
    <s v="Sneha Jain"/>
    <s v="C203"/>
    <x v="1"/>
    <s v="B3"/>
    <s v="Amit"/>
    <x v="0"/>
    <n v="18152"/>
    <s v="DISC30"/>
    <n v="0.3"/>
    <n v="17000"/>
    <d v="2024-01-11T00:00:00"/>
  </r>
  <r>
    <s v="S1787"/>
    <s v="Pooja Joshi"/>
    <s v="C204"/>
    <x v="3"/>
    <s v="B3"/>
    <s v="Saurabh"/>
    <x v="2"/>
    <n v="7183"/>
    <s v="DISC20"/>
    <n v="0.2"/>
    <n v="9000"/>
    <d v="2024-01-13T00:00:00"/>
  </r>
  <r>
    <s v="S1788"/>
    <s v="Rohit Jain"/>
    <s v="C202"/>
    <x v="2"/>
    <s v="B3"/>
    <s v="Saurabh"/>
    <x v="0"/>
    <n v="14029"/>
    <s v="DISC10"/>
    <n v="0.1"/>
    <n v="13000"/>
    <d v="2024-01-16T00:00:00"/>
  </r>
  <r>
    <s v="S1789"/>
    <s v="Kavita Mehta"/>
    <s v="C203"/>
    <x v="1"/>
    <s v="B1"/>
    <s v="Priya"/>
    <x v="1"/>
    <n v="18294"/>
    <s v="DISC10"/>
    <n v="0.1"/>
    <n v="17000"/>
    <d v="2024-01-20T00:00:00"/>
  </r>
  <r>
    <s v="S1790"/>
    <s v="Neha Iyer"/>
    <s v="C201"/>
    <x v="0"/>
    <s v="B2"/>
    <s v="Saurabh"/>
    <x v="1"/>
    <n v="14203"/>
    <s v="DISC20"/>
    <n v="0.2"/>
    <n v="14000"/>
    <d v="2024-01-14T00:00:00"/>
  </r>
  <r>
    <s v="S1791"/>
    <s v="Manish Gupta"/>
    <s v="C203"/>
    <x v="1"/>
    <s v="B3"/>
    <s v="Priya"/>
    <x v="1"/>
    <n v="17989"/>
    <s v="DISC20"/>
    <n v="0.2"/>
    <n v="17000"/>
    <d v="2024-02-14T00:00:00"/>
  </r>
  <r>
    <s v="S1792"/>
    <s v="Anjali Singh"/>
    <s v="C201"/>
    <x v="0"/>
    <s v="B2"/>
    <s v="Amit"/>
    <x v="1"/>
    <n v="14157"/>
    <s v="DISC10"/>
    <n v="0.1"/>
    <n v="14000"/>
    <d v="2024-01-17T00:00:00"/>
  </r>
  <r>
    <s v="S1793"/>
    <s v="Karan Kulkarni"/>
    <s v="C203"/>
    <x v="1"/>
    <s v="B1"/>
    <s v="Amit"/>
    <x v="1"/>
    <n v="16111"/>
    <s v="DISC10"/>
    <n v="0.1"/>
    <n v="17000"/>
    <d v="2024-01-30T00:00:00"/>
  </r>
  <r>
    <s v="S1794"/>
    <s v="Rohit Kulkarni"/>
    <s v="C201"/>
    <x v="0"/>
    <s v="B2"/>
    <s v="Amit"/>
    <x v="2"/>
    <n v="14715"/>
    <s v="DISC30"/>
    <n v="0.3"/>
    <n v="14000"/>
    <d v="2024-02-25T00:00:00"/>
  </r>
  <r>
    <s v="S1795"/>
    <s v="Riya Kulkarni"/>
    <s v="C203"/>
    <x v="1"/>
    <s v="B3"/>
    <s v="Priya"/>
    <x v="0"/>
    <n v="16559"/>
    <s v="DISC15"/>
    <m/>
    <n v="17000"/>
    <d v="2024-02-15T00:00:00"/>
  </r>
  <r>
    <s v="S1796"/>
    <s v="Riya Jain"/>
    <s v="C204"/>
    <x v="3"/>
    <s v="B3"/>
    <s v="Amit"/>
    <x v="0"/>
    <n v="7763"/>
    <s v="DISC20"/>
    <n v="0.2"/>
    <n v="9000"/>
    <d v="2024-02-02T00:00:00"/>
  </r>
  <r>
    <s v="S1797"/>
    <s v="Neha Gupta"/>
    <s v="C201"/>
    <x v="0"/>
    <s v="B1"/>
    <s v="Saurabh"/>
    <x v="1"/>
    <n v="13248"/>
    <s v="DISC30"/>
    <n v="0.3"/>
    <n v="14000"/>
    <d v="2024-02-01T00:00:00"/>
  </r>
  <r>
    <s v="S1798"/>
    <s v="Rahul Desai"/>
    <s v="C202"/>
    <x v="2"/>
    <s v="B1"/>
    <s v="Priya"/>
    <x v="1"/>
    <n v="12441"/>
    <s v="DISC30"/>
    <n v="0.3"/>
    <n v="13000"/>
    <d v="2024-02-10T00:00:00"/>
  </r>
  <r>
    <s v="S1799"/>
    <s v="Aditya Patil"/>
    <s v="C203"/>
    <x v="1"/>
    <s v="B1"/>
    <s v="Amit"/>
    <x v="2"/>
    <n v="18599"/>
    <m/>
    <m/>
    <n v="17000"/>
    <d v="2024-02-26T00:00:00"/>
  </r>
  <r>
    <s v="S1800"/>
    <s v="Meera Kulkarni"/>
    <s v="C203"/>
    <x v="1"/>
    <s v="B1"/>
    <s v="Saurabh"/>
    <x v="2"/>
    <n v="18674"/>
    <m/>
    <m/>
    <n v="17000"/>
    <d v="2024-02-12T00:00:00"/>
  </r>
  <r>
    <s v="S1801"/>
    <s v="Karan Shah"/>
    <s v="C204"/>
    <x v="3"/>
    <s v="B3"/>
    <s v="Amit"/>
    <x v="1"/>
    <n v="10574"/>
    <s v="DISC20"/>
    <n v="0.2"/>
    <n v="9000"/>
    <d v="2024-01-27T00:00:00"/>
  </r>
  <r>
    <s v="S1802"/>
    <s v="Sneha Joshi"/>
    <s v="C202"/>
    <x v="2"/>
    <s v="B2"/>
    <s v="Priya"/>
    <x v="1"/>
    <n v="12348"/>
    <m/>
    <m/>
    <n v="13000"/>
    <d v="2024-02-04T00:00:00"/>
  </r>
  <r>
    <s v="S1803"/>
    <s v="Karan Patil"/>
    <s v="C202"/>
    <x v="2"/>
    <s v="B3"/>
    <s v="Amit"/>
    <x v="1"/>
    <n v="14277"/>
    <s v="DISC20"/>
    <n v="0.2"/>
    <n v="13000"/>
    <d v="2024-02-25T00:00:00"/>
  </r>
  <r>
    <s v="S1804"/>
    <s v="Karan Rao"/>
    <s v="C202"/>
    <x v="2"/>
    <s v="B2"/>
    <s v="Saurabh"/>
    <x v="1"/>
    <n v="14821"/>
    <s v="DISC15"/>
    <m/>
    <n v="13000"/>
    <d v="2024-02-28T00:00:00"/>
  </r>
  <r>
    <s v="S1805"/>
    <s v="Karan Jain"/>
    <s v="C201"/>
    <x v="0"/>
    <s v="B3"/>
    <s v="Amit"/>
    <x v="1"/>
    <n v="12484"/>
    <s v="DISC20"/>
    <n v="0.2"/>
    <n v="14000"/>
    <d v="2024-01-21T00:00:00"/>
  </r>
  <r>
    <s v="S1806"/>
    <s v="Meera Mehta"/>
    <s v="C201"/>
    <x v="0"/>
    <s v="B2"/>
    <s v="Priya"/>
    <x v="2"/>
    <n v="13242"/>
    <m/>
    <m/>
    <n v="14000"/>
    <d v="2024-02-17T00:00:00"/>
  </r>
  <r>
    <s v="S1807"/>
    <s v="Kunal Nair"/>
    <s v="C203"/>
    <x v="1"/>
    <s v="B1"/>
    <s v="Saurabh"/>
    <x v="0"/>
    <n v="15538"/>
    <s v="DISC20"/>
    <n v="0.2"/>
    <n v="17000"/>
    <d v="2024-01-02T00:00:00"/>
  </r>
  <r>
    <s v="S1808"/>
    <s v="Dev Joshi"/>
    <s v="C203"/>
    <x v="1"/>
    <s v="B3"/>
    <s v="Amit"/>
    <x v="1"/>
    <n v="15945"/>
    <s v="DISC15"/>
    <m/>
    <n v="17000"/>
    <d v="2024-01-15T00:00:00"/>
  </r>
  <r>
    <s v="S1809"/>
    <s v="Sneha Singh"/>
    <s v="C201"/>
    <x v="0"/>
    <s v="B2"/>
    <s v="Saurabh"/>
    <x v="1"/>
    <n v="15194"/>
    <m/>
    <m/>
    <n v="14000"/>
    <d v="2024-01-09T00:00:00"/>
  </r>
  <r>
    <s v="S1810"/>
    <s v="Manish Nair"/>
    <s v="C204"/>
    <x v="3"/>
    <s v="B3"/>
    <s v="Amit"/>
    <x v="2"/>
    <n v="7753"/>
    <m/>
    <m/>
    <n v="9000"/>
    <d v="2024-02-01T00:00:00"/>
  </r>
  <r>
    <s v="S1811"/>
    <s v="Neha Mehta"/>
    <s v="C202"/>
    <x v="2"/>
    <s v="B1"/>
    <s v="Saurabh"/>
    <x v="0"/>
    <n v="12673"/>
    <s v="DISC10"/>
    <n v="0.1"/>
    <n v="13000"/>
    <d v="2024-02-29T00:00:00"/>
  </r>
  <r>
    <s v="S1812"/>
    <s v="Aditya Verma"/>
    <s v="C202"/>
    <x v="2"/>
    <s v="B3"/>
    <s v="Amit"/>
    <x v="0"/>
    <n v="14103"/>
    <s v="DISC20"/>
    <n v="0.2"/>
    <n v="13000"/>
    <d v="2024-01-05T00:00:00"/>
  </r>
  <r>
    <s v="S1813"/>
    <s v="Karan Iyer"/>
    <s v="C204"/>
    <x v="3"/>
    <s v="B3"/>
    <s v="Priya"/>
    <x v="2"/>
    <n v="10635"/>
    <s v="DISC20"/>
    <n v="0.2"/>
    <n v="9000"/>
    <d v="2024-01-28T00:00:00"/>
  </r>
  <r>
    <s v="S1814"/>
    <s v="Rahul Patel"/>
    <s v="C201"/>
    <x v="0"/>
    <s v="B3"/>
    <s v="Amit"/>
    <x v="2"/>
    <n v="14949"/>
    <s v="DISC30"/>
    <n v="0.3"/>
    <n v="14000"/>
    <d v="2024-01-26T00:00:00"/>
  </r>
  <r>
    <s v="S1815"/>
    <s v="Kavita Desai"/>
    <s v="C201"/>
    <x v="0"/>
    <s v="B3"/>
    <s v="Saurabh"/>
    <x v="2"/>
    <n v="13871"/>
    <s v="DISC10"/>
    <n v="0.1"/>
    <n v="14000"/>
    <d v="2024-02-26T00:00:00"/>
  </r>
  <r>
    <s v="S1816"/>
    <s v="Sneha Gupta"/>
    <s v="C204"/>
    <x v="3"/>
    <s v="B3"/>
    <s v="Saurabh"/>
    <x v="1"/>
    <n v="8586"/>
    <s v="DISC15"/>
    <m/>
    <n v="9000"/>
    <d v="2024-02-18T00:00:00"/>
  </r>
  <r>
    <s v="S1817"/>
    <s v="Rohit Kulkarni"/>
    <s v="C202"/>
    <x v="2"/>
    <s v="B2"/>
    <s v="Priya"/>
    <x v="2"/>
    <n v="14622"/>
    <s v="DISC30"/>
    <n v="0.3"/>
    <n v="13000"/>
    <d v="2024-02-19T00:00:00"/>
  </r>
  <r>
    <s v="S1818"/>
    <s v="Meera Rao"/>
    <s v="C204"/>
    <x v="3"/>
    <s v="B1"/>
    <s v="Priya"/>
    <x v="2"/>
    <n v="9511"/>
    <s v="DISC10"/>
    <n v="0.1"/>
    <n v="9000"/>
    <d v="2024-02-14T00:00:00"/>
  </r>
  <r>
    <s v="S1819"/>
    <s v="Manish Mehta"/>
    <s v="C204"/>
    <x v="3"/>
    <s v="B3"/>
    <s v="Priya"/>
    <x v="0"/>
    <n v="9959"/>
    <s v="DISC15"/>
    <m/>
    <n v="9000"/>
    <d v="2024-01-08T00:00:00"/>
  </r>
  <r>
    <s v="S1820"/>
    <s v="Karan Patel"/>
    <s v="C202"/>
    <x v="2"/>
    <s v="B2"/>
    <s v="Priya"/>
    <x v="2"/>
    <n v="12846"/>
    <s v="DISC10"/>
    <n v="0.1"/>
    <n v="13000"/>
    <d v="2024-01-12T00:00:00"/>
  </r>
  <r>
    <s v="S1821"/>
    <s v="Neha Joshi"/>
    <s v="C202"/>
    <x v="2"/>
    <s v="B2"/>
    <s v="Saurabh"/>
    <x v="2"/>
    <n v="12327"/>
    <s v="DISC20"/>
    <n v="0.2"/>
    <n v="13000"/>
    <d v="2024-02-15T00:00:00"/>
  </r>
  <r>
    <s v="S1822"/>
    <s v="Anjali Shah"/>
    <s v="C201"/>
    <x v="0"/>
    <s v="B1"/>
    <s v="Amit"/>
    <x v="2"/>
    <n v="14597"/>
    <s v="DISC30"/>
    <n v="0.3"/>
    <n v="14000"/>
    <d v="2024-01-06T00:00:00"/>
  </r>
  <r>
    <s v="S1823"/>
    <s v="Manish Desai"/>
    <s v="C204"/>
    <x v="3"/>
    <s v="B3"/>
    <s v="Amit"/>
    <x v="1"/>
    <n v="10890"/>
    <s v="DISC20"/>
    <n v="0.2"/>
    <n v="9000"/>
    <d v="2024-01-25T00:00:00"/>
  </r>
  <r>
    <s v="S1824"/>
    <s v="Manish Verma"/>
    <s v="C201"/>
    <x v="0"/>
    <s v="B1"/>
    <s v="Priya"/>
    <x v="1"/>
    <n v="15568"/>
    <s v="DISC20"/>
    <n v="0.2"/>
    <n v="14000"/>
    <d v="2024-01-11T00:00:00"/>
  </r>
  <r>
    <s v="S1825"/>
    <s v="Meera Mehta"/>
    <s v="C202"/>
    <x v="2"/>
    <s v="B3"/>
    <s v="Saurabh"/>
    <x v="2"/>
    <n v="12261"/>
    <s v="DISC30"/>
    <n v="0.3"/>
    <n v="13000"/>
    <d v="2024-02-16T00:00:00"/>
  </r>
  <r>
    <s v="S1826"/>
    <s v="Dev Iyer"/>
    <s v="C203"/>
    <x v="1"/>
    <s v="B3"/>
    <s v="Saurabh"/>
    <x v="0"/>
    <n v="18680"/>
    <s v="DISC20"/>
    <n v="0.2"/>
    <n v="17000"/>
    <d v="2024-01-13T00:00:00"/>
  </r>
  <r>
    <s v="S1827"/>
    <s v="Aarav Joshi"/>
    <s v="C203"/>
    <x v="1"/>
    <s v="B1"/>
    <s v="Priya"/>
    <x v="2"/>
    <n v="18503"/>
    <m/>
    <m/>
    <n v="17000"/>
    <d v="2024-02-04T00:00:00"/>
  </r>
  <r>
    <s v="S1828"/>
    <s v="Dev Kulkarni"/>
    <s v="C204"/>
    <x v="3"/>
    <s v="B1"/>
    <s v="Saurabh"/>
    <x v="1"/>
    <n v="9701"/>
    <m/>
    <m/>
    <n v="9000"/>
    <d v="2024-01-30T00:00:00"/>
  </r>
  <r>
    <s v="S1829"/>
    <s v="Rahul Iyer"/>
    <s v="C201"/>
    <x v="0"/>
    <s v="B3"/>
    <s v="Amit"/>
    <x v="0"/>
    <n v="13002"/>
    <s v="DISC15"/>
    <m/>
    <n v="14000"/>
    <d v="2024-01-18T00:00:00"/>
  </r>
  <r>
    <s v="S1830"/>
    <s v="Kavita Singh"/>
    <s v="C202"/>
    <x v="2"/>
    <s v="B1"/>
    <s v="Saurabh"/>
    <x v="0"/>
    <n v="11225"/>
    <s v="DISC30"/>
    <n v="0.3"/>
    <n v="13000"/>
    <d v="2024-01-03T00:00:00"/>
  </r>
  <r>
    <s v="S1831"/>
    <s v="Karan Nair"/>
    <s v="C201"/>
    <x v="0"/>
    <s v="B3"/>
    <s v="Amit"/>
    <x v="1"/>
    <n v="13222"/>
    <s v="DISC30"/>
    <n v="0.3"/>
    <n v="14000"/>
    <d v="2024-02-28T00:00:00"/>
  </r>
  <r>
    <s v="S1832"/>
    <s v="Riya Kulkarni"/>
    <s v="C201"/>
    <x v="0"/>
    <s v="B2"/>
    <s v="Saurabh"/>
    <x v="0"/>
    <n v="14752"/>
    <s v="DISC30"/>
    <n v="0.3"/>
    <n v="14000"/>
    <d v="2024-02-09T00:00:00"/>
  </r>
  <r>
    <s v="S1833"/>
    <s v="Rohit Desai"/>
    <s v="C202"/>
    <x v="2"/>
    <s v="B2"/>
    <s v="Amit"/>
    <x v="1"/>
    <n v="12475"/>
    <s v="DISC10"/>
    <n v="0.1"/>
    <n v="13000"/>
    <d v="2024-01-06T00:00:00"/>
  </r>
  <r>
    <s v="S1834"/>
    <s v="Dev Rao"/>
    <s v="C203"/>
    <x v="1"/>
    <s v="B2"/>
    <s v="Priya"/>
    <x v="0"/>
    <n v="18106"/>
    <m/>
    <m/>
    <n v="17000"/>
    <d v="2024-02-23T00:00:00"/>
  </r>
  <r>
    <s v="S1835"/>
    <s v="Manish Shah"/>
    <s v="C203"/>
    <x v="1"/>
    <s v="B2"/>
    <s v="Saurabh"/>
    <x v="0"/>
    <n v="17845"/>
    <s v="DISC30"/>
    <n v="0.3"/>
    <n v="17000"/>
    <d v="2024-01-22T00:00:00"/>
  </r>
  <r>
    <s v="S1836"/>
    <s v="Manish Verma"/>
    <s v="C202"/>
    <x v="2"/>
    <s v="B3"/>
    <s v="Saurabh"/>
    <x v="1"/>
    <n v="11238"/>
    <s v="DISC10"/>
    <n v="0.1"/>
    <n v="13000"/>
    <d v="2024-02-06T00:00:00"/>
  </r>
  <r>
    <s v="S1837"/>
    <s v="Anjali Singh"/>
    <s v="C201"/>
    <x v="0"/>
    <s v="B2"/>
    <s v="Amit"/>
    <x v="1"/>
    <n v="14477"/>
    <s v="DISC30"/>
    <n v="0.3"/>
    <n v="14000"/>
    <d v="2024-01-28T00:00:00"/>
  </r>
  <r>
    <s v="S1838"/>
    <s v="Kavita Nair"/>
    <s v="C203"/>
    <x v="1"/>
    <s v="B2"/>
    <s v="Amit"/>
    <x v="1"/>
    <n v="17552"/>
    <s v="DISC30"/>
    <n v="0.3"/>
    <n v="17000"/>
    <d v="2024-02-29T00:00:00"/>
  </r>
  <r>
    <s v="S1839"/>
    <s v="Karan Joshi"/>
    <s v="C204"/>
    <x v="3"/>
    <s v="B3"/>
    <s v="Amit"/>
    <x v="1"/>
    <n v="9038"/>
    <m/>
    <m/>
    <n v="9000"/>
    <d v="2024-02-21T00:00:00"/>
  </r>
  <r>
    <s v="S1840"/>
    <s v="Karan Joshi"/>
    <s v="C202"/>
    <x v="2"/>
    <s v="B3"/>
    <s v="Priya"/>
    <x v="0"/>
    <n v="11006"/>
    <s v="DISC10"/>
    <n v="0.1"/>
    <n v="13000"/>
    <d v="2024-01-02T00:00:00"/>
  </r>
  <r>
    <s v="S1841"/>
    <s v="Neha Singh"/>
    <s v="C201"/>
    <x v="0"/>
    <s v="B3"/>
    <s v="Saurabh"/>
    <x v="1"/>
    <n v="13698"/>
    <m/>
    <m/>
    <n v="14000"/>
    <d v="2024-01-03T00:00:00"/>
  </r>
  <r>
    <s v="S1842"/>
    <s v="Pooja Jain"/>
    <s v="C202"/>
    <x v="2"/>
    <s v="B1"/>
    <s v="Amit"/>
    <x v="0"/>
    <n v="13826"/>
    <s v="DISC30"/>
    <n v="0.3"/>
    <n v="13000"/>
    <d v="2024-01-17T00:00:00"/>
  </r>
  <r>
    <s v="S1843"/>
    <s v="Dev Shah"/>
    <s v="C203"/>
    <x v="1"/>
    <s v="B2"/>
    <s v="Amit"/>
    <x v="1"/>
    <n v="16326"/>
    <s v="DISC10"/>
    <n v="0.1"/>
    <n v="17000"/>
    <d v="2024-01-08T00:00:00"/>
  </r>
  <r>
    <s v="S1844"/>
    <s v="Rohit Jain"/>
    <s v="C203"/>
    <x v="1"/>
    <s v="B2"/>
    <s v="Amit"/>
    <x v="1"/>
    <n v="17523"/>
    <s v="DISC10"/>
    <n v="0.1"/>
    <n v="17000"/>
    <d v="2024-02-23T00:00:00"/>
  </r>
  <r>
    <s v="S1845"/>
    <s v="Karan Patil"/>
    <s v="C203"/>
    <x v="1"/>
    <s v="B2"/>
    <s v="Amit"/>
    <x v="2"/>
    <n v="18752"/>
    <m/>
    <m/>
    <n v="17000"/>
    <d v="2024-02-21T00:00:00"/>
  </r>
  <r>
    <s v="S1846"/>
    <s v="Aarav Singh"/>
    <s v="C202"/>
    <x v="2"/>
    <s v="B2"/>
    <s v="Saurabh"/>
    <x v="1"/>
    <n v="12886"/>
    <s v="DISC15"/>
    <m/>
    <n v="13000"/>
    <d v="2024-02-27T00:00:00"/>
  </r>
  <r>
    <s v="S1847"/>
    <s v="Pooja Iyer"/>
    <s v="C204"/>
    <x v="3"/>
    <s v="B3"/>
    <s v="Saurabh"/>
    <x v="1"/>
    <n v="8226"/>
    <s v="DISC15"/>
    <m/>
    <n v="9000"/>
    <d v="2024-02-16T00:00:00"/>
  </r>
  <r>
    <s v="S1848"/>
    <s v="Rohit Jain"/>
    <s v="C201"/>
    <x v="0"/>
    <s v="B1"/>
    <s v="Amit"/>
    <x v="1"/>
    <n v="13358"/>
    <s v="DISC30"/>
    <n v="0.3"/>
    <n v="14000"/>
    <d v="2024-01-05T00:00:00"/>
  </r>
  <r>
    <s v="S1849"/>
    <s v="Karan Rao"/>
    <s v="C201"/>
    <x v="0"/>
    <s v="B2"/>
    <s v="Priya"/>
    <x v="1"/>
    <n v="14188"/>
    <s v="DISC20"/>
    <n v="0.2"/>
    <n v="14000"/>
    <d v="2024-02-06T00:00:00"/>
  </r>
  <r>
    <s v="S1850"/>
    <s v="Kavita Verma"/>
    <s v="C202"/>
    <x v="2"/>
    <s v="B3"/>
    <s v="Saurabh"/>
    <x v="2"/>
    <n v="13888"/>
    <s v="DISC30"/>
    <n v="0.3"/>
    <n v="13000"/>
    <d v="2024-02-15T00:00:00"/>
  </r>
  <r>
    <s v="S1851"/>
    <s v="Aarav Rao"/>
    <s v="C204"/>
    <x v="3"/>
    <s v="B1"/>
    <s v="Priya"/>
    <x v="0"/>
    <n v="8522"/>
    <m/>
    <m/>
    <n v="9000"/>
    <d v="2024-02-23T00:00:00"/>
  </r>
  <r>
    <s v="S1852"/>
    <s v="Aditya Patil"/>
    <s v="C203"/>
    <x v="1"/>
    <s v="B1"/>
    <s v="Saurabh"/>
    <x v="2"/>
    <n v="18215"/>
    <s v="DISC10"/>
    <n v="0.1"/>
    <n v="17000"/>
    <d v="2024-02-19T00:00:00"/>
  </r>
  <r>
    <s v="S1853"/>
    <s v="Sneha Shah"/>
    <s v="C204"/>
    <x v="3"/>
    <s v="B3"/>
    <s v="Saurabh"/>
    <x v="2"/>
    <n v="10706"/>
    <s v="DISC15"/>
    <m/>
    <n v="9000"/>
    <d v="2024-01-10T00:00:00"/>
  </r>
  <r>
    <s v="S1854"/>
    <s v="Sneha Jain"/>
    <s v="C204"/>
    <x v="3"/>
    <s v="B3"/>
    <s v="Amit"/>
    <x v="2"/>
    <n v="10176"/>
    <s v="DISC30"/>
    <n v="0.3"/>
    <n v="9000"/>
    <d v="2024-01-10T00:00:00"/>
  </r>
  <r>
    <s v="S1855"/>
    <s v="Dev Nair"/>
    <s v="C201"/>
    <x v="0"/>
    <s v="B3"/>
    <s v="Amit"/>
    <x v="0"/>
    <n v="12840"/>
    <s v="DISC10"/>
    <n v="0.1"/>
    <n v="14000"/>
    <d v="2024-01-30T00:00:00"/>
  </r>
  <r>
    <s v="S1856"/>
    <s v="Rahul Desai"/>
    <s v="C201"/>
    <x v="0"/>
    <s v="B1"/>
    <s v="Priya"/>
    <x v="0"/>
    <n v="14814"/>
    <s v="DISC15"/>
    <m/>
    <n v="14000"/>
    <d v="2024-02-25T00:00:00"/>
  </r>
  <r>
    <s v="S1857"/>
    <s v="Riya Jain"/>
    <s v="C204"/>
    <x v="3"/>
    <s v="B1"/>
    <s v="Saurabh"/>
    <x v="1"/>
    <n v="10138"/>
    <s v="DISC30"/>
    <n v="0.3"/>
    <n v="9000"/>
    <d v="2024-01-02T00:00:00"/>
  </r>
  <r>
    <s v="S1858"/>
    <s v="Kavita Patel"/>
    <s v="C203"/>
    <x v="1"/>
    <s v="B3"/>
    <s v="Saurabh"/>
    <x v="2"/>
    <n v="15821"/>
    <s v="DISC20"/>
    <n v="0.2"/>
    <n v="17000"/>
    <d v="2024-01-19T00:00:00"/>
  </r>
  <r>
    <s v="S1859"/>
    <s v="Aditya Gupta"/>
    <s v="C203"/>
    <x v="1"/>
    <s v="B2"/>
    <s v="Amit"/>
    <x v="0"/>
    <n v="16116"/>
    <s v="DISC20"/>
    <n v="0.2"/>
    <n v="17000"/>
    <d v="2024-01-11T00:00:00"/>
  </r>
  <r>
    <s v="S1860"/>
    <s v="Aditya Shah"/>
    <s v="C201"/>
    <x v="0"/>
    <s v="B3"/>
    <s v="Amit"/>
    <x v="1"/>
    <n v="12419"/>
    <s v="DISC20"/>
    <n v="0.2"/>
    <n v="14000"/>
    <d v="2024-02-04T00:00:00"/>
  </r>
  <r>
    <s v="S1861"/>
    <s v="Pooja Gupta"/>
    <s v="C203"/>
    <x v="1"/>
    <s v="B2"/>
    <s v="Saurabh"/>
    <x v="1"/>
    <n v="18293"/>
    <s v="DISC30"/>
    <n v="0.3"/>
    <n v="17000"/>
    <d v="2024-02-06T00:00:00"/>
  </r>
  <r>
    <s v="S1862"/>
    <s v="Sneha Mehta"/>
    <s v="C201"/>
    <x v="0"/>
    <s v="B2"/>
    <s v="Amit"/>
    <x v="2"/>
    <n v="14214"/>
    <m/>
    <m/>
    <n v="14000"/>
    <d v="2024-01-04T00:00:00"/>
  </r>
  <r>
    <s v="S1863"/>
    <s v="Karan Kulkarni"/>
    <s v="C204"/>
    <x v="3"/>
    <s v="B3"/>
    <s v="Saurabh"/>
    <x v="0"/>
    <n v="8571"/>
    <s v="DISC10"/>
    <n v="0.1"/>
    <n v="9000"/>
    <d v="2024-01-06T00:00:00"/>
  </r>
  <r>
    <s v="S1864"/>
    <s v="Rahul Verma"/>
    <s v="C202"/>
    <x v="2"/>
    <s v="B3"/>
    <s v="Amit"/>
    <x v="1"/>
    <n v="13578"/>
    <m/>
    <m/>
    <n v="13000"/>
    <d v="2024-02-09T00:00:00"/>
  </r>
  <r>
    <s v="S1865"/>
    <s v="Pooja Rao"/>
    <s v="C203"/>
    <x v="1"/>
    <s v="B1"/>
    <s v="Amit"/>
    <x v="1"/>
    <n v="18314"/>
    <s v="DISC15"/>
    <m/>
    <n v="17000"/>
    <d v="2024-01-06T00:00:00"/>
  </r>
  <r>
    <s v="S1866"/>
    <s v="Kunal Patel"/>
    <s v="C204"/>
    <x v="3"/>
    <s v="B3"/>
    <s v="Saurabh"/>
    <x v="0"/>
    <n v="10329"/>
    <m/>
    <m/>
    <n v="9000"/>
    <d v="2024-01-07T00:00:00"/>
  </r>
  <r>
    <s v="S1867"/>
    <s v="Neha Rao"/>
    <s v="C204"/>
    <x v="3"/>
    <s v="B2"/>
    <s v="Saurabh"/>
    <x v="0"/>
    <n v="7588"/>
    <s v="DISC15"/>
    <m/>
    <n v="9000"/>
    <d v="2024-01-17T00:00:00"/>
  </r>
  <r>
    <s v="S1868"/>
    <s v="Kunal Jain"/>
    <s v="C204"/>
    <x v="3"/>
    <s v="B1"/>
    <s v="Amit"/>
    <x v="1"/>
    <n v="8353"/>
    <s v="DISC30"/>
    <n v="0.3"/>
    <n v="9000"/>
    <d v="2024-01-30T00:00:00"/>
  </r>
  <r>
    <s v="S1869"/>
    <s v="Neha Kulkarni"/>
    <s v="C201"/>
    <x v="0"/>
    <s v="B2"/>
    <s v="Saurabh"/>
    <x v="2"/>
    <n v="13960"/>
    <m/>
    <m/>
    <n v="14000"/>
    <d v="2024-02-24T00:00:00"/>
  </r>
  <r>
    <s v="S1870"/>
    <s v="Karan Rao"/>
    <s v="C203"/>
    <x v="1"/>
    <s v="B3"/>
    <s v="Amit"/>
    <x v="0"/>
    <n v="17080"/>
    <s v="DISC10"/>
    <n v="0.1"/>
    <n v="17000"/>
    <d v="2024-01-26T00:00:00"/>
  </r>
  <r>
    <s v="S1871"/>
    <s v="Meera Desai"/>
    <s v="C201"/>
    <x v="0"/>
    <s v="B2"/>
    <s v="Amit"/>
    <x v="1"/>
    <n v="12290"/>
    <s v="DISC30"/>
    <n v="0.3"/>
    <n v="14000"/>
    <d v="2024-02-04T00:00:00"/>
  </r>
  <r>
    <s v="S1872"/>
    <s v="Neha Verma"/>
    <s v="C204"/>
    <x v="3"/>
    <s v="B1"/>
    <s v="Amit"/>
    <x v="0"/>
    <n v="9244"/>
    <s v="DISC20"/>
    <n v="0.2"/>
    <n v="9000"/>
    <d v="2024-01-31T00:00:00"/>
  </r>
  <r>
    <s v="S1873"/>
    <s v="Rahul Shah"/>
    <s v="C203"/>
    <x v="1"/>
    <s v="B1"/>
    <s v="Amit"/>
    <x v="1"/>
    <n v="16765"/>
    <m/>
    <m/>
    <n v="17000"/>
    <d v="2024-02-06T00:00:00"/>
  </r>
  <r>
    <s v="S1874"/>
    <s v="Dev Jain"/>
    <s v="C202"/>
    <x v="2"/>
    <s v="B1"/>
    <s v="Amit"/>
    <x v="1"/>
    <n v="11319"/>
    <s v="DISC15"/>
    <m/>
    <n v="13000"/>
    <d v="2024-02-23T00:00:00"/>
  </r>
  <r>
    <s v="S1875"/>
    <s v="Neha Shah"/>
    <s v="C204"/>
    <x v="3"/>
    <s v="B2"/>
    <s v="Amit"/>
    <x v="0"/>
    <n v="10367"/>
    <m/>
    <m/>
    <n v="9000"/>
    <d v="2024-01-12T00:00:00"/>
  </r>
  <r>
    <s v="S1876"/>
    <s v="Aditya Verma"/>
    <s v="C201"/>
    <x v="0"/>
    <s v="B3"/>
    <s v="Saurabh"/>
    <x v="1"/>
    <n v="15334"/>
    <s v="DISC15"/>
    <m/>
    <n v="14000"/>
    <d v="2024-02-19T00:00:00"/>
  </r>
  <r>
    <s v="S1877"/>
    <s v="Meera Verma"/>
    <s v="C203"/>
    <x v="1"/>
    <s v="B2"/>
    <s v="Amit"/>
    <x v="1"/>
    <n v="15251"/>
    <s v="DISC10"/>
    <n v="0.1"/>
    <n v="17000"/>
    <d v="2024-01-14T00:00:00"/>
  </r>
  <r>
    <s v="S1878"/>
    <s v="Meera Mehta"/>
    <s v="C201"/>
    <x v="0"/>
    <s v="B1"/>
    <s v="Amit"/>
    <x v="0"/>
    <n v="13855"/>
    <s v="DISC15"/>
    <m/>
    <n v="14000"/>
    <d v="2024-01-19T00:00:00"/>
  </r>
  <r>
    <s v="S1879"/>
    <s v="Rahul Joshi"/>
    <s v="C204"/>
    <x v="3"/>
    <s v="B1"/>
    <s v="Saurabh"/>
    <x v="1"/>
    <n v="10593"/>
    <s v="DISC30"/>
    <n v="0.3"/>
    <n v="9000"/>
    <d v="2024-01-20T00:00:00"/>
  </r>
  <r>
    <s v="S1880"/>
    <s v="Kavita Patel"/>
    <s v="C203"/>
    <x v="1"/>
    <s v="B2"/>
    <s v="Amit"/>
    <x v="2"/>
    <n v="15365"/>
    <s v="DISC15"/>
    <m/>
    <n v="17000"/>
    <d v="2024-01-01T00:00:00"/>
  </r>
  <r>
    <s v="S1881"/>
    <s v="Kavita Gupta"/>
    <s v="C204"/>
    <x v="3"/>
    <s v="B1"/>
    <s v="Priya"/>
    <x v="0"/>
    <n v="8512"/>
    <s v="DISC15"/>
    <m/>
    <n v="9000"/>
    <d v="2024-01-04T00:00:00"/>
  </r>
  <r>
    <s v="S1882"/>
    <s v="Aarav Desai"/>
    <s v="C203"/>
    <x v="1"/>
    <s v="B1"/>
    <s v="Priya"/>
    <x v="0"/>
    <n v="15963"/>
    <m/>
    <m/>
    <n v="17000"/>
    <d v="2024-02-14T00:00:00"/>
  </r>
  <r>
    <s v="S1883"/>
    <s v="Kavita Verma"/>
    <s v="C203"/>
    <x v="1"/>
    <s v="B3"/>
    <s v="Priya"/>
    <x v="2"/>
    <n v="16562"/>
    <m/>
    <m/>
    <n v="17000"/>
    <d v="2024-02-04T00:00:00"/>
  </r>
  <r>
    <s v="S1884"/>
    <s v="Sneha Singh"/>
    <s v="C202"/>
    <x v="2"/>
    <s v="B2"/>
    <s v="Saurabh"/>
    <x v="0"/>
    <n v="13275"/>
    <m/>
    <m/>
    <n v="13000"/>
    <d v="2024-02-23T00:00:00"/>
  </r>
  <r>
    <s v="S1885"/>
    <s v="Kunal Jain"/>
    <s v="C204"/>
    <x v="3"/>
    <s v="B1"/>
    <s v="Priya"/>
    <x v="1"/>
    <n v="7514"/>
    <s v="DISC20"/>
    <n v="0.2"/>
    <n v="9000"/>
    <d v="2024-01-01T00:00:00"/>
  </r>
  <r>
    <s v="S1886"/>
    <s v="Riya Singh"/>
    <s v="C201"/>
    <x v="0"/>
    <s v="B1"/>
    <s v="Amit"/>
    <x v="2"/>
    <n v="14694"/>
    <m/>
    <m/>
    <n v="14000"/>
    <d v="2024-01-09T00:00:00"/>
  </r>
  <r>
    <s v="S1887"/>
    <s v="Riya Mehta"/>
    <s v="C204"/>
    <x v="3"/>
    <s v="B2"/>
    <s v="Amit"/>
    <x v="1"/>
    <n v="10810"/>
    <m/>
    <m/>
    <n v="9000"/>
    <d v="2024-02-09T00:00:00"/>
  </r>
  <r>
    <s v="S1888"/>
    <s v="Karan Iyer"/>
    <s v="C204"/>
    <x v="3"/>
    <s v="B3"/>
    <s v="Priya"/>
    <x v="2"/>
    <n v="8455"/>
    <s v="DISC20"/>
    <n v="0.2"/>
    <n v="9000"/>
    <d v="2024-01-12T00:00:00"/>
  </r>
  <r>
    <s v="S1889"/>
    <s v="Rahul Joshi"/>
    <s v="C201"/>
    <x v="0"/>
    <s v="B3"/>
    <s v="Priya"/>
    <x v="1"/>
    <n v="12969"/>
    <s v="DISC15"/>
    <m/>
    <n v="14000"/>
    <d v="2024-01-18T00:00:00"/>
  </r>
  <r>
    <s v="S1890"/>
    <s v="Rahul Gupta"/>
    <s v="C203"/>
    <x v="1"/>
    <s v="B1"/>
    <s v="Saurabh"/>
    <x v="1"/>
    <n v="16979"/>
    <s v="DISC30"/>
    <n v="0.3"/>
    <n v="17000"/>
    <d v="2024-01-08T00:00:00"/>
  </r>
  <r>
    <s v="S1891"/>
    <s v="Kavita Iyer"/>
    <s v="C201"/>
    <x v="0"/>
    <s v="B1"/>
    <s v="Amit"/>
    <x v="1"/>
    <n v="14156"/>
    <s v="DISC30"/>
    <n v="0.3"/>
    <n v="14000"/>
    <d v="2024-01-30T00:00:00"/>
  </r>
  <r>
    <s v="S1892"/>
    <s v="Manish Shah"/>
    <s v="C201"/>
    <x v="0"/>
    <s v="B1"/>
    <s v="Priya"/>
    <x v="1"/>
    <n v="15037"/>
    <s v="DISC10"/>
    <n v="0.1"/>
    <n v="14000"/>
    <d v="2024-02-13T00:00:00"/>
  </r>
  <r>
    <s v="S1893"/>
    <s v="Rohit Gupta"/>
    <s v="C203"/>
    <x v="1"/>
    <s v="B3"/>
    <s v="Saurabh"/>
    <x v="2"/>
    <n v="17191"/>
    <s v="DISC10"/>
    <n v="0.1"/>
    <n v="17000"/>
    <d v="2024-01-31T00:00:00"/>
  </r>
  <r>
    <s v="S1894"/>
    <s v="Neha Gupta"/>
    <s v="C204"/>
    <x v="3"/>
    <s v="B3"/>
    <s v="Amit"/>
    <x v="2"/>
    <n v="8724"/>
    <s v="DISC30"/>
    <n v="0.3"/>
    <n v="9000"/>
    <d v="2024-02-21T00:00:00"/>
  </r>
  <r>
    <s v="S1895"/>
    <s v="Aditya Rao"/>
    <s v="C202"/>
    <x v="2"/>
    <s v="B1"/>
    <s v="Amit"/>
    <x v="1"/>
    <n v="14069"/>
    <s v="DISC30"/>
    <n v="0.3"/>
    <n v="13000"/>
    <d v="2024-02-16T00:00:00"/>
  </r>
  <r>
    <s v="S1896"/>
    <s v="Dev Joshi"/>
    <s v="C203"/>
    <x v="1"/>
    <s v="B1"/>
    <s v="Amit"/>
    <x v="2"/>
    <n v="17368"/>
    <s v="DISC20"/>
    <n v="0.2"/>
    <n v="17000"/>
    <d v="2024-02-06T00:00:00"/>
  </r>
  <r>
    <s v="S1897"/>
    <s v="Aarav Singh"/>
    <s v="C203"/>
    <x v="1"/>
    <s v="B3"/>
    <s v="Amit"/>
    <x v="0"/>
    <n v="16174"/>
    <m/>
    <m/>
    <n v="17000"/>
    <d v="2024-01-06T00:00:00"/>
  </r>
  <r>
    <s v="S1898"/>
    <s v="Karan Gupta"/>
    <s v="C201"/>
    <x v="0"/>
    <s v="B2"/>
    <s v="Priya"/>
    <x v="0"/>
    <n v="14522"/>
    <s v="DISC30"/>
    <n v="0.3"/>
    <n v="14000"/>
    <d v="2024-01-18T00:00:00"/>
  </r>
  <r>
    <s v="S1899"/>
    <s v="Meera Rao"/>
    <s v="C201"/>
    <x v="0"/>
    <s v="B3"/>
    <s v="Saurabh"/>
    <x v="1"/>
    <n v="12715"/>
    <s v="DISC15"/>
    <m/>
    <n v="14000"/>
    <d v="2024-02-17T00:00:00"/>
  </r>
  <r>
    <s v="S1900"/>
    <s v="Karan Singh"/>
    <s v="C204"/>
    <x v="3"/>
    <s v="B2"/>
    <s v="Saurabh"/>
    <x v="2"/>
    <n v="10205"/>
    <s v="DISC20"/>
    <n v="0.2"/>
    <n v="9000"/>
    <d v="2024-02-01T00:00:00"/>
  </r>
  <r>
    <s v="S1901"/>
    <s v="Karan Patel"/>
    <s v="C201"/>
    <x v="0"/>
    <s v="B2"/>
    <s v="Saurabh"/>
    <x v="0"/>
    <n v="14439"/>
    <s v="DISC20"/>
    <n v="0.2"/>
    <n v="14000"/>
    <d v="2024-02-23T00:00:00"/>
  </r>
  <r>
    <s v="S1902"/>
    <s v="Neha Patel"/>
    <s v="C204"/>
    <x v="3"/>
    <s v="B2"/>
    <s v="Saurabh"/>
    <x v="1"/>
    <n v="8802"/>
    <s v="DISC20"/>
    <n v="0.2"/>
    <n v="9000"/>
    <d v="2024-01-14T00:00:00"/>
  </r>
  <r>
    <s v="S1903"/>
    <s v="Kavita Desai"/>
    <s v="C203"/>
    <x v="1"/>
    <s v="B1"/>
    <s v="Amit"/>
    <x v="2"/>
    <n v="18094"/>
    <s v="DISC10"/>
    <n v="0.1"/>
    <n v="17000"/>
    <d v="2024-01-04T00:00:00"/>
  </r>
  <r>
    <s v="S1904"/>
    <s v="Karan Iyer"/>
    <s v="C204"/>
    <x v="3"/>
    <s v="B2"/>
    <s v="Priya"/>
    <x v="2"/>
    <n v="10056"/>
    <s v="DISC15"/>
    <m/>
    <n v="9000"/>
    <d v="2024-01-15T00:00:00"/>
  </r>
  <r>
    <s v="S1905"/>
    <s v="Rahul Singh"/>
    <s v="C204"/>
    <x v="3"/>
    <s v="B2"/>
    <s v="Priya"/>
    <x v="0"/>
    <n v="9172"/>
    <m/>
    <m/>
    <n v="9000"/>
    <d v="2024-01-01T00:00:00"/>
  </r>
  <r>
    <s v="S1906"/>
    <s v="Aditya Patel"/>
    <s v="C204"/>
    <x v="3"/>
    <s v="B2"/>
    <s v="Amit"/>
    <x v="2"/>
    <n v="10939"/>
    <s v="DISC15"/>
    <m/>
    <n v="9000"/>
    <d v="2024-02-13T00:00:00"/>
  </r>
  <r>
    <s v="S1907"/>
    <s v="Aarav Shah"/>
    <s v="C203"/>
    <x v="1"/>
    <s v="B2"/>
    <s v="Amit"/>
    <x v="1"/>
    <n v="18515"/>
    <s v="DISC30"/>
    <n v="0.3"/>
    <n v="17000"/>
    <d v="2024-01-22T00:00:00"/>
  </r>
  <r>
    <s v="S1908"/>
    <s v="Aditya Rao"/>
    <s v="C201"/>
    <x v="0"/>
    <s v="B2"/>
    <s v="Amit"/>
    <x v="1"/>
    <n v="13602"/>
    <m/>
    <m/>
    <n v="14000"/>
    <d v="2024-02-19T00:00:00"/>
  </r>
  <r>
    <s v="S1909"/>
    <s v="Rohit Desai"/>
    <s v="C202"/>
    <x v="2"/>
    <s v="B3"/>
    <s v="Amit"/>
    <x v="1"/>
    <n v="14155"/>
    <s v="DISC20"/>
    <n v="0.2"/>
    <n v="13000"/>
    <d v="2024-02-03T00:00:00"/>
  </r>
  <r>
    <s v="S1910"/>
    <s v="Pooja Singh"/>
    <s v="C202"/>
    <x v="2"/>
    <s v="B2"/>
    <s v="Amit"/>
    <x v="0"/>
    <n v="13755"/>
    <s v="DISC10"/>
    <n v="0.1"/>
    <n v="13000"/>
    <d v="2024-02-23T00:00:00"/>
  </r>
  <r>
    <s v="S1911"/>
    <s v="Riya Kulkarni"/>
    <s v="C204"/>
    <x v="3"/>
    <s v="B1"/>
    <s v="Amit"/>
    <x v="0"/>
    <n v="9807"/>
    <m/>
    <m/>
    <n v="9000"/>
    <d v="2024-01-23T00:00:00"/>
  </r>
  <r>
    <s v="S1912"/>
    <s v="Sneha Desai"/>
    <s v="C203"/>
    <x v="1"/>
    <s v="B2"/>
    <s v="Saurabh"/>
    <x v="0"/>
    <n v="15097"/>
    <s v="DISC15"/>
    <m/>
    <n v="17000"/>
    <d v="2024-01-06T00:00:00"/>
  </r>
  <r>
    <s v="S1913"/>
    <s v="Aarav Joshi"/>
    <s v="C202"/>
    <x v="2"/>
    <s v="B3"/>
    <s v="Amit"/>
    <x v="0"/>
    <n v="13900"/>
    <s v="DISC10"/>
    <n v="0.1"/>
    <n v="13000"/>
    <d v="2024-01-06T00:00:00"/>
  </r>
  <r>
    <s v="S1914"/>
    <s v="Meera Joshi"/>
    <s v="C202"/>
    <x v="2"/>
    <s v="B2"/>
    <s v="Amit"/>
    <x v="1"/>
    <n v="13318"/>
    <s v="DISC20"/>
    <n v="0.2"/>
    <n v="13000"/>
    <d v="2024-02-27T00:00:00"/>
  </r>
  <r>
    <s v="S1915"/>
    <s v="Riya Desai"/>
    <s v="C202"/>
    <x v="2"/>
    <s v="B2"/>
    <s v="Priya"/>
    <x v="2"/>
    <n v="13705"/>
    <s v="DISC10"/>
    <n v="0.1"/>
    <n v="13000"/>
    <d v="2024-02-10T00:00:00"/>
  </r>
  <r>
    <s v="S1916"/>
    <s v="Neha Rao"/>
    <s v="C204"/>
    <x v="3"/>
    <s v="B3"/>
    <s v="Amit"/>
    <x v="2"/>
    <n v="8054"/>
    <s v="DISC20"/>
    <n v="0.2"/>
    <n v="9000"/>
    <d v="2024-02-19T00:00:00"/>
  </r>
  <r>
    <s v="S1917"/>
    <s v="Riya Rao"/>
    <s v="C201"/>
    <x v="0"/>
    <s v="B2"/>
    <s v="Priya"/>
    <x v="2"/>
    <n v="12246"/>
    <s v="DISC30"/>
    <n v="0.3"/>
    <n v="14000"/>
    <d v="2024-02-22T00:00:00"/>
  </r>
  <r>
    <s v="S1918"/>
    <s v="Aditya Mehta"/>
    <s v="C204"/>
    <x v="3"/>
    <s v="B1"/>
    <s v="Priya"/>
    <x v="0"/>
    <n v="9499"/>
    <m/>
    <m/>
    <n v="9000"/>
    <d v="2024-01-12T00:00:00"/>
  </r>
  <r>
    <s v="S1919"/>
    <s v="Rohit Iyer"/>
    <s v="C201"/>
    <x v="0"/>
    <s v="B1"/>
    <s v="Amit"/>
    <x v="2"/>
    <n v="12894"/>
    <s v="DISC15"/>
    <m/>
    <n v="14000"/>
    <d v="2024-02-11T00:00:00"/>
  </r>
  <r>
    <s v="S1920"/>
    <s v="Riya Iyer"/>
    <s v="C203"/>
    <x v="1"/>
    <s v="B1"/>
    <s v="Saurabh"/>
    <x v="0"/>
    <n v="15288"/>
    <s v="DISC15"/>
    <m/>
    <n v="17000"/>
    <d v="2024-02-16T00:00:00"/>
  </r>
  <r>
    <s v="S1921"/>
    <s v="Aditya Patel"/>
    <s v="C204"/>
    <x v="3"/>
    <s v="B1"/>
    <s v="Priya"/>
    <x v="0"/>
    <n v="9674"/>
    <s v="DISC10"/>
    <n v="0.1"/>
    <n v="9000"/>
    <d v="2024-02-29T00:00:00"/>
  </r>
  <r>
    <s v="S1922"/>
    <s v="Aarav Singh"/>
    <s v="C204"/>
    <x v="3"/>
    <s v="B2"/>
    <s v="Saurabh"/>
    <x v="1"/>
    <n v="8350"/>
    <m/>
    <m/>
    <n v="9000"/>
    <d v="2024-02-06T00:00:00"/>
  </r>
  <r>
    <s v="S1923"/>
    <s v="Aarav Gupta"/>
    <s v="C204"/>
    <x v="3"/>
    <s v="B2"/>
    <s v="Priya"/>
    <x v="2"/>
    <n v="10457"/>
    <s v="DISC10"/>
    <n v="0.1"/>
    <n v="9000"/>
    <d v="2024-02-04T00:00:00"/>
  </r>
  <r>
    <s v="S1924"/>
    <s v="Sneha Kulkarni"/>
    <s v="C204"/>
    <x v="3"/>
    <s v="B3"/>
    <s v="Priya"/>
    <x v="0"/>
    <n v="9323"/>
    <s v="DISC15"/>
    <m/>
    <n v="9000"/>
    <d v="2024-02-29T00:00:00"/>
  </r>
  <r>
    <s v="S1925"/>
    <s v="Pooja Jain"/>
    <s v="C203"/>
    <x v="1"/>
    <s v="B2"/>
    <s v="Saurabh"/>
    <x v="1"/>
    <n v="18927"/>
    <s v="DISC10"/>
    <n v="0.1"/>
    <n v="17000"/>
    <d v="2024-01-24T00:00:00"/>
  </r>
  <r>
    <s v="S1926"/>
    <s v="Manish Nair"/>
    <s v="C203"/>
    <x v="1"/>
    <s v="B1"/>
    <s v="Priya"/>
    <x v="2"/>
    <n v="17653"/>
    <s v="DISC20"/>
    <n v="0.2"/>
    <n v="17000"/>
    <d v="2024-01-12T00:00:00"/>
  </r>
  <r>
    <s v="S1927"/>
    <s v="Manish Kulkarni"/>
    <s v="C204"/>
    <x v="3"/>
    <s v="B3"/>
    <s v="Saurabh"/>
    <x v="2"/>
    <n v="9850"/>
    <m/>
    <m/>
    <n v="9000"/>
    <d v="2024-02-27T00:00:00"/>
  </r>
  <r>
    <s v="S1928"/>
    <s v="Riya Singh"/>
    <s v="C203"/>
    <x v="1"/>
    <s v="B2"/>
    <s v="Saurabh"/>
    <x v="1"/>
    <n v="16793"/>
    <s v="DISC20"/>
    <n v="0.2"/>
    <n v="17000"/>
    <d v="2024-01-09T00:00:00"/>
  </r>
  <r>
    <s v="S1929"/>
    <s v="Aarav Patil"/>
    <s v="C201"/>
    <x v="0"/>
    <s v="B3"/>
    <s v="Amit"/>
    <x v="0"/>
    <n v="14003"/>
    <m/>
    <m/>
    <n v="14000"/>
    <d v="2024-01-05T00:00:00"/>
  </r>
  <r>
    <s v="S1930"/>
    <s v="Dev Gupta"/>
    <s v="C203"/>
    <x v="1"/>
    <s v="B2"/>
    <s v="Amit"/>
    <x v="2"/>
    <n v="18959"/>
    <s v="DISC10"/>
    <n v="0.1"/>
    <n v="17000"/>
    <d v="2024-01-03T00:00:00"/>
  </r>
  <r>
    <s v="S1931"/>
    <s v="Pooja Kulkarni"/>
    <s v="C203"/>
    <x v="1"/>
    <s v="B3"/>
    <s v="Saurabh"/>
    <x v="2"/>
    <n v="15484"/>
    <s v="DISC20"/>
    <n v="0.2"/>
    <n v="17000"/>
    <d v="2024-02-21T00:00:00"/>
  </r>
  <r>
    <s v="S1932"/>
    <s v="Rohit Singh"/>
    <s v="C204"/>
    <x v="3"/>
    <s v="B3"/>
    <s v="Amit"/>
    <x v="0"/>
    <n v="10035"/>
    <s v="DISC15"/>
    <m/>
    <n v="9000"/>
    <d v="2024-01-15T00:00:00"/>
  </r>
  <r>
    <s v="S1933"/>
    <s v="Kunal Shah"/>
    <s v="C201"/>
    <x v="0"/>
    <s v="B3"/>
    <s v="Saurabh"/>
    <x v="2"/>
    <n v="14678"/>
    <s v="DISC10"/>
    <n v="0.1"/>
    <n v="14000"/>
    <d v="2024-01-31T00:00:00"/>
  </r>
  <r>
    <s v="S1934"/>
    <s v="Kunal Joshi"/>
    <s v="C201"/>
    <x v="0"/>
    <s v="B1"/>
    <s v="Amit"/>
    <x v="1"/>
    <n v="12534"/>
    <s v="DISC10"/>
    <n v="0.1"/>
    <n v="14000"/>
    <d v="2024-01-12T00:00:00"/>
  </r>
  <r>
    <s v="S1935"/>
    <s v="Rohit Kulkarni"/>
    <s v="C203"/>
    <x v="1"/>
    <s v="B1"/>
    <s v="Priya"/>
    <x v="1"/>
    <n v="15699"/>
    <s v="DISC15"/>
    <m/>
    <n v="17000"/>
    <d v="2024-01-05T00:00:00"/>
  </r>
  <r>
    <s v="S1936"/>
    <s v="Meera Nair"/>
    <s v="C201"/>
    <x v="0"/>
    <s v="B1"/>
    <s v="Priya"/>
    <x v="1"/>
    <n v="15273"/>
    <s v="DISC15"/>
    <m/>
    <n v="14000"/>
    <d v="2024-01-15T00:00:00"/>
  </r>
  <r>
    <s v="S1937"/>
    <s v="Riya Patel"/>
    <s v="C202"/>
    <x v="2"/>
    <s v="B2"/>
    <s v="Priya"/>
    <x v="1"/>
    <n v="13778"/>
    <m/>
    <m/>
    <n v="13000"/>
    <d v="2024-01-21T00:00:00"/>
  </r>
  <r>
    <s v="S1938"/>
    <s v="Riya Singh"/>
    <s v="C202"/>
    <x v="2"/>
    <s v="B2"/>
    <s v="Saurabh"/>
    <x v="0"/>
    <n v="13429"/>
    <s v="DISC20"/>
    <n v="0.2"/>
    <n v="13000"/>
    <d v="2024-01-22T00:00:00"/>
  </r>
  <r>
    <s v="S1939"/>
    <s v="Riya Shah"/>
    <s v="C203"/>
    <x v="1"/>
    <s v="B1"/>
    <s v="Priya"/>
    <x v="0"/>
    <n v="17852"/>
    <s v="DISC30"/>
    <n v="0.3"/>
    <n v="17000"/>
    <d v="2024-02-05T00:00:00"/>
  </r>
  <r>
    <s v="S1940"/>
    <s v="Karan Iyer"/>
    <s v="C202"/>
    <x v="2"/>
    <s v="B3"/>
    <s v="Saurabh"/>
    <x v="0"/>
    <n v="11409"/>
    <s v="DISC15"/>
    <m/>
    <n v="13000"/>
    <d v="2024-01-25T00:00:00"/>
  </r>
  <r>
    <s v="S1941"/>
    <s v="Dev Mehta"/>
    <s v="C201"/>
    <x v="0"/>
    <s v="B2"/>
    <s v="Saurabh"/>
    <x v="0"/>
    <n v="12029"/>
    <s v="DISC20"/>
    <n v="0.2"/>
    <n v="14000"/>
    <d v="2024-02-29T00:00:00"/>
  </r>
  <r>
    <s v="S1942"/>
    <s v="Riya Desai"/>
    <s v="C203"/>
    <x v="1"/>
    <s v="B2"/>
    <s v="Amit"/>
    <x v="2"/>
    <n v="17835"/>
    <s v="DISC20"/>
    <n v="0.2"/>
    <n v="17000"/>
    <d v="2024-01-14T00:00:00"/>
  </r>
  <r>
    <s v="S1943"/>
    <s v="Karan Singh"/>
    <s v="C203"/>
    <x v="1"/>
    <s v="B3"/>
    <s v="Priya"/>
    <x v="2"/>
    <n v="15979"/>
    <s v="DISC20"/>
    <n v="0.2"/>
    <n v="17000"/>
    <d v="2024-02-09T00:00:00"/>
  </r>
  <r>
    <s v="S1944"/>
    <s v="Anjali Kulkarni"/>
    <s v="C202"/>
    <x v="2"/>
    <s v="B3"/>
    <s v="Priya"/>
    <x v="1"/>
    <n v="14892"/>
    <s v="DISC10"/>
    <n v="0.1"/>
    <n v="13000"/>
    <d v="2024-02-10T00:00:00"/>
  </r>
  <r>
    <s v="S1945"/>
    <s v="Meera Patel"/>
    <s v="C203"/>
    <x v="1"/>
    <s v="B2"/>
    <s v="Priya"/>
    <x v="0"/>
    <n v="17284"/>
    <s v="DISC20"/>
    <n v="0.2"/>
    <n v="17000"/>
    <d v="2024-01-13T00:00:00"/>
  </r>
  <r>
    <s v="S1946"/>
    <s v="Riya Gupta"/>
    <s v="C201"/>
    <x v="0"/>
    <s v="B3"/>
    <s v="Priya"/>
    <x v="1"/>
    <n v="14078"/>
    <s v="DISC20"/>
    <n v="0.2"/>
    <n v="14000"/>
    <d v="2024-01-30T00:00:00"/>
  </r>
  <r>
    <s v="S1947"/>
    <s v="Dev Singh"/>
    <s v="C202"/>
    <x v="2"/>
    <s v="B2"/>
    <s v="Saurabh"/>
    <x v="0"/>
    <n v="11461"/>
    <s v="DISC20"/>
    <n v="0.2"/>
    <n v="13000"/>
    <d v="2024-02-13T00:00:00"/>
  </r>
  <r>
    <s v="S1948"/>
    <s v="Meera Iyer"/>
    <s v="C204"/>
    <x v="3"/>
    <s v="B1"/>
    <s v="Saurabh"/>
    <x v="1"/>
    <n v="10779"/>
    <s v="DISC10"/>
    <n v="0.1"/>
    <n v="9000"/>
    <d v="2024-01-04T00:00:00"/>
  </r>
  <r>
    <s v="S1949"/>
    <s v="Rohit Jain"/>
    <s v="C203"/>
    <x v="1"/>
    <s v="B1"/>
    <s v="Priya"/>
    <x v="2"/>
    <n v="16369"/>
    <s v="DISC15"/>
    <m/>
    <n v="17000"/>
    <d v="2024-02-21T00:00:00"/>
  </r>
  <r>
    <s v="S1950"/>
    <s v="Kunal Patel"/>
    <s v="C204"/>
    <x v="3"/>
    <s v="B1"/>
    <s v="Saurabh"/>
    <x v="1"/>
    <n v="7214"/>
    <s v="DISC15"/>
    <m/>
    <n v="9000"/>
    <d v="2024-01-12T00:00:00"/>
  </r>
  <r>
    <s v="S1951"/>
    <s v="Karan Patel"/>
    <s v="C201"/>
    <x v="0"/>
    <s v="B2"/>
    <s v="Amit"/>
    <x v="0"/>
    <n v="12290"/>
    <s v="DISC20"/>
    <n v="0.2"/>
    <n v="14000"/>
    <d v="2024-02-16T00:00:00"/>
  </r>
  <r>
    <s v="S1952"/>
    <s v="Neha Joshi"/>
    <s v="C203"/>
    <x v="1"/>
    <s v="B2"/>
    <s v="Saurabh"/>
    <x v="1"/>
    <n v="17772"/>
    <s v="DISC30"/>
    <n v="0.3"/>
    <n v="17000"/>
    <d v="2024-01-15T00:00:00"/>
  </r>
  <r>
    <s v="S1953"/>
    <s v="Dev Shah"/>
    <s v="C203"/>
    <x v="1"/>
    <s v="B1"/>
    <s v="Saurabh"/>
    <x v="0"/>
    <n v="18021"/>
    <m/>
    <m/>
    <n v="17000"/>
    <d v="2024-02-25T00:00:00"/>
  </r>
  <r>
    <s v="S1954"/>
    <s v="Sneha Verma"/>
    <s v="C202"/>
    <x v="2"/>
    <s v="B1"/>
    <s v="Priya"/>
    <x v="1"/>
    <n v="12984"/>
    <s v="DISC10"/>
    <n v="0.1"/>
    <n v="13000"/>
    <d v="2024-02-26T00:00:00"/>
  </r>
  <r>
    <s v="S1955"/>
    <s v="Rahul Mehta"/>
    <s v="C202"/>
    <x v="2"/>
    <s v="B3"/>
    <s v="Priya"/>
    <x v="0"/>
    <n v="12586"/>
    <s v="DISC30"/>
    <n v="0.3"/>
    <n v="13000"/>
    <d v="2024-01-09T00:00:00"/>
  </r>
  <r>
    <s v="S1956"/>
    <s v="Neha Desai"/>
    <s v="C202"/>
    <x v="2"/>
    <s v="B3"/>
    <s v="Priya"/>
    <x v="2"/>
    <n v="11828"/>
    <s v="DISC30"/>
    <n v="0.3"/>
    <n v="13000"/>
    <d v="2024-01-09T00:00:00"/>
  </r>
  <r>
    <s v="S1957"/>
    <s v="Aarav Desai"/>
    <s v="C201"/>
    <x v="0"/>
    <s v="B2"/>
    <s v="Saurabh"/>
    <x v="0"/>
    <n v="15488"/>
    <m/>
    <m/>
    <n v="14000"/>
    <d v="2024-01-30T00:00:00"/>
  </r>
  <r>
    <s v="S1958"/>
    <s v="Rahul Mehta"/>
    <s v="C203"/>
    <x v="1"/>
    <s v="B1"/>
    <s v="Priya"/>
    <x v="1"/>
    <n v="15642"/>
    <s v="DISC15"/>
    <m/>
    <n v="17000"/>
    <d v="2024-02-27T00:00:00"/>
  </r>
  <r>
    <s v="S1959"/>
    <s v="Karan Joshi"/>
    <s v="C202"/>
    <x v="2"/>
    <s v="B1"/>
    <s v="Priya"/>
    <x v="1"/>
    <n v="13003"/>
    <s v="DISC20"/>
    <n v="0.2"/>
    <n v="13000"/>
    <d v="2024-02-07T00:00:00"/>
  </r>
  <r>
    <s v="S1960"/>
    <s v="Neha Nair"/>
    <s v="C204"/>
    <x v="3"/>
    <s v="B2"/>
    <s v="Saurabh"/>
    <x v="1"/>
    <n v="8753"/>
    <s v="DISC20"/>
    <n v="0.2"/>
    <n v="9000"/>
    <d v="2024-01-16T00:00:00"/>
  </r>
  <r>
    <s v="S1961"/>
    <s v="Pooja Verma"/>
    <s v="C202"/>
    <x v="2"/>
    <s v="B3"/>
    <s v="Saurabh"/>
    <x v="1"/>
    <n v="14679"/>
    <s v="DISC10"/>
    <n v="0.1"/>
    <n v="13000"/>
    <d v="2024-01-27T00:00:00"/>
  </r>
  <r>
    <s v="S1962"/>
    <s v="Aarav Kulkarni"/>
    <s v="C204"/>
    <x v="3"/>
    <s v="B3"/>
    <s v="Amit"/>
    <x v="0"/>
    <n v="8743"/>
    <s v="DISC15"/>
    <m/>
    <n v="9000"/>
    <d v="2024-01-26T00:00:00"/>
  </r>
  <r>
    <s v="S1963"/>
    <s v="Neha Patel"/>
    <s v="C201"/>
    <x v="0"/>
    <s v="B2"/>
    <s v="Priya"/>
    <x v="0"/>
    <n v="12340"/>
    <s v="DISC15"/>
    <m/>
    <n v="14000"/>
    <d v="2024-02-18T00:00:00"/>
  </r>
  <r>
    <s v="S1964"/>
    <s v="Aarav Desai"/>
    <s v="C204"/>
    <x v="3"/>
    <s v="B1"/>
    <s v="Saurabh"/>
    <x v="2"/>
    <n v="8211"/>
    <s v="DISC20"/>
    <n v="0.2"/>
    <n v="9000"/>
    <d v="2024-02-11T00:00:00"/>
  </r>
  <r>
    <s v="S1965"/>
    <s v="Riya Kulkarni"/>
    <s v="C204"/>
    <x v="3"/>
    <s v="B3"/>
    <s v="Priya"/>
    <x v="0"/>
    <n v="9880"/>
    <m/>
    <m/>
    <n v="9000"/>
    <d v="2024-02-24T00:00:00"/>
  </r>
  <r>
    <s v="S1966"/>
    <s v="Kavita Desai"/>
    <s v="C201"/>
    <x v="0"/>
    <s v="B2"/>
    <s v="Priya"/>
    <x v="0"/>
    <n v="15580"/>
    <m/>
    <m/>
    <n v="14000"/>
    <d v="2024-01-12T00:00:00"/>
  </r>
  <r>
    <s v="S1967"/>
    <s v="Dev Nair"/>
    <s v="C203"/>
    <x v="1"/>
    <s v="B3"/>
    <s v="Priya"/>
    <x v="1"/>
    <n v="17594"/>
    <s v="DISC10"/>
    <n v="0.1"/>
    <n v="17000"/>
    <d v="2024-02-25T00:00:00"/>
  </r>
  <r>
    <s v="S1968"/>
    <s v="Rohit Shah"/>
    <s v="C204"/>
    <x v="3"/>
    <s v="B3"/>
    <s v="Priya"/>
    <x v="1"/>
    <n v="7133"/>
    <s v="DISC30"/>
    <n v="0.3"/>
    <n v="9000"/>
    <d v="2024-01-28T00:00:00"/>
  </r>
  <r>
    <s v="S1969"/>
    <s v="Dev Rao"/>
    <s v="C202"/>
    <x v="2"/>
    <s v="B3"/>
    <s v="Saurabh"/>
    <x v="1"/>
    <n v="14607"/>
    <s v="DISC30"/>
    <n v="0.3"/>
    <n v="13000"/>
    <d v="2024-02-17T00:00:00"/>
  </r>
  <r>
    <s v="S1970"/>
    <s v="Kunal Kulkarni"/>
    <s v="C203"/>
    <x v="1"/>
    <s v="B1"/>
    <s v="Saurabh"/>
    <x v="2"/>
    <n v="16497"/>
    <m/>
    <m/>
    <n v="17000"/>
    <d v="2024-02-09T00:00:00"/>
  </r>
  <r>
    <s v="S1971"/>
    <s v="Aarav Jain"/>
    <s v="C203"/>
    <x v="1"/>
    <s v="B1"/>
    <s v="Amit"/>
    <x v="1"/>
    <n v="17887"/>
    <s v="DISC10"/>
    <n v="0.1"/>
    <n v="17000"/>
    <d v="2024-02-05T00:00:00"/>
  </r>
  <r>
    <s v="S1972"/>
    <s v="Anjali Patel"/>
    <s v="C202"/>
    <x v="2"/>
    <s v="B1"/>
    <s v="Priya"/>
    <x v="0"/>
    <n v="13210"/>
    <s v="DISC10"/>
    <n v="0.1"/>
    <n v="13000"/>
    <d v="2024-02-11T00:00:00"/>
  </r>
  <r>
    <s v="S1973"/>
    <s v="Neha Desai"/>
    <s v="C202"/>
    <x v="2"/>
    <s v="B3"/>
    <s v="Saurabh"/>
    <x v="2"/>
    <n v="12444"/>
    <s v="DISC30"/>
    <n v="0.3"/>
    <n v="13000"/>
    <d v="2024-02-02T00:00:00"/>
  </r>
  <r>
    <s v="S1974"/>
    <s v="Rohit Verma"/>
    <s v="C203"/>
    <x v="1"/>
    <s v="B1"/>
    <s v="Saurabh"/>
    <x v="2"/>
    <n v="16414"/>
    <m/>
    <m/>
    <n v="17000"/>
    <d v="2024-02-01T00:00:00"/>
  </r>
  <r>
    <s v="S1975"/>
    <s v="Manish Gupta"/>
    <s v="C201"/>
    <x v="0"/>
    <s v="B2"/>
    <s v="Amit"/>
    <x v="1"/>
    <n v="14778"/>
    <s v="DISC15"/>
    <m/>
    <n v="14000"/>
    <d v="2024-02-27T00:00:00"/>
  </r>
  <r>
    <s v="S1976"/>
    <s v="Aditya Iyer"/>
    <s v="C203"/>
    <x v="1"/>
    <s v="B3"/>
    <s v="Amit"/>
    <x v="0"/>
    <n v="15771"/>
    <m/>
    <m/>
    <n v="17000"/>
    <d v="2024-01-06T00:00:00"/>
  </r>
  <r>
    <s v="S1977"/>
    <s v="Riya Verma"/>
    <s v="C202"/>
    <x v="2"/>
    <s v="B2"/>
    <s v="Saurabh"/>
    <x v="0"/>
    <n v="11674"/>
    <s v="DISC30"/>
    <n v="0.3"/>
    <n v="13000"/>
    <d v="2024-01-08T00:00:00"/>
  </r>
  <r>
    <s v="S1978"/>
    <s v="Anjali Mehta"/>
    <s v="C204"/>
    <x v="3"/>
    <s v="B1"/>
    <s v="Saurabh"/>
    <x v="1"/>
    <n v="10899"/>
    <s v="DISC10"/>
    <n v="0.1"/>
    <n v="9000"/>
    <d v="2024-01-19T00:00:00"/>
  </r>
  <r>
    <s v="S1979"/>
    <s v="Rahul Singh"/>
    <s v="C202"/>
    <x v="2"/>
    <s v="B2"/>
    <s v="Priya"/>
    <x v="2"/>
    <n v="12818"/>
    <s v="DISC10"/>
    <n v="0.1"/>
    <n v="13000"/>
    <d v="2024-01-19T00:00:00"/>
  </r>
  <r>
    <s v="S1980"/>
    <s v="Sneha Shah"/>
    <s v="C201"/>
    <x v="0"/>
    <s v="B1"/>
    <s v="Amit"/>
    <x v="1"/>
    <n v="13375"/>
    <m/>
    <m/>
    <n v="14000"/>
    <d v="2024-02-07T00:00:00"/>
  </r>
  <r>
    <s v="S1981"/>
    <s v="Pooja Singh"/>
    <s v="C203"/>
    <x v="1"/>
    <s v="B2"/>
    <s v="Amit"/>
    <x v="1"/>
    <n v="17854"/>
    <s v="DISC15"/>
    <m/>
    <n v="17000"/>
    <d v="2024-02-23T00:00:00"/>
  </r>
  <r>
    <s v="S1982"/>
    <s v="Manish Iyer"/>
    <s v="C204"/>
    <x v="3"/>
    <s v="B2"/>
    <s v="Amit"/>
    <x v="0"/>
    <n v="10679"/>
    <s v="DISC30"/>
    <n v="0.3"/>
    <n v="9000"/>
    <d v="2024-01-11T00:00:00"/>
  </r>
  <r>
    <s v="S1983"/>
    <s v="Dev Rao"/>
    <s v="C202"/>
    <x v="2"/>
    <s v="B2"/>
    <s v="Priya"/>
    <x v="2"/>
    <n v="14152"/>
    <s v="DISC10"/>
    <n v="0.1"/>
    <n v="13000"/>
    <d v="2024-01-10T00:00:00"/>
  </r>
  <r>
    <s v="S1984"/>
    <s v="Pooja Rao"/>
    <s v="C204"/>
    <x v="3"/>
    <s v="B1"/>
    <s v="Amit"/>
    <x v="0"/>
    <n v="9915"/>
    <s v="DISC15"/>
    <m/>
    <n v="9000"/>
    <d v="2024-01-19T00:00:00"/>
  </r>
  <r>
    <s v="S1985"/>
    <s v="Karan Mehta"/>
    <s v="C202"/>
    <x v="2"/>
    <s v="B1"/>
    <s v="Saurabh"/>
    <x v="0"/>
    <n v="11168"/>
    <s v="DISC30"/>
    <n v="0.3"/>
    <n v="13000"/>
    <d v="2024-02-06T00:00:00"/>
  </r>
  <r>
    <s v="S1986"/>
    <s v="Karan Iyer"/>
    <s v="C203"/>
    <x v="1"/>
    <s v="B2"/>
    <s v="Saurabh"/>
    <x v="0"/>
    <n v="17303"/>
    <s v="DISC10"/>
    <n v="0.1"/>
    <n v="17000"/>
    <d v="2024-02-12T00:00:00"/>
  </r>
  <r>
    <s v="S1987"/>
    <s v="Pooja Jain"/>
    <s v="C202"/>
    <x v="2"/>
    <s v="B2"/>
    <s v="Priya"/>
    <x v="1"/>
    <n v="14995"/>
    <s v="DISC20"/>
    <n v="0.2"/>
    <n v="13000"/>
    <d v="2024-02-04T00:00:00"/>
  </r>
  <r>
    <s v="S1988"/>
    <s v="Aditya Shah"/>
    <s v="C201"/>
    <x v="0"/>
    <s v="B2"/>
    <s v="Priya"/>
    <x v="0"/>
    <n v="15882"/>
    <m/>
    <m/>
    <n v="14000"/>
    <d v="2024-02-29T00:00:00"/>
  </r>
  <r>
    <s v="S1989"/>
    <s v="Pooja Mehta"/>
    <s v="C201"/>
    <x v="0"/>
    <s v="B3"/>
    <s v="Amit"/>
    <x v="1"/>
    <n v="13356"/>
    <s v="DISC30"/>
    <n v="0.3"/>
    <n v="14000"/>
    <d v="2024-01-31T00:00:00"/>
  </r>
  <r>
    <s v="S1990"/>
    <s v="Kunal Rao"/>
    <s v="C202"/>
    <x v="2"/>
    <s v="B3"/>
    <s v="Amit"/>
    <x v="2"/>
    <n v="12387"/>
    <s v="DISC10"/>
    <n v="0.1"/>
    <n v="13000"/>
    <d v="2024-02-16T00:00:00"/>
  </r>
  <r>
    <s v="S1991"/>
    <s v="Neha Kulkarni"/>
    <s v="C202"/>
    <x v="2"/>
    <s v="B3"/>
    <s v="Amit"/>
    <x v="0"/>
    <n v="12261"/>
    <s v="DISC10"/>
    <n v="0.1"/>
    <n v="13000"/>
    <d v="2024-01-26T00:00:00"/>
  </r>
  <r>
    <s v="S1992"/>
    <s v="Kavita Nair"/>
    <s v="C202"/>
    <x v="2"/>
    <s v="B2"/>
    <s v="Priya"/>
    <x v="0"/>
    <n v="12336"/>
    <s v="DISC10"/>
    <n v="0.1"/>
    <n v="13000"/>
    <d v="2024-02-08T00:00:00"/>
  </r>
  <r>
    <s v="S1993"/>
    <s v="Rohit Patil"/>
    <s v="C202"/>
    <x v="2"/>
    <s v="B2"/>
    <s v="Saurabh"/>
    <x v="0"/>
    <n v="11342"/>
    <s v="DISC15"/>
    <m/>
    <n v="13000"/>
    <d v="2024-02-24T00:00:00"/>
  </r>
  <r>
    <s v="S1994"/>
    <s v="Neha Singh"/>
    <s v="C201"/>
    <x v="0"/>
    <s v="B3"/>
    <s v="Priya"/>
    <x v="0"/>
    <n v="14008"/>
    <s v="DISC30"/>
    <n v="0.3"/>
    <n v="14000"/>
    <d v="2024-02-08T00:00:00"/>
  </r>
  <r>
    <s v="S1995"/>
    <s v="Kavita Gupta"/>
    <s v="C201"/>
    <x v="0"/>
    <s v="B3"/>
    <s v="Priya"/>
    <x v="2"/>
    <n v="12605"/>
    <m/>
    <m/>
    <n v="14000"/>
    <d v="2024-01-24T00:00:00"/>
  </r>
  <r>
    <s v="S1996"/>
    <s v="Rahul Jain"/>
    <s v="C201"/>
    <x v="0"/>
    <s v="B2"/>
    <s v="Priya"/>
    <x v="2"/>
    <n v="13261"/>
    <m/>
    <m/>
    <n v="14000"/>
    <d v="2024-02-25T00:00:00"/>
  </r>
  <r>
    <s v="S1997"/>
    <s v="Manish Shah"/>
    <s v="C202"/>
    <x v="2"/>
    <s v="B3"/>
    <s v="Priya"/>
    <x v="1"/>
    <n v="12702"/>
    <m/>
    <m/>
    <n v="13000"/>
    <d v="2024-01-19T00:00:00"/>
  </r>
  <r>
    <s v="S1998"/>
    <s v="Karan Patel"/>
    <s v="C204"/>
    <x v="3"/>
    <s v="B3"/>
    <s v="Priya"/>
    <x v="0"/>
    <n v="10422"/>
    <s v="DISC15"/>
    <m/>
    <n v="9000"/>
    <d v="2024-02-08T00:00:00"/>
  </r>
  <r>
    <s v="S1999"/>
    <s v="Riya Mehta"/>
    <s v="C202"/>
    <x v="2"/>
    <s v="B2"/>
    <s v="Priya"/>
    <x v="1"/>
    <n v="12373"/>
    <s v="DISC10"/>
    <n v="0.1"/>
    <n v="13000"/>
    <d v="2024-02-29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s v="Data Analytics"/>
    <s v="B3"/>
    <s v="Priya"/>
    <s v="Web"/>
    <n v="12914"/>
    <s v="DISC20"/>
    <n v="0.2"/>
    <n v="14000"/>
    <d v="2024-02-17T00:00:00"/>
  </r>
  <r>
    <s v="S1001"/>
    <s v="Riya Singh"/>
    <s v="C201"/>
    <s v="Data Analytics"/>
    <s v="B3"/>
    <s v="Priya"/>
    <s v="Web"/>
    <n v="12122"/>
    <s v="DISC10"/>
    <n v="0.1"/>
    <n v="14000"/>
    <d v="2024-01-14T00:00:00"/>
  </r>
  <r>
    <s v="S1002"/>
    <s v="Sneha Gupta"/>
    <s v="C201"/>
    <s v="Data Analytics"/>
    <s v="B3"/>
    <s v="Saurabh"/>
    <s v="Tablet"/>
    <n v="14661"/>
    <s v="DISC15"/>
    <m/>
    <n v="14000"/>
    <d v="2024-01-27T00:00:00"/>
  </r>
  <r>
    <s v="S1003"/>
    <s v="Sneha Iyer"/>
    <s v="C203"/>
    <s v="Full Stack Dev"/>
    <s v="B1"/>
    <s v="Saurabh"/>
    <s v="Tablet"/>
    <n v="16731"/>
    <s v="DISC30"/>
    <n v="0.3"/>
    <n v="17000"/>
    <d v="2024-01-18T00:00:00"/>
  </r>
  <r>
    <s v="S1004"/>
    <s v="Karan Patil"/>
    <s v="C203"/>
    <s v="Full Stack Dev"/>
    <s v="B1"/>
    <s v="Saurabh"/>
    <s v="Mobile"/>
    <n v="15396"/>
    <s v="DISC30"/>
    <n v="0.3"/>
    <n v="17000"/>
    <d v="2024-02-24T00:00:00"/>
  </r>
  <r>
    <s v="S1005"/>
    <s v="Pooja Joshi"/>
    <s v="C203"/>
    <s v="Full Stack Dev"/>
    <s v="B1"/>
    <s v="Amit"/>
    <s v="Mobile"/>
    <n v="17196"/>
    <s v="DISC10"/>
    <n v="0.1"/>
    <n v="17000"/>
    <d v="2024-02-29T00:00:00"/>
  </r>
  <r>
    <s v="S1006"/>
    <s v="Rahul Shah"/>
    <s v="C203"/>
    <s v="Full Stack Dev"/>
    <s v="B3"/>
    <s v="Amit"/>
    <s v="Mobile"/>
    <n v="17364"/>
    <s v="DISC20"/>
    <n v="0.2"/>
    <n v="17000"/>
    <d v="2024-02-15T00:00:00"/>
  </r>
  <r>
    <s v="S1007"/>
    <s v="Riya Kulkarni"/>
    <s v="C202"/>
    <s v="Data Science"/>
    <s v="B2"/>
    <s v="Saurabh"/>
    <s v="Web"/>
    <n v="14549"/>
    <s v="DISC10"/>
    <n v="0.1"/>
    <n v="13000"/>
    <d v="2024-01-25T00:00:00"/>
  </r>
  <r>
    <s v="S1008"/>
    <s v="Aditya Iyer"/>
    <s v="C203"/>
    <s v="Full Stack Dev"/>
    <s v="B1"/>
    <s v="Priya"/>
    <s v="Mobile"/>
    <n v="15858"/>
    <s v="DISC30"/>
    <n v="0.3"/>
    <n v="17000"/>
    <d v="2024-02-14T00:00:00"/>
  </r>
  <r>
    <s v="S1009"/>
    <s v="Kunal Singh"/>
    <s v="C201"/>
    <s v="Data Analytics"/>
    <s v="B3"/>
    <s v="Amit"/>
    <s v="Web"/>
    <n v="14187"/>
    <s v="DISC20"/>
    <n v="0.2"/>
    <n v="14000"/>
    <d v="2024-01-11T00:00:00"/>
  </r>
  <r>
    <s v="S1010"/>
    <s v="Neha Verma"/>
    <s v="C203"/>
    <s v="Full Stack Dev"/>
    <s v="B3"/>
    <s v="Amit"/>
    <s v="Tablet"/>
    <n v="15899"/>
    <s v="DISC30"/>
    <n v="0.3"/>
    <n v="17000"/>
    <d v="2024-02-23T00:00:00"/>
  </r>
  <r>
    <s v="S1011"/>
    <s v="Dev Patel"/>
    <s v="C201"/>
    <s v="Data Analytics"/>
    <s v="B1"/>
    <s v="Saurabh"/>
    <s v="Mobile"/>
    <n v="13643"/>
    <s v="DISC30"/>
    <n v="0.3"/>
    <n v="14000"/>
    <d v="2024-01-05T00:00:00"/>
  </r>
  <r>
    <s v="S1012"/>
    <s v="Sneha Joshi"/>
    <s v="C203"/>
    <s v="Full Stack Dev"/>
    <s v="B1"/>
    <s v="Amit"/>
    <s v="Mobile"/>
    <n v="16620"/>
    <m/>
    <m/>
    <n v="17000"/>
    <d v="2024-01-10T00:00:00"/>
  </r>
  <r>
    <s v="S1013"/>
    <s v="Aditya Mehta"/>
    <s v="C202"/>
    <s v="Data Science"/>
    <s v="B3"/>
    <s v="Amit"/>
    <s v="Tablet"/>
    <n v="12076"/>
    <s v="DISC15"/>
    <m/>
    <n v="13000"/>
    <d v="2024-01-28T00:00:00"/>
  </r>
  <r>
    <s v="S1014"/>
    <s v="Kunal Joshi"/>
    <s v="C204"/>
    <s v="UI UX Design"/>
    <s v="B2"/>
    <s v="Saurabh"/>
    <s v="Web"/>
    <n v="9087"/>
    <m/>
    <m/>
    <n v="9000"/>
    <d v="2024-01-06T00:00:00"/>
  </r>
  <r>
    <s v="S1015"/>
    <s v="Dev Kulkarni"/>
    <s v="C201"/>
    <s v="Data Analytics"/>
    <s v="B1"/>
    <s v="Amit"/>
    <s v="Web"/>
    <n v="15244"/>
    <m/>
    <m/>
    <n v="14000"/>
    <d v="2024-02-08T00:00:00"/>
  </r>
  <r>
    <s v="S1016"/>
    <s v="Riya Verma"/>
    <s v="C204"/>
    <s v="UI UX Design"/>
    <s v="B3"/>
    <s v="Priya"/>
    <s v="Tablet"/>
    <n v="8029"/>
    <s v="DISC15"/>
    <m/>
    <n v="9000"/>
    <d v="2024-02-25T00:00:00"/>
  </r>
  <r>
    <s v="S1017"/>
    <s v="Aarav Singh"/>
    <s v="C201"/>
    <s v="Data Analytics"/>
    <s v="B3"/>
    <s v="Amit"/>
    <s v="Mobile"/>
    <n v="15148"/>
    <s v="DISC30"/>
    <n v="0.3"/>
    <n v="14000"/>
    <d v="2024-01-08T00:00:00"/>
  </r>
  <r>
    <s v="S1018"/>
    <s v="Aditya Verma"/>
    <s v="C202"/>
    <s v="Data Science"/>
    <s v="B2"/>
    <s v="Saurabh"/>
    <s v="Tablet"/>
    <n v="14587"/>
    <s v="DISC30"/>
    <n v="0.3"/>
    <n v="13000"/>
    <d v="2024-02-02T00:00:00"/>
  </r>
  <r>
    <s v="S1019"/>
    <s v="Dev Mehta"/>
    <s v="C201"/>
    <s v="Data Analytics"/>
    <s v="B3"/>
    <s v="Priya"/>
    <s v="Tablet"/>
    <n v="14079"/>
    <s v="DISC15"/>
    <m/>
    <n v="14000"/>
    <d v="2024-01-13T00:00:00"/>
  </r>
  <r>
    <s v="S1020"/>
    <s v="Karan Jain"/>
    <s v="C202"/>
    <s v="Data Science"/>
    <s v="B3"/>
    <s v="Amit"/>
    <s v="Web"/>
    <n v="13453"/>
    <s v="DISC30"/>
    <n v="0.3"/>
    <n v="13000"/>
    <d v="2024-02-01T00:00:00"/>
  </r>
  <r>
    <s v="S1021"/>
    <s v="Aarav Shah"/>
    <s v="C203"/>
    <s v="Full Stack Dev"/>
    <s v="B2"/>
    <s v="Saurabh"/>
    <s v="Web"/>
    <n v="15986"/>
    <s v="DISC15"/>
    <m/>
    <n v="17000"/>
    <d v="2024-03-01T00:00:00"/>
  </r>
  <r>
    <s v="S1022"/>
    <s v="Riya Shah"/>
    <s v="C204"/>
    <s v="UI UX Design"/>
    <s v="B1"/>
    <s v="Amit"/>
    <s v="Web"/>
    <n v="7525"/>
    <m/>
    <m/>
    <n v="9000"/>
    <d v="2024-03-01T00:00:00"/>
  </r>
  <r>
    <s v="S1023"/>
    <s v="Manish Mehta"/>
    <s v="C203"/>
    <s v="Full Stack Dev"/>
    <s v="B3"/>
    <s v="Amit"/>
    <s v="Mobile"/>
    <n v="18950"/>
    <s v="DISC20"/>
    <n v="0.2"/>
    <n v="17000"/>
    <d v="2024-02-29T00:00:00"/>
  </r>
  <r>
    <s v="S1024"/>
    <s v="Manish Patel"/>
    <s v="C202"/>
    <s v="Data Science"/>
    <s v="B3"/>
    <s v="Priya"/>
    <s v="Mobile"/>
    <n v="13751"/>
    <s v="DISC30"/>
    <n v="0.3"/>
    <n v="13000"/>
    <d v="2024-01-29T00:00:00"/>
  </r>
  <r>
    <s v="S1025"/>
    <s v="Kunal Gupta"/>
    <s v="C204"/>
    <s v="UI UX Design"/>
    <s v="B1"/>
    <s v="Saurabh"/>
    <s v="Web"/>
    <n v="7262"/>
    <s v="DISC30"/>
    <n v="0.3"/>
    <n v="9000"/>
    <d v="2024-01-02T00:00:00"/>
  </r>
  <r>
    <s v="S1026"/>
    <s v="Kavita Gupta"/>
    <s v="C202"/>
    <s v="Data Science"/>
    <s v="B3"/>
    <s v="Saurabh"/>
    <s v="Web"/>
    <n v="11290"/>
    <s v="DISC10"/>
    <n v="0.1"/>
    <n v="13000"/>
    <d v="2024-01-15T00:00:00"/>
  </r>
  <r>
    <s v="S1027"/>
    <s v="Riya Kulkarni"/>
    <s v="C203"/>
    <s v="Full Stack Dev"/>
    <s v="B1"/>
    <s v="Amit"/>
    <s v="Web"/>
    <n v="16140"/>
    <m/>
    <m/>
    <n v="17000"/>
    <d v="2024-01-14T00:00:00"/>
  </r>
  <r>
    <s v="S1028"/>
    <s v="Manish Mehta"/>
    <s v="C204"/>
    <s v="UI UX Design"/>
    <s v="B1"/>
    <s v="Priya"/>
    <s v="Mobile"/>
    <n v="7779"/>
    <s v="DISC10"/>
    <n v="0.1"/>
    <n v="9000"/>
    <d v="2024-01-07T00:00:00"/>
  </r>
  <r>
    <s v="S1029"/>
    <s v="Rohit Verma"/>
    <s v="C203"/>
    <s v="Full Stack Dev"/>
    <s v="B2"/>
    <s v="Priya"/>
    <s v="Mobile"/>
    <n v="18538"/>
    <s v="DISC10"/>
    <n v="0.1"/>
    <n v="17000"/>
    <d v="2024-02-13T00:00:00"/>
  </r>
  <r>
    <s v="S1030"/>
    <s v="Rohit Singh"/>
    <s v="C201"/>
    <s v="Data Analytics"/>
    <s v="B1"/>
    <s v="Priya"/>
    <s v="Tablet"/>
    <n v="13389"/>
    <s v="DISC10"/>
    <n v="0.1"/>
    <n v="14000"/>
    <d v="2024-01-16T00:00:00"/>
  </r>
  <r>
    <s v="S1031"/>
    <s v="Sneha Patil"/>
    <s v="C204"/>
    <s v="UI UX Design"/>
    <s v="B1"/>
    <s v="Priya"/>
    <s v="Web"/>
    <n v="8140"/>
    <m/>
    <m/>
    <n v="9000"/>
    <d v="2024-01-16T00:00:00"/>
  </r>
  <r>
    <s v="S1032"/>
    <s v="Meera Shah"/>
    <s v="C204"/>
    <s v="UI UX Design"/>
    <s v="B3"/>
    <s v="Saurabh"/>
    <s v="Web"/>
    <n v="9671"/>
    <s v="DISC15"/>
    <m/>
    <n v="9000"/>
    <d v="2024-02-23T00:00:00"/>
  </r>
  <r>
    <s v="S1033"/>
    <s v="Aarav Shah"/>
    <s v="C202"/>
    <s v="Data Science"/>
    <s v="B1"/>
    <s v="Priya"/>
    <s v="Mobile"/>
    <n v="12971"/>
    <s v="DISC20"/>
    <n v="0.2"/>
    <n v="13000"/>
    <d v="2024-02-25T00:00:00"/>
  </r>
  <r>
    <s v="S1034"/>
    <s v="Rahul Kulkarni"/>
    <s v="C202"/>
    <s v="Data Science"/>
    <s v="B2"/>
    <s v="Saurabh"/>
    <s v="Mobile"/>
    <n v="12086"/>
    <m/>
    <m/>
    <n v="13000"/>
    <d v="2024-01-19T00:00:00"/>
  </r>
  <r>
    <s v="S1035"/>
    <s v="Rahul Desai"/>
    <s v="C204"/>
    <s v="UI UX Design"/>
    <s v="B1"/>
    <s v="Saurabh"/>
    <s v="Mobile"/>
    <n v="7891"/>
    <s v="DISC10"/>
    <n v="0.1"/>
    <n v="9000"/>
    <d v="2024-02-07T00:00:00"/>
  </r>
  <r>
    <s v="S1036"/>
    <s v="Anjali Gupta"/>
    <s v="C201"/>
    <s v="Data Analytics"/>
    <s v="B3"/>
    <s v="Priya"/>
    <s v="Web"/>
    <n v="12205"/>
    <s v="DISC15"/>
    <m/>
    <n v="14000"/>
    <d v="2024-01-31T00:00:00"/>
  </r>
  <r>
    <s v="S1037"/>
    <s v="Manish Nair"/>
    <s v="C202"/>
    <s v="Data Science"/>
    <s v="B1"/>
    <s v="Amit"/>
    <s v="Web"/>
    <n v="14487"/>
    <s v="DISC20"/>
    <n v="0.2"/>
    <n v="13000"/>
    <d v="2024-01-05T00:00:00"/>
  </r>
  <r>
    <s v="S1038"/>
    <s v="Kavita Shah"/>
    <s v="C202"/>
    <s v="Data Science"/>
    <s v="B2"/>
    <s v="Saurabh"/>
    <s v="Tablet"/>
    <n v="12008"/>
    <s v="DISC15"/>
    <m/>
    <n v="13000"/>
    <d v="2024-02-08T00:00:00"/>
  </r>
  <r>
    <s v="S1039"/>
    <s v="Aarav Joshi"/>
    <s v="C201"/>
    <s v="Data Analytics"/>
    <s v="B2"/>
    <s v="Amit"/>
    <s v="Tablet"/>
    <n v="14315"/>
    <s v="DISC15"/>
    <m/>
    <n v="14000"/>
    <d v="2024-01-21T00:00:00"/>
  </r>
  <r>
    <s v="S1040"/>
    <s v="Kunal Rao"/>
    <s v="C202"/>
    <s v="Data Science"/>
    <s v="B3"/>
    <s v="Amit"/>
    <s v="Mobile"/>
    <n v="11977"/>
    <s v="DISC30"/>
    <n v="0.3"/>
    <n v="13000"/>
    <d v="2024-01-26T00:00:00"/>
  </r>
  <r>
    <s v="S1041"/>
    <s v="Karan Singh"/>
    <s v="C203"/>
    <s v="Full Stack Dev"/>
    <s v="B2"/>
    <s v="Priya"/>
    <s v="Web"/>
    <n v="15038"/>
    <m/>
    <m/>
    <n v="17000"/>
    <d v="2024-02-09T00:00:00"/>
  </r>
  <r>
    <s v="S1042"/>
    <s v="Kavita Shah"/>
    <s v="C201"/>
    <s v="Data Analytics"/>
    <s v="B3"/>
    <s v="Saurabh"/>
    <s v="Tablet"/>
    <n v="13086"/>
    <s v="DISC20"/>
    <n v="0.2"/>
    <n v="14000"/>
    <d v="2024-02-29T00:00:00"/>
  </r>
  <r>
    <s v="S1043"/>
    <s v="Pooja Shah"/>
    <s v="C202"/>
    <s v="Data Science"/>
    <s v="B2"/>
    <s v="Priya"/>
    <s v="Web"/>
    <n v="12794"/>
    <s v="DISC15"/>
    <m/>
    <n v="13000"/>
    <d v="2024-02-15T00:00:00"/>
  </r>
  <r>
    <s v="S1044"/>
    <s v="Aditya Joshi"/>
    <s v="C201"/>
    <s v="Data Analytics"/>
    <s v="B3"/>
    <s v="Amit"/>
    <s v="Mobile"/>
    <n v="15816"/>
    <s v="DISC10"/>
    <n v="0.1"/>
    <n v="14000"/>
    <d v="2024-03-01T00:00:00"/>
  </r>
  <r>
    <s v="S1045"/>
    <s v="Kunal Mehta"/>
    <s v="C203"/>
    <s v="Full Stack Dev"/>
    <s v="B1"/>
    <s v="Saurabh"/>
    <s v="Tablet"/>
    <n v="17266"/>
    <s v="DISC20"/>
    <n v="0.2"/>
    <n v="17000"/>
    <d v="2024-01-18T00:00:00"/>
  </r>
  <r>
    <s v="S1046"/>
    <s v="Aditya Joshi"/>
    <s v="C202"/>
    <s v="Data Science"/>
    <s v="B3"/>
    <s v="Priya"/>
    <s v="Web"/>
    <n v="13815"/>
    <s v="DISC30"/>
    <n v="0.3"/>
    <n v="13000"/>
    <d v="2024-02-02T00:00:00"/>
  </r>
  <r>
    <s v="S1047"/>
    <s v="Neha Rao"/>
    <s v="C201"/>
    <s v="Data Analytics"/>
    <s v="B1"/>
    <s v="Amit"/>
    <s v="Mobile"/>
    <n v="15397"/>
    <s v="DISC30"/>
    <n v="0.3"/>
    <n v="14000"/>
    <d v="2024-01-03T00:00:00"/>
  </r>
  <r>
    <s v="S1048"/>
    <s v="Aarav Jain"/>
    <s v="C202"/>
    <s v="Data Science"/>
    <s v="B3"/>
    <s v="Priya"/>
    <s v="Web"/>
    <n v="14036"/>
    <m/>
    <m/>
    <n v="13000"/>
    <d v="2024-02-05T00:00:00"/>
  </r>
  <r>
    <s v="S1049"/>
    <s v="Anjali Verma"/>
    <s v="C201"/>
    <s v="Data Analytics"/>
    <s v="B1"/>
    <s v="Saurabh"/>
    <s v="Tablet"/>
    <n v="15702"/>
    <s v="DISC20"/>
    <n v="0.2"/>
    <n v="14000"/>
    <d v="2024-02-04T00:00:00"/>
  </r>
  <r>
    <s v="S1050"/>
    <s v="Aarav Nair"/>
    <s v="C203"/>
    <s v="Full Stack Dev"/>
    <s v="B3"/>
    <s v="Amit"/>
    <s v="Web"/>
    <n v="16760"/>
    <s v="DISC20"/>
    <n v="0.2"/>
    <n v="17000"/>
    <d v="2024-01-03T00:00:00"/>
  </r>
  <r>
    <s v="S1051"/>
    <s v="Aditya Jain"/>
    <s v="C201"/>
    <s v="Data Analytics"/>
    <s v="B2"/>
    <s v="Saurabh"/>
    <s v="Tablet"/>
    <n v="13022"/>
    <s v="DISC10"/>
    <n v="0.1"/>
    <n v="14000"/>
    <d v="2024-01-23T00:00:00"/>
  </r>
  <r>
    <s v="S1052"/>
    <s v="Dev Gupta"/>
    <s v="C204"/>
    <s v="UI UX Design"/>
    <s v="B3"/>
    <s v="Amit"/>
    <s v="Web"/>
    <n v="10791"/>
    <s v="DISC20"/>
    <n v="0.2"/>
    <n v="9000"/>
    <d v="2024-02-25T00:00:00"/>
  </r>
  <r>
    <s v="S1053"/>
    <s v="Karan Patel"/>
    <s v="C202"/>
    <s v="Data Science"/>
    <s v="B2"/>
    <s v="Saurabh"/>
    <s v="Web"/>
    <n v="14016"/>
    <s v="DISC30"/>
    <n v="0.3"/>
    <n v="13000"/>
    <d v="2024-02-20T00:00:00"/>
  </r>
  <r>
    <s v="S1054"/>
    <s v="Kunal Verma"/>
    <s v="C202"/>
    <s v="Data Science"/>
    <s v="B2"/>
    <s v="Saurabh"/>
    <s v="Tablet"/>
    <n v="11442"/>
    <m/>
    <m/>
    <n v="13000"/>
    <d v="2024-02-25T00:00:00"/>
  </r>
  <r>
    <s v="S1055"/>
    <s v="Aarav Nair"/>
    <s v="C204"/>
    <s v="UI UX Design"/>
    <s v="B1"/>
    <s v="Saurabh"/>
    <s v="Mobile"/>
    <n v="8432"/>
    <s v="DISC30"/>
    <n v="0.3"/>
    <n v="9000"/>
    <d v="2024-02-22T00:00:00"/>
  </r>
  <r>
    <s v="S1056"/>
    <s v="Dev Nair"/>
    <s v="C202"/>
    <s v="Data Science"/>
    <s v="B1"/>
    <s v="Saurabh"/>
    <s v="Tablet"/>
    <n v="11791"/>
    <m/>
    <m/>
    <n v="13000"/>
    <d v="2024-01-22T00:00:00"/>
  </r>
  <r>
    <s v="S1057"/>
    <s v="Aditya Nair"/>
    <s v="C201"/>
    <s v="Data Analytics"/>
    <s v="B2"/>
    <s v="Priya"/>
    <s v="Tablet"/>
    <n v="14086"/>
    <m/>
    <m/>
    <n v="14000"/>
    <d v="2024-02-13T00:00:00"/>
  </r>
  <r>
    <s v="S1058"/>
    <s v="Meera Gupta"/>
    <s v="C203"/>
    <s v="Full Stack Dev"/>
    <s v="B1"/>
    <s v="Saurabh"/>
    <s v="Mobile"/>
    <n v="15731"/>
    <s v="DISC15"/>
    <m/>
    <n v="17000"/>
    <d v="2024-01-17T00:00:00"/>
  </r>
  <r>
    <s v="S1059"/>
    <s v="Aarav Shah"/>
    <s v="C204"/>
    <s v="UI UX Design"/>
    <s v="B2"/>
    <s v="Amit"/>
    <s v="Mobile"/>
    <n v="8787"/>
    <s v="DISC15"/>
    <m/>
    <n v="9000"/>
    <d v="2024-02-02T00:00:00"/>
  </r>
  <r>
    <s v="S1060"/>
    <s v="Riya Verma"/>
    <s v="C202"/>
    <s v="Data Science"/>
    <s v="B2"/>
    <s v="Saurabh"/>
    <s v="Tablet"/>
    <n v="12786"/>
    <s v="DISC10"/>
    <n v="0.1"/>
    <n v="13000"/>
    <d v="2024-02-03T00:00:00"/>
  </r>
  <r>
    <s v="S1061"/>
    <s v="Kunal Patel"/>
    <s v="C202"/>
    <s v="Data Science"/>
    <s v="B2"/>
    <s v="Priya"/>
    <s v="Web"/>
    <n v="14886"/>
    <s v="DISC30"/>
    <n v="0.3"/>
    <n v="13000"/>
    <d v="2024-02-09T00:00:00"/>
  </r>
  <r>
    <s v="S1062"/>
    <s v="Pooja Singh"/>
    <s v="C201"/>
    <s v="Data Analytics"/>
    <s v="B3"/>
    <s v="Priya"/>
    <s v="Tablet"/>
    <n v="13266"/>
    <m/>
    <m/>
    <n v="14000"/>
    <d v="2024-01-21T00:00:00"/>
  </r>
  <r>
    <s v="S1063"/>
    <s v="Rahul Desai"/>
    <s v="C203"/>
    <s v="Full Stack Dev"/>
    <s v="B3"/>
    <s v="Saurabh"/>
    <s v="Web"/>
    <n v="16722"/>
    <m/>
    <m/>
    <n v="17000"/>
    <d v="2024-02-13T00:00:00"/>
  </r>
  <r>
    <s v="S1064"/>
    <s v="Anjali Mehta"/>
    <s v="C203"/>
    <s v="Full Stack Dev"/>
    <s v="B2"/>
    <s v="Amit"/>
    <s v="Web"/>
    <n v="16244"/>
    <s v="DISC30"/>
    <n v="0.3"/>
    <n v="17000"/>
    <d v="2024-01-14T00:00:00"/>
  </r>
  <r>
    <s v="S1065"/>
    <s v="Rahul Patel"/>
    <s v="C203"/>
    <s v="Full Stack Dev"/>
    <s v="B2"/>
    <s v="Priya"/>
    <s v="Mobile"/>
    <n v="17767"/>
    <s v="DISC20"/>
    <n v="0.2"/>
    <n v="17000"/>
    <d v="2024-02-02T00:00:00"/>
  </r>
  <r>
    <s v="S1066"/>
    <s v="Neha Patel"/>
    <s v="C202"/>
    <s v="Data Science"/>
    <s v="B3"/>
    <s v="Saurabh"/>
    <s v="Mobile"/>
    <n v="13111"/>
    <s v="DISC15"/>
    <m/>
    <n v="13000"/>
    <d v="2024-01-22T00:00:00"/>
  </r>
  <r>
    <s v="S1067"/>
    <s v="Riya Nair"/>
    <s v="C202"/>
    <s v="Data Science"/>
    <s v="B3"/>
    <s v="Priya"/>
    <s v="Web"/>
    <n v="14303"/>
    <s v="DISC20"/>
    <n v="0.2"/>
    <n v="13000"/>
    <d v="2024-01-10T00:00:00"/>
  </r>
  <r>
    <s v="S1068"/>
    <s v="Aarav Kulkarni"/>
    <s v="C202"/>
    <s v="Data Science"/>
    <s v="B2"/>
    <s v="Amit"/>
    <s v="Web"/>
    <n v="12865"/>
    <m/>
    <m/>
    <n v="13000"/>
    <d v="2024-02-26T00:00:00"/>
  </r>
  <r>
    <s v="S1069"/>
    <s v="Rohit Joshi"/>
    <s v="C202"/>
    <s v="Data Science"/>
    <s v="B3"/>
    <s v="Amit"/>
    <s v="Mobile"/>
    <n v="13024"/>
    <m/>
    <m/>
    <n v="13000"/>
    <d v="2024-01-16T00:00:00"/>
  </r>
  <r>
    <s v="S1070"/>
    <s v="Karan Singh"/>
    <s v="C201"/>
    <s v="Data Analytics"/>
    <s v="B1"/>
    <s v="Priya"/>
    <s v="Web"/>
    <n v="12720"/>
    <s v="DISC15"/>
    <m/>
    <n v="14000"/>
    <d v="2024-01-30T00:00:00"/>
  </r>
  <r>
    <s v="S1071"/>
    <s v="Aarav Gupta"/>
    <s v="C202"/>
    <s v="Data Science"/>
    <s v="B1"/>
    <s v="Priya"/>
    <s v="Web"/>
    <n v="14282"/>
    <m/>
    <m/>
    <n v="13000"/>
    <d v="2024-02-12T00:00:00"/>
  </r>
  <r>
    <s v="S1072"/>
    <s v="Manish Gupta"/>
    <s v="C203"/>
    <s v="Full Stack Dev"/>
    <s v="B2"/>
    <s v="Amit"/>
    <s v="Tablet"/>
    <n v="18653"/>
    <s v="DISC15"/>
    <m/>
    <n v="17000"/>
    <d v="2024-01-28T00:00:00"/>
  </r>
  <r>
    <s v="S1073"/>
    <s v="Meera Gupta"/>
    <s v="C204"/>
    <s v="UI UX Design"/>
    <s v="B1"/>
    <s v="Amit"/>
    <s v="Mobile"/>
    <n v="8843"/>
    <s v="DISC30"/>
    <n v="0.3"/>
    <n v="9000"/>
    <d v="2024-02-18T00:00:00"/>
  </r>
  <r>
    <s v="S1074"/>
    <s v="Sneha Nair"/>
    <s v="C203"/>
    <s v="Full Stack Dev"/>
    <s v="B3"/>
    <s v="Priya"/>
    <s v="Tablet"/>
    <n v="15979"/>
    <s v="DISC30"/>
    <n v="0.3"/>
    <n v="17000"/>
    <d v="2024-01-29T00:00:00"/>
  </r>
  <r>
    <s v="S1075"/>
    <s v="Riya Desai"/>
    <s v="C203"/>
    <s v="Full Stack Dev"/>
    <s v="B1"/>
    <s v="Priya"/>
    <s v="Mobile"/>
    <n v="16309"/>
    <s v="DISC15"/>
    <m/>
    <n v="17000"/>
    <d v="2024-01-06T00:00:00"/>
  </r>
  <r>
    <s v="S1076"/>
    <s v="Karan Mehta"/>
    <s v="C202"/>
    <s v="Data Science"/>
    <s v="B2"/>
    <s v="Amit"/>
    <s v="Web"/>
    <n v="13893"/>
    <s v="DISC20"/>
    <n v="0.2"/>
    <n v="13000"/>
    <d v="2024-01-05T00:00:00"/>
  </r>
  <r>
    <s v="S1077"/>
    <s v="Rahul Verma"/>
    <s v="C203"/>
    <s v="Full Stack Dev"/>
    <s v="B3"/>
    <s v="Priya"/>
    <s v="Mobile"/>
    <n v="15255"/>
    <s v="DISC20"/>
    <n v="0.2"/>
    <n v="17000"/>
    <d v="2024-02-23T00:00:00"/>
  </r>
  <r>
    <s v="S1078"/>
    <s v="Rahul Verma"/>
    <s v="C201"/>
    <s v="Data Analytics"/>
    <s v="B3"/>
    <s v="Priya"/>
    <s v="Mobile"/>
    <n v="12024"/>
    <s v="DISC30"/>
    <n v="0.3"/>
    <n v="14000"/>
    <d v="2024-01-20T00:00:00"/>
  </r>
  <r>
    <s v="S1079"/>
    <s v="Dev Verma"/>
    <s v="C204"/>
    <s v="UI UX Design"/>
    <s v="B3"/>
    <s v="Amit"/>
    <s v="Tablet"/>
    <n v="9236"/>
    <s v="DISC15"/>
    <m/>
    <n v="9000"/>
    <d v="2024-02-27T00:00:00"/>
  </r>
  <r>
    <s v="S1080"/>
    <s v="Sneha Iyer"/>
    <s v="C202"/>
    <s v="Data Science"/>
    <s v="B2"/>
    <s v="Priya"/>
    <s v="Mobile"/>
    <n v="11118"/>
    <m/>
    <m/>
    <n v="13000"/>
    <d v="2024-01-22T00:00:00"/>
  </r>
  <r>
    <s v="S1081"/>
    <s v="Rohit Singh"/>
    <s v="C204"/>
    <s v="UI UX Design"/>
    <s v="B3"/>
    <s v="Saurabh"/>
    <s v="Mobile"/>
    <n v="10766"/>
    <s v="DISC20"/>
    <n v="0.2"/>
    <n v="9000"/>
    <d v="2024-02-09T00:00:00"/>
  </r>
  <r>
    <s v="S1082"/>
    <s v="Manish Kulkarni"/>
    <s v="C204"/>
    <s v="UI UX Design"/>
    <s v="B3"/>
    <s v="Amit"/>
    <s v="Tablet"/>
    <n v="7111"/>
    <s v="DISC10"/>
    <n v="0.1"/>
    <n v="9000"/>
    <d v="2024-02-11T00:00:00"/>
  </r>
  <r>
    <s v="S1083"/>
    <s v="Rahul Mehta"/>
    <s v="C204"/>
    <s v="UI UX Design"/>
    <s v="B1"/>
    <s v="Saurabh"/>
    <s v="Mobile"/>
    <n v="8552"/>
    <s v="DISC30"/>
    <n v="0.3"/>
    <n v="9000"/>
    <d v="2024-01-14T00:00:00"/>
  </r>
  <r>
    <s v="S1084"/>
    <s v="Neha Jain"/>
    <s v="C203"/>
    <s v="Full Stack Dev"/>
    <s v="B2"/>
    <s v="Priya"/>
    <s v="Mobile"/>
    <n v="16033"/>
    <s v="DISC10"/>
    <n v="0.1"/>
    <n v="17000"/>
    <d v="2024-01-31T00:00:00"/>
  </r>
  <r>
    <s v="S1085"/>
    <s v="Aarav Desai"/>
    <s v="C201"/>
    <s v="Data Analytics"/>
    <s v="B2"/>
    <s v="Saurabh"/>
    <s v="Tablet"/>
    <n v="12281"/>
    <s v="DISC10"/>
    <n v="0.1"/>
    <n v="14000"/>
    <d v="2024-02-18T00:00:00"/>
  </r>
  <r>
    <s v="S1086"/>
    <s v="Aarav Patil"/>
    <s v="C202"/>
    <s v="Data Science"/>
    <s v="B1"/>
    <s v="Amit"/>
    <s v="Web"/>
    <n v="11977"/>
    <s v="DISC20"/>
    <n v="0.2"/>
    <n v="13000"/>
    <d v="2024-01-31T00:00:00"/>
  </r>
  <r>
    <s v="S1087"/>
    <s v="Rohit Shah"/>
    <s v="C202"/>
    <s v="Data Science"/>
    <s v="B2"/>
    <s v="Amit"/>
    <s v="Mobile"/>
    <n v="14141"/>
    <s v="DISC30"/>
    <n v="0.3"/>
    <n v="13000"/>
    <d v="2024-01-11T00:00:00"/>
  </r>
  <r>
    <s v="S1088"/>
    <s v="Kavita Joshi"/>
    <s v="C201"/>
    <s v="Data Analytics"/>
    <s v="B1"/>
    <s v="Priya"/>
    <s v="Web"/>
    <n v="14370"/>
    <s v="DISC10"/>
    <n v="0.1"/>
    <n v="14000"/>
    <d v="2024-02-29T00:00:00"/>
  </r>
  <r>
    <s v="S1089"/>
    <s v="Aditya Joshi"/>
    <s v="C204"/>
    <s v="UI UX Design"/>
    <s v="B2"/>
    <s v="Amit"/>
    <s v="Web"/>
    <n v="7311"/>
    <s v="DISC15"/>
    <m/>
    <n v="9000"/>
    <d v="2024-02-14T00:00:00"/>
  </r>
  <r>
    <s v="S1090"/>
    <s v="Meera Singh"/>
    <s v="C202"/>
    <s v="Data Science"/>
    <s v="B1"/>
    <s v="Amit"/>
    <s v="Mobile"/>
    <n v="14482"/>
    <s v="DISC15"/>
    <m/>
    <n v="13000"/>
    <d v="2024-02-21T00:00:00"/>
  </r>
  <r>
    <s v="S1091"/>
    <s v="Riya Patel"/>
    <s v="C201"/>
    <s v="Data Analytics"/>
    <s v="B2"/>
    <s v="Amit"/>
    <s v="Mobile"/>
    <n v="14709"/>
    <s v="DISC30"/>
    <n v="0.3"/>
    <n v="14000"/>
    <d v="2024-01-05T00:00:00"/>
  </r>
  <r>
    <s v="S1092"/>
    <s v="Manish Singh"/>
    <s v="C203"/>
    <s v="Full Stack Dev"/>
    <s v="B1"/>
    <s v="Priya"/>
    <s v="Mobile"/>
    <n v="15432"/>
    <m/>
    <m/>
    <n v="17000"/>
    <d v="2024-01-24T00:00:00"/>
  </r>
  <r>
    <s v="S1093"/>
    <s v="Rohit Nair"/>
    <s v="C204"/>
    <s v="UI UX Design"/>
    <s v="B3"/>
    <s v="Saurabh"/>
    <s v="Mobile"/>
    <n v="7721"/>
    <s v="DISC15"/>
    <m/>
    <n v="9000"/>
    <d v="2024-02-11T00:00:00"/>
  </r>
  <r>
    <s v="S1094"/>
    <s v="Aditya Joshi"/>
    <s v="C204"/>
    <s v="UI UX Design"/>
    <s v="B2"/>
    <s v="Priya"/>
    <s v="Tablet"/>
    <n v="9426"/>
    <s v="DISC30"/>
    <n v="0.3"/>
    <n v="9000"/>
    <d v="2024-01-21T00:00:00"/>
  </r>
  <r>
    <s v="S1095"/>
    <s v="Meera Patil"/>
    <s v="C201"/>
    <s v="Data Analytics"/>
    <s v="B2"/>
    <s v="Priya"/>
    <s v="Web"/>
    <n v="15073"/>
    <m/>
    <m/>
    <n v="14000"/>
    <d v="2024-02-06T00:00:00"/>
  </r>
  <r>
    <s v="S1096"/>
    <s v="Kavita Singh"/>
    <s v="C204"/>
    <s v="UI UX Design"/>
    <s v="B2"/>
    <s v="Saurabh"/>
    <s v="Mobile"/>
    <n v="10485"/>
    <s v="DISC30"/>
    <n v="0.3"/>
    <n v="9000"/>
    <d v="2024-01-12T00:00:00"/>
  </r>
  <r>
    <s v="S1097"/>
    <s v="Neha Patil"/>
    <s v="C203"/>
    <s v="Full Stack Dev"/>
    <s v="B2"/>
    <s v="Priya"/>
    <s v="Mobile"/>
    <n v="18605"/>
    <s v="DISC15"/>
    <m/>
    <n v="17000"/>
    <d v="2024-02-14T00:00:00"/>
  </r>
  <r>
    <s v="S1098"/>
    <s v="Kunal Rao"/>
    <s v="C201"/>
    <s v="Data Analytics"/>
    <s v="B3"/>
    <s v="Saurabh"/>
    <s v="Web"/>
    <n v="12988"/>
    <m/>
    <m/>
    <n v="14000"/>
    <d v="2024-02-01T00:00:00"/>
  </r>
  <r>
    <s v="S1099"/>
    <s v="Manish Patel"/>
    <s v="C202"/>
    <s v="Data Science"/>
    <s v="B3"/>
    <s v="Priya"/>
    <s v="Tablet"/>
    <n v="13915"/>
    <m/>
    <m/>
    <n v="13000"/>
    <d v="2024-01-29T00:00:00"/>
  </r>
  <r>
    <s v="S1100"/>
    <s v="Dev Kulkarni"/>
    <s v="C201"/>
    <s v="Data Analytics"/>
    <s v="B2"/>
    <s v="Saurabh"/>
    <s v="Mobile"/>
    <n v="14833"/>
    <s v="DISC20"/>
    <n v="0.2"/>
    <n v="14000"/>
    <d v="2024-01-20T00:00:00"/>
  </r>
  <r>
    <s v="S1101"/>
    <s v="Rohit Joshi"/>
    <s v="C203"/>
    <s v="Full Stack Dev"/>
    <s v="B2"/>
    <s v="Amit"/>
    <s v="Tablet"/>
    <n v="16408"/>
    <m/>
    <m/>
    <n v="17000"/>
    <d v="2024-02-17T00:00:00"/>
  </r>
  <r>
    <s v="S1102"/>
    <s v="Manish Jain"/>
    <s v="C203"/>
    <s v="Full Stack Dev"/>
    <s v="B3"/>
    <s v="Priya"/>
    <s v="Mobile"/>
    <n v="16255"/>
    <s v="DISC30"/>
    <n v="0.3"/>
    <n v="17000"/>
    <d v="2024-01-15T00:00:00"/>
  </r>
  <r>
    <s v="S1103"/>
    <s v="Riya Desai"/>
    <s v="C202"/>
    <s v="Data Science"/>
    <s v="B2"/>
    <s v="Saurabh"/>
    <s v="Tablet"/>
    <n v="13194"/>
    <s v="DISC20"/>
    <n v="0.2"/>
    <n v="13000"/>
    <d v="2024-01-13T00:00:00"/>
  </r>
  <r>
    <s v="S1104"/>
    <s v="Sneha Desai"/>
    <s v="C204"/>
    <s v="UI UX Design"/>
    <s v="B2"/>
    <s v="Amit"/>
    <s v="Tablet"/>
    <n v="11000"/>
    <s v="DISC15"/>
    <m/>
    <n v="9000"/>
    <d v="2024-02-08T00:00:00"/>
  </r>
  <r>
    <s v="S1105"/>
    <s v="Aditya Shah"/>
    <s v="C202"/>
    <s v="Data Science"/>
    <s v="B2"/>
    <s v="Saurabh"/>
    <s v="Mobile"/>
    <n v="11734"/>
    <s v="DISC30"/>
    <n v="0.3"/>
    <n v="13000"/>
    <d v="2024-01-01T00:00:00"/>
  </r>
  <r>
    <s v="S1106"/>
    <s v="Anjali Gupta"/>
    <s v="C202"/>
    <s v="Data Science"/>
    <s v="B2"/>
    <s v="Saurabh"/>
    <s v="Web"/>
    <n v="13266"/>
    <s v="DISC30"/>
    <n v="0.3"/>
    <n v="13000"/>
    <d v="2024-02-14T00:00:00"/>
  </r>
  <r>
    <s v="S1107"/>
    <s v="Karan Singh"/>
    <s v="C204"/>
    <s v="UI UX Design"/>
    <s v="B1"/>
    <s v="Saurabh"/>
    <s v="Tablet"/>
    <n v="8164"/>
    <m/>
    <m/>
    <n v="9000"/>
    <d v="2024-01-31T00:00:00"/>
  </r>
  <r>
    <s v="S1108"/>
    <s v="Neha Jain"/>
    <s v="C202"/>
    <s v="Data Science"/>
    <s v="B1"/>
    <s v="Priya"/>
    <s v="Mobile"/>
    <n v="11467"/>
    <s v="DISC10"/>
    <n v="0.1"/>
    <n v="13000"/>
    <d v="2024-01-26T00:00:00"/>
  </r>
  <r>
    <s v="S1109"/>
    <s v="Neha Shah"/>
    <s v="C201"/>
    <s v="Data Analytics"/>
    <s v="B1"/>
    <s v="Saurabh"/>
    <s v="Tablet"/>
    <n v="15887"/>
    <s v="DISC30"/>
    <n v="0.3"/>
    <n v="14000"/>
    <d v="2024-01-06T00:00:00"/>
  </r>
  <r>
    <s v="S1110"/>
    <s v="Sneha Shah"/>
    <s v="C204"/>
    <s v="UI UX Design"/>
    <s v="B3"/>
    <s v="Amit"/>
    <s v="Tablet"/>
    <n v="7924"/>
    <s v="DISC15"/>
    <m/>
    <n v="9000"/>
    <d v="2024-01-25T00:00:00"/>
  </r>
  <r>
    <s v="S1111"/>
    <s v="Neha Iyer"/>
    <s v="C203"/>
    <s v="Full Stack Dev"/>
    <s v="B3"/>
    <s v="Priya"/>
    <s v="Mobile"/>
    <n v="17329"/>
    <s v="DISC15"/>
    <m/>
    <n v="17000"/>
    <d v="2024-01-04T00:00:00"/>
  </r>
  <r>
    <s v="S1112"/>
    <s v="Kavita Desai"/>
    <s v="C201"/>
    <s v="Data Analytics"/>
    <s v="B1"/>
    <s v="Amit"/>
    <s v="Web"/>
    <n v="13083"/>
    <s v="DISC10"/>
    <n v="0.1"/>
    <n v="14000"/>
    <d v="2024-01-11T00:00:00"/>
  </r>
  <r>
    <s v="S1113"/>
    <s v="Sneha Mehta"/>
    <s v="C201"/>
    <s v="Data Analytics"/>
    <s v="B1"/>
    <s v="Saurabh"/>
    <s v="Mobile"/>
    <n v="13845"/>
    <s v="DISC15"/>
    <m/>
    <n v="14000"/>
    <d v="2024-01-31T00:00:00"/>
  </r>
  <r>
    <s v="S1114"/>
    <s v="Aditya Kulkarni"/>
    <s v="C202"/>
    <s v="Data Science"/>
    <s v="B2"/>
    <s v="Amit"/>
    <s v="Mobile"/>
    <n v="13879"/>
    <m/>
    <m/>
    <n v="13000"/>
    <d v="2024-01-05T00:00:00"/>
  </r>
  <r>
    <s v="S1115"/>
    <s v="Rohit Patil"/>
    <s v="C203"/>
    <s v="Full Stack Dev"/>
    <s v="B3"/>
    <s v="Amit"/>
    <s v="Tablet"/>
    <n v="18292"/>
    <s v="DISC20"/>
    <n v="0.2"/>
    <n v="17000"/>
    <d v="2024-01-28T00:00:00"/>
  </r>
  <r>
    <s v="S1116"/>
    <s v="Riya Gupta"/>
    <s v="C202"/>
    <s v="Data Science"/>
    <s v="B3"/>
    <s v="Saurabh"/>
    <s v="Mobile"/>
    <n v="14385"/>
    <s v="DISC20"/>
    <n v="0.2"/>
    <n v="13000"/>
    <d v="2024-01-05T00:00:00"/>
  </r>
  <r>
    <s v="S1117"/>
    <s v="Aarav Mehta"/>
    <s v="C203"/>
    <s v="Full Stack Dev"/>
    <s v="B3"/>
    <s v="Amit"/>
    <s v="Tablet"/>
    <n v="18773"/>
    <s v="DISC30"/>
    <n v="0.3"/>
    <n v="17000"/>
    <d v="2024-01-29T00:00:00"/>
  </r>
  <r>
    <s v="S1118"/>
    <s v="Riya Iyer"/>
    <s v="C203"/>
    <s v="Full Stack Dev"/>
    <s v="B3"/>
    <s v="Priya"/>
    <s v="Mobile"/>
    <n v="17049"/>
    <s v="DISC15"/>
    <m/>
    <n v="17000"/>
    <d v="2024-02-01T00:00:00"/>
  </r>
  <r>
    <s v="S1119"/>
    <s v="Neha Shah"/>
    <s v="C201"/>
    <s v="Data Analytics"/>
    <s v="B2"/>
    <s v="Amit"/>
    <s v="Mobile"/>
    <n v="14472"/>
    <s v="DISC30"/>
    <n v="0.3"/>
    <n v="14000"/>
    <d v="2024-01-02T00:00:00"/>
  </r>
  <r>
    <s v="S1120"/>
    <s v="Riya Patil"/>
    <s v="C201"/>
    <s v="Data Analytics"/>
    <s v="B3"/>
    <s v="Priya"/>
    <s v="Tablet"/>
    <n v="12164"/>
    <s v="DISC20"/>
    <n v="0.2"/>
    <n v="14000"/>
    <d v="2024-01-31T00:00:00"/>
  </r>
  <r>
    <s v="S1121"/>
    <s v="Manish Singh"/>
    <s v="C204"/>
    <s v="UI UX Design"/>
    <s v="B2"/>
    <s v="Saurabh"/>
    <s v="Tablet"/>
    <n v="8785"/>
    <m/>
    <m/>
    <n v="9000"/>
    <d v="2024-01-06T00:00:00"/>
  </r>
  <r>
    <s v="S1122"/>
    <s v="Neha Jain"/>
    <s v="C204"/>
    <s v="UI UX Design"/>
    <s v="B2"/>
    <s v="Priya"/>
    <s v="Tablet"/>
    <n v="7428"/>
    <s v="DISC20"/>
    <n v="0.2"/>
    <n v="9000"/>
    <d v="2024-01-22T00:00:00"/>
  </r>
  <r>
    <s v="S1123"/>
    <s v="Rahul Desai"/>
    <s v="C204"/>
    <s v="UI UX Design"/>
    <s v="B2"/>
    <s v="Amit"/>
    <s v="Mobile"/>
    <n v="10332"/>
    <s v="DISC15"/>
    <m/>
    <n v="9000"/>
    <d v="2024-01-03T00:00:00"/>
  </r>
  <r>
    <s v="S1124"/>
    <s v="Neha Shah"/>
    <s v="C203"/>
    <s v="Full Stack Dev"/>
    <s v="B2"/>
    <s v="Priya"/>
    <s v="Web"/>
    <n v="18973"/>
    <m/>
    <m/>
    <n v="17000"/>
    <d v="2024-02-25T00:00:00"/>
  </r>
  <r>
    <s v="S1125"/>
    <s v="Manish Nair"/>
    <s v="C201"/>
    <s v="Data Analytics"/>
    <s v="B3"/>
    <s v="Amit"/>
    <s v="Mobile"/>
    <n v="13692"/>
    <s v="DISC10"/>
    <n v="0.1"/>
    <n v="14000"/>
    <d v="2024-01-13T00:00:00"/>
  </r>
  <r>
    <s v="S1126"/>
    <s v="Manish Jain"/>
    <s v="C204"/>
    <s v="UI UX Design"/>
    <s v="B3"/>
    <s v="Priya"/>
    <s v="Web"/>
    <n v="7833"/>
    <s v="DISC30"/>
    <n v="0.3"/>
    <n v="9000"/>
    <d v="2024-02-05T00:00:00"/>
  </r>
  <r>
    <s v="S1127"/>
    <s v="Karan Rao"/>
    <s v="C204"/>
    <s v="UI UX Design"/>
    <s v="B3"/>
    <s v="Priya"/>
    <s v="Web"/>
    <n v="7118"/>
    <s v="DISC15"/>
    <m/>
    <n v="9000"/>
    <d v="2024-02-21T00:00:00"/>
  </r>
  <r>
    <s v="S1128"/>
    <s v="Sneha Desai"/>
    <s v="C202"/>
    <s v="Data Science"/>
    <s v="B2"/>
    <s v="Amit"/>
    <s v="Web"/>
    <n v="13262"/>
    <m/>
    <m/>
    <n v="13000"/>
    <d v="2024-01-06T00:00:00"/>
  </r>
  <r>
    <s v="S1129"/>
    <s v="Sneha Nair"/>
    <s v="C201"/>
    <s v="Data Analytics"/>
    <s v="B2"/>
    <s v="Saurabh"/>
    <s v="Tablet"/>
    <n v="15408"/>
    <s v="DISC20"/>
    <n v="0.2"/>
    <n v="14000"/>
    <d v="2024-02-01T00:00:00"/>
  </r>
  <r>
    <s v="S1130"/>
    <s v="Kunal Desai"/>
    <s v="C203"/>
    <s v="Full Stack Dev"/>
    <s v="B3"/>
    <s v="Amit"/>
    <s v="Mobile"/>
    <n v="16701"/>
    <m/>
    <m/>
    <n v="17000"/>
    <d v="2024-01-31T00:00:00"/>
  </r>
  <r>
    <s v="S1131"/>
    <s v="Sneha Iyer"/>
    <s v="C202"/>
    <s v="Data Science"/>
    <s v="B2"/>
    <s v="Saurabh"/>
    <s v="Tablet"/>
    <n v="13081"/>
    <s v="DISC20"/>
    <n v="0.2"/>
    <n v="13000"/>
    <d v="2024-02-25T00:00:00"/>
  </r>
  <r>
    <s v="S1132"/>
    <s v="Riya Rao"/>
    <s v="C204"/>
    <s v="UI UX Design"/>
    <s v="B2"/>
    <s v="Amit"/>
    <s v="Mobile"/>
    <n v="10360"/>
    <s v="DISC10"/>
    <n v="0.1"/>
    <n v="9000"/>
    <d v="2024-01-19T00:00:00"/>
  </r>
  <r>
    <s v="S1133"/>
    <s v="Anjali Rao"/>
    <s v="C204"/>
    <s v="UI UX Design"/>
    <s v="B1"/>
    <s v="Priya"/>
    <s v="Tablet"/>
    <n v="8983"/>
    <s v="DISC30"/>
    <n v="0.3"/>
    <n v="9000"/>
    <d v="2024-01-22T00:00:00"/>
  </r>
  <r>
    <s v="S1134"/>
    <s v="Manish Patel"/>
    <s v="C204"/>
    <s v="UI UX Design"/>
    <s v="B2"/>
    <s v="Priya"/>
    <s v="Web"/>
    <n v="9856"/>
    <s v="DISC20"/>
    <n v="0.2"/>
    <n v="9000"/>
    <d v="2024-02-06T00:00:00"/>
  </r>
  <r>
    <s v="S1135"/>
    <s v="Rahul Patil"/>
    <s v="C204"/>
    <s v="UI UX Design"/>
    <s v="B1"/>
    <s v="Priya"/>
    <s v="Tablet"/>
    <n v="8937"/>
    <m/>
    <m/>
    <n v="9000"/>
    <d v="2024-01-25T00:00:00"/>
  </r>
  <r>
    <s v="S1136"/>
    <s v="Rohit Patel"/>
    <s v="C202"/>
    <s v="Data Science"/>
    <s v="B2"/>
    <s v="Saurabh"/>
    <s v="Web"/>
    <n v="13057"/>
    <s v="DISC15"/>
    <m/>
    <n v="13000"/>
    <d v="2024-01-22T00:00:00"/>
  </r>
  <r>
    <s v="S1137"/>
    <s v="Meera Shah"/>
    <s v="C204"/>
    <s v="UI UX Design"/>
    <s v="B1"/>
    <s v="Amit"/>
    <s v="Mobile"/>
    <n v="7062"/>
    <s v="DISC20"/>
    <n v="0.2"/>
    <n v="9000"/>
    <d v="2024-01-27T00:00:00"/>
  </r>
  <r>
    <s v="S1138"/>
    <s v="Meera Singh"/>
    <s v="C202"/>
    <s v="Data Science"/>
    <s v="B1"/>
    <s v="Priya"/>
    <s v="Mobile"/>
    <n v="12386"/>
    <s v="DISC15"/>
    <m/>
    <n v="13000"/>
    <d v="2024-02-14T00:00:00"/>
  </r>
  <r>
    <s v="S1139"/>
    <s v="Rahul Singh"/>
    <s v="C201"/>
    <s v="Data Analytics"/>
    <s v="B2"/>
    <s v="Amit"/>
    <s v="Tablet"/>
    <n v="13556"/>
    <s v="DISC30"/>
    <n v="0.3"/>
    <n v="14000"/>
    <d v="2024-02-10T00:00:00"/>
  </r>
  <r>
    <s v="S1140"/>
    <s v="Anjali Patel"/>
    <s v="C204"/>
    <s v="UI UX Design"/>
    <s v="B3"/>
    <s v="Saurabh"/>
    <s v="Tablet"/>
    <n v="7280"/>
    <s v="DISC20"/>
    <n v="0.2"/>
    <n v="9000"/>
    <d v="2024-02-10T00:00:00"/>
  </r>
  <r>
    <s v="S1141"/>
    <s v="Rohit Rao"/>
    <s v="C202"/>
    <s v="Data Science"/>
    <s v="B3"/>
    <s v="Saurabh"/>
    <s v="Mobile"/>
    <n v="11403"/>
    <s v="DISC10"/>
    <n v="0.1"/>
    <n v="13000"/>
    <d v="2024-01-29T00:00:00"/>
  </r>
  <r>
    <s v="S1142"/>
    <s v="Karan Desai"/>
    <s v="C203"/>
    <s v="Full Stack Dev"/>
    <s v="B1"/>
    <s v="Saurabh"/>
    <s v="Mobile"/>
    <n v="18261"/>
    <s v="DISC10"/>
    <n v="0.1"/>
    <n v="17000"/>
    <d v="2024-01-19T00:00:00"/>
  </r>
  <r>
    <s v="S1143"/>
    <s v="Pooja Jain"/>
    <s v="C204"/>
    <s v="UI UX Design"/>
    <s v="B1"/>
    <s v="Saurabh"/>
    <s v="Tablet"/>
    <n v="8687"/>
    <s v="DISC15"/>
    <m/>
    <n v="9000"/>
    <d v="2024-02-13T00:00:00"/>
  </r>
  <r>
    <s v="S1144"/>
    <s v="Dev Mehta"/>
    <s v="C202"/>
    <s v="Data Science"/>
    <s v="B1"/>
    <s v="Saurabh"/>
    <s v="Tablet"/>
    <n v="14566"/>
    <m/>
    <m/>
    <n v="13000"/>
    <d v="2024-02-09T00:00:00"/>
  </r>
  <r>
    <s v="S1145"/>
    <s v="Rohit Patil"/>
    <s v="C204"/>
    <s v="UI UX Design"/>
    <s v="B3"/>
    <s v="Saurabh"/>
    <s v="Web"/>
    <n v="8888"/>
    <s v="DISC30"/>
    <n v="0.3"/>
    <n v="9000"/>
    <d v="2024-01-30T00:00:00"/>
  </r>
  <r>
    <s v="S1146"/>
    <s v="Aditya Singh"/>
    <s v="C201"/>
    <s v="Data Analytics"/>
    <s v="B2"/>
    <s v="Priya"/>
    <s v="Tablet"/>
    <n v="14238"/>
    <s v="DISC20"/>
    <n v="0.2"/>
    <n v="14000"/>
    <d v="2024-01-05T00:00:00"/>
  </r>
  <r>
    <s v="S1147"/>
    <s v="Neha Jain"/>
    <s v="C203"/>
    <s v="Full Stack Dev"/>
    <s v="B3"/>
    <s v="Priya"/>
    <s v="Tablet"/>
    <n v="16024"/>
    <m/>
    <m/>
    <n v="17000"/>
    <d v="2024-02-24T00:00:00"/>
  </r>
  <r>
    <s v="S1148"/>
    <s v="Aditya Patil"/>
    <s v="C204"/>
    <s v="UI UX Design"/>
    <s v="B2"/>
    <s v="Saurabh"/>
    <s v="Web"/>
    <n v="8562"/>
    <s v="DISC15"/>
    <m/>
    <n v="9000"/>
    <d v="2024-01-23T00:00:00"/>
  </r>
  <r>
    <s v="S1149"/>
    <s v="Kavita Rao"/>
    <s v="C203"/>
    <s v="Full Stack Dev"/>
    <s v="B1"/>
    <s v="Amit"/>
    <s v="Mobile"/>
    <n v="16124"/>
    <s v="DISC10"/>
    <n v="0.1"/>
    <n v="17000"/>
    <d v="2024-02-06T00:00:00"/>
  </r>
  <r>
    <s v="S1150"/>
    <s v="Meera Singh"/>
    <s v="C201"/>
    <s v="Data Analytics"/>
    <s v="B3"/>
    <s v="Amit"/>
    <s v="Mobile"/>
    <n v="15411"/>
    <s v="DISC30"/>
    <n v="0.3"/>
    <n v="14000"/>
    <d v="2024-02-19T00:00:00"/>
  </r>
  <r>
    <s v="S1151"/>
    <s v="Dev Patil"/>
    <s v="C203"/>
    <s v="Full Stack Dev"/>
    <s v="B1"/>
    <s v="Amit"/>
    <s v="Web"/>
    <n v="17543"/>
    <s v="DISC30"/>
    <n v="0.3"/>
    <n v="17000"/>
    <d v="2024-02-13T00:00:00"/>
  </r>
  <r>
    <s v="S1152"/>
    <s v="Dev Desai"/>
    <s v="C202"/>
    <s v="Data Science"/>
    <s v="B3"/>
    <s v="Saurabh"/>
    <s v="Tablet"/>
    <n v="13647"/>
    <s v="DISC10"/>
    <n v="0.1"/>
    <n v="13000"/>
    <d v="2024-01-20T00:00:00"/>
  </r>
  <r>
    <s v="S1153"/>
    <s v="Dev Iyer"/>
    <s v="C201"/>
    <s v="Data Analytics"/>
    <s v="B3"/>
    <s v="Priya"/>
    <s v="Tablet"/>
    <n v="12538"/>
    <s v="DISC10"/>
    <n v="0.1"/>
    <n v="14000"/>
    <d v="2024-02-28T00:00:00"/>
  </r>
  <r>
    <s v="S1154"/>
    <s v="Aditya Jain"/>
    <s v="C204"/>
    <s v="UI UX Design"/>
    <s v="B1"/>
    <s v="Saurabh"/>
    <s v="Web"/>
    <n v="10221"/>
    <s v="DISC15"/>
    <m/>
    <n v="9000"/>
    <d v="2024-02-26T00:00:00"/>
  </r>
  <r>
    <s v="S1155"/>
    <s v="Pooja Gupta"/>
    <s v="C203"/>
    <s v="Full Stack Dev"/>
    <s v="B1"/>
    <s v="Priya"/>
    <s v="Mobile"/>
    <n v="18962"/>
    <s v="DISC30"/>
    <n v="0.3"/>
    <n v="17000"/>
    <d v="2024-02-17T00:00:00"/>
  </r>
  <r>
    <s v="S1156"/>
    <s v="Meera Jain"/>
    <s v="C201"/>
    <s v="Data Analytics"/>
    <s v="B2"/>
    <s v="Saurabh"/>
    <s v="Web"/>
    <n v="15089"/>
    <s v="DISC20"/>
    <n v="0.2"/>
    <n v="14000"/>
    <d v="2024-02-25T00:00:00"/>
  </r>
  <r>
    <s v="S1157"/>
    <s v="Rohit Desai"/>
    <s v="C204"/>
    <s v="UI UX Design"/>
    <s v="B3"/>
    <s v="Priya"/>
    <s v="Web"/>
    <n v="10238"/>
    <m/>
    <m/>
    <n v="9000"/>
    <d v="2024-01-01T00:00:00"/>
  </r>
  <r>
    <s v="S1158"/>
    <s v="Aditya Gupta"/>
    <s v="C201"/>
    <s v="Data Analytics"/>
    <s v="B2"/>
    <s v="Priya"/>
    <s v="Tablet"/>
    <n v="15067"/>
    <s v="DISC30"/>
    <n v="0.3"/>
    <n v="14000"/>
    <d v="2024-02-07T00:00:00"/>
  </r>
  <r>
    <s v="S1159"/>
    <s v="Rahul Nair"/>
    <s v="C203"/>
    <s v="Full Stack Dev"/>
    <s v="B1"/>
    <s v="Amit"/>
    <s v="Web"/>
    <n v="16931"/>
    <s v="DISC10"/>
    <n v="0.1"/>
    <n v="17000"/>
    <d v="2024-02-09T00:00:00"/>
  </r>
  <r>
    <s v="S1160"/>
    <s v="Kunal Gupta"/>
    <s v="C203"/>
    <s v="Full Stack Dev"/>
    <s v="B3"/>
    <s v="Saurabh"/>
    <s v="Tablet"/>
    <n v="15258"/>
    <m/>
    <m/>
    <n v="17000"/>
    <d v="2024-02-28T00:00:00"/>
  </r>
  <r>
    <s v="S1161"/>
    <s v="Anjali Rao"/>
    <s v="C204"/>
    <s v="UI UX Design"/>
    <s v="B1"/>
    <s v="Saurabh"/>
    <s v="Web"/>
    <n v="10875"/>
    <s v="DISC10"/>
    <n v="0.1"/>
    <n v="9000"/>
    <d v="2024-01-20T00:00:00"/>
  </r>
  <r>
    <s v="S1162"/>
    <s v="Neha Shah"/>
    <s v="C201"/>
    <s v="Data Analytics"/>
    <s v="B1"/>
    <s v="Amit"/>
    <s v="Web"/>
    <n v="13591"/>
    <m/>
    <m/>
    <n v="14000"/>
    <d v="2024-01-24T00:00:00"/>
  </r>
  <r>
    <s v="S1163"/>
    <s v="Rohit Desai"/>
    <s v="C204"/>
    <s v="UI UX Design"/>
    <s v="B3"/>
    <s v="Amit"/>
    <s v="Tablet"/>
    <n v="7632"/>
    <m/>
    <m/>
    <n v="9000"/>
    <d v="2024-02-11T00:00:00"/>
  </r>
  <r>
    <s v="S1164"/>
    <s v="Riya Nair"/>
    <s v="C204"/>
    <s v="UI UX Design"/>
    <s v="B3"/>
    <s v="Priya"/>
    <s v="Mobile"/>
    <n v="7134"/>
    <s v="DISC30"/>
    <n v="0.3"/>
    <n v="9000"/>
    <d v="2024-01-14T00:00:00"/>
  </r>
  <r>
    <s v="S1165"/>
    <s v="Neha Iyer"/>
    <s v="C202"/>
    <s v="Data Science"/>
    <s v="B2"/>
    <s v="Saurabh"/>
    <s v="Tablet"/>
    <n v="12504"/>
    <s v="DISC15"/>
    <m/>
    <n v="13000"/>
    <d v="2024-02-27T00:00:00"/>
  </r>
  <r>
    <s v="S1166"/>
    <s v="Rohit Jain"/>
    <s v="C201"/>
    <s v="Data Analytics"/>
    <s v="B2"/>
    <s v="Priya"/>
    <s v="Web"/>
    <n v="15965"/>
    <s v="DISC10"/>
    <n v="0.1"/>
    <n v="14000"/>
    <d v="2024-03-01T00:00:00"/>
  </r>
  <r>
    <s v="S1167"/>
    <s v="Meera Nair"/>
    <s v="C204"/>
    <s v="UI UX Design"/>
    <s v="B1"/>
    <s v="Amit"/>
    <s v="Web"/>
    <n v="9628"/>
    <s v="DISC15"/>
    <m/>
    <n v="9000"/>
    <d v="2024-01-02T00:00:00"/>
  </r>
  <r>
    <s v="S1168"/>
    <s v="Aarav Patel"/>
    <s v="C203"/>
    <s v="Full Stack Dev"/>
    <s v="B1"/>
    <s v="Saurabh"/>
    <s v="Tablet"/>
    <n v="15840"/>
    <s v="DISC10"/>
    <n v="0.1"/>
    <n v="17000"/>
    <d v="2024-02-23T00:00:00"/>
  </r>
  <r>
    <s v="S1169"/>
    <s v="Dev Gupta"/>
    <s v="C202"/>
    <s v="Data Science"/>
    <s v="B3"/>
    <s v="Saurabh"/>
    <s v="Web"/>
    <n v="12345"/>
    <s v="DISC20"/>
    <n v="0.2"/>
    <n v="13000"/>
    <d v="2024-02-20T00:00:00"/>
  </r>
  <r>
    <s v="S1170"/>
    <s v="Kunal Joshi"/>
    <s v="C201"/>
    <s v="Data Analytics"/>
    <s v="B2"/>
    <s v="Saurabh"/>
    <s v="Web"/>
    <n v="14212"/>
    <s v="DISC30"/>
    <n v="0.3"/>
    <n v="14000"/>
    <d v="2024-02-21T00:00:00"/>
  </r>
  <r>
    <s v="S1171"/>
    <s v="Karan Shah"/>
    <s v="C201"/>
    <s v="Data Analytics"/>
    <s v="B1"/>
    <s v="Saurabh"/>
    <s v="Mobile"/>
    <n v="15235"/>
    <s v="DISC20"/>
    <n v="0.2"/>
    <n v="14000"/>
    <d v="2024-02-07T00:00:00"/>
  </r>
  <r>
    <s v="S1172"/>
    <s v="Pooja Kulkarni"/>
    <s v="C202"/>
    <s v="Data Science"/>
    <s v="B2"/>
    <s v="Saurabh"/>
    <s v="Web"/>
    <n v="14038"/>
    <m/>
    <m/>
    <n v="13000"/>
    <d v="2024-02-03T00:00:00"/>
  </r>
  <r>
    <s v="S1173"/>
    <s v="Riya Desai"/>
    <s v="C201"/>
    <s v="Data Analytics"/>
    <s v="B2"/>
    <s v="Priya"/>
    <s v="Mobile"/>
    <n v="14102"/>
    <s v="DISC15"/>
    <m/>
    <n v="14000"/>
    <d v="2024-01-07T00:00:00"/>
  </r>
  <r>
    <s v="S1174"/>
    <s v="Neha Gupta"/>
    <s v="C202"/>
    <s v="Data Science"/>
    <s v="B3"/>
    <s v="Saurabh"/>
    <s v="Tablet"/>
    <n v="14208"/>
    <s v="DISC15"/>
    <m/>
    <n v="13000"/>
    <d v="2024-01-20T00:00:00"/>
  </r>
  <r>
    <s v="S1175"/>
    <s v="Neha Singh"/>
    <s v="C201"/>
    <s v="Data Analytics"/>
    <s v="B1"/>
    <s v="Priya"/>
    <s v="Mobile"/>
    <n v="13746"/>
    <s v="DISC10"/>
    <n v="0.1"/>
    <n v="14000"/>
    <d v="2024-02-01T00:00:00"/>
  </r>
  <r>
    <s v="S1176"/>
    <s v="Anjali Iyer"/>
    <s v="C201"/>
    <s v="Data Analytics"/>
    <s v="B1"/>
    <s v="Priya"/>
    <s v="Tablet"/>
    <n v="12607"/>
    <s v="DISC10"/>
    <n v="0.1"/>
    <n v="14000"/>
    <d v="2024-01-09T00:00:00"/>
  </r>
  <r>
    <s v="S1177"/>
    <s v="Aditya Joshi"/>
    <s v="C203"/>
    <s v="Full Stack Dev"/>
    <s v="B2"/>
    <s v="Amit"/>
    <s v="Tablet"/>
    <n v="16207"/>
    <m/>
    <m/>
    <n v="17000"/>
    <d v="2024-02-02T00:00:00"/>
  </r>
  <r>
    <s v="S1178"/>
    <s v="Kavita Verma"/>
    <s v="C201"/>
    <s v="Data Analytics"/>
    <s v="B3"/>
    <s v="Saurabh"/>
    <s v="Tablet"/>
    <n v="14666"/>
    <s v="DISC15"/>
    <m/>
    <n v="14000"/>
    <d v="2024-02-16T00:00:00"/>
  </r>
  <r>
    <s v="S1179"/>
    <s v="Meera Patil"/>
    <s v="C204"/>
    <s v="UI UX Design"/>
    <s v="B2"/>
    <s v="Saurabh"/>
    <s v="Mobile"/>
    <n v="8388"/>
    <m/>
    <m/>
    <n v="9000"/>
    <d v="2024-01-26T00:00:00"/>
  </r>
  <r>
    <s v="S1180"/>
    <s v="Rahul Desai"/>
    <s v="C201"/>
    <s v="Data Analytics"/>
    <s v="B2"/>
    <s v="Priya"/>
    <s v="Mobile"/>
    <n v="14724"/>
    <s v="DISC30"/>
    <n v="0.3"/>
    <n v="14000"/>
    <d v="2024-01-24T00:00:00"/>
  </r>
  <r>
    <s v="S1181"/>
    <s v="Karan Singh"/>
    <s v="C204"/>
    <s v="UI UX Design"/>
    <s v="B1"/>
    <s v="Saurabh"/>
    <s v="Web"/>
    <n v="7381"/>
    <m/>
    <m/>
    <n v="9000"/>
    <d v="2024-01-07T00:00:00"/>
  </r>
  <r>
    <s v="S1182"/>
    <s v="Anjali Desai"/>
    <s v="C203"/>
    <s v="Full Stack Dev"/>
    <s v="B1"/>
    <s v="Amit"/>
    <s v="Web"/>
    <n v="17402"/>
    <s v="DISC15"/>
    <m/>
    <n v="17000"/>
    <d v="2024-02-05T00:00:00"/>
  </r>
  <r>
    <s v="S1183"/>
    <s v="Pooja Singh"/>
    <s v="C201"/>
    <s v="Data Analytics"/>
    <s v="B2"/>
    <s v="Priya"/>
    <s v="Tablet"/>
    <n v="15854"/>
    <m/>
    <m/>
    <n v="14000"/>
    <d v="2024-02-25T00:00:00"/>
  </r>
  <r>
    <s v="S1184"/>
    <s v="Kunal Desai"/>
    <s v="C201"/>
    <s v="Data Analytics"/>
    <s v="B2"/>
    <s v="Amit"/>
    <s v="Mobile"/>
    <n v="13440"/>
    <s v="DISC10"/>
    <n v="0.1"/>
    <n v="14000"/>
    <d v="2024-02-06T00:00:00"/>
  </r>
  <r>
    <s v="S1185"/>
    <s v="Manish Patil"/>
    <s v="C202"/>
    <s v="Data Science"/>
    <s v="B3"/>
    <s v="Priya"/>
    <s v="Web"/>
    <n v="14470"/>
    <s v="DISC10"/>
    <n v="0.1"/>
    <n v="13000"/>
    <d v="2024-01-23T00:00:00"/>
  </r>
  <r>
    <s v="S1186"/>
    <s v="Meera Gupta"/>
    <s v="C203"/>
    <s v="Full Stack Dev"/>
    <s v="B1"/>
    <s v="Priya"/>
    <s v="Tablet"/>
    <n v="15926"/>
    <m/>
    <m/>
    <n v="17000"/>
    <d v="2024-02-24T00:00:00"/>
  </r>
  <r>
    <s v="S1187"/>
    <s v="Manish Patel"/>
    <s v="C201"/>
    <s v="Data Analytics"/>
    <s v="B3"/>
    <s v="Amit"/>
    <s v="Tablet"/>
    <n v="13095"/>
    <s v="DISC10"/>
    <n v="0.1"/>
    <n v="14000"/>
    <d v="2024-01-12T00:00:00"/>
  </r>
  <r>
    <s v="S1188"/>
    <s v="Aditya Desai"/>
    <s v="C203"/>
    <s v="Full Stack Dev"/>
    <s v="B2"/>
    <s v="Priya"/>
    <s v="Web"/>
    <n v="15743"/>
    <s v="DISC20"/>
    <n v="0.2"/>
    <n v="17000"/>
    <d v="2024-02-06T00:00:00"/>
  </r>
  <r>
    <s v="S1189"/>
    <s v="Rohit Verma"/>
    <s v="C201"/>
    <s v="Data Analytics"/>
    <s v="B1"/>
    <s v="Amit"/>
    <s v="Tablet"/>
    <n v="15980"/>
    <s v="DISC10"/>
    <n v="0.1"/>
    <n v="14000"/>
    <d v="2024-01-06T00:00:00"/>
  </r>
  <r>
    <s v="S1190"/>
    <s v="Anjali Gupta"/>
    <s v="C202"/>
    <s v="Data Science"/>
    <s v="B2"/>
    <s v="Priya"/>
    <s v="Mobile"/>
    <n v="12396"/>
    <s v="DISC20"/>
    <n v="0.2"/>
    <n v="13000"/>
    <d v="2024-01-24T00:00:00"/>
  </r>
  <r>
    <s v="S1191"/>
    <s v="Aditya Desai"/>
    <s v="C203"/>
    <s v="Full Stack Dev"/>
    <s v="B3"/>
    <s v="Amit"/>
    <s v="Web"/>
    <n v="18618"/>
    <s v="DISC10"/>
    <n v="0.1"/>
    <n v="17000"/>
    <d v="2024-01-10T00:00:00"/>
  </r>
  <r>
    <s v="S1192"/>
    <s v="Karan Patel"/>
    <s v="C201"/>
    <s v="Data Analytics"/>
    <s v="B3"/>
    <s v="Saurabh"/>
    <s v="Mobile"/>
    <n v="13814"/>
    <m/>
    <m/>
    <n v="14000"/>
    <d v="2024-02-01T00:00:00"/>
  </r>
  <r>
    <s v="S1193"/>
    <s v="Kavita Iyer"/>
    <s v="C204"/>
    <s v="UI UX Design"/>
    <s v="B2"/>
    <s v="Saurabh"/>
    <s v="Tablet"/>
    <n v="7466"/>
    <s v="DISC30"/>
    <n v="0.3"/>
    <n v="9000"/>
    <d v="2024-01-28T00:00:00"/>
  </r>
  <r>
    <s v="S1194"/>
    <s v="Riya Rao"/>
    <s v="C204"/>
    <s v="UI UX Design"/>
    <s v="B3"/>
    <s v="Amit"/>
    <s v="Mobile"/>
    <n v="7186"/>
    <s v="DISC20"/>
    <n v="0.2"/>
    <n v="9000"/>
    <d v="2024-01-26T00:00:00"/>
  </r>
  <r>
    <s v="S1195"/>
    <s v="Kavita Kulkarni"/>
    <s v="C201"/>
    <s v="Data Analytics"/>
    <s v="B1"/>
    <s v="Priya"/>
    <s v="Web"/>
    <n v="15143"/>
    <s v="DISC20"/>
    <n v="0.2"/>
    <n v="14000"/>
    <d v="2024-02-18T00:00:00"/>
  </r>
  <r>
    <s v="S1196"/>
    <s v="Aditya Rao"/>
    <s v="C203"/>
    <s v="Full Stack Dev"/>
    <s v="B1"/>
    <s v="Saurabh"/>
    <s v="Mobile"/>
    <n v="18059"/>
    <m/>
    <m/>
    <n v="17000"/>
    <d v="2024-01-12T00:00:00"/>
  </r>
  <r>
    <s v="S1197"/>
    <s v="Karan Verma"/>
    <s v="C202"/>
    <s v="Data Science"/>
    <s v="B3"/>
    <s v="Amit"/>
    <s v="Tablet"/>
    <n v="14302"/>
    <s v="DISC30"/>
    <n v="0.3"/>
    <n v="13000"/>
    <d v="2024-01-05T00:00:00"/>
  </r>
  <r>
    <s v="S1198"/>
    <s v="Rahul Nair"/>
    <s v="C201"/>
    <s v="Data Analytics"/>
    <s v="B2"/>
    <s v="Saurabh"/>
    <s v="Mobile"/>
    <n v="15773"/>
    <s v="DISC10"/>
    <n v="0.1"/>
    <n v="14000"/>
    <d v="2024-02-25T00:00:00"/>
  </r>
  <r>
    <s v="S1199"/>
    <s v="Pooja Joshi"/>
    <s v="C204"/>
    <s v="UI UX Design"/>
    <s v="B3"/>
    <s v="Priya"/>
    <s v="Tablet"/>
    <n v="9622"/>
    <m/>
    <m/>
    <n v="9000"/>
    <d v="2024-01-19T00:00:00"/>
  </r>
  <r>
    <s v="S1200"/>
    <s v="Riya Verma"/>
    <s v="C201"/>
    <s v="Data Analytics"/>
    <s v="B2"/>
    <s v="Saurabh"/>
    <s v="Tablet"/>
    <n v="13884"/>
    <s v="DISC30"/>
    <n v="0.3"/>
    <n v="14000"/>
    <d v="2024-01-06T00:00:00"/>
  </r>
  <r>
    <s v="S1201"/>
    <s v="Rahul Nair"/>
    <s v="C201"/>
    <s v="Data Analytics"/>
    <s v="B1"/>
    <s v="Priya"/>
    <s v="Tablet"/>
    <n v="13640"/>
    <s v="DISC15"/>
    <m/>
    <n v="14000"/>
    <d v="2024-01-06T00:00:00"/>
  </r>
  <r>
    <s v="S1202"/>
    <s v="Rahul Nair"/>
    <s v="C203"/>
    <s v="Full Stack Dev"/>
    <s v="B3"/>
    <s v="Priya"/>
    <s v="Web"/>
    <n v="16364"/>
    <s v="DISC20"/>
    <n v="0.2"/>
    <n v="17000"/>
    <d v="2024-01-05T00:00:00"/>
  </r>
  <r>
    <s v="S1203"/>
    <s v="Manish Singh"/>
    <s v="C201"/>
    <s v="Data Analytics"/>
    <s v="B3"/>
    <s v="Amit"/>
    <s v="Web"/>
    <n v="15710"/>
    <s v="DISC30"/>
    <n v="0.3"/>
    <n v="14000"/>
    <d v="2024-01-23T00:00:00"/>
  </r>
  <r>
    <s v="S1204"/>
    <s v="Anjali Nair"/>
    <s v="C202"/>
    <s v="Data Science"/>
    <s v="B1"/>
    <s v="Saurabh"/>
    <s v="Web"/>
    <n v="12048"/>
    <s v="DISC20"/>
    <n v="0.2"/>
    <n v="13000"/>
    <d v="2024-01-12T00:00:00"/>
  </r>
  <r>
    <s v="S1205"/>
    <s v="Kavita Mehta"/>
    <s v="C201"/>
    <s v="Data Analytics"/>
    <s v="B1"/>
    <s v="Amit"/>
    <s v="Mobile"/>
    <n v="13900"/>
    <s v="DISC15"/>
    <m/>
    <n v="14000"/>
    <d v="2024-02-18T00:00:00"/>
  </r>
  <r>
    <s v="S1206"/>
    <s v="Kavita Iyer"/>
    <s v="C203"/>
    <s v="Full Stack Dev"/>
    <s v="B3"/>
    <s v="Priya"/>
    <s v="Web"/>
    <n v="16801"/>
    <s v="DISC10"/>
    <n v="0.1"/>
    <n v="17000"/>
    <d v="2024-01-31T00:00:00"/>
  </r>
  <r>
    <s v="S1207"/>
    <s v="Neha Singh"/>
    <s v="C203"/>
    <s v="Full Stack Dev"/>
    <s v="B2"/>
    <s v="Amit"/>
    <s v="Web"/>
    <n v="16441"/>
    <s v="DISC15"/>
    <m/>
    <n v="17000"/>
    <d v="2024-01-05T00:00:00"/>
  </r>
  <r>
    <s v="S1208"/>
    <s v="Aditya Iyer"/>
    <s v="C204"/>
    <s v="UI UX Design"/>
    <s v="B1"/>
    <s v="Saurabh"/>
    <s v="Mobile"/>
    <n v="10406"/>
    <s v="DISC30"/>
    <n v="0.3"/>
    <n v="9000"/>
    <d v="2024-01-05T00:00:00"/>
  </r>
  <r>
    <s v="S1209"/>
    <s v="Rohit Nair"/>
    <s v="C201"/>
    <s v="Data Analytics"/>
    <s v="B3"/>
    <s v="Amit"/>
    <s v="Tablet"/>
    <n v="13574"/>
    <m/>
    <m/>
    <n v="14000"/>
    <d v="2024-02-07T00:00:00"/>
  </r>
  <r>
    <s v="S1210"/>
    <s v="Manish Patel"/>
    <s v="C201"/>
    <s v="Data Analytics"/>
    <s v="B2"/>
    <s v="Amit"/>
    <s v="Tablet"/>
    <n v="12771"/>
    <s v="DISC30"/>
    <n v="0.3"/>
    <n v="14000"/>
    <d v="2024-02-08T00:00:00"/>
  </r>
  <r>
    <s v="S1211"/>
    <s v="Neha Gupta"/>
    <s v="C202"/>
    <s v="Data Science"/>
    <s v="B1"/>
    <s v="Priya"/>
    <s v="Web"/>
    <n v="14321"/>
    <s v="DISC30"/>
    <n v="0.3"/>
    <n v="13000"/>
    <d v="2024-02-15T00:00:00"/>
  </r>
  <r>
    <s v="S1212"/>
    <s v="Riya Gupta"/>
    <s v="C202"/>
    <s v="Data Science"/>
    <s v="B1"/>
    <s v="Saurabh"/>
    <s v="Tablet"/>
    <n v="12793"/>
    <m/>
    <m/>
    <n v="13000"/>
    <d v="2024-02-03T00:00:00"/>
  </r>
  <r>
    <s v="S1213"/>
    <s v="Manish Joshi"/>
    <s v="C202"/>
    <s v="Data Science"/>
    <s v="B2"/>
    <s v="Priya"/>
    <s v="Mobile"/>
    <n v="12586"/>
    <m/>
    <m/>
    <n v="13000"/>
    <d v="2024-02-19T00:00:00"/>
  </r>
  <r>
    <s v="S1214"/>
    <s v="Pooja Singh"/>
    <s v="C201"/>
    <s v="Data Analytics"/>
    <s v="B3"/>
    <s v="Amit"/>
    <s v="Mobile"/>
    <n v="12269"/>
    <s v="DISC30"/>
    <n v="0.3"/>
    <n v="14000"/>
    <d v="2024-01-07T00:00:00"/>
  </r>
  <r>
    <s v="S1215"/>
    <s v="Manish Singh"/>
    <s v="C204"/>
    <s v="UI UX Design"/>
    <s v="B2"/>
    <s v="Priya"/>
    <s v="Tablet"/>
    <n v="10488"/>
    <s v="DISC15"/>
    <m/>
    <n v="9000"/>
    <d v="2024-02-25T00:00:00"/>
  </r>
  <r>
    <s v="S1216"/>
    <s v="Karan Jain"/>
    <s v="C201"/>
    <s v="Data Analytics"/>
    <s v="B3"/>
    <s v="Amit"/>
    <s v="Web"/>
    <n v="15754"/>
    <s v="DISC30"/>
    <n v="0.3"/>
    <n v="14000"/>
    <d v="2024-01-20T00:00:00"/>
  </r>
  <r>
    <s v="S1217"/>
    <s v="Rohit Desai"/>
    <s v="C204"/>
    <s v="UI UX Design"/>
    <s v="B1"/>
    <s v="Amit"/>
    <s v="Tablet"/>
    <n v="10842"/>
    <s v="DISC10"/>
    <n v="0.1"/>
    <n v="9000"/>
    <d v="2024-01-20T00:00:00"/>
  </r>
  <r>
    <s v="S1218"/>
    <s v="Manish Verma"/>
    <s v="C203"/>
    <s v="Full Stack Dev"/>
    <s v="B1"/>
    <s v="Amit"/>
    <s v="Tablet"/>
    <n v="18395"/>
    <s v="DISC15"/>
    <m/>
    <n v="17000"/>
    <d v="2024-01-06T00:00:00"/>
  </r>
  <r>
    <s v="S1219"/>
    <s v="Rohit Singh"/>
    <s v="C204"/>
    <s v="UI UX Design"/>
    <s v="B3"/>
    <s v="Priya"/>
    <s v="Web"/>
    <n v="8485"/>
    <s v="DISC30"/>
    <n v="0.3"/>
    <n v="9000"/>
    <d v="2024-01-12T00:00:00"/>
  </r>
  <r>
    <s v="S1220"/>
    <s v="Sneha Jain"/>
    <s v="C204"/>
    <s v="UI UX Design"/>
    <s v="B1"/>
    <s v="Saurabh"/>
    <s v="Web"/>
    <n v="7634"/>
    <s v="DISC10"/>
    <n v="0.1"/>
    <n v="9000"/>
    <d v="2024-01-19T00:00:00"/>
  </r>
  <r>
    <s v="S1221"/>
    <s v="Meera Patel"/>
    <s v="C201"/>
    <s v="Data Analytics"/>
    <s v="B3"/>
    <s v="Amit"/>
    <s v="Tablet"/>
    <n v="15619"/>
    <s v="DISC15"/>
    <m/>
    <n v="14000"/>
    <d v="2024-01-03T00:00:00"/>
  </r>
  <r>
    <s v="S1222"/>
    <s v="Rohit Jain"/>
    <s v="C202"/>
    <s v="Data Science"/>
    <s v="B3"/>
    <s v="Priya"/>
    <s v="Web"/>
    <n v="11664"/>
    <s v="DISC20"/>
    <n v="0.2"/>
    <n v="13000"/>
    <d v="2024-02-23T00:00:00"/>
  </r>
  <r>
    <s v="S1223"/>
    <s v="Anjali Patel"/>
    <s v="C202"/>
    <s v="Data Science"/>
    <s v="B3"/>
    <s v="Priya"/>
    <s v="Web"/>
    <n v="12682"/>
    <s v="DISC30"/>
    <n v="0.3"/>
    <n v="13000"/>
    <d v="2024-02-13T00:00:00"/>
  </r>
  <r>
    <s v="S1224"/>
    <s v="Anjali Patil"/>
    <s v="C204"/>
    <s v="UI UX Design"/>
    <s v="B3"/>
    <s v="Priya"/>
    <s v="Tablet"/>
    <n v="10210"/>
    <m/>
    <m/>
    <n v="9000"/>
    <d v="2024-01-15T00:00:00"/>
  </r>
  <r>
    <s v="S1225"/>
    <s v="Manish Patil"/>
    <s v="C203"/>
    <s v="Full Stack Dev"/>
    <s v="B2"/>
    <s v="Saurabh"/>
    <s v="Mobile"/>
    <n v="17778"/>
    <s v="DISC15"/>
    <m/>
    <n v="17000"/>
    <d v="2024-01-29T00:00:00"/>
  </r>
  <r>
    <s v="S1226"/>
    <s v="Neha Patel"/>
    <s v="C203"/>
    <s v="Full Stack Dev"/>
    <s v="B2"/>
    <s v="Amit"/>
    <s v="Tablet"/>
    <n v="16714"/>
    <s v="DISC20"/>
    <n v="0.2"/>
    <n v="17000"/>
    <d v="2024-02-22T00:00:00"/>
  </r>
  <r>
    <s v="S1227"/>
    <s v="Sneha Patel"/>
    <s v="C202"/>
    <s v="Data Science"/>
    <s v="B2"/>
    <s v="Saurabh"/>
    <s v="Tablet"/>
    <n v="12968"/>
    <s v="DISC30"/>
    <n v="0.3"/>
    <n v="13000"/>
    <d v="2024-02-05T00:00:00"/>
  </r>
  <r>
    <s v="S1228"/>
    <s v="Kunal Shah"/>
    <s v="C201"/>
    <s v="Data Analytics"/>
    <s v="B2"/>
    <s v="Saurabh"/>
    <s v="Web"/>
    <n v="13117"/>
    <m/>
    <m/>
    <n v="14000"/>
    <d v="2024-02-27T00:00:00"/>
  </r>
  <r>
    <s v="S1229"/>
    <s v="Manish Mehta"/>
    <s v="C204"/>
    <s v="UI UX Design"/>
    <s v="B1"/>
    <s v="Saurabh"/>
    <s v="Mobile"/>
    <n v="10623"/>
    <s v="DISC30"/>
    <n v="0.3"/>
    <n v="9000"/>
    <d v="2024-02-29T00:00:00"/>
  </r>
  <r>
    <s v="S1230"/>
    <s v="Aarav Verma"/>
    <s v="C201"/>
    <s v="Data Analytics"/>
    <s v="B2"/>
    <s v="Amit"/>
    <s v="Mobile"/>
    <n v="12965"/>
    <m/>
    <m/>
    <n v="14000"/>
    <d v="2024-01-06T00:00:00"/>
  </r>
  <r>
    <s v="S1231"/>
    <s v="Pooja Patil"/>
    <s v="C201"/>
    <s v="Data Analytics"/>
    <s v="B2"/>
    <s v="Saurabh"/>
    <s v="Tablet"/>
    <n v="14662"/>
    <s v="DISC30"/>
    <n v="0.3"/>
    <n v="14000"/>
    <d v="2024-02-20T00:00:00"/>
  </r>
  <r>
    <s v="S1232"/>
    <s v="Karan Mehta"/>
    <s v="C201"/>
    <s v="Data Analytics"/>
    <s v="B2"/>
    <s v="Priya"/>
    <s v="Tablet"/>
    <n v="15404"/>
    <s v="DISC20"/>
    <n v="0.2"/>
    <n v="14000"/>
    <d v="2024-02-18T00:00:00"/>
  </r>
  <r>
    <s v="S1233"/>
    <s v="Anjali Iyer"/>
    <s v="C204"/>
    <s v="UI UX Design"/>
    <s v="B3"/>
    <s v="Saurabh"/>
    <s v="Web"/>
    <n v="7077"/>
    <s v="DISC30"/>
    <n v="0.3"/>
    <n v="9000"/>
    <d v="2024-01-14T00:00:00"/>
  </r>
  <r>
    <s v="S1234"/>
    <s v="Meera Mehta"/>
    <s v="C204"/>
    <s v="UI UX Design"/>
    <s v="B1"/>
    <s v="Priya"/>
    <s v="Web"/>
    <n v="8233"/>
    <s v="DISC10"/>
    <n v="0.1"/>
    <n v="9000"/>
    <d v="2024-01-04T00:00:00"/>
  </r>
  <r>
    <s v="S1235"/>
    <s v="Sneha Verma"/>
    <s v="C204"/>
    <s v="UI UX Design"/>
    <s v="B1"/>
    <s v="Saurabh"/>
    <s v="Mobile"/>
    <n v="9444"/>
    <s v="DISC15"/>
    <m/>
    <n v="9000"/>
    <d v="2024-01-02T00:00:00"/>
  </r>
  <r>
    <s v="S1236"/>
    <s v="Rohit Gupta"/>
    <s v="C202"/>
    <s v="Data Science"/>
    <s v="B3"/>
    <s v="Saurabh"/>
    <s v="Mobile"/>
    <n v="12758"/>
    <s v="DISC10"/>
    <n v="0.1"/>
    <n v="13000"/>
    <d v="2024-02-09T00:00:00"/>
  </r>
  <r>
    <s v="S1237"/>
    <s v="Pooja Patil"/>
    <s v="C204"/>
    <s v="UI UX Design"/>
    <s v="B1"/>
    <s v="Amit"/>
    <s v="Tablet"/>
    <n v="7350"/>
    <s v="DISC15"/>
    <m/>
    <n v="9000"/>
    <d v="2024-01-24T00:00:00"/>
  </r>
  <r>
    <s v="S1238"/>
    <s v="Riya Gupta"/>
    <s v="C201"/>
    <s v="Data Analytics"/>
    <s v="B2"/>
    <s v="Priya"/>
    <s v="Web"/>
    <n v="14603"/>
    <m/>
    <m/>
    <n v="14000"/>
    <d v="2024-01-24T00:00:00"/>
  </r>
  <r>
    <s v="S1239"/>
    <s v="Aditya Desai"/>
    <s v="C201"/>
    <s v="Data Analytics"/>
    <s v="B2"/>
    <s v="Saurabh"/>
    <s v="Mobile"/>
    <n v="12987"/>
    <s v="DISC10"/>
    <n v="0.1"/>
    <n v="14000"/>
    <d v="2024-02-19T00:00:00"/>
  </r>
  <r>
    <s v="S1240"/>
    <s v="Kavita Desai"/>
    <s v="C203"/>
    <s v="Full Stack Dev"/>
    <s v="B1"/>
    <s v="Saurabh"/>
    <s v="Mobile"/>
    <n v="17236"/>
    <s v="DISC30"/>
    <n v="0.3"/>
    <n v="17000"/>
    <d v="2024-02-22T00:00:00"/>
  </r>
  <r>
    <s v="S1241"/>
    <s v="Rohit Mehta"/>
    <s v="C204"/>
    <s v="UI UX Design"/>
    <s v="B3"/>
    <s v="Priya"/>
    <s v="Tablet"/>
    <n v="7746"/>
    <s v="DISC20"/>
    <n v="0.2"/>
    <n v="9000"/>
    <d v="2024-01-05T00:00:00"/>
  </r>
  <r>
    <s v="S1242"/>
    <s v="Anjali Patel"/>
    <s v="C204"/>
    <s v="UI UX Design"/>
    <s v="B1"/>
    <s v="Priya"/>
    <s v="Web"/>
    <n v="7179"/>
    <s v="DISC20"/>
    <n v="0.2"/>
    <n v="9000"/>
    <d v="2024-02-26T00:00:00"/>
  </r>
  <r>
    <s v="S1243"/>
    <s v="Aarav Jain"/>
    <s v="C203"/>
    <s v="Full Stack Dev"/>
    <s v="B3"/>
    <s v="Priya"/>
    <s v="Tablet"/>
    <n v="16939"/>
    <s v="DISC30"/>
    <n v="0.3"/>
    <n v="17000"/>
    <d v="2024-01-03T00:00:00"/>
  </r>
  <r>
    <s v="S1244"/>
    <s v="Dev Singh"/>
    <s v="C202"/>
    <s v="Data Science"/>
    <s v="B2"/>
    <s v="Priya"/>
    <s v="Web"/>
    <n v="14546"/>
    <s v="DISC30"/>
    <n v="0.3"/>
    <n v="13000"/>
    <d v="2024-01-18T00:00:00"/>
  </r>
  <r>
    <s v="S1245"/>
    <s v="Riya Patel"/>
    <s v="C203"/>
    <s v="Full Stack Dev"/>
    <s v="B2"/>
    <s v="Priya"/>
    <s v="Tablet"/>
    <n v="16801"/>
    <m/>
    <m/>
    <n v="17000"/>
    <d v="2024-01-22T00:00:00"/>
  </r>
  <r>
    <s v="S1246"/>
    <s v="Karan Iyer"/>
    <s v="C204"/>
    <s v="UI UX Design"/>
    <s v="B2"/>
    <s v="Amit"/>
    <s v="Mobile"/>
    <n v="10281"/>
    <s v="DISC10"/>
    <n v="0.1"/>
    <n v="9000"/>
    <d v="2024-02-16T00:00:00"/>
  </r>
  <r>
    <s v="S1247"/>
    <s v="Rahul Shah"/>
    <s v="C204"/>
    <s v="UI UX Design"/>
    <s v="B3"/>
    <s v="Saurabh"/>
    <s v="Tablet"/>
    <n v="8203"/>
    <s v="DISC30"/>
    <n v="0.3"/>
    <n v="9000"/>
    <d v="2024-01-07T00:00:00"/>
  </r>
  <r>
    <s v="S1248"/>
    <s v="Riya Jain"/>
    <s v="C203"/>
    <s v="Full Stack Dev"/>
    <s v="B2"/>
    <s v="Priya"/>
    <s v="Tablet"/>
    <n v="17939"/>
    <m/>
    <m/>
    <n v="17000"/>
    <d v="2024-01-11T00:00:00"/>
  </r>
  <r>
    <s v="S1249"/>
    <s v="Anjali Iyer"/>
    <s v="C203"/>
    <s v="Full Stack Dev"/>
    <s v="B2"/>
    <s v="Saurabh"/>
    <s v="Tablet"/>
    <n v="18563"/>
    <s v="DISC30"/>
    <n v="0.3"/>
    <n v="17000"/>
    <d v="2024-02-09T00:00:00"/>
  </r>
  <r>
    <s v="S1250"/>
    <s v="Rahul Rao"/>
    <s v="C201"/>
    <s v="Data Analytics"/>
    <s v="B1"/>
    <s v="Amit"/>
    <s v="Tablet"/>
    <n v="13663"/>
    <s v="DISC30"/>
    <n v="0.3"/>
    <n v="14000"/>
    <d v="2024-02-02T00:00:00"/>
  </r>
  <r>
    <s v="S1251"/>
    <s v="Dev Desai"/>
    <s v="C202"/>
    <s v="Data Science"/>
    <s v="B1"/>
    <s v="Saurabh"/>
    <s v="Tablet"/>
    <n v="13777"/>
    <m/>
    <m/>
    <n v="13000"/>
    <d v="2024-01-03T00:00:00"/>
  </r>
  <r>
    <s v="S1252"/>
    <s v="Karan Shah"/>
    <s v="C202"/>
    <s v="Data Science"/>
    <s v="B3"/>
    <s v="Priya"/>
    <s v="Mobile"/>
    <n v="12568"/>
    <s v="DISC15"/>
    <m/>
    <n v="13000"/>
    <d v="2024-01-03T00:00:00"/>
  </r>
  <r>
    <s v="S1253"/>
    <s v="Kavita Mehta"/>
    <s v="C204"/>
    <s v="UI UX Design"/>
    <s v="B2"/>
    <s v="Priya"/>
    <s v="Mobile"/>
    <n v="10125"/>
    <s v="DISC10"/>
    <n v="0.1"/>
    <n v="9000"/>
    <d v="2024-02-06T00:00:00"/>
  </r>
  <r>
    <s v="S1254"/>
    <s v="Karan Gupta"/>
    <s v="C203"/>
    <s v="Full Stack Dev"/>
    <s v="B2"/>
    <s v="Priya"/>
    <s v="Tablet"/>
    <n v="16141"/>
    <s v="DISC20"/>
    <n v="0.2"/>
    <n v="17000"/>
    <d v="2024-01-08T00:00:00"/>
  </r>
  <r>
    <s v="S1255"/>
    <s v="Aarav Desai"/>
    <s v="C202"/>
    <s v="Data Science"/>
    <s v="B2"/>
    <s v="Amit"/>
    <s v="Mobile"/>
    <n v="14741"/>
    <s v="DISC15"/>
    <m/>
    <n v="13000"/>
    <d v="2024-01-08T00:00:00"/>
  </r>
  <r>
    <s v="S1256"/>
    <s v="Aditya Patel"/>
    <s v="C203"/>
    <s v="Full Stack Dev"/>
    <s v="B3"/>
    <s v="Priya"/>
    <s v="Web"/>
    <n v="17506"/>
    <s v="DISC30"/>
    <n v="0.3"/>
    <n v="17000"/>
    <d v="2024-02-14T00:00:00"/>
  </r>
  <r>
    <s v="S1257"/>
    <s v="Kunal Iyer"/>
    <s v="C202"/>
    <s v="Data Science"/>
    <s v="B1"/>
    <s v="Saurabh"/>
    <s v="Web"/>
    <n v="12851"/>
    <s v="DISC20"/>
    <n v="0.2"/>
    <n v="13000"/>
    <d v="2024-02-27T00:00:00"/>
  </r>
  <r>
    <s v="S1258"/>
    <s v="Anjali Iyer"/>
    <s v="C201"/>
    <s v="Data Analytics"/>
    <s v="B3"/>
    <s v="Priya"/>
    <s v="Tablet"/>
    <n v="13423"/>
    <s v="DISC10"/>
    <n v="0.1"/>
    <n v="14000"/>
    <d v="2024-02-05T00:00:00"/>
  </r>
  <r>
    <s v="S1259"/>
    <s v="Manish Rao"/>
    <s v="C203"/>
    <s v="Full Stack Dev"/>
    <s v="B1"/>
    <s v="Amit"/>
    <s v="Tablet"/>
    <n v="18798"/>
    <s v="DISC20"/>
    <n v="0.2"/>
    <n v="17000"/>
    <d v="2024-02-20T00:00:00"/>
  </r>
  <r>
    <s v="S1260"/>
    <s v="Pooja Gupta"/>
    <s v="C202"/>
    <s v="Data Science"/>
    <s v="B1"/>
    <s v="Saurabh"/>
    <s v="Web"/>
    <n v="11969"/>
    <m/>
    <m/>
    <n v="13000"/>
    <d v="2024-01-02T00:00:00"/>
  </r>
  <r>
    <s v="S1261"/>
    <s v="Pooja Gupta"/>
    <s v="C203"/>
    <s v="Full Stack Dev"/>
    <s v="B2"/>
    <s v="Amit"/>
    <s v="Web"/>
    <n v="17506"/>
    <s v="DISC10"/>
    <n v="0.1"/>
    <n v="17000"/>
    <d v="2024-01-05T00:00:00"/>
  </r>
  <r>
    <s v="S1262"/>
    <s v="Aditya Verma"/>
    <s v="C204"/>
    <s v="UI UX Design"/>
    <s v="B3"/>
    <s v="Priya"/>
    <s v="Mobile"/>
    <n v="10372"/>
    <s v="DISC15"/>
    <m/>
    <n v="9000"/>
    <d v="2024-01-05T00:00:00"/>
  </r>
  <r>
    <s v="S1263"/>
    <s v="Karan Jain"/>
    <s v="C201"/>
    <s v="Data Analytics"/>
    <s v="B2"/>
    <s v="Priya"/>
    <s v="Tablet"/>
    <n v="14119"/>
    <s v="DISC30"/>
    <n v="0.3"/>
    <n v="14000"/>
    <d v="2024-01-09T00:00:00"/>
  </r>
  <r>
    <s v="S1264"/>
    <s v="Kunal Nair"/>
    <s v="C202"/>
    <s v="Data Science"/>
    <s v="B1"/>
    <s v="Priya"/>
    <s v="Tablet"/>
    <n v="14730"/>
    <s v="DISC10"/>
    <n v="0.1"/>
    <n v="13000"/>
    <d v="2024-02-23T00:00:00"/>
  </r>
  <r>
    <s v="S1265"/>
    <s v="Riya Gupta"/>
    <s v="C202"/>
    <s v="Data Science"/>
    <s v="B2"/>
    <s v="Saurabh"/>
    <s v="Web"/>
    <n v="12321"/>
    <s v="DISC20"/>
    <n v="0.2"/>
    <n v="13000"/>
    <d v="2024-01-23T00:00:00"/>
  </r>
  <r>
    <s v="S1266"/>
    <s v="Manish Rao"/>
    <s v="C201"/>
    <s v="Data Analytics"/>
    <s v="B2"/>
    <s v="Saurabh"/>
    <s v="Tablet"/>
    <n v="15917"/>
    <s v="DISC15"/>
    <m/>
    <n v="14000"/>
    <d v="2024-01-18T00:00:00"/>
  </r>
  <r>
    <s v="S1267"/>
    <s v="Karan Singh"/>
    <s v="C203"/>
    <s v="Full Stack Dev"/>
    <s v="B3"/>
    <s v="Amit"/>
    <s v="Web"/>
    <n v="17058"/>
    <s v="DISC20"/>
    <n v="0.2"/>
    <n v="17000"/>
    <d v="2024-02-07T00:00:00"/>
  </r>
  <r>
    <s v="S1268"/>
    <s v="Kavita Mehta"/>
    <s v="C202"/>
    <s v="Data Science"/>
    <s v="B3"/>
    <s v="Amit"/>
    <s v="Tablet"/>
    <n v="14694"/>
    <s v="DISC15"/>
    <m/>
    <n v="13000"/>
    <d v="2024-01-22T00:00:00"/>
  </r>
  <r>
    <s v="S1269"/>
    <s v="Meera Joshi"/>
    <s v="C201"/>
    <s v="Data Analytics"/>
    <s v="B1"/>
    <s v="Saurabh"/>
    <s v="Web"/>
    <n v="15885"/>
    <s v="DISC15"/>
    <m/>
    <n v="14000"/>
    <d v="2024-01-17T00:00:00"/>
  </r>
  <r>
    <s v="S1270"/>
    <s v="Rohit Patil"/>
    <s v="C204"/>
    <s v="UI UX Design"/>
    <s v="B3"/>
    <s v="Amit"/>
    <s v="Web"/>
    <n v="9039"/>
    <s v="DISC15"/>
    <m/>
    <n v="9000"/>
    <d v="2024-01-19T00:00:00"/>
  </r>
  <r>
    <s v="S1271"/>
    <s v="Rohit Rao"/>
    <s v="C204"/>
    <s v="UI UX Design"/>
    <s v="B1"/>
    <s v="Amit"/>
    <s v="Mobile"/>
    <n v="8218"/>
    <m/>
    <m/>
    <n v="9000"/>
    <d v="2024-01-05T00:00:00"/>
  </r>
  <r>
    <s v="S1272"/>
    <s v="Anjali Kulkarni"/>
    <s v="C202"/>
    <s v="Data Science"/>
    <s v="B2"/>
    <s v="Priya"/>
    <s v="Mobile"/>
    <n v="12902"/>
    <s v="DISC20"/>
    <n v="0.2"/>
    <n v="13000"/>
    <d v="2024-01-22T00:00:00"/>
  </r>
  <r>
    <s v="S1273"/>
    <s v="Kavita Mehta"/>
    <s v="C203"/>
    <s v="Full Stack Dev"/>
    <s v="B3"/>
    <s v="Priya"/>
    <s v="Tablet"/>
    <n v="18525"/>
    <s v="DISC30"/>
    <n v="0.3"/>
    <n v="17000"/>
    <d v="2024-01-26T00:00:00"/>
  </r>
  <r>
    <s v="S1274"/>
    <s v="Karan Patel"/>
    <s v="C203"/>
    <s v="Full Stack Dev"/>
    <s v="B3"/>
    <s v="Amit"/>
    <s v="Web"/>
    <n v="16307"/>
    <s v="DISC20"/>
    <n v="0.2"/>
    <n v="17000"/>
    <d v="2024-01-30T00:00:00"/>
  </r>
  <r>
    <s v="S1275"/>
    <s v="Riya Rao"/>
    <s v="C204"/>
    <s v="UI UX Design"/>
    <s v="B1"/>
    <s v="Saurabh"/>
    <s v="Web"/>
    <n v="7207"/>
    <s v="DISC30"/>
    <n v="0.3"/>
    <n v="9000"/>
    <d v="2024-03-01T00:00:00"/>
  </r>
  <r>
    <s v="S1276"/>
    <s v="Rahul Nair"/>
    <s v="C204"/>
    <s v="UI UX Design"/>
    <s v="B1"/>
    <s v="Saurabh"/>
    <s v="Mobile"/>
    <n v="10824"/>
    <s v="DISC15"/>
    <m/>
    <n v="9000"/>
    <d v="2024-02-16T00:00:00"/>
  </r>
  <r>
    <s v="S1277"/>
    <s v="Pooja Patil"/>
    <s v="C202"/>
    <s v="Data Science"/>
    <s v="B2"/>
    <s v="Amit"/>
    <s v="Mobile"/>
    <n v="13042"/>
    <s v="DISC30"/>
    <n v="0.3"/>
    <n v="13000"/>
    <d v="2024-02-01T00:00:00"/>
  </r>
  <r>
    <s v="S1278"/>
    <s v="Aarav Shah"/>
    <s v="C204"/>
    <s v="UI UX Design"/>
    <s v="B3"/>
    <s v="Priya"/>
    <s v="Web"/>
    <n v="7881"/>
    <s v="DISC15"/>
    <m/>
    <n v="9000"/>
    <d v="2024-01-23T00:00:00"/>
  </r>
  <r>
    <s v="S1279"/>
    <s v="Aarav Kulkarni"/>
    <s v="C203"/>
    <s v="Full Stack Dev"/>
    <s v="B2"/>
    <s v="Amit"/>
    <s v="Tablet"/>
    <n v="17754"/>
    <m/>
    <m/>
    <n v="17000"/>
    <d v="2024-01-19T00:00:00"/>
  </r>
  <r>
    <s v="S1280"/>
    <s v="Manish Kulkarni"/>
    <s v="C201"/>
    <s v="Data Analytics"/>
    <s v="B2"/>
    <s v="Saurabh"/>
    <s v="Mobile"/>
    <n v="14979"/>
    <s v="DISC30"/>
    <n v="0.3"/>
    <n v="14000"/>
    <d v="2024-02-18T00:00:00"/>
  </r>
  <r>
    <s v="S1281"/>
    <s v="Rahul Jain"/>
    <s v="C201"/>
    <s v="Data Analytics"/>
    <s v="B2"/>
    <s v="Saurabh"/>
    <s v="Tablet"/>
    <n v="14301"/>
    <s v="DISC20"/>
    <n v="0.2"/>
    <n v="14000"/>
    <d v="2024-01-24T00:00:00"/>
  </r>
  <r>
    <s v="S1282"/>
    <s v="Manish Rao"/>
    <s v="C201"/>
    <s v="Data Analytics"/>
    <s v="B2"/>
    <s v="Amit"/>
    <s v="Mobile"/>
    <n v="15130"/>
    <s v="DISC15"/>
    <m/>
    <n v="14000"/>
    <d v="2024-01-18T00:00:00"/>
  </r>
  <r>
    <s v="S1283"/>
    <s v="Meera Joshi"/>
    <s v="C201"/>
    <s v="Data Analytics"/>
    <s v="B1"/>
    <s v="Saurabh"/>
    <s v="Mobile"/>
    <n v="13528"/>
    <s v="DISC30"/>
    <n v="0.3"/>
    <n v="14000"/>
    <d v="2024-02-05T00:00:00"/>
  </r>
  <r>
    <s v="S1284"/>
    <s v="Pooja Patel"/>
    <s v="C202"/>
    <s v="Data Science"/>
    <s v="B1"/>
    <s v="Amit"/>
    <s v="Tablet"/>
    <n v="12644"/>
    <s v="DISC15"/>
    <m/>
    <n v="13000"/>
    <d v="2024-01-03T00:00:00"/>
  </r>
  <r>
    <s v="S1285"/>
    <s v="Aarav Kulkarni"/>
    <s v="C202"/>
    <s v="Data Science"/>
    <s v="B3"/>
    <s v="Priya"/>
    <s v="Mobile"/>
    <n v="13127"/>
    <m/>
    <m/>
    <n v="13000"/>
    <d v="2024-01-10T00:00:00"/>
  </r>
  <r>
    <s v="S1286"/>
    <s v="Kavita Gupta"/>
    <s v="C202"/>
    <s v="Data Science"/>
    <s v="B2"/>
    <s v="Amit"/>
    <s v="Mobile"/>
    <n v="11665"/>
    <m/>
    <m/>
    <n v="13000"/>
    <d v="2024-02-09T00:00:00"/>
  </r>
  <r>
    <s v="S1287"/>
    <s v="Anjali Nair"/>
    <s v="C203"/>
    <s v="Full Stack Dev"/>
    <s v="B3"/>
    <s v="Priya"/>
    <s v="Tablet"/>
    <n v="18392"/>
    <s v="DISC15"/>
    <m/>
    <n v="17000"/>
    <d v="2024-02-04T00:00:00"/>
  </r>
  <r>
    <s v="S1288"/>
    <s v="Neha Desai"/>
    <s v="C203"/>
    <s v="Full Stack Dev"/>
    <s v="B2"/>
    <s v="Saurabh"/>
    <s v="Mobile"/>
    <n v="16356"/>
    <s v="DISC10"/>
    <n v="0.1"/>
    <n v="17000"/>
    <d v="2024-01-27T00:00:00"/>
  </r>
  <r>
    <s v="S1289"/>
    <s v="Kavita Rao"/>
    <s v="C201"/>
    <s v="Data Analytics"/>
    <s v="B3"/>
    <s v="Priya"/>
    <s v="Mobile"/>
    <n v="15961"/>
    <s v="DISC15"/>
    <m/>
    <n v="14000"/>
    <d v="2024-02-06T00:00:00"/>
  </r>
  <r>
    <s v="S1290"/>
    <s v="Sneha Desai"/>
    <s v="C201"/>
    <s v="Data Analytics"/>
    <s v="B3"/>
    <s v="Priya"/>
    <s v="Web"/>
    <n v="14147"/>
    <s v="DISC15"/>
    <m/>
    <n v="14000"/>
    <d v="2024-02-19T00:00:00"/>
  </r>
  <r>
    <s v="S1291"/>
    <s v="Meera Verma"/>
    <s v="C202"/>
    <s v="Data Science"/>
    <s v="B3"/>
    <s v="Saurabh"/>
    <s v="Web"/>
    <n v="13345"/>
    <s v="DISC10"/>
    <n v="0.1"/>
    <n v="13000"/>
    <d v="2024-01-13T00:00:00"/>
  </r>
  <r>
    <s v="S1292"/>
    <s v="Aarav Iyer"/>
    <s v="C203"/>
    <s v="Full Stack Dev"/>
    <s v="B2"/>
    <s v="Saurabh"/>
    <s v="Mobile"/>
    <n v="17828"/>
    <s v="DISC20"/>
    <n v="0.2"/>
    <n v="17000"/>
    <d v="2024-01-27T00:00:00"/>
  </r>
  <r>
    <s v="S1293"/>
    <s v="Manish Patel"/>
    <s v="C204"/>
    <s v="UI UX Design"/>
    <s v="B3"/>
    <s v="Amit"/>
    <s v="Web"/>
    <n v="9890"/>
    <s v="DISC20"/>
    <n v="0.2"/>
    <n v="9000"/>
    <d v="2024-02-03T00:00:00"/>
  </r>
  <r>
    <s v="S1294"/>
    <s v="Sneha Gupta"/>
    <s v="C203"/>
    <s v="Full Stack Dev"/>
    <s v="B3"/>
    <s v="Priya"/>
    <s v="Tablet"/>
    <n v="16543"/>
    <s v="DISC30"/>
    <n v="0.3"/>
    <n v="17000"/>
    <d v="2024-01-12T00:00:00"/>
  </r>
  <r>
    <s v="S1295"/>
    <s v="Neha Gupta"/>
    <s v="C203"/>
    <s v="Full Stack Dev"/>
    <s v="B3"/>
    <s v="Priya"/>
    <s v="Tablet"/>
    <n v="18162"/>
    <s v="DISC30"/>
    <n v="0.3"/>
    <n v="17000"/>
    <d v="2024-02-09T00:00:00"/>
  </r>
  <r>
    <s v="S1296"/>
    <s v="Neha Patil"/>
    <s v="C202"/>
    <s v="Data Science"/>
    <s v="B2"/>
    <s v="Amit"/>
    <s v="Mobile"/>
    <n v="11921"/>
    <s v="DISC30"/>
    <n v="0.3"/>
    <n v="13000"/>
    <d v="2024-02-19T00:00:00"/>
  </r>
  <r>
    <s v="S1297"/>
    <s v="Aditya Desai"/>
    <s v="C202"/>
    <s v="Data Science"/>
    <s v="B3"/>
    <s v="Amit"/>
    <s v="Mobile"/>
    <n v="12298"/>
    <m/>
    <m/>
    <n v="13000"/>
    <d v="2024-01-23T00:00:00"/>
  </r>
  <r>
    <s v="S1298"/>
    <s v="Manish Patel"/>
    <s v="C203"/>
    <s v="Full Stack Dev"/>
    <s v="B2"/>
    <s v="Saurabh"/>
    <s v="Tablet"/>
    <n v="17771"/>
    <s v="DISC15"/>
    <m/>
    <n v="17000"/>
    <d v="2024-01-25T00:00:00"/>
  </r>
  <r>
    <s v="S1299"/>
    <s v="Kunal Verma"/>
    <s v="C203"/>
    <s v="Full Stack Dev"/>
    <s v="B1"/>
    <s v="Priya"/>
    <s v="Web"/>
    <n v="16178"/>
    <s v="DISC10"/>
    <n v="0.1"/>
    <n v="17000"/>
    <d v="2024-01-23T00:00:00"/>
  </r>
  <r>
    <s v="S1300"/>
    <s v="Kunal Iyer"/>
    <s v="C203"/>
    <s v="Full Stack Dev"/>
    <s v="B3"/>
    <s v="Priya"/>
    <s v="Web"/>
    <n v="15827"/>
    <s v="DISC15"/>
    <m/>
    <n v="17000"/>
    <d v="2024-01-18T00:00:00"/>
  </r>
  <r>
    <s v="S1301"/>
    <s v="Kunal Gupta"/>
    <s v="C203"/>
    <s v="Full Stack Dev"/>
    <s v="B1"/>
    <s v="Saurabh"/>
    <s v="Tablet"/>
    <n v="18034"/>
    <s v="DISC15"/>
    <m/>
    <n v="17000"/>
    <d v="2024-01-16T00:00:00"/>
  </r>
  <r>
    <s v="S1302"/>
    <s v="Sneha Kulkarni"/>
    <s v="C202"/>
    <s v="Data Science"/>
    <s v="B3"/>
    <s v="Saurabh"/>
    <s v="Web"/>
    <n v="11410"/>
    <m/>
    <m/>
    <n v="13000"/>
    <d v="2024-01-22T00:00:00"/>
  </r>
  <r>
    <s v="S1303"/>
    <s v="Anjali Iyer"/>
    <s v="C201"/>
    <s v="Data Analytics"/>
    <s v="B3"/>
    <s v="Saurabh"/>
    <s v="Web"/>
    <n v="15950"/>
    <s v="DISC15"/>
    <m/>
    <n v="14000"/>
    <d v="2024-02-29T00:00:00"/>
  </r>
  <r>
    <s v="S1304"/>
    <s v="Karan Verma"/>
    <s v="C204"/>
    <s v="UI UX Design"/>
    <s v="B2"/>
    <s v="Amit"/>
    <s v="Web"/>
    <n v="10096"/>
    <s v="DISC30"/>
    <n v="0.3"/>
    <n v="9000"/>
    <d v="2024-01-21T00:00:00"/>
  </r>
  <r>
    <s v="S1305"/>
    <s v="Aditya Singh"/>
    <s v="C201"/>
    <s v="Data Analytics"/>
    <s v="B1"/>
    <s v="Amit"/>
    <s v="Tablet"/>
    <n v="12951"/>
    <s v="DISC15"/>
    <m/>
    <n v="14000"/>
    <d v="2024-02-17T00:00:00"/>
  </r>
  <r>
    <s v="S1306"/>
    <s v="Anjali Nair"/>
    <s v="C201"/>
    <s v="Data Analytics"/>
    <s v="B1"/>
    <s v="Priya"/>
    <s v="Web"/>
    <n v="15825"/>
    <s v="DISC10"/>
    <n v="0.1"/>
    <n v="14000"/>
    <d v="2024-02-23T00:00:00"/>
  </r>
  <r>
    <s v="S1307"/>
    <s v="Rahul Patel"/>
    <s v="C204"/>
    <s v="UI UX Design"/>
    <s v="B1"/>
    <s v="Amit"/>
    <s v="Mobile"/>
    <n v="10591"/>
    <s v="DISC10"/>
    <n v="0.1"/>
    <n v="9000"/>
    <d v="2024-01-01T00:00:00"/>
  </r>
  <r>
    <s v="S1308"/>
    <s v="Aditya Joshi"/>
    <s v="C201"/>
    <s v="Data Analytics"/>
    <s v="B2"/>
    <s v="Priya"/>
    <s v="Mobile"/>
    <n v="14626"/>
    <s v="DISC15"/>
    <m/>
    <n v="14000"/>
    <d v="2024-02-03T00:00:00"/>
  </r>
  <r>
    <s v="S1309"/>
    <s v="Neha Mehta"/>
    <s v="C204"/>
    <s v="UI UX Design"/>
    <s v="B2"/>
    <s v="Saurabh"/>
    <s v="Web"/>
    <n v="8354"/>
    <s v="DISC20"/>
    <n v="0.2"/>
    <n v="9000"/>
    <d v="2024-02-16T00:00:00"/>
  </r>
  <r>
    <s v="S1310"/>
    <s v="Neha Singh"/>
    <s v="C203"/>
    <s v="Full Stack Dev"/>
    <s v="B3"/>
    <s v="Saurabh"/>
    <s v="Web"/>
    <n v="18017"/>
    <s v="DISC30"/>
    <n v="0.3"/>
    <n v="17000"/>
    <d v="2024-02-20T00:00:00"/>
  </r>
  <r>
    <s v="S1311"/>
    <s v="Aditya Joshi"/>
    <s v="C202"/>
    <s v="Data Science"/>
    <s v="B1"/>
    <s v="Amit"/>
    <s v="Tablet"/>
    <n v="14674"/>
    <m/>
    <m/>
    <n v="13000"/>
    <d v="2024-02-22T00:00:00"/>
  </r>
  <r>
    <s v="S1312"/>
    <s v="Rahul Gupta"/>
    <s v="C203"/>
    <s v="Full Stack Dev"/>
    <s v="B1"/>
    <s v="Priya"/>
    <s v="Tablet"/>
    <n v="15390"/>
    <s v="DISC20"/>
    <n v="0.2"/>
    <n v="17000"/>
    <d v="2024-01-09T00:00:00"/>
  </r>
  <r>
    <s v="S1313"/>
    <s v="Neha Jain"/>
    <s v="C202"/>
    <s v="Data Science"/>
    <s v="B1"/>
    <s v="Priya"/>
    <s v="Mobile"/>
    <n v="11964"/>
    <m/>
    <m/>
    <n v="13000"/>
    <d v="2024-02-18T00:00:00"/>
  </r>
  <r>
    <s v="S1314"/>
    <s v="Aditya Jain"/>
    <s v="C203"/>
    <s v="Full Stack Dev"/>
    <s v="B3"/>
    <s v="Amit"/>
    <s v="Tablet"/>
    <n v="15046"/>
    <s v="DISC30"/>
    <n v="0.3"/>
    <n v="17000"/>
    <d v="2024-02-11T00:00:00"/>
  </r>
  <r>
    <s v="S1315"/>
    <s v="Pooja Desai"/>
    <s v="C202"/>
    <s v="Data Science"/>
    <s v="B1"/>
    <s v="Amit"/>
    <s v="Web"/>
    <n v="12906"/>
    <s v="DISC30"/>
    <n v="0.3"/>
    <n v="13000"/>
    <d v="2024-01-11T00:00:00"/>
  </r>
  <r>
    <s v="S1316"/>
    <s v="Rahul Singh"/>
    <s v="C203"/>
    <s v="Full Stack Dev"/>
    <s v="B3"/>
    <s v="Saurabh"/>
    <s v="Tablet"/>
    <n v="18752"/>
    <s v="DISC30"/>
    <n v="0.3"/>
    <n v="17000"/>
    <d v="2024-01-24T00:00:00"/>
  </r>
  <r>
    <s v="S1317"/>
    <s v="Kavita Patil"/>
    <s v="C202"/>
    <s v="Data Science"/>
    <s v="B1"/>
    <s v="Priya"/>
    <s v="Web"/>
    <n v="12863"/>
    <s v="DISC15"/>
    <m/>
    <n v="13000"/>
    <d v="2024-01-24T00:00:00"/>
  </r>
  <r>
    <s v="S1318"/>
    <s v="Rahul Desai"/>
    <s v="C204"/>
    <s v="UI UX Design"/>
    <s v="B3"/>
    <s v="Amit"/>
    <s v="Web"/>
    <n v="10120"/>
    <s v="DISC20"/>
    <n v="0.2"/>
    <n v="9000"/>
    <d v="2024-02-13T00:00:00"/>
  </r>
  <r>
    <s v="S1319"/>
    <s v="Dev Joshi"/>
    <s v="C201"/>
    <s v="Data Analytics"/>
    <s v="B3"/>
    <s v="Priya"/>
    <s v="Tablet"/>
    <n v="14882"/>
    <s v="DISC30"/>
    <n v="0.3"/>
    <n v="14000"/>
    <d v="2024-01-05T00:00:00"/>
  </r>
  <r>
    <s v="S1320"/>
    <s v="Kunal Joshi"/>
    <s v="C201"/>
    <s v="Data Analytics"/>
    <s v="B1"/>
    <s v="Amit"/>
    <s v="Tablet"/>
    <n v="12828"/>
    <s v="DISC15"/>
    <m/>
    <n v="14000"/>
    <d v="2024-02-04T00:00:00"/>
  </r>
  <r>
    <s v="S1321"/>
    <s v="Karan Mehta"/>
    <s v="C203"/>
    <s v="Full Stack Dev"/>
    <s v="B3"/>
    <s v="Priya"/>
    <s v="Web"/>
    <n v="17786"/>
    <s v="DISC20"/>
    <n v="0.2"/>
    <n v="17000"/>
    <d v="2024-02-15T00:00:00"/>
  </r>
  <r>
    <s v="S1322"/>
    <s v="Kavita Iyer"/>
    <s v="C201"/>
    <s v="Data Analytics"/>
    <s v="B3"/>
    <s v="Priya"/>
    <s v="Web"/>
    <n v="13857"/>
    <s v="DISC20"/>
    <n v="0.2"/>
    <n v="14000"/>
    <d v="2024-02-02T00:00:00"/>
  </r>
  <r>
    <s v="S1323"/>
    <s v="Rahul Iyer"/>
    <s v="C201"/>
    <s v="Data Analytics"/>
    <s v="B3"/>
    <s v="Priya"/>
    <s v="Tablet"/>
    <n v="15305"/>
    <s v="DISC30"/>
    <n v="0.3"/>
    <n v="14000"/>
    <d v="2024-02-16T00:00:00"/>
  </r>
  <r>
    <s v="S1324"/>
    <s v="Aarav Verma"/>
    <s v="C203"/>
    <s v="Full Stack Dev"/>
    <s v="B1"/>
    <s v="Amit"/>
    <s v="Web"/>
    <n v="17368"/>
    <s v="DISC10"/>
    <n v="0.1"/>
    <n v="17000"/>
    <d v="2024-01-03T00:00:00"/>
  </r>
  <r>
    <s v="S1325"/>
    <s v="Rahul Jain"/>
    <s v="C201"/>
    <s v="Data Analytics"/>
    <s v="B3"/>
    <s v="Saurabh"/>
    <s v="Web"/>
    <n v="15824"/>
    <m/>
    <m/>
    <n v="14000"/>
    <d v="2024-01-03T00:00:00"/>
  </r>
  <r>
    <s v="S1326"/>
    <s v="Aditya Verma"/>
    <s v="C202"/>
    <s v="Data Science"/>
    <s v="B1"/>
    <s v="Amit"/>
    <s v="Tablet"/>
    <n v="13645"/>
    <m/>
    <m/>
    <n v="13000"/>
    <d v="2024-01-24T00:00:00"/>
  </r>
  <r>
    <s v="S1327"/>
    <s v="Kunal Verma"/>
    <s v="C204"/>
    <s v="UI UX Design"/>
    <s v="B2"/>
    <s v="Priya"/>
    <s v="Web"/>
    <n v="9796"/>
    <s v="DISC15"/>
    <m/>
    <n v="9000"/>
    <d v="2024-01-09T00:00:00"/>
  </r>
  <r>
    <s v="S1328"/>
    <s v="Rohit Nair"/>
    <s v="C203"/>
    <s v="Full Stack Dev"/>
    <s v="B1"/>
    <s v="Saurabh"/>
    <s v="Tablet"/>
    <n v="16609"/>
    <s v="DISC15"/>
    <m/>
    <n v="17000"/>
    <d v="2024-01-09T00:00:00"/>
  </r>
  <r>
    <s v="S1329"/>
    <s v="Anjali Patil"/>
    <s v="C201"/>
    <s v="Data Analytics"/>
    <s v="B1"/>
    <s v="Priya"/>
    <s v="Mobile"/>
    <n v="14758"/>
    <s v="DISC15"/>
    <m/>
    <n v="14000"/>
    <d v="2024-01-28T00:00:00"/>
  </r>
  <r>
    <s v="S1330"/>
    <s v="Manish Verma"/>
    <s v="C202"/>
    <s v="Data Science"/>
    <s v="B1"/>
    <s v="Priya"/>
    <s v="Mobile"/>
    <n v="11635"/>
    <s v="DISC30"/>
    <n v="0.3"/>
    <n v="13000"/>
    <d v="2024-01-13T00:00:00"/>
  </r>
  <r>
    <s v="S1331"/>
    <s v="Kunal Desai"/>
    <s v="C201"/>
    <s v="Data Analytics"/>
    <s v="B1"/>
    <s v="Amit"/>
    <s v="Mobile"/>
    <n v="14518"/>
    <s v="DISC10"/>
    <n v="0.1"/>
    <n v="14000"/>
    <d v="2024-01-16T00:00:00"/>
  </r>
  <r>
    <s v="S1332"/>
    <s v="Sneha Shah"/>
    <s v="C201"/>
    <s v="Data Analytics"/>
    <s v="B3"/>
    <s v="Saurabh"/>
    <s v="Mobile"/>
    <n v="14448"/>
    <s v="DISC10"/>
    <n v="0.1"/>
    <n v="14000"/>
    <d v="2024-01-16T00:00:00"/>
  </r>
  <r>
    <s v="S1333"/>
    <s v="Anjali Kulkarni"/>
    <s v="C204"/>
    <s v="UI UX Design"/>
    <s v="B2"/>
    <s v="Saurabh"/>
    <s v="Tablet"/>
    <n v="7889"/>
    <s v="DISC10"/>
    <n v="0.1"/>
    <n v="9000"/>
    <d v="2024-01-09T00:00:00"/>
  </r>
  <r>
    <s v="S1334"/>
    <s v="Manish Rao"/>
    <s v="C202"/>
    <s v="Data Science"/>
    <s v="B3"/>
    <s v="Amit"/>
    <s v="Mobile"/>
    <n v="13365"/>
    <s v="DISC15"/>
    <m/>
    <n v="13000"/>
    <d v="2024-02-19T00:00:00"/>
  </r>
  <r>
    <s v="S1335"/>
    <s v="Rohit Nair"/>
    <s v="C203"/>
    <s v="Full Stack Dev"/>
    <s v="B1"/>
    <s v="Priya"/>
    <s v="Web"/>
    <n v="17704"/>
    <s v="DISC15"/>
    <m/>
    <n v="17000"/>
    <d v="2024-01-15T00:00:00"/>
  </r>
  <r>
    <s v="S1336"/>
    <s v="Rahul Rao"/>
    <s v="C203"/>
    <s v="Full Stack Dev"/>
    <s v="B1"/>
    <s v="Amit"/>
    <s v="Tablet"/>
    <n v="18603"/>
    <s v="DISC20"/>
    <n v="0.2"/>
    <n v="17000"/>
    <d v="2024-02-10T00:00:00"/>
  </r>
  <r>
    <s v="S1337"/>
    <s v="Rohit Verma"/>
    <s v="C204"/>
    <s v="UI UX Design"/>
    <s v="B1"/>
    <s v="Priya"/>
    <s v="Tablet"/>
    <n v="9749"/>
    <m/>
    <m/>
    <n v="9000"/>
    <d v="2024-02-20T00:00:00"/>
  </r>
  <r>
    <s v="S1338"/>
    <s v="Manish Jain"/>
    <s v="C204"/>
    <s v="UI UX Design"/>
    <s v="B2"/>
    <s v="Saurabh"/>
    <s v="Mobile"/>
    <n v="8541"/>
    <s v="DISC20"/>
    <n v="0.2"/>
    <n v="9000"/>
    <d v="2024-02-18T00:00:00"/>
  </r>
  <r>
    <s v="S1339"/>
    <s v="Manish Iyer"/>
    <s v="C202"/>
    <s v="Data Science"/>
    <s v="B1"/>
    <s v="Priya"/>
    <s v="Tablet"/>
    <n v="11591"/>
    <m/>
    <m/>
    <n v="13000"/>
    <d v="2024-02-28T00:00:00"/>
  </r>
  <r>
    <s v="S1340"/>
    <s v="Aarav Gupta"/>
    <s v="C204"/>
    <s v="UI UX Design"/>
    <s v="B2"/>
    <s v="Amit"/>
    <s v="Tablet"/>
    <n v="7549"/>
    <m/>
    <m/>
    <n v="9000"/>
    <d v="2024-01-16T00:00:00"/>
  </r>
  <r>
    <s v="S1341"/>
    <s v="Aditya Patil"/>
    <s v="C203"/>
    <s v="Full Stack Dev"/>
    <s v="B3"/>
    <s v="Saurabh"/>
    <s v="Mobile"/>
    <n v="18469"/>
    <s v="DISC30"/>
    <n v="0.3"/>
    <n v="17000"/>
    <d v="2024-01-06T00:00:00"/>
  </r>
  <r>
    <s v="S1342"/>
    <s v="Manish Desai"/>
    <s v="C202"/>
    <s v="Data Science"/>
    <s v="B1"/>
    <s v="Priya"/>
    <s v="Mobile"/>
    <n v="13759"/>
    <s v="DISC15"/>
    <m/>
    <n v="13000"/>
    <d v="2024-02-08T00:00:00"/>
  </r>
  <r>
    <s v="S1343"/>
    <s v="Aarav Nair"/>
    <s v="C201"/>
    <s v="Data Analytics"/>
    <s v="B1"/>
    <s v="Amit"/>
    <s v="Tablet"/>
    <n v="14750"/>
    <s v="DISC15"/>
    <m/>
    <n v="14000"/>
    <d v="2024-01-14T00:00:00"/>
  </r>
  <r>
    <s v="S1344"/>
    <s v="Neha Patil"/>
    <s v="C203"/>
    <s v="Full Stack Dev"/>
    <s v="B2"/>
    <s v="Saurabh"/>
    <s v="Web"/>
    <n v="18838"/>
    <s v="DISC20"/>
    <n v="0.2"/>
    <n v="17000"/>
    <d v="2024-02-17T00:00:00"/>
  </r>
  <r>
    <s v="S1345"/>
    <s v="Riya Desai"/>
    <s v="C204"/>
    <s v="UI UX Design"/>
    <s v="B1"/>
    <s v="Amit"/>
    <s v="Tablet"/>
    <n v="9882"/>
    <s v="DISC20"/>
    <n v="0.2"/>
    <n v="9000"/>
    <d v="2024-01-26T00:00:00"/>
  </r>
  <r>
    <s v="S1346"/>
    <s v="Kunal Patil"/>
    <s v="C203"/>
    <s v="Full Stack Dev"/>
    <s v="B2"/>
    <s v="Priya"/>
    <s v="Mobile"/>
    <n v="17185"/>
    <s v="DISC30"/>
    <n v="0.3"/>
    <n v="17000"/>
    <d v="2024-01-20T00:00:00"/>
  </r>
  <r>
    <s v="S1347"/>
    <s v="Aditya Jain"/>
    <s v="C204"/>
    <s v="UI UX Design"/>
    <s v="B2"/>
    <s v="Saurabh"/>
    <s v="Tablet"/>
    <n v="8923"/>
    <s v="DISC30"/>
    <n v="0.3"/>
    <n v="9000"/>
    <d v="2024-02-28T00:00:00"/>
  </r>
  <r>
    <s v="S1348"/>
    <s v="Sneha Jain"/>
    <s v="C203"/>
    <s v="Full Stack Dev"/>
    <s v="B2"/>
    <s v="Saurabh"/>
    <s v="Tablet"/>
    <n v="18539"/>
    <s v="DISC20"/>
    <n v="0.2"/>
    <n v="17000"/>
    <d v="2024-02-17T00:00:00"/>
  </r>
  <r>
    <s v="S1349"/>
    <s v="Karan Kulkarni"/>
    <s v="C203"/>
    <s v="Full Stack Dev"/>
    <s v="B3"/>
    <s v="Amit"/>
    <s v="Tablet"/>
    <n v="17949"/>
    <m/>
    <m/>
    <n v="17000"/>
    <d v="2024-01-19T00:00:00"/>
  </r>
  <r>
    <s v="S1350"/>
    <s v="Karan Patil"/>
    <s v="C203"/>
    <s v="Full Stack Dev"/>
    <s v="B1"/>
    <s v="Priya"/>
    <s v="Tablet"/>
    <n v="18413"/>
    <s v="DISC20"/>
    <n v="0.2"/>
    <n v="17000"/>
    <d v="2024-02-01T00:00:00"/>
  </r>
  <r>
    <s v="S1351"/>
    <s v="Manish Singh"/>
    <s v="C203"/>
    <s v="Full Stack Dev"/>
    <s v="B2"/>
    <s v="Priya"/>
    <s v="Tablet"/>
    <n v="17628"/>
    <m/>
    <m/>
    <n v="17000"/>
    <d v="2024-01-30T00:00:00"/>
  </r>
  <r>
    <s v="S1352"/>
    <s v="Karan Desai"/>
    <s v="C203"/>
    <s v="Full Stack Dev"/>
    <s v="B1"/>
    <s v="Saurabh"/>
    <s v="Tablet"/>
    <n v="17238"/>
    <m/>
    <m/>
    <n v="17000"/>
    <d v="2024-01-12T00:00:00"/>
  </r>
  <r>
    <s v="S1353"/>
    <s v="Kunal Gupta"/>
    <s v="C201"/>
    <s v="Data Analytics"/>
    <s v="B3"/>
    <s v="Saurabh"/>
    <s v="Web"/>
    <n v="15871"/>
    <s v="DISC10"/>
    <n v="0.1"/>
    <n v="14000"/>
    <d v="2024-02-18T00:00:00"/>
  </r>
  <r>
    <s v="S1354"/>
    <s v="Aarav Verma"/>
    <s v="C202"/>
    <s v="Data Science"/>
    <s v="B3"/>
    <s v="Saurabh"/>
    <s v="Web"/>
    <n v="13896"/>
    <s v="DISC20"/>
    <n v="0.2"/>
    <n v="13000"/>
    <d v="2024-01-01T00:00:00"/>
  </r>
  <r>
    <s v="S1355"/>
    <s v="Sneha Gupta"/>
    <s v="C204"/>
    <s v="UI UX Design"/>
    <s v="B2"/>
    <s v="Saurabh"/>
    <s v="Tablet"/>
    <n v="9612"/>
    <s v="DISC15"/>
    <m/>
    <n v="9000"/>
    <d v="2024-02-28T00:00:00"/>
  </r>
  <r>
    <s v="S1356"/>
    <s v="Neha Singh"/>
    <s v="C204"/>
    <s v="UI UX Design"/>
    <s v="B1"/>
    <s v="Saurabh"/>
    <s v="Tablet"/>
    <n v="9259"/>
    <m/>
    <m/>
    <n v="9000"/>
    <d v="2024-01-01T00:00:00"/>
  </r>
  <r>
    <s v="S1357"/>
    <s v="Aarav Gupta"/>
    <s v="C203"/>
    <s v="Full Stack Dev"/>
    <s v="B3"/>
    <s v="Priya"/>
    <s v="Web"/>
    <n v="17057"/>
    <m/>
    <m/>
    <n v="17000"/>
    <d v="2024-02-21T00:00:00"/>
  </r>
  <r>
    <s v="S1358"/>
    <s v="Kunal Mehta"/>
    <s v="C201"/>
    <s v="Data Analytics"/>
    <s v="B1"/>
    <s v="Amit"/>
    <s v="Web"/>
    <n v="12987"/>
    <s v="DISC20"/>
    <n v="0.2"/>
    <n v="14000"/>
    <d v="2024-02-09T00:00:00"/>
  </r>
  <r>
    <s v="S1359"/>
    <s v="Manish Rao"/>
    <s v="C203"/>
    <s v="Full Stack Dev"/>
    <s v="B2"/>
    <s v="Priya"/>
    <s v="Web"/>
    <n v="16528"/>
    <m/>
    <m/>
    <n v="17000"/>
    <d v="2024-01-30T00:00:00"/>
  </r>
  <r>
    <s v="S1360"/>
    <s v="Kavita Patil"/>
    <s v="C202"/>
    <s v="Data Science"/>
    <s v="B2"/>
    <s v="Amit"/>
    <s v="Web"/>
    <n v="13677"/>
    <s v="DISC10"/>
    <n v="0.1"/>
    <n v="13000"/>
    <d v="2024-01-06T00:00:00"/>
  </r>
  <r>
    <s v="S1361"/>
    <s v="Rahul Verma"/>
    <s v="C204"/>
    <s v="UI UX Design"/>
    <s v="B3"/>
    <s v="Priya"/>
    <s v="Web"/>
    <n v="9608"/>
    <s v="DISC10"/>
    <n v="0.1"/>
    <n v="9000"/>
    <d v="2024-02-14T00:00:00"/>
  </r>
  <r>
    <s v="S1362"/>
    <s v="Karan Shah"/>
    <s v="C204"/>
    <s v="UI UX Design"/>
    <s v="B2"/>
    <s v="Amit"/>
    <s v="Mobile"/>
    <n v="9317"/>
    <s v="DISC10"/>
    <n v="0.1"/>
    <n v="9000"/>
    <d v="2024-02-27T00:00:00"/>
  </r>
  <r>
    <s v="S1363"/>
    <s v="Manish Kulkarni"/>
    <s v="C202"/>
    <s v="Data Science"/>
    <s v="B1"/>
    <s v="Amit"/>
    <s v="Tablet"/>
    <n v="12947"/>
    <s v="DISC30"/>
    <n v="0.3"/>
    <n v="13000"/>
    <d v="2024-01-03T00:00:00"/>
  </r>
  <r>
    <s v="S1364"/>
    <s v="Kunal Shah"/>
    <s v="C203"/>
    <s v="Full Stack Dev"/>
    <s v="B3"/>
    <s v="Amit"/>
    <s v="Tablet"/>
    <n v="15134"/>
    <s v="DISC20"/>
    <n v="0.2"/>
    <n v="17000"/>
    <d v="2024-02-29T00:00:00"/>
  </r>
  <r>
    <s v="S1365"/>
    <s v="Meera Jain"/>
    <s v="C201"/>
    <s v="Data Analytics"/>
    <s v="B1"/>
    <s v="Amit"/>
    <s v="Web"/>
    <n v="15081"/>
    <m/>
    <m/>
    <n v="14000"/>
    <d v="2024-02-29T00:00:00"/>
  </r>
  <r>
    <s v="S1366"/>
    <s v="Riya Rao"/>
    <s v="C202"/>
    <s v="Data Science"/>
    <s v="B3"/>
    <s v="Saurabh"/>
    <s v="Tablet"/>
    <n v="14418"/>
    <m/>
    <m/>
    <n v="13000"/>
    <d v="2024-02-13T00:00:00"/>
  </r>
  <r>
    <s v="S1367"/>
    <s v="Kunal Gupta"/>
    <s v="C203"/>
    <s v="Full Stack Dev"/>
    <s v="B2"/>
    <s v="Amit"/>
    <s v="Web"/>
    <n v="18237"/>
    <s v="DISC10"/>
    <n v="0.1"/>
    <n v="17000"/>
    <d v="2024-02-02T00:00:00"/>
  </r>
  <r>
    <s v="S1368"/>
    <s v="Anjali Jain"/>
    <s v="C201"/>
    <s v="Data Analytics"/>
    <s v="B1"/>
    <s v="Priya"/>
    <s v="Web"/>
    <n v="15435"/>
    <s v="DISC10"/>
    <n v="0.1"/>
    <n v="14000"/>
    <d v="2024-01-22T00:00:00"/>
  </r>
  <r>
    <s v="S1369"/>
    <s v="Kavita Patel"/>
    <s v="C204"/>
    <s v="UI UX Design"/>
    <s v="B2"/>
    <s v="Saurabh"/>
    <s v="Tablet"/>
    <n v="8119"/>
    <m/>
    <m/>
    <n v="9000"/>
    <d v="2024-02-01T00:00:00"/>
  </r>
  <r>
    <s v="S1370"/>
    <s v="Sneha Jain"/>
    <s v="C204"/>
    <s v="UI UX Design"/>
    <s v="B2"/>
    <s v="Saurabh"/>
    <s v="Tablet"/>
    <n v="9399"/>
    <m/>
    <m/>
    <n v="9000"/>
    <d v="2024-01-06T00:00:00"/>
  </r>
  <r>
    <s v="S1371"/>
    <s v="Dev Joshi"/>
    <s v="C203"/>
    <s v="Full Stack Dev"/>
    <s v="B1"/>
    <s v="Amit"/>
    <s v="Web"/>
    <n v="15336"/>
    <s v="DISC30"/>
    <n v="0.3"/>
    <n v="17000"/>
    <d v="2024-01-10T00:00:00"/>
  </r>
  <r>
    <s v="S1372"/>
    <s v="Rahul Desai"/>
    <s v="C202"/>
    <s v="Data Science"/>
    <s v="B3"/>
    <s v="Priya"/>
    <s v="Mobile"/>
    <n v="12477"/>
    <s v="DISC10"/>
    <n v="0.1"/>
    <n v="13000"/>
    <d v="2024-01-06T00:00:00"/>
  </r>
  <r>
    <s v="S1373"/>
    <s v="Aarav Rao"/>
    <s v="C204"/>
    <s v="UI UX Design"/>
    <s v="B2"/>
    <s v="Priya"/>
    <s v="Web"/>
    <n v="7542"/>
    <s v="DISC10"/>
    <n v="0.1"/>
    <n v="9000"/>
    <d v="2024-01-12T00:00:00"/>
  </r>
  <r>
    <s v="S1374"/>
    <s v="Rahul Iyer"/>
    <s v="C204"/>
    <s v="UI UX Design"/>
    <s v="B1"/>
    <s v="Saurabh"/>
    <s v="Web"/>
    <n v="8449"/>
    <s v="DISC15"/>
    <m/>
    <n v="9000"/>
    <d v="2024-01-06T00:00:00"/>
  </r>
  <r>
    <s v="S1375"/>
    <s v="Kavita Joshi"/>
    <s v="C203"/>
    <s v="Full Stack Dev"/>
    <s v="B2"/>
    <s v="Saurabh"/>
    <s v="Mobile"/>
    <n v="16694"/>
    <m/>
    <m/>
    <n v="17000"/>
    <d v="2024-02-19T00:00:00"/>
  </r>
  <r>
    <s v="S1376"/>
    <s v="Riya Desai"/>
    <s v="C202"/>
    <s v="Data Science"/>
    <s v="B3"/>
    <s v="Amit"/>
    <s v="Web"/>
    <n v="13807"/>
    <m/>
    <m/>
    <n v="13000"/>
    <d v="2024-01-11T00:00:00"/>
  </r>
  <r>
    <s v="S1377"/>
    <s v="Karan Rao"/>
    <s v="C203"/>
    <s v="Full Stack Dev"/>
    <s v="B2"/>
    <s v="Priya"/>
    <s v="Web"/>
    <n v="15259"/>
    <s v="DISC20"/>
    <n v="0.2"/>
    <n v="17000"/>
    <d v="2024-01-28T00:00:00"/>
  </r>
  <r>
    <s v="S1378"/>
    <s v="Aditya Verma"/>
    <s v="C203"/>
    <s v="Full Stack Dev"/>
    <s v="B2"/>
    <s v="Saurabh"/>
    <s v="Mobile"/>
    <n v="16030"/>
    <s v="DISC20"/>
    <n v="0.2"/>
    <n v="17000"/>
    <d v="2024-02-16T00:00:00"/>
  </r>
  <r>
    <s v="S1379"/>
    <s v="Rohit Iyer"/>
    <s v="C202"/>
    <s v="Data Science"/>
    <s v="B2"/>
    <s v="Saurabh"/>
    <s v="Web"/>
    <n v="12247"/>
    <s v="DISC10"/>
    <n v="0.1"/>
    <n v="13000"/>
    <d v="2024-03-01T00:00:00"/>
  </r>
  <r>
    <s v="S1380"/>
    <s v="Rahul Jain"/>
    <s v="C204"/>
    <s v="UI UX Design"/>
    <s v="B2"/>
    <s v="Priya"/>
    <s v="Mobile"/>
    <n v="8763"/>
    <s v="DISC15"/>
    <m/>
    <n v="9000"/>
    <d v="2024-01-09T00:00:00"/>
  </r>
  <r>
    <s v="S1381"/>
    <s v="Aditya Jain"/>
    <s v="C202"/>
    <s v="Data Science"/>
    <s v="B2"/>
    <s v="Priya"/>
    <s v="Web"/>
    <n v="14950"/>
    <m/>
    <m/>
    <n v="13000"/>
    <d v="2024-01-21T00:00:00"/>
  </r>
  <r>
    <s v="S1382"/>
    <s v="Aditya Desai"/>
    <s v="C204"/>
    <s v="UI UX Design"/>
    <s v="B3"/>
    <s v="Saurabh"/>
    <s v="Mobile"/>
    <n v="8540"/>
    <s v="DISC30"/>
    <n v="0.3"/>
    <n v="9000"/>
    <d v="2024-02-22T00:00:00"/>
  </r>
  <r>
    <s v="S1383"/>
    <s v="Dev Verma"/>
    <s v="C203"/>
    <s v="Full Stack Dev"/>
    <s v="B1"/>
    <s v="Amit"/>
    <s v="Web"/>
    <n v="17425"/>
    <s v="DISC15"/>
    <m/>
    <n v="17000"/>
    <d v="2024-01-12T00:00:00"/>
  </r>
  <r>
    <s v="S1384"/>
    <s v="Rohit Patel"/>
    <s v="C201"/>
    <s v="Data Analytics"/>
    <s v="B3"/>
    <s v="Priya"/>
    <s v="Tablet"/>
    <n v="12858"/>
    <m/>
    <m/>
    <n v="14000"/>
    <d v="2024-02-21T00:00:00"/>
  </r>
  <r>
    <s v="S1385"/>
    <s v="Aditya Nair"/>
    <s v="C201"/>
    <s v="Data Analytics"/>
    <s v="B2"/>
    <s v="Amit"/>
    <s v="Mobile"/>
    <n v="12570"/>
    <s v="DISC30"/>
    <n v="0.3"/>
    <n v="14000"/>
    <d v="2024-01-16T00:00:00"/>
  </r>
  <r>
    <s v="S1386"/>
    <s v="Aditya Singh"/>
    <s v="C202"/>
    <s v="Data Science"/>
    <s v="B3"/>
    <s v="Priya"/>
    <s v="Mobile"/>
    <n v="11302"/>
    <m/>
    <m/>
    <n v="13000"/>
    <d v="2024-02-08T00:00:00"/>
  </r>
  <r>
    <s v="S1387"/>
    <s v="Neha Joshi"/>
    <s v="C204"/>
    <s v="UI UX Design"/>
    <s v="B3"/>
    <s v="Amit"/>
    <s v="Tablet"/>
    <n v="8713"/>
    <s v="DISC15"/>
    <m/>
    <n v="9000"/>
    <d v="2024-01-03T00:00:00"/>
  </r>
  <r>
    <s v="S1388"/>
    <s v="Dev Jain"/>
    <s v="C201"/>
    <s v="Data Analytics"/>
    <s v="B1"/>
    <s v="Saurabh"/>
    <s v="Tablet"/>
    <n v="14722"/>
    <s v="DISC30"/>
    <n v="0.3"/>
    <n v="14000"/>
    <d v="2024-01-11T00:00:00"/>
  </r>
  <r>
    <s v="S1389"/>
    <s v="Rohit Joshi"/>
    <s v="C201"/>
    <s v="Data Analytics"/>
    <s v="B3"/>
    <s v="Amit"/>
    <s v="Tablet"/>
    <n v="14649"/>
    <m/>
    <m/>
    <n v="14000"/>
    <d v="2024-02-18T00:00:00"/>
  </r>
  <r>
    <s v="S1390"/>
    <s v="Pooja Patel"/>
    <s v="C204"/>
    <s v="UI UX Design"/>
    <s v="B1"/>
    <s v="Saurabh"/>
    <s v="Web"/>
    <n v="8059"/>
    <s v="DISC20"/>
    <n v="0.2"/>
    <n v="9000"/>
    <d v="2024-02-02T00:00:00"/>
  </r>
  <r>
    <s v="S1391"/>
    <s v="Anjali Gupta"/>
    <s v="C202"/>
    <s v="Data Science"/>
    <s v="B2"/>
    <s v="Priya"/>
    <s v="Mobile"/>
    <n v="12896"/>
    <s v="DISC15"/>
    <m/>
    <n v="13000"/>
    <d v="2024-02-14T00:00:00"/>
  </r>
  <r>
    <s v="S1392"/>
    <s v="Manish Mehta"/>
    <s v="C203"/>
    <s v="Full Stack Dev"/>
    <s v="B1"/>
    <s v="Priya"/>
    <s v="Web"/>
    <n v="16210"/>
    <m/>
    <m/>
    <n v="17000"/>
    <d v="2024-02-28T00:00:00"/>
  </r>
  <r>
    <s v="S1393"/>
    <s v="Riya Shah"/>
    <s v="C202"/>
    <s v="Data Science"/>
    <s v="B2"/>
    <s v="Priya"/>
    <s v="Mobile"/>
    <n v="12865"/>
    <s v="DISC20"/>
    <n v="0.2"/>
    <n v="13000"/>
    <d v="2024-02-03T00:00:00"/>
  </r>
  <r>
    <s v="S1394"/>
    <s v="Neha Jain"/>
    <s v="C204"/>
    <s v="UI UX Design"/>
    <s v="B1"/>
    <s v="Priya"/>
    <s v="Tablet"/>
    <n v="9853"/>
    <m/>
    <m/>
    <n v="9000"/>
    <d v="2024-01-21T00:00:00"/>
  </r>
  <r>
    <s v="S1395"/>
    <s v="Riya Rao"/>
    <s v="C201"/>
    <s v="Data Analytics"/>
    <s v="B3"/>
    <s v="Saurabh"/>
    <s v="Web"/>
    <n v="15478"/>
    <s v="DISC30"/>
    <n v="0.3"/>
    <n v="14000"/>
    <d v="2024-02-11T00:00:00"/>
  </r>
  <r>
    <s v="S1396"/>
    <s v="Riya Singh"/>
    <s v="C202"/>
    <s v="Data Science"/>
    <s v="B3"/>
    <s v="Saurabh"/>
    <s v="Tablet"/>
    <n v="11714"/>
    <s v="DISC15"/>
    <m/>
    <n v="13000"/>
    <d v="2024-01-11T00:00:00"/>
  </r>
  <r>
    <s v="S1397"/>
    <s v="Pooja Gupta"/>
    <s v="C204"/>
    <s v="UI UX Design"/>
    <s v="B2"/>
    <s v="Saurabh"/>
    <s v="Mobile"/>
    <n v="9579"/>
    <s v="DISC20"/>
    <n v="0.2"/>
    <n v="9000"/>
    <d v="2024-01-12T00:00:00"/>
  </r>
  <r>
    <s v="S1398"/>
    <s v="Rohit Singh"/>
    <s v="C204"/>
    <s v="UI UX Design"/>
    <s v="B2"/>
    <s v="Saurabh"/>
    <s v="Tablet"/>
    <n v="9515"/>
    <s v="DISC20"/>
    <n v="0.2"/>
    <n v="9000"/>
    <d v="2024-01-29T00:00:00"/>
  </r>
  <r>
    <s v="S1399"/>
    <s v="Kavita Verma"/>
    <s v="C204"/>
    <s v="UI UX Design"/>
    <s v="B1"/>
    <s v="Amit"/>
    <s v="Web"/>
    <n v="7842"/>
    <s v="DISC30"/>
    <n v="0.3"/>
    <n v="9000"/>
    <d v="2024-02-18T00:00:00"/>
  </r>
  <r>
    <s v="S1400"/>
    <s v="Anjali Patel"/>
    <s v="C201"/>
    <s v="Data Analytics"/>
    <s v="B3"/>
    <s v="Saurabh"/>
    <s v="Tablet"/>
    <n v="12765"/>
    <s v="DISC30"/>
    <n v="0.3"/>
    <n v="14000"/>
    <d v="2024-01-21T00:00:00"/>
  </r>
  <r>
    <s v="S1401"/>
    <s v="Sneha Iyer"/>
    <s v="C201"/>
    <s v="Data Analytics"/>
    <s v="B2"/>
    <s v="Amit"/>
    <s v="Mobile"/>
    <n v="14161"/>
    <s v="DISC30"/>
    <n v="0.3"/>
    <n v="14000"/>
    <d v="2024-02-08T00:00:00"/>
  </r>
  <r>
    <s v="S1402"/>
    <s v="Rahul Joshi"/>
    <s v="C204"/>
    <s v="UI UX Design"/>
    <s v="B3"/>
    <s v="Saurabh"/>
    <s v="Mobile"/>
    <n v="8441"/>
    <m/>
    <m/>
    <n v="9000"/>
    <d v="2024-02-09T00:00:00"/>
  </r>
  <r>
    <s v="S1403"/>
    <s v="Karan Nair"/>
    <s v="C203"/>
    <s v="Full Stack Dev"/>
    <s v="B3"/>
    <s v="Amit"/>
    <s v="Web"/>
    <n v="17752"/>
    <s v="DISC20"/>
    <n v="0.2"/>
    <n v="17000"/>
    <d v="2024-01-21T00:00:00"/>
  </r>
  <r>
    <s v="S1404"/>
    <s v="Riya Patil"/>
    <s v="C203"/>
    <s v="Full Stack Dev"/>
    <s v="B1"/>
    <s v="Saurabh"/>
    <s v="Mobile"/>
    <n v="17840"/>
    <s v="DISC20"/>
    <n v="0.2"/>
    <n v="17000"/>
    <d v="2024-02-02T00:00:00"/>
  </r>
  <r>
    <s v="S1405"/>
    <s v="Rahul Verma"/>
    <s v="C202"/>
    <s v="Data Science"/>
    <s v="B3"/>
    <s v="Priya"/>
    <s v="Mobile"/>
    <n v="11760"/>
    <m/>
    <m/>
    <n v="13000"/>
    <d v="2024-02-10T00:00:00"/>
  </r>
  <r>
    <s v="S1406"/>
    <s v="Manish Desai"/>
    <s v="C202"/>
    <s v="Data Science"/>
    <s v="B3"/>
    <s v="Saurabh"/>
    <s v="Mobile"/>
    <n v="12183"/>
    <s v="DISC20"/>
    <n v="0.2"/>
    <n v="13000"/>
    <d v="2024-01-12T00:00:00"/>
  </r>
  <r>
    <s v="S1407"/>
    <s v="Pooja Nair"/>
    <s v="C204"/>
    <s v="UI UX Design"/>
    <s v="B3"/>
    <s v="Saurabh"/>
    <s v="Mobile"/>
    <n v="10898"/>
    <s v="DISC10"/>
    <n v="0.1"/>
    <n v="9000"/>
    <d v="2024-02-01T00:00:00"/>
  </r>
  <r>
    <s v="S1408"/>
    <s v="Karan Patil"/>
    <s v="C204"/>
    <s v="UI UX Design"/>
    <s v="B3"/>
    <s v="Amit"/>
    <s v="Tablet"/>
    <n v="9027"/>
    <m/>
    <m/>
    <n v="9000"/>
    <d v="2024-02-13T00:00:00"/>
  </r>
  <r>
    <s v="S1409"/>
    <s v="Neha Verma"/>
    <s v="C204"/>
    <s v="UI UX Design"/>
    <s v="B2"/>
    <s v="Saurabh"/>
    <s v="Web"/>
    <n v="9315"/>
    <s v="DISC10"/>
    <n v="0.1"/>
    <n v="9000"/>
    <d v="2024-02-20T00:00:00"/>
  </r>
  <r>
    <s v="S1410"/>
    <s v="Dev Patil"/>
    <s v="C203"/>
    <s v="Full Stack Dev"/>
    <s v="B1"/>
    <s v="Priya"/>
    <s v="Web"/>
    <n v="17202"/>
    <s v="DISC30"/>
    <n v="0.3"/>
    <n v="17000"/>
    <d v="2024-01-11T00:00:00"/>
  </r>
  <r>
    <s v="S1411"/>
    <s v="Dev Iyer"/>
    <s v="C204"/>
    <s v="UI UX Design"/>
    <s v="B3"/>
    <s v="Amit"/>
    <s v="Web"/>
    <n v="9345"/>
    <s v="DISC10"/>
    <n v="0.1"/>
    <n v="9000"/>
    <d v="2024-01-18T00:00:00"/>
  </r>
  <r>
    <s v="S1412"/>
    <s v="Dev Gupta"/>
    <s v="C203"/>
    <s v="Full Stack Dev"/>
    <s v="B3"/>
    <s v="Saurabh"/>
    <s v="Tablet"/>
    <n v="16807"/>
    <s v="DISC15"/>
    <m/>
    <n v="17000"/>
    <d v="2024-01-14T00:00:00"/>
  </r>
  <r>
    <s v="S1413"/>
    <s v="Rahul Shah"/>
    <s v="C202"/>
    <s v="Data Science"/>
    <s v="B2"/>
    <s v="Saurabh"/>
    <s v="Mobile"/>
    <n v="12076"/>
    <s v="DISC30"/>
    <n v="0.3"/>
    <n v="13000"/>
    <d v="2024-02-25T00:00:00"/>
  </r>
  <r>
    <s v="S1414"/>
    <s v="Meera Shah"/>
    <s v="C204"/>
    <s v="UI UX Design"/>
    <s v="B1"/>
    <s v="Saurabh"/>
    <s v="Web"/>
    <n v="10320"/>
    <s v="DISC15"/>
    <m/>
    <n v="9000"/>
    <d v="2024-02-14T00:00:00"/>
  </r>
  <r>
    <s v="S1415"/>
    <s v="Pooja Nair"/>
    <s v="C204"/>
    <s v="UI UX Design"/>
    <s v="B1"/>
    <s v="Amit"/>
    <s v="Web"/>
    <n v="10214"/>
    <s v="DISC20"/>
    <n v="0.2"/>
    <n v="9000"/>
    <d v="2024-02-22T00:00:00"/>
  </r>
  <r>
    <s v="S1416"/>
    <s v="Sneha Patel"/>
    <s v="C201"/>
    <s v="Data Analytics"/>
    <s v="B3"/>
    <s v="Priya"/>
    <s v="Tablet"/>
    <n v="13151"/>
    <s v="DISC15"/>
    <m/>
    <n v="14000"/>
    <d v="2024-02-04T00:00:00"/>
  </r>
  <r>
    <s v="S1417"/>
    <s v="Karan Jain"/>
    <s v="C203"/>
    <s v="Full Stack Dev"/>
    <s v="B2"/>
    <s v="Amit"/>
    <s v="Mobile"/>
    <n v="18901"/>
    <s v="DISC15"/>
    <m/>
    <n v="17000"/>
    <d v="2024-02-27T00:00:00"/>
  </r>
  <r>
    <s v="S1418"/>
    <s v="Rohit Nair"/>
    <s v="C201"/>
    <s v="Data Analytics"/>
    <s v="B1"/>
    <s v="Priya"/>
    <s v="Web"/>
    <n v="13135"/>
    <s v="DISC20"/>
    <n v="0.2"/>
    <n v="14000"/>
    <d v="2024-02-14T00:00:00"/>
  </r>
  <r>
    <s v="S1419"/>
    <s v="Meera Mehta"/>
    <s v="C202"/>
    <s v="Data Science"/>
    <s v="B1"/>
    <s v="Amit"/>
    <s v="Mobile"/>
    <n v="14393"/>
    <s v="DISC20"/>
    <n v="0.2"/>
    <n v="13000"/>
    <d v="2024-02-18T00:00:00"/>
  </r>
  <r>
    <s v="S1420"/>
    <s v="Meera Singh"/>
    <s v="C204"/>
    <s v="UI UX Design"/>
    <s v="B2"/>
    <s v="Saurabh"/>
    <s v="Tablet"/>
    <n v="9590"/>
    <s v="DISC30"/>
    <n v="0.3"/>
    <n v="9000"/>
    <d v="2024-02-10T00:00:00"/>
  </r>
  <r>
    <s v="S1421"/>
    <s v="Rahul Verma"/>
    <s v="C204"/>
    <s v="UI UX Design"/>
    <s v="B1"/>
    <s v="Amit"/>
    <s v="Web"/>
    <n v="8650"/>
    <s v="DISC15"/>
    <m/>
    <n v="9000"/>
    <d v="2024-02-17T00:00:00"/>
  </r>
  <r>
    <s v="S1422"/>
    <s v="Aditya Desai"/>
    <s v="C203"/>
    <s v="Full Stack Dev"/>
    <s v="B2"/>
    <s v="Priya"/>
    <s v="Mobile"/>
    <n v="17383"/>
    <s v="DISC10"/>
    <n v="0.1"/>
    <n v="17000"/>
    <d v="2024-02-25T00:00:00"/>
  </r>
  <r>
    <s v="S1423"/>
    <s v="Dev Nair"/>
    <s v="C201"/>
    <s v="Data Analytics"/>
    <s v="B3"/>
    <s v="Priya"/>
    <s v="Tablet"/>
    <n v="14720"/>
    <s v="DISC30"/>
    <n v="0.3"/>
    <n v="14000"/>
    <d v="2024-02-24T00:00:00"/>
  </r>
  <r>
    <s v="S1424"/>
    <s v="Riya Patel"/>
    <s v="C204"/>
    <s v="UI UX Design"/>
    <s v="B1"/>
    <s v="Priya"/>
    <s v="Web"/>
    <n v="9026"/>
    <s v="DISC30"/>
    <n v="0.3"/>
    <n v="9000"/>
    <d v="2024-01-21T00:00:00"/>
  </r>
  <r>
    <s v="S1425"/>
    <s v="Meera Rao"/>
    <s v="C203"/>
    <s v="Full Stack Dev"/>
    <s v="B3"/>
    <s v="Amit"/>
    <s v="Web"/>
    <n v="17318"/>
    <m/>
    <m/>
    <n v="17000"/>
    <d v="2024-02-20T00:00:00"/>
  </r>
  <r>
    <s v="S1426"/>
    <s v="Pooja Singh"/>
    <s v="C201"/>
    <s v="Data Analytics"/>
    <s v="B1"/>
    <s v="Saurabh"/>
    <s v="Tablet"/>
    <n v="15210"/>
    <m/>
    <m/>
    <n v="14000"/>
    <d v="2024-01-02T00:00:00"/>
  </r>
  <r>
    <s v="S1427"/>
    <s v="Riya Nair"/>
    <s v="C202"/>
    <s v="Data Science"/>
    <s v="B2"/>
    <s v="Priya"/>
    <s v="Web"/>
    <n v="14924"/>
    <m/>
    <m/>
    <n v="13000"/>
    <d v="2024-01-13T00:00:00"/>
  </r>
  <r>
    <s v="S1428"/>
    <s v="Anjali Mehta"/>
    <s v="C203"/>
    <s v="Full Stack Dev"/>
    <s v="B1"/>
    <s v="Priya"/>
    <s v="Web"/>
    <n v="17681"/>
    <s v="DISC30"/>
    <n v="0.3"/>
    <n v="17000"/>
    <d v="2024-01-17T00:00:00"/>
  </r>
  <r>
    <s v="S1429"/>
    <s v="Riya Jain"/>
    <s v="C202"/>
    <s v="Data Science"/>
    <s v="B1"/>
    <s v="Priya"/>
    <s v="Tablet"/>
    <n v="12251"/>
    <s v="DISC20"/>
    <n v="0.2"/>
    <n v="13000"/>
    <d v="2024-01-28T00:00:00"/>
  </r>
  <r>
    <s v="S1430"/>
    <s v="Rohit Shah"/>
    <s v="C201"/>
    <s v="Data Analytics"/>
    <s v="B1"/>
    <s v="Saurabh"/>
    <s v="Mobile"/>
    <n v="12319"/>
    <s v="DISC20"/>
    <n v="0.2"/>
    <n v="14000"/>
    <d v="2024-02-07T00:00:00"/>
  </r>
  <r>
    <s v="S1431"/>
    <s v="Sneha Gupta"/>
    <s v="C204"/>
    <s v="UI UX Design"/>
    <s v="B1"/>
    <s v="Saurabh"/>
    <s v="Tablet"/>
    <n v="8407"/>
    <s v="DISC10"/>
    <n v="0.1"/>
    <n v="9000"/>
    <d v="2024-02-25T00:00:00"/>
  </r>
  <r>
    <s v="S1432"/>
    <s v="Rahul Desai"/>
    <s v="C202"/>
    <s v="Data Science"/>
    <s v="B2"/>
    <s v="Saurabh"/>
    <s v="Web"/>
    <n v="12569"/>
    <s v="DISC10"/>
    <n v="0.1"/>
    <n v="13000"/>
    <d v="2024-02-16T00:00:00"/>
  </r>
  <r>
    <s v="S1433"/>
    <s v="Dev Shah"/>
    <s v="C201"/>
    <s v="Data Analytics"/>
    <s v="B2"/>
    <s v="Priya"/>
    <s v="Mobile"/>
    <n v="12561"/>
    <m/>
    <m/>
    <n v="14000"/>
    <d v="2024-02-19T00:00:00"/>
  </r>
  <r>
    <s v="S1434"/>
    <s v="Meera Patel"/>
    <s v="C202"/>
    <s v="Data Science"/>
    <s v="B3"/>
    <s v="Amit"/>
    <s v="Web"/>
    <n v="11280"/>
    <s v="DISC15"/>
    <m/>
    <n v="13000"/>
    <d v="2024-02-06T00:00:00"/>
  </r>
  <r>
    <s v="S1435"/>
    <s v="Aarav Joshi"/>
    <s v="C202"/>
    <s v="Data Science"/>
    <s v="B2"/>
    <s v="Priya"/>
    <s v="Tablet"/>
    <n v="11872"/>
    <s v="DISC20"/>
    <n v="0.2"/>
    <n v="13000"/>
    <d v="2024-02-28T00:00:00"/>
  </r>
  <r>
    <s v="S1436"/>
    <s v="Rahul Joshi"/>
    <s v="C204"/>
    <s v="UI UX Design"/>
    <s v="B1"/>
    <s v="Saurabh"/>
    <s v="Web"/>
    <n v="7573"/>
    <s v="DISC10"/>
    <n v="0.1"/>
    <n v="9000"/>
    <d v="2024-02-07T00:00:00"/>
  </r>
  <r>
    <s v="S1437"/>
    <s v="Anjali Verma"/>
    <s v="C203"/>
    <s v="Full Stack Dev"/>
    <s v="B2"/>
    <s v="Priya"/>
    <s v="Web"/>
    <n v="16014"/>
    <s v="DISC30"/>
    <n v="0.3"/>
    <n v="17000"/>
    <d v="2024-02-11T00:00:00"/>
  </r>
  <r>
    <s v="S1438"/>
    <s v="Riya Patil"/>
    <s v="C203"/>
    <s v="Full Stack Dev"/>
    <s v="B3"/>
    <s v="Saurabh"/>
    <s v="Tablet"/>
    <n v="18587"/>
    <s v="DISC30"/>
    <n v="0.3"/>
    <n v="17000"/>
    <d v="2024-01-14T00:00:00"/>
  </r>
  <r>
    <s v="S1439"/>
    <s v="Manish Joshi"/>
    <s v="C202"/>
    <s v="Data Science"/>
    <s v="B3"/>
    <s v="Priya"/>
    <s v="Mobile"/>
    <n v="13646"/>
    <s v="DISC10"/>
    <n v="0.1"/>
    <n v="13000"/>
    <d v="2024-02-20T00:00:00"/>
  </r>
  <r>
    <s v="S1440"/>
    <s v="Kunal Patel"/>
    <s v="C202"/>
    <s v="Data Science"/>
    <s v="B2"/>
    <s v="Priya"/>
    <s v="Web"/>
    <n v="11987"/>
    <m/>
    <m/>
    <n v="13000"/>
    <d v="2024-02-10T00:00:00"/>
  </r>
  <r>
    <s v="S1441"/>
    <s v="Kavita Shah"/>
    <s v="C201"/>
    <s v="Data Analytics"/>
    <s v="B2"/>
    <s v="Priya"/>
    <s v="Web"/>
    <n v="13584"/>
    <s v="DISC15"/>
    <m/>
    <n v="14000"/>
    <d v="2024-01-27T00:00:00"/>
  </r>
  <r>
    <s v="S1442"/>
    <s v="Pooja Gupta"/>
    <s v="C202"/>
    <s v="Data Science"/>
    <s v="B2"/>
    <s v="Saurabh"/>
    <s v="Web"/>
    <n v="13405"/>
    <s v="DISC10"/>
    <n v="0.1"/>
    <n v="13000"/>
    <d v="2024-01-01T00:00:00"/>
  </r>
  <r>
    <s v="S1443"/>
    <s v="Aditya Patil"/>
    <s v="C201"/>
    <s v="Data Analytics"/>
    <s v="B1"/>
    <s v="Priya"/>
    <s v="Tablet"/>
    <n v="13173"/>
    <s v="DISC15"/>
    <m/>
    <n v="14000"/>
    <d v="2024-02-19T00:00:00"/>
  </r>
  <r>
    <s v="S1444"/>
    <s v="Rahul Verma"/>
    <s v="C204"/>
    <s v="UI UX Design"/>
    <s v="B1"/>
    <s v="Amit"/>
    <s v="Tablet"/>
    <n v="9202"/>
    <s v="DISC15"/>
    <m/>
    <n v="9000"/>
    <d v="2024-01-10T00:00:00"/>
  </r>
  <r>
    <s v="S1445"/>
    <s v="Aditya Shah"/>
    <s v="C203"/>
    <s v="Full Stack Dev"/>
    <s v="B1"/>
    <s v="Amit"/>
    <s v="Web"/>
    <n v="18990"/>
    <s v="DISC20"/>
    <n v="0.2"/>
    <n v="17000"/>
    <d v="2024-02-04T00:00:00"/>
  </r>
  <r>
    <s v="S1446"/>
    <s v="Pooja Verma"/>
    <s v="C201"/>
    <s v="Data Analytics"/>
    <s v="B2"/>
    <s v="Amit"/>
    <s v="Mobile"/>
    <n v="14989"/>
    <s v="DISC20"/>
    <n v="0.2"/>
    <n v="14000"/>
    <d v="2024-01-04T00:00:00"/>
  </r>
  <r>
    <s v="S1447"/>
    <s v="Sneha Shah"/>
    <s v="C204"/>
    <s v="UI UX Design"/>
    <s v="B1"/>
    <s v="Priya"/>
    <s v="Tablet"/>
    <n v="9493"/>
    <s v="DISC10"/>
    <n v="0.1"/>
    <n v="9000"/>
    <d v="2024-01-20T00:00:00"/>
  </r>
  <r>
    <s v="S1448"/>
    <s v="Rohit Desai"/>
    <s v="C202"/>
    <s v="Data Science"/>
    <s v="B1"/>
    <s v="Saurabh"/>
    <s v="Tablet"/>
    <n v="11562"/>
    <s v="DISC10"/>
    <n v="0.1"/>
    <n v="13000"/>
    <d v="2024-01-11T00:00:00"/>
  </r>
  <r>
    <s v="S1449"/>
    <s v="Neha Jain"/>
    <s v="C203"/>
    <s v="Full Stack Dev"/>
    <s v="B1"/>
    <s v="Priya"/>
    <s v="Web"/>
    <n v="18071"/>
    <s v="DISC30"/>
    <n v="0.3"/>
    <n v="17000"/>
    <d v="2024-02-16T00:00:00"/>
  </r>
  <r>
    <s v="S1450"/>
    <s v="Kunal Shah"/>
    <s v="C201"/>
    <s v="Data Analytics"/>
    <s v="B2"/>
    <s v="Priya"/>
    <s v="Mobile"/>
    <n v="14145"/>
    <s v="DISC10"/>
    <n v="0.1"/>
    <n v="14000"/>
    <d v="2024-01-17T00:00:00"/>
  </r>
  <r>
    <s v="S1451"/>
    <s v="Anjali Joshi"/>
    <s v="C201"/>
    <s v="Data Analytics"/>
    <s v="B2"/>
    <s v="Priya"/>
    <s v="Tablet"/>
    <n v="13475"/>
    <s v="DISC10"/>
    <n v="0.1"/>
    <n v="14000"/>
    <d v="2024-02-01T00:00:00"/>
  </r>
  <r>
    <s v="S1452"/>
    <s v="Meera Joshi"/>
    <s v="C202"/>
    <s v="Data Science"/>
    <s v="B2"/>
    <s v="Saurabh"/>
    <s v="Mobile"/>
    <n v="14167"/>
    <s v="DISC10"/>
    <n v="0.1"/>
    <n v="13000"/>
    <d v="2024-02-27T00:00:00"/>
  </r>
  <r>
    <s v="S1453"/>
    <s v="Kavita Singh"/>
    <s v="C201"/>
    <s v="Data Analytics"/>
    <s v="B1"/>
    <s v="Amit"/>
    <s v="Tablet"/>
    <n v="12010"/>
    <s v="DISC10"/>
    <n v="0.1"/>
    <n v="14000"/>
    <d v="2024-02-24T00:00:00"/>
  </r>
  <r>
    <s v="S1454"/>
    <s v="Meera Kulkarni"/>
    <s v="C202"/>
    <s v="Data Science"/>
    <s v="B1"/>
    <s v="Priya"/>
    <s v="Mobile"/>
    <n v="12568"/>
    <s v="DISC20"/>
    <n v="0.2"/>
    <n v="13000"/>
    <d v="2024-01-12T00:00:00"/>
  </r>
  <r>
    <s v="S1455"/>
    <s v="Kunal Nair"/>
    <s v="C201"/>
    <s v="Data Analytics"/>
    <s v="B3"/>
    <s v="Amit"/>
    <s v="Tablet"/>
    <n v="14685"/>
    <m/>
    <m/>
    <n v="14000"/>
    <d v="2024-01-15T00:00:00"/>
  </r>
  <r>
    <s v="S1456"/>
    <s v="Pooja Patil"/>
    <s v="C204"/>
    <s v="UI UX Design"/>
    <s v="B3"/>
    <s v="Priya"/>
    <s v="Mobile"/>
    <n v="10383"/>
    <s v="DISC10"/>
    <n v="0.1"/>
    <n v="9000"/>
    <d v="2024-02-06T00:00:00"/>
  </r>
  <r>
    <s v="S1457"/>
    <s v="Pooja Shah"/>
    <s v="C201"/>
    <s v="Data Analytics"/>
    <s v="B1"/>
    <s v="Saurabh"/>
    <s v="Tablet"/>
    <n v="12188"/>
    <m/>
    <m/>
    <n v="14000"/>
    <d v="2024-01-05T00:00:00"/>
  </r>
  <r>
    <s v="S1458"/>
    <s v="Kunal Iyer"/>
    <s v="C203"/>
    <s v="Full Stack Dev"/>
    <s v="B2"/>
    <s v="Priya"/>
    <s v="Web"/>
    <n v="17265"/>
    <m/>
    <m/>
    <n v="17000"/>
    <d v="2024-01-01T00:00:00"/>
  </r>
  <r>
    <s v="S1459"/>
    <s v="Pooja Patil"/>
    <s v="C203"/>
    <s v="Full Stack Dev"/>
    <s v="B3"/>
    <s v="Priya"/>
    <s v="Tablet"/>
    <n v="17550"/>
    <s v="DISC20"/>
    <n v="0.2"/>
    <n v="17000"/>
    <d v="2024-01-30T00:00:00"/>
  </r>
  <r>
    <s v="S1460"/>
    <s v="Pooja Joshi"/>
    <s v="C204"/>
    <s v="UI UX Design"/>
    <s v="B1"/>
    <s v="Amit"/>
    <s v="Tablet"/>
    <n v="10114"/>
    <s v="DISC20"/>
    <n v="0.2"/>
    <n v="9000"/>
    <d v="2024-01-10T00:00:00"/>
  </r>
  <r>
    <s v="S1461"/>
    <s v="Aarav Verma"/>
    <s v="C201"/>
    <s v="Data Analytics"/>
    <s v="B1"/>
    <s v="Amit"/>
    <s v="Mobile"/>
    <n v="14604"/>
    <s v="DISC10"/>
    <n v="0.1"/>
    <n v="14000"/>
    <d v="2024-03-01T00:00:00"/>
  </r>
  <r>
    <s v="S1462"/>
    <s v="Pooja Kulkarni"/>
    <s v="C204"/>
    <s v="UI UX Design"/>
    <s v="B3"/>
    <s v="Amit"/>
    <s v="Mobile"/>
    <n v="7425"/>
    <s v="DISC20"/>
    <n v="0.2"/>
    <n v="9000"/>
    <d v="2024-02-03T00:00:00"/>
  </r>
  <r>
    <s v="S1463"/>
    <s v="Sneha Verma"/>
    <s v="C204"/>
    <s v="UI UX Design"/>
    <s v="B1"/>
    <s v="Saurabh"/>
    <s v="Tablet"/>
    <n v="8146"/>
    <s v="DISC10"/>
    <n v="0.1"/>
    <n v="9000"/>
    <d v="2024-01-03T00:00:00"/>
  </r>
  <r>
    <s v="S1464"/>
    <s v="Kunal Patil"/>
    <s v="C204"/>
    <s v="UI UX Design"/>
    <s v="B3"/>
    <s v="Priya"/>
    <s v="Mobile"/>
    <n v="10991"/>
    <s v="DISC10"/>
    <n v="0.1"/>
    <n v="9000"/>
    <d v="2024-02-07T00:00:00"/>
  </r>
  <r>
    <s v="S1465"/>
    <s v="Riya Gupta"/>
    <s v="C202"/>
    <s v="Data Science"/>
    <s v="B3"/>
    <s v="Priya"/>
    <s v="Web"/>
    <n v="13424"/>
    <s v="DISC15"/>
    <m/>
    <n v="13000"/>
    <d v="2024-01-04T00:00:00"/>
  </r>
  <r>
    <s v="S1466"/>
    <s v="Rahul Singh"/>
    <s v="C202"/>
    <s v="Data Science"/>
    <s v="B1"/>
    <s v="Priya"/>
    <s v="Mobile"/>
    <n v="14485"/>
    <s v="DISC30"/>
    <n v="0.3"/>
    <n v="13000"/>
    <d v="2024-02-29T00:00:00"/>
  </r>
  <r>
    <s v="S1467"/>
    <s v="Dev Verma"/>
    <s v="C203"/>
    <s v="Full Stack Dev"/>
    <s v="B2"/>
    <s v="Priya"/>
    <s v="Mobile"/>
    <n v="15956"/>
    <s v="DISC10"/>
    <n v="0.1"/>
    <n v="17000"/>
    <d v="2024-03-01T00:00:00"/>
  </r>
  <r>
    <s v="S1468"/>
    <s v="Sneha Mehta"/>
    <s v="C201"/>
    <s v="Data Analytics"/>
    <s v="B1"/>
    <s v="Saurabh"/>
    <s v="Web"/>
    <n v="13841"/>
    <m/>
    <m/>
    <n v="14000"/>
    <d v="2024-01-21T00:00:00"/>
  </r>
  <r>
    <s v="S1469"/>
    <s v="Rahul Shah"/>
    <s v="C203"/>
    <s v="Full Stack Dev"/>
    <s v="B1"/>
    <s v="Priya"/>
    <s v="Mobile"/>
    <n v="16897"/>
    <s v="DISC30"/>
    <n v="0.3"/>
    <n v="17000"/>
    <d v="2024-02-24T00:00:00"/>
  </r>
  <r>
    <s v="S1470"/>
    <s v="Riya Shah"/>
    <s v="C202"/>
    <s v="Data Science"/>
    <s v="B3"/>
    <s v="Priya"/>
    <s v="Tablet"/>
    <n v="13854"/>
    <s v="DISC15"/>
    <m/>
    <n v="13000"/>
    <d v="2024-01-03T00:00:00"/>
  </r>
  <r>
    <s v="S1471"/>
    <s v="Sneha Nair"/>
    <s v="C203"/>
    <s v="Full Stack Dev"/>
    <s v="B1"/>
    <s v="Saurabh"/>
    <s v="Tablet"/>
    <n v="16016"/>
    <s v="DISC30"/>
    <n v="0.3"/>
    <n v="17000"/>
    <d v="2024-01-26T00:00:00"/>
  </r>
  <r>
    <s v="S1472"/>
    <s v="Manish Kulkarni"/>
    <s v="C203"/>
    <s v="Full Stack Dev"/>
    <s v="B2"/>
    <s v="Saurabh"/>
    <s v="Web"/>
    <n v="18899"/>
    <m/>
    <m/>
    <n v="17000"/>
    <d v="2024-02-24T00:00:00"/>
  </r>
  <r>
    <s v="S1473"/>
    <s v="Neha Gupta"/>
    <s v="C202"/>
    <s v="Data Science"/>
    <s v="B1"/>
    <s v="Priya"/>
    <s v="Web"/>
    <n v="14292"/>
    <s v="DISC20"/>
    <n v="0.2"/>
    <n v="13000"/>
    <d v="2024-01-08T00:00:00"/>
  </r>
  <r>
    <s v="S1474"/>
    <s v="Aarav Kulkarni"/>
    <s v="C202"/>
    <s v="Data Science"/>
    <s v="B1"/>
    <s v="Saurabh"/>
    <s v="Mobile"/>
    <n v="12524"/>
    <s v="DISC10"/>
    <n v="0.1"/>
    <n v="13000"/>
    <d v="2024-02-07T00:00:00"/>
  </r>
  <r>
    <s v="S1475"/>
    <s v="Kavita Rao"/>
    <s v="C201"/>
    <s v="Data Analytics"/>
    <s v="B1"/>
    <s v="Saurabh"/>
    <s v="Web"/>
    <n v="15696"/>
    <m/>
    <m/>
    <n v="14000"/>
    <d v="2024-02-21T00:00:00"/>
  </r>
  <r>
    <s v="S1476"/>
    <s v="Karan Shah"/>
    <s v="C203"/>
    <s v="Full Stack Dev"/>
    <s v="B1"/>
    <s v="Saurabh"/>
    <s v="Mobile"/>
    <n v="15207"/>
    <s v="DISC20"/>
    <n v="0.2"/>
    <n v="17000"/>
    <d v="2024-02-29T00:00:00"/>
  </r>
  <r>
    <s v="S1477"/>
    <s v="Kavita Verma"/>
    <s v="C204"/>
    <s v="UI UX Design"/>
    <s v="B2"/>
    <s v="Saurabh"/>
    <s v="Mobile"/>
    <n v="9798"/>
    <m/>
    <m/>
    <n v="9000"/>
    <d v="2024-01-12T00:00:00"/>
  </r>
  <r>
    <s v="S1478"/>
    <s v="Pooja Patil"/>
    <s v="C202"/>
    <s v="Data Science"/>
    <s v="B2"/>
    <s v="Priya"/>
    <s v="Mobile"/>
    <n v="14618"/>
    <s v="DISC20"/>
    <n v="0.2"/>
    <n v="13000"/>
    <d v="2024-01-03T00:00:00"/>
  </r>
  <r>
    <s v="S1479"/>
    <s v="Kavita Joshi"/>
    <s v="C202"/>
    <s v="Data Science"/>
    <s v="B3"/>
    <s v="Priya"/>
    <s v="Mobile"/>
    <n v="12687"/>
    <s v="DISC15"/>
    <m/>
    <n v="13000"/>
    <d v="2024-01-31T00:00:00"/>
  </r>
  <r>
    <s v="S1480"/>
    <s v="Aarav Shah"/>
    <s v="C203"/>
    <s v="Full Stack Dev"/>
    <s v="B2"/>
    <s v="Saurabh"/>
    <s v="Mobile"/>
    <n v="15816"/>
    <s v="DISC15"/>
    <m/>
    <n v="17000"/>
    <d v="2024-01-16T00:00:00"/>
  </r>
  <r>
    <s v="S1481"/>
    <s v="Rohit Patel"/>
    <s v="C201"/>
    <s v="Data Analytics"/>
    <s v="B2"/>
    <s v="Amit"/>
    <s v="Mobile"/>
    <n v="13964"/>
    <s v="DISC15"/>
    <m/>
    <n v="14000"/>
    <d v="2024-02-20T00:00:00"/>
  </r>
  <r>
    <s v="S1482"/>
    <s v="Neha Jain"/>
    <s v="C203"/>
    <s v="Full Stack Dev"/>
    <s v="B2"/>
    <s v="Priya"/>
    <s v="Web"/>
    <n v="15106"/>
    <s v="DISC30"/>
    <n v="0.3"/>
    <n v="17000"/>
    <d v="2024-02-08T00:00:00"/>
  </r>
  <r>
    <s v="S1483"/>
    <s v="Sneha Kulkarni"/>
    <s v="C203"/>
    <s v="Full Stack Dev"/>
    <s v="B1"/>
    <s v="Priya"/>
    <s v="Tablet"/>
    <n v="16464"/>
    <s v="DISC15"/>
    <m/>
    <n v="17000"/>
    <d v="2024-01-15T00:00:00"/>
  </r>
  <r>
    <s v="S1484"/>
    <s v="Karan Shah"/>
    <s v="C202"/>
    <s v="Data Science"/>
    <s v="B3"/>
    <s v="Saurabh"/>
    <s v="Mobile"/>
    <n v="13185"/>
    <s v="DISC10"/>
    <n v="0.1"/>
    <n v="13000"/>
    <d v="2024-02-18T00:00:00"/>
  </r>
  <r>
    <s v="S1485"/>
    <s v="Sneha Joshi"/>
    <s v="C204"/>
    <s v="UI UX Design"/>
    <s v="B2"/>
    <s v="Saurabh"/>
    <s v="Web"/>
    <n v="7968"/>
    <s v="DISC15"/>
    <m/>
    <n v="9000"/>
    <d v="2024-01-21T00:00:00"/>
  </r>
  <r>
    <s v="S1486"/>
    <s v="Dev Desai"/>
    <s v="C203"/>
    <s v="Full Stack Dev"/>
    <s v="B3"/>
    <s v="Saurabh"/>
    <s v="Tablet"/>
    <n v="17869"/>
    <s v="DISC30"/>
    <n v="0.3"/>
    <n v="17000"/>
    <d v="2024-03-01T00:00:00"/>
  </r>
  <r>
    <s v="S1487"/>
    <s v="Kavita Joshi"/>
    <s v="C202"/>
    <s v="Data Science"/>
    <s v="B3"/>
    <s v="Saurabh"/>
    <s v="Mobile"/>
    <n v="13220"/>
    <s v="DISC30"/>
    <n v="0.3"/>
    <n v="13000"/>
    <d v="2024-01-12T00:00:00"/>
  </r>
  <r>
    <s v="S1488"/>
    <s v="Neha Kulkarni"/>
    <s v="C201"/>
    <s v="Data Analytics"/>
    <s v="B1"/>
    <s v="Saurabh"/>
    <s v="Tablet"/>
    <n v="12896"/>
    <s v="DISC10"/>
    <n v="0.1"/>
    <n v="14000"/>
    <d v="2024-02-03T00:00:00"/>
  </r>
  <r>
    <s v="S1489"/>
    <s v="Neha Kulkarni"/>
    <s v="C203"/>
    <s v="Full Stack Dev"/>
    <s v="B3"/>
    <s v="Saurabh"/>
    <s v="Web"/>
    <n v="16395"/>
    <s v="DISC20"/>
    <n v="0.2"/>
    <n v="17000"/>
    <d v="2024-02-28T00:00:00"/>
  </r>
  <r>
    <s v="S1490"/>
    <s v="Dev Nair"/>
    <s v="C203"/>
    <s v="Full Stack Dev"/>
    <s v="B1"/>
    <s v="Saurabh"/>
    <s v="Web"/>
    <n v="17402"/>
    <s v="DISC20"/>
    <n v="0.2"/>
    <n v="17000"/>
    <d v="2024-02-19T00:00:00"/>
  </r>
  <r>
    <s v="S1491"/>
    <s v="Riya Nair"/>
    <s v="C203"/>
    <s v="Full Stack Dev"/>
    <s v="B1"/>
    <s v="Priya"/>
    <s v="Tablet"/>
    <n v="18858"/>
    <m/>
    <m/>
    <n v="17000"/>
    <d v="2024-02-07T00:00:00"/>
  </r>
  <r>
    <s v="S1492"/>
    <s v="Riya Jain"/>
    <s v="C203"/>
    <s v="Full Stack Dev"/>
    <s v="B2"/>
    <s v="Saurabh"/>
    <s v="Web"/>
    <n v="17999"/>
    <m/>
    <m/>
    <n v="17000"/>
    <d v="2024-02-20T00:00:00"/>
  </r>
  <r>
    <s v="S1493"/>
    <s v="Rohit Iyer"/>
    <s v="C203"/>
    <s v="Full Stack Dev"/>
    <s v="B1"/>
    <s v="Amit"/>
    <s v="Tablet"/>
    <n v="17840"/>
    <s v="DISC15"/>
    <m/>
    <n v="17000"/>
    <d v="2024-02-20T00:00:00"/>
  </r>
  <r>
    <s v="S1494"/>
    <s v="Pooja Patil"/>
    <s v="C202"/>
    <s v="Data Science"/>
    <s v="B2"/>
    <s v="Priya"/>
    <s v="Tablet"/>
    <n v="13820"/>
    <s v="DISC30"/>
    <n v="0.3"/>
    <n v="13000"/>
    <d v="2024-01-09T00:00:00"/>
  </r>
  <r>
    <s v="S1495"/>
    <s v="Karan Desai"/>
    <s v="C201"/>
    <s v="Data Analytics"/>
    <s v="B3"/>
    <s v="Amit"/>
    <s v="Mobile"/>
    <n v="15484"/>
    <s v="DISC15"/>
    <m/>
    <n v="14000"/>
    <d v="2024-01-03T00:00:00"/>
  </r>
  <r>
    <s v="S1496"/>
    <s v="Karan Joshi"/>
    <s v="C203"/>
    <s v="Full Stack Dev"/>
    <s v="B3"/>
    <s v="Saurabh"/>
    <s v="Tablet"/>
    <n v="17316"/>
    <s v="DISC10"/>
    <n v="0.1"/>
    <n v="17000"/>
    <d v="2024-02-29T00:00:00"/>
  </r>
  <r>
    <s v="S1497"/>
    <s v="Neha Mehta"/>
    <s v="C203"/>
    <s v="Full Stack Dev"/>
    <s v="B3"/>
    <s v="Saurabh"/>
    <s v="Web"/>
    <n v="16420"/>
    <s v="DISC30"/>
    <n v="0.3"/>
    <n v="17000"/>
    <d v="2024-01-11T00:00:00"/>
  </r>
  <r>
    <s v="S1498"/>
    <s v="Rohit Shah"/>
    <s v="C203"/>
    <s v="Full Stack Dev"/>
    <s v="B2"/>
    <s v="Saurabh"/>
    <s v="Mobile"/>
    <n v="15858"/>
    <s v="DISC20"/>
    <n v="0.2"/>
    <n v="17000"/>
    <d v="2024-02-14T00:00:00"/>
  </r>
  <r>
    <s v="S1499"/>
    <s v="Riya Jain"/>
    <s v="C203"/>
    <s v="Full Stack Dev"/>
    <s v="B1"/>
    <s v="Amit"/>
    <s v="Web"/>
    <n v="15197"/>
    <m/>
    <m/>
    <n v="17000"/>
    <d v="2024-01-29T00:00:00"/>
  </r>
  <r>
    <s v="S1500"/>
    <s v="Anjali Verma"/>
    <s v="C202"/>
    <s v="Data Science"/>
    <s v="B2"/>
    <s v="Priya"/>
    <s v="Mobile"/>
    <n v="12438"/>
    <s v="DISC15"/>
    <m/>
    <n v="13000"/>
    <d v="2024-01-25T00:00:00"/>
  </r>
  <r>
    <s v="S1501"/>
    <s v="Riya Nair"/>
    <s v="C204"/>
    <s v="UI UX Design"/>
    <s v="B3"/>
    <s v="Amit"/>
    <s v="Tablet"/>
    <n v="7923"/>
    <s v="DISC20"/>
    <n v="0.2"/>
    <n v="9000"/>
    <d v="2024-01-29T00:00:00"/>
  </r>
  <r>
    <s v="S1502"/>
    <s v="Riya Patel"/>
    <s v="C201"/>
    <s v="Data Analytics"/>
    <s v="B2"/>
    <s v="Saurabh"/>
    <s v="Mobile"/>
    <n v="13069"/>
    <s v="DISC10"/>
    <n v="0.1"/>
    <n v="14000"/>
    <d v="2024-01-05T00:00:00"/>
  </r>
  <r>
    <s v="S1503"/>
    <s v="Pooja Mehta"/>
    <s v="C204"/>
    <s v="UI UX Design"/>
    <s v="B1"/>
    <s v="Amit"/>
    <s v="Web"/>
    <n v="9240"/>
    <s v="DISC10"/>
    <n v="0.1"/>
    <n v="9000"/>
    <d v="2024-01-22T00:00:00"/>
  </r>
  <r>
    <s v="S1504"/>
    <s v="Kavita Joshi"/>
    <s v="C204"/>
    <s v="UI UX Design"/>
    <s v="B3"/>
    <s v="Saurabh"/>
    <s v="Mobile"/>
    <n v="10860"/>
    <s v="DISC20"/>
    <n v="0.2"/>
    <n v="9000"/>
    <d v="2024-02-08T00:00:00"/>
  </r>
  <r>
    <s v="S1505"/>
    <s v="Kunal Verma"/>
    <s v="C202"/>
    <s v="Data Science"/>
    <s v="B1"/>
    <s v="Saurabh"/>
    <s v="Mobile"/>
    <n v="11841"/>
    <s v="DISC20"/>
    <n v="0.2"/>
    <n v="13000"/>
    <d v="2024-01-27T00:00:00"/>
  </r>
  <r>
    <s v="S1506"/>
    <s v="Anjali Gupta"/>
    <s v="C203"/>
    <s v="Full Stack Dev"/>
    <s v="B3"/>
    <s v="Priya"/>
    <s v="Mobile"/>
    <n v="15972"/>
    <s v="DISC10"/>
    <n v="0.1"/>
    <n v="17000"/>
    <d v="2024-01-04T00:00:00"/>
  </r>
  <r>
    <s v="S1507"/>
    <s v="Rahul Joshi"/>
    <s v="C204"/>
    <s v="UI UX Design"/>
    <s v="B1"/>
    <s v="Saurabh"/>
    <s v="Mobile"/>
    <n v="7015"/>
    <m/>
    <m/>
    <n v="9000"/>
    <d v="2024-01-06T00:00:00"/>
  </r>
  <r>
    <s v="S1508"/>
    <s v="Aditya Nair"/>
    <s v="C204"/>
    <s v="UI UX Design"/>
    <s v="B1"/>
    <s v="Saurabh"/>
    <s v="Web"/>
    <n v="7847"/>
    <s v="DISC20"/>
    <n v="0.2"/>
    <n v="9000"/>
    <d v="2024-02-10T00:00:00"/>
  </r>
  <r>
    <s v="S1509"/>
    <s v="Aditya Shah"/>
    <s v="C204"/>
    <s v="UI UX Design"/>
    <s v="B1"/>
    <s v="Priya"/>
    <s v="Mobile"/>
    <n v="8928"/>
    <m/>
    <m/>
    <n v="9000"/>
    <d v="2024-02-27T00:00:00"/>
  </r>
  <r>
    <s v="S1510"/>
    <s v="Rohit Rao"/>
    <s v="C201"/>
    <s v="Data Analytics"/>
    <s v="B3"/>
    <s v="Amit"/>
    <s v="Mobile"/>
    <n v="12757"/>
    <s v="DISC30"/>
    <n v="0.3"/>
    <n v="14000"/>
    <d v="2024-02-26T00:00:00"/>
  </r>
  <r>
    <s v="S1511"/>
    <s v="Rahul Jain"/>
    <s v="C202"/>
    <s v="Data Science"/>
    <s v="B2"/>
    <s v="Saurabh"/>
    <s v="Mobile"/>
    <n v="12801"/>
    <m/>
    <m/>
    <n v="13000"/>
    <d v="2024-01-17T00:00:00"/>
  </r>
  <r>
    <s v="S1512"/>
    <s v="Sneha Nair"/>
    <s v="C203"/>
    <s v="Full Stack Dev"/>
    <s v="B3"/>
    <s v="Saurabh"/>
    <s v="Web"/>
    <n v="18081"/>
    <s v="DISC10"/>
    <n v="0.1"/>
    <n v="17000"/>
    <d v="2024-01-06T00:00:00"/>
  </r>
  <r>
    <s v="S1513"/>
    <s v="Rohit Jain"/>
    <s v="C204"/>
    <s v="UI UX Design"/>
    <s v="B3"/>
    <s v="Saurabh"/>
    <s v="Tablet"/>
    <n v="7249"/>
    <m/>
    <m/>
    <n v="9000"/>
    <d v="2024-02-22T00:00:00"/>
  </r>
  <r>
    <s v="S1514"/>
    <s v="Manish Verma"/>
    <s v="C204"/>
    <s v="UI UX Design"/>
    <s v="B3"/>
    <s v="Saurabh"/>
    <s v="Mobile"/>
    <n v="8224"/>
    <s v="DISC10"/>
    <n v="0.1"/>
    <n v="9000"/>
    <d v="2024-01-26T00:00:00"/>
  </r>
  <r>
    <s v="S1515"/>
    <s v="Kunal Nair"/>
    <s v="C201"/>
    <s v="Data Analytics"/>
    <s v="B3"/>
    <s v="Amit"/>
    <s v="Tablet"/>
    <n v="15278"/>
    <s v="DISC15"/>
    <m/>
    <n v="14000"/>
    <d v="2024-02-13T00:00:00"/>
  </r>
  <r>
    <s v="S1516"/>
    <s v="Kavita Mehta"/>
    <s v="C201"/>
    <s v="Data Analytics"/>
    <s v="B2"/>
    <s v="Saurabh"/>
    <s v="Web"/>
    <n v="15981"/>
    <s v="DISC20"/>
    <n v="0.2"/>
    <n v="14000"/>
    <d v="2024-02-21T00:00:00"/>
  </r>
  <r>
    <s v="S1517"/>
    <s v="Sneha Mehta"/>
    <s v="C201"/>
    <s v="Data Analytics"/>
    <s v="B2"/>
    <s v="Saurabh"/>
    <s v="Tablet"/>
    <n v="13783"/>
    <s v="DISC20"/>
    <n v="0.2"/>
    <n v="14000"/>
    <d v="2024-02-22T00:00:00"/>
  </r>
  <r>
    <s v="S1518"/>
    <s v="Rohit Mehta"/>
    <s v="C203"/>
    <s v="Full Stack Dev"/>
    <s v="B2"/>
    <s v="Amit"/>
    <s v="Web"/>
    <n v="15356"/>
    <m/>
    <m/>
    <n v="17000"/>
    <d v="2024-02-05T00:00:00"/>
  </r>
  <r>
    <s v="S1519"/>
    <s v="Rahul Gupta"/>
    <s v="C203"/>
    <s v="Full Stack Dev"/>
    <s v="B2"/>
    <s v="Amit"/>
    <s v="Mobile"/>
    <n v="18756"/>
    <s v="DISC10"/>
    <n v="0.1"/>
    <n v="17000"/>
    <d v="2024-02-20T00:00:00"/>
  </r>
  <r>
    <s v="S1520"/>
    <s v="Anjali Joshi"/>
    <s v="C204"/>
    <s v="UI UX Design"/>
    <s v="B1"/>
    <s v="Priya"/>
    <s v="Web"/>
    <n v="7607"/>
    <s v="DISC15"/>
    <m/>
    <n v="9000"/>
    <d v="2024-02-07T00:00:00"/>
  </r>
  <r>
    <s v="S1521"/>
    <s v="Kavita Patel"/>
    <s v="C201"/>
    <s v="Data Analytics"/>
    <s v="B1"/>
    <s v="Amit"/>
    <s v="Web"/>
    <n v="15218"/>
    <s v="DISC30"/>
    <n v="0.3"/>
    <n v="14000"/>
    <d v="2024-02-25T00:00:00"/>
  </r>
  <r>
    <s v="S1522"/>
    <s v="Manish Jain"/>
    <s v="C204"/>
    <s v="UI UX Design"/>
    <s v="B2"/>
    <s v="Priya"/>
    <s v="Tablet"/>
    <n v="8988"/>
    <s v="DISC15"/>
    <m/>
    <n v="9000"/>
    <d v="2024-02-08T00:00:00"/>
  </r>
  <r>
    <s v="S1523"/>
    <s v="Neha Kulkarni"/>
    <s v="C202"/>
    <s v="Data Science"/>
    <s v="B2"/>
    <s v="Priya"/>
    <s v="Web"/>
    <n v="13532"/>
    <s v="DISC15"/>
    <m/>
    <n v="13000"/>
    <d v="2024-02-13T00:00:00"/>
  </r>
  <r>
    <s v="S1524"/>
    <s v="Anjali Verma"/>
    <s v="C201"/>
    <s v="Data Analytics"/>
    <s v="B2"/>
    <s v="Priya"/>
    <s v="Tablet"/>
    <n v="12973"/>
    <s v="DISC10"/>
    <n v="0.1"/>
    <n v="14000"/>
    <d v="2024-02-17T00:00:00"/>
  </r>
  <r>
    <s v="S1525"/>
    <s v="Neha Rao"/>
    <s v="C203"/>
    <s v="Full Stack Dev"/>
    <s v="B1"/>
    <s v="Priya"/>
    <s v="Mobile"/>
    <n v="16273"/>
    <s v="DISC30"/>
    <n v="0.3"/>
    <n v="17000"/>
    <d v="2024-02-23T00:00:00"/>
  </r>
  <r>
    <s v="S1526"/>
    <s v="Neha Nair"/>
    <s v="C201"/>
    <s v="Data Analytics"/>
    <s v="B1"/>
    <s v="Saurabh"/>
    <s v="Mobile"/>
    <n v="15990"/>
    <m/>
    <m/>
    <n v="14000"/>
    <d v="2024-02-19T00:00:00"/>
  </r>
  <r>
    <s v="S1527"/>
    <s v="Meera Jain"/>
    <s v="C203"/>
    <s v="Full Stack Dev"/>
    <s v="B3"/>
    <s v="Priya"/>
    <s v="Tablet"/>
    <n v="17644"/>
    <s v="DISC10"/>
    <n v="0.1"/>
    <n v="17000"/>
    <d v="2024-01-13T00:00:00"/>
  </r>
  <r>
    <s v="S1528"/>
    <s v="Neha Patil"/>
    <s v="C204"/>
    <s v="UI UX Design"/>
    <s v="B3"/>
    <s v="Priya"/>
    <s v="Tablet"/>
    <n v="10552"/>
    <s v="DISC30"/>
    <n v="0.3"/>
    <n v="9000"/>
    <d v="2024-02-22T00:00:00"/>
  </r>
  <r>
    <s v="S1529"/>
    <s v="Aarav Gupta"/>
    <s v="C202"/>
    <s v="Data Science"/>
    <s v="B1"/>
    <s v="Priya"/>
    <s v="Tablet"/>
    <n v="13075"/>
    <m/>
    <m/>
    <n v="13000"/>
    <d v="2024-01-09T00:00:00"/>
  </r>
  <r>
    <s v="S1530"/>
    <s v="Dev Nair"/>
    <s v="C201"/>
    <s v="Data Analytics"/>
    <s v="B1"/>
    <s v="Saurabh"/>
    <s v="Web"/>
    <n v="15428"/>
    <s v="DISC10"/>
    <n v="0.1"/>
    <n v="14000"/>
    <d v="2024-01-16T00:00:00"/>
  </r>
  <r>
    <s v="S1531"/>
    <s v="Aarav Iyer"/>
    <s v="C201"/>
    <s v="Data Analytics"/>
    <s v="B2"/>
    <s v="Amit"/>
    <s v="Web"/>
    <n v="13122"/>
    <s v="DISC30"/>
    <n v="0.3"/>
    <n v="14000"/>
    <d v="2024-02-22T00:00:00"/>
  </r>
  <r>
    <s v="S1532"/>
    <s v="Neha Gupta"/>
    <s v="C204"/>
    <s v="UI UX Design"/>
    <s v="B3"/>
    <s v="Saurabh"/>
    <s v="Tablet"/>
    <n v="7125"/>
    <s v="DISC20"/>
    <n v="0.2"/>
    <n v="9000"/>
    <d v="2024-01-24T00:00:00"/>
  </r>
  <r>
    <s v="S1533"/>
    <s v="Neha Joshi"/>
    <s v="C204"/>
    <s v="UI UX Design"/>
    <s v="B1"/>
    <s v="Priya"/>
    <s v="Tablet"/>
    <n v="9258"/>
    <s v="DISC30"/>
    <n v="0.3"/>
    <n v="9000"/>
    <d v="2024-01-23T00:00:00"/>
  </r>
  <r>
    <s v="S1534"/>
    <s v="Karan Nair"/>
    <s v="C203"/>
    <s v="Full Stack Dev"/>
    <s v="B3"/>
    <s v="Amit"/>
    <s v="Web"/>
    <n v="16167"/>
    <s v="DISC10"/>
    <n v="0.1"/>
    <n v="17000"/>
    <d v="2024-01-25T00:00:00"/>
  </r>
  <r>
    <s v="S1535"/>
    <s v="Aarav Mehta"/>
    <s v="C202"/>
    <s v="Data Science"/>
    <s v="B1"/>
    <s v="Amit"/>
    <s v="Web"/>
    <n v="13775"/>
    <s v="DISC20"/>
    <n v="0.2"/>
    <n v="13000"/>
    <d v="2024-01-18T00:00:00"/>
  </r>
  <r>
    <s v="S1536"/>
    <s v="Rohit Verma"/>
    <s v="C201"/>
    <s v="Data Analytics"/>
    <s v="B3"/>
    <s v="Saurabh"/>
    <s v="Mobile"/>
    <n v="15733"/>
    <s v="DISC20"/>
    <n v="0.2"/>
    <n v="14000"/>
    <d v="2024-02-11T00:00:00"/>
  </r>
  <r>
    <s v="S1537"/>
    <s v="Karan Joshi"/>
    <s v="C201"/>
    <s v="Data Analytics"/>
    <s v="B1"/>
    <s v="Priya"/>
    <s v="Tablet"/>
    <n v="15297"/>
    <s v="DISC30"/>
    <n v="0.3"/>
    <n v="14000"/>
    <d v="2024-02-15T00:00:00"/>
  </r>
  <r>
    <s v="S1538"/>
    <s v="Anjali Singh"/>
    <s v="C203"/>
    <s v="Full Stack Dev"/>
    <s v="B2"/>
    <s v="Priya"/>
    <s v="Mobile"/>
    <n v="16880"/>
    <s v="DISC30"/>
    <n v="0.3"/>
    <n v="17000"/>
    <d v="2024-01-14T00:00:00"/>
  </r>
  <r>
    <s v="S1539"/>
    <s v="Neha Rao"/>
    <s v="C204"/>
    <s v="UI UX Design"/>
    <s v="B3"/>
    <s v="Saurabh"/>
    <s v="Web"/>
    <n v="9095"/>
    <s v="DISC30"/>
    <n v="0.3"/>
    <n v="9000"/>
    <d v="2024-02-05T00:00:00"/>
  </r>
  <r>
    <s v="S1540"/>
    <s v="Rohit Joshi"/>
    <s v="C203"/>
    <s v="Full Stack Dev"/>
    <s v="B2"/>
    <s v="Amit"/>
    <s v="Web"/>
    <n v="16973"/>
    <s v="DISC10"/>
    <n v="0.1"/>
    <n v="17000"/>
    <d v="2024-01-22T00:00:00"/>
  </r>
  <r>
    <s v="S1541"/>
    <s v="Aditya Singh"/>
    <s v="C203"/>
    <s v="Full Stack Dev"/>
    <s v="B2"/>
    <s v="Priya"/>
    <s v="Tablet"/>
    <n v="17912"/>
    <s v="DISC30"/>
    <n v="0.3"/>
    <n v="17000"/>
    <d v="2024-01-13T00:00:00"/>
  </r>
  <r>
    <s v="S1542"/>
    <s v="Karan Gupta"/>
    <s v="C202"/>
    <s v="Data Science"/>
    <s v="B1"/>
    <s v="Amit"/>
    <s v="Mobile"/>
    <n v="13705"/>
    <s v="DISC30"/>
    <n v="0.3"/>
    <n v="13000"/>
    <d v="2024-02-13T00:00:00"/>
  </r>
  <r>
    <s v="S1543"/>
    <s v="Karan Desai"/>
    <s v="C201"/>
    <s v="Data Analytics"/>
    <s v="B3"/>
    <s v="Priya"/>
    <s v="Mobile"/>
    <n v="13062"/>
    <m/>
    <m/>
    <n v="14000"/>
    <d v="2024-01-26T00:00:00"/>
  </r>
  <r>
    <s v="S1544"/>
    <s v="Rahul Desai"/>
    <s v="C201"/>
    <s v="Data Analytics"/>
    <s v="B3"/>
    <s v="Amit"/>
    <s v="Tablet"/>
    <n v="15342"/>
    <s v="DISC20"/>
    <n v="0.2"/>
    <n v="14000"/>
    <d v="2024-01-22T00:00:00"/>
  </r>
  <r>
    <s v="S1545"/>
    <s v="Anjali Desai"/>
    <s v="C202"/>
    <s v="Data Science"/>
    <s v="B3"/>
    <s v="Amit"/>
    <s v="Tablet"/>
    <n v="14214"/>
    <m/>
    <m/>
    <n v="13000"/>
    <d v="2024-02-28T00:00:00"/>
  </r>
  <r>
    <s v="S1546"/>
    <s v="Rohit Jain"/>
    <s v="C203"/>
    <s v="Full Stack Dev"/>
    <s v="B1"/>
    <s v="Amit"/>
    <s v="Tablet"/>
    <n v="15741"/>
    <s v="DISC30"/>
    <n v="0.3"/>
    <n v="17000"/>
    <d v="2024-01-07T00:00:00"/>
  </r>
  <r>
    <s v="S1547"/>
    <s v="Neha Mehta"/>
    <s v="C203"/>
    <s v="Full Stack Dev"/>
    <s v="B3"/>
    <s v="Amit"/>
    <s v="Web"/>
    <n v="18878"/>
    <s v="DISC30"/>
    <n v="0.3"/>
    <n v="17000"/>
    <d v="2024-02-11T00:00:00"/>
  </r>
  <r>
    <s v="S1548"/>
    <s v="Riya Patil"/>
    <s v="C203"/>
    <s v="Full Stack Dev"/>
    <s v="B1"/>
    <s v="Amit"/>
    <s v="Mobile"/>
    <n v="16722"/>
    <s v="DISC30"/>
    <n v="0.3"/>
    <n v="17000"/>
    <d v="2024-01-24T00:00:00"/>
  </r>
  <r>
    <s v="S1549"/>
    <s v="Aditya Joshi"/>
    <s v="C203"/>
    <s v="Full Stack Dev"/>
    <s v="B2"/>
    <s v="Saurabh"/>
    <s v="Mobile"/>
    <n v="15219"/>
    <s v="DISC15"/>
    <m/>
    <n v="17000"/>
    <d v="2024-02-07T00:00:00"/>
  </r>
  <r>
    <s v="S1550"/>
    <s v="Kavita Shah"/>
    <s v="C204"/>
    <s v="UI UX Design"/>
    <s v="B1"/>
    <s v="Amit"/>
    <s v="Web"/>
    <n v="10553"/>
    <m/>
    <m/>
    <n v="9000"/>
    <d v="2024-02-03T00:00:00"/>
  </r>
  <r>
    <s v="S1551"/>
    <s v="Aditya Verma"/>
    <s v="C201"/>
    <s v="Data Analytics"/>
    <s v="B1"/>
    <s v="Saurabh"/>
    <s v="Web"/>
    <n v="13403"/>
    <m/>
    <m/>
    <n v="14000"/>
    <d v="2024-02-06T00:00:00"/>
  </r>
  <r>
    <s v="S1552"/>
    <s v="Kunal Iyer"/>
    <s v="C202"/>
    <s v="Data Science"/>
    <s v="B2"/>
    <s v="Amit"/>
    <s v="Web"/>
    <n v="14190"/>
    <s v="DISC10"/>
    <n v="0.1"/>
    <n v="13000"/>
    <d v="2024-02-01T00:00:00"/>
  </r>
  <r>
    <s v="S1553"/>
    <s v="Pooja Singh"/>
    <s v="C202"/>
    <s v="Data Science"/>
    <s v="B2"/>
    <s v="Amit"/>
    <s v="Web"/>
    <n v="11019"/>
    <m/>
    <m/>
    <n v="13000"/>
    <d v="2024-01-18T00:00:00"/>
  </r>
  <r>
    <s v="S1554"/>
    <s v="Sneha Patel"/>
    <s v="C202"/>
    <s v="Data Science"/>
    <s v="B3"/>
    <s v="Saurabh"/>
    <s v="Mobile"/>
    <n v="14216"/>
    <s v="DISC10"/>
    <n v="0.1"/>
    <n v="13000"/>
    <d v="2024-01-09T00:00:00"/>
  </r>
  <r>
    <s v="S1555"/>
    <s v="Kavita Verma"/>
    <s v="C204"/>
    <s v="UI UX Design"/>
    <s v="B2"/>
    <s v="Priya"/>
    <s v="Mobile"/>
    <n v="8570"/>
    <s v="DISC10"/>
    <n v="0.1"/>
    <n v="9000"/>
    <d v="2024-01-03T00:00:00"/>
  </r>
  <r>
    <s v="S1556"/>
    <s v="Manish Patil"/>
    <s v="C203"/>
    <s v="Full Stack Dev"/>
    <s v="B1"/>
    <s v="Priya"/>
    <s v="Tablet"/>
    <n v="15780"/>
    <s v="DISC10"/>
    <n v="0.1"/>
    <n v="17000"/>
    <d v="2024-02-13T00:00:00"/>
  </r>
  <r>
    <s v="S1557"/>
    <s v="Aarav Singh"/>
    <s v="C202"/>
    <s v="Data Science"/>
    <s v="B1"/>
    <s v="Amit"/>
    <s v="Mobile"/>
    <n v="12278"/>
    <s v="DISC20"/>
    <n v="0.2"/>
    <n v="13000"/>
    <d v="2024-01-07T00:00:00"/>
  </r>
  <r>
    <s v="S1558"/>
    <s v="Rahul Gupta"/>
    <s v="C203"/>
    <s v="Full Stack Dev"/>
    <s v="B1"/>
    <s v="Saurabh"/>
    <s v="Web"/>
    <n v="16221"/>
    <s v="DISC30"/>
    <n v="0.3"/>
    <n v="17000"/>
    <d v="2024-01-30T00:00:00"/>
  </r>
  <r>
    <s v="S1559"/>
    <s v="Anjali Gupta"/>
    <s v="C203"/>
    <s v="Full Stack Dev"/>
    <s v="B2"/>
    <s v="Amit"/>
    <s v="Web"/>
    <n v="16403"/>
    <m/>
    <m/>
    <n v="17000"/>
    <d v="2024-01-23T00:00:00"/>
  </r>
  <r>
    <s v="S1560"/>
    <s v="Dev Patil"/>
    <s v="C202"/>
    <s v="Data Science"/>
    <s v="B2"/>
    <s v="Saurabh"/>
    <s v="Web"/>
    <n v="11918"/>
    <s v="DISC20"/>
    <n v="0.2"/>
    <n v="13000"/>
    <d v="2024-01-14T00:00:00"/>
  </r>
  <r>
    <s v="S1561"/>
    <s v="Anjali Kulkarni"/>
    <s v="C202"/>
    <s v="Data Science"/>
    <s v="B1"/>
    <s v="Priya"/>
    <s v="Tablet"/>
    <n v="13664"/>
    <s v="DISC10"/>
    <n v="0.1"/>
    <n v="13000"/>
    <d v="2024-01-25T00:00:00"/>
  </r>
  <r>
    <s v="S1562"/>
    <s v="Kunal Singh"/>
    <s v="C203"/>
    <s v="Full Stack Dev"/>
    <s v="B3"/>
    <s v="Amit"/>
    <s v="Web"/>
    <n v="17432"/>
    <s v="DISC10"/>
    <n v="0.1"/>
    <n v="17000"/>
    <d v="2024-02-12T00:00:00"/>
  </r>
  <r>
    <s v="S1563"/>
    <s v="Riya Singh"/>
    <s v="C201"/>
    <s v="Data Analytics"/>
    <s v="B1"/>
    <s v="Amit"/>
    <s v="Web"/>
    <n v="13707"/>
    <m/>
    <m/>
    <n v="14000"/>
    <d v="2024-01-25T00:00:00"/>
  </r>
  <r>
    <s v="S1564"/>
    <s v="Riya Gupta"/>
    <s v="C203"/>
    <s v="Full Stack Dev"/>
    <s v="B2"/>
    <s v="Amit"/>
    <s v="Web"/>
    <n v="15841"/>
    <s v="DISC10"/>
    <n v="0.1"/>
    <n v="17000"/>
    <d v="2024-01-20T00:00:00"/>
  </r>
  <r>
    <s v="S1565"/>
    <s v="Rahul Singh"/>
    <s v="C201"/>
    <s v="Data Analytics"/>
    <s v="B3"/>
    <s v="Amit"/>
    <s v="Mobile"/>
    <n v="14550"/>
    <s v="DISC15"/>
    <m/>
    <n v="14000"/>
    <d v="2024-02-14T00:00:00"/>
  </r>
  <r>
    <s v="S1566"/>
    <s v="Karan Verma"/>
    <s v="C201"/>
    <s v="Data Analytics"/>
    <s v="B3"/>
    <s v="Amit"/>
    <s v="Tablet"/>
    <n v="12482"/>
    <s v="DISC30"/>
    <n v="0.3"/>
    <n v="14000"/>
    <d v="2024-01-08T00:00:00"/>
  </r>
  <r>
    <s v="S1567"/>
    <s v="Dev Shah"/>
    <s v="C204"/>
    <s v="UI UX Design"/>
    <s v="B1"/>
    <s v="Amit"/>
    <s v="Web"/>
    <n v="10186"/>
    <s v="DISC30"/>
    <n v="0.3"/>
    <n v="9000"/>
    <d v="2024-02-23T00:00:00"/>
  </r>
  <r>
    <s v="S1568"/>
    <s v="Manish Patil"/>
    <s v="C203"/>
    <s v="Full Stack Dev"/>
    <s v="B3"/>
    <s v="Priya"/>
    <s v="Mobile"/>
    <n v="15656"/>
    <s v="DISC10"/>
    <n v="0.1"/>
    <n v="17000"/>
    <d v="2024-02-05T00:00:00"/>
  </r>
  <r>
    <s v="S1569"/>
    <s v="Neha Patil"/>
    <s v="C204"/>
    <s v="UI UX Design"/>
    <s v="B2"/>
    <s v="Saurabh"/>
    <s v="Web"/>
    <n v="7052"/>
    <s v="DISC10"/>
    <n v="0.1"/>
    <n v="9000"/>
    <d v="2024-02-28T00:00:00"/>
  </r>
  <r>
    <s v="S1570"/>
    <s v="Riya Nair"/>
    <s v="C204"/>
    <s v="UI UX Design"/>
    <s v="B1"/>
    <s v="Saurabh"/>
    <s v="Tablet"/>
    <n v="7307"/>
    <s v="DISC10"/>
    <n v="0.1"/>
    <n v="9000"/>
    <d v="2024-02-27T00:00:00"/>
  </r>
  <r>
    <s v="S1571"/>
    <s v="Aditya Singh"/>
    <s v="C202"/>
    <s v="Data Science"/>
    <s v="B2"/>
    <s v="Priya"/>
    <s v="Mobile"/>
    <n v="12901"/>
    <s v="DISC10"/>
    <n v="0.1"/>
    <n v="13000"/>
    <d v="2024-01-07T00:00:00"/>
  </r>
  <r>
    <s v="S1572"/>
    <s v="Meera Mehta"/>
    <s v="C201"/>
    <s v="Data Analytics"/>
    <s v="B2"/>
    <s v="Priya"/>
    <s v="Tablet"/>
    <n v="13280"/>
    <m/>
    <m/>
    <n v="14000"/>
    <d v="2024-02-17T00:00:00"/>
  </r>
  <r>
    <s v="S1573"/>
    <s v="Riya Shah"/>
    <s v="C201"/>
    <s v="Data Analytics"/>
    <s v="B1"/>
    <s v="Saurabh"/>
    <s v="Tablet"/>
    <n v="14650"/>
    <s v="DISC20"/>
    <n v="0.2"/>
    <n v="14000"/>
    <d v="2024-01-22T00:00:00"/>
  </r>
  <r>
    <s v="S1574"/>
    <s v="Pooja Iyer"/>
    <s v="C203"/>
    <s v="Full Stack Dev"/>
    <s v="B3"/>
    <s v="Saurabh"/>
    <s v="Mobile"/>
    <n v="18338"/>
    <s v="DISC30"/>
    <n v="0.3"/>
    <n v="17000"/>
    <d v="2024-01-12T00:00:00"/>
  </r>
  <r>
    <s v="S1575"/>
    <s v="Riya Verma"/>
    <s v="C204"/>
    <s v="UI UX Design"/>
    <s v="B2"/>
    <s v="Priya"/>
    <s v="Mobile"/>
    <n v="9825"/>
    <m/>
    <m/>
    <n v="9000"/>
    <d v="2024-02-21T00:00:00"/>
  </r>
  <r>
    <s v="S1576"/>
    <s v="Rahul Singh"/>
    <s v="C202"/>
    <s v="Data Science"/>
    <s v="B1"/>
    <s v="Saurabh"/>
    <s v="Tablet"/>
    <n v="13975"/>
    <s v="DISC10"/>
    <n v="0.1"/>
    <n v="13000"/>
    <d v="2024-03-01T00:00:00"/>
  </r>
  <r>
    <s v="S1577"/>
    <s v="Meera Mehta"/>
    <s v="C201"/>
    <s v="Data Analytics"/>
    <s v="B2"/>
    <s v="Amit"/>
    <s v="Mobile"/>
    <n v="15286"/>
    <s v="DISC15"/>
    <m/>
    <n v="14000"/>
    <d v="2024-02-13T00:00:00"/>
  </r>
  <r>
    <s v="S1578"/>
    <s v="Neha Mehta"/>
    <s v="C204"/>
    <s v="UI UX Design"/>
    <s v="B2"/>
    <s v="Amit"/>
    <s v="Web"/>
    <n v="10533"/>
    <s v="DISC20"/>
    <n v="0.2"/>
    <n v="9000"/>
    <d v="2024-01-31T00:00:00"/>
  </r>
  <r>
    <s v="S1579"/>
    <s v="Kunal Iyer"/>
    <s v="C201"/>
    <s v="Data Analytics"/>
    <s v="B2"/>
    <s v="Priya"/>
    <s v="Web"/>
    <n v="12259"/>
    <s v="DISC30"/>
    <n v="0.3"/>
    <n v="14000"/>
    <d v="2024-02-11T00:00:00"/>
  </r>
  <r>
    <s v="S1580"/>
    <s v="Pooja Kulkarni"/>
    <s v="C202"/>
    <s v="Data Science"/>
    <s v="B3"/>
    <s v="Priya"/>
    <s v="Tablet"/>
    <n v="13142"/>
    <s v="DISC15"/>
    <m/>
    <n v="13000"/>
    <d v="2024-01-07T00:00:00"/>
  </r>
  <r>
    <s v="S1581"/>
    <s v="Rahul Singh"/>
    <s v="C202"/>
    <s v="Data Science"/>
    <s v="B2"/>
    <s v="Priya"/>
    <s v="Tablet"/>
    <n v="13770"/>
    <m/>
    <m/>
    <n v="13000"/>
    <d v="2024-01-10T00:00:00"/>
  </r>
  <r>
    <s v="S1582"/>
    <s v="Meera Nair"/>
    <s v="C201"/>
    <s v="Data Analytics"/>
    <s v="B1"/>
    <s v="Amit"/>
    <s v="Web"/>
    <n v="14070"/>
    <m/>
    <m/>
    <n v="14000"/>
    <d v="2024-02-24T00:00:00"/>
  </r>
  <r>
    <s v="S1583"/>
    <s v="Neha Nair"/>
    <s v="C202"/>
    <s v="Data Science"/>
    <s v="B1"/>
    <s v="Priya"/>
    <s v="Mobile"/>
    <n v="11986"/>
    <s v="DISC30"/>
    <n v="0.3"/>
    <n v="13000"/>
    <d v="2024-01-18T00:00:00"/>
  </r>
  <r>
    <s v="S1584"/>
    <s v="Aarav Gupta"/>
    <s v="C202"/>
    <s v="Data Science"/>
    <s v="B3"/>
    <s v="Amit"/>
    <s v="Mobile"/>
    <n v="12651"/>
    <s v="DISC20"/>
    <n v="0.2"/>
    <n v="13000"/>
    <d v="2024-01-06T00:00:00"/>
  </r>
  <r>
    <s v="S1585"/>
    <s v="Neha Iyer"/>
    <s v="C204"/>
    <s v="UI UX Design"/>
    <s v="B1"/>
    <s v="Priya"/>
    <s v="Mobile"/>
    <n v="8294"/>
    <s v="DISC10"/>
    <n v="0.1"/>
    <n v="9000"/>
    <d v="2024-02-01T00:00:00"/>
  </r>
  <r>
    <s v="S1586"/>
    <s v="Anjali Singh"/>
    <s v="C201"/>
    <s v="Data Analytics"/>
    <s v="B1"/>
    <s v="Priya"/>
    <s v="Mobile"/>
    <n v="12146"/>
    <s v="DISC15"/>
    <m/>
    <n v="14000"/>
    <d v="2024-02-05T00:00:00"/>
  </r>
  <r>
    <s v="S1587"/>
    <s v="Aarav Nair"/>
    <s v="C201"/>
    <s v="Data Analytics"/>
    <s v="B3"/>
    <s v="Amit"/>
    <s v="Tablet"/>
    <n v="13247"/>
    <s v="DISC15"/>
    <m/>
    <n v="14000"/>
    <d v="2024-02-05T00:00:00"/>
  </r>
  <r>
    <s v="S1588"/>
    <s v="Sneha Singh"/>
    <s v="C204"/>
    <s v="UI UX Design"/>
    <s v="B2"/>
    <s v="Priya"/>
    <s v="Web"/>
    <n v="10344"/>
    <s v="DISC20"/>
    <n v="0.2"/>
    <n v="9000"/>
    <d v="2024-02-24T00:00:00"/>
  </r>
  <r>
    <s v="S1589"/>
    <s v="Neha Jain"/>
    <s v="C204"/>
    <s v="UI UX Design"/>
    <s v="B3"/>
    <s v="Amit"/>
    <s v="Mobile"/>
    <n v="9932"/>
    <m/>
    <m/>
    <n v="9000"/>
    <d v="2024-01-08T00:00:00"/>
  </r>
  <r>
    <s v="S1590"/>
    <s v="Riya Patel"/>
    <s v="C202"/>
    <s v="Data Science"/>
    <s v="B1"/>
    <s v="Priya"/>
    <s v="Mobile"/>
    <n v="14399"/>
    <s v="DISC30"/>
    <n v="0.3"/>
    <n v="13000"/>
    <d v="2024-02-05T00:00:00"/>
  </r>
  <r>
    <s v="S1591"/>
    <s v="Manish Jain"/>
    <s v="C201"/>
    <s v="Data Analytics"/>
    <s v="B1"/>
    <s v="Saurabh"/>
    <s v="Mobile"/>
    <n v="12575"/>
    <m/>
    <m/>
    <n v="14000"/>
    <d v="2024-01-07T00:00:00"/>
  </r>
  <r>
    <s v="S1592"/>
    <s v="Aditya Joshi"/>
    <s v="C202"/>
    <s v="Data Science"/>
    <s v="B1"/>
    <s v="Saurabh"/>
    <s v="Mobile"/>
    <n v="11883"/>
    <m/>
    <m/>
    <n v="13000"/>
    <d v="2024-02-22T00:00:00"/>
  </r>
  <r>
    <s v="S1593"/>
    <s v="Dev Patil"/>
    <s v="C203"/>
    <s v="Full Stack Dev"/>
    <s v="B1"/>
    <s v="Priya"/>
    <s v="Web"/>
    <n v="18795"/>
    <s v="DISC15"/>
    <m/>
    <n v="17000"/>
    <d v="2024-01-08T00:00:00"/>
  </r>
  <r>
    <s v="S1594"/>
    <s v="Dev Iyer"/>
    <s v="C204"/>
    <s v="UI UX Design"/>
    <s v="B3"/>
    <s v="Amit"/>
    <s v="Tablet"/>
    <n v="7551"/>
    <m/>
    <m/>
    <n v="9000"/>
    <d v="2024-01-01T00:00:00"/>
  </r>
  <r>
    <s v="S1595"/>
    <s v="Manish Desai"/>
    <s v="C201"/>
    <s v="Data Analytics"/>
    <s v="B3"/>
    <s v="Priya"/>
    <s v="Tablet"/>
    <n v="13978"/>
    <s v="DISC15"/>
    <m/>
    <n v="14000"/>
    <d v="2024-02-19T00:00:00"/>
  </r>
  <r>
    <s v="S1596"/>
    <s v="Kunal Mehta"/>
    <s v="C202"/>
    <s v="Data Science"/>
    <s v="B3"/>
    <s v="Saurabh"/>
    <s v="Web"/>
    <n v="12586"/>
    <s v="DISC15"/>
    <m/>
    <n v="13000"/>
    <d v="2024-02-08T00:00:00"/>
  </r>
  <r>
    <s v="S1597"/>
    <s v="Kunal Jain"/>
    <s v="C204"/>
    <s v="UI UX Design"/>
    <s v="B2"/>
    <s v="Amit"/>
    <s v="Tablet"/>
    <n v="10122"/>
    <s v="DISC20"/>
    <n v="0.2"/>
    <n v="9000"/>
    <d v="2024-01-18T00:00:00"/>
  </r>
  <r>
    <s v="S1598"/>
    <s v="Rahul Jain"/>
    <s v="C203"/>
    <s v="Full Stack Dev"/>
    <s v="B2"/>
    <s v="Saurabh"/>
    <s v="Web"/>
    <n v="16690"/>
    <s v="DISC15"/>
    <m/>
    <n v="17000"/>
    <d v="2024-02-14T00:00:00"/>
  </r>
  <r>
    <s v="S1599"/>
    <s v="Kunal Desai"/>
    <s v="C203"/>
    <s v="Full Stack Dev"/>
    <s v="B3"/>
    <s v="Amit"/>
    <s v="Mobile"/>
    <n v="17915"/>
    <s v="DISC15"/>
    <m/>
    <n v="17000"/>
    <d v="2024-02-10T00:00:00"/>
  </r>
  <r>
    <s v="S1600"/>
    <s v="Sneha Patil"/>
    <s v="C202"/>
    <s v="Data Science"/>
    <s v="B3"/>
    <s v="Amit"/>
    <s v="Mobile"/>
    <n v="13812"/>
    <s v="DISC30"/>
    <n v="0.3"/>
    <n v="13000"/>
    <d v="2024-02-28T00:00:00"/>
  </r>
  <r>
    <s v="S1601"/>
    <s v="Rohit Mehta"/>
    <s v="C202"/>
    <s v="Data Science"/>
    <s v="B3"/>
    <s v="Amit"/>
    <s v="Tablet"/>
    <n v="13608"/>
    <s v="DISC30"/>
    <n v="0.3"/>
    <n v="13000"/>
    <d v="2024-02-15T00:00:00"/>
  </r>
  <r>
    <s v="S1602"/>
    <s v="Riya Patel"/>
    <s v="C203"/>
    <s v="Full Stack Dev"/>
    <s v="B3"/>
    <s v="Priya"/>
    <s v="Tablet"/>
    <n v="17337"/>
    <m/>
    <m/>
    <n v="17000"/>
    <d v="2024-02-13T00:00:00"/>
  </r>
  <r>
    <s v="S1603"/>
    <s v="Anjali Nair"/>
    <s v="C203"/>
    <s v="Full Stack Dev"/>
    <s v="B2"/>
    <s v="Saurabh"/>
    <s v="Tablet"/>
    <n v="15436"/>
    <s v="DISC10"/>
    <n v="0.1"/>
    <n v="17000"/>
    <d v="2024-01-25T00:00:00"/>
  </r>
  <r>
    <s v="S1604"/>
    <s v="Karan Kulkarni"/>
    <s v="C201"/>
    <s v="Data Analytics"/>
    <s v="B1"/>
    <s v="Priya"/>
    <s v="Web"/>
    <n v="13173"/>
    <s v="DISC30"/>
    <n v="0.3"/>
    <n v="14000"/>
    <d v="2024-01-10T00:00:00"/>
  </r>
  <r>
    <s v="S1605"/>
    <s v="Meera Kulkarni"/>
    <s v="C203"/>
    <s v="Full Stack Dev"/>
    <s v="B1"/>
    <s v="Amit"/>
    <s v="Web"/>
    <n v="16469"/>
    <m/>
    <m/>
    <n v="17000"/>
    <d v="2024-01-07T00:00:00"/>
  </r>
  <r>
    <s v="S1606"/>
    <s v="Kavita Nair"/>
    <s v="C202"/>
    <s v="Data Science"/>
    <s v="B3"/>
    <s v="Amit"/>
    <s v="Tablet"/>
    <n v="12592"/>
    <s v="DISC20"/>
    <n v="0.2"/>
    <n v="13000"/>
    <d v="2024-02-02T00:00:00"/>
  </r>
  <r>
    <s v="S1607"/>
    <s v="Dev Patel"/>
    <s v="C203"/>
    <s v="Full Stack Dev"/>
    <s v="B3"/>
    <s v="Amit"/>
    <s v="Web"/>
    <n v="18794"/>
    <m/>
    <m/>
    <n v="17000"/>
    <d v="2024-01-25T00:00:00"/>
  </r>
  <r>
    <s v="S1608"/>
    <s v="Rahul Patel"/>
    <s v="C203"/>
    <s v="Full Stack Dev"/>
    <s v="B3"/>
    <s v="Saurabh"/>
    <s v="Web"/>
    <n v="18046"/>
    <s v="DISC30"/>
    <n v="0.3"/>
    <n v="17000"/>
    <d v="2024-01-13T00:00:00"/>
  </r>
  <r>
    <s v="S1609"/>
    <s v="Kavita Nair"/>
    <s v="C204"/>
    <s v="UI UX Design"/>
    <s v="B1"/>
    <s v="Amit"/>
    <s v="Tablet"/>
    <n v="9906"/>
    <s v="DISC30"/>
    <n v="0.3"/>
    <n v="9000"/>
    <d v="2024-02-18T00:00:00"/>
  </r>
  <r>
    <s v="S1610"/>
    <s v="Kavita Gupta"/>
    <s v="C202"/>
    <s v="Data Science"/>
    <s v="B3"/>
    <s v="Saurabh"/>
    <s v="Mobile"/>
    <n v="12838"/>
    <s v="DISC20"/>
    <n v="0.2"/>
    <n v="13000"/>
    <d v="2024-02-13T00:00:00"/>
  </r>
  <r>
    <s v="S1611"/>
    <s v="Riya Mehta"/>
    <s v="C202"/>
    <s v="Data Science"/>
    <s v="B3"/>
    <s v="Amit"/>
    <s v="Web"/>
    <n v="12545"/>
    <s v="DISC10"/>
    <n v="0.1"/>
    <n v="13000"/>
    <d v="2024-01-28T00:00:00"/>
  </r>
  <r>
    <s v="S1612"/>
    <s v="Aditya Gupta"/>
    <s v="C203"/>
    <s v="Full Stack Dev"/>
    <s v="B1"/>
    <s v="Saurabh"/>
    <s v="Tablet"/>
    <n v="18465"/>
    <s v="DISC30"/>
    <n v="0.3"/>
    <n v="17000"/>
    <d v="2024-01-01T00:00:00"/>
  </r>
  <r>
    <s v="S1613"/>
    <s v="Pooja Iyer"/>
    <s v="C202"/>
    <s v="Data Science"/>
    <s v="B1"/>
    <s v="Saurabh"/>
    <s v="Mobile"/>
    <n v="13444"/>
    <s v="DISC10"/>
    <n v="0.1"/>
    <n v="13000"/>
    <d v="2024-02-19T00:00:00"/>
  </r>
  <r>
    <s v="S1614"/>
    <s v="Kunal Singh"/>
    <s v="C203"/>
    <s v="Full Stack Dev"/>
    <s v="B2"/>
    <s v="Amit"/>
    <s v="Tablet"/>
    <n v="16466"/>
    <s v="DISC10"/>
    <n v="0.1"/>
    <n v="17000"/>
    <d v="2024-02-20T00:00:00"/>
  </r>
  <r>
    <s v="S1615"/>
    <s v="Anjali Jain"/>
    <s v="C202"/>
    <s v="Data Science"/>
    <s v="B1"/>
    <s v="Amit"/>
    <s v="Web"/>
    <n v="14220"/>
    <s v="DISC15"/>
    <m/>
    <n v="13000"/>
    <d v="2024-01-11T00:00:00"/>
  </r>
  <r>
    <s v="S1616"/>
    <s v="Rahul Gupta"/>
    <s v="C204"/>
    <s v="UI UX Design"/>
    <s v="B1"/>
    <s v="Priya"/>
    <s v="Web"/>
    <n v="10618"/>
    <s v="DISC20"/>
    <n v="0.2"/>
    <n v="9000"/>
    <d v="2024-02-12T00:00:00"/>
  </r>
  <r>
    <s v="S1617"/>
    <s v="Pooja Jain"/>
    <s v="C203"/>
    <s v="Full Stack Dev"/>
    <s v="B2"/>
    <s v="Saurabh"/>
    <s v="Tablet"/>
    <n v="17172"/>
    <m/>
    <m/>
    <n v="17000"/>
    <d v="2024-02-05T00:00:00"/>
  </r>
  <r>
    <s v="S1618"/>
    <s v="Meera Patel"/>
    <s v="C201"/>
    <s v="Data Analytics"/>
    <s v="B1"/>
    <s v="Amit"/>
    <s v="Mobile"/>
    <n v="13825"/>
    <s v="DISC20"/>
    <n v="0.2"/>
    <n v="14000"/>
    <d v="2024-02-27T00:00:00"/>
  </r>
  <r>
    <s v="S1619"/>
    <s v="Rohit Joshi"/>
    <s v="C202"/>
    <s v="Data Science"/>
    <s v="B1"/>
    <s v="Amit"/>
    <s v="Mobile"/>
    <n v="12562"/>
    <s v="DISC10"/>
    <n v="0.1"/>
    <n v="13000"/>
    <d v="2024-01-25T00:00:00"/>
  </r>
  <r>
    <s v="S1620"/>
    <s v="Aditya Gupta"/>
    <s v="C203"/>
    <s v="Full Stack Dev"/>
    <s v="B1"/>
    <s v="Amit"/>
    <s v="Mobile"/>
    <n v="17106"/>
    <s v="DISC15"/>
    <m/>
    <n v="17000"/>
    <d v="2024-01-29T00:00:00"/>
  </r>
  <r>
    <s v="S1621"/>
    <s v="Neha Kulkarni"/>
    <s v="C203"/>
    <s v="Full Stack Dev"/>
    <s v="B3"/>
    <s v="Saurabh"/>
    <s v="Mobile"/>
    <n v="17104"/>
    <s v="DISC10"/>
    <n v="0.1"/>
    <n v="17000"/>
    <d v="2024-03-01T00:00:00"/>
  </r>
  <r>
    <s v="S1622"/>
    <s v="Riya Mehta"/>
    <s v="C201"/>
    <s v="Data Analytics"/>
    <s v="B3"/>
    <s v="Saurabh"/>
    <s v="Web"/>
    <n v="14745"/>
    <s v="DISC20"/>
    <n v="0.2"/>
    <n v="14000"/>
    <d v="2024-02-25T00:00:00"/>
  </r>
  <r>
    <s v="S1623"/>
    <s v="Rohit Verma"/>
    <s v="C201"/>
    <s v="Data Analytics"/>
    <s v="B1"/>
    <s v="Amit"/>
    <s v="Tablet"/>
    <n v="15598"/>
    <m/>
    <m/>
    <n v="14000"/>
    <d v="2024-02-11T00:00:00"/>
  </r>
  <r>
    <s v="S1624"/>
    <s v="Meera Shah"/>
    <s v="C202"/>
    <s v="Data Science"/>
    <s v="B1"/>
    <s v="Priya"/>
    <s v="Tablet"/>
    <n v="12358"/>
    <s v="DISC10"/>
    <n v="0.1"/>
    <n v="13000"/>
    <d v="2024-01-06T00:00:00"/>
  </r>
  <r>
    <s v="S1625"/>
    <s v="Riya Kulkarni"/>
    <s v="C202"/>
    <s v="Data Science"/>
    <s v="B2"/>
    <s v="Amit"/>
    <s v="Web"/>
    <n v="13355"/>
    <s v="DISC20"/>
    <n v="0.2"/>
    <n v="13000"/>
    <d v="2024-02-28T00:00:00"/>
  </r>
  <r>
    <s v="S1626"/>
    <s v="Aditya Verma"/>
    <s v="C204"/>
    <s v="UI UX Design"/>
    <s v="B2"/>
    <s v="Amit"/>
    <s v="Mobile"/>
    <n v="8773"/>
    <s v="DISC30"/>
    <n v="0.3"/>
    <n v="9000"/>
    <d v="2024-01-02T00:00:00"/>
  </r>
  <r>
    <s v="S1627"/>
    <s v="Rahul Singh"/>
    <s v="C201"/>
    <s v="Data Analytics"/>
    <s v="B3"/>
    <s v="Saurabh"/>
    <s v="Tablet"/>
    <n v="14950"/>
    <s v="DISC15"/>
    <m/>
    <n v="14000"/>
    <d v="2024-01-05T00:00:00"/>
  </r>
  <r>
    <s v="S1628"/>
    <s v="Dev Desai"/>
    <s v="C201"/>
    <s v="Data Analytics"/>
    <s v="B3"/>
    <s v="Saurabh"/>
    <s v="Mobile"/>
    <n v="15801"/>
    <s v="DISC15"/>
    <m/>
    <n v="14000"/>
    <d v="2024-01-07T00:00:00"/>
  </r>
  <r>
    <s v="S1629"/>
    <s v="Aditya Patel"/>
    <s v="C203"/>
    <s v="Full Stack Dev"/>
    <s v="B3"/>
    <s v="Saurabh"/>
    <s v="Mobile"/>
    <n v="18134"/>
    <m/>
    <m/>
    <n v="17000"/>
    <d v="2024-01-25T00:00:00"/>
  </r>
  <r>
    <s v="S1630"/>
    <s v="Rahul Nair"/>
    <s v="C201"/>
    <s v="Data Analytics"/>
    <s v="B2"/>
    <s v="Saurabh"/>
    <s v="Tablet"/>
    <n v="12900"/>
    <s v="DISC20"/>
    <n v="0.2"/>
    <n v="14000"/>
    <d v="2024-02-17T00:00:00"/>
  </r>
  <r>
    <s v="S1631"/>
    <s v="Rahul Patel"/>
    <s v="C203"/>
    <s v="Full Stack Dev"/>
    <s v="B3"/>
    <s v="Saurabh"/>
    <s v="Mobile"/>
    <n v="17774"/>
    <s v="DISC30"/>
    <n v="0.3"/>
    <n v="17000"/>
    <d v="2024-03-01T00:00:00"/>
  </r>
  <r>
    <s v="S1632"/>
    <s v="Aarav Gupta"/>
    <s v="C202"/>
    <s v="Data Science"/>
    <s v="B1"/>
    <s v="Saurabh"/>
    <s v="Web"/>
    <n v="13345"/>
    <s v="DISC15"/>
    <m/>
    <n v="13000"/>
    <d v="2024-01-26T00:00:00"/>
  </r>
  <r>
    <s v="S1633"/>
    <s v="Manish Gupta"/>
    <s v="C201"/>
    <s v="Data Analytics"/>
    <s v="B2"/>
    <s v="Saurabh"/>
    <s v="Tablet"/>
    <n v="15036"/>
    <s v="DISC30"/>
    <n v="0.3"/>
    <n v="14000"/>
    <d v="2024-01-14T00:00:00"/>
  </r>
  <r>
    <s v="S1634"/>
    <s v="Rahul Singh"/>
    <s v="C202"/>
    <s v="Data Science"/>
    <s v="B1"/>
    <s v="Saurabh"/>
    <s v="Web"/>
    <n v="13526"/>
    <s v="DISC30"/>
    <n v="0.3"/>
    <n v="13000"/>
    <d v="2024-01-13T00:00:00"/>
  </r>
  <r>
    <s v="S1635"/>
    <s v="Riya Mehta"/>
    <s v="C201"/>
    <s v="Data Analytics"/>
    <s v="B3"/>
    <s v="Priya"/>
    <s v="Tablet"/>
    <n v="14251"/>
    <s v="DISC10"/>
    <n v="0.1"/>
    <n v="14000"/>
    <d v="2024-01-19T00:00:00"/>
  </r>
  <r>
    <s v="S1636"/>
    <s v="Rohit Shah"/>
    <s v="C203"/>
    <s v="Full Stack Dev"/>
    <s v="B1"/>
    <s v="Saurabh"/>
    <s v="Tablet"/>
    <n v="17378"/>
    <m/>
    <m/>
    <n v="17000"/>
    <d v="2024-03-01T00:00:00"/>
  </r>
  <r>
    <s v="S1637"/>
    <s v="Pooja Jain"/>
    <s v="C202"/>
    <s v="Data Science"/>
    <s v="B3"/>
    <s v="Amit"/>
    <s v="Web"/>
    <n v="11409"/>
    <s v="DISC30"/>
    <n v="0.3"/>
    <n v="13000"/>
    <d v="2024-02-09T00:00:00"/>
  </r>
  <r>
    <s v="S1638"/>
    <s v="Riya Patil"/>
    <s v="C203"/>
    <s v="Full Stack Dev"/>
    <s v="B2"/>
    <s v="Priya"/>
    <s v="Mobile"/>
    <n v="17524"/>
    <s v="DISC30"/>
    <n v="0.3"/>
    <n v="17000"/>
    <d v="2024-02-14T00:00:00"/>
  </r>
  <r>
    <s v="S1639"/>
    <s v="Kavita Mehta"/>
    <s v="C203"/>
    <s v="Full Stack Dev"/>
    <s v="B2"/>
    <s v="Priya"/>
    <s v="Web"/>
    <n v="15019"/>
    <s v="DISC30"/>
    <n v="0.3"/>
    <n v="17000"/>
    <d v="2024-01-16T00:00:00"/>
  </r>
  <r>
    <s v="S1640"/>
    <s v="Dev Patil"/>
    <s v="C204"/>
    <s v="UI UX Design"/>
    <s v="B2"/>
    <s v="Priya"/>
    <s v="Web"/>
    <n v="9783"/>
    <s v="DISC30"/>
    <n v="0.3"/>
    <n v="9000"/>
    <d v="2024-02-26T00:00:00"/>
  </r>
  <r>
    <s v="S1641"/>
    <s v="Neha Iyer"/>
    <s v="C204"/>
    <s v="UI UX Design"/>
    <s v="B2"/>
    <s v="Priya"/>
    <s v="Mobile"/>
    <n v="9259"/>
    <s v="DISC10"/>
    <n v="0.1"/>
    <n v="9000"/>
    <d v="2024-01-12T00:00:00"/>
  </r>
  <r>
    <s v="S1642"/>
    <s v="Rohit Joshi"/>
    <s v="C201"/>
    <s v="Data Analytics"/>
    <s v="B2"/>
    <s v="Saurabh"/>
    <s v="Tablet"/>
    <n v="12804"/>
    <s v="DISC30"/>
    <n v="0.3"/>
    <n v="14000"/>
    <d v="2024-02-16T00:00:00"/>
  </r>
  <r>
    <s v="S1643"/>
    <s v="Kunal Singh"/>
    <s v="C201"/>
    <s v="Data Analytics"/>
    <s v="B3"/>
    <s v="Saurabh"/>
    <s v="Web"/>
    <n v="15479"/>
    <s v="DISC15"/>
    <m/>
    <n v="14000"/>
    <d v="2024-02-10T00:00:00"/>
  </r>
  <r>
    <s v="S1644"/>
    <s v="Aarav Nair"/>
    <s v="C204"/>
    <s v="UI UX Design"/>
    <s v="B3"/>
    <s v="Saurabh"/>
    <s v="Web"/>
    <n v="9259"/>
    <s v="DISC30"/>
    <n v="0.3"/>
    <n v="9000"/>
    <d v="2024-02-04T00:00:00"/>
  </r>
  <r>
    <s v="S1645"/>
    <s v="Kunal Gupta"/>
    <s v="C204"/>
    <s v="UI UX Design"/>
    <s v="B3"/>
    <s v="Saurabh"/>
    <s v="Mobile"/>
    <n v="8607"/>
    <s v="DISC20"/>
    <n v="0.2"/>
    <n v="9000"/>
    <d v="2024-02-27T00:00:00"/>
  </r>
  <r>
    <s v="S1646"/>
    <s v="Dev Joshi"/>
    <s v="C203"/>
    <s v="Full Stack Dev"/>
    <s v="B1"/>
    <s v="Priya"/>
    <s v="Tablet"/>
    <n v="17090"/>
    <s v="DISC10"/>
    <n v="0.1"/>
    <n v="17000"/>
    <d v="2024-01-26T00:00:00"/>
  </r>
  <r>
    <s v="S1647"/>
    <s v="Pooja Gupta"/>
    <s v="C201"/>
    <s v="Data Analytics"/>
    <s v="B3"/>
    <s v="Saurabh"/>
    <s v="Tablet"/>
    <n v="14802"/>
    <s v="DISC20"/>
    <n v="0.2"/>
    <n v="14000"/>
    <d v="2024-02-18T00:00:00"/>
  </r>
  <r>
    <s v="S1648"/>
    <s v="Manish Mehta"/>
    <s v="C204"/>
    <s v="UI UX Design"/>
    <s v="B1"/>
    <s v="Saurabh"/>
    <s v="Tablet"/>
    <n v="10885"/>
    <s v="DISC15"/>
    <m/>
    <n v="9000"/>
    <d v="2024-02-12T00:00:00"/>
  </r>
  <r>
    <s v="S1649"/>
    <s v="Meera Mehta"/>
    <s v="C204"/>
    <s v="UI UX Design"/>
    <s v="B2"/>
    <s v="Saurabh"/>
    <s v="Web"/>
    <n v="10118"/>
    <m/>
    <m/>
    <n v="9000"/>
    <d v="2024-01-15T00:00:00"/>
  </r>
  <r>
    <s v="S1650"/>
    <s v="Riya Rao"/>
    <s v="C203"/>
    <s v="Full Stack Dev"/>
    <s v="B1"/>
    <s v="Saurabh"/>
    <s v="Tablet"/>
    <n v="15846"/>
    <s v="DISC15"/>
    <m/>
    <n v="17000"/>
    <d v="2024-02-28T00:00:00"/>
  </r>
  <r>
    <s v="S1651"/>
    <s v="Dev Jain"/>
    <s v="C204"/>
    <s v="UI UX Design"/>
    <s v="B2"/>
    <s v="Priya"/>
    <s v="Web"/>
    <n v="7163"/>
    <s v="DISC30"/>
    <n v="0.3"/>
    <n v="9000"/>
    <d v="2024-01-07T00:00:00"/>
  </r>
  <r>
    <s v="S1652"/>
    <s v="Anjali Gupta"/>
    <s v="C203"/>
    <s v="Full Stack Dev"/>
    <s v="B3"/>
    <s v="Priya"/>
    <s v="Tablet"/>
    <n v="17229"/>
    <s v="DISC15"/>
    <m/>
    <n v="17000"/>
    <d v="2024-01-12T00:00:00"/>
  </r>
  <r>
    <s v="S1653"/>
    <s v="Rahul Singh"/>
    <s v="C204"/>
    <s v="UI UX Design"/>
    <s v="B2"/>
    <s v="Amit"/>
    <s v="Tablet"/>
    <n v="10679"/>
    <s v="DISC10"/>
    <n v="0.1"/>
    <n v="9000"/>
    <d v="2024-02-03T00:00:00"/>
  </r>
  <r>
    <s v="S1654"/>
    <s v="Aditya Verma"/>
    <s v="C202"/>
    <s v="Data Science"/>
    <s v="B3"/>
    <s v="Priya"/>
    <s v="Mobile"/>
    <n v="14347"/>
    <s v="DISC30"/>
    <n v="0.3"/>
    <n v="13000"/>
    <d v="2024-02-01T00:00:00"/>
  </r>
  <r>
    <s v="S1655"/>
    <s v="Dev Iyer"/>
    <s v="C201"/>
    <s v="Data Analytics"/>
    <s v="B3"/>
    <s v="Saurabh"/>
    <s v="Mobile"/>
    <n v="12678"/>
    <s v="DISC20"/>
    <n v="0.2"/>
    <n v="14000"/>
    <d v="2024-01-05T00:00:00"/>
  </r>
  <r>
    <s v="S1656"/>
    <s v="Manish Singh"/>
    <s v="C203"/>
    <s v="Full Stack Dev"/>
    <s v="B1"/>
    <s v="Saurabh"/>
    <s v="Web"/>
    <n v="15644"/>
    <s v="DISC30"/>
    <n v="0.3"/>
    <n v="17000"/>
    <d v="2024-02-08T00:00:00"/>
  </r>
  <r>
    <s v="S1657"/>
    <s v="Anjali Nair"/>
    <s v="C201"/>
    <s v="Data Analytics"/>
    <s v="B3"/>
    <s v="Saurabh"/>
    <s v="Mobile"/>
    <n v="15322"/>
    <s v="DISC30"/>
    <n v="0.3"/>
    <n v="14000"/>
    <d v="2024-02-16T00:00:00"/>
  </r>
  <r>
    <s v="S1658"/>
    <s v="Riya Iyer"/>
    <s v="C204"/>
    <s v="UI UX Design"/>
    <s v="B2"/>
    <s v="Saurabh"/>
    <s v="Tablet"/>
    <n v="7660"/>
    <m/>
    <m/>
    <n v="9000"/>
    <d v="2024-01-02T00:00:00"/>
  </r>
  <r>
    <s v="S1659"/>
    <s v="Sneha Kulkarni"/>
    <s v="C202"/>
    <s v="Data Science"/>
    <s v="B3"/>
    <s v="Amit"/>
    <s v="Web"/>
    <n v="11551"/>
    <s v="DISC15"/>
    <m/>
    <n v="13000"/>
    <d v="2024-01-03T00:00:00"/>
  </r>
  <r>
    <s v="S1660"/>
    <s v="Kunal Joshi"/>
    <s v="C202"/>
    <s v="Data Science"/>
    <s v="B1"/>
    <s v="Saurabh"/>
    <s v="Mobile"/>
    <n v="14778"/>
    <s v="DISC20"/>
    <n v="0.2"/>
    <n v="13000"/>
    <d v="2024-02-03T00:00:00"/>
  </r>
  <r>
    <s v="S1661"/>
    <s v="Rahul Joshi"/>
    <s v="C201"/>
    <s v="Data Analytics"/>
    <s v="B3"/>
    <s v="Amit"/>
    <s v="Tablet"/>
    <n v="15364"/>
    <s v="DISC30"/>
    <n v="0.3"/>
    <n v="14000"/>
    <d v="2024-03-01T00:00:00"/>
  </r>
  <r>
    <s v="S1662"/>
    <s v="Riya Patil"/>
    <s v="C204"/>
    <s v="UI UX Design"/>
    <s v="B3"/>
    <s v="Priya"/>
    <s v="Mobile"/>
    <n v="7698"/>
    <s v="DISC20"/>
    <n v="0.2"/>
    <n v="9000"/>
    <d v="2024-02-23T00:00:00"/>
  </r>
  <r>
    <s v="S1663"/>
    <s v="Rahul Joshi"/>
    <s v="C202"/>
    <s v="Data Science"/>
    <s v="B3"/>
    <s v="Saurabh"/>
    <s v="Tablet"/>
    <n v="13701"/>
    <s v="DISC15"/>
    <m/>
    <n v="13000"/>
    <d v="2024-01-17T00:00:00"/>
  </r>
  <r>
    <s v="S1664"/>
    <s v="Karan Desai"/>
    <s v="C203"/>
    <s v="Full Stack Dev"/>
    <s v="B2"/>
    <s v="Amit"/>
    <s v="Tablet"/>
    <n v="15281"/>
    <s v="DISC20"/>
    <n v="0.2"/>
    <n v="17000"/>
    <d v="2024-01-25T00:00:00"/>
  </r>
  <r>
    <s v="S1665"/>
    <s v="Rahul Mehta"/>
    <s v="C201"/>
    <s v="Data Analytics"/>
    <s v="B1"/>
    <s v="Saurabh"/>
    <s v="Tablet"/>
    <n v="15520"/>
    <s v="DISC15"/>
    <m/>
    <n v="14000"/>
    <d v="2024-02-13T00:00:00"/>
  </r>
  <r>
    <s v="S1666"/>
    <s v="Rahul Nair"/>
    <s v="C202"/>
    <s v="Data Science"/>
    <s v="B3"/>
    <s v="Saurabh"/>
    <s v="Web"/>
    <n v="12949"/>
    <s v="DISC15"/>
    <m/>
    <n v="13000"/>
    <d v="2024-02-08T00:00:00"/>
  </r>
  <r>
    <s v="S1667"/>
    <s v="Aarav Patel"/>
    <s v="C201"/>
    <s v="Data Analytics"/>
    <s v="B1"/>
    <s v="Priya"/>
    <s v="Tablet"/>
    <n v="12533"/>
    <s v="DISC15"/>
    <m/>
    <n v="14000"/>
    <d v="2024-02-04T00:00:00"/>
  </r>
  <r>
    <s v="S1668"/>
    <s v="Meera Kulkarni"/>
    <s v="C204"/>
    <s v="UI UX Design"/>
    <s v="B3"/>
    <s v="Priya"/>
    <s v="Mobile"/>
    <n v="10583"/>
    <s v="DISC10"/>
    <n v="0.1"/>
    <n v="9000"/>
    <d v="2024-02-14T00:00:00"/>
  </r>
  <r>
    <s v="S1669"/>
    <s v="Manish Verma"/>
    <s v="C202"/>
    <s v="Data Science"/>
    <s v="B2"/>
    <s v="Priya"/>
    <s v="Mobile"/>
    <n v="13412"/>
    <s v="DISC15"/>
    <m/>
    <n v="13000"/>
    <d v="2024-01-07T00:00:00"/>
  </r>
  <r>
    <s v="S1670"/>
    <s v="Rahul Mehta"/>
    <s v="C203"/>
    <s v="Full Stack Dev"/>
    <s v="B2"/>
    <s v="Saurabh"/>
    <s v="Web"/>
    <n v="16160"/>
    <s v="DISC15"/>
    <m/>
    <n v="17000"/>
    <d v="2024-02-26T00:00:00"/>
  </r>
  <r>
    <s v="S1671"/>
    <s v="Manish Verma"/>
    <s v="C203"/>
    <s v="Full Stack Dev"/>
    <s v="B1"/>
    <s v="Saurabh"/>
    <s v="Tablet"/>
    <n v="18045"/>
    <s v="DISC10"/>
    <n v="0.1"/>
    <n v="17000"/>
    <d v="2024-02-06T00:00:00"/>
  </r>
  <r>
    <s v="S1672"/>
    <s v="Manish Shah"/>
    <s v="C201"/>
    <s v="Data Analytics"/>
    <s v="B2"/>
    <s v="Amit"/>
    <s v="Web"/>
    <n v="14817"/>
    <s v="DISC30"/>
    <n v="0.3"/>
    <n v="14000"/>
    <d v="2024-01-27T00:00:00"/>
  </r>
  <r>
    <s v="S1673"/>
    <s v="Pooja Shah"/>
    <s v="C202"/>
    <s v="Data Science"/>
    <s v="B2"/>
    <s v="Amit"/>
    <s v="Tablet"/>
    <n v="12038"/>
    <s v="DISC30"/>
    <n v="0.3"/>
    <n v="13000"/>
    <d v="2024-02-24T00:00:00"/>
  </r>
  <r>
    <s v="S1674"/>
    <s v="Manish Verma"/>
    <s v="C203"/>
    <s v="Full Stack Dev"/>
    <s v="B3"/>
    <s v="Priya"/>
    <s v="Tablet"/>
    <n v="16627"/>
    <s v="DISC20"/>
    <n v="0.2"/>
    <n v="17000"/>
    <d v="2024-01-27T00:00:00"/>
  </r>
  <r>
    <s v="S1675"/>
    <s v="Manish Patel"/>
    <s v="C204"/>
    <s v="UI UX Design"/>
    <s v="B1"/>
    <s v="Priya"/>
    <s v="Tablet"/>
    <n v="9272"/>
    <m/>
    <m/>
    <n v="9000"/>
    <d v="2024-01-17T00:00:00"/>
  </r>
  <r>
    <s v="S1676"/>
    <s v="Aditya Joshi"/>
    <s v="C203"/>
    <s v="Full Stack Dev"/>
    <s v="B3"/>
    <s v="Priya"/>
    <s v="Tablet"/>
    <n v="15565"/>
    <s v="DISC10"/>
    <n v="0.1"/>
    <n v="17000"/>
    <d v="2024-02-17T00:00:00"/>
  </r>
  <r>
    <s v="S1677"/>
    <s v="Sneha Iyer"/>
    <s v="C202"/>
    <s v="Data Science"/>
    <s v="B1"/>
    <s v="Saurabh"/>
    <s v="Tablet"/>
    <n v="12640"/>
    <s v="DISC30"/>
    <n v="0.3"/>
    <n v="13000"/>
    <d v="2024-02-21T00:00:00"/>
  </r>
  <r>
    <s v="S1678"/>
    <s v="Manish Joshi"/>
    <s v="C201"/>
    <s v="Data Analytics"/>
    <s v="B1"/>
    <s v="Priya"/>
    <s v="Tablet"/>
    <n v="12021"/>
    <s v="DISC10"/>
    <n v="0.1"/>
    <n v="14000"/>
    <d v="2024-02-22T00:00:00"/>
  </r>
  <r>
    <s v="S1679"/>
    <s v="Karan Iyer"/>
    <s v="C204"/>
    <s v="UI UX Design"/>
    <s v="B1"/>
    <s v="Saurabh"/>
    <s v="Mobile"/>
    <n v="7908"/>
    <s v="DISC30"/>
    <n v="0.3"/>
    <n v="9000"/>
    <d v="2024-01-06T00:00:00"/>
  </r>
  <r>
    <s v="S1680"/>
    <s v="Kavita Kulkarni"/>
    <s v="C204"/>
    <s v="UI UX Design"/>
    <s v="B2"/>
    <s v="Amit"/>
    <s v="Tablet"/>
    <n v="9134"/>
    <s v="DISC30"/>
    <n v="0.3"/>
    <n v="9000"/>
    <d v="2024-02-15T00:00:00"/>
  </r>
  <r>
    <s v="S1681"/>
    <s v="Kavita Kulkarni"/>
    <s v="C202"/>
    <s v="Data Science"/>
    <s v="B3"/>
    <s v="Priya"/>
    <s v="Mobile"/>
    <n v="11043"/>
    <s v="DISC20"/>
    <n v="0.2"/>
    <n v="13000"/>
    <d v="2024-02-24T00:00:00"/>
  </r>
  <r>
    <s v="S1682"/>
    <s v="Rohit Patel"/>
    <s v="C203"/>
    <s v="Full Stack Dev"/>
    <s v="B1"/>
    <s v="Saurabh"/>
    <s v="Tablet"/>
    <n v="17091"/>
    <s v="DISC15"/>
    <m/>
    <n v="17000"/>
    <d v="2024-02-14T00:00:00"/>
  </r>
  <r>
    <s v="S1683"/>
    <s v="Sneha Joshi"/>
    <s v="C202"/>
    <s v="Data Science"/>
    <s v="B3"/>
    <s v="Saurabh"/>
    <s v="Mobile"/>
    <n v="11979"/>
    <s v="DISC10"/>
    <n v="0.1"/>
    <n v="13000"/>
    <d v="2024-01-11T00:00:00"/>
  </r>
  <r>
    <s v="S1684"/>
    <s v="Riya Rao"/>
    <s v="C204"/>
    <s v="UI UX Design"/>
    <s v="B2"/>
    <s v="Amit"/>
    <s v="Mobile"/>
    <n v="8660"/>
    <s v="DISC15"/>
    <m/>
    <n v="9000"/>
    <d v="2024-01-13T00:00:00"/>
  </r>
  <r>
    <s v="S1685"/>
    <s v="Manish Kulkarni"/>
    <s v="C201"/>
    <s v="Data Analytics"/>
    <s v="B1"/>
    <s v="Amit"/>
    <s v="Mobile"/>
    <n v="14974"/>
    <s v="DISC15"/>
    <m/>
    <n v="14000"/>
    <d v="2024-02-28T00:00:00"/>
  </r>
  <r>
    <s v="S1686"/>
    <s v="Kavita Jain"/>
    <s v="C203"/>
    <s v="Full Stack Dev"/>
    <s v="B2"/>
    <s v="Saurabh"/>
    <s v="Tablet"/>
    <n v="18944"/>
    <s v="DISC20"/>
    <n v="0.2"/>
    <n v="17000"/>
    <d v="2024-01-30T00:00:00"/>
  </r>
  <r>
    <s v="S1687"/>
    <s v="Kunal Verma"/>
    <s v="C201"/>
    <s v="Data Analytics"/>
    <s v="B2"/>
    <s v="Saurabh"/>
    <s v="Mobile"/>
    <n v="14073"/>
    <s v="DISC10"/>
    <n v="0.1"/>
    <n v="14000"/>
    <d v="2024-02-05T00:00:00"/>
  </r>
  <r>
    <s v="S1688"/>
    <s v="Riya Gupta"/>
    <s v="C203"/>
    <s v="Full Stack Dev"/>
    <s v="B2"/>
    <s v="Saurabh"/>
    <s v="Tablet"/>
    <n v="18918"/>
    <s v="DISC30"/>
    <n v="0.3"/>
    <n v="17000"/>
    <d v="2024-02-26T00:00:00"/>
  </r>
  <r>
    <s v="S1689"/>
    <s v="Manish Nair"/>
    <s v="C203"/>
    <s v="Full Stack Dev"/>
    <s v="B3"/>
    <s v="Priya"/>
    <s v="Mobile"/>
    <n v="17306"/>
    <m/>
    <m/>
    <n v="17000"/>
    <d v="2024-02-19T00:00:00"/>
  </r>
  <r>
    <s v="S1690"/>
    <s v="Sneha Patel"/>
    <s v="C203"/>
    <s v="Full Stack Dev"/>
    <s v="B2"/>
    <s v="Amit"/>
    <s v="Mobile"/>
    <n v="18672"/>
    <s v="DISC15"/>
    <m/>
    <n v="17000"/>
    <d v="2024-02-25T00:00:00"/>
  </r>
  <r>
    <s v="S1691"/>
    <s v="Aarav Iyer"/>
    <s v="C201"/>
    <s v="Data Analytics"/>
    <s v="B2"/>
    <s v="Saurabh"/>
    <s v="Mobile"/>
    <n v="14595"/>
    <s v="DISC20"/>
    <n v="0.2"/>
    <n v="14000"/>
    <d v="2024-02-13T00:00:00"/>
  </r>
  <r>
    <s v="S1692"/>
    <s v="Anjali Patil"/>
    <s v="C203"/>
    <s v="Full Stack Dev"/>
    <s v="B2"/>
    <s v="Priya"/>
    <s v="Tablet"/>
    <n v="17194"/>
    <s v="DISC10"/>
    <n v="0.1"/>
    <n v="17000"/>
    <d v="2024-02-14T00:00:00"/>
  </r>
  <r>
    <s v="S1693"/>
    <s v="Meera Rao"/>
    <s v="C202"/>
    <s v="Data Science"/>
    <s v="B2"/>
    <s v="Saurabh"/>
    <s v="Mobile"/>
    <n v="13759"/>
    <s v="DISC30"/>
    <n v="0.3"/>
    <n v="13000"/>
    <d v="2024-01-05T00:00:00"/>
  </r>
  <r>
    <s v="S1694"/>
    <s v="Manish Mehta"/>
    <s v="C204"/>
    <s v="UI UX Design"/>
    <s v="B2"/>
    <s v="Priya"/>
    <s v="Web"/>
    <n v="10663"/>
    <s v="DISC15"/>
    <m/>
    <n v="9000"/>
    <d v="2024-01-18T00:00:00"/>
  </r>
  <r>
    <s v="S1695"/>
    <s v="Karan Desai"/>
    <s v="C202"/>
    <s v="Data Science"/>
    <s v="B2"/>
    <s v="Amit"/>
    <s v="Web"/>
    <n v="11961"/>
    <s v="DISC20"/>
    <n v="0.2"/>
    <n v="13000"/>
    <d v="2024-02-25T00:00:00"/>
  </r>
  <r>
    <s v="S1696"/>
    <s v="Aditya Patil"/>
    <s v="C202"/>
    <s v="Data Science"/>
    <s v="B1"/>
    <s v="Saurabh"/>
    <s v="Tablet"/>
    <n v="12458"/>
    <s v="DISC20"/>
    <n v="0.2"/>
    <n v="13000"/>
    <d v="2024-02-19T00:00:00"/>
  </r>
  <r>
    <s v="S1697"/>
    <s v="Riya Shah"/>
    <s v="C201"/>
    <s v="Data Analytics"/>
    <s v="B3"/>
    <s v="Amit"/>
    <s v="Mobile"/>
    <n v="14514"/>
    <s v="DISC10"/>
    <n v="0.1"/>
    <n v="14000"/>
    <d v="2024-02-18T00:00:00"/>
  </r>
  <r>
    <s v="S1698"/>
    <s v="Meera Gupta"/>
    <s v="C201"/>
    <s v="Data Analytics"/>
    <s v="B2"/>
    <s v="Priya"/>
    <s v="Tablet"/>
    <n v="13291"/>
    <m/>
    <m/>
    <n v="14000"/>
    <d v="2024-02-27T00:00:00"/>
  </r>
  <r>
    <s v="S1699"/>
    <s v="Kunal Joshi"/>
    <s v="C203"/>
    <s v="Full Stack Dev"/>
    <s v="B2"/>
    <s v="Saurabh"/>
    <s v="Tablet"/>
    <n v="16147"/>
    <m/>
    <m/>
    <n v="17000"/>
    <d v="2024-01-15T00:00:00"/>
  </r>
  <r>
    <s v="S1700"/>
    <s v="Dev Joshi"/>
    <s v="C202"/>
    <s v="Data Science"/>
    <s v="B1"/>
    <s v="Amit"/>
    <s v="Mobile"/>
    <n v="12959"/>
    <s v="DISC15"/>
    <m/>
    <n v="13000"/>
    <d v="2024-01-03T00:00:00"/>
  </r>
  <r>
    <s v="S1701"/>
    <s v="Manish Jain"/>
    <s v="C204"/>
    <s v="UI UX Design"/>
    <s v="B3"/>
    <s v="Saurabh"/>
    <s v="Mobile"/>
    <n v="10999"/>
    <s v="DISC10"/>
    <n v="0.1"/>
    <n v="9000"/>
    <d v="2024-02-14T00:00:00"/>
  </r>
  <r>
    <s v="S1702"/>
    <s v="Manish Iyer"/>
    <s v="C203"/>
    <s v="Full Stack Dev"/>
    <s v="B3"/>
    <s v="Saurabh"/>
    <s v="Web"/>
    <n v="17761"/>
    <s v="DISC20"/>
    <n v="0.2"/>
    <n v="17000"/>
    <d v="2024-01-25T00:00:00"/>
  </r>
  <r>
    <s v="S1703"/>
    <s v="Kavita Shah"/>
    <s v="C203"/>
    <s v="Full Stack Dev"/>
    <s v="B2"/>
    <s v="Amit"/>
    <s v="Mobile"/>
    <n v="15766"/>
    <s v="DISC15"/>
    <m/>
    <n v="17000"/>
    <d v="2024-01-17T00:00:00"/>
  </r>
  <r>
    <s v="S1704"/>
    <s v="Sneha Rao"/>
    <s v="C204"/>
    <s v="UI UX Design"/>
    <s v="B3"/>
    <s v="Priya"/>
    <s v="Mobile"/>
    <n v="7753"/>
    <m/>
    <m/>
    <n v="9000"/>
    <d v="2024-01-28T00:00:00"/>
  </r>
  <r>
    <s v="S1705"/>
    <s v="Sneha Verma"/>
    <s v="C203"/>
    <s v="Full Stack Dev"/>
    <s v="B2"/>
    <s v="Priya"/>
    <s v="Mobile"/>
    <n v="16846"/>
    <s v="DISC20"/>
    <n v="0.2"/>
    <n v="17000"/>
    <d v="2024-02-06T00:00:00"/>
  </r>
  <r>
    <s v="S1706"/>
    <s v="Karan Joshi"/>
    <s v="C202"/>
    <s v="Data Science"/>
    <s v="B1"/>
    <s v="Amit"/>
    <s v="Mobile"/>
    <n v="14293"/>
    <s v="DISC20"/>
    <n v="0.2"/>
    <n v="13000"/>
    <d v="2024-02-05T00:00:00"/>
  </r>
  <r>
    <s v="S1707"/>
    <s v="Rahul Nair"/>
    <s v="C204"/>
    <s v="UI UX Design"/>
    <s v="B1"/>
    <s v="Saurabh"/>
    <s v="Tablet"/>
    <n v="7612"/>
    <m/>
    <m/>
    <n v="9000"/>
    <d v="2024-02-21T00:00:00"/>
  </r>
  <r>
    <s v="S1708"/>
    <s v="Aarav Mehta"/>
    <s v="C204"/>
    <s v="UI UX Design"/>
    <s v="B2"/>
    <s v="Saurabh"/>
    <s v="Tablet"/>
    <n v="9117"/>
    <s v="DISC15"/>
    <m/>
    <n v="9000"/>
    <d v="2024-02-16T00:00:00"/>
  </r>
  <r>
    <s v="S1709"/>
    <s v="Pooja Patel"/>
    <s v="C204"/>
    <s v="UI UX Design"/>
    <s v="B2"/>
    <s v="Priya"/>
    <s v="Tablet"/>
    <n v="10516"/>
    <s v="DISC15"/>
    <m/>
    <n v="9000"/>
    <d v="2024-01-04T00:00:00"/>
  </r>
  <r>
    <s v="S1710"/>
    <s v="Rahul Shah"/>
    <s v="C202"/>
    <s v="Data Science"/>
    <s v="B1"/>
    <s v="Saurabh"/>
    <s v="Mobile"/>
    <n v="12951"/>
    <s v="DISC10"/>
    <n v="0.1"/>
    <n v="13000"/>
    <d v="2024-01-29T00:00:00"/>
  </r>
  <r>
    <s v="S1711"/>
    <s v="Anjali Jain"/>
    <s v="C203"/>
    <s v="Full Stack Dev"/>
    <s v="B2"/>
    <s v="Priya"/>
    <s v="Tablet"/>
    <n v="17283"/>
    <s v="DISC30"/>
    <n v="0.3"/>
    <n v="17000"/>
    <d v="2024-01-23T00:00:00"/>
  </r>
  <r>
    <s v="S1712"/>
    <s v="Aarav Verma"/>
    <s v="C201"/>
    <s v="Data Analytics"/>
    <s v="B2"/>
    <s v="Amit"/>
    <s v="Tablet"/>
    <n v="12814"/>
    <s v="DISC15"/>
    <m/>
    <n v="14000"/>
    <d v="2024-02-06T00:00:00"/>
  </r>
  <r>
    <s v="S1713"/>
    <s v="Rohit Singh"/>
    <s v="C202"/>
    <s v="Data Science"/>
    <s v="B2"/>
    <s v="Priya"/>
    <s v="Mobile"/>
    <n v="13757"/>
    <s v="DISC15"/>
    <m/>
    <n v="13000"/>
    <d v="2024-02-01T00:00:00"/>
  </r>
  <r>
    <s v="S1714"/>
    <s v="Dev Desai"/>
    <s v="C204"/>
    <s v="UI UX Design"/>
    <s v="B1"/>
    <s v="Priya"/>
    <s v="Tablet"/>
    <n v="8173"/>
    <m/>
    <m/>
    <n v="9000"/>
    <d v="2024-02-10T00:00:00"/>
  </r>
  <r>
    <s v="S1715"/>
    <s v="Karan Nair"/>
    <s v="C202"/>
    <s v="Data Science"/>
    <s v="B3"/>
    <s v="Priya"/>
    <s v="Mobile"/>
    <n v="13585"/>
    <s v="DISC15"/>
    <m/>
    <n v="13000"/>
    <d v="2024-02-06T00:00:00"/>
  </r>
  <r>
    <s v="S1716"/>
    <s v="Rahul Nair"/>
    <s v="C201"/>
    <s v="Data Analytics"/>
    <s v="B1"/>
    <s v="Saurabh"/>
    <s v="Mobile"/>
    <n v="12934"/>
    <s v="DISC30"/>
    <n v="0.3"/>
    <n v="14000"/>
    <d v="2024-01-21T00:00:00"/>
  </r>
  <r>
    <s v="S1717"/>
    <s v="Rohit Rao"/>
    <s v="C203"/>
    <s v="Full Stack Dev"/>
    <s v="B3"/>
    <s v="Amit"/>
    <s v="Mobile"/>
    <n v="16111"/>
    <m/>
    <m/>
    <n v="17000"/>
    <d v="2024-02-19T00:00:00"/>
  </r>
  <r>
    <s v="S1718"/>
    <s v="Meera Jain"/>
    <s v="C204"/>
    <s v="UI UX Design"/>
    <s v="B2"/>
    <s v="Saurabh"/>
    <s v="Web"/>
    <n v="10498"/>
    <s v="DISC10"/>
    <n v="0.1"/>
    <n v="9000"/>
    <d v="2024-01-09T00:00:00"/>
  </r>
  <r>
    <s v="S1719"/>
    <s v="Anjali Patil"/>
    <s v="C203"/>
    <s v="Full Stack Dev"/>
    <s v="B3"/>
    <s v="Amit"/>
    <s v="Tablet"/>
    <n v="15327"/>
    <s v="DISC20"/>
    <n v="0.2"/>
    <n v="17000"/>
    <d v="2024-01-11T00:00:00"/>
  </r>
  <r>
    <s v="S1720"/>
    <s v="Rahul Shah"/>
    <s v="C201"/>
    <s v="Data Analytics"/>
    <s v="B1"/>
    <s v="Priya"/>
    <s v="Tablet"/>
    <n v="12220"/>
    <s v="DISC10"/>
    <n v="0.1"/>
    <n v="14000"/>
    <d v="2024-02-19T00:00:00"/>
  </r>
  <r>
    <s v="S1721"/>
    <s v="Rahul Gupta"/>
    <s v="C201"/>
    <s v="Data Analytics"/>
    <s v="B1"/>
    <s v="Priya"/>
    <s v="Tablet"/>
    <n v="12636"/>
    <s v="DISC10"/>
    <n v="0.1"/>
    <n v="14000"/>
    <d v="2024-02-11T00:00:00"/>
  </r>
  <r>
    <s v="S1722"/>
    <s v="Kunal Verma"/>
    <s v="C203"/>
    <s v="Full Stack Dev"/>
    <s v="B1"/>
    <s v="Saurabh"/>
    <s v="Tablet"/>
    <n v="16163"/>
    <m/>
    <m/>
    <n v="17000"/>
    <d v="2024-02-10T00:00:00"/>
  </r>
  <r>
    <s v="S1723"/>
    <s v="Karan Mehta"/>
    <s v="C202"/>
    <s v="Data Science"/>
    <s v="B1"/>
    <s v="Saurabh"/>
    <s v="Tablet"/>
    <n v="12461"/>
    <s v="DISC30"/>
    <n v="0.3"/>
    <n v="13000"/>
    <d v="2024-02-25T00:00:00"/>
  </r>
  <r>
    <s v="S1724"/>
    <s v="Neha Iyer"/>
    <s v="C203"/>
    <s v="Full Stack Dev"/>
    <s v="B3"/>
    <s v="Priya"/>
    <s v="Web"/>
    <n v="18971"/>
    <s v="DISC15"/>
    <m/>
    <n v="17000"/>
    <d v="2024-01-12T00:00:00"/>
  </r>
  <r>
    <s v="S1725"/>
    <s v="Kavita Joshi"/>
    <s v="C204"/>
    <s v="UI UX Design"/>
    <s v="B3"/>
    <s v="Amit"/>
    <s v="Tablet"/>
    <n v="10593"/>
    <s v="DISC15"/>
    <m/>
    <n v="9000"/>
    <d v="2024-01-28T00:00:00"/>
  </r>
  <r>
    <s v="S1726"/>
    <s v="Manish Singh"/>
    <s v="C203"/>
    <s v="Full Stack Dev"/>
    <s v="B2"/>
    <s v="Priya"/>
    <s v="Tablet"/>
    <n v="15930"/>
    <s v="DISC10"/>
    <n v="0.1"/>
    <n v="17000"/>
    <d v="2024-01-29T00:00:00"/>
  </r>
  <r>
    <s v="S1727"/>
    <s v="Aditya Jain"/>
    <s v="C204"/>
    <s v="UI UX Design"/>
    <s v="B2"/>
    <s v="Saurabh"/>
    <s v="Mobile"/>
    <n v="7043"/>
    <s v="DISC10"/>
    <n v="0.1"/>
    <n v="9000"/>
    <d v="2024-02-03T00:00:00"/>
  </r>
  <r>
    <s v="S1728"/>
    <s v="Meera Patel"/>
    <s v="C202"/>
    <s v="Data Science"/>
    <s v="B2"/>
    <s v="Priya"/>
    <s v="Mobile"/>
    <n v="13191"/>
    <s v="DISC10"/>
    <n v="0.1"/>
    <n v="13000"/>
    <d v="2024-02-14T00:00:00"/>
  </r>
  <r>
    <s v="S1729"/>
    <s v="Kunal Iyer"/>
    <s v="C204"/>
    <s v="UI UX Design"/>
    <s v="B2"/>
    <s v="Saurabh"/>
    <s v="Mobile"/>
    <n v="10268"/>
    <s v="DISC30"/>
    <n v="0.3"/>
    <n v="9000"/>
    <d v="2024-02-08T00:00:00"/>
  </r>
  <r>
    <s v="S1730"/>
    <s v="Sneha Patel"/>
    <s v="C201"/>
    <s v="Data Analytics"/>
    <s v="B3"/>
    <s v="Priya"/>
    <s v="Web"/>
    <n v="13686"/>
    <s v="DISC15"/>
    <m/>
    <n v="14000"/>
    <d v="2024-01-28T00:00:00"/>
  </r>
  <r>
    <s v="S1731"/>
    <s v="Rahul Patil"/>
    <s v="C202"/>
    <s v="Data Science"/>
    <s v="B3"/>
    <s v="Amit"/>
    <s v="Tablet"/>
    <n v="12596"/>
    <m/>
    <m/>
    <n v="13000"/>
    <d v="2024-01-15T00:00:00"/>
  </r>
  <r>
    <s v="S1732"/>
    <s v="Aditya Shah"/>
    <s v="C204"/>
    <s v="UI UX Design"/>
    <s v="B3"/>
    <s v="Saurabh"/>
    <s v="Tablet"/>
    <n v="10131"/>
    <s v="DISC15"/>
    <m/>
    <n v="9000"/>
    <d v="2024-02-21T00:00:00"/>
  </r>
  <r>
    <s v="S1733"/>
    <s v="Anjali Singh"/>
    <s v="C203"/>
    <s v="Full Stack Dev"/>
    <s v="B2"/>
    <s v="Amit"/>
    <s v="Tablet"/>
    <n v="17178"/>
    <s v="DISC30"/>
    <n v="0.3"/>
    <n v="17000"/>
    <d v="2024-01-27T00:00:00"/>
  </r>
  <r>
    <s v="S1734"/>
    <s v="Sneha Nair"/>
    <s v="C201"/>
    <s v="Data Analytics"/>
    <s v="B1"/>
    <s v="Saurabh"/>
    <s v="Mobile"/>
    <n v="12452"/>
    <m/>
    <m/>
    <n v="14000"/>
    <d v="2024-02-09T00:00:00"/>
  </r>
  <r>
    <s v="S1735"/>
    <s v="Neha Rao"/>
    <s v="C204"/>
    <s v="UI UX Design"/>
    <s v="B1"/>
    <s v="Priya"/>
    <s v="Web"/>
    <n v="7623"/>
    <s v="DISC10"/>
    <n v="0.1"/>
    <n v="9000"/>
    <d v="2024-02-04T00:00:00"/>
  </r>
  <r>
    <s v="S1736"/>
    <s v="Aarav Mehta"/>
    <s v="C201"/>
    <s v="Data Analytics"/>
    <s v="B2"/>
    <s v="Priya"/>
    <s v="Web"/>
    <n v="14929"/>
    <m/>
    <m/>
    <n v="14000"/>
    <d v="2024-02-16T00:00:00"/>
  </r>
  <r>
    <s v="S1737"/>
    <s v="Aarav Patil"/>
    <s v="C201"/>
    <s v="Data Analytics"/>
    <s v="B1"/>
    <s v="Saurabh"/>
    <s v="Mobile"/>
    <n v="12889"/>
    <s v="DISC30"/>
    <n v="0.3"/>
    <n v="14000"/>
    <d v="2024-01-27T00:00:00"/>
  </r>
  <r>
    <s v="S1738"/>
    <s v="Aditya Patel"/>
    <s v="C204"/>
    <s v="UI UX Design"/>
    <s v="B2"/>
    <s v="Priya"/>
    <s v="Tablet"/>
    <n v="10241"/>
    <s v="DISC10"/>
    <n v="0.1"/>
    <n v="9000"/>
    <d v="2024-01-22T00:00:00"/>
  </r>
  <r>
    <s v="S1739"/>
    <s v="Riya Nair"/>
    <s v="C202"/>
    <s v="Data Science"/>
    <s v="B1"/>
    <s v="Priya"/>
    <s v="Mobile"/>
    <n v="11292"/>
    <s v="DISC15"/>
    <m/>
    <n v="13000"/>
    <d v="2024-01-31T00:00:00"/>
  </r>
  <r>
    <s v="S1740"/>
    <s v="Karan Patil"/>
    <s v="C203"/>
    <s v="Full Stack Dev"/>
    <s v="B2"/>
    <s v="Saurabh"/>
    <s v="Web"/>
    <n v="18991"/>
    <s v="DISC20"/>
    <n v="0.2"/>
    <n v="17000"/>
    <d v="2024-01-25T00:00:00"/>
  </r>
  <r>
    <s v="S1741"/>
    <s v="Dev Iyer"/>
    <s v="C202"/>
    <s v="Data Science"/>
    <s v="B3"/>
    <s v="Saurabh"/>
    <s v="Web"/>
    <n v="12887"/>
    <s v="DISC10"/>
    <n v="0.1"/>
    <n v="13000"/>
    <d v="2024-02-03T00:00:00"/>
  </r>
  <r>
    <s v="S1742"/>
    <s v="Rohit Patil"/>
    <s v="C204"/>
    <s v="UI UX Design"/>
    <s v="B2"/>
    <s v="Amit"/>
    <s v="Mobile"/>
    <n v="10834"/>
    <s v="DISC30"/>
    <n v="0.3"/>
    <n v="9000"/>
    <d v="2024-01-11T00:00:00"/>
  </r>
  <r>
    <s v="S1743"/>
    <s v="Rohit Desai"/>
    <s v="C201"/>
    <s v="Data Analytics"/>
    <s v="B3"/>
    <s v="Amit"/>
    <s v="Tablet"/>
    <n v="12500"/>
    <s v="DISC30"/>
    <n v="0.3"/>
    <n v="14000"/>
    <d v="2024-01-31T00:00:00"/>
  </r>
  <r>
    <s v="S1744"/>
    <s v="Rohit Rao"/>
    <s v="C202"/>
    <s v="Data Science"/>
    <s v="B2"/>
    <s v="Saurabh"/>
    <s v="Tablet"/>
    <n v="11892"/>
    <s v="DISC10"/>
    <n v="0.1"/>
    <n v="13000"/>
    <d v="2024-01-16T00:00:00"/>
  </r>
  <r>
    <s v="S1745"/>
    <s v="Rohit Verma"/>
    <s v="C203"/>
    <s v="Full Stack Dev"/>
    <s v="B1"/>
    <s v="Saurabh"/>
    <s v="Mobile"/>
    <n v="17394"/>
    <s v="DISC10"/>
    <n v="0.1"/>
    <n v="17000"/>
    <d v="2024-01-26T00:00:00"/>
  </r>
  <r>
    <s v="S1746"/>
    <s v="Dev Patil"/>
    <s v="C201"/>
    <s v="Data Analytics"/>
    <s v="B1"/>
    <s v="Amit"/>
    <s v="Tablet"/>
    <n v="13946"/>
    <s v="DISC15"/>
    <m/>
    <n v="14000"/>
    <d v="2024-01-10T00:00:00"/>
  </r>
  <r>
    <s v="S1747"/>
    <s v="Pooja Patel"/>
    <s v="C201"/>
    <s v="Data Analytics"/>
    <s v="B1"/>
    <s v="Saurabh"/>
    <s v="Mobile"/>
    <n v="12374"/>
    <s v="DISC15"/>
    <m/>
    <n v="14000"/>
    <d v="2024-01-22T00:00:00"/>
  </r>
  <r>
    <s v="S1748"/>
    <s v="Kunal Patel"/>
    <s v="C201"/>
    <s v="Data Analytics"/>
    <s v="B1"/>
    <s v="Priya"/>
    <s v="Tablet"/>
    <n v="12630"/>
    <s v="DISC15"/>
    <m/>
    <n v="14000"/>
    <d v="2024-02-20T00:00:00"/>
  </r>
  <r>
    <s v="S1749"/>
    <s v="Riya Mehta"/>
    <s v="C204"/>
    <s v="UI UX Design"/>
    <s v="B1"/>
    <s v="Priya"/>
    <s v="Tablet"/>
    <n v="10229"/>
    <s v="DISC30"/>
    <n v="0.3"/>
    <n v="9000"/>
    <d v="2024-02-21T00:00:00"/>
  </r>
  <r>
    <s v="S1750"/>
    <s v="Kunal Iyer"/>
    <s v="C202"/>
    <s v="Data Science"/>
    <s v="B1"/>
    <s v="Amit"/>
    <s v="Mobile"/>
    <n v="12467"/>
    <s v="DISC20"/>
    <n v="0.2"/>
    <n v="13000"/>
    <d v="2024-01-17T00:00:00"/>
  </r>
  <r>
    <s v="S1751"/>
    <s v="Kunal Kulkarni"/>
    <s v="C204"/>
    <s v="UI UX Design"/>
    <s v="B3"/>
    <s v="Priya"/>
    <s v="Tablet"/>
    <n v="8207"/>
    <s v="DISC15"/>
    <m/>
    <n v="9000"/>
    <d v="2024-02-14T00:00:00"/>
  </r>
  <r>
    <s v="S1752"/>
    <s v="Neha Patil"/>
    <s v="C202"/>
    <s v="Data Science"/>
    <s v="B3"/>
    <s v="Priya"/>
    <s v="Mobile"/>
    <n v="13999"/>
    <m/>
    <m/>
    <n v="13000"/>
    <d v="2024-01-18T00:00:00"/>
  </r>
  <r>
    <s v="S1753"/>
    <s v="Meera Nair"/>
    <s v="C202"/>
    <s v="Data Science"/>
    <s v="B1"/>
    <s v="Amit"/>
    <s v="Web"/>
    <n v="12840"/>
    <s v="DISC30"/>
    <n v="0.3"/>
    <n v="13000"/>
    <d v="2024-02-22T00:00:00"/>
  </r>
  <r>
    <s v="S1754"/>
    <s v="Aditya Gupta"/>
    <s v="C203"/>
    <s v="Full Stack Dev"/>
    <s v="B2"/>
    <s v="Saurabh"/>
    <s v="Tablet"/>
    <n v="17072"/>
    <m/>
    <m/>
    <n v="17000"/>
    <d v="2024-02-16T00:00:00"/>
  </r>
  <r>
    <s v="S1755"/>
    <s v="Karan Kulkarni"/>
    <s v="C203"/>
    <s v="Full Stack Dev"/>
    <s v="B3"/>
    <s v="Saurabh"/>
    <s v="Mobile"/>
    <n v="17953"/>
    <s v="DISC10"/>
    <n v="0.1"/>
    <n v="17000"/>
    <d v="2024-02-12T00:00:00"/>
  </r>
  <r>
    <s v="S1756"/>
    <s v="Manish Nair"/>
    <s v="C204"/>
    <s v="UI UX Design"/>
    <s v="B1"/>
    <s v="Amit"/>
    <s v="Tablet"/>
    <n v="9037"/>
    <s v="DISC15"/>
    <m/>
    <n v="9000"/>
    <d v="2024-01-10T00:00:00"/>
  </r>
  <r>
    <s v="S1757"/>
    <s v="Kavita Rao"/>
    <s v="C203"/>
    <s v="Full Stack Dev"/>
    <s v="B2"/>
    <s v="Amit"/>
    <s v="Mobile"/>
    <n v="15452"/>
    <s v="DISC10"/>
    <n v="0.1"/>
    <n v="17000"/>
    <d v="2024-02-03T00:00:00"/>
  </r>
  <r>
    <s v="S1758"/>
    <s v="Rohit Shah"/>
    <s v="C201"/>
    <s v="Data Analytics"/>
    <s v="B1"/>
    <s v="Saurabh"/>
    <s v="Web"/>
    <n v="12827"/>
    <s v="DISC10"/>
    <n v="0.1"/>
    <n v="14000"/>
    <d v="2024-02-01T00:00:00"/>
  </r>
  <r>
    <s v="S1759"/>
    <s v="Sneha Shah"/>
    <s v="C201"/>
    <s v="Data Analytics"/>
    <s v="B3"/>
    <s v="Amit"/>
    <s v="Mobile"/>
    <n v="14694"/>
    <m/>
    <m/>
    <n v="14000"/>
    <d v="2024-02-03T00:00:00"/>
  </r>
  <r>
    <s v="S1760"/>
    <s v="Kavita Desai"/>
    <s v="C203"/>
    <s v="Full Stack Dev"/>
    <s v="B1"/>
    <s v="Priya"/>
    <s v="Web"/>
    <n v="17481"/>
    <s v="DISC10"/>
    <n v="0.1"/>
    <n v="17000"/>
    <d v="2024-01-01T00:00:00"/>
  </r>
  <r>
    <s v="S1761"/>
    <s v="Kunal Patil"/>
    <s v="C204"/>
    <s v="UI UX Design"/>
    <s v="B1"/>
    <s v="Priya"/>
    <s v="Tablet"/>
    <n v="7248"/>
    <s v="DISC30"/>
    <n v="0.3"/>
    <n v="9000"/>
    <d v="2024-02-05T00:00:00"/>
  </r>
  <r>
    <s v="S1762"/>
    <s v="Anjali Verma"/>
    <s v="C203"/>
    <s v="Full Stack Dev"/>
    <s v="B3"/>
    <s v="Saurabh"/>
    <s v="Tablet"/>
    <n v="16088"/>
    <s v="DISC15"/>
    <m/>
    <n v="17000"/>
    <d v="2024-01-03T00:00:00"/>
  </r>
  <r>
    <s v="S1763"/>
    <s v="Anjali Shah"/>
    <s v="C203"/>
    <s v="Full Stack Dev"/>
    <s v="B1"/>
    <s v="Saurabh"/>
    <s v="Tablet"/>
    <n v="15397"/>
    <s v="DISC10"/>
    <n v="0.1"/>
    <n v="17000"/>
    <d v="2024-02-16T00:00:00"/>
  </r>
  <r>
    <s v="S1764"/>
    <s v="Sneha Gupta"/>
    <s v="C204"/>
    <s v="UI UX Design"/>
    <s v="B1"/>
    <s v="Saurabh"/>
    <s v="Tablet"/>
    <n v="9690"/>
    <s v="DISC20"/>
    <n v="0.2"/>
    <n v="9000"/>
    <d v="2024-02-06T00:00:00"/>
  </r>
  <r>
    <s v="S1765"/>
    <s v="Rohit Mehta"/>
    <s v="C204"/>
    <s v="UI UX Design"/>
    <s v="B3"/>
    <s v="Saurabh"/>
    <s v="Tablet"/>
    <n v="9361"/>
    <s v="DISC30"/>
    <n v="0.3"/>
    <n v="9000"/>
    <d v="2024-02-13T00:00:00"/>
  </r>
  <r>
    <s v="S1766"/>
    <s v="Neha Desai"/>
    <s v="C204"/>
    <s v="UI UX Design"/>
    <s v="B1"/>
    <s v="Saurabh"/>
    <s v="Web"/>
    <n v="9252"/>
    <m/>
    <m/>
    <n v="9000"/>
    <d v="2024-02-02T00:00:00"/>
  </r>
  <r>
    <s v="S1767"/>
    <s v="Pooja Singh"/>
    <s v="C202"/>
    <s v="Data Science"/>
    <s v="B3"/>
    <s v="Amit"/>
    <s v="Mobile"/>
    <n v="14823"/>
    <s v="DISC30"/>
    <n v="0.3"/>
    <n v="13000"/>
    <d v="2024-02-27T00:00:00"/>
  </r>
  <r>
    <s v="S1768"/>
    <s v="Pooja Gupta"/>
    <s v="C203"/>
    <s v="Full Stack Dev"/>
    <s v="B2"/>
    <s v="Priya"/>
    <s v="Tablet"/>
    <n v="16763"/>
    <s v="DISC30"/>
    <n v="0.3"/>
    <n v="17000"/>
    <d v="2024-02-08T00:00:00"/>
  </r>
  <r>
    <s v="S1769"/>
    <s v="Sneha Joshi"/>
    <s v="C202"/>
    <s v="Data Science"/>
    <s v="B2"/>
    <s v="Amit"/>
    <s v="Tablet"/>
    <n v="12040"/>
    <s v="DISC30"/>
    <n v="0.3"/>
    <n v="13000"/>
    <d v="2024-01-29T00:00:00"/>
  </r>
  <r>
    <s v="S1770"/>
    <s v="Neha Verma"/>
    <s v="C201"/>
    <s v="Data Analytics"/>
    <s v="B3"/>
    <s v="Saurabh"/>
    <s v="Mobile"/>
    <n v="14440"/>
    <s v="DISC10"/>
    <n v="0.1"/>
    <n v="14000"/>
    <d v="2024-02-03T00:00:00"/>
  </r>
  <r>
    <s v="S1771"/>
    <s v="Karan Rao"/>
    <s v="C201"/>
    <s v="Data Analytics"/>
    <s v="B2"/>
    <s v="Saurabh"/>
    <s v="Web"/>
    <n v="15505"/>
    <s v="DISC30"/>
    <n v="0.3"/>
    <n v="14000"/>
    <d v="2024-01-02T00:00:00"/>
  </r>
  <r>
    <s v="S1772"/>
    <s v="Dev Nair"/>
    <s v="C203"/>
    <s v="Full Stack Dev"/>
    <s v="B3"/>
    <s v="Amit"/>
    <s v="Tablet"/>
    <n v="17337"/>
    <s v="DISC15"/>
    <m/>
    <n v="17000"/>
    <d v="2024-01-10T00:00:00"/>
  </r>
  <r>
    <s v="S1773"/>
    <s v="Riya Kulkarni"/>
    <s v="C204"/>
    <s v="UI UX Design"/>
    <s v="B2"/>
    <s v="Saurabh"/>
    <s v="Web"/>
    <n v="8085"/>
    <s v="DISC30"/>
    <n v="0.3"/>
    <n v="9000"/>
    <d v="2024-02-26T00:00:00"/>
  </r>
  <r>
    <s v="S1774"/>
    <s v="Kavita Patil"/>
    <s v="C202"/>
    <s v="Data Science"/>
    <s v="B2"/>
    <s v="Priya"/>
    <s v="Web"/>
    <n v="13336"/>
    <m/>
    <m/>
    <n v="13000"/>
    <d v="2024-02-06T00:00:00"/>
  </r>
  <r>
    <s v="S1775"/>
    <s v="Kunal Patil"/>
    <s v="C201"/>
    <s v="Data Analytics"/>
    <s v="B3"/>
    <s v="Priya"/>
    <s v="Mobile"/>
    <n v="12708"/>
    <m/>
    <m/>
    <n v="14000"/>
    <d v="2024-02-22T00:00:00"/>
  </r>
  <r>
    <s v="S1776"/>
    <s v="Kunal Desai"/>
    <s v="C201"/>
    <s v="Data Analytics"/>
    <s v="B3"/>
    <s v="Amit"/>
    <s v="Mobile"/>
    <n v="12153"/>
    <s v="DISC15"/>
    <m/>
    <n v="14000"/>
    <d v="2024-01-25T00:00:00"/>
  </r>
  <r>
    <s v="S1777"/>
    <s v="Riya Patel"/>
    <s v="C201"/>
    <s v="Data Analytics"/>
    <s v="B2"/>
    <s v="Priya"/>
    <s v="Mobile"/>
    <n v="13706"/>
    <s v="DISC10"/>
    <n v="0.1"/>
    <n v="14000"/>
    <d v="2024-02-25T00:00:00"/>
  </r>
  <r>
    <s v="S1778"/>
    <s v="Dev Patil"/>
    <s v="C201"/>
    <s v="Data Analytics"/>
    <s v="B3"/>
    <s v="Amit"/>
    <s v="Mobile"/>
    <n v="12221"/>
    <s v="DISC30"/>
    <n v="0.3"/>
    <n v="14000"/>
    <d v="2024-02-03T00:00:00"/>
  </r>
  <r>
    <s v="S1779"/>
    <s v="Aarav Jain"/>
    <s v="C202"/>
    <s v="Data Science"/>
    <s v="B2"/>
    <s v="Amit"/>
    <s v="Tablet"/>
    <n v="11904"/>
    <s v="DISC20"/>
    <n v="0.2"/>
    <n v="13000"/>
    <d v="2024-01-04T00:00:00"/>
  </r>
  <r>
    <s v="S1780"/>
    <s v="Rohit Desai"/>
    <s v="C204"/>
    <s v="UI UX Design"/>
    <s v="B2"/>
    <s v="Amit"/>
    <s v="Tablet"/>
    <n v="9067"/>
    <s v="DISC10"/>
    <n v="0.1"/>
    <n v="9000"/>
    <d v="2024-01-15T00:00:00"/>
  </r>
  <r>
    <s v="S1781"/>
    <s v="Rahul Rao"/>
    <s v="C204"/>
    <s v="UI UX Design"/>
    <s v="B1"/>
    <s v="Saurabh"/>
    <s v="Mobile"/>
    <n v="7338"/>
    <m/>
    <m/>
    <n v="9000"/>
    <d v="2024-02-06T00:00:00"/>
  </r>
  <r>
    <s v="S1782"/>
    <s v="Anjali Kulkarni"/>
    <s v="C204"/>
    <s v="UI UX Design"/>
    <s v="B2"/>
    <s v="Saurabh"/>
    <s v="Mobile"/>
    <n v="9055"/>
    <m/>
    <m/>
    <n v="9000"/>
    <d v="2024-02-19T00:00:00"/>
  </r>
  <r>
    <s v="S1783"/>
    <s v="Anjali Mehta"/>
    <s v="C202"/>
    <s v="Data Science"/>
    <s v="B2"/>
    <s v="Amit"/>
    <s v="Web"/>
    <n v="12998"/>
    <m/>
    <m/>
    <n v="13000"/>
    <d v="2024-02-11T00:00:00"/>
  </r>
  <r>
    <s v="S1784"/>
    <s v="Kavita Patil"/>
    <s v="C202"/>
    <s v="Data Science"/>
    <s v="B1"/>
    <s v="Saurabh"/>
    <s v="Mobile"/>
    <n v="14181"/>
    <m/>
    <m/>
    <n v="13000"/>
    <d v="2024-01-21T00:00:00"/>
  </r>
  <r>
    <s v="S1785"/>
    <s v="Rohit Joshi"/>
    <s v="C201"/>
    <s v="Data Analytics"/>
    <s v="B1"/>
    <s v="Amit"/>
    <s v="Mobile"/>
    <n v="13734"/>
    <s v="DISC30"/>
    <n v="0.3"/>
    <n v="14000"/>
    <d v="2024-01-23T00:00:00"/>
  </r>
  <r>
    <s v="S1786"/>
    <s v="Sneha Jain"/>
    <s v="C203"/>
    <s v="Full Stack Dev"/>
    <s v="B3"/>
    <s v="Amit"/>
    <s v="Web"/>
    <n v="18152"/>
    <s v="DISC30"/>
    <n v="0.3"/>
    <n v="17000"/>
    <d v="2024-01-11T00:00:00"/>
  </r>
  <r>
    <s v="S1787"/>
    <s v="Pooja Joshi"/>
    <s v="C204"/>
    <s v="UI UX Design"/>
    <s v="B3"/>
    <s v="Saurabh"/>
    <s v="Mobile"/>
    <n v="7183"/>
    <s v="DISC20"/>
    <n v="0.2"/>
    <n v="9000"/>
    <d v="2024-01-13T00:00:00"/>
  </r>
  <r>
    <s v="S1788"/>
    <s v="Rohit Jain"/>
    <s v="C202"/>
    <s v="Data Science"/>
    <s v="B3"/>
    <s v="Saurabh"/>
    <s v="Web"/>
    <n v="14029"/>
    <s v="DISC10"/>
    <n v="0.1"/>
    <n v="13000"/>
    <d v="2024-01-16T00:00:00"/>
  </r>
  <r>
    <s v="S1789"/>
    <s v="Kavita Mehta"/>
    <s v="C203"/>
    <s v="Full Stack Dev"/>
    <s v="B1"/>
    <s v="Priya"/>
    <s v="Tablet"/>
    <n v="18294"/>
    <s v="DISC10"/>
    <n v="0.1"/>
    <n v="17000"/>
    <d v="2024-01-20T00:00:00"/>
  </r>
  <r>
    <s v="S1790"/>
    <s v="Neha Iyer"/>
    <s v="C201"/>
    <s v="Data Analytics"/>
    <s v="B2"/>
    <s v="Saurabh"/>
    <s v="Tablet"/>
    <n v="14203"/>
    <s v="DISC20"/>
    <n v="0.2"/>
    <n v="14000"/>
    <d v="2024-01-14T00:00:00"/>
  </r>
  <r>
    <s v="S1791"/>
    <s v="Manish Gupta"/>
    <s v="C203"/>
    <s v="Full Stack Dev"/>
    <s v="B3"/>
    <s v="Priya"/>
    <s v="Tablet"/>
    <n v="17989"/>
    <s v="DISC20"/>
    <n v="0.2"/>
    <n v="17000"/>
    <d v="2024-02-14T00:00:00"/>
  </r>
  <r>
    <s v="S1792"/>
    <s v="Anjali Singh"/>
    <s v="C201"/>
    <s v="Data Analytics"/>
    <s v="B2"/>
    <s v="Amit"/>
    <s v="Tablet"/>
    <n v="14157"/>
    <s v="DISC10"/>
    <n v="0.1"/>
    <n v="14000"/>
    <d v="2024-01-17T00:00:00"/>
  </r>
  <r>
    <s v="S1793"/>
    <s v="Karan Kulkarni"/>
    <s v="C203"/>
    <s v="Full Stack Dev"/>
    <s v="B1"/>
    <s v="Amit"/>
    <s v="Tablet"/>
    <n v="16111"/>
    <s v="DISC10"/>
    <n v="0.1"/>
    <n v="17000"/>
    <d v="2024-01-30T00:00:00"/>
  </r>
  <r>
    <s v="S1794"/>
    <s v="Rohit Kulkarni"/>
    <s v="C201"/>
    <s v="Data Analytics"/>
    <s v="B2"/>
    <s v="Amit"/>
    <s v="Mobile"/>
    <n v="14715"/>
    <s v="DISC30"/>
    <n v="0.3"/>
    <n v="14000"/>
    <d v="2024-02-25T00:00:00"/>
  </r>
  <r>
    <s v="S1795"/>
    <s v="Riya Kulkarni"/>
    <s v="C203"/>
    <s v="Full Stack Dev"/>
    <s v="B3"/>
    <s v="Priya"/>
    <s v="Web"/>
    <n v="16559"/>
    <s v="DISC15"/>
    <m/>
    <n v="17000"/>
    <d v="2024-02-15T00:00:00"/>
  </r>
  <r>
    <s v="S1796"/>
    <s v="Riya Jain"/>
    <s v="C204"/>
    <s v="UI UX Design"/>
    <s v="B3"/>
    <s v="Amit"/>
    <s v="Web"/>
    <n v="7763"/>
    <s v="DISC20"/>
    <n v="0.2"/>
    <n v="9000"/>
    <d v="2024-02-02T00:00:00"/>
  </r>
  <r>
    <s v="S1797"/>
    <s v="Neha Gupta"/>
    <s v="C201"/>
    <s v="Data Analytics"/>
    <s v="B1"/>
    <s v="Saurabh"/>
    <s v="Tablet"/>
    <n v="13248"/>
    <s v="DISC30"/>
    <n v="0.3"/>
    <n v="14000"/>
    <d v="2024-02-01T00:00:00"/>
  </r>
  <r>
    <s v="S1798"/>
    <s v="Rahul Desai"/>
    <s v="C202"/>
    <s v="Data Science"/>
    <s v="B1"/>
    <s v="Priya"/>
    <s v="Tablet"/>
    <n v="12441"/>
    <s v="DISC30"/>
    <n v="0.3"/>
    <n v="13000"/>
    <d v="2024-02-10T00:00:00"/>
  </r>
  <r>
    <s v="S1799"/>
    <s v="Aditya Patil"/>
    <s v="C203"/>
    <s v="Full Stack Dev"/>
    <s v="B1"/>
    <s v="Amit"/>
    <s v="Mobile"/>
    <n v="18599"/>
    <m/>
    <m/>
    <n v="17000"/>
    <d v="2024-02-26T00:00:00"/>
  </r>
  <r>
    <s v="S1800"/>
    <s v="Meera Kulkarni"/>
    <s v="C203"/>
    <s v="Full Stack Dev"/>
    <s v="B1"/>
    <s v="Saurabh"/>
    <s v="Mobile"/>
    <n v="18674"/>
    <m/>
    <m/>
    <n v="17000"/>
    <d v="2024-02-12T00:00:00"/>
  </r>
  <r>
    <s v="S1801"/>
    <s v="Karan Shah"/>
    <s v="C204"/>
    <s v="UI UX Design"/>
    <s v="B3"/>
    <s v="Amit"/>
    <s v="Tablet"/>
    <n v="10574"/>
    <s v="DISC20"/>
    <n v="0.2"/>
    <n v="9000"/>
    <d v="2024-01-27T00:00:00"/>
  </r>
  <r>
    <s v="S1802"/>
    <s v="Sneha Joshi"/>
    <s v="C202"/>
    <s v="Data Science"/>
    <s v="B2"/>
    <s v="Priya"/>
    <s v="Tablet"/>
    <n v="12348"/>
    <m/>
    <m/>
    <n v="13000"/>
    <d v="2024-02-04T00:00:00"/>
  </r>
  <r>
    <s v="S1803"/>
    <s v="Karan Patil"/>
    <s v="C202"/>
    <s v="Data Science"/>
    <s v="B3"/>
    <s v="Amit"/>
    <s v="Tablet"/>
    <n v="14277"/>
    <s v="DISC20"/>
    <n v="0.2"/>
    <n v="13000"/>
    <d v="2024-02-25T00:00:00"/>
  </r>
  <r>
    <s v="S1804"/>
    <s v="Karan Rao"/>
    <s v="C202"/>
    <s v="Data Science"/>
    <s v="B2"/>
    <s v="Saurabh"/>
    <s v="Tablet"/>
    <n v="14821"/>
    <s v="DISC15"/>
    <m/>
    <n v="13000"/>
    <d v="2024-02-28T00:00:00"/>
  </r>
  <r>
    <s v="S1805"/>
    <s v="Karan Jain"/>
    <s v="C201"/>
    <s v="Data Analytics"/>
    <s v="B3"/>
    <s v="Amit"/>
    <s v="Tablet"/>
    <n v="12484"/>
    <s v="DISC20"/>
    <n v="0.2"/>
    <n v="14000"/>
    <d v="2024-01-21T00:00:00"/>
  </r>
  <r>
    <s v="S1806"/>
    <s v="Meera Mehta"/>
    <s v="C201"/>
    <s v="Data Analytics"/>
    <s v="B2"/>
    <s v="Priya"/>
    <s v="Mobile"/>
    <n v="13242"/>
    <m/>
    <m/>
    <n v="14000"/>
    <d v="2024-02-17T00:00:00"/>
  </r>
  <r>
    <s v="S1807"/>
    <s v="Kunal Nair"/>
    <s v="C203"/>
    <s v="Full Stack Dev"/>
    <s v="B1"/>
    <s v="Saurabh"/>
    <s v="Web"/>
    <n v="15538"/>
    <s v="DISC20"/>
    <n v="0.2"/>
    <n v="17000"/>
    <d v="2024-01-02T00:00:00"/>
  </r>
  <r>
    <s v="S1808"/>
    <s v="Dev Joshi"/>
    <s v="C203"/>
    <s v="Full Stack Dev"/>
    <s v="B3"/>
    <s v="Amit"/>
    <s v="Tablet"/>
    <n v="15945"/>
    <s v="DISC15"/>
    <m/>
    <n v="17000"/>
    <d v="2024-01-15T00:00:00"/>
  </r>
  <r>
    <s v="S1809"/>
    <s v="Sneha Singh"/>
    <s v="C201"/>
    <s v="Data Analytics"/>
    <s v="B2"/>
    <s v="Saurabh"/>
    <s v="Tablet"/>
    <n v="15194"/>
    <m/>
    <m/>
    <n v="14000"/>
    <d v="2024-01-09T00:00:00"/>
  </r>
  <r>
    <s v="S1810"/>
    <s v="Manish Nair"/>
    <s v="C204"/>
    <s v="UI UX Design"/>
    <s v="B3"/>
    <s v="Amit"/>
    <s v="Mobile"/>
    <n v="7753"/>
    <m/>
    <m/>
    <n v="9000"/>
    <d v="2024-02-01T00:00:00"/>
  </r>
  <r>
    <s v="S1811"/>
    <s v="Neha Mehta"/>
    <s v="C202"/>
    <s v="Data Science"/>
    <s v="B1"/>
    <s v="Saurabh"/>
    <s v="Web"/>
    <n v="12673"/>
    <s v="DISC10"/>
    <n v="0.1"/>
    <n v="13000"/>
    <d v="2024-02-29T00:00:00"/>
  </r>
  <r>
    <s v="S1812"/>
    <s v="Aditya Verma"/>
    <s v="C202"/>
    <s v="Data Science"/>
    <s v="B3"/>
    <s v="Amit"/>
    <s v="Web"/>
    <n v="14103"/>
    <s v="DISC20"/>
    <n v="0.2"/>
    <n v="13000"/>
    <d v="2024-01-05T00:00:00"/>
  </r>
  <r>
    <s v="S1813"/>
    <s v="Karan Iyer"/>
    <s v="C204"/>
    <s v="UI UX Design"/>
    <s v="B3"/>
    <s v="Priya"/>
    <s v="Mobile"/>
    <n v="10635"/>
    <s v="DISC20"/>
    <n v="0.2"/>
    <n v="9000"/>
    <d v="2024-01-28T00:00:00"/>
  </r>
  <r>
    <s v="S1814"/>
    <s v="Rahul Patel"/>
    <s v="C201"/>
    <s v="Data Analytics"/>
    <s v="B3"/>
    <s v="Amit"/>
    <s v="Mobile"/>
    <n v="14949"/>
    <s v="DISC30"/>
    <n v="0.3"/>
    <n v="14000"/>
    <d v="2024-01-26T00:00:00"/>
  </r>
  <r>
    <s v="S1815"/>
    <s v="Kavita Desai"/>
    <s v="C201"/>
    <s v="Data Analytics"/>
    <s v="B3"/>
    <s v="Saurabh"/>
    <s v="Mobile"/>
    <n v="13871"/>
    <s v="DISC10"/>
    <n v="0.1"/>
    <n v="14000"/>
    <d v="2024-02-26T00:00:00"/>
  </r>
  <r>
    <s v="S1816"/>
    <s v="Sneha Gupta"/>
    <s v="C204"/>
    <s v="UI UX Design"/>
    <s v="B3"/>
    <s v="Saurabh"/>
    <s v="Tablet"/>
    <n v="8586"/>
    <s v="DISC15"/>
    <m/>
    <n v="9000"/>
    <d v="2024-02-18T00:00:00"/>
  </r>
  <r>
    <s v="S1817"/>
    <s v="Rohit Kulkarni"/>
    <s v="C202"/>
    <s v="Data Science"/>
    <s v="B2"/>
    <s v="Priya"/>
    <s v="Mobile"/>
    <n v="14622"/>
    <s v="DISC30"/>
    <n v="0.3"/>
    <n v="13000"/>
    <d v="2024-02-19T00:00:00"/>
  </r>
  <r>
    <s v="S1818"/>
    <s v="Meera Rao"/>
    <s v="C204"/>
    <s v="UI UX Design"/>
    <s v="B1"/>
    <s v="Priya"/>
    <s v="Mobile"/>
    <n v="9511"/>
    <s v="DISC10"/>
    <n v="0.1"/>
    <n v="9000"/>
    <d v="2024-02-14T00:00:00"/>
  </r>
  <r>
    <s v="S1819"/>
    <s v="Manish Mehta"/>
    <s v="C204"/>
    <s v="UI UX Design"/>
    <s v="B3"/>
    <s v="Priya"/>
    <s v="Web"/>
    <n v="9959"/>
    <s v="DISC15"/>
    <m/>
    <n v="9000"/>
    <d v="2024-01-08T00:00:00"/>
  </r>
  <r>
    <s v="S1820"/>
    <s v="Karan Patel"/>
    <s v="C202"/>
    <s v="Data Science"/>
    <s v="B2"/>
    <s v="Priya"/>
    <s v="Mobile"/>
    <n v="12846"/>
    <s v="DISC10"/>
    <n v="0.1"/>
    <n v="13000"/>
    <d v="2024-01-12T00:00:00"/>
  </r>
  <r>
    <s v="S1821"/>
    <s v="Neha Joshi"/>
    <s v="C202"/>
    <s v="Data Science"/>
    <s v="B2"/>
    <s v="Saurabh"/>
    <s v="Mobile"/>
    <n v="12327"/>
    <s v="DISC20"/>
    <n v="0.2"/>
    <n v="13000"/>
    <d v="2024-02-15T00:00:00"/>
  </r>
  <r>
    <s v="S1822"/>
    <s v="Anjali Shah"/>
    <s v="C201"/>
    <s v="Data Analytics"/>
    <s v="B1"/>
    <s v="Amit"/>
    <s v="Mobile"/>
    <n v="14597"/>
    <s v="DISC30"/>
    <n v="0.3"/>
    <n v="14000"/>
    <d v="2024-01-06T00:00:00"/>
  </r>
  <r>
    <s v="S1823"/>
    <s v="Manish Desai"/>
    <s v="C204"/>
    <s v="UI UX Design"/>
    <s v="B3"/>
    <s v="Amit"/>
    <s v="Tablet"/>
    <n v="10890"/>
    <s v="DISC20"/>
    <n v="0.2"/>
    <n v="9000"/>
    <d v="2024-01-25T00:00:00"/>
  </r>
  <r>
    <s v="S1824"/>
    <s v="Manish Verma"/>
    <s v="C201"/>
    <s v="Data Analytics"/>
    <s v="B1"/>
    <s v="Priya"/>
    <s v="Tablet"/>
    <n v="15568"/>
    <s v="DISC20"/>
    <n v="0.2"/>
    <n v="14000"/>
    <d v="2024-01-11T00:00:00"/>
  </r>
  <r>
    <s v="S1825"/>
    <s v="Meera Mehta"/>
    <s v="C202"/>
    <s v="Data Science"/>
    <s v="B3"/>
    <s v="Saurabh"/>
    <s v="Mobile"/>
    <n v="12261"/>
    <s v="DISC30"/>
    <n v="0.3"/>
    <n v="13000"/>
    <d v="2024-02-16T00:00:00"/>
  </r>
  <r>
    <s v="S1826"/>
    <s v="Dev Iyer"/>
    <s v="C203"/>
    <s v="Full Stack Dev"/>
    <s v="B3"/>
    <s v="Saurabh"/>
    <s v="Web"/>
    <n v="18680"/>
    <s v="DISC20"/>
    <n v="0.2"/>
    <n v="17000"/>
    <d v="2024-01-13T00:00:00"/>
  </r>
  <r>
    <s v="S1827"/>
    <s v="Aarav Joshi"/>
    <s v="C203"/>
    <s v="Full Stack Dev"/>
    <s v="B1"/>
    <s v="Priya"/>
    <s v="Mobile"/>
    <n v="18503"/>
    <m/>
    <m/>
    <n v="17000"/>
    <d v="2024-02-04T00:00:00"/>
  </r>
  <r>
    <s v="S1828"/>
    <s v="Dev Kulkarni"/>
    <s v="C204"/>
    <s v="UI UX Design"/>
    <s v="B1"/>
    <s v="Saurabh"/>
    <s v="Tablet"/>
    <n v="9701"/>
    <m/>
    <m/>
    <n v="9000"/>
    <d v="2024-01-30T00:00:00"/>
  </r>
  <r>
    <s v="S1829"/>
    <s v="Rahul Iyer"/>
    <s v="C201"/>
    <s v="Data Analytics"/>
    <s v="B3"/>
    <s v="Amit"/>
    <s v="Web"/>
    <n v="13002"/>
    <s v="DISC15"/>
    <m/>
    <n v="14000"/>
    <d v="2024-01-18T00:00:00"/>
  </r>
  <r>
    <s v="S1830"/>
    <s v="Kavita Singh"/>
    <s v="C202"/>
    <s v="Data Science"/>
    <s v="B1"/>
    <s v="Saurabh"/>
    <s v="Web"/>
    <n v="11225"/>
    <s v="DISC30"/>
    <n v="0.3"/>
    <n v="13000"/>
    <d v="2024-01-03T00:00:00"/>
  </r>
  <r>
    <s v="S1831"/>
    <s v="Karan Nair"/>
    <s v="C201"/>
    <s v="Data Analytics"/>
    <s v="B3"/>
    <s v="Amit"/>
    <s v="Tablet"/>
    <n v="13222"/>
    <s v="DISC30"/>
    <n v="0.3"/>
    <n v="14000"/>
    <d v="2024-02-28T00:00:00"/>
  </r>
  <r>
    <s v="S1832"/>
    <s v="Riya Kulkarni"/>
    <s v="C201"/>
    <s v="Data Analytics"/>
    <s v="B2"/>
    <s v="Saurabh"/>
    <s v="Web"/>
    <n v="14752"/>
    <s v="DISC30"/>
    <n v="0.3"/>
    <n v="14000"/>
    <d v="2024-02-09T00:00:00"/>
  </r>
  <r>
    <s v="S1833"/>
    <s v="Rohit Desai"/>
    <s v="C202"/>
    <s v="Data Science"/>
    <s v="B2"/>
    <s v="Amit"/>
    <s v="Tablet"/>
    <n v="12475"/>
    <s v="DISC10"/>
    <n v="0.1"/>
    <n v="13000"/>
    <d v="2024-01-06T00:00:00"/>
  </r>
  <r>
    <s v="S1834"/>
    <s v="Dev Rao"/>
    <s v="C203"/>
    <s v="Full Stack Dev"/>
    <s v="B2"/>
    <s v="Priya"/>
    <s v="Web"/>
    <n v="18106"/>
    <m/>
    <m/>
    <n v="17000"/>
    <d v="2024-02-23T00:00:00"/>
  </r>
  <r>
    <s v="S1835"/>
    <s v="Manish Shah"/>
    <s v="C203"/>
    <s v="Full Stack Dev"/>
    <s v="B2"/>
    <s v="Saurabh"/>
    <s v="Web"/>
    <n v="17845"/>
    <s v="DISC30"/>
    <n v="0.3"/>
    <n v="17000"/>
    <d v="2024-01-22T00:00:00"/>
  </r>
  <r>
    <s v="S1836"/>
    <s v="Manish Verma"/>
    <s v="C202"/>
    <s v="Data Science"/>
    <s v="B3"/>
    <s v="Saurabh"/>
    <s v="Tablet"/>
    <n v="11238"/>
    <s v="DISC10"/>
    <n v="0.1"/>
    <n v="13000"/>
    <d v="2024-02-06T00:00:00"/>
  </r>
  <r>
    <s v="S1837"/>
    <s v="Anjali Singh"/>
    <s v="C201"/>
    <s v="Data Analytics"/>
    <s v="B2"/>
    <s v="Amit"/>
    <s v="Tablet"/>
    <n v="14477"/>
    <s v="DISC30"/>
    <n v="0.3"/>
    <n v="14000"/>
    <d v="2024-01-28T00:00:00"/>
  </r>
  <r>
    <s v="S1838"/>
    <s v="Kavita Nair"/>
    <s v="C203"/>
    <s v="Full Stack Dev"/>
    <s v="B2"/>
    <s v="Amit"/>
    <s v="Tablet"/>
    <n v="17552"/>
    <s v="DISC30"/>
    <n v="0.3"/>
    <n v="17000"/>
    <d v="2024-02-29T00:00:00"/>
  </r>
  <r>
    <s v="S1839"/>
    <s v="Karan Joshi"/>
    <s v="C204"/>
    <s v="UI UX Design"/>
    <s v="B3"/>
    <s v="Amit"/>
    <s v="Tablet"/>
    <n v="9038"/>
    <m/>
    <m/>
    <n v="9000"/>
    <d v="2024-02-21T00:00:00"/>
  </r>
  <r>
    <s v="S1840"/>
    <s v="Karan Joshi"/>
    <s v="C202"/>
    <s v="Data Science"/>
    <s v="B3"/>
    <s v="Priya"/>
    <s v="Web"/>
    <n v="11006"/>
    <s v="DISC10"/>
    <n v="0.1"/>
    <n v="13000"/>
    <d v="2024-01-02T00:00:00"/>
  </r>
  <r>
    <s v="S1841"/>
    <s v="Neha Singh"/>
    <s v="C201"/>
    <s v="Data Analytics"/>
    <s v="B3"/>
    <s v="Saurabh"/>
    <s v="Tablet"/>
    <n v="13698"/>
    <m/>
    <m/>
    <n v="14000"/>
    <d v="2024-01-03T00:00:00"/>
  </r>
  <r>
    <s v="S1842"/>
    <s v="Pooja Jain"/>
    <s v="C202"/>
    <s v="Data Science"/>
    <s v="B1"/>
    <s v="Amit"/>
    <s v="Web"/>
    <n v="13826"/>
    <s v="DISC30"/>
    <n v="0.3"/>
    <n v="13000"/>
    <d v="2024-01-17T00:00:00"/>
  </r>
  <r>
    <s v="S1843"/>
    <s v="Dev Shah"/>
    <s v="C203"/>
    <s v="Full Stack Dev"/>
    <s v="B2"/>
    <s v="Amit"/>
    <s v="Tablet"/>
    <n v="16326"/>
    <s v="DISC10"/>
    <n v="0.1"/>
    <n v="17000"/>
    <d v="2024-01-08T00:00:00"/>
  </r>
  <r>
    <s v="S1844"/>
    <s v="Rohit Jain"/>
    <s v="C203"/>
    <s v="Full Stack Dev"/>
    <s v="B2"/>
    <s v="Amit"/>
    <s v="Tablet"/>
    <n v="17523"/>
    <s v="DISC10"/>
    <n v="0.1"/>
    <n v="17000"/>
    <d v="2024-02-23T00:00:00"/>
  </r>
  <r>
    <s v="S1845"/>
    <s v="Karan Patil"/>
    <s v="C203"/>
    <s v="Full Stack Dev"/>
    <s v="B2"/>
    <s v="Amit"/>
    <s v="Mobile"/>
    <n v="18752"/>
    <m/>
    <m/>
    <n v="17000"/>
    <d v="2024-02-21T00:00:00"/>
  </r>
  <r>
    <s v="S1846"/>
    <s v="Aarav Singh"/>
    <s v="C202"/>
    <s v="Data Science"/>
    <s v="B2"/>
    <s v="Saurabh"/>
    <s v="Tablet"/>
    <n v="12886"/>
    <s v="DISC15"/>
    <m/>
    <n v="13000"/>
    <d v="2024-02-27T00:00:00"/>
  </r>
  <r>
    <s v="S1847"/>
    <s v="Pooja Iyer"/>
    <s v="C204"/>
    <s v="UI UX Design"/>
    <s v="B3"/>
    <s v="Saurabh"/>
    <s v="Tablet"/>
    <n v="8226"/>
    <s v="DISC15"/>
    <m/>
    <n v="9000"/>
    <d v="2024-02-16T00:00:00"/>
  </r>
  <r>
    <s v="S1848"/>
    <s v="Rohit Jain"/>
    <s v="C201"/>
    <s v="Data Analytics"/>
    <s v="B1"/>
    <s v="Amit"/>
    <s v="Tablet"/>
    <n v="13358"/>
    <s v="DISC30"/>
    <n v="0.3"/>
    <n v="14000"/>
    <d v="2024-01-05T00:00:00"/>
  </r>
  <r>
    <s v="S1849"/>
    <s v="Karan Rao"/>
    <s v="C201"/>
    <s v="Data Analytics"/>
    <s v="B2"/>
    <s v="Priya"/>
    <s v="Tablet"/>
    <n v="14188"/>
    <s v="DISC20"/>
    <n v="0.2"/>
    <n v="14000"/>
    <d v="2024-02-06T00:00:00"/>
  </r>
  <r>
    <s v="S1850"/>
    <s v="Kavita Verma"/>
    <s v="C202"/>
    <s v="Data Science"/>
    <s v="B3"/>
    <s v="Saurabh"/>
    <s v="Mobile"/>
    <n v="13888"/>
    <s v="DISC30"/>
    <n v="0.3"/>
    <n v="13000"/>
    <d v="2024-02-15T00:00:00"/>
  </r>
  <r>
    <s v="S1851"/>
    <s v="Aarav Rao"/>
    <s v="C204"/>
    <s v="UI UX Design"/>
    <s v="B1"/>
    <s v="Priya"/>
    <s v="Web"/>
    <n v="8522"/>
    <m/>
    <m/>
    <n v="9000"/>
    <d v="2024-02-23T00:00:00"/>
  </r>
  <r>
    <s v="S1852"/>
    <s v="Aditya Patil"/>
    <s v="C203"/>
    <s v="Full Stack Dev"/>
    <s v="B1"/>
    <s v="Saurabh"/>
    <s v="Mobile"/>
    <n v="18215"/>
    <s v="DISC10"/>
    <n v="0.1"/>
    <n v="17000"/>
    <d v="2024-02-19T00:00:00"/>
  </r>
  <r>
    <s v="S1853"/>
    <s v="Sneha Shah"/>
    <s v="C204"/>
    <s v="UI UX Design"/>
    <s v="B3"/>
    <s v="Saurabh"/>
    <s v="Mobile"/>
    <n v="10706"/>
    <s v="DISC15"/>
    <m/>
    <n v="9000"/>
    <d v="2024-01-10T00:00:00"/>
  </r>
  <r>
    <s v="S1854"/>
    <s v="Sneha Jain"/>
    <s v="C204"/>
    <s v="UI UX Design"/>
    <s v="B3"/>
    <s v="Amit"/>
    <s v="Mobile"/>
    <n v="10176"/>
    <s v="DISC30"/>
    <n v="0.3"/>
    <n v="9000"/>
    <d v="2024-01-10T00:00:00"/>
  </r>
  <r>
    <s v="S1855"/>
    <s v="Dev Nair"/>
    <s v="C201"/>
    <s v="Data Analytics"/>
    <s v="B3"/>
    <s v="Amit"/>
    <s v="Web"/>
    <n v="12840"/>
    <s v="DISC10"/>
    <n v="0.1"/>
    <n v="14000"/>
    <d v="2024-01-30T00:00:00"/>
  </r>
  <r>
    <s v="S1856"/>
    <s v="Rahul Desai"/>
    <s v="C201"/>
    <s v="Data Analytics"/>
    <s v="B1"/>
    <s v="Priya"/>
    <s v="Web"/>
    <n v="14814"/>
    <s v="DISC15"/>
    <m/>
    <n v="14000"/>
    <d v="2024-02-25T00:00:00"/>
  </r>
  <r>
    <s v="S1857"/>
    <s v="Riya Jain"/>
    <s v="C204"/>
    <s v="UI UX Design"/>
    <s v="B1"/>
    <s v="Saurabh"/>
    <s v="Tablet"/>
    <n v="10138"/>
    <s v="DISC30"/>
    <n v="0.3"/>
    <n v="9000"/>
    <d v="2024-01-02T00:00:00"/>
  </r>
  <r>
    <s v="S1858"/>
    <s v="Kavita Patel"/>
    <s v="C203"/>
    <s v="Full Stack Dev"/>
    <s v="B3"/>
    <s v="Saurabh"/>
    <s v="Mobile"/>
    <n v="15821"/>
    <s v="DISC20"/>
    <n v="0.2"/>
    <n v="17000"/>
    <d v="2024-01-19T00:00:00"/>
  </r>
  <r>
    <s v="S1859"/>
    <s v="Aditya Gupta"/>
    <s v="C203"/>
    <s v="Full Stack Dev"/>
    <s v="B2"/>
    <s v="Amit"/>
    <s v="Web"/>
    <n v="16116"/>
    <s v="DISC20"/>
    <n v="0.2"/>
    <n v="17000"/>
    <d v="2024-01-11T00:00:00"/>
  </r>
  <r>
    <s v="S1860"/>
    <s v="Aditya Shah"/>
    <s v="C201"/>
    <s v="Data Analytics"/>
    <s v="B3"/>
    <s v="Amit"/>
    <s v="Tablet"/>
    <n v="12419"/>
    <s v="DISC20"/>
    <n v="0.2"/>
    <n v="14000"/>
    <d v="2024-02-04T00:00:00"/>
  </r>
  <r>
    <s v="S1861"/>
    <s v="Pooja Gupta"/>
    <s v="C203"/>
    <s v="Full Stack Dev"/>
    <s v="B2"/>
    <s v="Saurabh"/>
    <s v="Tablet"/>
    <n v="18293"/>
    <s v="DISC30"/>
    <n v="0.3"/>
    <n v="17000"/>
    <d v="2024-02-06T00:00:00"/>
  </r>
  <r>
    <s v="S1862"/>
    <s v="Sneha Mehta"/>
    <s v="C201"/>
    <s v="Data Analytics"/>
    <s v="B2"/>
    <s v="Amit"/>
    <s v="Mobile"/>
    <n v="14214"/>
    <m/>
    <m/>
    <n v="14000"/>
    <d v="2024-01-04T00:00:00"/>
  </r>
  <r>
    <s v="S1863"/>
    <s v="Karan Kulkarni"/>
    <s v="C204"/>
    <s v="UI UX Design"/>
    <s v="B3"/>
    <s v="Saurabh"/>
    <s v="Web"/>
    <n v="8571"/>
    <s v="DISC10"/>
    <n v="0.1"/>
    <n v="9000"/>
    <d v="2024-01-06T00:00:00"/>
  </r>
  <r>
    <s v="S1864"/>
    <s v="Rahul Verma"/>
    <s v="C202"/>
    <s v="Data Science"/>
    <s v="B3"/>
    <s v="Amit"/>
    <s v="Tablet"/>
    <n v="13578"/>
    <m/>
    <m/>
    <n v="13000"/>
    <d v="2024-02-09T00:00:00"/>
  </r>
  <r>
    <s v="S1865"/>
    <s v="Pooja Rao"/>
    <s v="C203"/>
    <s v="Full Stack Dev"/>
    <s v="B1"/>
    <s v="Amit"/>
    <s v="Tablet"/>
    <n v="18314"/>
    <s v="DISC15"/>
    <m/>
    <n v="17000"/>
    <d v="2024-01-06T00:00:00"/>
  </r>
  <r>
    <s v="S1866"/>
    <s v="Kunal Patel"/>
    <s v="C204"/>
    <s v="UI UX Design"/>
    <s v="B3"/>
    <s v="Saurabh"/>
    <s v="Web"/>
    <n v="10329"/>
    <m/>
    <m/>
    <n v="9000"/>
    <d v="2024-01-07T00:00:00"/>
  </r>
  <r>
    <s v="S1867"/>
    <s v="Neha Rao"/>
    <s v="C204"/>
    <s v="UI UX Design"/>
    <s v="B2"/>
    <s v="Saurabh"/>
    <s v="Web"/>
    <n v="7588"/>
    <s v="DISC15"/>
    <m/>
    <n v="9000"/>
    <d v="2024-01-17T00:00:00"/>
  </r>
  <r>
    <s v="S1868"/>
    <s v="Kunal Jain"/>
    <s v="C204"/>
    <s v="UI UX Design"/>
    <s v="B1"/>
    <s v="Amit"/>
    <s v="Tablet"/>
    <n v="8353"/>
    <s v="DISC30"/>
    <n v="0.3"/>
    <n v="9000"/>
    <d v="2024-01-30T00:00:00"/>
  </r>
  <r>
    <s v="S1869"/>
    <s v="Neha Kulkarni"/>
    <s v="C201"/>
    <s v="Data Analytics"/>
    <s v="B2"/>
    <s v="Saurabh"/>
    <s v="Mobile"/>
    <n v="13960"/>
    <m/>
    <m/>
    <n v="14000"/>
    <d v="2024-02-24T00:00:00"/>
  </r>
  <r>
    <s v="S1870"/>
    <s v="Karan Rao"/>
    <s v="C203"/>
    <s v="Full Stack Dev"/>
    <s v="B3"/>
    <s v="Amit"/>
    <s v="Web"/>
    <n v="17080"/>
    <s v="DISC10"/>
    <n v="0.1"/>
    <n v="17000"/>
    <d v="2024-01-26T00:00:00"/>
  </r>
  <r>
    <s v="S1871"/>
    <s v="Meera Desai"/>
    <s v="C201"/>
    <s v="Data Analytics"/>
    <s v="B2"/>
    <s v="Amit"/>
    <s v="Tablet"/>
    <n v="12290"/>
    <s v="DISC30"/>
    <n v="0.3"/>
    <n v="14000"/>
    <d v="2024-02-04T00:00:00"/>
  </r>
  <r>
    <s v="S1872"/>
    <s v="Neha Verma"/>
    <s v="C204"/>
    <s v="UI UX Design"/>
    <s v="B1"/>
    <s v="Amit"/>
    <s v="Web"/>
    <n v="9244"/>
    <s v="DISC20"/>
    <n v="0.2"/>
    <n v="9000"/>
    <d v="2024-01-31T00:00:00"/>
  </r>
  <r>
    <s v="S1873"/>
    <s v="Rahul Shah"/>
    <s v="C203"/>
    <s v="Full Stack Dev"/>
    <s v="B1"/>
    <s v="Amit"/>
    <s v="Tablet"/>
    <n v="16765"/>
    <m/>
    <m/>
    <n v="17000"/>
    <d v="2024-02-06T00:00:00"/>
  </r>
  <r>
    <s v="S1874"/>
    <s v="Dev Jain"/>
    <s v="C202"/>
    <s v="Data Science"/>
    <s v="B1"/>
    <s v="Amit"/>
    <s v="Tablet"/>
    <n v="11319"/>
    <s v="DISC15"/>
    <m/>
    <n v="13000"/>
    <d v="2024-02-23T00:00:00"/>
  </r>
  <r>
    <s v="S1875"/>
    <s v="Neha Shah"/>
    <s v="C204"/>
    <s v="UI UX Design"/>
    <s v="B2"/>
    <s v="Amit"/>
    <s v="Web"/>
    <n v="10367"/>
    <m/>
    <m/>
    <n v="9000"/>
    <d v="2024-01-12T00:00:00"/>
  </r>
  <r>
    <s v="S1876"/>
    <s v="Aditya Verma"/>
    <s v="C201"/>
    <s v="Data Analytics"/>
    <s v="B3"/>
    <s v="Saurabh"/>
    <s v="Tablet"/>
    <n v="15334"/>
    <s v="DISC15"/>
    <m/>
    <n v="14000"/>
    <d v="2024-02-19T00:00:00"/>
  </r>
  <r>
    <s v="S1877"/>
    <s v="Meera Verma"/>
    <s v="C203"/>
    <s v="Full Stack Dev"/>
    <s v="B2"/>
    <s v="Amit"/>
    <s v="Tablet"/>
    <n v="15251"/>
    <s v="DISC10"/>
    <n v="0.1"/>
    <n v="17000"/>
    <d v="2024-01-14T00:00:00"/>
  </r>
  <r>
    <s v="S1878"/>
    <s v="Meera Mehta"/>
    <s v="C201"/>
    <s v="Data Analytics"/>
    <s v="B1"/>
    <s v="Amit"/>
    <s v="Web"/>
    <n v="13855"/>
    <s v="DISC15"/>
    <m/>
    <n v="14000"/>
    <d v="2024-01-19T00:00:00"/>
  </r>
  <r>
    <s v="S1879"/>
    <s v="Rahul Joshi"/>
    <s v="C204"/>
    <s v="UI UX Design"/>
    <s v="B1"/>
    <s v="Saurabh"/>
    <s v="Tablet"/>
    <n v="10593"/>
    <s v="DISC30"/>
    <n v="0.3"/>
    <n v="9000"/>
    <d v="2024-01-20T00:00:00"/>
  </r>
  <r>
    <s v="S1880"/>
    <s v="Kavita Patel"/>
    <s v="C203"/>
    <s v="Full Stack Dev"/>
    <s v="B2"/>
    <s v="Amit"/>
    <s v="Mobile"/>
    <n v="15365"/>
    <s v="DISC15"/>
    <m/>
    <n v="17000"/>
    <d v="2024-01-01T00:00:00"/>
  </r>
  <r>
    <s v="S1881"/>
    <s v="Kavita Gupta"/>
    <s v="C204"/>
    <s v="UI UX Design"/>
    <s v="B1"/>
    <s v="Priya"/>
    <s v="Web"/>
    <n v="8512"/>
    <s v="DISC15"/>
    <m/>
    <n v="9000"/>
    <d v="2024-01-04T00:00:00"/>
  </r>
  <r>
    <s v="S1882"/>
    <s v="Aarav Desai"/>
    <s v="C203"/>
    <s v="Full Stack Dev"/>
    <s v="B1"/>
    <s v="Priya"/>
    <s v="Web"/>
    <n v="15963"/>
    <m/>
    <m/>
    <n v="17000"/>
    <d v="2024-02-14T00:00:00"/>
  </r>
  <r>
    <s v="S1883"/>
    <s v="Kavita Verma"/>
    <s v="C203"/>
    <s v="Full Stack Dev"/>
    <s v="B3"/>
    <s v="Priya"/>
    <s v="Mobile"/>
    <n v="16562"/>
    <m/>
    <m/>
    <n v="17000"/>
    <d v="2024-02-04T00:00:00"/>
  </r>
  <r>
    <s v="S1884"/>
    <s v="Sneha Singh"/>
    <s v="C202"/>
    <s v="Data Science"/>
    <s v="B2"/>
    <s v="Saurabh"/>
    <s v="Web"/>
    <n v="13275"/>
    <m/>
    <m/>
    <n v="13000"/>
    <d v="2024-02-23T00:00:00"/>
  </r>
  <r>
    <s v="S1885"/>
    <s v="Kunal Jain"/>
    <s v="C204"/>
    <s v="UI UX Design"/>
    <s v="B1"/>
    <s v="Priya"/>
    <s v="Tablet"/>
    <n v="7514"/>
    <s v="DISC20"/>
    <n v="0.2"/>
    <n v="9000"/>
    <d v="2024-01-01T00:00:00"/>
  </r>
  <r>
    <s v="S1886"/>
    <s v="Riya Singh"/>
    <s v="C201"/>
    <s v="Data Analytics"/>
    <s v="B1"/>
    <s v="Amit"/>
    <s v="Mobile"/>
    <n v="14694"/>
    <m/>
    <m/>
    <n v="14000"/>
    <d v="2024-01-09T00:00:00"/>
  </r>
  <r>
    <s v="S1887"/>
    <s v="Riya Mehta"/>
    <s v="C204"/>
    <s v="UI UX Design"/>
    <s v="B2"/>
    <s v="Amit"/>
    <s v="Tablet"/>
    <n v="10810"/>
    <m/>
    <m/>
    <n v="9000"/>
    <d v="2024-02-09T00:00:00"/>
  </r>
  <r>
    <s v="S1888"/>
    <s v="Karan Iyer"/>
    <s v="C204"/>
    <s v="UI UX Design"/>
    <s v="B3"/>
    <s v="Priya"/>
    <s v="Mobile"/>
    <n v="8455"/>
    <s v="DISC20"/>
    <n v="0.2"/>
    <n v="9000"/>
    <d v="2024-01-12T00:00:00"/>
  </r>
  <r>
    <s v="S1889"/>
    <s v="Rahul Joshi"/>
    <s v="C201"/>
    <s v="Data Analytics"/>
    <s v="B3"/>
    <s v="Priya"/>
    <s v="Tablet"/>
    <n v="12969"/>
    <s v="DISC15"/>
    <m/>
    <n v="14000"/>
    <d v="2024-01-18T00:00:00"/>
  </r>
  <r>
    <s v="S1890"/>
    <s v="Rahul Gupta"/>
    <s v="C203"/>
    <s v="Full Stack Dev"/>
    <s v="B1"/>
    <s v="Saurabh"/>
    <s v="Tablet"/>
    <n v="16979"/>
    <s v="DISC30"/>
    <n v="0.3"/>
    <n v="17000"/>
    <d v="2024-01-08T00:00:00"/>
  </r>
  <r>
    <s v="S1891"/>
    <s v="Kavita Iyer"/>
    <s v="C201"/>
    <s v="Data Analytics"/>
    <s v="B1"/>
    <s v="Amit"/>
    <s v="Tablet"/>
    <n v="14156"/>
    <s v="DISC30"/>
    <n v="0.3"/>
    <n v="14000"/>
    <d v="2024-01-30T00:00:00"/>
  </r>
  <r>
    <s v="S1892"/>
    <s v="Manish Shah"/>
    <s v="C201"/>
    <s v="Data Analytics"/>
    <s v="B1"/>
    <s v="Priya"/>
    <s v="Tablet"/>
    <n v="15037"/>
    <s v="DISC10"/>
    <n v="0.1"/>
    <n v="14000"/>
    <d v="2024-02-13T00:00:00"/>
  </r>
  <r>
    <s v="S1893"/>
    <s v="Rohit Gupta"/>
    <s v="C203"/>
    <s v="Full Stack Dev"/>
    <s v="B3"/>
    <s v="Saurabh"/>
    <s v="Mobile"/>
    <n v="17191"/>
    <s v="DISC10"/>
    <n v="0.1"/>
    <n v="17000"/>
    <d v="2024-01-31T00:00:00"/>
  </r>
  <r>
    <s v="S1894"/>
    <s v="Neha Gupta"/>
    <s v="C204"/>
    <s v="UI UX Design"/>
    <s v="B3"/>
    <s v="Amit"/>
    <s v="Mobile"/>
    <n v="8724"/>
    <s v="DISC30"/>
    <n v="0.3"/>
    <n v="9000"/>
    <d v="2024-02-21T00:00:00"/>
  </r>
  <r>
    <s v="S1895"/>
    <s v="Aditya Rao"/>
    <s v="C202"/>
    <s v="Data Science"/>
    <s v="B1"/>
    <s v="Amit"/>
    <s v="Tablet"/>
    <n v="14069"/>
    <s v="DISC30"/>
    <n v="0.3"/>
    <n v="13000"/>
    <d v="2024-02-16T00:00:00"/>
  </r>
  <r>
    <s v="S1896"/>
    <s v="Dev Joshi"/>
    <s v="C203"/>
    <s v="Full Stack Dev"/>
    <s v="B1"/>
    <s v="Amit"/>
    <s v="Mobile"/>
    <n v="17368"/>
    <s v="DISC20"/>
    <n v="0.2"/>
    <n v="17000"/>
    <d v="2024-02-06T00:00:00"/>
  </r>
  <r>
    <s v="S1897"/>
    <s v="Aarav Singh"/>
    <s v="C203"/>
    <s v="Full Stack Dev"/>
    <s v="B3"/>
    <s v="Amit"/>
    <s v="Web"/>
    <n v="16174"/>
    <m/>
    <m/>
    <n v="17000"/>
    <d v="2024-01-06T00:00:00"/>
  </r>
  <r>
    <s v="S1898"/>
    <s v="Karan Gupta"/>
    <s v="C201"/>
    <s v="Data Analytics"/>
    <s v="B2"/>
    <s v="Priya"/>
    <s v="Web"/>
    <n v="14522"/>
    <s v="DISC30"/>
    <n v="0.3"/>
    <n v="14000"/>
    <d v="2024-01-18T00:00:00"/>
  </r>
  <r>
    <s v="S1899"/>
    <s v="Meera Rao"/>
    <s v="C201"/>
    <s v="Data Analytics"/>
    <s v="B3"/>
    <s v="Saurabh"/>
    <s v="Tablet"/>
    <n v="12715"/>
    <s v="DISC15"/>
    <m/>
    <n v="14000"/>
    <d v="2024-02-17T00:00:00"/>
  </r>
  <r>
    <s v="S1900"/>
    <s v="Karan Singh"/>
    <s v="C204"/>
    <s v="UI UX Design"/>
    <s v="B2"/>
    <s v="Saurabh"/>
    <s v="Mobile"/>
    <n v="10205"/>
    <s v="DISC20"/>
    <n v="0.2"/>
    <n v="9000"/>
    <d v="2024-02-01T00:00:00"/>
  </r>
  <r>
    <s v="S1901"/>
    <s v="Karan Patel"/>
    <s v="C201"/>
    <s v="Data Analytics"/>
    <s v="B2"/>
    <s v="Saurabh"/>
    <s v="Web"/>
    <n v="14439"/>
    <s v="DISC20"/>
    <n v="0.2"/>
    <n v="14000"/>
    <d v="2024-02-23T00:00:00"/>
  </r>
  <r>
    <s v="S1902"/>
    <s v="Neha Patel"/>
    <s v="C204"/>
    <s v="UI UX Design"/>
    <s v="B2"/>
    <s v="Saurabh"/>
    <s v="Tablet"/>
    <n v="8802"/>
    <s v="DISC20"/>
    <n v="0.2"/>
    <n v="9000"/>
    <d v="2024-01-14T00:00:00"/>
  </r>
  <r>
    <s v="S1903"/>
    <s v="Kavita Desai"/>
    <s v="C203"/>
    <s v="Full Stack Dev"/>
    <s v="B1"/>
    <s v="Amit"/>
    <s v="Mobile"/>
    <n v="18094"/>
    <s v="DISC10"/>
    <n v="0.1"/>
    <n v="17000"/>
    <d v="2024-01-04T00:00:00"/>
  </r>
  <r>
    <s v="S1904"/>
    <s v="Karan Iyer"/>
    <s v="C204"/>
    <s v="UI UX Design"/>
    <s v="B2"/>
    <s v="Priya"/>
    <s v="Mobile"/>
    <n v="10056"/>
    <s v="DISC15"/>
    <m/>
    <n v="9000"/>
    <d v="2024-01-15T00:00:00"/>
  </r>
  <r>
    <s v="S1905"/>
    <s v="Rahul Singh"/>
    <s v="C204"/>
    <s v="UI UX Design"/>
    <s v="B2"/>
    <s v="Priya"/>
    <s v="Web"/>
    <n v="9172"/>
    <m/>
    <m/>
    <n v="9000"/>
    <d v="2024-01-01T00:00:00"/>
  </r>
  <r>
    <s v="S1906"/>
    <s v="Aditya Patel"/>
    <s v="C204"/>
    <s v="UI UX Design"/>
    <s v="B2"/>
    <s v="Amit"/>
    <s v="Mobile"/>
    <n v="10939"/>
    <s v="DISC15"/>
    <m/>
    <n v="9000"/>
    <d v="2024-02-13T00:00:00"/>
  </r>
  <r>
    <s v="S1907"/>
    <s v="Aarav Shah"/>
    <s v="C203"/>
    <s v="Full Stack Dev"/>
    <s v="B2"/>
    <s v="Amit"/>
    <s v="Tablet"/>
    <n v="18515"/>
    <s v="DISC30"/>
    <n v="0.3"/>
    <n v="17000"/>
    <d v="2024-01-22T00:00:00"/>
  </r>
  <r>
    <s v="S1908"/>
    <s v="Aditya Rao"/>
    <s v="C201"/>
    <s v="Data Analytics"/>
    <s v="B2"/>
    <s v="Amit"/>
    <s v="Tablet"/>
    <n v="13602"/>
    <m/>
    <m/>
    <n v="14000"/>
    <d v="2024-02-19T00:00:00"/>
  </r>
  <r>
    <s v="S1909"/>
    <s v="Rohit Desai"/>
    <s v="C202"/>
    <s v="Data Science"/>
    <s v="B3"/>
    <s v="Amit"/>
    <s v="Tablet"/>
    <n v="14155"/>
    <s v="DISC20"/>
    <n v="0.2"/>
    <n v="13000"/>
    <d v="2024-02-03T00:00:00"/>
  </r>
  <r>
    <s v="S1910"/>
    <s v="Pooja Singh"/>
    <s v="C202"/>
    <s v="Data Science"/>
    <s v="B2"/>
    <s v="Amit"/>
    <s v="Web"/>
    <n v="13755"/>
    <s v="DISC10"/>
    <n v="0.1"/>
    <n v="13000"/>
    <d v="2024-02-23T00:00:00"/>
  </r>
  <r>
    <s v="S1911"/>
    <s v="Riya Kulkarni"/>
    <s v="C204"/>
    <s v="UI UX Design"/>
    <s v="B1"/>
    <s v="Amit"/>
    <s v="Web"/>
    <n v="9807"/>
    <m/>
    <m/>
    <n v="9000"/>
    <d v="2024-01-23T00:00:00"/>
  </r>
  <r>
    <s v="S1912"/>
    <s v="Sneha Desai"/>
    <s v="C203"/>
    <s v="Full Stack Dev"/>
    <s v="B2"/>
    <s v="Saurabh"/>
    <s v="Web"/>
    <n v="15097"/>
    <s v="DISC15"/>
    <m/>
    <n v="17000"/>
    <d v="2024-01-06T00:00:00"/>
  </r>
  <r>
    <s v="S1913"/>
    <s v="Aarav Joshi"/>
    <s v="C202"/>
    <s v="Data Science"/>
    <s v="B3"/>
    <s v="Amit"/>
    <s v="Web"/>
    <n v="13900"/>
    <s v="DISC10"/>
    <n v="0.1"/>
    <n v="13000"/>
    <d v="2024-01-06T00:00:00"/>
  </r>
  <r>
    <s v="S1914"/>
    <s v="Meera Joshi"/>
    <s v="C202"/>
    <s v="Data Science"/>
    <s v="B2"/>
    <s v="Amit"/>
    <s v="Tablet"/>
    <n v="13318"/>
    <s v="DISC20"/>
    <n v="0.2"/>
    <n v="13000"/>
    <d v="2024-02-27T00:00:00"/>
  </r>
  <r>
    <s v="S1915"/>
    <s v="Riya Desai"/>
    <s v="C202"/>
    <s v="Data Science"/>
    <s v="B2"/>
    <s v="Priya"/>
    <s v="Mobile"/>
    <n v="13705"/>
    <s v="DISC10"/>
    <n v="0.1"/>
    <n v="13000"/>
    <d v="2024-02-10T00:00:00"/>
  </r>
  <r>
    <s v="S1916"/>
    <s v="Neha Rao"/>
    <s v="C204"/>
    <s v="UI UX Design"/>
    <s v="B3"/>
    <s v="Amit"/>
    <s v="Mobile"/>
    <n v="8054"/>
    <s v="DISC20"/>
    <n v="0.2"/>
    <n v="9000"/>
    <d v="2024-02-19T00:00:00"/>
  </r>
  <r>
    <s v="S1917"/>
    <s v="Riya Rao"/>
    <s v="C201"/>
    <s v="Data Analytics"/>
    <s v="B2"/>
    <s v="Priya"/>
    <s v="Mobile"/>
    <n v="12246"/>
    <s v="DISC30"/>
    <n v="0.3"/>
    <n v="14000"/>
    <d v="2024-02-22T00:00:00"/>
  </r>
  <r>
    <s v="S1918"/>
    <s v="Aditya Mehta"/>
    <s v="C204"/>
    <s v="UI UX Design"/>
    <s v="B1"/>
    <s v="Priya"/>
    <s v="Web"/>
    <n v="9499"/>
    <m/>
    <m/>
    <n v="9000"/>
    <d v="2024-01-12T00:00:00"/>
  </r>
  <r>
    <s v="S1919"/>
    <s v="Rohit Iyer"/>
    <s v="C201"/>
    <s v="Data Analytics"/>
    <s v="B1"/>
    <s v="Amit"/>
    <s v="Mobile"/>
    <n v="12894"/>
    <s v="DISC15"/>
    <m/>
    <n v="14000"/>
    <d v="2024-02-11T00:00:00"/>
  </r>
  <r>
    <s v="S1920"/>
    <s v="Riya Iyer"/>
    <s v="C203"/>
    <s v="Full Stack Dev"/>
    <s v="B1"/>
    <s v="Saurabh"/>
    <s v="Web"/>
    <n v="15288"/>
    <s v="DISC15"/>
    <m/>
    <n v="17000"/>
    <d v="2024-02-16T00:00:00"/>
  </r>
  <r>
    <s v="S1921"/>
    <s v="Aditya Patel"/>
    <s v="C204"/>
    <s v="UI UX Design"/>
    <s v="B1"/>
    <s v="Priya"/>
    <s v="Web"/>
    <n v="9674"/>
    <s v="DISC10"/>
    <n v="0.1"/>
    <n v="9000"/>
    <d v="2024-02-29T00:00:00"/>
  </r>
  <r>
    <s v="S1922"/>
    <s v="Aarav Singh"/>
    <s v="C204"/>
    <s v="UI UX Design"/>
    <s v="B2"/>
    <s v="Saurabh"/>
    <s v="Tablet"/>
    <n v="8350"/>
    <m/>
    <m/>
    <n v="9000"/>
    <d v="2024-02-06T00:00:00"/>
  </r>
  <r>
    <s v="S1923"/>
    <s v="Aarav Gupta"/>
    <s v="C204"/>
    <s v="UI UX Design"/>
    <s v="B2"/>
    <s v="Priya"/>
    <s v="Mobile"/>
    <n v="10457"/>
    <s v="DISC10"/>
    <n v="0.1"/>
    <n v="9000"/>
    <d v="2024-02-04T00:00:00"/>
  </r>
  <r>
    <s v="S1924"/>
    <s v="Sneha Kulkarni"/>
    <s v="C204"/>
    <s v="UI UX Design"/>
    <s v="B3"/>
    <s v="Priya"/>
    <s v="Web"/>
    <n v="9323"/>
    <s v="DISC15"/>
    <m/>
    <n v="9000"/>
    <d v="2024-02-29T00:00:00"/>
  </r>
  <r>
    <s v="S1925"/>
    <s v="Pooja Jain"/>
    <s v="C203"/>
    <s v="Full Stack Dev"/>
    <s v="B2"/>
    <s v="Saurabh"/>
    <s v="Tablet"/>
    <n v="18927"/>
    <s v="DISC10"/>
    <n v="0.1"/>
    <n v="17000"/>
    <d v="2024-01-24T00:00:00"/>
  </r>
  <r>
    <s v="S1926"/>
    <s v="Manish Nair"/>
    <s v="C203"/>
    <s v="Full Stack Dev"/>
    <s v="B1"/>
    <s v="Priya"/>
    <s v="Mobile"/>
    <n v="17653"/>
    <s v="DISC20"/>
    <n v="0.2"/>
    <n v="17000"/>
    <d v="2024-01-12T00:00:00"/>
  </r>
  <r>
    <s v="S1927"/>
    <s v="Manish Kulkarni"/>
    <s v="C204"/>
    <s v="UI UX Design"/>
    <s v="B3"/>
    <s v="Saurabh"/>
    <s v="Mobile"/>
    <n v="9850"/>
    <m/>
    <m/>
    <n v="9000"/>
    <d v="2024-02-27T00:00:00"/>
  </r>
  <r>
    <s v="S1928"/>
    <s v="Riya Singh"/>
    <s v="C203"/>
    <s v="Full Stack Dev"/>
    <s v="B2"/>
    <s v="Saurabh"/>
    <s v="Tablet"/>
    <n v="16793"/>
    <s v="DISC20"/>
    <n v="0.2"/>
    <n v="17000"/>
    <d v="2024-01-09T00:00:00"/>
  </r>
  <r>
    <s v="S1929"/>
    <s v="Aarav Patil"/>
    <s v="C201"/>
    <s v="Data Analytics"/>
    <s v="B3"/>
    <s v="Amit"/>
    <s v="Web"/>
    <n v="14003"/>
    <m/>
    <m/>
    <n v="14000"/>
    <d v="2024-01-05T00:00:00"/>
  </r>
  <r>
    <s v="S1930"/>
    <s v="Dev Gupta"/>
    <s v="C203"/>
    <s v="Full Stack Dev"/>
    <s v="B2"/>
    <s v="Amit"/>
    <s v="Mobile"/>
    <n v="18959"/>
    <s v="DISC10"/>
    <n v="0.1"/>
    <n v="17000"/>
    <d v="2024-01-03T00:00:00"/>
  </r>
  <r>
    <s v="S1931"/>
    <s v="Pooja Kulkarni"/>
    <s v="C203"/>
    <s v="Full Stack Dev"/>
    <s v="B3"/>
    <s v="Saurabh"/>
    <s v="Mobile"/>
    <n v="15484"/>
    <s v="DISC20"/>
    <n v="0.2"/>
    <n v="17000"/>
    <d v="2024-02-21T00:00:00"/>
  </r>
  <r>
    <s v="S1932"/>
    <s v="Rohit Singh"/>
    <s v="C204"/>
    <s v="UI UX Design"/>
    <s v="B3"/>
    <s v="Amit"/>
    <s v="Web"/>
    <n v="10035"/>
    <s v="DISC15"/>
    <m/>
    <n v="9000"/>
    <d v="2024-01-15T00:00:00"/>
  </r>
  <r>
    <s v="S1933"/>
    <s v="Kunal Shah"/>
    <s v="C201"/>
    <s v="Data Analytics"/>
    <s v="B3"/>
    <s v="Saurabh"/>
    <s v="Mobile"/>
    <n v="14678"/>
    <s v="DISC10"/>
    <n v="0.1"/>
    <n v="14000"/>
    <d v="2024-01-31T00:00:00"/>
  </r>
  <r>
    <s v="S1934"/>
    <s v="Kunal Joshi"/>
    <s v="C201"/>
    <s v="Data Analytics"/>
    <s v="B1"/>
    <s v="Amit"/>
    <s v="Tablet"/>
    <n v="12534"/>
    <s v="DISC10"/>
    <n v="0.1"/>
    <n v="14000"/>
    <d v="2024-01-12T00:00:00"/>
  </r>
  <r>
    <s v="S1935"/>
    <s v="Rohit Kulkarni"/>
    <s v="C203"/>
    <s v="Full Stack Dev"/>
    <s v="B1"/>
    <s v="Priya"/>
    <s v="Tablet"/>
    <n v="15699"/>
    <s v="DISC15"/>
    <m/>
    <n v="17000"/>
    <d v="2024-01-05T00:00:00"/>
  </r>
  <r>
    <s v="S1936"/>
    <s v="Meera Nair"/>
    <s v="C201"/>
    <s v="Data Analytics"/>
    <s v="B1"/>
    <s v="Priya"/>
    <s v="Tablet"/>
    <n v="15273"/>
    <s v="DISC15"/>
    <m/>
    <n v="14000"/>
    <d v="2024-01-15T00:00:00"/>
  </r>
  <r>
    <s v="S1937"/>
    <s v="Riya Patel"/>
    <s v="C202"/>
    <s v="Data Science"/>
    <s v="B2"/>
    <s v="Priya"/>
    <s v="Tablet"/>
    <n v="13778"/>
    <m/>
    <m/>
    <n v="13000"/>
    <d v="2024-01-21T00:00:00"/>
  </r>
  <r>
    <s v="S1938"/>
    <s v="Riya Singh"/>
    <s v="C202"/>
    <s v="Data Science"/>
    <s v="B2"/>
    <s v="Saurabh"/>
    <s v="Web"/>
    <n v="13429"/>
    <s v="DISC20"/>
    <n v="0.2"/>
    <n v="13000"/>
    <d v="2024-01-22T00:00:00"/>
  </r>
  <r>
    <s v="S1939"/>
    <s v="Riya Shah"/>
    <s v="C203"/>
    <s v="Full Stack Dev"/>
    <s v="B1"/>
    <s v="Priya"/>
    <s v="Web"/>
    <n v="17852"/>
    <s v="DISC30"/>
    <n v="0.3"/>
    <n v="17000"/>
    <d v="2024-02-05T00:00:00"/>
  </r>
  <r>
    <s v="S1940"/>
    <s v="Karan Iyer"/>
    <s v="C202"/>
    <s v="Data Science"/>
    <s v="B3"/>
    <s v="Saurabh"/>
    <s v="Web"/>
    <n v="11409"/>
    <s v="DISC15"/>
    <m/>
    <n v="13000"/>
    <d v="2024-01-25T00:00:00"/>
  </r>
  <r>
    <s v="S1941"/>
    <s v="Dev Mehta"/>
    <s v="C201"/>
    <s v="Data Analytics"/>
    <s v="B2"/>
    <s v="Saurabh"/>
    <s v="Web"/>
    <n v="12029"/>
    <s v="DISC20"/>
    <n v="0.2"/>
    <n v="14000"/>
    <d v="2024-02-29T00:00:00"/>
  </r>
  <r>
    <s v="S1942"/>
    <s v="Riya Desai"/>
    <s v="C203"/>
    <s v="Full Stack Dev"/>
    <s v="B2"/>
    <s v="Amit"/>
    <s v="Mobile"/>
    <n v="17835"/>
    <s v="DISC20"/>
    <n v="0.2"/>
    <n v="17000"/>
    <d v="2024-01-14T00:00:00"/>
  </r>
  <r>
    <s v="S1943"/>
    <s v="Karan Singh"/>
    <s v="C203"/>
    <s v="Full Stack Dev"/>
    <s v="B3"/>
    <s v="Priya"/>
    <s v="Mobile"/>
    <n v="15979"/>
    <s v="DISC20"/>
    <n v="0.2"/>
    <n v="17000"/>
    <d v="2024-02-09T00:00:00"/>
  </r>
  <r>
    <s v="S1944"/>
    <s v="Anjali Kulkarni"/>
    <s v="C202"/>
    <s v="Data Science"/>
    <s v="B3"/>
    <s v="Priya"/>
    <s v="Tablet"/>
    <n v="14892"/>
    <s v="DISC10"/>
    <n v="0.1"/>
    <n v="13000"/>
    <d v="2024-02-10T00:00:00"/>
  </r>
  <r>
    <s v="S1945"/>
    <s v="Meera Patel"/>
    <s v="C203"/>
    <s v="Full Stack Dev"/>
    <s v="B2"/>
    <s v="Priya"/>
    <s v="Web"/>
    <n v="17284"/>
    <s v="DISC20"/>
    <n v="0.2"/>
    <n v="17000"/>
    <d v="2024-01-13T00:00:00"/>
  </r>
  <r>
    <s v="S1946"/>
    <s v="Riya Gupta"/>
    <s v="C201"/>
    <s v="Data Analytics"/>
    <s v="B3"/>
    <s v="Priya"/>
    <s v="Tablet"/>
    <n v="14078"/>
    <s v="DISC20"/>
    <n v="0.2"/>
    <n v="14000"/>
    <d v="2024-01-30T00:00:00"/>
  </r>
  <r>
    <s v="S1947"/>
    <s v="Dev Singh"/>
    <s v="C202"/>
    <s v="Data Science"/>
    <s v="B2"/>
    <s v="Saurabh"/>
    <s v="Web"/>
    <n v="11461"/>
    <s v="DISC20"/>
    <n v="0.2"/>
    <n v="13000"/>
    <d v="2024-02-13T00:00:00"/>
  </r>
  <r>
    <s v="S1948"/>
    <s v="Meera Iyer"/>
    <s v="C204"/>
    <s v="UI UX Design"/>
    <s v="B1"/>
    <s v="Saurabh"/>
    <s v="Tablet"/>
    <n v="10779"/>
    <s v="DISC10"/>
    <n v="0.1"/>
    <n v="9000"/>
    <d v="2024-01-04T00:00:00"/>
  </r>
  <r>
    <s v="S1949"/>
    <s v="Rohit Jain"/>
    <s v="C203"/>
    <s v="Full Stack Dev"/>
    <s v="B1"/>
    <s v="Priya"/>
    <s v="Mobile"/>
    <n v="16369"/>
    <s v="DISC15"/>
    <m/>
    <n v="17000"/>
    <d v="2024-02-21T00:00:00"/>
  </r>
  <r>
    <s v="S1950"/>
    <s v="Kunal Patel"/>
    <s v="C204"/>
    <s v="UI UX Design"/>
    <s v="B1"/>
    <s v="Saurabh"/>
    <s v="Tablet"/>
    <n v="7214"/>
    <s v="DISC15"/>
    <m/>
    <n v="9000"/>
    <d v="2024-01-12T00:00:00"/>
  </r>
  <r>
    <s v="S1951"/>
    <s v="Karan Patel"/>
    <s v="C201"/>
    <s v="Data Analytics"/>
    <s v="B2"/>
    <s v="Amit"/>
    <s v="Web"/>
    <n v="12290"/>
    <s v="DISC20"/>
    <n v="0.2"/>
    <n v="14000"/>
    <d v="2024-02-16T00:00:00"/>
  </r>
  <r>
    <s v="S1952"/>
    <s v="Neha Joshi"/>
    <s v="C203"/>
    <s v="Full Stack Dev"/>
    <s v="B2"/>
    <s v="Saurabh"/>
    <s v="Tablet"/>
    <n v="17772"/>
    <s v="DISC30"/>
    <n v="0.3"/>
    <n v="17000"/>
    <d v="2024-01-15T00:00:00"/>
  </r>
  <r>
    <s v="S1953"/>
    <s v="Dev Shah"/>
    <s v="C203"/>
    <s v="Full Stack Dev"/>
    <s v="B1"/>
    <s v="Saurabh"/>
    <s v="Web"/>
    <n v="18021"/>
    <m/>
    <m/>
    <n v="17000"/>
    <d v="2024-02-25T00:00:00"/>
  </r>
  <r>
    <s v="S1954"/>
    <s v="Sneha Verma"/>
    <s v="C202"/>
    <s v="Data Science"/>
    <s v="B1"/>
    <s v="Priya"/>
    <s v="Tablet"/>
    <n v="12984"/>
    <s v="DISC10"/>
    <n v="0.1"/>
    <n v="13000"/>
    <d v="2024-02-26T00:00:00"/>
  </r>
  <r>
    <s v="S1955"/>
    <s v="Rahul Mehta"/>
    <s v="C202"/>
    <s v="Data Science"/>
    <s v="B3"/>
    <s v="Priya"/>
    <s v="Web"/>
    <n v="12586"/>
    <s v="DISC30"/>
    <n v="0.3"/>
    <n v="13000"/>
    <d v="2024-01-09T00:00:00"/>
  </r>
  <r>
    <s v="S1956"/>
    <s v="Neha Desai"/>
    <s v="C202"/>
    <s v="Data Science"/>
    <s v="B3"/>
    <s v="Priya"/>
    <s v="Mobile"/>
    <n v="11828"/>
    <s v="DISC30"/>
    <n v="0.3"/>
    <n v="13000"/>
    <d v="2024-01-09T00:00:00"/>
  </r>
  <r>
    <s v="S1957"/>
    <s v="Aarav Desai"/>
    <s v="C201"/>
    <s v="Data Analytics"/>
    <s v="B2"/>
    <s v="Saurabh"/>
    <s v="Web"/>
    <n v="15488"/>
    <m/>
    <m/>
    <n v="14000"/>
    <d v="2024-01-30T00:00:00"/>
  </r>
  <r>
    <s v="S1958"/>
    <s v="Rahul Mehta"/>
    <s v="C203"/>
    <s v="Full Stack Dev"/>
    <s v="B1"/>
    <s v="Priya"/>
    <s v="Tablet"/>
    <n v="15642"/>
    <s v="DISC15"/>
    <m/>
    <n v="17000"/>
    <d v="2024-02-27T00:00:00"/>
  </r>
  <r>
    <s v="S1959"/>
    <s v="Karan Joshi"/>
    <s v="C202"/>
    <s v="Data Science"/>
    <s v="B1"/>
    <s v="Priya"/>
    <s v="Tablet"/>
    <n v="13003"/>
    <s v="DISC20"/>
    <n v="0.2"/>
    <n v="13000"/>
    <d v="2024-02-07T00:00:00"/>
  </r>
  <r>
    <s v="S1960"/>
    <s v="Neha Nair"/>
    <s v="C204"/>
    <s v="UI UX Design"/>
    <s v="B2"/>
    <s v="Saurabh"/>
    <s v="Tablet"/>
    <n v="8753"/>
    <s v="DISC20"/>
    <n v="0.2"/>
    <n v="9000"/>
    <d v="2024-01-16T00:00:00"/>
  </r>
  <r>
    <s v="S1961"/>
    <s v="Pooja Verma"/>
    <s v="C202"/>
    <s v="Data Science"/>
    <s v="B3"/>
    <s v="Saurabh"/>
    <s v="Tablet"/>
    <n v="14679"/>
    <s v="DISC10"/>
    <n v="0.1"/>
    <n v="13000"/>
    <d v="2024-01-27T00:00:00"/>
  </r>
  <r>
    <s v="S1962"/>
    <s v="Aarav Kulkarni"/>
    <s v="C204"/>
    <s v="UI UX Design"/>
    <s v="B3"/>
    <s v="Amit"/>
    <s v="Web"/>
    <n v="8743"/>
    <s v="DISC15"/>
    <m/>
    <n v="9000"/>
    <d v="2024-01-26T00:00:00"/>
  </r>
  <r>
    <s v="S1963"/>
    <s v="Neha Patel"/>
    <s v="C201"/>
    <s v="Data Analytics"/>
    <s v="B2"/>
    <s v="Priya"/>
    <s v="Web"/>
    <n v="12340"/>
    <s v="DISC15"/>
    <m/>
    <n v="14000"/>
    <d v="2024-02-18T00:00:00"/>
  </r>
  <r>
    <s v="S1964"/>
    <s v="Aarav Desai"/>
    <s v="C204"/>
    <s v="UI UX Design"/>
    <s v="B1"/>
    <s v="Saurabh"/>
    <s v="Mobile"/>
    <n v="8211"/>
    <s v="DISC20"/>
    <n v="0.2"/>
    <n v="9000"/>
    <d v="2024-02-11T00:00:00"/>
  </r>
  <r>
    <s v="S1965"/>
    <s v="Riya Kulkarni"/>
    <s v="C204"/>
    <s v="UI UX Design"/>
    <s v="B3"/>
    <s v="Priya"/>
    <s v="Web"/>
    <n v="9880"/>
    <m/>
    <m/>
    <n v="9000"/>
    <d v="2024-02-24T00:00:00"/>
  </r>
  <r>
    <s v="S1966"/>
    <s v="Kavita Desai"/>
    <s v="C201"/>
    <s v="Data Analytics"/>
    <s v="B2"/>
    <s v="Priya"/>
    <s v="Web"/>
    <n v="15580"/>
    <m/>
    <m/>
    <n v="14000"/>
    <d v="2024-01-12T00:00:00"/>
  </r>
  <r>
    <s v="S1967"/>
    <s v="Dev Nair"/>
    <s v="C203"/>
    <s v="Full Stack Dev"/>
    <s v="B3"/>
    <s v="Priya"/>
    <s v="Tablet"/>
    <n v="17594"/>
    <s v="DISC10"/>
    <n v="0.1"/>
    <n v="17000"/>
    <d v="2024-02-25T00:00:00"/>
  </r>
  <r>
    <s v="S1968"/>
    <s v="Rohit Shah"/>
    <s v="C204"/>
    <s v="UI UX Design"/>
    <s v="B3"/>
    <s v="Priya"/>
    <s v="Tablet"/>
    <n v="7133"/>
    <s v="DISC30"/>
    <n v="0.3"/>
    <n v="9000"/>
    <d v="2024-01-28T00:00:00"/>
  </r>
  <r>
    <s v="S1969"/>
    <s v="Dev Rao"/>
    <s v="C202"/>
    <s v="Data Science"/>
    <s v="B3"/>
    <s v="Saurabh"/>
    <s v="Tablet"/>
    <n v="14607"/>
    <s v="DISC30"/>
    <n v="0.3"/>
    <n v="13000"/>
    <d v="2024-02-17T00:00:00"/>
  </r>
  <r>
    <s v="S1970"/>
    <s v="Kunal Kulkarni"/>
    <s v="C203"/>
    <s v="Full Stack Dev"/>
    <s v="B1"/>
    <s v="Saurabh"/>
    <s v="Mobile"/>
    <n v="16497"/>
    <m/>
    <m/>
    <n v="17000"/>
    <d v="2024-02-09T00:00:00"/>
  </r>
  <r>
    <s v="S1971"/>
    <s v="Aarav Jain"/>
    <s v="C203"/>
    <s v="Full Stack Dev"/>
    <s v="B1"/>
    <s v="Amit"/>
    <s v="Tablet"/>
    <n v="17887"/>
    <s v="DISC10"/>
    <n v="0.1"/>
    <n v="17000"/>
    <d v="2024-02-05T00:00:00"/>
  </r>
  <r>
    <s v="S1972"/>
    <s v="Anjali Patel"/>
    <s v="C202"/>
    <s v="Data Science"/>
    <s v="B1"/>
    <s v="Priya"/>
    <s v="Web"/>
    <n v="13210"/>
    <s v="DISC10"/>
    <n v="0.1"/>
    <n v="13000"/>
    <d v="2024-02-11T00:00:00"/>
  </r>
  <r>
    <s v="S1973"/>
    <s v="Neha Desai"/>
    <s v="C202"/>
    <s v="Data Science"/>
    <s v="B3"/>
    <s v="Saurabh"/>
    <s v="Mobile"/>
    <n v="12444"/>
    <s v="DISC30"/>
    <n v="0.3"/>
    <n v="13000"/>
    <d v="2024-02-02T00:00:00"/>
  </r>
  <r>
    <s v="S1974"/>
    <s v="Rohit Verma"/>
    <s v="C203"/>
    <s v="Full Stack Dev"/>
    <s v="B1"/>
    <s v="Saurabh"/>
    <s v="Mobile"/>
    <n v="16414"/>
    <m/>
    <m/>
    <n v="17000"/>
    <d v="2024-02-01T00:00:00"/>
  </r>
  <r>
    <s v="S1975"/>
    <s v="Manish Gupta"/>
    <s v="C201"/>
    <s v="Data Analytics"/>
    <s v="B2"/>
    <s v="Amit"/>
    <s v="Tablet"/>
    <n v="14778"/>
    <s v="DISC15"/>
    <m/>
    <n v="14000"/>
    <d v="2024-02-27T00:00:00"/>
  </r>
  <r>
    <s v="S1976"/>
    <s v="Aditya Iyer"/>
    <s v="C203"/>
    <s v="Full Stack Dev"/>
    <s v="B3"/>
    <s v="Amit"/>
    <s v="Web"/>
    <n v="15771"/>
    <m/>
    <m/>
    <n v="17000"/>
    <d v="2024-01-06T00:00:00"/>
  </r>
  <r>
    <s v="S1977"/>
    <s v="Riya Verma"/>
    <s v="C202"/>
    <s v="Data Science"/>
    <s v="B2"/>
    <s v="Saurabh"/>
    <s v="Web"/>
    <n v="11674"/>
    <s v="DISC30"/>
    <n v="0.3"/>
    <n v="13000"/>
    <d v="2024-01-08T00:00:00"/>
  </r>
  <r>
    <s v="S1978"/>
    <s v="Anjali Mehta"/>
    <s v="C204"/>
    <s v="UI UX Design"/>
    <s v="B1"/>
    <s v="Saurabh"/>
    <s v="Tablet"/>
    <n v="10899"/>
    <s v="DISC10"/>
    <n v="0.1"/>
    <n v="9000"/>
    <d v="2024-01-19T00:00:00"/>
  </r>
  <r>
    <s v="S1979"/>
    <s v="Rahul Singh"/>
    <s v="C202"/>
    <s v="Data Science"/>
    <s v="B2"/>
    <s v="Priya"/>
    <s v="Mobile"/>
    <n v="12818"/>
    <s v="DISC10"/>
    <n v="0.1"/>
    <n v="13000"/>
    <d v="2024-01-19T00:00:00"/>
  </r>
  <r>
    <s v="S1980"/>
    <s v="Sneha Shah"/>
    <s v="C201"/>
    <s v="Data Analytics"/>
    <s v="B1"/>
    <s v="Amit"/>
    <s v="Tablet"/>
    <n v="13375"/>
    <m/>
    <m/>
    <n v="14000"/>
    <d v="2024-02-07T00:00:00"/>
  </r>
  <r>
    <s v="S1981"/>
    <s v="Pooja Singh"/>
    <s v="C203"/>
    <s v="Full Stack Dev"/>
    <s v="B2"/>
    <s v="Amit"/>
    <s v="Tablet"/>
    <n v="17854"/>
    <s v="DISC15"/>
    <m/>
    <n v="17000"/>
    <d v="2024-02-23T00:00:00"/>
  </r>
  <r>
    <s v="S1982"/>
    <s v="Manish Iyer"/>
    <s v="C204"/>
    <s v="UI UX Design"/>
    <s v="B2"/>
    <s v="Amit"/>
    <s v="Web"/>
    <n v="10679"/>
    <s v="DISC30"/>
    <n v="0.3"/>
    <n v="9000"/>
    <d v="2024-01-11T00:00:00"/>
  </r>
  <r>
    <s v="S1983"/>
    <s v="Dev Rao"/>
    <s v="C202"/>
    <s v="Data Science"/>
    <s v="B2"/>
    <s v="Priya"/>
    <s v="Mobile"/>
    <n v="14152"/>
    <s v="DISC10"/>
    <n v="0.1"/>
    <n v="13000"/>
    <d v="2024-01-10T00:00:00"/>
  </r>
  <r>
    <s v="S1984"/>
    <s v="Pooja Rao"/>
    <s v="C204"/>
    <s v="UI UX Design"/>
    <s v="B1"/>
    <s v="Amit"/>
    <s v="Web"/>
    <n v="9915"/>
    <s v="DISC15"/>
    <m/>
    <n v="9000"/>
    <d v="2024-01-19T00:00:00"/>
  </r>
  <r>
    <s v="S1985"/>
    <s v="Karan Mehta"/>
    <s v="C202"/>
    <s v="Data Science"/>
    <s v="B1"/>
    <s v="Saurabh"/>
    <s v="Web"/>
    <n v="11168"/>
    <s v="DISC30"/>
    <n v="0.3"/>
    <n v="13000"/>
    <d v="2024-02-06T00:00:00"/>
  </r>
  <r>
    <s v="S1986"/>
    <s v="Karan Iyer"/>
    <s v="C203"/>
    <s v="Full Stack Dev"/>
    <s v="B2"/>
    <s v="Saurabh"/>
    <s v="Web"/>
    <n v="17303"/>
    <s v="DISC10"/>
    <n v="0.1"/>
    <n v="17000"/>
    <d v="2024-02-12T00:00:00"/>
  </r>
  <r>
    <s v="S1987"/>
    <s v="Pooja Jain"/>
    <s v="C202"/>
    <s v="Data Science"/>
    <s v="B2"/>
    <s v="Priya"/>
    <s v="Tablet"/>
    <n v="14995"/>
    <s v="DISC20"/>
    <n v="0.2"/>
    <n v="13000"/>
    <d v="2024-02-04T00:00:00"/>
  </r>
  <r>
    <s v="S1988"/>
    <s v="Aditya Shah"/>
    <s v="C201"/>
    <s v="Data Analytics"/>
    <s v="B2"/>
    <s v="Priya"/>
    <s v="Web"/>
    <n v="15882"/>
    <m/>
    <m/>
    <n v="14000"/>
    <d v="2024-02-29T00:00:00"/>
  </r>
  <r>
    <s v="S1989"/>
    <s v="Pooja Mehta"/>
    <s v="C201"/>
    <s v="Data Analytics"/>
    <s v="B3"/>
    <s v="Amit"/>
    <s v="Tablet"/>
    <n v="13356"/>
    <s v="DISC30"/>
    <n v="0.3"/>
    <n v="14000"/>
    <d v="2024-01-31T00:00:00"/>
  </r>
  <r>
    <s v="S1990"/>
    <s v="Kunal Rao"/>
    <s v="C202"/>
    <s v="Data Science"/>
    <s v="B3"/>
    <s v="Amit"/>
    <s v="Mobile"/>
    <n v="12387"/>
    <s v="DISC10"/>
    <n v="0.1"/>
    <n v="13000"/>
    <d v="2024-02-16T00:00:00"/>
  </r>
  <r>
    <s v="S1991"/>
    <s v="Neha Kulkarni"/>
    <s v="C202"/>
    <s v="Data Science"/>
    <s v="B3"/>
    <s v="Amit"/>
    <s v="Web"/>
    <n v="12261"/>
    <s v="DISC10"/>
    <n v="0.1"/>
    <n v="13000"/>
    <d v="2024-01-26T00:00:00"/>
  </r>
  <r>
    <s v="S1992"/>
    <s v="Kavita Nair"/>
    <s v="C202"/>
    <s v="Data Science"/>
    <s v="B2"/>
    <s v="Priya"/>
    <s v="Web"/>
    <n v="12336"/>
    <s v="DISC10"/>
    <n v="0.1"/>
    <n v="13000"/>
    <d v="2024-02-08T00:00:00"/>
  </r>
  <r>
    <s v="S1993"/>
    <s v="Rohit Patil"/>
    <s v="C202"/>
    <s v="Data Science"/>
    <s v="B2"/>
    <s v="Saurabh"/>
    <s v="Web"/>
    <n v="11342"/>
    <s v="DISC15"/>
    <m/>
    <n v="13000"/>
    <d v="2024-02-24T00:00:00"/>
  </r>
  <r>
    <s v="S1994"/>
    <s v="Neha Singh"/>
    <s v="C201"/>
    <s v="Data Analytics"/>
    <s v="B3"/>
    <s v="Priya"/>
    <s v="Web"/>
    <n v="14008"/>
    <s v="DISC30"/>
    <n v="0.3"/>
    <n v="14000"/>
    <d v="2024-02-08T00:00:00"/>
  </r>
  <r>
    <s v="S1995"/>
    <s v="Kavita Gupta"/>
    <s v="C201"/>
    <s v="Data Analytics"/>
    <s v="B3"/>
    <s v="Priya"/>
    <s v="Mobile"/>
    <n v="12605"/>
    <m/>
    <m/>
    <n v="14000"/>
    <d v="2024-01-24T00:00:00"/>
  </r>
  <r>
    <s v="S1996"/>
    <s v="Rahul Jain"/>
    <s v="C201"/>
    <s v="Data Analytics"/>
    <s v="B2"/>
    <s v="Priya"/>
    <s v="Mobile"/>
    <n v="13261"/>
    <m/>
    <m/>
    <n v="14000"/>
    <d v="2024-02-25T00:00:00"/>
  </r>
  <r>
    <s v="S1997"/>
    <s v="Manish Shah"/>
    <s v="C202"/>
    <s v="Data Science"/>
    <s v="B3"/>
    <s v="Priya"/>
    <s v="Tablet"/>
    <n v="12702"/>
    <m/>
    <m/>
    <n v="13000"/>
    <d v="2024-01-19T00:00:00"/>
  </r>
  <r>
    <s v="S1998"/>
    <s v="Karan Patel"/>
    <s v="C204"/>
    <s v="UI UX Design"/>
    <s v="B3"/>
    <s v="Priya"/>
    <s v="Web"/>
    <n v="10422"/>
    <s v="DISC15"/>
    <m/>
    <n v="9000"/>
    <d v="2024-02-08T00:00:00"/>
  </r>
  <r>
    <s v="S1999"/>
    <s v="Riya Mehta"/>
    <s v="C202"/>
    <s v="Data Science"/>
    <s v="B2"/>
    <s v="Priya"/>
    <s v="Tablet"/>
    <n v="12373"/>
    <s v="DISC10"/>
    <n v="0.1"/>
    <n v="13000"/>
    <d v="2024-02-29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Rohit Shah"/>
    <s v="C201"/>
    <x v="0"/>
    <s v="B3"/>
    <x v="0"/>
    <x v="0"/>
    <n v="12914"/>
    <s v="DISC20"/>
    <n v="0.2"/>
    <n v="14000"/>
    <x v="0"/>
    <s v="Below Target"/>
  </r>
  <r>
    <s v="S1001"/>
    <s v="Riya Singh"/>
    <s v="C201"/>
    <x v="0"/>
    <s v="B3"/>
    <x v="0"/>
    <x v="0"/>
    <n v="12122"/>
    <s v="DISC10"/>
    <n v="0.1"/>
    <n v="14000"/>
    <x v="1"/>
    <s v="Below Target"/>
  </r>
  <r>
    <s v="S1002"/>
    <s v="Sneha Gupta"/>
    <s v="C201"/>
    <x v="0"/>
    <s v="B3"/>
    <x v="1"/>
    <x v="1"/>
    <n v="14661"/>
    <s v="DISC15"/>
    <m/>
    <n v="14000"/>
    <x v="2"/>
    <s v="Target Achieved"/>
  </r>
  <r>
    <s v="S1003"/>
    <s v="Sneha Iyer"/>
    <s v="C203"/>
    <x v="1"/>
    <s v="B1"/>
    <x v="1"/>
    <x v="1"/>
    <n v="16731"/>
    <s v="DISC30"/>
    <n v="0.3"/>
    <n v="17000"/>
    <x v="3"/>
    <s v="Below Target"/>
  </r>
  <r>
    <s v="S1004"/>
    <s v="Karan Patil"/>
    <s v="C203"/>
    <x v="1"/>
    <s v="B1"/>
    <x v="1"/>
    <x v="2"/>
    <n v="15396"/>
    <s v="DISC30"/>
    <n v="0.3"/>
    <n v="17000"/>
    <x v="4"/>
    <s v="Below Target"/>
  </r>
  <r>
    <s v="S1005"/>
    <s v="Pooja Joshi"/>
    <s v="C203"/>
    <x v="1"/>
    <s v="B1"/>
    <x v="2"/>
    <x v="2"/>
    <n v="17196"/>
    <s v="DISC10"/>
    <n v="0.1"/>
    <n v="17000"/>
    <x v="5"/>
    <s v="Target Achieved"/>
  </r>
  <r>
    <s v="S1006"/>
    <s v="Rahul Shah"/>
    <s v="C203"/>
    <x v="1"/>
    <s v="B3"/>
    <x v="2"/>
    <x v="2"/>
    <n v="17364"/>
    <s v="DISC20"/>
    <n v="0.2"/>
    <n v="17000"/>
    <x v="6"/>
    <s v="Target Achieved"/>
  </r>
  <r>
    <s v="S1007"/>
    <s v="Riya Kulkarni"/>
    <s v="C202"/>
    <x v="2"/>
    <s v="B2"/>
    <x v="1"/>
    <x v="0"/>
    <n v="14549"/>
    <s v="DISC10"/>
    <n v="0.1"/>
    <n v="13000"/>
    <x v="7"/>
    <s v="Target Achieved"/>
  </r>
  <r>
    <s v="S1008"/>
    <s v="Aditya Iyer"/>
    <s v="C203"/>
    <x v="1"/>
    <s v="B1"/>
    <x v="0"/>
    <x v="2"/>
    <n v="15858"/>
    <s v="DISC30"/>
    <n v="0.3"/>
    <n v="17000"/>
    <x v="8"/>
    <s v="Below Target"/>
  </r>
  <r>
    <s v="S1009"/>
    <s v="Kunal Singh"/>
    <s v="C201"/>
    <x v="0"/>
    <s v="B3"/>
    <x v="2"/>
    <x v="0"/>
    <n v="14187"/>
    <s v="DISC20"/>
    <n v="0.2"/>
    <n v="14000"/>
    <x v="9"/>
    <s v="Target Achieved"/>
  </r>
  <r>
    <s v="S1010"/>
    <s v="Neha Verma"/>
    <s v="C203"/>
    <x v="1"/>
    <s v="B3"/>
    <x v="2"/>
    <x v="1"/>
    <n v="15899"/>
    <s v="DISC30"/>
    <n v="0.3"/>
    <n v="17000"/>
    <x v="10"/>
    <s v="Below Target"/>
  </r>
  <r>
    <s v="S1011"/>
    <s v="Dev Patel"/>
    <s v="C201"/>
    <x v="0"/>
    <s v="B1"/>
    <x v="1"/>
    <x v="2"/>
    <n v="13643"/>
    <s v="DISC30"/>
    <n v="0.3"/>
    <n v="14000"/>
    <x v="11"/>
    <s v="Below Target"/>
  </r>
  <r>
    <s v="S1012"/>
    <s v="Sneha Joshi"/>
    <s v="C203"/>
    <x v="1"/>
    <s v="B1"/>
    <x v="2"/>
    <x v="2"/>
    <n v="16620"/>
    <m/>
    <m/>
    <n v="17000"/>
    <x v="12"/>
    <s v="Below Target"/>
  </r>
  <r>
    <s v="S1013"/>
    <s v="Aditya Mehta"/>
    <s v="C202"/>
    <x v="2"/>
    <s v="B3"/>
    <x v="2"/>
    <x v="1"/>
    <n v="12076"/>
    <s v="DISC15"/>
    <m/>
    <n v="13000"/>
    <x v="13"/>
    <s v="Below Target"/>
  </r>
  <r>
    <s v="S1014"/>
    <s v="Kunal Joshi"/>
    <s v="C204"/>
    <x v="3"/>
    <s v="B2"/>
    <x v="1"/>
    <x v="0"/>
    <n v="9087"/>
    <m/>
    <m/>
    <n v="9000"/>
    <x v="14"/>
    <s v="Target Achieved"/>
  </r>
  <r>
    <s v="S1015"/>
    <s v="Dev Kulkarni"/>
    <s v="C201"/>
    <x v="0"/>
    <s v="B1"/>
    <x v="2"/>
    <x v="0"/>
    <n v="15244"/>
    <m/>
    <m/>
    <n v="14000"/>
    <x v="15"/>
    <s v="Target Achieved"/>
  </r>
  <r>
    <s v="S1016"/>
    <s v="Riya Verma"/>
    <s v="C204"/>
    <x v="3"/>
    <s v="B3"/>
    <x v="0"/>
    <x v="1"/>
    <n v="8029"/>
    <s v="DISC15"/>
    <m/>
    <n v="9000"/>
    <x v="16"/>
    <s v="Below Target"/>
  </r>
  <r>
    <s v="S1017"/>
    <s v="Aarav Singh"/>
    <s v="C201"/>
    <x v="0"/>
    <s v="B3"/>
    <x v="2"/>
    <x v="2"/>
    <n v="15148"/>
    <s v="DISC30"/>
    <n v="0.3"/>
    <n v="14000"/>
    <x v="17"/>
    <s v="Target Achieved"/>
  </r>
  <r>
    <s v="S1018"/>
    <s v="Aditya Verma"/>
    <s v="C202"/>
    <x v="2"/>
    <s v="B2"/>
    <x v="1"/>
    <x v="1"/>
    <n v="14587"/>
    <s v="DISC30"/>
    <n v="0.3"/>
    <n v="13000"/>
    <x v="18"/>
    <s v="Target Achieved"/>
  </r>
  <r>
    <s v="S1019"/>
    <s v="Dev Mehta"/>
    <s v="C201"/>
    <x v="0"/>
    <s v="B3"/>
    <x v="0"/>
    <x v="1"/>
    <n v="14079"/>
    <s v="DISC15"/>
    <m/>
    <n v="14000"/>
    <x v="19"/>
    <s v="Target Achieved"/>
  </r>
  <r>
    <s v="S1020"/>
    <s v="Karan Jain"/>
    <s v="C202"/>
    <x v="2"/>
    <s v="B3"/>
    <x v="2"/>
    <x v="0"/>
    <n v="13453"/>
    <s v="DISC30"/>
    <n v="0.3"/>
    <n v="13000"/>
    <x v="20"/>
    <s v="Target Achieved"/>
  </r>
  <r>
    <s v="S1021"/>
    <s v="Aarav Shah"/>
    <s v="C203"/>
    <x v="1"/>
    <s v="B2"/>
    <x v="1"/>
    <x v="0"/>
    <n v="15986"/>
    <s v="DISC15"/>
    <m/>
    <n v="17000"/>
    <x v="21"/>
    <s v="Below Target"/>
  </r>
  <r>
    <s v="S1022"/>
    <s v="Riya Shah"/>
    <s v="C204"/>
    <x v="3"/>
    <s v="B1"/>
    <x v="2"/>
    <x v="0"/>
    <n v="7525"/>
    <m/>
    <m/>
    <n v="9000"/>
    <x v="21"/>
    <s v="Below Target"/>
  </r>
  <r>
    <s v="S1023"/>
    <s v="Manish Mehta"/>
    <s v="C203"/>
    <x v="1"/>
    <s v="B3"/>
    <x v="2"/>
    <x v="2"/>
    <n v="18950"/>
    <s v="DISC20"/>
    <n v="0.2"/>
    <n v="17000"/>
    <x v="5"/>
    <s v="Target Achieved"/>
  </r>
  <r>
    <s v="S1024"/>
    <s v="Manish Patel"/>
    <s v="C202"/>
    <x v="2"/>
    <s v="B3"/>
    <x v="0"/>
    <x v="2"/>
    <n v="13751"/>
    <s v="DISC30"/>
    <n v="0.3"/>
    <n v="13000"/>
    <x v="22"/>
    <s v="Target Achieved"/>
  </r>
  <r>
    <s v="S1025"/>
    <s v="Kunal Gupta"/>
    <s v="C204"/>
    <x v="3"/>
    <s v="B1"/>
    <x v="1"/>
    <x v="0"/>
    <n v="7262"/>
    <s v="DISC30"/>
    <n v="0.3"/>
    <n v="9000"/>
    <x v="23"/>
    <s v="Below Target"/>
  </r>
  <r>
    <s v="S1026"/>
    <s v="Kavita Gupta"/>
    <s v="C202"/>
    <x v="2"/>
    <s v="B3"/>
    <x v="1"/>
    <x v="0"/>
    <n v="11290"/>
    <s v="DISC10"/>
    <n v="0.1"/>
    <n v="13000"/>
    <x v="24"/>
    <s v="Below Target"/>
  </r>
  <r>
    <s v="S1027"/>
    <s v="Riya Kulkarni"/>
    <s v="C203"/>
    <x v="1"/>
    <s v="B1"/>
    <x v="2"/>
    <x v="0"/>
    <n v="16140"/>
    <m/>
    <m/>
    <n v="17000"/>
    <x v="1"/>
    <s v="Below Target"/>
  </r>
  <r>
    <s v="S1028"/>
    <s v="Manish Mehta"/>
    <s v="C204"/>
    <x v="3"/>
    <s v="B1"/>
    <x v="0"/>
    <x v="2"/>
    <n v="7779"/>
    <s v="DISC10"/>
    <n v="0.1"/>
    <n v="9000"/>
    <x v="25"/>
    <s v="Below Target"/>
  </r>
  <r>
    <s v="S1029"/>
    <s v="Rohit Verma"/>
    <s v="C203"/>
    <x v="1"/>
    <s v="B2"/>
    <x v="0"/>
    <x v="2"/>
    <n v="18538"/>
    <s v="DISC10"/>
    <n v="0.1"/>
    <n v="17000"/>
    <x v="26"/>
    <s v="Target Achieved"/>
  </r>
  <r>
    <s v="S1030"/>
    <s v="Rohit Singh"/>
    <s v="C201"/>
    <x v="0"/>
    <s v="B1"/>
    <x v="0"/>
    <x v="1"/>
    <n v="13389"/>
    <s v="DISC10"/>
    <n v="0.1"/>
    <n v="14000"/>
    <x v="27"/>
    <s v="Below Target"/>
  </r>
  <r>
    <s v="S1031"/>
    <s v="Sneha Patil"/>
    <s v="C204"/>
    <x v="3"/>
    <s v="B1"/>
    <x v="0"/>
    <x v="0"/>
    <n v="8140"/>
    <m/>
    <m/>
    <n v="9000"/>
    <x v="27"/>
    <s v="Below Target"/>
  </r>
  <r>
    <s v="S1032"/>
    <s v="Meera Shah"/>
    <s v="C204"/>
    <x v="3"/>
    <s v="B3"/>
    <x v="1"/>
    <x v="0"/>
    <n v="9671"/>
    <s v="DISC15"/>
    <m/>
    <n v="9000"/>
    <x v="10"/>
    <s v="Target Achieved"/>
  </r>
  <r>
    <s v="S1033"/>
    <s v="Aarav Shah"/>
    <s v="C202"/>
    <x v="2"/>
    <s v="B1"/>
    <x v="0"/>
    <x v="2"/>
    <n v="12971"/>
    <s v="DISC20"/>
    <n v="0.2"/>
    <n v="13000"/>
    <x v="16"/>
    <s v="Below Target"/>
  </r>
  <r>
    <s v="S1034"/>
    <s v="Rahul Kulkarni"/>
    <s v="C202"/>
    <x v="2"/>
    <s v="B2"/>
    <x v="1"/>
    <x v="2"/>
    <n v="12086"/>
    <m/>
    <m/>
    <n v="13000"/>
    <x v="28"/>
    <s v="Below Target"/>
  </r>
  <r>
    <s v="S1035"/>
    <s v="Rahul Desai"/>
    <s v="C204"/>
    <x v="3"/>
    <s v="B1"/>
    <x v="1"/>
    <x v="2"/>
    <n v="7891"/>
    <s v="DISC10"/>
    <n v="0.1"/>
    <n v="9000"/>
    <x v="29"/>
    <s v="Below Target"/>
  </r>
  <r>
    <s v="S1036"/>
    <s v="Anjali Gupta"/>
    <s v="C201"/>
    <x v="0"/>
    <s v="B3"/>
    <x v="0"/>
    <x v="0"/>
    <n v="12205"/>
    <s v="DISC15"/>
    <m/>
    <n v="14000"/>
    <x v="30"/>
    <s v="Below Target"/>
  </r>
  <r>
    <s v="S1037"/>
    <s v="Manish Nair"/>
    <s v="C202"/>
    <x v="2"/>
    <s v="B1"/>
    <x v="2"/>
    <x v="0"/>
    <n v="14487"/>
    <s v="DISC20"/>
    <n v="0.2"/>
    <n v="13000"/>
    <x v="11"/>
    <s v="Target Achieved"/>
  </r>
  <r>
    <s v="S1038"/>
    <s v="Kavita Shah"/>
    <s v="C202"/>
    <x v="2"/>
    <s v="B2"/>
    <x v="1"/>
    <x v="1"/>
    <n v="12008"/>
    <s v="DISC15"/>
    <m/>
    <n v="13000"/>
    <x v="15"/>
    <s v="Below Target"/>
  </r>
  <r>
    <s v="S1039"/>
    <s v="Aarav Joshi"/>
    <s v="C201"/>
    <x v="0"/>
    <s v="B2"/>
    <x v="2"/>
    <x v="1"/>
    <n v="14315"/>
    <s v="DISC15"/>
    <m/>
    <n v="14000"/>
    <x v="31"/>
    <s v="Target Achieved"/>
  </r>
  <r>
    <s v="S1040"/>
    <s v="Kunal Rao"/>
    <s v="C202"/>
    <x v="2"/>
    <s v="B3"/>
    <x v="2"/>
    <x v="2"/>
    <n v="11977"/>
    <s v="DISC30"/>
    <n v="0.3"/>
    <n v="13000"/>
    <x v="32"/>
    <s v="Below Target"/>
  </r>
  <r>
    <s v="S1041"/>
    <s v="Karan Singh"/>
    <s v="C203"/>
    <x v="1"/>
    <s v="B2"/>
    <x v="0"/>
    <x v="0"/>
    <n v="15038"/>
    <m/>
    <m/>
    <n v="17000"/>
    <x v="33"/>
    <s v="Below Target"/>
  </r>
  <r>
    <s v="S1042"/>
    <s v="Kavita Shah"/>
    <s v="C201"/>
    <x v="0"/>
    <s v="B3"/>
    <x v="1"/>
    <x v="1"/>
    <n v="13086"/>
    <s v="DISC20"/>
    <n v="0.2"/>
    <n v="14000"/>
    <x v="5"/>
    <s v="Below Target"/>
  </r>
  <r>
    <s v="S1043"/>
    <s v="Pooja Shah"/>
    <s v="C202"/>
    <x v="2"/>
    <s v="B2"/>
    <x v="0"/>
    <x v="0"/>
    <n v="12794"/>
    <s v="DISC15"/>
    <m/>
    <n v="13000"/>
    <x v="6"/>
    <s v="Below Target"/>
  </r>
  <r>
    <s v="S1044"/>
    <s v="Aditya Joshi"/>
    <s v="C201"/>
    <x v="0"/>
    <s v="B3"/>
    <x v="2"/>
    <x v="2"/>
    <n v="15816"/>
    <s v="DISC10"/>
    <n v="0.1"/>
    <n v="14000"/>
    <x v="21"/>
    <s v="Target Achieved"/>
  </r>
  <r>
    <s v="S1045"/>
    <s v="Kunal Mehta"/>
    <s v="C203"/>
    <x v="1"/>
    <s v="B1"/>
    <x v="1"/>
    <x v="1"/>
    <n v="17266"/>
    <s v="DISC20"/>
    <n v="0.2"/>
    <n v="17000"/>
    <x v="3"/>
    <s v="Target Achieved"/>
  </r>
  <r>
    <s v="S1046"/>
    <s v="Aditya Joshi"/>
    <s v="C202"/>
    <x v="2"/>
    <s v="B3"/>
    <x v="0"/>
    <x v="0"/>
    <n v="13815"/>
    <s v="DISC30"/>
    <n v="0.3"/>
    <n v="13000"/>
    <x v="18"/>
    <s v="Target Achieved"/>
  </r>
  <r>
    <s v="S1047"/>
    <s v="Neha Rao"/>
    <s v="C201"/>
    <x v="0"/>
    <s v="B1"/>
    <x v="2"/>
    <x v="2"/>
    <n v="15397"/>
    <s v="DISC30"/>
    <n v="0.3"/>
    <n v="14000"/>
    <x v="34"/>
    <s v="Target Achieved"/>
  </r>
  <r>
    <s v="S1048"/>
    <s v="Aarav Jain"/>
    <s v="C202"/>
    <x v="2"/>
    <s v="B3"/>
    <x v="0"/>
    <x v="0"/>
    <n v="14036"/>
    <m/>
    <m/>
    <n v="13000"/>
    <x v="35"/>
    <s v="Target Achieved"/>
  </r>
  <r>
    <s v="S1049"/>
    <s v="Anjali Verma"/>
    <s v="C201"/>
    <x v="0"/>
    <s v="B1"/>
    <x v="1"/>
    <x v="1"/>
    <n v="15702"/>
    <s v="DISC20"/>
    <n v="0.2"/>
    <n v="14000"/>
    <x v="36"/>
    <s v="Target Achieved"/>
  </r>
  <r>
    <s v="S1050"/>
    <s v="Aarav Nair"/>
    <s v="C203"/>
    <x v="1"/>
    <s v="B3"/>
    <x v="2"/>
    <x v="0"/>
    <n v="16760"/>
    <s v="DISC20"/>
    <n v="0.2"/>
    <n v="17000"/>
    <x v="34"/>
    <s v="Below Target"/>
  </r>
  <r>
    <s v="S1051"/>
    <s v="Aditya Jain"/>
    <s v="C201"/>
    <x v="0"/>
    <s v="B2"/>
    <x v="1"/>
    <x v="1"/>
    <n v="13022"/>
    <s v="DISC10"/>
    <n v="0.1"/>
    <n v="14000"/>
    <x v="37"/>
    <s v="Below Target"/>
  </r>
  <r>
    <s v="S1052"/>
    <s v="Dev Gupta"/>
    <s v="C204"/>
    <x v="3"/>
    <s v="B3"/>
    <x v="2"/>
    <x v="0"/>
    <n v="10791"/>
    <s v="DISC20"/>
    <n v="0.2"/>
    <n v="9000"/>
    <x v="16"/>
    <s v="Target Achieved"/>
  </r>
  <r>
    <s v="S1053"/>
    <s v="Karan Patel"/>
    <s v="C202"/>
    <x v="2"/>
    <s v="B2"/>
    <x v="1"/>
    <x v="0"/>
    <n v="14016"/>
    <s v="DISC30"/>
    <n v="0.3"/>
    <n v="13000"/>
    <x v="38"/>
    <s v="Target Achieved"/>
  </r>
  <r>
    <s v="S1054"/>
    <s v="Kunal Verma"/>
    <s v="C202"/>
    <x v="2"/>
    <s v="B2"/>
    <x v="1"/>
    <x v="1"/>
    <n v="11442"/>
    <m/>
    <m/>
    <n v="13000"/>
    <x v="16"/>
    <s v="Below Target"/>
  </r>
  <r>
    <s v="S1055"/>
    <s v="Aarav Nair"/>
    <s v="C204"/>
    <x v="3"/>
    <s v="B1"/>
    <x v="1"/>
    <x v="2"/>
    <n v="8432"/>
    <s v="DISC30"/>
    <n v="0.3"/>
    <n v="9000"/>
    <x v="39"/>
    <s v="Below Target"/>
  </r>
  <r>
    <s v="S1056"/>
    <s v="Dev Nair"/>
    <s v="C202"/>
    <x v="2"/>
    <s v="B1"/>
    <x v="1"/>
    <x v="1"/>
    <n v="11791"/>
    <m/>
    <m/>
    <n v="13000"/>
    <x v="40"/>
    <s v="Below Target"/>
  </r>
  <r>
    <s v="S1057"/>
    <s v="Aditya Nair"/>
    <s v="C201"/>
    <x v="0"/>
    <s v="B2"/>
    <x v="0"/>
    <x v="1"/>
    <n v="14086"/>
    <m/>
    <m/>
    <n v="14000"/>
    <x v="26"/>
    <s v="Target Achieved"/>
  </r>
  <r>
    <s v="S1058"/>
    <s v="Meera Gupta"/>
    <s v="C203"/>
    <x v="1"/>
    <s v="B1"/>
    <x v="1"/>
    <x v="2"/>
    <n v="15731"/>
    <s v="DISC15"/>
    <m/>
    <n v="17000"/>
    <x v="41"/>
    <s v="Below Target"/>
  </r>
  <r>
    <s v="S1059"/>
    <s v="Aarav Shah"/>
    <s v="C204"/>
    <x v="3"/>
    <s v="B2"/>
    <x v="2"/>
    <x v="2"/>
    <n v="8787"/>
    <s v="DISC15"/>
    <m/>
    <n v="9000"/>
    <x v="18"/>
    <s v="Below Target"/>
  </r>
  <r>
    <s v="S1060"/>
    <s v="Riya Verma"/>
    <s v="C202"/>
    <x v="2"/>
    <s v="B2"/>
    <x v="1"/>
    <x v="1"/>
    <n v="12786"/>
    <s v="DISC10"/>
    <n v="0.1"/>
    <n v="13000"/>
    <x v="42"/>
    <s v="Below Target"/>
  </r>
  <r>
    <s v="S1061"/>
    <s v="Kunal Patel"/>
    <s v="C202"/>
    <x v="2"/>
    <s v="B2"/>
    <x v="0"/>
    <x v="0"/>
    <n v="14886"/>
    <s v="DISC30"/>
    <n v="0.3"/>
    <n v="13000"/>
    <x v="33"/>
    <s v="Target Achieved"/>
  </r>
  <r>
    <s v="S1062"/>
    <s v="Pooja Singh"/>
    <s v="C201"/>
    <x v="0"/>
    <s v="B3"/>
    <x v="0"/>
    <x v="1"/>
    <n v="13266"/>
    <m/>
    <m/>
    <n v="14000"/>
    <x v="31"/>
    <s v="Below Target"/>
  </r>
  <r>
    <s v="S1063"/>
    <s v="Rahul Desai"/>
    <s v="C203"/>
    <x v="1"/>
    <s v="B3"/>
    <x v="1"/>
    <x v="0"/>
    <n v="16722"/>
    <m/>
    <m/>
    <n v="17000"/>
    <x v="26"/>
    <s v="Below Target"/>
  </r>
  <r>
    <s v="S1064"/>
    <s v="Anjali Mehta"/>
    <s v="C203"/>
    <x v="1"/>
    <s v="B2"/>
    <x v="2"/>
    <x v="0"/>
    <n v="16244"/>
    <s v="DISC30"/>
    <n v="0.3"/>
    <n v="17000"/>
    <x v="1"/>
    <s v="Below Target"/>
  </r>
  <r>
    <s v="S1065"/>
    <s v="Rahul Patel"/>
    <s v="C203"/>
    <x v="1"/>
    <s v="B2"/>
    <x v="0"/>
    <x v="2"/>
    <n v="17767"/>
    <s v="DISC20"/>
    <n v="0.2"/>
    <n v="17000"/>
    <x v="18"/>
    <s v="Target Achieved"/>
  </r>
  <r>
    <s v="S1066"/>
    <s v="Neha Patel"/>
    <s v="C202"/>
    <x v="2"/>
    <s v="B3"/>
    <x v="1"/>
    <x v="2"/>
    <n v="13111"/>
    <s v="DISC15"/>
    <m/>
    <n v="13000"/>
    <x v="40"/>
    <s v="Target Achieved"/>
  </r>
  <r>
    <s v="S1067"/>
    <s v="Riya Nair"/>
    <s v="C202"/>
    <x v="2"/>
    <s v="B3"/>
    <x v="0"/>
    <x v="0"/>
    <n v="14303"/>
    <s v="DISC20"/>
    <n v="0.2"/>
    <n v="13000"/>
    <x v="12"/>
    <s v="Target Achieved"/>
  </r>
  <r>
    <s v="S1068"/>
    <s v="Aarav Kulkarni"/>
    <s v="C202"/>
    <x v="2"/>
    <s v="B2"/>
    <x v="2"/>
    <x v="0"/>
    <n v="12865"/>
    <m/>
    <m/>
    <n v="13000"/>
    <x v="43"/>
    <s v="Below Target"/>
  </r>
  <r>
    <s v="S1069"/>
    <s v="Rohit Joshi"/>
    <s v="C202"/>
    <x v="2"/>
    <s v="B3"/>
    <x v="2"/>
    <x v="2"/>
    <n v="13024"/>
    <m/>
    <m/>
    <n v="13000"/>
    <x v="27"/>
    <s v="Target Achieved"/>
  </r>
  <r>
    <s v="S1070"/>
    <s v="Karan Singh"/>
    <s v="C201"/>
    <x v="0"/>
    <s v="B1"/>
    <x v="0"/>
    <x v="0"/>
    <n v="12720"/>
    <s v="DISC15"/>
    <m/>
    <n v="14000"/>
    <x v="44"/>
    <s v="Below Target"/>
  </r>
  <r>
    <s v="S1071"/>
    <s v="Aarav Gupta"/>
    <s v="C202"/>
    <x v="2"/>
    <s v="B1"/>
    <x v="0"/>
    <x v="0"/>
    <n v="14282"/>
    <m/>
    <m/>
    <n v="13000"/>
    <x v="45"/>
    <s v="Target Achieved"/>
  </r>
  <r>
    <s v="S1072"/>
    <s v="Manish Gupta"/>
    <s v="C203"/>
    <x v="1"/>
    <s v="B2"/>
    <x v="2"/>
    <x v="1"/>
    <n v="18653"/>
    <s v="DISC15"/>
    <m/>
    <n v="17000"/>
    <x v="13"/>
    <s v="Target Achieved"/>
  </r>
  <r>
    <s v="S1073"/>
    <s v="Meera Gupta"/>
    <s v="C204"/>
    <x v="3"/>
    <s v="B1"/>
    <x v="2"/>
    <x v="2"/>
    <n v="8843"/>
    <s v="DISC30"/>
    <n v="0.3"/>
    <n v="9000"/>
    <x v="46"/>
    <s v="Below Target"/>
  </r>
  <r>
    <s v="S1074"/>
    <s v="Sneha Nair"/>
    <s v="C203"/>
    <x v="1"/>
    <s v="B3"/>
    <x v="0"/>
    <x v="1"/>
    <n v="15979"/>
    <s v="DISC30"/>
    <n v="0.3"/>
    <n v="17000"/>
    <x v="22"/>
    <s v="Below Target"/>
  </r>
  <r>
    <s v="S1075"/>
    <s v="Riya Desai"/>
    <s v="C203"/>
    <x v="1"/>
    <s v="B1"/>
    <x v="0"/>
    <x v="2"/>
    <n v="16309"/>
    <s v="DISC15"/>
    <m/>
    <n v="17000"/>
    <x v="14"/>
    <s v="Below Target"/>
  </r>
  <r>
    <s v="S1076"/>
    <s v="Karan Mehta"/>
    <s v="C202"/>
    <x v="2"/>
    <s v="B2"/>
    <x v="2"/>
    <x v="0"/>
    <n v="13893"/>
    <s v="DISC20"/>
    <n v="0.2"/>
    <n v="13000"/>
    <x v="11"/>
    <s v="Target Achieved"/>
  </r>
  <r>
    <s v="S1077"/>
    <s v="Rahul Verma"/>
    <s v="C203"/>
    <x v="1"/>
    <s v="B3"/>
    <x v="0"/>
    <x v="2"/>
    <n v="15255"/>
    <s v="DISC20"/>
    <n v="0.2"/>
    <n v="17000"/>
    <x v="10"/>
    <s v="Below Target"/>
  </r>
  <r>
    <s v="S1078"/>
    <s v="Rahul Verma"/>
    <s v="C201"/>
    <x v="0"/>
    <s v="B3"/>
    <x v="0"/>
    <x v="2"/>
    <n v="12024"/>
    <s v="DISC30"/>
    <n v="0.3"/>
    <n v="14000"/>
    <x v="47"/>
    <s v="Below Target"/>
  </r>
  <r>
    <s v="S1079"/>
    <s v="Dev Verma"/>
    <s v="C204"/>
    <x v="3"/>
    <s v="B3"/>
    <x v="2"/>
    <x v="1"/>
    <n v="9236"/>
    <s v="DISC15"/>
    <m/>
    <n v="9000"/>
    <x v="48"/>
    <s v="Target Achieved"/>
  </r>
  <r>
    <s v="S1080"/>
    <s v="Sneha Iyer"/>
    <s v="C202"/>
    <x v="2"/>
    <s v="B2"/>
    <x v="0"/>
    <x v="2"/>
    <n v="11118"/>
    <m/>
    <m/>
    <n v="13000"/>
    <x v="40"/>
    <s v="Below Target"/>
  </r>
  <r>
    <s v="S1081"/>
    <s v="Rohit Singh"/>
    <s v="C204"/>
    <x v="3"/>
    <s v="B3"/>
    <x v="1"/>
    <x v="2"/>
    <n v="10766"/>
    <s v="DISC20"/>
    <n v="0.2"/>
    <n v="9000"/>
    <x v="33"/>
    <s v="Target Achieved"/>
  </r>
  <r>
    <s v="S1082"/>
    <s v="Manish Kulkarni"/>
    <s v="C204"/>
    <x v="3"/>
    <s v="B3"/>
    <x v="2"/>
    <x v="1"/>
    <n v="7111"/>
    <s v="DISC10"/>
    <n v="0.1"/>
    <n v="9000"/>
    <x v="49"/>
    <s v="Below Target"/>
  </r>
  <r>
    <s v="S1083"/>
    <s v="Rahul Mehta"/>
    <s v="C204"/>
    <x v="3"/>
    <s v="B1"/>
    <x v="1"/>
    <x v="2"/>
    <n v="8552"/>
    <s v="DISC30"/>
    <n v="0.3"/>
    <n v="9000"/>
    <x v="1"/>
    <s v="Below Target"/>
  </r>
  <r>
    <s v="S1084"/>
    <s v="Neha Jain"/>
    <s v="C203"/>
    <x v="1"/>
    <s v="B2"/>
    <x v="0"/>
    <x v="2"/>
    <n v="16033"/>
    <s v="DISC10"/>
    <n v="0.1"/>
    <n v="17000"/>
    <x v="30"/>
    <s v="Below Target"/>
  </r>
  <r>
    <s v="S1085"/>
    <s v="Aarav Desai"/>
    <s v="C201"/>
    <x v="0"/>
    <s v="B2"/>
    <x v="1"/>
    <x v="1"/>
    <n v="12281"/>
    <s v="DISC10"/>
    <n v="0.1"/>
    <n v="14000"/>
    <x v="46"/>
    <s v="Below Target"/>
  </r>
  <r>
    <s v="S1086"/>
    <s v="Aarav Patil"/>
    <s v="C202"/>
    <x v="2"/>
    <s v="B1"/>
    <x v="2"/>
    <x v="0"/>
    <n v="11977"/>
    <s v="DISC20"/>
    <n v="0.2"/>
    <n v="13000"/>
    <x v="30"/>
    <s v="Below Target"/>
  </r>
  <r>
    <s v="S1087"/>
    <s v="Rohit Shah"/>
    <s v="C202"/>
    <x v="2"/>
    <s v="B2"/>
    <x v="2"/>
    <x v="2"/>
    <n v="14141"/>
    <s v="DISC30"/>
    <n v="0.3"/>
    <n v="13000"/>
    <x v="9"/>
    <s v="Target Achieved"/>
  </r>
  <r>
    <s v="S1088"/>
    <s v="Kavita Joshi"/>
    <s v="C201"/>
    <x v="0"/>
    <s v="B1"/>
    <x v="0"/>
    <x v="0"/>
    <n v="14370"/>
    <s v="DISC10"/>
    <n v="0.1"/>
    <n v="14000"/>
    <x v="5"/>
    <s v="Target Achieved"/>
  </r>
  <r>
    <s v="S1089"/>
    <s v="Aditya Joshi"/>
    <s v="C204"/>
    <x v="3"/>
    <s v="B2"/>
    <x v="2"/>
    <x v="0"/>
    <n v="7311"/>
    <s v="DISC15"/>
    <m/>
    <n v="9000"/>
    <x v="8"/>
    <s v="Below Target"/>
  </r>
  <r>
    <s v="S1090"/>
    <s v="Meera Singh"/>
    <s v="C202"/>
    <x v="2"/>
    <s v="B1"/>
    <x v="2"/>
    <x v="2"/>
    <n v="14482"/>
    <s v="DISC15"/>
    <m/>
    <n v="13000"/>
    <x v="50"/>
    <s v="Target Achieved"/>
  </r>
  <r>
    <s v="S1091"/>
    <s v="Riya Patel"/>
    <s v="C201"/>
    <x v="0"/>
    <s v="B2"/>
    <x v="2"/>
    <x v="2"/>
    <n v="14709"/>
    <s v="DISC30"/>
    <n v="0.3"/>
    <n v="14000"/>
    <x v="11"/>
    <s v="Target Achieved"/>
  </r>
  <r>
    <s v="S1092"/>
    <s v="Manish Singh"/>
    <s v="C203"/>
    <x v="1"/>
    <s v="B1"/>
    <x v="0"/>
    <x v="2"/>
    <n v="15432"/>
    <m/>
    <m/>
    <n v="17000"/>
    <x v="51"/>
    <s v="Below Target"/>
  </r>
  <r>
    <s v="S1093"/>
    <s v="Rohit Nair"/>
    <s v="C204"/>
    <x v="3"/>
    <s v="B3"/>
    <x v="1"/>
    <x v="2"/>
    <n v="7721"/>
    <s v="DISC15"/>
    <m/>
    <n v="9000"/>
    <x v="49"/>
    <s v="Below Target"/>
  </r>
  <r>
    <s v="S1094"/>
    <s v="Aditya Joshi"/>
    <s v="C204"/>
    <x v="3"/>
    <s v="B2"/>
    <x v="0"/>
    <x v="1"/>
    <n v="9426"/>
    <s v="DISC30"/>
    <n v="0.3"/>
    <n v="9000"/>
    <x v="31"/>
    <s v="Target Achieved"/>
  </r>
  <r>
    <s v="S1095"/>
    <s v="Meera Patil"/>
    <s v="C201"/>
    <x v="0"/>
    <s v="B2"/>
    <x v="0"/>
    <x v="0"/>
    <n v="15073"/>
    <m/>
    <m/>
    <n v="14000"/>
    <x v="52"/>
    <s v="Target Achieved"/>
  </r>
  <r>
    <s v="S1096"/>
    <s v="Kavita Singh"/>
    <s v="C204"/>
    <x v="3"/>
    <s v="B2"/>
    <x v="1"/>
    <x v="2"/>
    <n v="10485"/>
    <s v="DISC30"/>
    <n v="0.3"/>
    <n v="9000"/>
    <x v="53"/>
    <s v="Target Achieved"/>
  </r>
  <r>
    <s v="S1097"/>
    <s v="Neha Patil"/>
    <s v="C203"/>
    <x v="1"/>
    <s v="B2"/>
    <x v="0"/>
    <x v="2"/>
    <n v="18605"/>
    <s v="DISC15"/>
    <m/>
    <n v="17000"/>
    <x v="8"/>
    <s v="Target Achieved"/>
  </r>
  <r>
    <s v="S1098"/>
    <s v="Kunal Rao"/>
    <s v="C201"/>
    <x v="0"/>
    <s v="B3"/>
    <x v="1"/>
    <x v="0"/>
    <n v="12988"/>
    <m/>
    <m/>
    <n v="14000"/>
    <x v="20"/>
    <s v="Below Target"/>
  </r>
  <r>
    <s v="S1099"/>
    <s v="Manish Patel"/>
    <s v="C202"/>
    <x v="2"/>
    <s v="B3"/>
    <x v="0"/>
    <x v="1"/>
    <n v="13915"/>
    <m/>
    <m/>
    <n v="13000"/>
    <x v="22"/>
    <s v="Target Achieved"/>
  </r>
  <r>
    <s v="S1100"/>
    <s v="Dev Kulkarni"/>
    <s v="C201"/>
    <x v="0"/>
    <s v="B2"/>
    <x v="1"/>
    <x v="2"/>
    <n v="14833"/>
    <s v="DISC20"/>
    <n v="0.2"/>
    <n v="14000"/>
    <x v="47"/>
    <s v="Target Achieved"/>
  </r>
  <r>
    <s v="S1101"/>
    <s v="Rohit Joshi"/>
    <s v="C203"/>
    <x v="1"/>
    <s v="B2"/>
    <x v="2"/>
    <x v="1"/>
    <n v="16408"/>
    <m/>
    <m/>
    <n v="17000"/>
    <x v="0"/>
    <s v="Below Target"/>
  </r>
  <r>
    <s v="S1102"/>
    <s v="Manish Jain"/>
    <s v="C203"/>
    <x v="1"/>
    <s v="B3"/>
    <x v="0"/>
    <x v="2"/>
    <n v="16255"/>
    <s v="DISC30"/>
    <n v="0.3"/>
    <n v="17000"/>
    <x v="24"/>
    <s v="Below Target"/>
  </r>
  <r>
    <s v="S1103"/>
    <s v="Riya Desai"/>
    <s v="C202"/>
    <x v="2"/>
    <s v="B2"/>
    <x v="1"/>
    <x v="1"/>
    <n v="13194"/>
    <s v="DISC20"/>
    <n v="0.2"/>
    <n v="13000"/>
    <x v="19"/>
    <s v="Target Achieved"/>
  </r>
  <r>
    <s v="S1104"/>
    <s v="Sneha Desai"/>
    <s v="C204"/>
    <x v="3"/>
    <s v="B2"/>
    <x v="2"/>
    <x v="1"/>
    <n v="11000"/>
    <s v="DISC15"/>
    <m/>
    <n v="9000"/>
    <x v="15"/>
    <s v="Target Achieved"/>
  </r>
  <r>
    <s v="S1105"/>
    <s v="Aditya Shah"/>
    <s v="C202"/>
    <x v="2"/>
    <s v="B2"/>
    <x v="1"/>
    <x v="2"/>
    <n v="11734"/>
    <s v="DISC30"/>
    <n v="0.3"/>
    <n v="13000"/>
    <x v="54"/>
    <s v="Below Target"/>
  </r>
  <r>
    <s v="S1106"/>
    <s v="Anjali Gupta"/>
    <s v="C202"/>
    <x v="2"/>
    <s v="B2"/>
    <x v="1"/>
    <x v="0"/>
    <n v="13266"/>
    <s v="DISC30"/>
    <n v="0.3"/>
    <n v="13000"/>
    <x v="8"/>
    <s v="Target Achieved"/>
  </r>
  <r>
    <s v="S1107"/>
    <s v="Karan Singh"/>
    <s v="C204"/>
    <x v="3"/>
    <s v="B1"/>
    <x v="1"/>
    <x v="1"/>
    <n v="8164"/>
    <m/>
    <m/>
    <n v="9000"/>
    <x v="30"/>
    <s v="Below Target"/>
  </r>
  <r>
    <s v="S1108"/>
    <s v="Neha Jain"/>
    <s v="C202"/>
    <x v="2"/>
    <s v="B1"/>
    <x v="0"/>
    <x v="2"/>
    <n v="11467"/>
    <s v="DISC10"/>
    <n v="0.1"/>
    <n v="13000"/>
    <x v="32"/>
    <s v="Below Target"/>
  </r>
  <r>
    <s v="S1109"/>
    <s v="Neha Shah"/>
    <s v="C201"/>
    <x v="0"/>
    <s v="B1"/>
    <x v="1"/>
    <x v="1"/>
    <n v="15887"/>
    <s v="DISC30"/>
    <n v="0.3"/>
    <n v="14000"/>
    <x v="14"/>
    <s v="Target Achieved"/>
  </r>
  <r>
    <s v="S1110"/>
    <s v="Sneha Shah"/>
    <s v="C204"/>
    <x v="3"/>
    <s v="B3"/>
    <x v="2"/>
    <x v="1"/>
    <n v="7924"/>
    <s v="DISC15"/>
    <m/>
    <n v="9000"/>
    <x v="7"/>
    <s v="Below Target"/>
  </r>
  <r>
    <s v="S1111"/>
    <s v="Neha Iyer"/>
    <s v="C203"/>
    <x v="1"/>
    <s v="B3"/>
    <x v="0"/>
    <x v="2"/>
    <n v="17329"/>
    <s v="DISC15"/>
    <m/>
    <n v="17000"/>
    <x v="55"/>
    <s v="Target Achieved"/>
  </r>
  <r>
    <s v="S1112"/>
    <s v="Kavita Desai"/>
    <s v="C201"/>
    <x v="0"/>
    <s v="B1"/>
    <x v="2"/>
    <x v="0"/>
    <n v="13083"/>
    <s v="DISC10"/>
    <n v="0.1"/>
    <n v="14000"/>
    <x v="9"/>
    <s v="Below Target"/>
  </r>
  <r>
    <s v="S1113"/>
    <s v="Sneha Mehta"/>
    <s v="C201"/>
    <x v="0"/>
    <s v="B1"/>
    <x v="1"/>
    <x v="2"/>
    <n v="13845"/>
    <s v="DISC15"/>
    <m/>
    <n v="14000"/>
    <x v="30"/>
    <s v="Below Target"/>
  </r>
  <r>
    <s v="S1114"/>
    <s v="Aditya Kulkarni"/>
    <s v="C202"/>
    <x v="2"/>
    <s v="B2"/>
    <x v="2"/>
    <x v="2"/>
    <n v="13879"/>
    <m/>
    <m/>
    <n v="13000"/>
    <x v="11"/>
    <s v="Target Achieved"/>
  </r>
  <r>
    <s v="S1115"/>
    <s v="Rohit Patil"/>
    <s v="C203"/>
    <x v="1"/>
    <s v="B3"/>
    <x v="2"/>
    <x v="1"/>
    <n v="18292"/>
    <s v="DISC20"/>
    <n v="0.2"/>
    <n v="17000"/>
    <x v="13"/>
    <s v="Target Achieved"/>
  </r>
  <r>
    <s v="S1116"/>
    <s v="Riya Gupta"/>
    <s v="C202"/>
    <x v="2"/>
    <s v="B3"/>
    <x v="1"/>
    <x v="2"/>
    <n v="14385"/>
    <s v="DISC20"/>
    <n v="0.2"/>
    <n v="13000"/>
    <x v="11"/>
    <s v="Target Achieved"/>
  </r>
  <r>
    <s v="S1117"/>
    <s v="Aarav Mehta"/>
    <s v="C203"/>
    <x v="1"/>
    <s v="B3"/>
    <x v="2"/>
    <x v="1"/>
    <n v="18773"/>
    <s v="DISC30"/>
    <n v="0.3"/>
    <n v="17000"/>
    <x v="22"/>
    <s v="Target Achieved"/>
  </r>
  <r>
    <s v="S1118"/>
    <s v="Riya Iyer"/>
    <s v="C203"/>
    <x v="1"/>
    <s v="B3"/>
    <x v="0"/>
    <x v="2"/>
    <n v="17049"/>
    <s v="DISC15"/>
    <m/>
    <n v="17000"/>
    <x v="20"/>
    <s v="Target Achieved"/>
  </r>
  <r>
    <s v="S1119"/>
    <s v="Neha Shah"/>
    <s v="C201"/>
    <x v="0"/>
    <s v="B2"/>
    <x v="2"/>
    <x v="2"/>
    <n v="14472"/>
    <s v="DISC30"/>
    <n v="0.3"/>
    <n v="14000"/>
    <x v="23"/>
    <s v="Target Achieved"/>
  </r>
  <r>
    <s v="S1120"/>
    <s v="Riya Patil"/>
    <s v="C201"/>
    <x v="0"/>
    <s v="B3"/>
    <x v="0"/>
    <x v="1"/>
    <n v="12164"/>
    <s v="DISC20"/>
    <n v="0.2"/>
    <n v="14000"/>
    <x v="30"/>
    <s v="Below Target"/>
  </r>
  <r>
    <s v="S1121"/>
    <s v="Manish Singh"/>
    <s v="C204"/>
    <x v="3"/>
    <s v="B2"/>
    <x v="1"/>
    <x v="1"/>
    <n v="8785"/>
    <m/>
    <m/>
    <n v="9000"/>
    <x v="14"/>
    <s v="Below Target"/>
  </r>
  <r>
    <s v="S1122"/>
    <s v="Neha Jain"/>
    <s v="C204"/>
    <x v="3"/>
    <s v="B2"/>
    <x v="0"/>
    <x v="1"/>
    <n v="7428"/>
    <s v="DISC20"/>
    <n v="0.2"/>
    <n v="9000"/>
    <x v="40"/>
    <s v="Below Target"/>
  </r>
  <r>
    <s v="S1123"/>
    <s v="Rahul Desai"/>
    <s v="C204"/>
    <x v="3"/>
    <s v="B2"/>
    <x v="2"/>
    <x v="2"/>
    <n v="10332"/>
    <s v="DISC15"/>
    <m/>
    <n v="9000"/>
    <x v="34"/>
    <s v="Target Achieved"/>
  </r>
  <r>
    <s v="S1124"/>
    <s v="Neha Shah"/>
    <s v="C203"/>
    <x v="1"/>
    <s v="B2"/>
    <x v="0"/>
    <x v="0"/>
    <n v="18973"/>
    <m/>
    <m/>
    <n v="17000"/>
    <x v="16"/>
    <s v="Target Achieved"/>
  </r>
  <r>
    <s v="S1125"/>
    <s v="Manish Nair"/>
    <s v="C201"/>
    <x v="0"/>
    <s v="B3"/>
    <x v="2"/>
    <x v="2"/>
    <n v="13692"/>
    <s v="DISC10"/>
    <n v="0.1"/>
    <n v="14000"/>
    <x v="19"/>
    <s v="Below Target"/>
  </r>
  <r>
    <s v="S1126"/>
    <s v="Manish Jain"/>
    <s v="C204"/>
    <x v="3"/>
    <s v="B3"/>
    <x v="0"/>
    <x v="0"/>
    <n v="7833"/>
    <s v="DISC30"/>
    <n v="0.3"/>
    <n v="9000"/>
    <x v="35"/>
    <s v="Below Target"/>
  </r>
  <r>
    <s v="S1127"/>
    <s v="Karan Rao"/>
    <s v="C204"/>
    <x v="3"/>
    <s v="B3"/>
    <x v="0"/>
    <x v="0"/>
    <n v="7118"/>
    <s v="DISC15"/>
    <m/>
    <n v="9000"/>
    <x v="50"/>
    <s v="Below Target"/>
  </r>
  <r>
    <s v="S1128"/>
    <s v="Sneha Desai"/>
    <s v="C202"/>
    <x v="2"/>
    <s v="B2"/>
    <x v="2"/>
    <x v="0"/>
    <n v="13262"/>
    <m/>
    <m/>
    <n v="13000"/>
    <x v="14"/>
    <s v="Target Achieved"/>
  </r>
  <r>
    <s v="S1129"/>
    <s v="Sneha Nair"/>
    <s v="C201"/>
    <x v="0"/>
    <s v="B2"/>
    <x v="1"/>
    <x v="1"/>
    <n v="15408"/>
    <s v="DISC20"/>
    <n v="0.2"/>
    <n v="14000"/>
    <x v="20"/>
    <s v="Target Achieved"/>
  </r>
  <r>
    <s v="S1130"/>
    <s v="Kunal Desai"/>
    <s v="C203"/>
    <x v="1"/>
    <s v="B3"/>
    <x v="2"/>
    <x v="2"/>
    <n v="16701"/>
    <m/>
    <m/>
    <n v="17000"/>
    <x v="30"/>
    <s v="Below Target"/>
  </r>
  <r>
    <s v="S1131"/>
    <s v="Sneha Iyer"/>
    <s v="C202"/>
    <x v="2"/>
    <s v="B2"/>
    <x v="1"/>
    <x v="1"/>
    <n v="13081"/>
    <s v="DISC20"/>
    <n v="0.2"/>
    <n v="13000"/>
    <x v="16"/>
    <s v="Target Achieved"/>
  </r>
  <r>
    <s v="S1132"/>
    <s v="Riya Rao"/>
    <s v="C204"/>
    <x v="3"/>
    <s v="B2"/>
    <x v="2"/>
    <x v="2"/>
    <n v="10360"/>
    <s v="DISC10"/>
    <n v="0.1"/>
    <n v="9000"/>
    <x v="28"/>
    <s v="Target Achieved"/>
  </r>
  <r>
    <s v="S1133"/>
    <s v="Anjali Rao"/>
    <s v="C204"/>
    <x v="3"/>
    <s v="B1"/>
    <x v="0"/>
    <x v="1"/>
    <n v="8983"/>
    <s v="DISC30"/>
    <n v="0.3"/>
    <n v="9000"/>
    <x v="40"/>
    <s v="Below Target"/>
  </r>
  <r>
    <s v="S1134"/>
    <s v="Manish Patel"/>
    <s v="C204"/>
    <x v="3"/>
    <s v="B2"/>
    <x v="0"/>
    <x v="0"/>
    <n v="9856"/>
    <s v="DISC20"/>
    <n v="0.2"/>
    <n v="9000"/>
    <x v="52"/>
    <s v="Target Achieved"/>
  </r>
  <r>
    <s v="S1135"/>
    <s v="Rahul Patil"/>
    <s v="C204"/>
    <x v="3"/>
    <s v="B1"/>
    <x v="0"/>
    <x v="1"/>
    <n v="8937"/>
    <m/>
    <m/>
    <n v="9000"/>
    <x v="7"/>
    <s v="Below Target"/>
  </r>
  <r>
    <s v="S1136"/>
    <s v="Rohit Patel"/>
    <s v="C202"/>
    <x v="2"/>
    <s v="B2"/>
    <x v="1"/>
    <x v="0"/>
    <n v="13057"/>
    <s v="DISC15"/>
    <m/>
    <n v="13000"/>
    <x v="40"/>
    <s v="Target Achieved"/>
  </r>
  <r>
    <s v="S1137"/>
    <s v="Meera Shah"/>
    <s v="C204"/>
    <x v="3"/>
    <s v="B1"/>
    <x v="2"/>
    <x v="2"/>
    <n v="7062"/>
    <s v="DISC20"/>
    <n v="0.2"/>
    <n v="9000"/>
    <x v="2"/>
    <s v="Below Target"/>
  </r>
  <r>
    <s v="S1138"/>
    <s v="Meera Singh"/>
    <s v="C202"/>
    <x v="2"/>
    <s v="B1"/>
    <x v="0"/>
    <x v="2"/>
    <n v="12386"/>
    <s v="DISC15"/>
    <m/>
    <n v="13000"/>
    <x v="8"/>
    <s v="Below Target"/>
  </r>
  <r>
    <s v="S1139"/>
    <s v="Rahul Singh"/>
    <s v="C201"/>
    <x v="0"/>
    <s v="B2"/>
    <x v="2"/>
    <x v="1"/>
    <n v="13556"/>
    <s v="DISC30"/>
    <n v="0.3"/>
    <n v="14000"/>
    <x v="56"/>
    <s v="Below Target"/>
  </r>
  <r>
    <s v="S1140"/>
    <s v="Anjali Patel"/>
    <s v="C204"/>
    <x v="3"/>
    <s v="B3"/>
    <x v="1"/>
    <x v="1"/>
    <n v="7280"/>
    <s v="DISC20"/>
    <n v="0.2"/>
    <n v="9000"/>
    <x v="56"/>
    <s v="Below Target"/>
  </r>
  <r>
    <s v="S1141"/>
    <s v="Rohit Rao"/>
    <s v="C202"/>
    <x v="2"/>
    <s v="B3"/>
    <x v="1"/>
    <x v="2"/>
    <n v="11403"/>
    <s v="DISC10"/>
    <n v="0.1"/>
    <n v="13000"/>
    <x v="22"/>
    <s v="Below Target"/>
  </r>
  <r>
    <s v="S1142"/>
    <s v="Karan Desai"/>
    <s v="C203"/>
    <x v="1"/>
    <s v="B1"/>
    <x v="1"/>
    <x v="2"/>
    <n v="18261"/>
    <s v="DISC10"/>
    <n v="0.1"/>
    <n v="17000"/>
    <x v="28"/>
    <s v="Target Achieved"/>
  </r>
  <r>
    <s v="S1143"/>
    <s v="Pooja Jain"/>
    <s v="C204"/>
    <x v="3"/>
    <s v="B1"/>
    <x v="1"/>
    <x v="1"/>
    <n v="8687"/>
    <s v="DISC15"/>
    <m/>
    <n v="9000"/>
    <x v="26"/>
    <s v="Below Target"/>
  </r>
  <r>
    <s v="S1144"/>
    <s v="Dev Mehta"/>
    <s v="C202"/>
    <x v="2"/>
    <s v="B1"/>
    <x v="1"/>
    <x v="1"/>
    <n v="14566"/>
    <m/>
    <m/>
    <n v="13000"/>
    <x v="33"/>
    <s v="Target Achieved"/>
  </r>
  <r>
    <s v="S1145"/>
    <s v="Rohit Patil"/>
    <s v="C204"/>
    <x v="3"/>
    <s v="B3"/>
    <x v="1"/>
    <x v="0"/>
    <n v="8888"/>
    <s v="DISC30"/>
    <n v="0.3"/>
    <n v="9000"/>
    <x v="44"/>
    <s v="Below Target"/>
  </r>
  <r>
    <s v="S1146"/>
    <s v="Aditya Singh"/>
    <s v="C201"/>
    <x v="0"/>
    <s v="B2"/>
    <x v="0"/>
    <x v="1"/>
    <n v="14238"/>
    <s v="DISC20"/>
    <n v="0.2"/>
    <n v="14000"/>
    <x v="11"/>
    <s v="Target Achieved"/>
  </r>
  <r>
    <s v="S1147"/>
    <s v="Neha Jain"/>
    <s v="C203"/>
    <x v="1"/>
    <s v="B3"/>
    <x v="0"/>
    <x v="1"/>
    <n v="16024"/>
    <m/>
    <m/>
    <n v="17000"/>
    <x v="4"/>
    <s v="Below Target"/>
  </r>
  <r>
    <s v="S1148"/>
    <s v="Aditya Patil"/>
    <s v="C204"/>
    <x v="3"/>
    <s v="B2"/>
    <x v="1"/>
    <x v="0"/>
    <n v="8562"/>
    <s v="DISC15"/>
    <m/>
    <n v="9000"/>
    <x v="37"/>
    <s v="Below Target"/>
  </r>
  <r>
    <s v="S1149"/>
    <s v="Kavita Rao"/>
    <s v="C203"/>
    <x v="1"/>
    <s v="B1"/>
    <x v="2"/>
    <x v="2"/>
    <n v="16124"/>
    <s v="DISC10"/>
    <n v="0.1"/>
    <n v="17000"/>
    <x v="52"/>
    <s v="Below Target"/>
  </r>
  <r>
    <s v="S1150"/>
    <s v="Meera Singh"/>
    <s v="C201"/>
    <x v="0"/>
    <s v="B3"/>
    <x v="2"/>
    <x v="2"/>
    <n v="15411"/>
    <s v="DISC30"/>
    <n v="0.3"/>
    <n v="14000"/>
    <x v="57"/>
    <s v="Target Achieved"/>
  </r>
  <r>
    <s v="S1151"/>
    <s v="Dev Patil"/>
    <s v="C203"/>
    <x v="1"/>
    <s v="B1"/>
    <x v="2"/>
    <x v="0"/>
    <n v="17543"/>
    <s v="DISC30"/>
    <n v="0.3"/>
    <n v="17000"/>
    <x v="26"/>
    <s v="Target Achieved"/>
  </r>
  <r>
    <s v="S1152"/>
    <s v="Dev Desai"/>
    <s v="C202"/>
    <x v="2"/>
    <s v="B3"/>
    <x v="1"/>
    <x v="1"/>
    <n v="13647"/>
    <s v="DISC10"/>
    <n v="0.1"/>
    <n v="13000"/>
    <x v="47"/>
    <s v="Target Achieved"/>
  </r>
  <r>
    <s v="S1153"/>
    <s v="Dev Iyer"/>
    <s v="C201"/>
    <x v="0"/>
    <s v="B3"/>
    <x v="0"/>
    <x v="1"/>
    <n v="12538"/>
    <s v="DISC10"/>
    <n v="0.1"/>
    <n v="14000"/>
    <x v="58"/>
    <s v="Below Target"/>
  </r>
  <r>
    <s v="S1154"/>
    <s v="Aditya Jain"/>
    <s v="C204"/>
    <x v="3"/>
    <s v="B1"/>
    <x v="1"/>
    <x v="0"/>
    <n v="10221"/>
    <s v="DISC15"/>
    <m/>
    <n v="9000"/>
    <x v="43"/>
    <s v="Target Achieved"/>
  </r>
  <r>
    <s v="S1155"/>
    <s v="Pooja Gupta"/>
    <s v="C203"/>
    <x v="1"/>
    <s v="B1"/>
    <x v="0"/>
    <x v="2"/>
    <n v="18962"/>
    <s v="DISC30"/>
    <n v="0.3"/>
    <n v="17000"/>
    <x v="0"/>
    <s v="Target Achieved"/>
  </r>
  <r>
    <s v="S1156"/>
    <s v="Meera Jain"/>
    <s v="C201"/>
    <x v="0"/>
    <s v="B2"/>
    <x v="1"/>
    <x v="0"/>
    <n v="15089"/>
    <s v="DISC20"/>
    <n v="0.2"/>
    <n v="14000"/>
    <x v="16"/>
    <s v="Target Achieved"/>
  </r>
  <r>
    <s v="S1157"/>
    <s v="Rohit Desai"/>
    <s v="C204"/>
    <x v="3"/>
    <s v="B3"/>
    <x v="0"/>
    <x v="0"/>
    <n v="10238"/>
    <m/>
    <m/>
    <n v="9000"/>
    <x v="54"/>
    <s v="Target Achieved"/>
  </r>
  <r>
    <s v="S1158"/>
    <s v="Aditya Gupta"/>
    <s v="C201"/>
    <x v="0"/>
    <s v="B2"/>
    <x v="0"/>
    <x v="1"/>
    <n v="15067"/>
    <s v="DISC30"/>
    <n v="0.3"/>
    <n v="14000"/>
    <x v="29"/>
    <s v="Target Achieved"/>
  </r>
  <r>
    <s v="S1159"/>
    <s v="Rahul Nair"/>
    <s v="C203"/>
    <x v="1"/>
    <s v="B1"/>
    <x v="2"/>
    <x v="0"/>
    <n v="16931"/>
    <s v="DISC10"/>
    <n v="0.1"/>
    <n v="17000"/>
    <x v="33"/>
    <s v="Below Target"/>
  </r>
  <r>
    <s v="S1160"/>
    <s v="Kunal Gupta"/>
    <s v="C203"/>
    <x v="1"/>
    <s v="B3"/>
    <x v="1"/>
    <x v="1"/>
    <n v="15258"/>
    <m/>
    <m/>
    <n v="17000"/>
    <x v="58"/>
    <s v="Below Target"/>
  </r>
  <r>
    <s v="S1161"/>
    <s v="Anjali Rao"/>
    <s v="C204"/>
    <x v="3"/>
    <s v="B1"/>
    <x v="1"/>
    <x v="0"/>
    <n v="10875"/>
    <s v="DISC10"/>
    <n v="0.1"/>
    <n v="9000"/>
    <x v="47"/>
    <s v="Target Achieved"/>
  </r>
  <r>
    <s v="S1162"/>
    <s v="Neha Shah"/>
    <s v="C201"/>
    <x v="0"/>
    <s v="B1"/>
    <x v="2"/>
    <x v="0"/>
    <n v="13591"/>
    <m/>
    <m/>
    <n v="14000"/>
    <x v="51"/>
    <s v="Below Target"/>
  </r>
  <r>
    <s v="S1163"/>
    <s v="Rohit Desai"/>
    <s v="C204"/>
    <x v="3"/>
    <s v="B3"/>
    <x v="2"/>
    <x v="1"/>
    <n v="7632"/>
    <m/>
    <m/>
    <n v="9000"/>
    <x v="49"/>
    <s v="Below Target"/>
  </r>
  <r>
    <s v="S1164"/>
    <s v="Riya Nair"/>
    <s v="C204"/>
    <x v="3"/>
    <s v="B3"/>
    <x v="0"/>
    <x v="2"/>
    <n v="7134"/>
    <s v="DISC30"/>
    <n v="0.3"/>
    <n v="9000"/>
    <x v="1"/>
    <s v="Below Target"/>
  </r>
  <r>
    <s v="S1165"/>
    <s v="Neha Iyer"/>
    <s v="C202"/>
    <x v="2"/>
    <s v="B2"/>
    <x v="1"/>
    <x v="1"/>
    <n v="12504"/>
    <s v="DISC15"/>
    <m/>
    <n v="13000"/>
    <x v="48"/>
    <s v="Below Target"/>
  </r>
  <r>
    <s v="S1166"/>
    <s v="Rohit Jain"/>
    <s v="C201"/>
    <x v="0"/>
    <s v="B2"/>
    <x v="0"/>
    <x v="0"/>
    <n v="15965"/>
    <s v="DISC10"/>
    <n v="0.1"/>
    <n v="14000"/>
    <x v="21"/>
    <s v="Target Achieved"/>
  </r>
  <r>
    <s v="S1167"/>
    <s v="Meera Nair"/>
    <s v="C204"/>
    <x v="3"/>
    <s v="B1"/>
    <x v="2"/>
    <x v="0"/>
    <n v="9628"/>
    <s v="DISC15"/>
    <m/>
    <n v="9000"/>
    <x v="23"/>
    <s v="Target Achieved"/>
  </r>
  <r>
    <s v="S1168"/>
    <s v="Aarav Patel"/>
    <s v="C203"/>
    <x v="1"/>
    <s v="B1"/>
    <x v="1"/>
    <x v="1"/>
    <n v="15840"/>
    <s v="DISC10"/>
    <n v="0.1"/>
    <n v="17000"/>
    <x v="10"/>
    <s v="Below Target"/>
  </r>
  <r>
    <s v="S1169"/>
    <s v="Dev Gupta"/>
    <s v="C202"/>
    <x v="2"/>
    <s v="B3"/>
    <x v="1"/>
    <x v="0"/>
    <n v="12345"/>
    <s v="DISC20"/>
    <n v="0.2"/>
    <n v="13000"/>
    <x v="38"/>
    <s v="Below Target"/>
  </r>
  <r>
    <s v="S1170"/>
    <s v="Kunal Joshi"/>
    <s v="C201"/>
    <x v="0"/>
    <s v="B2"/>
    <x v="1"/>
    <x v="0"/>
    <n v="14212"/>
    <s v="DISC30"/>
    <n v="0.3"/>
    <n v="14000"/>
    <x v="50"/>
    <s v="Target Achieved"/>
  </r>
  <r>
    <s v="S1171"/>
    <s v="Karan Shah"/>
    <s v="C201"/>
    <x v="0"/>
    <s v="B1"/>
    <x v="1"/>
    <x v="2"/>
    <n v="15235"/>
    <s v="DISC20"/>
    <n v="0.2"/>
    <n v="14000"/>
    <x v="29"/>
    <s v="Target Achieved"/>
  </r>
  <r>
    <s v="S1172"/>
    <s v="Pooja Kulkarni"/>
    <s v="C202"/>
    <x v="2"/>
    <s v="B2"/>
    <x v="1"/>
    <x v="0"/>
    <n v="14038"/>
    <m/>
    <m/>
    <n v="13000"/>
    <x v="42"/>
    <s v="Target Achieved"/>
  </r>
  <r>
    <s v="S1173"/>
    <s v="Riya Desai"/>
    <s v="C201"/>
    <x v="0"/>
    <s v="B2"/>
    <x v="0"/>
    <x v="2"/>
    <n v="14102"/>
    <s v="DISC15"/>
    <m/>
    <n v="14000"/>
    <x v="25"/>
    <s v="Target Achieved"/>
  </r>
  <r>
    <s v="S1174"/>
    <s v="Neha Gupta"/>
    <s v="C202"/>
    <x v="2"/>
    <s v="B3"/>
    <x v="1"/>
    <x v="1"/>
    <n v="14208"/>
    <s v="DISC15"/>
    <m/>
    <n v="13000"/>
    <x v="47"/>
    <s v="Target Achieved"/>
  </r>
  <r>
    <s v="S1175"/>
    <s v="Neha Singh"/>
    <s v="C201"/>
    <x v="0"/>
    <s v="B1"/>
    <x v="0"/>
    <x v="2"/>
    <n v="13746"/>
    <s v="DISC10"/>
    <n v="0.1"/>
    <n v="14000"/>
    <x v="20"/>
    <s v="Below Target"/>
  </r>
  <r>
    <s v="S1176"/>
    <s v="Anjali Iyer"/>
    <s v="C201"/>
    <x v="0"/>
    <s v="B1"/>
    <x v="0"/>
    <x v="1"/>
    <n v="12607"/>
    <s v="DISC10"/>
    <n v="0.1"/>
    <n v="14000"/>
    <x v="59"/>
    <s v="Below Target"/>
  </r>
  <r>
    <s v="S1177"/>
    <s v="Aditya Joshi"/>
    <s v="C203"/>
    <x v="1"/>
    <s v="B2"/>
    <x v="2"/>
    <x v="1"/>
    <n v="16207"/>
    <m/>
    <m/>
    <n v="17000"/>
    <x v="18"/>
    <s v="Below Target"/>
  </r>
  <r>
    <s v="S1178"/>
    <s v="Kavita Verma"/>
    <s v="C201"/>
    <x v="0"/>
    <s v="B3"/>
    <x v="1"/>
    <x v="1"/>
    <n v="14666"/>
    <s v="DISC15"/>
    <m/>
    <n v="14000"/>
    <x v="60"/>
    <s v="Target Achieved"/>
  </r>
  <r>
    <s v="S1179"/>
    <s v="Meera Patil"/>
    <s v="C204"/>
    <x v="3"/>
    <s v="B2"/>
    <x v="1"/>
    <x v="2"/>
    <n v="8388"/>
    <m/>
    <m/>
    <n v="9000"/>
    <x v="32"/>
    <s v="Below Target"/>
  </r>
  <r>
    <s v="S1180"/>
    <s v="Rahul Desai"/>
    <s v="C201"/>
    <x v="0"/>
    <s v="B2"/>
    <x v="0"/>
    <x v="2"/>
    <n v="14724"/>
    <s v="DISC30"/>
    <n v="0.3"/>
    <n v="14000"/>
    <x v="51"/>
    <s v="Target Achieved"/>
  </r>
  <r>
    <s v="S1181"/>
    <s v="Karan Singh"/>
    <s v="C204"/>
    <x v="3"/>
    <s v="B1"/>
    <x v="1"/>
    <x v="0"/>
    <n v="7381"/>
    <m/>
    <m/>
    <n v="9000"/>
    <x v="25"/>
    <s v="Below Target"/>
  </r>
  <r>
    <s v="S1182"/>
    <s v="Anjali Desai"/>
    <s v="C203"/>
    <x v="1"/>
    <s v="B1"/>
    <x v="2"/>
    <x v="0"/>
    <n v="17402"/>
    <s v="DISC15"/>
    <m/>
    <n v="17000"/>
    <x v="35"/>
    <s v="Target Achieved"/>
  </r>
  <r>
    <s v="S1183"/>
    <s v="Pooja Singh"/>
    <s v="C201"/>
    <x v="0"/>
    <s v="B2"/>
    <x v="0"/>
    <x v="1"/>
    <n v="15854"/>
    <m/>
    <m/>
    <n v="14000"/>
    <x v="16"/>
    <s v="Target Achieved"/>
  </r>
  <r>
    <s v="S1184"/>
    <s v="Kunal Desai"/>
    <s v="C201"/>
    <x v="0"/>
    <s v="B2"/>
    <x v="2"/>
    <x v="2"/>
    <n v="13440"/>
    <s v="DISC10"/>
    <n v="0.1"/>
    <n v="14000"/>
    <x v="52"/>
    <s v="Below Target"/>
  </r>
  <r>
    <s v="S1185"/>
    <s v="Manish Patil"/>
    <s v="C202"/>
    <x v="2"/>
    <s v="B3"/>
    <x v="0"/>
    <x v="0"/>
    <n v="14470"/>
    <s v="DISC10"/>
    <n v="0.1"/>
    <n v="13000"/>
    <x v="37"/>
    <s v="Target Achieved"/>
  </r>
  <r>
    <s v="S1186"/>
    <s v="Meera Gupta"/>
    <s v="C203"/>
    <x v="1"/>
    <s v="B1"/>
    <x v="0"/>
    <x v="1"/>
    <n v="15926"/>
    <m/>
    <m/>
    <n v="17000"/>
    <x v="4"/>
    <s v="Below Target"/>
  </r>
  <r>
    <s v="S1187"/>
    <s v="Manish Patel"/>
    <s v="C201"/>
    <x v="0"/>
    <s v="B3"/>
    <x v="2"/>
    <x v="1"/>
    <n v="13095"/>
    <s v="DISC10"/>
    <n v="0.1"/>
    <n v="14000"/>
    <x v="53"/>
    <s v="Below Target"/>
  </r>
  <r>
    <s v="S1188"/>
    <s v="Aditya Desai"/>
    <s v="C203"/>
    <x v="1"/>
    <s v="B2"/>
    <x v="0"/>
    <x v="0"/>
    <n v="15743"/>
    <s v="DISC20"/>
    <n v="0.2"/>
    <n v="17000"/>
    <x v="52"/>
    <s v="Below Target"/>
  </r>
  <r>
    <s v="S1189"/>
    <s v="Rohit Verma"/>
    <s v="C201"/>
    <x v="0"/>
    <s v="B1"/>
    <x v="2"/>
    <x v="1"/>
    <n v="15980"/>
    <s v="DISC10"/>
    <n v="0.1"/>
    <n v="14000"/>
    <x v="14"/>
    <s v="Target Achieved"/>
  </r>
  <r>
    <s v="S1190"/>
    <s v="Anjali Gupta"/>
    <s v="C202"/>
    <x v="2"/>
    <s v="B2"/>
    <x v="0"/>
    <x v="2"/>
    <n v="12396"/>
    <s v="DISC20"/>
    <n v="0.2"/>
    <n v="13000"/>
    <x v="51"/>
    <s v="Below Target"/>
  </r>
  <r>
    <s v="S1191"/>
    <s v="Aditya Desai"/>
    <s v="C203"/>
    <x v="1"/>
    <s v="B3"/>
    <x v="2"/>
    <x v="0"/>
    <n v="18618"/>
    <s v="DISC10"/>
    <n v="0.1"/>
    <n v="17000"/>
    <x v="12"/>
    <s v="Target Achieved"/>
  </r>
  <r>
    <s v="S1192"/>
    <s v="Karan Patel"/>
    <s v="C201"/>
    <x v="0"/>
    <s v="B3"/>
    <x v="1"/>
    <x v="2"/>
    <n v="13814"/>
    <m/>
    <m/>
    <n v="14000"/>
    <x v="20"/>
    <s v="Below Target"/>
  </r>
  <r>
    <s v="S1193"/>
    <s v="Kavita Iyer"/>
    <s v="C204"/>
    <x v="3"/>
    <s v="B2"/>
    <x v="1"/>
    <x v="1"/>
    <n v="7466"/>
    <s v="DISC30"/>
    <n v="0.3"/>
    <n v="9000"/>
    <x v="13"/>
    <s v="Below Target"/>
  </r>
  <r>
    <s v="S1194"/>
    <s v="Riya Rao"/>
    <s v="C204"/>
    <x v="3"/>
    <s v="B3"/>
    <x v="2"/>
    <x v="2"/>
    <n v="7186"/>
    <s v="DISC20"/>
    <n v="0.2"/>
    <n v="9000"/>
    <x v="32"/>
    <s v="Below Target"/>
  </r>
  <r>
    <s v="S1195"/>
    <s v="Kavita Kulkarni"/>
    <s v="C201"/>
    <x v="0"/>
    <s v="B1"/>
    <x v="0"/>
    <x v="0"/>
    <n v="15143"/>
    <s v="DISC20"/>
    <n v="0.2"/>
    <n v="14000"/>
    <x v="46"/>
    <s v="Target Achieved"/>
  </r>
  <r>
    <s v="S1196"/>
    <s v="Aditya Rao"/>
    <s v="C203"/>
    <x v="1"/>
    <s v="B1"/>
    <x v="1"/>
    <x v="2"/>
    <n v="18059"/>
    <m/>
    <m/>
    <n v="17000"/>
    <x v="53"/>
    <s v="Target Achieved"/>
  </r>
  <r>
    <s v="S1197"/>
    <s v="Karan Verma"/>
    <s v="C202"/>
    <x v="2"/>
    <s v="B3"/>
    <x v="2"/>
    <x v="1"/>
    <n v="14302"/>
    <s v="DISC30"/>
    <n v="0.3"/>
    <n v="13000"/>
    <x v="11"/>
    <s v="Target Achieved"/>
  </r>
  <r>
    <s v="S1198"/>
    <s v="Rahul Nair"/>
    <s v="C201"/>
    <x v="0"/>
    <s v="B2"/>
    <x v="1"/>
    <x v="2"/>
    <n v="15773"/>
    <s v="DISC10"/>
    <n v="0.1"/>
    <n v="14000"/>
    <x v="16"/>
    <s v="Target Achieved"/>
  </r>
  <r>
    <s v="S1199"/>
    <s v="Pooja Joshi"/>
    <s v="C204"/>
    <x v="3"/>
    <s v="B3"/>
    <x v="0"/>
    <x v="1"/>
    <n v="9622"/>
    <m/>
    <m/>
    <n v="9000"/>
    <x v="28"/>
    <s v="Target Achieved"/>
  </r>
  <r>
    <s v="S1200"/>
    <s v="Riya Verma"/>
    <s v="C201"/>
    <x v="0"/>
    <s v="B2"/>
    <x v="1"/>
    <x v="1"/>
    <n v="13884"/>
    <s v="DISC30"/>
    <n v="0.3"/>
    <n v="14000"/>
    <x v="14"/>
    <s v="Below Target"/>
  </r>
  <r>
    <s v="S1201"/>
    <s v="Rahul Nair"/>
    <s v="C201"/>
    <x v="0"/>
    <s v="B1"/>
    <x v="0"/>
    <x v="1"/>
    <n v="13640"/>
    <s v="DISC15"/>
    <m/>
    <n v="14000"/>
    <x v="14"/>
    <s v="Below Target"/>
  </r>
  <r>
    <s v="S1202"/>
    <s v="Rahul Nair"/>
    <s v="C203"/>
    <x v="1"/>
    <s v="B3"/>
    <x v="0"/>
    <x v="0"/>
    <n v="16364"/>
    <s v="DISC20"/>
    <n v="0.2"/>
    <n v="17000"/>
    <x v="11"/>
    <s v="Below Target"/>
  </r>
  <r>
    <s v="S1203"/>
    <s v="Manish Singh"/>
    <s v="C201"/>
    <x v="0"/>
    <s v="B3"/>
    <x v="2"/>
    <x v="0"/>
    <n v="15710"/>
    <s v="DISC30"/>
    <n v="0.3"/>
    <n v="14000"/>
    <x v="37"/>
    <s v="Target Achieved"/>
  </r>
  <r>
    <s v="S1204"/>
    <s v="Anjali Nair"/>
    <s v="C202"/>
    <x v="2"/>
    <s v="B1"/>
    <x v="1"/>
    <x v="0"/>
    <n v="12048"/>
    <s v="DISC20"/>
    <n v="0.2"/>
    <n v="13000"/>
    <x v="53"/>
    <s v="Below Target"/>
  </r>
  <r>
    <s v="S1205"/>
    <s v="Kavita Mehta"/>
    <s v="C201"/>
    <x v="0"/>
    <s v="B1"/>
    <x v="2"/>
    <x v="2"/>
    <n v="13900"/>
    <s v="DISC15"/>
    <m/>
    <n v="14000"/>
    <x v="46"/>
    <s v="Below Target"/>
  </r>
  <r>
    <s v="S1206"/>
    <s v="Kavita Iyer"/>
    <s v="C203"/>
    <x v="1"/>
    <s v="B3"/>
    <x v="0"/>
    <x v="0"/>
    <n v="16801"/>
    <s v="DISC10"/>
    <n v="0.1"/>
    <n v="17000"/>
    <x v="30"/>
    <s v="Below Target"/>
  </r>
  <r>
    <s v="S1207"/>
    <s v="Neha Singh"/>
    <s v="C203"/>
    <x v="1"/>
    <s v="B2"/>
    <x v="2"/>
    <x v="0"/>
    <n v="16441"/>
    <s v="DISC15"/>
    <m/>
    <n v="17000"/>
    <x v="11"/>
    <s v="Below Target"/>
  </r>
  <r>
    <s v="S1208"/>
    <s v="Aditya Iyer"/>
    <s v="C204"/>
    <x v="3"/>
    <s v="B1"/>
    <x v="1"/>
    <x v="2"/>
    <n v="10406"/>
    <s v="DISC30"/>
    <n v="0.3"/>
    <n v="9000"/>
    <x v="11"/>
    <s v="Target Achieved"/>
  </r>
  <r>
    <s v="S1209"/>
    <s v="Rohit Nair"/>
    <s v="C201"/>
    <x v="0"/>
    <s v="B3"/>
    <x v="2"/>
    <x v="1"/>
    <n v="13574"/>
    <m/>
    <m/>
    <n v="14000"/>
    <x v="29"/>
    <s v="Below Target"/>
  </r>
  <r>
    <s v="S1210"/>
    <s v="Manish Patel"/>
    <s v="C201"/>
    <x v="0"/>
    <s v="B2"/>
    <x v="2"/>
    <x v="1"/>
    <n v="12771"/>
    <s v="DISC30"/>
    <n v="0.3"/>
    <n v="14000"/>
    <x v="15"/>
    <s v="Below Target"/>
  </r>
  <r>
    <s v="S1211"/>
    <s v="Neha Gupta"/>
    <s v="C202"/>
    <x v="2"/>
    <s v="B1"/>
    <x v="0"/>
    <x v="0"/>
    <n v="14321"/>
    <s v="DISC30"/>
    <n v="0.3"/>
    <n v="13000"/>
    <x v="6"/>
    <s v="Target Achieved"/>
  </r>
  <r>
    <s v="S1212"/>
    <s v="Riya Gupta"/>
    <s v="C202"/>
    <x v="2"/>
    <s v="B1"/>
    <x v="1"/>
    <x v="1"/>
    <n v="12793"/>
    <m/>
    <m/>
    <n v="13000"/>
    <x v="42"/>
    <s v="Below Target"/>
  </r>
  <r>
    <s v="S1213"/>
    <s v="Manish Joshi"/>
    <s v="C202"/>
    <x v="2"/>
    <s v="B2"/>
    <x v="0"/>
    <x v="2"/>
    <n v="12586"/>
    <m/>
    <m/>
    <n v="13000"/>
    <x v="57"/>
    <s v="Below Target"/>
  </r>
  <r>
    <s v="S1214"/>
    <s v="Pooja Singh"/>
    <s v="C201"/>
    <x v="0"/>
    <s v="B3"/>
    <x v="2"/>
    <x v="2"/>
    <n v="12269"/>
    <s v="DISC30"/>
    <n v="0.3"/>
    <n v="14000"/>
    <x v="25"/>
    <s v="Below Target"/>
  </r>
  <r>
    <s v="S1215"/>
    <s v="Manish Singh"/>
    <s v="C204"/>
    <x v="3"/>
    <s v="B2"/>
    <x v="0"/>
    <x v="1"/>
    <n v="10488"/>
    <s v="DISC15"/>
    <m/>
    <n v="9000"/>
    <x v="16"/>
    <s v="Target Achieved"/>
  </r>
  <r>
    <s v="S1216"/>
    <s v="Karan Jain"/>
    <s v="C201"/>
    <x v="0"/>
    <s v="B3"/>
    <x v="2"/>
    <x v="0"/>
    <n v="15754"/>
    <s v="DISC30"/>
    <n v="0.3"/>
    <n v="14000"/>
    <x v="47"/>
    <s v="Target Achieved"/>
  </r>
  <r>
    <s v="S1217"/>
    <s v="Rohit Desai"/>
    <s v="C204"/>
    <x v="3"/>
    <s v="B1"/>
    <x v="2"/>
    <x v="1"/>
    <n v="10842"/>
    <s v="DISC10"/>
    <n v="0.1"/>
    <n v="9000"/>
    <x v="47"/>
    <s v="Target Achieved"/>
  </r>
  <r>
    <s v="S1218"/>
    <s v="Manish Verma"/>
    <s v="C203"/>
    <x v="1"/>
    <s v="B1"/>
    <x v="2"/>
    <x v="1"/>
    <n v="18395"/>
    <s v="DISC15"/>
    <m/>
    <n v="17000"/>
    <x v="14"/>
    <s v="Target Achieved"/>
  </r>
  <r>
    <s v="S1219"/>
    <s v="Rohit Singh"/>
    <s v="C204"/>
    <x v="3"/>
    <s v="B3"/>
    <x v="0"/>
    <x v="0"/>
    <n v="8485"/>
    <s v="DISC30"/>
    <n v="0.3"/>
    <n v="9000"/>
    <x v="53"/>
    <s v="Below Target"/>
  </r>
  <r>
    <s v="S1220"/>
    <s v="Sneha Jain"/>
    <s v="C204"/>
    <x v="3"/>
    <s v="B1"/>
    <x v="1"/>
    <x v="0"/>
    <n v="7634"/>
    <s v="DISC10"/>
    <n v="0.1"/>
    <n v="9000"/>
    <x v="28"/>
    <s v="Below Target"/>
  </r>
  <r>
    <s v="S1221"/>
    <s v="Meera Patel"/>
    <s v="C201"/>
    <x v="0"/>
    <s v="B3"/>
    <x v="2"/>
    <x v="1"/>
    <n v="15619"/>
    <s v="DISC15"/>
    <m/>
    <n v="14000"/>
    <x v="34"/>
    <s v="Target Achieved"/>
  </r>
  <r>
    <s v="S1222"/>
    <s v="Rohit Jain"/>
    <s v="C202"/>
    <x v="2"/>
    <s v="B3"/>
    <x v="0"/>
    <x v="0"/>
    <n v="11664"/>
    <s v="DISC20"/>
    <n v="0.2"/>
    <n v="13000"/>
    <x v="10"/>
    <s v="Below Target"/>
  </r>
  <r>
    <s v="S1223"/>
    <s v="Anjali Patel"/>
    <s v="C202"/>
    <x v="2"/>
    <s v="B3"/>
    <x v="0"/>
    <x v="0"/>
    <n v="12682"/>
    <s v="DISC30"/>
    <n v="0.3"/>
    <n v="13000"/>
    <x v="26"/>
    <s v="Below Target"/>
  </r>
  <r>
    <s v="S1224"/>
    <s v="Anjali Patil"/>
    <s v="C204"/>
    <x v="3"/>
    <s v="B3"/>
    <x v="0"/>
    <x v="1"/>
    <n v="10210"/>
    <m/>
    <m/>
    <n v="9000"/>
    <x v="24"/>
    <s v="Target Achieved"/>
  </r>
  <r>
    <s v="S1225"/>
    <s v="Manish Patil"/>
    <s v="C203"/>
    <x v="1"/>
    <s v="B2"/>
    <x v="1"/>
    <x v="2"/>
    <n v="17778"/>
    <s v="DISC15"/>
    <m/>
    <n v="17000"/>
    <x v="22"/>
    <s v="Target Achieved"/>
  </r>
  <r>
    <s v="S1226"/>
    <s v="Neha Patel"/>
    <s v="C203"/>
    <x v="1"/>
    <s v="B2"/>
    <x v="2"/>
    <x v="1"/>
    <n v="16714"/>
    <s v="DISC20"/>
    <n v="0.2"/>
    <n v="17000"/>
    <x v="39"/>
    <s v="Below Target"/>
  </r>
  <r>
    <s v="S1227"/>
    <s v="Sneha Patel"/>
    <s v="C202"/>
    <x v="2"/>
    <s v="B2"/>
    <x v="1"/>
    <x v="1"/>
    <n v="12968"/>
    <s v="DISC30"/>
    <n v="0.3"/>
    <n v="13000"/>
    <x v="35"/>
    <s v="Below Target"/>
  </r>
  <r>
    <s v="S1228"/>
    <s v="Kunal Shah"/>
    <s v="C201"/>
    <x v="0"/>
    <s v="B2"/>
    <x v="1"/>
    <x v="0"/>
    <n v="13117"/>
    <m/>
    <m/>
    <n v="14000"/>
    <x v="48"/>
    <s v="Below Target"/>
  </r>
  <r>
    <s v="S1229"/>
    <s v="Manish Mehta"/>
    <s v="C204"/>
    <x v="3"/>
    <s v="B1"/>
    <x v="1"/>
    <x v="2"/>
    <n v="10623"/>
    <s v="DISC30"/>
    <n v="0.3"/>
    <n v="9000"/>
    <x v="5"/>
    <s v="Target Achieved"/>
  </r>
  <r>
    <s v="S1230"/>
    <s v="Aarav Verma"/>
    <s v="C201"/>
    <x v="0"/>
    <s v="B2"/>
    <x v="2"/>
    <x v="2"/>
    <n v="12965"/>
    <m/>
    <m/>
    <n v="14000"/>
    <x v="14"/>
    <s v="Below Target"/>
  </r>
  <r>
    <s v="S1231"/>
    <s v="Pooja Patil"/>
    <s v="C201"/>
    <x v="0"/>
    <s v="B2"/>
    <x v="1"/>
    <x v="1"/>
    <n v="14662"/>
    <s v="DISC30"/>
    <n v="0.3"/>
    <n v="14000"/>
    <x v="38"/>
    <s v="Target Achieved"/>
  </r>
  <r>
    <s v="S1232"/>
    <s v="Karan Mehta"/>
    <s v="C201"/>
    <x v="0"/>
    <s v="B2"/>
    <x v="0"/>
    <x v="1"/>
    <n v="15404"/>
    <s v="DISC20"/>
    <n v="0.2"/>
    <n v="14000"/>
    <x v="46"/>
    <s v="Target Achieved"/>
  </r>
  <r>
    <s v="S1233"/>
    <s v="Anjali Iyer"/>
    <s v="C204"/>
    <x v="3"/>
    <s v="B3"/>
    <x v="1"/>
    <x v="0"/>
    <n v="7077"/>
    <s v="DISC30"/>
    <n v="0.3"/>
    <n v="9000"/>
    <x v="1"/>
    <s v="Below Target"/>
  </r>
  <r>
    <s v="S1234"/>
    <s v="Meera Mehta"/>
    <s v="C204"/>
    <x v="3"/>
    <s v="B1"/>
    <x v="0"/>
    <x v="0"/>
    <n v="8233"/>
    <s v="DISC10"/>
    <n v="0.1"/>
    <n v="9000"/>
    <x v="55"/>
    <s v="Below Target"/>
  </r>
  <r>
    <s v="S1235"/>
    <s v="Sneha Verma"/>
    <s v="C204"/>
    <x v="3"/>
    <s v="B1"/>
    <x v="1"/>
    <x v="2"/>
    <n v="9444"/>
    <s v="DISC15"/>
    <m/>
    <n v="9000"/>
    <x v="23"/>
    <s v="Target Achieved"/>
  </r>
  <r>
    <s v="S1236"/>
    <s v="Rohit Gupta"/>
    <s v="C202"/>
    <x v="2"/>
    <s v="B3"/>
    <x v="1"/>
    <x v="2"/>
    <n v="12758"/>
    <s v="DISC10"/>
    <n v="0.1"/>
    <n v="13000"/>
    <x v="33"/>
    <s v="Below Target"/>
  </r>
  <r>
    <s v="S1237"/>
    <s v="Pooja Patil"/>
    <s v="C204"/>
    <x v="3"/>
    <s v="B1"/>
    <x v="2"/>
    <x v="1"/>
    <n v="7350"/>
    <s v="DISC15"/>
    <m/>
    <n v="9000"/>
    <x v="51"/>
    <s v="Below Target"/>
  </r>
  <r>
    <s v="S1238"/>
    <s v="Riya Gupta"/>
    <s v="C201"/>
    <x v="0"/>
    <s v="B2"/>
    <x v="0"/>
    <x v="0"/>
    <n v="14603"/>
    <m/>
    <m/>
    <n v="14000"/>
    <x v="51"/>
    <s v="Target Achieved"/>
  </r>
  <r>
    <s v="S1239"/>
    <s v="Aditya Desai"/>
    <s v="C201"/>
    <x v="0"/>
    <s v="B2"/>
    <x v="1"/>
    <x v="2"/>
    <n v="12987"/>
    <s v="DISC10"/>
    <n v="0.1"/>
    <n v="14000"/>
    <x v="57"/>
    <s v="Below Target"/>
  </r>
  <r>
    <s v="S1240"/>
    <s v="Kavita Desai"/>
    <s v="C203"/>
    <x v="1"/>
    <s v="B1"/>
    <x v="1"/>
    <x v="2"/>
    <n v="17236"/>
    <s v="DISC30"/>
    <n v="0.3"/>
    <n v="17000"/>
    <x v="39"/>
    <s v="Target Achieved"/>
  </r>
  <r>
    <s v="S1241"/>
    <s v="Rohit Mehta"/>
    <s v="C204"/>
    <x v="3"/>
    <s v="B3"/>
    <x v="0"/>
    <x v="1"/>
    <n v="7746"/>
    <s v="DISC20"/>
    <n v="0.2"/>
    <n v="9000"/>
    <x v="11"/>
    <s v="Below Target"/>
  </r>
  <r>
    <s v="S1242"/>
    <s v="Anjali Patel"/>
    <s v="C204"/>
    <x v="3"/>
    <s v="B1"/>
    <x v="0"/>
    <x v="0"/>
    <n v="7179"/>
    <s v="DISC20"/>
    <n v="0.2"/>
    <n v="9000"/>
    <x v="43"/>
    <s v="Below Target"/>
  </r>
  <r>
    <s v="S1243"/>
    <s v="Aarav Jain"/>
    <s v="C203"/>
    <x v="1"/>
    <s v="B3"/>
    <x v="0"/>
    <x v="1"/>
    <n v="16939"/>
    <s v="DISC30"/>
    <n v="0.3"/>
    <n v="17000"/>
    <x v="34"/>
    <s v="Below Target"/>
  </r>
  <r>
    <s v="S1244"/>
    <s v="Dev Singh"/>
    <s v="C202"/>
    <x v="2"/>
    <s v="B2"/>
    <x v="0"/>
    <x v="0"/>
    <n v="14546"/>
    <s v="DISC30"/>
    <n v="0.3"/>
    <n v="13000"/>
    <x v="3"/>
    <s v="Target Achieved"/>
  </r>
  <r>
    <s v="S1245"/>
    <s v="Riya Patel"/>
    <s v="C203"/>
    <x v="1"/>
    <s v="B2"/>
    <x v="0"/>
    <x v="1"/>
    <n v="16801"/>
    <m/>
    <m/>
    <n v="17000"/>
    <x v="40"/>
    <s v="Below Target"/>
  </r>
  <r>
    <s v="S1246"/>
    <s v="Karan Iyer"/>
    <s v="C204"/>
    <x v="3"/>
    <s v="B2"/>
    <x v="2"/>
    <x v="2"/>
    <n v="10281"/>
    <s v="DISC10"/>
    <n v="0.1"/>
    <n v="9000"/>
    <x v="60"/>
    <s v="Target Achieved"/>
  </r>
  <r>
    <s v="S1247"/>
    <s v="Rahul Shah"/>
    <s v="C204"/>
    <x v="3"/>
    <s v="B3"/>
    <x v="1"/>
    <x v="1"/>
    <n v="8203"/>
    <s v="DISC30"/>
    <n v="0.3"/>
    <n v="9000"/>
    <x v="25"/>
    <s v="Below Target"/>
  </r>
  <r>
    <s v="S1248"/>
    <s v="Riya Jain"/>
    <s v="C203"/>
    <x v="1"/>
    <s v="B2"/>
    <x v="0"/>
    <x v="1"/>
    <n v="17939"/>
    <m/>
    <m/>
    <n v="17000"/>
    <x v="9"/>
    <s v="Target Achieved"/>
  </r>
  <r>
    <s v="S1249"/>
    <s v="Anjali Iyer"/>
    <s v="C203"/>
    <x v="1"/>
    <s v="B2"/>
    <x v="1"/>
    <x v="1"/>
    <n v="18563"/>
    <s v="DISC30"/>
    <n v="0.3"/>
    <n v="17000"/>
    <x v="33"/>
    <s v="Target Achieved"/>
  </r>
  <r>
    <s v="S1250"/>
    <s v="Rahul Rao"/>
    <s v="C201"/>
    <x v="0"/>
    <s v="B1"/>
    <x v="2"/>
    <x v="1"/>
    <n v="13663"/>
    <s v="DISC30"/>
    <n v="0.3"/>
    <n v="14000"/>
    <x v="18"/>
    <s v="Below Target"/>
  </r>
  <r>
    <s v="S1251"/>
    <s v="Dev Desai"/>
    <s v="C202"/>
    <x v="2"/>
    <s v="B1"/>
    <x v="1"/>
    <x v="1"/>
    <n v="13777"/>
    <m/>
    <m/>
    <n v="13000"/>
    <x v="34"/>
    <s v="Target Achieved"/>
  </r>
  <r>
    <s v="S1252"/>
    <s v="Karan Shah"/>
    <s v="C202"/>
    <x v="2"/>
    <s v="B3"/>
    <x v="0"/>
    <x v="2"/>
    <n v="12568"/>
    <s v="DISC15"/>
    <m/>
    <n v="13000"/>
    <x v="34"/>
    <s v="Below Target"/>
  </r>
  <r>
    <s v="S1253"/>
    <s v="Kavita Mehta"/>
    <s v="C204"/>
    <x v="3"/>
    <s v="B2"/>
    <x v="0"/>
    <x v="2"/>
    <n v="10125"/>
    <s v="DISC10"/>
    <n v="0.1"/>
    <n v="9000"/>
    <x v="52"/>
    <s v="Target Achieved"/>
  </r>
  <r>
    <s v="S1254"/>
    <s v="Karan Gupta"/>
    <s v="C203"/>
    <x v="1"/>
    <s v="B2"/>
    <x v="0"/>
    <x v="1"/>
    <n v="16141"/>
    <s v="DISC20"/>
    <n v="0.2"/>
    <n v="17000"/>
    <x v="17"/>
    <s v="Below Target"/>
  </r>
  <r>
    <s v="S1255"/>
    <s v="Aarav Desai"/>
    <s v="C202"/>
    <x v="2"/>
    <s v="B2"/>
    <x v="2"/>
    <x v="2"/>
    <n v="14741"/>
    <s v="DISC15"/>
    <m/>
    <n v="13000"/>
    <x v="17"/>
    <s v="Target Achieved"/>
  </r>
  <r>
    <s v="S1256"/>
    <s v="Aditya Patel"/>
    <s v="C203"/>
    <x v="1"/>
    <s v="B3"/>
    <x v="0"/>
    <x v="0"/>
    <n v="17506"/>
    <s v="DISC30"/>
    <n v="0.3"/>
    <n v="17000"/>
    <x v="8"/>
    <s v="Target Achieved"/>
  </r>
  <r>
    <s v="S1257"/>
    <s v="Kunal Iyer"/>
    <s v="C202"/>
    <x v="2"/>
    <s v="B1"/>
    <x v="1"/>
    <x v="0"/>
    <n v="12851"/>
    <s v="DISC20"/>
    <n v="0.2"/>
    <n v="13000"/>
    <x v="48"/>
    <s v="Below Target"/>
  </r>
  <r>
    <s v="S1258"/>
    <s v="Anjali Iyer"/>
    <s v="C201"/>
    <x v="0"/>
    <s v="B3"/>
    <x v="0"/>
    <x v="1"/>
    <n v="13423"/>
    <s v="DISC10"/>
    <n v="0.1"/>
    <n v="14000"/>
    <x v="35"/>
    <s v="Below Target"/>
  </r>
  <r>
    <s v="S1259"/>
    <s v="Manish Rao"/>
    <s v="C203"/>
    <x v="1"/>
    <s v="B1"/>
    <x v="2"/>
    <x v="1"/>
    <n v="18798"/>
    <s v="DISC20"/>
    <n v="0.2"/>
    <n v="17000"/>
    <x v="38"/>
    <s v="Target Achieved"/>
  </r>
  <r>
    <s v="S1260"/>
    <s v="Pooja Gupta"/>
    <s v="C202"/>
    <x v="2"/>
    <s v="B1"/>
    <x v="1"/>
    <x v="0"/>
    <n v="11969"/>
    <m/>
    <m/>
    <n v="13000"/>
    <x v="23"/>
    <s v="Below Target"/>
  </r>
  <r>
    <s v="S1261"/>
    <s v="Pooja Gupta"/>
    <s v="C203"/>
    <x v="1"/>
    <s v="B2"/>
    <x v="2"/>
    <x v="0"/>
    <n v="17506"/>
    <s v="DISC10"/>
    <n v="0.1"/>
    <n v="17000"/>
    <x v="11"/>
    <s v="Target Achieved"/>
  </r>
  <r>
    <s v="S1262"/>
    <s v="Aditya Verma"/>
    <s v="C204"/>
    <x v="3"/>
    <s v="B3"/>
    <x v="0"/>
    <x v="2"/>
    <n v="10372"/>
    <s v="DISC15"/>
    <m/>
    <n v="9000"/>
    <x v="11"/>
    <s v="Target Achieved"/>
  </r>
  <r>
    <s v="S1263"/>
    <s v="Karan Jain"/>
    <s v="C201"/>
    <x v="0"/>
    <s v="B2"/>
    <x v="0"/>
    <x v="1"/>
    <n v="14119"/>
    <s v="DISC30"/>
    <n v="0.3"/>
    <n v="14000"/>
    <x v="59"/>
    <s v="Target Achieved"/>
  </r>
  <r>
    <s v="S1264"/>
    <s v="Kunal Nair"/>
    <s v="C202"/>
    <x v="2"/>
    <s v="B1"/>
    <x v="0"/>
    <x v="1"/>
    <n v="14730"/>
    <s v="DISC10"/>
    <n v="0.1"/>
    <n v="13000"/>
    <x v="10"/>
    <s v="Target Achieved"/>
  </r>
  <r>
    <s v="S1265"/>
    <s v="Riya Gupta"/>
    <s v="C202"/>
    <x v="2"/>
    <s v="B2"/>
    <x v="1"/>
    <x v="0"/>
    <n v="12321"/>
    <s v="DISC20"/>
    <n v="0.2"/>
    <n v="13000"/>
    <x v="37"/>
    <s v="Below Target"/>
  </r>
  <r>
    <s v="S1266"/>
    <s v="Manish Rao"/>
    <s v="C201"/>
    <x v="0"/>
    <s v="B2"/>
    <x v="1"/>
    <x v="1"/>
    <n v="15917"/>
    <s v="DISC15"/>
    <m/>
    <n v="14000"/>
    <x v="3"/>
    <s v="Target Achieved"/>
  </r>
  <r>
    <s v="S1267"/>
    <s v="Karan Singh"/>
    <s v="C203"/>
    <x v="1"/>
    <s v="B3"/>
    <x v="2"/>
    <x v="0"/>
    <n v="17058"/>
    <s v="DISC20"/>
    <n v="0.2"/>
    <n v="17000"/>
    <x v="29"/>
    <s v="Target Achieved"/>
  </r>
  <r>
    <s v="S1268"/>
    <s v="Kavita Mehta"/>
    <s v="C202"/>
    <x v="2"/>
    <s v="B3"/>
    <x v="2"/>
    <x v="1"/>
    <n v="14694"/>
    <s v="DISC15"/>
    <m/>
    <n v="13000"/>
    <x v="40"/>
    <s v="Target Achieved"/>
  </r>
  <r>
    <s v="S1269"/>
    <s v="Meera Joshi"/>
    <s v="C201"/>
    <x v="0"/>
    <s v="B1"/>
    <x v="1"/>
    <x v="0"/>
    <n v="15885"/>
    <s v="DISC15"/>
    <m/>
    <n v="14000"/>
    <x v="41"/>
    <s v="Target Achieved"/>
  </r>
  <r>
    <s v="S1270"/>
    <s v="Rohit Patil"/>
    <s v="C204"/>
    <x v="3"/>
    <s v="B3"/>
    <x v="2"/>
    <x v="0"/>
    <n v="9039"/>
    <s v="DISC15"/>
    <m/>
    <n v="9000"/>
    <x v="28"/>
    <s v="Target Achieved"/>
  </r>
  <r>
    <s v="S1271"/>
    <s v="Rohit Rao"/>
    <s v="C204"/>
    <x v="3"/>
    <s v="B1"/>
    <x v="2"/>
    <x v="2"/>
    <n v="8218"/>
    <m/>
    <m/>
    <n v="9000"/>
    <x v="11"/>
    <s v="Below Target"/>
  </r>
  <r>
    <s v="S1272"/>
    <s v="Anjali Kulkarni"/>
    <s v="C202"/>
    <x v="2"/>
    <s v="B2"/>
    <x v="0"/>
    <x v="2"/>
    <n v="12902"/>
    <s v="DISC20"/>
    <n v="0.2"/>
    <n v="13000"/>
    <x v="40"/>
    <s v="Below Target"/>
  </r>
  <r>
    <s v="S1273"/>
    <s v="Kavita Mehta"/>
    <s v="C203"/>
    <x v="1"/>
    <s v="B3"/>
    <x v="0"/>
    <x v="1"/>
    <n v="18525"/>
    <s v="DISC30"/>
    <n v="0.3"/>
    <n v="17000"/>
    <x v="32"/>
    <s v="Target Achieved"/>
  </r>
  <r>
    <s v="S1274"/>
    <s v="Karan Patel"/>
    <s v="C203"/>
    <x v="1"/>
    <s v="B3"/>
    <x v="2"/>
    <x v="0"/>
    <n v="16307"/>
    <s v="DISC20"/>
    <n v="0.2"/>
    <n v="17000"/>
    <x v="44"/>
    <s v="Below Target"/>
  </r>
  <r>
    <s v="S1275"/>
    <s v="Riya Rao"/>
    <s v="C204"/>
    <x v="3"/>
    <s v="B1"/>
    <x v="1"/>
    <x v="0"/>
    <n v="7207"/>
    <s v="DISC30"/>
    <n v="0.3"/>
    <n v="9000"/>
    <x v="21"/>
    <s v="Below Target"/>
  </r>
  <r>
    <s v="S1276"/>
    <s v="Rahul Nair"/>
    <s v="C204"/>
    <x v="3"/>
    <s v="B1"/>
    <x v="1"/>
    <x v="2"/>
    <n v="10824"/>
    <s v="DISC15"/>
    <m/>
    <n v="9000"/>
    <x v="60"/>
    <s v="Target Achieved"/>
  </r>
  <r>
    <s v="S1277"/>
    <s v="Pooja Patil"/>
    <s v="C202"/>
    <x v="2"/>
    <s v="B2"/>
    <x v="2"/>
    <x v="2"/>
    <n v="13042"/>
    <s v="DISC30"/>
    <n v="0.3"/>
    <n v="13000"/>
    <x v="20"/>
    <s v="Target Achieved"/>
  </r>
  <r>
    <s v="S1278"/>
    <s v="Aarav Shah"/>
    <s v="C204"/>
    <x v="3"/>
    <s v="B3"/>
    <x v="0"/>
    <x v="0"/>
    <n v="7881"/>
    <s v="DISC15"/>
    <m/>
    <n v="9000"/>
    <x v="37"/>
    <s v="Below Target"/>
  </r>
  <r>
    <s v="S1279"/>
    <s v="Aarav Kulkarni"/>
    <s v="C203"/>
    <x v="1"/>
    <s v="B2"/>
    <x v="2"/>
    <x v="1"/>
    <n v="17754"/>
    <m/>
    <m/>
    <n v="17000"/>
    <x v="28"/>
    <s v="Target Achieved"/>
  </r>
  <r>
    <s v="S1280"/>
    <s v="Manish Kulkarni"/>
    <s v="C201"/>
    <x v="0"/>
    <s v="B2"/>
    <x v="1"/>
    <x v="2"/>
    <n v="14979"/>
    <s v="DISC30"/>
    <n v="0.3"/>
    <n v="14000"/>
    <x v="46"/>
    <s v="Target Achieved"/>
  </r>
  <r>
    <s v="S1281"/>
    <s v="Rahul Jain"/>
    <s v="C201"/>
    <x v="0"/>
    <s v="B2"/>
    <x v="1"/>
    <x v="1"/>
    <n v="14301"/>
    <s v="DISC20"/>
    <n v="0.2"/>
    <n v="14000"/>
    <x v="51"/>
    <s v="Target Achieved"/>
  </r>
  <r>
    <s v="S1282"/>
    <s v="Manish Rao"/>
    <s v="C201"/>
    <x v="0"/>
    <s v="B2"/>
    <x v="2"/>
    <x v="2"/>
    <n v="15130"/>
    <s v="DISC15"/>
    <m/>
    <n v="14000"/>
    <x v="3"/>
    <s v="Target Achieved"/>
  </r>
  <r>
    <s v="S1283"/>
    <s v="Meera Joshi"/>
    <s v="C201"/>
    <x v="0"/>
    <s v="B1"/>
    <x v="1"/>
    <x v="2"/>
    <n v="13528"/>
    <s v="DISC30"/>
    <n v="0.3"/>
    <n v="14000"/>
    <x v="35"/>
    <s v="Below Target"/>
  </r>
  <r>
    <s v="S1284"/>
    <s v="Pooja Patel"/>
    <s v="C202"/>
    <x v="2"/>
    <s v="B1"/>
    <x v="2"/>
    <x v="1"/>
    <n v="12644"/>
    <s v="DISC15"/>
    <m/>
    <n v="13000"/>
    <x v="34"/>
    <s v="Below Target"/>
  </r>
  <r>
    <s v="S1285"/>
    <s v="Aarav Kulkarni"/>
    <s v="C202"/>
    <x v="2"/>
    <s v="B3"/>
    <x v="0"/>
    <x v="2"/>
    <n v="13127"/>
    <m/>
    <m/>
    <n v="13000"/>
    <x v="12"/>
    <s v="Target Achieved"/>
  </r>
  <r>
    <s v="S1286"/>
    <s v="Kavita Gupta"/>
    <s v="C202"/>
    <x v="2"/>
    <s v="B2"/>
    <x v="2"/>
    <x v="2"/>
    <n v="11665"/>
    <m/>
    <m/>
    <n v="13000"/>
    <x v="33"/>
    <s v="Below Target"/>
  </r>
  <r>
    <s v="S1287"/>
    <s v="Anjali Nair"/>
    <s v="C203"/>
    <x v="1"/>
    <s v="B3"/>
    <x v="0"/>
    <x v="1"/>
    <n v="18392"/>
    <s v="DISC15"/>
    <m/>
    <n v="17000"/>
    <x v="36"/>
    <s v="Target Achieved"/>
  </r>
  <r>
    <s v="S1288"/>
    <s v="Neha Desai"/>
    <s v="C203"/>
    <x v="1"/>
    <s v="B2"/>
    <x v="1"/>
    <x v="2"/>
    <n v="16356"/>
    <s v="DISC10"/>
    <n v="0.1"/>
    <n v="17000"/>
    <x v="2"/>
    <s v="Below Target"/>
  </r>
  <r>
    <s v="S1289"/>
    <s v="Kavita Rao"/>
    <s v="C201"/>
    <x v="0"/>
    <s v="B3"/>
    <x v="0"/>
    <x v="2"/>
    <n v="15961"/>
    <s v="DISC15"/>
    <m/>
    <n v="14000"/>
    <x v="52"/>
    <s v="Target Achieved"/>
  </r>
  <r>
    <s v="S1290"/>
    <s v="Sneha Desai"/>
    <s v="C201"/>
    <x v="0"/>
    <s v="B3"/>
    <x v="0"/>
    <x v="0"/>
    <n v="14147"/>
    <s v="DISC15"/>
    <m/>
    <n v="14000"/>
    <x v="57"/>
    <s v="Target Achieved"/>
  </r>
  <r>
    <s v="S1291"/>
    <s v="Meera Verma"/>
    <s v="C202"/>
    <x v="2"/>
    <s v="B3"/>
    <x v="1"/>
    <x v="0"/>
    <n v="13345"/>
    <s v="DISC10"/>
    <n v="0.1"/>
    <n v="13000"/>
    <x v="19"/>
    <s v="Target Achieved"/>
  </r>
  <r>
    <s v="S1292"/>
    <s v="Aarav Iyer"/>
    <s v="C203"/>
    <x v="1"/>
    <s v="B2"/>
    <x v="1"/>
    <x v="2"/>
    <n v="17828"/>
    <s v="DISC20"/>
    <n v="0.2"/>
    <n v="17000"/>
    <x v="2"/>
    <s v="Target Achieved"/>
  </r>
  <r>
    <s v="S1293"/>
    <s v="Manish Patel"/>
    <s v="C204"/>
    <x v="3"/>
    <s v="B3"/>
    <x v="2"/>
    <x v="0"/>
    <n v="9890"/>
    <s v="DISC20"/>
    <n v="0.2"/>
    <n v="9000"/>
    <x v="42"/>
    <s v="Target Achieved"/>
  </r>
  <r>
    <s v="S1294"/>
    <s v="Sneha Gupta"/>
    <s v="C203"/>
    <x v="1"/>
    <s v="B3"/>
    <x v="0"/>
    <x v="1"/>
    <n v="16543"/>
    <s v="DISC30"/>
    <n v="0.3"/>
    <n v="17000"/>
    <x v="53"/>
    <s v="Below Target"/>
  </r>
  <r>
    <s v="S1295"/>
    <s v="Neha Gupta"/>
    <s v="C203"/>
    <x v="1"/>
    <s v="B3"/>
    <x v="0"/>
    <x v="1"/>
    <n v="18162"/>
    <s v="DISC30"/>
    <n v="0.3"/>
    <n v="17000"/>
    <x v="33"/>
    <s v="Target Achieved"/>
  </r>
  <r>
    <s v="S1296"/>
    <s v="Neha Patil"/>
    <s v="C202"/>
    <x v="2"/>
    <s v="B2"/>
    <x v="2"/>
    <x v="2"/>
    <n v="11921"/>
    <s v="DISC30"/>
    <n v="0.3"/>
    <n v="13000"/>
    <x v="57"/>
    <s v="Below Target"/>
  </r>
  <r>
    <s v="S1297"/>
    <s v="Aditya Desai"/>
    <s v="C202"/>
    <x v="2"/>
    <s v="B3"/>
    <x v="2"/>
    <x v="2"/>
    <n v="12298"/>
    <m/>
    <m/>
    <n v="13000"/>
    <x v="37"/>
    <s v="Below Target"/>
  </r>
  <r>
    <s v="S1298"/>
    <s v="Manish Patel"/>
    <s v="C203"/>
    <x v="1"/>
    <s v="B2"/>
    <x v="1"/>
    <x v="1"/>
    <n v="17771"/>
    <s v="DISC15"/>
    <m/>
    <n v="17000"/>
    <x v="7"/>
    <s v="Target Achieved"/>
  </r>
  <r>
    <s v="S1299"/>
    <s v="Kunal Verma"/>
    <s v="C203"/>
    <x v="1"/>
    <s v="B1"/>
    <x v="0"/>
    <x v="0"/>
    <n v="16178"/>
    <s v="DISC10"/>
    <n v="0.1"/>
    <n v="17000"/>
    <x v="37"/>
    <s v="Below Target"/>
  </r>
  <r>
    <s v="S1300"/>
    <s v="Kunal Iyer"/>
    <s v="C203"/>
    <x v="1"/>
    <s v="B3"/>
    <x v="0"/>
    <x v="0"/>
    <n v="15827"/>
    <s v="DISC15"/>
    <m/>
    <n v="17000"/>
    <x v="3"/>
    <s v="Below Target"/>
  </r>
  <r>
    <s v="S1301"/>
    <s v="Kunal Gupta"/>
    <s v="C203"/>
    <x v="1"/>
    <s v="B1"/>
    <x v="1"/>
    <x v="1"/>
    <n v="18034"/>
    <s v="DISC15"/>
    <m/>
    <n v="17000"/>
    <x v="27"/>
    <s v="Target Achieved"/>
  </r>
  <r>
    <s v="S1302"/>
    <s v="Sneha Kulkarni"/>
    <s v="C202"/>
    <x v="2"/>
    <s v="B3"/>
    <x v="1"/>
    <x v="0"/>
    <n v="11410"/>
    <m/>
    <m/>
    <n v="13000"/>
    <x v="40"/>
    <s v="Below Target"/>
  </r>
  <r>
    <s v="S1303"/>
    <s v="Anjali Iyer"/>
    <s v="C201"/>
    <x v="0"/>
    <s v="B3"/>
    <x v="1"/>
    <x v="0"/>
    <n v="15950"/>
    <s v="DISC15"/>
    <m/>
    <n v="14000"/>
    <x v="5"/>
    <s v="Target Achieved"/>
  </r>
  <r>
    <s v="S1304"/>
    <s v="Karan Verma"/>
    <s v="C204"/>
    <x v="3"/>
    <s v="B2"/>
    <x v="2"/>
    <x v="0"/>
    <n v="10096"/>
    <s v="DISC30"/>
    <n v="0.3"/>
    <n v="9000"/>
    <x v="31"/>
    <s v="Target Achieved"/>
  </r>
  <r>
    <s v="S1305"/>
    <s v="Aditya Singh"/>
    <s v="C201"/>
    <x v="0"/>
    <s v="B1"/>
    <x v="2"/>
    <x v="1"/>
    <n v="12951"/>
    <s v="DISC15"/>
    <m/>
    <n v="14000"/>
    <x v="0"/>
    <s v="Below Target"/>
  </r>
  <r>
    <s v="S1306"/>
    <s v="Anjali Nair"/>
    <s v="C201"/>
    <x v="0"/>
    <s v="B1"/>
    <x v="0"/>
    <x v="0"/>
    <n v="15825"/>
    <s v="DISC10"/>
    <n v="0.1"/>
    <n v="14000"/>
    <x v="10"/>
    <s v="Target Achieved"/>
  </r>
  <r>
    <s v="S1307"/>
    <s v="Rahul Patel"/>
    <s v="C204"/>
    <x v="3"/>
    <s v="B1"/>
    <x v="2"/>
    <x v="2"/>
    <n v="10591"/>
    <s v="DISC10"/>
    <n v="0.1"/>
    <n v="9000"/>
    <x v="54"/>
    <s v="Target Achieved"/>
  </r>
  <r>
    <s v="S1308"/>
    <s v="Aditya Joshi"/>
    <s v="C201"/>
    <x v="0"/>
    <s v="B2"/>
    <x v="0"/>
    <x v="2"/>
    <n v="14626"/>
    <s v="DISC15"/>
    <m/>
    <n v="14000"/>
    <x v="42"/>
    <s v="Target Achieved"/>
  </r>
  <r>
    <s v="S1309"/>
    <s v="Neha Mehta"/>
    <s v="C204"/>
    <x v="3"/>
    <s v="B2"/>
    <x v="1"/>
    <x v="0"/>
    <n v="8354"/>
    <s v="DISC20"/>
    <n v="0.2"/>
    <n v="9000"/>
    <x v="60"/>
    <s v="Below Target"/>
  </r>
  <r>
    <s v="S1310"/>
    <s v="Neha Singh"/>
    <s v="C203"/>
    <x v="1"/>
    <s v="B3"/>
    <x v="1"/>
    <x v="0"/>
    <n v="18017"/>
    <s v="DISC30"/>
    <n v="0.3"/>
    <n v="17000"/>
    <x v="38"/>
    <s v="Target Achieved"/>
  </r>
  <r>
    <s v="S1311"/>
    <s v="Aditya Joshi"/>
    <s v="C202"/>
    <x v="2"/>
    <s v="B1"/>
    <x v="2"/>
    <x v="1"/>
    <n v="14674"/>
    <m/>
    <m/>
    <n v="13000"/>
    <x v="39"/>
    <s v="Target Achieved"/>
  </r>
  <r>
    <s v="S1312"/>
    <s v="Rahul Gupta"/>
    <s v="C203"/>
    <x v="1"/>
    <s v="B1"/>
    <x v="0"/>
    <x v="1"/>
    <n v="15390"/>
    <s v="DISC20"/>
    <n v="0.2"/>
    <n v="17000"/>
    <x v="59"/>
    <s v="Below Target"/>
  </r>
  <r>
    <s v="S1313"/>
    <s v="Neha Jain"/>
    <s v="C202"/>
    <x v="2"/>
    <s v="B1"/>
    <x v="0"/>
    <x v="2"/>
    <n v="11964"/>
    <m/>
    <m/>
    <n v="13000"/>
    <x v="46"/>
    <s v="Below Target"/>
  </r>
  <r>
    <s v="S1314"/>
    <s v="Aditya Jain"/>
    <s v="C203"/>
    <x v="1"/>
    <s v="B3"/>
    <x v="2"/>
    <x v="1"/>
    <n v="15046"/>
    <s v="DISC30"/>
    <n v="0.3"/>
    <n v="17000"/>
    <x v="49"/>
    <s v="Below Target"/>
  </r>
  <r>
    <s v="S1315"/>
    <s v="Pooja Desai"/>
    <s v="C202"/>
    <x v="2"/>
    <s v="B1"/>
    <x v="2"/>
    <x v="0"/>
    <n v="12906"/>
    <s v="DISC30"/>
    <n v="0.3"/>
    <n v="13000"/>
    <x v="9"/>
    <s v="Below Target"/>
  </r>
  <r>
    <s v="S1316"/>
    <s v="Rahul Singh"/>
    <s v="C203"/>
    <x v="1"/>
    <s v="B3"/>
    <x v="1"/>
    <x v="1"/>
    <n v="18752"/>
    <s v="DISC30"/>
    <n v="0.3"/>
    <n v="17000"/>
    <x v="51"/>
    <s v="Target Achieved"/>
  </r>
  <r>
    <s v="S1317"/>
    <s v="Kavita Patil"/>
    <s v="C202"/>
    <x v="2"/>
    <s v="B1"/>
    <x v="0"/>
    <x v="0"/>
    <n v="12863"/>
    <s v="DISC15"/>
    <m/>
    <n v="13000"/>
    <x v="51"/>
    <s v="Below Target"/>
  </r>
  <r>
    <s v="S1318"/>
    <s v="Rahul Desai"/>
    <s v="C204"/>
    <x v="3"/>
    <s v="B3"/>
    <x v="2"/>
    <x v="0"/>
    <n v="10120"/>
    <s v="DISC20"/>
    <n v="0.2"/>
    <n v="9000"/>
    <x v="26"/>
    <s v="Target Achieved"/>
  </r>
  <r>
    <s v="S1319"/>
    <s v="Dev Joshi"/>
    <s v="C201"/>
    <x v="0"/>
    <s v="B3"/>
    <x v="0"/>
    <x v="1"/>
    <n v="14882"/>
    <s v="DISC30"/>
    <n v="0.3"/>
    <n v="14000"/>
    <x v="11"/>
    <s v="Target Achieved"/>
  </r>
  <r>
    <s v="S1320"/>
    <s v="Kunal Joshi"/>
    <s v="C201"/>
    <x v="0"/>
    <s v="B1"/>
    <x v="2"/>
    <x v="1"/>
    <n v="12828"/>
    <s v="DISC15"/>
    <m/>
    <n v="14000"/>
    <x v="36"/>
    <s v="Below Target"/>
  </r>
  <r>
    <s v="S1321"/>
    <s v="Karan Mehta"/>
    <s v="C203"/>
    <x v="1"/>
    <s v="B3"/>
    <x v="0"/>
    <x v="0"/>
    <n v="17786"/>
    <s v="DISC20"/>
    <n v="0.2"/>
    <n v="17000"/>
    <x v="6"/>
    <s v="Target Achieved"/>
  </r>
  <r>
    <s v="S1322"/>
    <s v="Kavita Iyer"/>
    <s v="C201"/>
    <x v="0"/>
    <s v="B3"/>
    <x v="0"/>
    <x v="0"/>
    <n v="13857"/>
    <s v="DISC20"/>
    <n v="0.2"/>
    <n v="14000"/>
    <x v="18"/>
    <s v="Below Target"/>
  </r>
  <r>
    <s v="S1323"/>
    <s v="Rahul Iyer"/>
    <s v="C201"/>
    <x v="0"/>
    <s v="B3"/>
    <x v="0"/>
    <x v="1"/>
    <n v="15305"/>
    <s v="DISC30"/>
    <n v="0.3"/>
    <n v="14000"/>
    <x v="60"/>
    <s v="Target Achieved"/>
  </r>
  <r>
    <s v="S1324"/>
    <s v="Aarav Verma"/>
    <s v="C203"/>
    <x v="1"/>
    <s v="B1"/>
    <x v="2"/>
    <x v="0"/>
    <n v="17368"/>
    <s v="DISC10"/>
    <n v="0.1"/>
    <n v="17000"/>
    <x v="34"/>
    <s v="Target Achieved"/>
  </r>
  <r>
    <s v="S1325"/>
    <s v="Rahul Jain"/>
    <s v="C201"/>
    <x v="0"/>
    <s v="B3"/>
    <x v="1"/>
    <x v="0"/>
    <n v="15824"/>
    <m/>
    <m/>
    <n v="14000"/>
    <x v="34"/>
    <s v="Target Achieved"/>
  </r>
  <r>
    <s v="S1326"/>
    <s v="Aditya Verma"/>
    <s v="C202"/>
    <x v="2"/>
    <s v="B1"/>
    <x v="2"/>
    <x v="1"/>
    <n v="13645"/>
    <m/>
    <m/>
    <n v="13000"/>
    <x v="51"/>
    <s v="Target Achieved"/>
  </r>
  <r>
    <s v="S1327"/>
    <s v="Kunal Verma"/>
    <s v="C204"/>
    <x v="3"/>
    <s v="B2"/>
    <x v="0"/>
    <x v="0"/>
    <n v="9796"/>
    <s v="DISC15"/>
    <m/>
    <n v="9000"/>
    <x v="59"/>
    <s v="Target Achieved"/>
  </r>
  <r>
    <s v="S1328"/>
    <s v="Rohit Nair"/>
    <s v="C203"/>
    <x v="1"/>
    <s v="B1"/>
    <x v="1"/>
    <x v="1"/>
    <n v="16609"/>
    <s v="DISC15"/>
    <m/>
    <n v="17000"/>
    <x v="59"/>
    <s v="Below Target"/>
  </r>
  <r>
    <s v="S1329"/>
    <s v="Anjali Patil"/>
    <s v="C201"/>
    <x v="0"/>
    <s v="B1"/>
    <x v="0"/>
    <x v="2"/>
    <n v="14758"/>
    <s v="DISC15"/>
    <m/>
    <n v="14000"/>
    <x v="13"/>
    <s v="Target Achieved"/>
  </r>
  <r>
    <s v="S1330"/>
    <s v="Manish Verma"/>
    <s v="C202"/>
    <x v="2"/>
    <s v="B1"/>
    <x v="0"/>
    <x v="2"/>
    <n v="11635"/>
    <s v="DISC30"/>
    <n v="0.3"/>
    <n v="13000"/>
    <x v="19"/>
    <s v="Below Target"/>
  </r>
  <r>
    <s v="S1331"/>
    <s v="Kunal Desai"/>
    <s v="C201"/>
    <x v="0"/>
    <s v="B1"/>
    <x v="2"/>
    <x v="2"/>
    <n v="14518"/>
    <s v="DISC10"/>
    <n v="0.1"/>
    <n v="14000"/>
    <x v="27"/>
    <s v="Target Achieved"/>
  </r>
  <r>
    <s v="S1332"/>
    <s v="Sneha Shah"/>
    <s v="C201"/>
    <x v="0"/>
    <s v="B3"/>
    <x v="1"/>
    <x v="2"/>
    <n v="14448"/>
    <s v="DISC10"/>
    <n v="0.1"/>
    <n v="14000"/>
    <x v="27"/>
    <s v="Target Achieved"/>
  </r>
  <r>
    <s v="S1333"/>
    <s v="Anjali Kulkarni"/>
    <s v="C204"/>
    <x v="3"/>
    <s v="B2"/>
    <x v="1"/>
    <x v="1"/>
    <n v="7889"/>
    <s v="DISC10"/>
    <n v="0.1"/>
    <n v="9000"/>
    <x v="59"/>
    <s v="Below Target"/>
  </r>
  <r>
    <s v="S1334"/>
    <s v="Manish Rao"/>
    <s v="C202"/>
    <x v="2"/>
    <s v="B3"/>
    <x v="2"/>
    <x v="2"/>
    <n v="13365"/>
    <s v="DISC15"/>
    <m/>
    <n v="13000"/>
    <x v="57"/>
    <s v="Target Achieved"/>
  </r>
  <r>
    <s v="S1335"/>
    <s v="Rohit Nair"/>
    <s v="C203"/>
    <x v="1"/>
    <s v="B1"/>
    <x v="0"/>
    <x v="0"/>
    <n v="17704"/>
    <s v="DISC15"/>
    <m/>
    <n v="17000"/>
    <x v="24"/>
    <s v="Target Achieved"/>
  </r>
  <r>
    <s v="S1336"/>
    <s v="Rahul Rao"/>
    <s v="C203"/>
    <x v="1"/>
    <s v="B1"/>
    <x v="2"/>
    <x v="1"/>
    <n v="18603"/>
    <s v="DISC20"/>
    <n v="0.2"/>
    <n v="17000"/>
    <x v="56"/>
    <s v="Target Achieved"/>
  </r>
  <r>
    <s v="S1337"/>
    <s v="Rohit Verma"/>
    <s v="C204"/>
    <x v="3"/>
    <s v="B1"/>
    <x v="0"/>
    <x v="1"/>
    <n v="9749"/>
    <m/>
    <m/>
    <n v="9000"/>
    <x v="38"/>
    <s v="Target Achieved"/>
  </r>
  <r>
    <s v="S1338"/>
    <s v="Manish Jain"/>
    <s v="C204"/>
    <x v="3"/>
    <s v="B2"/>
    <x v="1"/>
    <x v="2"/>
    <n v="8541"/>
    <s v="DISC20"/>
    <n v="0.2"/>
    <n v="9000"/>
    <x v="46"/>
    <s v="Below Target"/>
  </r>
  <r>
    <s v="S1339"/>
    <s v="Manish Iyer"/>
    <s v="C202"/>
    <x v="2"/>
    <s v="B1"/>
    <x v="0"/>
    <x v="1"/>
    <n v="11591"/>
    <m/>
    <m/>
    <n v="13000"/>
    <x v="58"/>
    <s v="Below Target"/>
  </r>
  <r>
    <s v="S1340"/>
    <s v="Aarav Gupta"/>
    <s v="C204"/>
    <x v="3"/>
    <s v="B2"/>
    <x v="2"/>
    <x v="1"/>
    <n v="7549"/>
    <m/>
    <m/>
    <n v="9000"/>
    <x v="27"/>
    <s v="Below Target"/>
  </r>
  <r>
    <s v="S1341"/>
    <s v="Aditya Patil"/>
    <s v="C203"/>
    <x v="1"/>
    <s v="B3"/>
    <x v="1"/>
    <x v="2"/>
    <n v="18469"/>
    <s v="DISC30"/>
    <n v="0.3"/>
    <n v="17000"/>
    <x v="14"/>
    <s v="Target Achieved"/>
  </r>
  <r>
    <s v="S1342"/>
    <s v="Manish Desai"/>
    <s v="C202"/>
    <x v="2"/>
    <s v="B1"/>
    <x v="0"/>
    <x v="2"/>
    <n v="13759"/>
    <s v="DISC15"/>
    <m/>
    <n v="13000"/>
    <x v="15"/>
    <s v="Target Achieved"/>
  </r>
  <r>
    <s v="S1343"/>
    <s v="Aarav Nair"/>
    <s v="C201"/>
    <x v="0"/>
    <s v="B1"/>
    <x v="2"/>
    <x v="1"/>
    <n v="14750"/>
    <s v="DISC15"/>
    <m/>
    <n v="14000"/>
    <x v="1"/>
    <s v="Target Achieved"/>
  </r>
  <r>
    <s v="S1344"/>
    <s v="Neha Patil"/>
    <s v="C203"/>
    <x v="1"/>
    <s v="B2"/>
    <x v="1"/>
    <x v="0"/>
    <n v="18838"/>
    <s v="DISC20"/>
    <n v="0.2"/>
    <n v="17000"/>
    <x v="0"/>
    <s v="Target Achieved"/>
  </r>
  <r>
    <s v="S1345"/>
    <s v="Riya Desai"/>
    <s v="C204"/>
    <x v="3"/>
    <s v="B1"/>
    <x v="2"/>
    <x v="1"/>
    <n v="9882"/>
    <s v="DISC20"/>
    <n v="0.2"/>
    <n v="9000"/>
    <x v="32"/>
    <s v="Target Achieved"/>
  </r>
  <r>
    <s v="S1346"/>
    <s v="Kunal Patil"/>
    <s v="C203"/>
    <x v="1"/>
    <s v="B2"/>
    <x v="0"/>
    <x v="2"/>
    <n v="17185"/>
    <s v="DISC30"/>
    <n v="0.3"/>
    <n v="17000"/>
    <x v="47"/>
    <s v="Target Achieved"/>
  </r>
  <r>
    <s v="S1347"/>
    <s v="Aditya Jain"/>
    <s v="C204"/>
    <x v="3"/>
    <s v="B2"/>
    <x v="1"/>
    <x v="1"/>
    <n v="8923"/>
    <s v="DISC30"/>
    <n v="0.3"/>
    <n v="9000"/>
    <x v="58"/>
    <s v="Below Target"/>
  </r>
  <r>
    <s v="S1348"/>
    <s v="Sneha Jain"/>
    <s v="C203"/>
    <x v="1"/>
    <s v="B2"/>
    <x v="1"/>
    <x v="1"/>
    <n v="18539"/>
    <s v="DISC20"/>
    <n v="0.2"/>
    <n v="17000"/>
    <x v="0"/>
    <s v="Target Achieved"/>
  </r>
  <r>
    <s v="S1349"/>
    <s v="Karan Kulkarni"/>
    <s v="C203"/>
    <x v="1"/>
    <s v="B3"/>
    <x v="2"/>
    <x v="1"/>
    <n v="17949"/>
    <m/>
    <m/>
    <n v="17000"/>
    <x v="28"/>
    <s v="Target Achieved"/>
  </r>
  <r>
    <s v="S1350"/>
    <s v="Karan Patil"/>
    <s v="C203"/>
    <x v="1"/>
    <s v="B1"/>
    <x v="0"/>
    <x v="1"/>
    <n v="18413"/>
    <s v="DISC20"/>
    <n v="0.2"/>
    <n v="17000"/>
    <x v="20"/>
    <s v="Target Achieved"/>
  </r>
  <r>
    <s v="S1351"/>
    <s v="Manish Singh"/>
    <s v="C203"/>
    <x v="1"/>
    <s v="B2"/>
    <x v="0"/>
    <x v="1"/>
    <n v="17628"/>
    <m/>
    <m/>
    <n v="17000"/>
    <x v="44"/>
    <s v="Target Achieved"/>
  </r>
  <r>
    <s v="S1352"/>
    <s v="Karan Desai"/>
    <s v="C203"/>
    <x v="1"/>
    <s v="B1"/>
    <x v="1"/>
    <x v="1"/>
    <n v="17238"/>
    <m/>
    <m/>
    <n v="17000"/>
    <x v="53"/>
    <s v="Target Achieved"/>
  </r>
  <r>
    <s v="S1353"/>
    <s v="Kunal Gupta"/>
    <s v="C201"/>
    <x v="0"/>
    <s v="B3"/>
    <x v="1"/>
    <x v="0"/>
    <n v="15871"/>
    <s v="DISC10"/>
    <n v="0.1"/>
    <n v="14000"/>
    <x v="46"/>
    <s v="Target Achieved"/>
  </r>
  <r>
    <s v="S1354"/>
    <s v="Aarav Verma"/>
    <s v="C202"/>
    <x v="2"/>
    <s v="B3"/>
    <x v="1"/>
    <x v="0"/>
    <n v="13896"/>
    <s v="DISC20"/>
    <n v="0.2"/>
    <n v="13000"/>
    <x v="54"/>
    <s v="Target Achieved"/>
  </r>
  <r>
    <s v="S1355"/>
    <s v="Sneha Gupta"/>
    <s v="C204"/>
    <x v="3"/>
    <s v="B2"/>
    <x v="1"/>
    <x v="1"/>
    <n v="9612"/>
    <s v="DISC15"/>
    <m/>
    <n v="9000"/>
    <x v="58"/>
    <s v="Target Achieved"/>
  </r>
  <r>
    <s v="S1356"/>
    <s v="Neha Singh"/>
    <s v="C204"/>
    <x v="3"/>
    <s v="B1"/>
    <x v="1"/>
    <x v="1"/>
    <n v="9259"/>
    <m/>
    <m/>
    <n v="9000"/>
    <x v="54"/>
    <s v="Target Achieved"/>
  </r>
  <r>
    <s v="S1357"/>
    <s v="Aarav Gupta"/>
    <s v="C203"/>
    <x v="1"/>
    <s v="B3"/>
    <x v="0"/>
    <x v="0"/>
    <n v="17057"/>
    <m/>
    <m/>
    <n v="17000"/>
    <x v="50"/>
    <s v="Target Achieved"/>
  </r>
  <r>
    <s v="S1358"/>
    <s v="Kunal Mehta"/>
    <s v="C201"/>
    <x v="0"/>
    <s v="B1"/>
    <x v="2"/>
    <x v="0"/>
    <n v="12987"/>
    <s v="DISC20"/>
    <n v="0.2"/>
    <n v="14000"/>
    <x v="33"/>
    <s v="Below Target"/>
  </r>
  <r>
    <s v="S1359"/>
    <s v="Manish Rao"/>
    <s v="C203"/>
    <x v="1"/>
    <s v="B2"/>
    <x v="0"/>
    <x v="0"/>
    <n v="16528"/>
    <m/>
    <m/>
    <n v="17000"/>
    <x v="44"/>
    <s v="Below Target"/>
  </r>
  <r>
    <s v="S1360"/>
    <s v="Kavita Patil"/>
    <s v="C202"/>
    <x v="2"/>
    <s v="B2"/>
    <x v="2"/>
    <x v="0"/>
    <n v="13677"/>
    <s v="DISC10"/>
    <n v="0.1"/>
    <n v="13000"/>
    <x v="14"/>
    <s v="Target Achieved"/>
  </r>
  <r>
    <s v="S1361"/>
    <s v="Rahul Verma"/>
    <s v="C204"/>
    <x v="3"/>
    <s v="B3"/>
    <x v="0"/>
    <x v="0"/>
    <n v="9608"/>
    <s v="DISC10"/>
    <n v="0.1"/>
    <n v="9000"/>
    <x v="8"/>
    <s v="Target Achieved"/>
  </r>
  <r>
    <s v="S1362"/>
    <s v="Karan Shah"/>
    <s v="C204"/>
    <x v="3"/>
    <s v="B2"/>
    <x v="2"/>
    <x v="2"/>
    <n v="9317"/>
    <s v="DISC10"/>
    <n v="0.1"/>
    <n v="9000"/>
    <x v="48"/>
    <s v="Target Achieved"/>
  </r>
  <r>
    <s v="S1363"/>
    <s v="Manish Kulkarni"/>
    <s v="C202"/>
    <x v="2"/>
    <s v="B1"/>
    <x v="2"/>
    <x v="1"/>
    <n v="12947"/>
    <s v="DISC30"/>
    <n v="0.3"/>
    <n v="13000"/>
    <x v="34"/>
    <s v="Below Target"/>
  </r>
  <r>
    <s v="S1364"/>
    <s v="Kunal Shah"/>
    <s v="C203"/>
    <x v="1"/>
    <s v="B3"/>
    <x v="2"/>
    <x v="1"/>
    <n v="15134"/>
    <s v="DISC20"/>
    <n v="0.2"/>
    <n v="17000"/>
    <x v="5"/>
    <s v="Below Target"/>
  </r>
  <r>
    <s v="S1365"/>
    <s v="Meera Jain"/>
    <s v="C201"/>
    <x v="0"/>
    <s v="B1"/>
    <x v="2"/>
    <x v="0"/>
    <n v="15081"/>
    <m/>
    <m/>
    <n v="14000"/>
    <x v="5"/>
    <s v="Target Achieved"/>
  </r>
  <r>
    <s v="S1366"/>
    <s v="Riya Rao"/>
    <s v="C202"/>
    <x v="2"/>
    <s v="B3"/>
    <x v="1"/>
    <x v="1"/>
    <n v="14418"/>
    <m/>
    <m/>
    <n v="13000"/>
    <x v="26"/>
    <s v="Target Achieved"/>
  </r>
  <r>
    <s v="S1367"/>
    <s v="Kunal Gupta"/>
    <s v="C203"/>
    <x v="1"/>
    <s v="B2"/>
    <x v="2"/>
    <x v="0"/>
    <n v="18237"/>
    <s v="DISC10"/>
    <n v="0.1"/>
    <n v="17000"/>
    <x v="18"/>
    <s v="Target Achieved"/>
  </r>
  <r>
    <s v="S1368"/>
    <s v="Anjali Jain"/>
    <s v="C201"/>
    <x v="0"/>
    <s v="B1"/>
    <x v="0"/>
    <x v="0"/>
    <n v="15435"/>
    <s v="DISC10"/>
    <n v="0.1"/>
    <n v="14000"/>
    <x v="40"/>
    <s v="Target Achieved"/>
  </r>
  <r>
    <s v="S1369"/>
    <s v="Kavita Patel"/>
    <s v="C204"/>
    <x v="3"/>
    <s v="B2"/>
    <x v="1"/>
    <x v="1"/>
    <n v="8119"/>
    <m/>
    <m/>
    <n v="9000"/>
    <x v="20"/>
    <s v="Below Target"/>
  </r>
  <r>
    <s v="S1370"/>
    <s v="Sneha Jain"/>
    <s v="C204"/>
    <x v="3"/>
    <s v="B2"/>
    <x v="1"/>
    <x v="1"/>
    <n v="9399"/>
    <m/>
    <m/>
    <n v="9000"/>
    <x v="14"/>
    <s v="Target Achieved"/>
  </r>
  <r>
    <s v="S1371"/>
    <s v="Dev Joshi"/>
    <s v="C203"/>
    <x v="1"/>
    <s v="B1"/>
    <x v="2"/>
    <x v="0"/>
    <n v="15336"/>
    <s v="DISC30"/>
    <n v="0.3"/>
    <n v="17000"/>
    <x v="12"/>
    <s v="Below Target"/>
  </r>
  <r>
    <s v="S1372"/>
    <s v="Rahul Desai"/>
    <s v="C202"/>
    <x v="2"/>
    <s v="B3"/>
    <x v="0"/>
    <x v="2"/>
    <n v="12477"/>
    <s v="DISC10"/>
    <n v="0.1"/>
    <n v="13000"/>
    <x v="14"/>
    <s v="Below Target"/>
  </r>
  <r>
    <s v="S1373"/>
    <s v="Aarav Rao"/>
    <s v="C204"/>
    <x v="3"/>
    <s v="B2"/>
    <x v="0"/>
    <x v="0"/>
    <n v="7542"/>
    <s v="DISC10"/>
    <n v="0.1"/>
    <n v="9000"/>
    <x v="53"/>
    <s v="Below Target"/>
  </r>
  <r>
    <s v="S1374"/>
    <s v="Rahul Iyer"/>
    <s v="C204"/>
    <x v="3"/>
    <s v="B1"/>
    <x v="1"/>
    <x v="0"/>
    <n v="8449"/>
    <s v="DISC15"/>
    <m/>
    <n v="9000"/>
    <x v="14"/>
    <s v="Below Target"/>
  </r>
  <r>
    <s v="S1375"/>
    <s v="Kavita Joshi"/>
    <s v="C203"/>
    <x v="1"/>
    <s v="B2"/>
    <x v="1"/>
    <x v="2"/>
    <n v="16694"/>
    <m/>
    <m/>
    <n v="17000"/>
    <x v="57"/>
    <s v="Below Target"/>
  </r>
  <r>
    <s v="S1376"/>
    <s v="Riya Desai"/>
    <s v="C202"/>
    <x v="2"/>
    <s v="B3"/>
    <x v="2"/>
    <x v="0"/>
    <n v="13807"/>
    <m/>
    <m/>
    <n v="13000"/>
    <x v="9"/>
    <s v="Target Achieved"/>
  </r>
  <r>
    <s v="S1377"/>
    <s v="Karan Rao"/>
    <s v="C203"/>
    <x v="1"/>
    <s v="B2"/>
    <x v="0"/>
    <x v="0"/>
    <n v="15259"/>
    <s v="DISC20"/>
    <n v="0.2"/>
    <n v="17000"/>
    <x v="13"/>
    <s v="Below Target"/>
  </r>
  <r>
    <s v="S1378"/>
    <s v="Aditya Verma"/>
    <s v="C203"/>
    <x v="1"/>
    <s v="B2"/>
    <x v="1"/>
    <x v="2"/>
    <n v="16030"/>
    <s v="DISC20"/>
    <n v="0.2"/>
    <n v="17000"/>
    <x v="60"/>
    <s v="Below Target"/>
  </r>
  <r>
    <s v="S1379"/>
    <s v="Rohit Iyer"/>
    <s v="C202"/>
    <x v="2"/>
    <s v="B2"/>
    <x v="1"/>
    <x v="0"/>
    <n v="12247"/>
    <s v="DISC10"/>
    <n v="0.1"/>
    <n v="13000"/>
    <x v="21"/>
    <s v="Below Target"/>
  </r>
  <r>
    <s v="S1380"/>
    <s v="Rahul Jain"/>
    <s v="C204"/>
    <x v="3"/>
    <s v="B2"/>
    <x v="0"/>
    <x v="2"/>
    <n v="8763"/>
    <s v="DISC15"/>
    <m/>
    <n v="9000"/>
    <x v="59"/>
    <s v="Below Target"/>
  </r>
  <r>
    <s v="S1381"/>
    <s v="Aditya Jain"/>
    <s v="C202"/>
    <x v="2"/>
    <s v="B2"/>
    <x v="0"/>
    <x v="0"/>
    <n v="14950"/>
    <m/>
    <m/>
    <n v="13000"/>
    <x v="31"/>
    <s v="Target Achieved"/>
  </r>
  <r>
    <s v="S1382"/>
    <s v="Aditya Desai"/>
    <s v="C204"/>
    <x v="3"/>
    <s v="B3"/>
    <x v="1"/>
    <x v="2"/>
    <n v="8540"/>
    <s v="DISC30"/>
    <n v="0.3"/>
    <n v="9000"/>
    <x v="39"/>
    <s v="Below Target"/>
  </r>
  <r>
    <s v="S1383"/>
    <s v="Dev Verma"/>
    <s v="C203"/>
    <x v="1"/>
    <s v="B1"/>
    <x v="2"/>
    <x v="0"/>
    <n v="17425"/>
    <s v="DISC15"/>
    <m/>
    <n v="17000"/>
    <x v="53"/>
    <s v="Target Achieved"/>
  </r>
  <r>
    <s v="S1384"/>
    <s v="Rohit Patel"/>
    <s v="C201"/>
    <x v="0"/>
    <s v="B3"/>
    <x v="0"/>
    <x v="1"/>
    <n v="12858"/>
    <m/>
    <m/>
    <n v="14000"/>
    <x v="50"/>
    <s v="Below Target"/>
  </r>
  <r>
    <s v="S1385"/>
    <s v="Aditya Nair"/>
    <s v="C201"/>
    <x v="0"/>
    <s v="B2"/>
    <x v="2"/>
    <x v="2"/>
    <n v="12570"/>
    <s v="DISC30"/>
    <n v="0.3"/>
    <n v="14000"/>
    <x v="27"/>
    <s v="Below Target"/>
  </r>
  <r>
    <s v="S1386"/>
    <s v="Aditya Singh"/>
    <s v="C202"/>
    <x v="2"/>
    <s v="B3"/>
    <x v="0"/>
    <x v="2"/>
    <n v="11302"/>
    <m/>
    <m/>
    <n v="13000"/>
    <x v="15"/>
    <s v="Below Target"/>
  </r>
  <r>
    <s v="S1387"/>
    <s v="Neha Joshi"/>
    <s v="C204"/>
    <x v="3"/>
    <s v="B3"/>
    <x v="2"/>
    <x v="1"/>
    <n v="8713"/>
    <s v="DISC15"/>
    <m/>
    <n v="9000"/>
    <x v="34"/>
    <s v="Below Target"/>
  </r>
  <r>
    <s v="S1388"/>
    <s v="Dev Jain"/>
    <s v="C201"/>
    <x v="0"/>
    <s v="B1"/>
    <x v="1"/>
    <x v="1"/>
    <n v="14722"/>
    <s v="DISC30"/>
    <n v="0.3"/>
    <n v="14000"/>
    <x v="9"/>
    <s v="Target Achieved"/>
  </r>
  <r>
    <s v="S1389"/>
    <s v="Rohit Joshi"/>
    <s v="C201"/>
    <x v="0"/>
    <s v="B3"/>
    <x v="2"/>
    <x v="1"/>
    <n v="14649"/>
    <m/>
    <m/>
    <n v="14000"/>
    <x v="46"/>
    <s v="Target Achieved"/>
  </r>
  <r>
    <s v="S1390"/>
    <s v="Pooja Patel"/>
    <s v="C204"/>
    <x v="3"/>
    <s v="B1"/>
    <x v="1"/>
    <x v="0"/>
    <n v="8059"/>
    <s v="DISC20"/>
    <n v="0.2"/>
    <n v="9000"/>
    <x v="18"/>
    <s v="Below Target"/>
  </r>
  <r>
    <s v="S1391"/>
    <s v="Anjali Gupta"/>
    <s v="C202"/>
    <x v="2"/>
    <s v="B2"/>
    <x v="0"/>
    <x v="2"/>
    <n v="12896"/>
    <s v="DISC15"/>
    <m/>
    <n v="13000"/>
    <x v="8"/>
    <s v="Below Target"/>
  </r>
  <r>
    <s v="S1392"/>
    <s v="Manish Mehta"/>
    <s v="C203"/>
    <x v="1"/>
    <s v="B1"/>
    <x v="0"/>
    <x v="0"/>
    <n v="16210"/>
    <m/>
    <m/>
    <n v="17000"/>
    <x v="58"/>
    <s v="Below Target"/>
  </r>
  <r>
    <s v="S1393"/>
    <s v="Riya Shah"/>
    <s v="C202"/>
    <x v="2"/>
    <s v="B2"/>
    <x v="0"/>
    <x v="2"/>
    <n v="12865"/>
    <s v="DISC20"/>
    <n v="0.2"/>
    <n v="13000"/>
    <x v="42"/>
    <s v="Below Target"/>
  </r>
  <r>
    <s v="S1394"/>
    <s v="Neha Jain"/>
    <s v="C204"/>
    <x v="3"/>
    <s v="B1"/>
    <x v="0"/>
    <x v="1"/>
    <n v="9853"/>
    <m/>
    <m/>
    <n v="9000"/>
    <x v="31"/>
    <s v="Target Achieved"/>
  </r>
  <r>
    <s v="S1395"/>
    <s v="Riya Rao"/>
    <s v="C201"/>
    <x v="0"/>
    <s v="B3"/>
    <x v="1"/>
    <x v="0"/>
    <n v="15478"/>
    <s v="DISC30"/>
    <n v="0.3"/>
    <n v="14000"/>
    <x v="49"/>
    <s v="Target Achieved"/>
  </r>
  <r>
    <s v="S1396"/>
    <s v="Riya Singh"/>
    <s v="C202"/>
    <x v="2"/>
    <s v="B3"/>
    <x v="1"/>
    <x v="1"/>
    <n v="11714"/>
    <s v="DISC15"/>
    <m/>
    <n v="13000"/>
    <x v="9"/>
    <s v="Below Target"/>
  </r>
  <r>
    <s v="S1397"/>
    <s v="Pooja Gupta"/>
    <s v="C204"/>
    <x v="3"/>
    <s v="B2"/>
    <x v="1"/>
    <x v="2"/>
    <n v="9579"/>
    <s v="DISC20"/>
    <n v="0.2"/>
    <n v="9000"/>
    <x v="53"/>
    <s v="Target Achieved"/>
  </r>
  <r>
    <s v="S1398"/>
    <s v="Rohit Singh"/>
    <s v="C204"/>
    <x v="3"/>
    <s v="B2"/>
    <x v="1"/>
    <x v="1"/>
    <n v="9515"/>
    <s v="DISC20"/>
    <n v="0.2"/>
    <n v="9000"/>
    <x v="22"/>
    <s v="Target Achieved"/>
  </r>
  <r>
    <s v="S1399"/>
    <s v="Kavita Verma"/>
    <s v="C204"/>
    <x v="3"/>
    <s v="B1"/>
    <x v="2"/>
    <x v="0"/>
    <n v="7842"/>
    <s v="DISC30"/>
    <n v="0.3"/>
    <n v="9000"/>
    <x v="46"/>
    <s v="Below Target"/>
  </r>
  <r>
    <s v="S1400"/>
    <s v="Anjali Patel"/>
    <s v="C201"/>
    <x v="0"/>
    <s v="B3"/>
    <x v="1"/>
    <x v="1"/>
    <n v="12765"/>
    <s v="DISC30"/>
    <n v="0.3"/>
    <n v="14000"/>
    <x v="31"/>
    <s v="Below Target"/>
  </r>
  <r>
    <s v="S1401"/>
    <s v="Sneha Iyer"/>
    <s v="C201"/>
    <x v="0"/>
    <s v="B2"/>
    <x v="2"/>
    <x v="2"/>
    <n v="14161"/>
    <s v="DISC30"/>
    <n v="0.3"/>
    <n v="14000"/>
    <x v="15"/>
    <s v="Target Achieved"/>
  </r>
  <r>
    <s v="S1402"/>
    <s v="Rahul Joshi"/>
    <s v="C204"/>
    <x v="3"/>
    <s v="B3"/>
    <x v="1"/>
    <x v="2"/>
    <n v="8441"/>
    <m/>
    <m/>
    <n v="9000"/>
    <x v="33"/>
    <s v="Below Target"/>
  </r>
  <r>
    <s v="S1403"/>
    <s v="Karan Nair"/>
    <s v="C203"/>
    <x v="1"/>
    <s v="B3"/>
    <x v="2"/>
    <x v="0"/>
    <n v="17752"/>
    <s v="DISC20"/>
    <n v="0.2"/>
    <n v="17000"/>
    <x v="31"/>
    <s v="Target Achieved"/>
  </r>
  <r>
    <s v="S1404"/>
    <s v="Riya Patil"/>
    <s v="C203"/>
    <x v="1"/>
    <s v="B1"/>
    <x v="1"/>
    <x v="2"/>
    <n v="17840"/>
    <s v="DISC20"/>
    <n v="0.2"/>
    <n v="17000"/>
    <x v="18"/>
    <s v="Target Achieved"/>
  </r>
  <r>
    <s v="S1405"/>
    <s v="Rahul Verma"/>
    <s v="C202"/>
    <x v="2"/>
    <s v="B3"/>
    <x v="0"/>
    <x v="2"/>
    <n v="11760"/>
    <m/>
    <m/>
    <n v="13000"/>
    <x v="56"/>
    <s v="Below Target"/>
  </r>
  <r>
    <s v="S1406"/>
    <s v="Manish Desai"/>
    <s v="C202"/>
    <x v="2"/>
    <s v="B3"/>
    <x v="1"/>
    <x v="2"/>
    <n v="12183"/>
    <s v="DISC20"/>
    <n v="0.2"/>
    <n v="13000"/>
    <x v="53"/>
    <s v="Below Target"/>
  </r>
  <r>
    <s v="S1407"/>
    <s v="Pooja Nair"/>
    <s v="C204"/>
    <x v="3"/>
    <s v="B3"/>
    <x v="1"/>
    <x v="2"/>
    <n v="10898"/>
    <s v="DISC10"/>
    <n v="0.1"/>
    <n v="9000"/>
    <x v="20"/>
    <s v="Target Achieved"/>
  </r>
  <r>
    <s v="S1408"/>
    <s v="Karan Patil"/>
    <s v="C204"/>
    <x v="3"/>
    <s v="B3"/>
    <x v="2"/>
    <x v="1"/>
    <n v="9027"/>
    <m/>
    <m/>
    <n v="9000"/>
    <x v="26"/>
    <s v="Target Achieved"/>
  </r>
  <r>
    <s v="S1409"/>
    <s v="Neha Verma"/>
    <s v="C204"/>
    <x v="3"/>
    <s v="B2"/>
    <x v="1"/>
    <x v="0"/>
    <n v="9315"/>
    <s v="DISC10"/>
    <n v="0.1"/>
    <n v="9000"/>
    <x v="38"/>
    <s v="Target Achieved"/>
  </r>
  <r>
    <s v="S1410"/>
    <s v="Dev Patil"/>
    <s v="C203"/>
    <x v="1"/>
    <s v="B1"/>
    <x v="0"/>
    <x v="0"/>
    <n v="17202"/>
    <s v="DISC30"/>
    <n v="0.3"/>
    <n v="17000"/>
    <x v="9"/>
    <s v="Target Achieved"/>
  </r>
  <r>
    <s v="S1411"/>
    <s v="Dev Iyer"/>
    <s v="C204"/>
    <x v="3"/>
    <s v="B3"/>
    <x v="2"/>
    <x v="0"/>
    <n v="9345"/>
    <s v="DISC10"/>
    <n v="0.1"/>
    <n v="9000"/>
    <x v="3"/>
    <s v="Target Achieved"/>
  </r>
  <r>
    <s v="S1412"/>
    <s v="Dev Gupta"/>
    <s v="C203"/>
    <x v="1"/>
    <s v="B3"/>
    <x v="1"/>
    <x v="1"/>
    <n v="16807"/>
    <s v="DISC15"/>
    <m/>
    <n v="17000"/>
    <x v="1"/>
    <s v="Below Target"/>
  </r>
  <r>
    <s v="S1413"/>
    <s v="Rahul Shah"/>
    <s v="C202"/>
    <x v="2"/>
    <s v="B2"/>
    <x v="1"/>
    <x v="2"/>
    <n v="12076"/>
    <s v="DISC30"/>
    <n v="0.3"/>
    <n v="13000"/>
    <x v="16"/>
    <s v="Below Target"/>
  </r>
  <r>
    <s v="S1414"/>
    <s v="Meera Shah"/>
    <s v="C204"/>
    <x v="3"/>
    <s v="B1"/>
    <x v="1"/>
    <x v="0"/>
    <n v="10320"/>
    <s v="DISC15"/>
    <m/>
    <n v="9000"/>
    <x v="8"/>
    <s v="Target Achieved"/>
  </r>
  <r>
    <s v="S1415"/>
    <s v="Pooja Nair"/>
    <s v="C204"/>
    <x v="3"/>
    <s v="B1"/>
    <x v="2"/>
    <x v="0"/>
    <n v="10214"/>
    <s v="DISC20"/>
    <n v="0.2"/>
    <n v="9000"/>
    <x v="39"/>
    <s v="Target Achieved"/>
  </r>
  <r>
    <s v="S1416"/>
    <s v="Sneha Patel"/>
    <s v="C201"/>
    <x v="0"/>
    <s v="B3"/>
    <x v="0"/>
    <x v="1"/>
    <n v="13151"/>
    <s v="DISC15"/>
    <m/>
    <n v="14000"/>
    <x v="36"/>
    <s v="Below Target"/>
  </r>
  <r>
    <s v="S1417"/>
    <s v="Karan Jain"/>
    <s v="C203"/>
    <x v="1"/>
    <s v="B2"/>
    <x v="2"/>
    <x v="2"/>
    <n v="18901"/>
    <s v="DISC15"/>
    <m/>
    <n v="17000"/>
    <x v="48"/>
    <s v="Target Achieved"/>
  </r>
  <r>
    <s v="S1418"/>
    <s v="Rohit Nair"/>
    <s v="C201"/>
    <x v="0"/>
    <s v="B1"/>
    <x v="0"/>
    <x v="0"/>
    <n v="13135"/>
    <s v="DISC20"/>
    <n v="0.2"/>
    <n v="14000"/>
    <x v="8"/>
    <s v="Below Target"/>
  </r>
  <r>
    <s v="S1419"/>
    <s v="Meera Mehta"/>
    <s v="C202"/>
    <x v="2"/>
    <s v="B1"/>
    <x v="2"/>
    <x v="2"/>
    <n v="14393"/>
    <s v="DISC20"/>
    <n v="0.2"/>
    <n v="13000"/>
    <x v="46"/>
    <s v="Target Achieved"/>
  </r>
  <r>
    <s v="S1420"/>
    <s v="Meera Singh"/>
    <s v="C204"/>
    <x v="3"/>
    <s v="B2"/>
    <x v="1"/>
    <x v="1"/>
    <n v="9590"/>
    <s v="DISC30"/>
    <n v="0.3"/>
    <n v="9000"/>
    <x v="56"/>
    <s v="Target Achieved"/>
  </r>
  <r>
    <s v="S1421"/>
    <s v="Rahul Verma"/>
    <s v="C204"/>
    <x v="3"/>
    <s v="B1"/>
    <x v="2"/>
    <x v="0"/>
    <n v="8650"/>
    <s v="DISC15"/>
    <m/>
    <n v="9000"/>
    <x v="0"/>
    <s v="Below Target"/>
  </r>
  <r>
    <s v="S1422"/>
    <s v="Aditya Desai"/>
    <s v="C203"/>
    <x v="1"/>
    <s v="B2"/>
    <x v="0"/>
    <x v="2"/>
    <n v="17383"/>
    <s v="DISC10"/>
    <n v="0.1"/>
    <n v="17000"/>
    <x v="16"/>
    <s v="Target Achieved"/>
  </r>
  <r>
    <s v="S1423"/>
    <s v="Dev Nair"/>
    <s v="C201"/>
    <x v="0"/>
    <s v="B3"/>
    <x v="0"/>
    <x v="1"/>
    <n v="14720"/>
    <s v="DISC30"/>
    <n v="0.3"/>
    <n v="14000"/>
    <x v="4"/>
    <s v="Target Achieved"/>
  </r>
  <r>
    <s v="S1424"/>
    <s v="Riya Patel"/>
    <s v="C204"/>
    <x v="3"/>
    <s v="B1"/>
    <x v="0"/>
    <x v="0"/>
    <n v="9026"/>
    <s v="DISC30"/>
    <n v="0.3"/>
    <n v="9000"/>
    <x v="31"/>
    <s v="Target Achieved"/>
  </r>
  <r>
    <s v="S1425"/>
    <s v="Meera Rao"/>
    <s v="C203"/>
    <x v="1"/>
    <s v="B3"/>
    <x v="2"/>
    <x v="0"/>
    <n v="17318"/>
    <m/>
    <m/>
    <n v="17000"/>
    <x v="38"/>
    <s v="Target Achieved"/>
  </r>
  <r>
    <s v="S1426"/>
    <s v="Pooja Singh"/>
    <s v="C201"/>
    <x v="0"/>
    <s v="B1"/>
    <x v="1"/>
    <x v="1"/>
    <n v="15210"/>
    <m/>
    <m/>
    <n v="14000"/>
    <x v="23"/>
    <s v="Target Achieved"/>
  </r>
  <r>
    <s v="S1427"/>
    <s v="Riya Nair"/>
    <s v="C202"/>
    <x v="2"/>
    <s v="B2"/>
    <x v="0"/>
    <x v="0"/>
    <n v="14924"/>
    <m/>
    <m/>
    <n v="13000"/>
    <x v="19"/>
    <s v="Target Achieved"/>
  </r>
  <r>
    <s v="S1428"/>
    <s v="Anjali Mehta"/>
    <s v="C203"/>
    <x v="1"/>
    <s v="B1"/>
    <x v="0"/>
    <x v="0"/>
    <n v="17681"/>
    <s v="DISC30"/>
    <n v="0.3"/>
    <n v="17000"/>
    <x v="41"/>
    <s v="Target Achieved"/>
  </r>
  <r>
    <s v="S1429"/>
    <s v="Riya Jain"/>
    <s v="C202"/>
    <x v="2"/>
    <s v="B1"/>
    <x v="0"/>
    <x v="1"/>
    <n v="12251"/>
    <s v="DISC20"/>
    <n v="0.2"/>
    <n v="13000"/>
    <x v="13"/>
    <s v="Below Target"/>
  </r>
  <r>
    <s v="S1430"/>
    <s v="Rohit Shah"/>
    <s v="C201"/>
    <x v="0"/>
    <s v="B1"/>
    <x v="1"/>
    <x v="2"/>
    <n v="12319"/>
    <s v="DISC20"/>
    <n v="0.2"/>
    <n v="14000"/>
    <x v="29"/>
    <s v="Below Target"/>
  </r>
  <r>
    <s v="S1431"/>
    <s v="Sneha Gupta"/>
    <s v="C204"/>
    <x v="3"/>
    <s v="B1"/>
    <x v="1"/>
    <x v="1"/>
    <n v="8407"/>
    <s v="DISC10"/>
    <n v="0.1"/>
    <n v="9000"/>
    <x v="16"/>
    <s v="Below Target"/>
  </r>
  <r>
    <s v="S1432"/>
    <s v="Rahul Desai"/>
    <s v="C202"/>
    <x v="2"/>
    <s v="B2"/>
    <x v="1"/>
    <x v="0"/>
    <n v="12569"/>
    <s v="DISC10"/>
    <n v="0.1"/>
    <n v="13000"/>
    <x v="60"/>
    <s v="Below Target"/>
  </r>
  <r>
    <s v="S1433"/>
    <s v="Dev Shah"/>
    <s v="C201"/>
    <x v="0"/>
    <s v="B2"/>
    <x v="0"/>
    <x v="2"/>
    <n v="12561"/>
    <m/>
    <m/>
    <n v="14000"/>
    <x v="57"/>
    <s v="Below Target"/>
  </r>
  <r>
    <s v="S1434"/>
    <s v="Meera Patel"/>
    <s v="C202"/>
    <x v="2"/>
    <s v="B3"/>
    <x v="2"/>
    <x v="0"/>
    <n v="11280"/>
    <s v="DISC15"/>
    <m/>
    <n v="13000"/>
    <x v="52"/>
    <s v="Below Target"/>
  </r>
  <r>
    <s v="S1435"/>
    <s v="Aarav Joshi"/>
    <s v="C202"/>
    <x v="2"/>
    <s v="B2"/>
    <x v="0"/>
    <x v="1"/>
    <n v="11872"/>
    <s v="DISC20"/>
    <n v="0.2"/>
    <n v="13000"/>
    <x v="58"/>
    <s v="Below Target"/>
  </r>
  <r>
    <s v="S1436"/>
    <s v="Rahul Joshi"/>
    <s v="C204"/>
    <x v="3"/>
    <s v="B1"/>
    <x v="1"/>
    <x v="0"/>
    <n v="7573"/>
    <s v="DISC10"/>
    <n v="0.1"/>
    <n v="9000"/>
    <x v="29"/>
    <s v="Below Target"/>
  </r>
  <r>
    <s v="S1437"/>
    <s v="Anjali Verma"/>
    <s v="C203"/>
    <x v="1"/>
    <s v="B2"/>
    <x v="0"/>
    <x v="0"/>
    <n v="16014"/>
    <s v="DISC30"/>
    <n v="0.3"/>
    <n v="17000"/>
    <x v="49"/>
    <s v="Below Target"/>
  </r>
  <r>
    <s v="S1438"/>
    <s v="Riya Patil"/>
    <s v="C203"/>
    <x v="1"/>
    <s v="B3"/>
    <x v="1"/>
    <x v="1"/>
    <n v="18587"/>
    <s v="DISC30"/>
    <n v="0.3"/>
    <n v="17000"/>
    <x v="1"/>
    <s v="Target Achieved"/>
  </r>
  <r>
    <s v="S1439"/>
    <s v="Manish Joshi"/>
    <s v="C202"/>
    <x v="2"/>
    <s v="B3"/>
    <x v="0"/>
    <x v="2"/>
    <n v="13646"/>
    <s v="DISC10"/>
    <n v="0.1"/>
    <n v="13000"/>
    <x v="38"/>
    <s v="Target Achieved"/>
  </r>
  <r>
    <s v="S1440"/>
    <s v="Kunal Patel"/>
    <s v="C202"/>
    <x v="2"/>
    <s v="B2"/>
    <x v="0"/>
    <x v="0"/>
    <n v="11987"/>
    <m/>
    <m/>
    <n v="13000"/>
    <x v="56"/>
    <s v="Below Target"/>
  </r>
  <r>
    <s v="S1441"/>
    <s v="Kavita Shah"/>
    <s v="C201"/>
    <x v="0"/>
    <s v="B2"/>
    <x v="0"/>
    <x v="0"/>
    <n v="13584"/>
    <s v="DISC15"/>
    <m/>
    <n v="14000"/>
    <x v="2"/>
    <s v="Below Target"/>
  </r>
  <r>
    <s v="S1442"/>
    <s v="Pooja Gupta"/>
    <s v="C202"/>
    <x v="2"/>
    <s v="B2"/>
    <x v="1"/>
    <x v="0"/>
    <n v="13405"/>
    <s v="DISC10"/>
    <n v="0.1"/>
    <n v="13000"/>
    <x v="54"/>
    <s v="Target Achieved"/>
  </r>
  <r>
    <s v="S1443"/>
    <s v="Aditya Patil"/>
    <s v="C201"/>
    <x v="0"/>
    <s v="B1"/>
    <x v="0"/>
    <x v="1"/>
    <n v="13173"/>
    <s v="DISC15"/>
    <m/>
    <n v="14000"/>
    <x v="57"/>
    <s v="Below Target"/>
  </r>
  <r>
    <s v="S1444"/>
    <s v="Rahul Verma"/>
    <s v="C204"/>
    <x v="3"/>
    <s v="B1"/>
    <x v="2"/>
    <x v="1"/>
    <n v="9202"/>
    <s v="DISC15"/>
    <m/>
    <n v="9000"/>
    <x v="12"/>
    <s v="Target Achieved"/>
  </r>
  <r>
    <s v="S1445"/>
    <s v="Aditya Shah"/>
    <s v="C203"/>
    <x v="1"/>
    <s v="B1"/>
    <x v="2"/>
    <x v="0"/>
    <n v="18990"/>
    <s v="DISC20"/>
    <n v="0.2"/>
    <n v="17000"/>
    <x v="36"/>
    <s v="Target Achieved"/>
  </r>
  <r>
    <s v="S1446"/>
    <s v="Pooja Verma"/>
    <s v="C201"/>
    <x v="0"/>
    <s v="B2"/>
    <x v="2"/>
    <x v="2"/>
    <n v="14989"/>
    <s v="DISC20"/>
    <n v="0.2"/>
    <n v="14000"/>
    <x v="55"/>
    <s v="Target Achieved"/>
  </r>
  <r>
    <s v="S1447"/>
    <s v="Sneha Shah"/>
    <s v="C204"/>
    <x v="3"/>
    <s v="B1"/>
    <x v="0"/>
    <x v="1"/>
    <n v="9493"/>
    <s v="DISC10"/>
    <n v="0.1"/>
    <n v="9000"/>
    <x v="47"/>
    <s v="Target Achieved"/>
  </r>
  <r>
    <s v="S1448"/>
    <s v="Rohit Desai"/>
    <s v="C202"/>
    <x v="2"/>
    <s v="B1"/>
    <x v="1"/>
    <x v="1"/>
    <n v="11562"/>
    <s v="DISC10"/>
    <n v="0.1"/>
    <n v="13000"/>
    <x v="9"/>
    <s v="Below Target"/>
  </r>
  <r>
    <s v="S1449"/>
    <s v="Neha Jain"/>
    <s v="C203"/>
    <x v="1"/>
    <s v="B1"/>
    <x v="0"/>
    <x v="0"/>
    <n v="18071"/>
    <s v="DISC30"/>
    <n v="0.3"/>
    <n v="17000"/>
    <x v="60"/>
    <s v="Target Achieved"/>
  </r>
  <r>
    <s v="S1450"/>
    <s v="Kunal Shah"/>
    <s v="C201"/>
    <x v="0"/>
    <s v="B2"/>
    <x v="0"/>
    <x v="2"/>
    <n v="14145"/>
    <s v="DISC10"/>
    <n v="0.1"/>
    <n v="14000"/>
    <x v="41"/>
    <s v="Target Achieved"/>
  </r>
  <r>
    <s v="S1451"/>
    <s v="Anjali Joshi"/>
    <s v="C201"/>
    <x v="0"/>
    <s v="B2"/>
    <x v="0"/>
    <x v="1"/>
    <n v="13475"/>
    <s v="DISC10"/>
    <n v="0.1"/>
    <n v="14000"/>
    <x v="20"/>
    <s v="Below Target"/>
  </r>
  <r>
    <s v="S1452"/>
    <s v="Meera Joshi"/>
    <s v="C202"/>
    <x v="2"/>
    <s v="B2"/>
    <x v="1"/>
    <x v="2"/>
    <n v="14167"/>
    <s v="DISC10"/>
    <n v="0.1"/>
    <n v="13000"/>
    <x v="48"/>
    <s v="Target Achieved"/>
  </r>
  <r>
    <s v="S1453"/>
    <s v="Kavita Singh"/>
    <s v="C201"/>
    <x v="0"/>
    <s v="B1"/>
    <x v="2"/>
    <x v="1"/>
    <n v="12010"/>
    <s v="DISC10"/>
    <n v="0.1"/>
    <n v="14000"/>
    <x v="4"/>
    <s v="Below Target"/>
  </r>
  <r>
    <s v="S1454"/>
    <s v="Meera Kulkarni"/>
    <s v="C202"/>
    <x v="2"/>
    <s v="B1"/>
    <x v="0"/>
    <x v="2"/>
    <n v="12568"/>
    <s v="DISC20"/>
    <n v="0.2"/>
    <n v="13000"/>
    <x v="53"/>
    <s v="Below Target"/>
  </r>
  <r>
    <s v="S1455"/>
    <s v="Kunal Nair"/>
    <s v="C201"/>
    <x v="0"/>
    <s v="B3"/>
    <x v="2"/>
    <x v="1"/>
    <n v="14685"/>
    <m/>
    <m/>
    <n v="14000"/>
    <x v="24"/>
    <s v="Target Achieved"/>
  </r>
  <r>
    <s v="S1456"/>
    <s v="Pooja Patil"/>
    <s v="C204"/>
    <x v="3"/>
    <s v="B3"/>
    <x v="0"/>
    <x v="2"/>
    <n v="10383"/>
    <s v="DISC10"/>
    <n v="0.1"/>
    <n v="9000"/>
    <x v="52"/>
    <s v="Target Achieved"/>
  </r>
  <r>
    <s v="S1457"/>
    <s v="Pooja Shah"/>
    <s v="C201"/>
    <x v="0"/>
    <s v="B1"/>
    <x v="1"/>
    <x v="1"/>
    <n v="12188"/>
    <m/>
    <m/>
    <n v="14000"/>
    <x v="11"/>
    <s v="Below Target"/>
  </r>
  <r>
    <s v="S1458"/>
    <s v="Kunal Iyer"/>
    <s v="C203"/>
    <x v="1"/>
    <s v="B2"/>
    <x v="0"/>
    <x v="0"/>
    <n v="17265"/>
    <m/>
    <m/>
    <n v="17000"/>
    <x v="54"/>
    <s v="Target Achieved"/>
  </r>
  <r>
    <s v="S1459"/>
    <s v="Pooja Patil"/>
    <s v="C203"/>
    <x v="1"/>
    <s v="B3"/>
    <x v="0"/>
    <x v="1"/>
    <n v="17550"/>
    <s v="DISC20"/>
    <n v="0.2"/>
    <n v="17000"/>
    <x v="44"/>
    <s v="Target Achieved"/>
  </r>
  <r>
    <s v="S1460"/>
    <s v="Pooja Joshi"/>
    <s v="C204"/>
    <x v="3"/>
    <s v="B1"/>
    <x v="2"/>
    <x v="1"/>
    <n v="10114"/>
    <s v="DISC20"/>
    <n v="0.2"/>
    <n v="9000"/>
    <x v="12"/>
    <s v="Target Achieved"/>
  </r>
  <r>
    <s v="S1461"/>
    <s v="Aarav Verma"/>
    <s v="C201"/>
    <x v="0"/>
    <s v="B1"/>
    <x v="2"/>
    <x v="2"/>
    <n v="14604"/>
    <s v="DISC10"/>
    <n v="0.1"/>
    <n v="14000"/>
    <x v="21"/>
    <s v="Target Achieved"/>
  </r>
  <r>
    <s v="S1462"/>
    <s v="Pooja Kulkarni"/>
    <s v="C204"/>
    <x v="3"/>
    <s v="B3"/>
    <x v="2"/>
    <x v="2"/>
    <n v="7425"/>
    <s v="DISC20"/>
    <n v="0.2"/>
    <n v="9000"/>
    <x v="42"/>
    <s v="Below Target"/>
  </r>
  <r>
    <s v="S1463"/>
    <s v="Sneha Verma"/>
    <s v="C204"/>
    <x v="3"/>
    <s v="B1"/>
    <x v="1"/>
    <x v="1"/>
    <n v="8146"/>
    <s v="DISC10"/>
    <n v="0.1"/>
    <n v="9000"/>
    <x v="34"/>
    <s v="Below Target"/>
  </r>
  <r>
    <s v="S1464"/>
    <s v="Kunal Patil"/>
    <s v="C204"/>
    <x v="3"/>
    <s v="B3"/>
    <x v="0"/>
    <x v="2"/>
    <n v="10991"/>
    <s v="DISC10"/>
    <n v="0.1"/>
    <n v="9000"/>
    <x v="29"/>
    <s v="Target Achieved"/>
  </r>
  <r>
    <s v="S1465"/>
    <s v="Riya Gupta"/>
    <s v="C202"/>
    <x v="2"/>
    <s v="B3"/>
    <x v="0"/>
    <x v="0"/>
    <n v="13424"/>
    <s v="DISC15"/>
    <m/>
    <n v="13000"/>
    <x v="55"/>
    <s v="Target Achieved"/>
  </r>
  <r>
    <s v="S1466"/>
    <s v="Rahul Singh"/>
    <s v="C202"/>
    <x v="2"/>
    <s v="B1"/>
    <x v="0"/>
    <x v="2"/>
    <n v="14485"/>
    <s v="DISC30"/>
    <n v="0.3"/>
    <n v="13000"/>
    <x v="5"/>
    <s v="Target Achieved"/>
  </r>
  <r>
    <s v="S1467"/>
    <s v="Dev Verma"/>
    <s v="C203"/>
    <x v="1"/>
    <s v="B2"/>
    <x v="0"/>
    <x v="2"/>
    <n v="15956"/>
    <s v="DISC10"/>
    <n v="0.1"/>
    <n v="17000"/>
    <x v="21"/>
    <s v="Below Target"/>
  </r>
  <r>
    <s v="S1468"/>
    <s v="Sneha Mehta"/>
    <s v="C201"/>
    <x v="0"/>
    <s v="B1"/>
    <x v="1"/>
    <x v="0"/>
    <n v="13841"/>
    <m/>
    <m/>
    <n v="14000"/>
    <x v="31"/>
    <s v="Below Target"/>
  </r>
  <r>
    <s v="S1469"/>
    <s v="Rahul Shah"/>
    <s v="C203"/>
    <x v="1"/>
    <s v="B1"/>
    <x v="0"/>
    <x v="2"/>
    <n v="16897"/>
    <s v="DISC30"/>
    <n v="0.3"/>
    <n v="17000"/>
    <x v="4"/>
    <s v="Below Target"/>
  </r>
  <r>
    <s v="S1470"/>
    <s v="Riya Shah"/>
    <s v="C202"/>
    <x v="2"/>
    <s v="B3"/>
    <x v="0"/>
    <x v="1"/>
    <n v="13854"/>
    <s v="DISC15"/>
    <m/>
    <n v="13000"/>
    <x v="34"/>
    <s v="Target Achieved"/>
  </r>
  <r>
    <s v="S1471"/>
    <s v="Sneha Nair"/>
    <s v="C203"/>
    <x v="1"/>
    <s v="B1"/>
    <x v="1"/>
    <x v="1"/>
    <n v="16016"/>
    <s v="DISC30"/>
    <n v="0.3"/>
    <n v="17000"/>
    <x v="32"/>
    <s v="Below Target"/>
  </r>
  <r>
    <s v="S1472"/>
    <s v="Manish Kulkarni"/>
    <s v="C203"/>
    <x v="1"/>
    <s v="B2"/>
    <x v="1"/>
    <x v="0"/>
    <n v="18899"/>
    <m/>
    <m/>
    <n v="17000"/>
    <x v="4"/>
    <s v="Target Achieved"/>
  </r>
  <r>
    <s v="S1473"/>
    <s v="Neha Gupta"/>
    <s v="C202"/>
    <x v="2"/>
    <s v="B1"/>
    <x v="0"/>
    <x v="0"/>
    <n v="14292"/>
    <s v="DISC20"/>
    <n v="0.2"/>
    <n v="13000"/>
    <x v="17"/>
    <s v="Target Achieved"/>
  </r>
  <r>
    <s v="S1474"/>
    <s v="Aarav Kulkarni"/>
    <s v="C202"/>
    <x v="2"/>
    <s v="B1"/>
    <x v="1"/>
    <x v="2"/>
    <n v="12524"/>
    <s v="DISC10"/>
    <n v="0.1"/>
    <n v="13000"/>
    <x v="29"/>
    <s v="Below Target"/>
  </r>
  <r>
    <s v="S1475"/>
    <s v="Kavita Rao"/>
    <s v="C201"/>
    <x v="0"/>
    <s v="B1"/>
    <x v="1"/>
    <x v="0"/>
    <n v="15696"/>
    <m/>
    <m/>
    <n v="14000"/>
    <x v="50"/>
    <s v="Target Achieved"/>
  </r>
  <r>
    <s v="S1476"/>
    <s v="Karan Shah"/>
    <s v="C203"/>
    <x v="1"/>
    <s v="B1"/>
    <x v="1"/>
    <x v="2"/>
    <n v="15207"/>
    <s v="DISC20"/>
    <n v="0.2"/>
    <n v="17000"/>
    <x v="5"/>
    <s v="Below Target"/>
  </r>
  <r>
    <s v="S1477"/>
    <s v="Kavita Verma"/>
    <s v="C204"/>
    <x v="3"/>
    <s v="B2"/>
    <x v="1"/>
    <x v="2"/>
    <n v="9798"/>
    <m/>
    <m/>
    <n v="9000"/>
    <x v="53"/>
    <s v="Target Achieved"/>
  </r>
  <r>
    <s v="S1478"/>
    <s v="Pooja Patil"/>
    <s v="C202"/>
    <x v="2"/>
    <s v="B2"/>
    <x v="0"/>
    <x v="2"/>
    <n v="14618"/>
    <s v="DISC20"/>
    <n v="0.2"/>
    <n v="13000"/>
    <x v="34"/>
    <s v="Target Achieved"/>
  </r>
  <r>
    <s v="S1479"/>
    <s v="Kavita Joshi"/>
    <s v="C202"/>
    <x v="2"/>
    <s v="B3"/>
    <x v="0"/>
    <x v="2"/>
    <n v="12687"/>
    <s v="DISC15"/>
    <m/>
    <n v="13000"/>
    <x v="30"/>
    <s v="Below Target"/>
  </r>
  <r>
    <s v="S1480"/>
    <s v="Aarav Shah"/>
    <s v="C203"/>
    <x v="1"/>
    <s v="B2"/>
    <x v="1"/>
    <x v="2"/>
    <n v="15816"/>
    <s v="DISC15"/>
    <m/>
    <n v="17000"/>
    <x v="27"/>
    <s v="Below Target"/>
  </r>
  <r>
    <s v="S1481"/>
    <s v="Rohit Patel"/>
    <s v="C201"/>
    <x v="0"/>
    <s v="B2"/>
    <x v="2"/>
    <x v="2"/>
    <n v="13964"/>
    <s v="DISC15"/>
    <m/>
    <n v="14000"/>
    <x v="38"/>
    <s v="Below Target"/>
  </r>
  <r>
    <s v="S1482"/>
    <s v="Neha Jain"/>
    <s v="C203"/>
    <x v="1"/>
    <s v="B2"/>
    <x v="0"/>
    <x v="0"/>
    <n v="15106"/>
    <s v="DISC30"/>
    <n v="0.3"/>
    <n v="17000"/>
    <x v="15"/>
    <s v="Below Target"/>
  </r>
  <r>
    <s v="S1483"/>
    <s v="Sneha Kulkarni"/>
    <s v="C203"/>
    <x v="1"/>
    <s v="B1"/>
    <x v="0"/>
    <x v="1"/>
    <n v="16464"/>
    <s v="DISC15"/>
    <m/>
    <n v="17000"/>
    <x v="24"/>
    <s v="Below Target"/>
  </r>
  <r>
    <s v="S1484"/>
    <s v="Karan Shah"/>
    <s v="C202"/>
    <x v="2"/>
    <s v="B3"/>
    <x v="1"/>
    <x v="2"/>
    <n v="13185"/>
    <s v="DISC10"/>
    <n v="0.1"/>
    <n v="13000"/>
    <x v="46"/>
    <s v="Target Achieved"/>
  </r>
  <r>
    <s v="S1485"/>
    <s v="Sneha Joshi"/>
    <s v="C204"/>
    <x v="3"/>
    <s v="B2"/>
    <x v="1"/>
    <x v="0"/>
    <n v="7968"/>
    <s v="DISC15"/>
    <m/>
    <n v="9000"/>
    <x v="31"/>
    <s v="Below Target"/>
  </r>
  <r>
    <s v="S1486"/>
    <s v="Dev Desai"/>
    <s v="C203"/>
    <x v="1"/>
    <s v="B3"/>
    <x v="1"/>
    <x v="1"/>
    <n v="17869"/>
    <s v="DISC30"/>
    <n v="0.3"/>
    <n v="17000"/>
    <x v="21"/>
    <s v="Target Achieved"/>
  </r>
  <r>
    <s v="S1487"/>
    <s v="Kavita Joshi"/>
    <s v="C202"/>
    <x v="2"/>
    <s v="B3"/>
    <x v="1"/>
    <x v="2"/>
    <n v="13220"/>
    <s v="DISC30"/>
    <n v="0.3"/>
    <n v="13000"/>
    <x v="53"/>
    <s v="Target Achieved"/>
  </r>
  <r>
    <s v="S1488"/>
    <s v="Neha Kulkarni"/>
    <s v="C201"/>
    <x v="0"/>
    <s v="B1"/>
    <x v="1"/>
    <x v="1"/>
    <n v="12896"/>
    <s v="DISC10"/>
    <n v="0.1"/>
    <n v="14000"/>
    <x v="42"/>
    <s v="Below Target"/>
  </r>
  <r>
    <s v="S1489"/>
    <s v="Neha Kulkarni"/>
    <s v="C203"/>
    <x v="1"/>
    <s v="B3"/>
    <x v="1"/>
    <x v="0"/>
    <n v="16395"/>
    <s v="DISC20"/>
    <n v="0.2"/>
    <n v="17000"/>
    <x v="58"/>
    <s v="Below Target"/>
  </r>
  <r>
    <s v="S1490"/>
    <s v="Dev Nair"/>
    <s v="C203"/>
    <x v="1"/>
    <s v="B1"/>
    <x v="1"/>
    <x v="0"/>
    <n v="17402"/>
    <s v="DISC20"/>
    <n v="0.2"/>
    <n v="17000"/>
    <x v="57"/>
    <s v="Target Achieved"/>
  </r>
  <r>
    <s v="S1491"/>
    <s v="Riya Nair"/>
    <s v="C203"/>
    <x v="1"/>
    <s v="B1"/>
    <x v="0"/>
    <x v="1"/>
    <n v="18858"/>
    <m/>
    <m/>
    <n v="17000"/>
    <x v="29"/>
    <s v="Target Achieved"/>
  </r>
  <r>
    <s v="S1492"/>
    <s v="Riya Jain"/>
    <s v="C203"/>
    <x v="1"/>
    <s v="B2"/>
    <x v="1"/>
    <x v="0"/>
    <n v="17999"/>
    <m/>
    <m/>
    <n v="17000"/>
    <x v="38"/>
    <s v="Target Achieved"/>
  </r>
  <r>
    <s v="S1493"/>
    <s v="Rohit Iyer"/>
    <s v="C203"/>
    <x v="1"/>
    <s v="B1"/>
    <x v="2"/>
    <x v="1"/>
    <n v="17840"/>
    <s v="DISC15"/>
    <m/>
    <n v="17000"/>
    <x v="38"/>
    <s v="Target Achieved"/>
  </r>
  <r>
    <s v="S1494"/>
    <s v="Pooja Patil"/>
    <s v="C202"/>
    <x v="2"/>
    <s v="B2"/>
    <x v="0"/>
    <x v="1"/>
    <n v="13820"/>
    <s v="DISC30"/>
    <n v="0.3"/>
    <n v="13000"/>
    <x v="59"/>
    <s v="Target Achieved"/>
  </r>
  <r>
    <s v="S1495"/>
    <s v="Karan Desai"/>
    <s v="C201"/>
    <x v="0"/>
    <s v="B3"/>
    <x v="2"/>
    <x v="2"/>
    <n v="15484"/>
    <s v="DISC15"/>
    <m/>
    <n v="14000"/>
    <x v="34"/>
    <s v="Target Achieved"/>
  </r>
  <r>
    <s v="S1496"/>
    <s v="Karan Joshi"/>
    <s v="C203"/>
    <x v="1"/>
    <s v="B3"/>
    <x v="1"/>
    <x v="1"/>
    <n v="17316"/>
    <s v="DISC10"/>
    <n v="0.1"/>
    <n v="17000"/>
    <x v="5"/>
    <s v="Target Achieved"/>
  </r>
  <r>
    <s v="S1497"/>
    <s v="Neha Mehta"/>
    <s v="C203"/>
    <x v="1"/>
    <s v="B3"/>
    <x v="1"/>
    <x v="0"/>
    <n v="16420"/>
    <s v="DISC30"/>
    <n v="0.3"/>
    <n v="17000"/>
    <x v="9"/>
    <s v="Below Target"/>
  </r>
  <r>
    <s v="S1498"/>
    <s v="Rohit Shah"/>
    <s v="C203"/>
    <x v="1"/>
    <s v="B2"/>
    <x v="1"/>
    <x v="2"/>
    <n v="15858"/>
    <s v="DISC20"/>
    <n v="0.2"/>
    <n v="17000"/>
    <x v="8"/>
    <s v="Below Target"/>
  </r>
  <r>
    <s v="S1499"/>
    <s v="Riya Jain"/>
    <s v="C203"/>
    <x v="1"/>
    <s v="B1"/>
    <x v="2"/>
    <x v="0"/>
    <n v="15197"/>
    <m/>
    <m/>
    <n v="17000"/>
    <x v="22"/>
    <s v="Below Target"/>
  </r>
  <r>
    <s v="S1500"/>
    <s v="Anjali Verma"/>
    <s v="C202"/>
    <x v="2"/>
    <s v="B2"/>
    <x v="0"/>
    <x v="2"/>
    <n v="12438"/>
    <s v="DISC15"/>
    <m/>
    <n v="13000"/>
    <x v="7"/>
    <s v="Below Target"/>
  </r>
  <r>
    <s v="S1501"/>
    <s v="Riya Nair"/>
    <s v="C204"/>
    <x v="3"/>
    <s v="B3"/>
    <x v="2"/>
    <x v="1"/>
    <n v="7923"/>
    <s v="DISC20"/>
    <n v="0.2"/>
    <n v="9000"/>
    <x v="22"/>
    <s v="Below Target"/>
  </r>
  <r>
    <s v="S1502"/>
    <s v="Riya Patel"/>
    <s v="C201"/>
    <x v="0"/>
    <s v="B2"/>
    <x v="1"/>
    <x v="2"/>
    <n v="13069"/>
    <s v="DISC10"/>
    <n v="0.1"/>
    <n v="14000"/>
    <x v="11"/>
    <s v="Below Target"/>
  </r>
  <r>
    <s v="S1503"/>
    <s v="Pooja Mehta"/>
    <s v="C204"/>
    <x v="3"/>
    <s v="B1"/>
    <x v="2"/>
    <x v="0"/>
    <n v="9240"/>
    <s v="DISC10"/>
    <n v="0.1"/>
    <n v="9000"/>
    <x v="40"/>
    <s v="Target Achieved"/>
  </r>
  <r>
    <s v="S1504"/>
    <s v="Kavita Joshi"/>
    <s v="C204"/>
    <x v="3"/>
    <s v="B3"/>
    <x v="1"/>
    <x v="2"/>
    <n v="10860"/>
    <s v="DISC20"/>
    <n v="0.2"/>
    <n v="9000"/>
    <x v="15"/>
    <s v="Target Achieved"/>
  </r>
  <r>
    <s v="S1505"/>
    <s v="Kunal Verma"/>
    <s v="C202"/>
    <x v="2"/>
    <s v="B1"/>
    <x v="1"/>
    <x v="2"/>
    <n v="11841"/>
    <s v="DISC20"/>
    <n v="0.2"/>
    <n v="13000"/>
    <x v="2"/>
    <s v="Below Target"/>
  </r>
  <r>
    <s v="S1506"/>
    <s v="Anjali Gupta"/>
    <s v="C203"/>
    <x v="1"/>
    <s v="B3"/>
    <x v="0"/>
    <x v="2"/>
    <n v="15972"/>
    <s v="DISC10"/>
    <n v="0.1"/>
    <n v="17000"/>
    <x v="55"/>
    <s v="Below Target"/>
  </r>
  <r>
    <s v="S1507"/>
    <s v="Rahul Joshi"/>
    <s v="C204"/>
    <x v="3"/>
    <s v="B1"/>
    <x v="1"/>
    <x v="2"/>
    <n v="7015"/>
    <m/>
    <m/>
    <n v="9000"/>
    <x v="14"/>
    <s v="Below Target"/>
  </r>
  <r>
    <s v="S1508"/>
    <s v="Aditya Nair"/>
    <s v="C204"/>
    <x v="3"/>
    <s v="B1"/>
    <x v="1"/>
    <x v="0"/>
    <n v="7847"/>
    <s v="DISC20"/>
    <n v="0.2"/>
    <n v="9000"/>
    <x v="56"/>
    <s v="Below Target"/>
  </r>
  <r>
    <s v="S1509"/>
    <s v="Aditya Shah"/>
    <s v="C204"/>
    <x v="3"/>
    <s v="B1"/>
    <x v="0"/>
    <x v="2"/>
    <n v="8928"/>
    <m/>
    <m/>
    <n v="9000"/>
    <x v="48"/>
    <s v="Below Target"/>
  </r>
  <r>
    <s v="S1510"/>
    <s v="Rohit Rao"/>
    <s v="C201"/>
    <x v="0"/>
    <s v="B3"/>
    <x v="2"/>
    <x v="2"/>
    <n v="12757"/>
    <s v="DISC30"/>
    <n v="0.3"/>
    <n v="14000"/>
    <x v="43"/>
    <s v="Below Target"/>
  </r>
  <r>
    <s v="S1511"/>
    <s v="Rahul Jain"/>
    <s v="C202"/>
    <x v="2"/>
    <s v="B2"/>
    <x v="1"/>
    <x v="2"/>
    <n v="12801"/>
    <m/>
    <m/>
    <n v="13000"/>
    <x v="41"/>
    <s v="Below Target"/>
  </r>
  <r>
    <s v="S1512"/>
    <s v="Sneha Nair"/>
    <s v="C203"/>
    <x v="1"/>
    <s v="B3"/>
    <x v="1"/>
    <x v="0"/>
    <n v="18081"/>
    <s v="DISC10"/>
    <n v="0.1"/>
    <n v="17000"/>
    <x v="14"/>
    <s v="Target Achieved"/>
  </r>
  <r>
    <s v="S1513"/>
    <s v="Rohit Jain"/>
    <s v="C204"/>
    <x v="3"/>
    <s v="B3"/>
    <x v="1"/>
    <x v="1"/>
    <n v="7249"/>
    <m/>
    <m/>
    <n v="9000"/>
    <x v="39"/>
    <s v="Below Target"/>
  </r>
  <r>
    <s v="S1514"/>
    <s v="Manish Verma"/>
    <s v="C204"/>
    <x v="3"/>
    <s v="B3"/>
    <x v="1"/>
    <x v="2"/>
    <n v="8224"/>
    <s v="DISC10"/>
    <n v="0.1"/>
    <n v="9000"/>
    <x v="32"/>
    <s v="Below Target"/>
  </r>
  <r>
    <s v="S1515"/>
    <s v="Kunal Nair"/>
    <s v="C201"/>
    <x v="0"/>
    <s v="B3"/>
    <x v="2"/>
    <x v="1"/>
    <n v="15278"/>
    <s v="DISC15"/>
    <m/>
    <n v="14000"/>
    <x v="26"/>
    <s v="Target Achieved"/>
  </r>
  <r>
    <s v="S1516"/>
    <s v="Kavita Mehta"/>
    <s v="C201"/>
    <x v="0"/>
    <s v="B2"/>
    <x v="1"/>
    <x v="0"/>
    <n v="15981"/>
    <s v="DISC20"/>
    <n v="0.2"/>
    <n v="14000"/>
    <x v="50"/>
    <s v="Target Achieved"/>
  </r>
  <r>
    <s v="S1517"/>
    <s v="Sneha Mehta"/>
    <s v="C201"/>
    <x v="0"/>
    <s v="B2"/>
    <x v="1"/>
    <x v="1"/>
    <n v="13783"/>
    <s v="DISC20"/>
    <n v="0.2"/>
    <n v="14000"/>
    <x v="39"/>
    <s v="Below Target"/>
  </r>
  <r>
    <s v="S1518"/>
    <s v="Rohit Mehta"/>
    <s v="C203"/>
    <x v="1"/>
    <s v="B2"/>
    <x v="2"/>
    <x v="0"/>
    <n v="15356"/>
    <m/>
    <m/>
    <n v="17000"/>
    <x v="35"/>
    <s v="Below Target"/>
  </r>
  <r>
    <s v="S1519"/>
    <s v="Rahul Gupta"/>
    <s v="C203"/>
    <x v="1"/>
    <s v="B2"/>
    <x v="2"/>
    <x v="2"/>
    <n v="18756"/>
    <s v="DISC10"/>
    <n v="0.1"/>
    <n v="17000"/>
    <x v="38"/>
    <s v="Target Achieved"/>
  </r>
  <r>
    <s v="S1520"/>
    <s v="Anjali Joshi"/>
    <s v="C204"/>
    <x v="3"/>
    <s v="B1"/>
    <x v="0"/>
    <x v="0"/>
    <n v="7607"/>
    <s v="DISC15"/>
    <m/>
    <n v="9000"/>
    <x v="29"/>
    <s v="Below Target"/>
  </r>
  <r>
    <s v="S1521"/>
    <s v="Kavita Patel"/>
    <s v="C201"/>
    <x v="0"/>
    <s v="B1"/>
    <x v="2"/>
    <x v="0"/>
    <n v="15218"/>
    <s v="DISC30"/>
    <n v="0.3"/>
    <n v="14000"/>
    <x v="16"/>
    <s v="Target Achieved"/>
  </r>
  <r>
    <s v="S1522"/>
    <s v="Manish Jain"/>
    <s v="C204"/>
    <x v="3"/>
    <s v="B2"/>
    <x v="0"/>
    <x v="1"/>
    <n v="8988"/>
    <s v="DISC15"/>
    <m/>
    <n v="9000"/>
    <x v="15"/>
    <s v="Below Target"/>
  </r>
  <r>
    <s v="S1523"/>
    <s v="Neha Kulkarni"/>
    <s v="C202"/>
    <x v="2"/>
    <s v="B2"/>
    <x v="0"/>
    <x v="0"/>
    <n v="13532"/>
    <s v="DISC15"/>
    <m/>
    <n v="13000"/>
    <x v="26"/>
    <s v="Target Achieved"/>
  </r>
  <r>
    <s v="S1524"/>
    <s v="Anjali Verma"/>
    <s v="C201"/>
    <x v="0"/>
    <s v="B2"/>
    <x v="0"/>
    <x v="1"/>
    <n v="12973"/>
    <s v="DISC10"/>
    <n v="0.1"/>
    <n v="14000"/>
    <x v="0"/>
    <s v="Below Target"/>
  </r>
  <r>
    <s v="S1525"/>
    <s v="Neha Rao"/>
    <s v="C203"/>
    <x v="1"/>
    <s v="B1"/>
    <x v="0"/>
    <x v="2"/>
    <n v="16273"/>
    <s v="DISC30"/>
    <n v="0.3"/>
    <n v="17000"/>
    <x v="10"/>
    <s v="Below Target"/>
  </r>
  <r>
    <s v="S1526"/>
    <s v="Neha Nair"/>
    <s v="C201"/>
    <x v="0"/>
    <s v="B1"/>
    <x v="1"/>
    <x v="2"/>
    <n v="15990"/>
    <m/>
    <m/>
    <n v="14000"/>
    <x v="57"/>
    <s v="Target Achieved"/>
  </r>
  <r>
    <s v="S1527"/>
    <s v="Meera Jain"/>
    <s v="C203"/>
    <x v="1"/>
    <s v="B3"/>
    <x v="0"/>
    <x v="1"/>
    <n v="17644"/>
    <s v="DISC10"/>
    <n v="0.1"/>
    <n v="17000"/>
    <x v="19"/>
    <s v="Target Achieved"/>
  </r>
  <r>
    <s v="S1528"/>
    <s v="Neha Patil"/>
    <s v="C204"/>
    <x v="3"/>
    <s v="B3"/>
    <x v="0"/>
    <x v="1"/>
    <n v="10552"/>
    <s v="DISC30"/>
    <n v="0.3"/>
    <n v="9000"/>
    <x v="39"/>
    <s v="Target Achieved"/>
  </r>
  <r>
    <s v="S1529"/>
    <s v="Aarav Gupta"/>
    <s v="C202"/>
    <x v="2"/>
    <s v="B1"/>
    <x v="0"/>
    <x v="1"/>
    <n v="13075"/>
    <m/>
    <m/>
    <n v="13000"/>
    <x v="59"/>
    <s v="Target Achieved"/>
  </r>
  <r>
    <s v="S1530"/>
    <s v="Dev Nair"/>
    <s v="C201"/>
    <x v="0"/>
    <s v="B1"/>
    <x v="1"/>
    <x v="0"/>
    <n v="15428"/>
    <s v="DISC10"/>
    <n v="0.1"/>
    <n v="14000"/>
    <x v="27"/>
    <s v="Target Achieved"/>
  </r>
  <r>
    <s v="S1531"/>
    <s v="Aarav Iyer"/>
    <s v="C201"/>
    <x v="0"/>
    <s v="B2"/>
    <x v="2"/>
    <x v="0"/>
    <n v="13122"/>
    <s v="DISC30"/>
    <n v="0.3"/>
    <n v="14000"/>
    <x v="39"/>
    <s v="Below Target"/>
  </r>
  <r>
    <s v="S1532"/>
    <s v="Neha Gupta"/>
    <s v="C204"/>
    <x v="3"/>
    <s v="B3"/>
    <x v="1"/>
    <x v="1"/>
    <n v="7125"/>
    <s v="DISC20"/>
    <n v="0.2"/>
    <n v="9000"/>
    <x v="51"/>
    <s v="Below Target"/>
  </r>
  <r>
    <s v="S1533"/>
    <s v="Neha Joshi"/>
    <s v="C204"/>
    <x v="3"/>
    <s v="B1"/>
    <x v="0"/>
    <x v="1"/>
    <n v="9258"/>
    <s v="DISC30"/>
    <n v="0.3"/>
    <n v="9000"/>
    <x v="37"/>
    <s v="Target Achieved"/>
  </r>
  <r>
    <s v="S1534"/>
    <s v="Karan Nair"/>
    <s v="C203"/>
    <x v="1"/>
    <s v="B3"/>
    <x v="2"/>
    <x v="0"/>
    <n v="16167"/>
    <s v="DISC10"/>
    <n v="0.1"/>
    <n v="17000"/>
    <x v="7"/>
    <s v="Below Target"/>
  </r>
  <r>
    <s v="S1535"/>
    <s v="Aarav Mehta"/>
    <s v="C202"/>
    <x v="2"/>
    <s v="B1"/>
    <x v="2"/>
    <x v="0"/>
    <n v="13775"/>
    <s v="DISC20"/>
    <n v="0.2"/>
    <n v="13000"/>
    <x v="3"/>
    <s v="Target Achieved"/>
  </r>
  <r>
    <s v="S1536"/>
    <s v="Rohit Verma"/>
    <s v="C201"/>
    <x v="0"/>
    <s v="B3"/>
    <x v="1"/>
    <x v="2"/>
    <n v="15733"/>
    <s v="DISC20"/>
    <n v="0.2"/>
    <n v="14000"/>
    <x v="49"/>
    <s v="Target Achieved"/>
  </r>
  <r>
    <s v="S1537"/>
    <s v="Karan Joshi"/>
    <s v="C201"/>
    <x v="0"/>
    <s v="B1"/>
    <x v="0"/>
    <x v="1"/>
    <n v="15297"/>
    <s v="DISC30"/>
    <n v="0.3"/>
    <n v="14000"/>
    <x v="6"/>
    <s v="Target Achieved"/>
  </r>
  <r>
    <s v="S1538"/>
    <s v="Anjali Singh"/>
    <s v="C203"/>
    <x v="1"/>
    <s v="B2"/>
    <x v="0"/>
    <x v="2"/>
    <n v="16880"/>
    <s v="DISC30"/>
    <n v="0.3"/>
    <n v="17000"/>
    <x v="1"/>
    <s v="Below Target"/>
  </r>
  <r>
    <s v="S1539"/>
    <s v="Neha Rao"/>
    <s v="C204"/>
    <x v="3"/>
    <s v="B3"/>
    <x v="1"/>
    <x v="0"/>
    <n v="9095"/>
    <s v="DISC30"/>
    <n v="0.3"/>
    <n v="9000"/>
    <x v="35"/>
    <s v="Target Achieved"/>
  </r>
  <r>
    <s v="S1540"/>
    <s v="Rohit Joshi"/>
    <s v="C203"/>
    <x v="1"/>
    <s v="B2"/>
    <x v="2"/>
    <x v="0"/>
    <n v="16973"/>
    <s v="DISC10"/>
    <n v="0.1"/>
    <n v="17000"/>
    <x v="40"/>
    <s v="Below Target"/>
  </r>
  <r>
    <s v="S1541"/>
    <s v="Aditya Singh"/>
    <s v="C203"/>
    <x v="1"/>
    <s v="B2"/>
    <x v="0"/>
    <x v="1"/>
    <n v="17912"/>
    <s v="DISC30"/>
    <n v="0.3"/>
    <n v="17000"/>
    <x v="19"/>
    <s v="Target Achieved"/>
  </r>
  <r>
    <s v="S1542"/>
    <s v="Karan Gupta"/>
    <s v="C202"/>
    <x v="2"/>
    <s v="B1"/>
    <x v="2"/>
    <x v="2"/>
    <n v="13705"/>
    <s v="DISC30"/>
    <n v="0.3"/>
    <n v="13000"/>
    <x v="26"/>
    <s v="Target Achieved"/>
  </r>
  <r>
    <s v="S1543"/>
    <s v="Karan Desai"/>
    <s v="C201"/>
    <x v="0"/>
    <s v="B3"/>
    <x v="0"/>
    <x v="2"/>
    <n v="13062"/>
    <m/>
    <m/>
    <n v="14000"/>
    <x v="32"/>
    <s v="Below Target"/>
  </r>
  <r>
    <s v="S1544"/>
    <s v="Rahul Desai"/>
    <s v="C201"/>
    <x v="0"/>
    <s v="B3"/>
    <x v="2"/>
    <x v="1"/>
    <n v="15342"/>
    <s v="DISC20"/>
    <n v="0.2"/>
    <n v="14000"/>
    <x v="40"/>
    <s v="Target Achieved"/>
  </r>
  <r>
    <s v="S1545"/>
    <s v="Anjali Desai"/>
    <s v="C202"/>
    <x v="2"/>
    <s v="B3"/>
    <x v="2"/>
    <x v="1"/>
    <n v="14214"/>
    <m/>
    <m/>
    <n v="13000"/>
    <x v="58"/>
    <s v="Target Achieved"/>
  </r>
  <r>
    <s v="S1546"/>
    <s v="Rohit Jain"/>
    <s v="C203"/>
    <x v="1"/>
    <s v="B1"/>
    <x v="2"/>
    <x v="1"/>
    <n v="15741"/>
    <s v="DISC30"/>
    <n v="0.3"/>
    <n v="17000"/>
    <x v="25"/>
    <s v="Below Target"/>
  </r>
  <r>
    <s v="S1547"/>
    <s v="Neha Mehta"/>
    <s v="C203"/>
    <x v="1"/>
    <s v="B3"/>
    <x v="2"/>
    <x v="0"/>
    <n v="18878"/>
    <s v="DISC30"/>
    <n v="0.3"/>
    <n v="17000"/>
    <x v="49"/>
    <s v="Target Achieved"/>
  </r>
  <r>
    <s v="S1548"/>
    <s v="Riya Patil"/>
    <s v="C203"/>
    <x v="1"/>
    <s v="B1"/>
    <x v="2"/>
    <x v="2"/>
    <n v="16722"/>
    <s v="DISC30"/>
    <n v="0.3"/>
    <n v="17000"/>
    <x v="51"/>
    <s v="Below Target"/>
  </r>
  <r>
    <s v="S1549"/>
    <s v="Aditya Joshi"/>
    <s v="C203"/>
    <x v="1"/>
    <s v="B2"/>
    <x v="1"/>
    <x v="2"/>
    <n v="15219"/>
    <s v="DISC15"/>
    <m/>
    <n v="17000"/>
    <x v="29"/>
    <s v="Below Target"/>
  </r>
  <r>
    <s v="S1550"/>
    <s v="Kavita Shah"/>
    <s v="C204"/>
    <x v="3"/>
    <s v="B1"/>
    <x v="2"/>
    <x v="0"/>
    <n v="10553"/>
    <m/>
    <m/>
    <n v="9000"/>
    <x v="42"/>
    <s v="Target Achieved"/>
  </r>
  <r>
    <s v="S1551"/>
    <s v="Aditya Verma"/>
    <s v="C201"/>
    <x v="0"/>
    <s v="B1"/>
    <x v="1"/>
    <x v="0"/>
    <n v="13403"/>
    <m/>
    <m/>
    <n v="14000"/>
    <x v="52"/>
    <s v="Below Target"/>
  </r>
  <r>
    <s v="S1552"/>
    <s v="Kunal Iyer"/>
    <s v="C202"/>
    <x v="2"/>
    <s v="B2"/>
    <x v="2"/>
    <x v="0"/>
    <n v="14190"/>
    <s v="DISC10"/>
    <n v="0.1"/>
    <n v="13000"/>
    <x v="20"/>
    <s v="Target Achieved"/>
  </r>
  <r>
    <s v="S1553"/>
    <s v="Pooja Singh"/>
    <s v="C202"/>
    <x v="2"/>
    <s v="B2"/>
    <x v="2"/>
    <x v="0"/>
    <n v="11019"/>
    <m/>
    <m/>
    <n v="13000"/>
    <x v="3"/>
    <s v="Below Target"/>
  </r>
  <r>
    <s v="S1554"/>
    <s v="Sneha Patel"/>
    <s v="C202"/>
    <x v="2"/>
    <s v="B3"/>
    <x v="1"/>
    <x v="2"/>
    <n v="14216"/>
    <s v="DISC10"/>
    <n v="0.1"/>
    <n v="13000"/>
    <x v="59"/>
    <s v="Target Achieved"/>
  </r>
  <r>
    <s v="S1555"/>
    <s v="Kavita Verma"/>
    <s v="C204"/>
    <x v="3"/>
    <s v="B2"/>
    <x v="0"/>
    <x v="2"/>
    <n v="8570"/>
    <s v="DISC10"/>
    <n v="0.1"/>
    <n v="9000"/>
    <x v="34"/>
    <s v="Below Target"/>
  </r>
  <r>
    <s v="S1556"/>
    <s v="Manish Patil"/>
    <s v="C203"/>
    <x v="1"/>
    <s v="B1"/>
    <x v="0"/>
    <x v="1"/>
    <n v="15780"/>
    <s v="DISC10"/>
    <n v="0.1"/>
    <n v="17000"/>
    <x v="26"/>
    <s v="Below Target"/>
  </r>
  <r>
    <s v="S1557"/>
    <s v="Aarav Singh"/>
    <s v="C202"/>
    <x v="2"/>
    <s v="B1"/>
    <x v="2"/>
    <x v="2"/>
    <n v="12278"/>
    <s v="DISC20"/>
    <n v="0.2"/>
    <n v="13000"/>
    <x v="25"/>
    <s v="Below Target"/>
  </r>
  <r>
    <s v="S1558"/>
    <s v="Rahul Gupta"/>
    <s v="C203"/>
    <x v="1"/>
    <s v="B1"/>
    <x v="1"/>
    <x v="0"/>
    <n v="16221"/>
    <s v="DISC30"/>
    <n v="0.3"/>
    <n v="17000"/>
    <x v="44"/>
    <s v="Below Target"/>
  </r>
  <r>
    <s v="S1559"/>
    <s v="Anjali Gupta"/>
    <s v="C203"/>
    <x v="1"/>
    <s v="B2"/>
    <x v="2"/>
    <x v="0"/>
    <n v="16403"/>
    <m/>
    <m/>
    <n v="17000"/>
    <x v="37"/>
    <s v="Below Target"/>
  </r>
  <r>
    <s v="S1560"/>
    <s v="Dev Patil"/>
    <s v="C202"/>
    <x v="2"/>
    <s v="B2"/>
    <x v="1"/>
    <x v="0"/>
    <n v="11918"/>
    <s v="DISC20"/>
    <n v="0.2"/>
    <n v="13000"/>
    <x v="1"/>
    <s v="Below Target"/>
  </r>
  <r>
    <s v="S1561"/>
    <s v="Anjali Kulkarni"/>
    <s v="C202"/>
    <x v="2"/>
    <s v="B1"/>
    <x v="0"/>
    <x v="1"/>
    <n v="13664"/>
    <s v="DISC10"/>
    <n v="0.1"/>
    <n v="13000"/>
    <x v="7"/>
    <s v="Target Achieved"/>
  </r>
  <r>
    <s v="S1562"/>
    <s v="Kunal Singh"/>
    <s v="C203"/>
    <x v="1"/>
    <s v="B3"/>
    <x v="2"/>
    <x v="0"/>
    <n v="17432"/>
    <s v="DISC10"/>
    <n v="0.1"/>
    <n v="17000"/>
    <x v="45"/>
    <s v="Target Achieved"/>
  </r>
  <r>
    <s v="S1563"/>
    <s v="Riya Singh"/>
    <s v="C201"/>
    <x v="0"/>
    <s v="B1"/>
    <x v="2"/>
    <x v="0"/>
    <n v="13707"/>
    <m/>
    <m/>
    <n v="14000"/>
    <x v="7"/>
    <s v="Below Target"/>
  </r>
  <r>
    <s v="S1564"/>
    <s v="Riya Gupta"/>
    <s v="C203"/>
    <x v="1"/>
    <s v="B2"/>
    <x v="2"/>
    <x v="0"/>
    <n v="15841"/>
    <s v="DISC10"/>
    <n v="0.1"/>
    <n v="17000"/>
    <x v="47"/>
    <s v="Below Target"/>
  </r>
  <r>
    <s v="S1565"/>
    <s v="Rahul Singh"/>
    <s v="C201"/>
    <x v="0"/>
    <s v="B3"/>
    <x v="2"/>
    <x v="2"/>
    <n v="14550"/>
    <s v="DISC15"/>
    <m/>
    <n v="14000"/>
    <x v="8"/>
    <s v="Target Achieved"/>
  </r>
  <r>
    <s v="S1566"/>
    <s v="Karan Verma"/>
    <s v="C201"/>
    <x v="0"/>
    <s v="B3"/>
    <x v="2"/>
    <x v="1"/>
    <n v="12482"/>
    <s v="DISC30"/>
    <n v="0.3"/>
    <n v="14000"/>
    <x v="17"/>
    <s v="Below Target"/>
  </r>
  <r>
    <s v="S1567"/>
    <s v="Dev Shah"/>
    <s v="C204"/>
    <x v="3"/>
    <s v="B1"/>
    <x v="2"/>
    <x v="0"/>
    <n v="10186"/>
    <s v="DISC30"/>
    <n v="0.3"/>
    <n v="9000"/>
    <x v="10"/>
    <s v="Target Achieved"/>
  </r>
  <r>
    <s v="S1568"/>
    <s v="Manish Patil"/>
    <s v="C203"/>
    <x v="1"/>
    <s v="B3"/>
    <x v="0"/>
    <x v="2"/>
    <n v="15656"/>
    <s v="DISC10"/>
    <n v="0.1"/>
    <n v="17000"/>
    <x v="35"/>
    <s v="Below Target"/>
  </r>
  <r>
    <s v="S1569"/>
    <s v="Neha Patil"/>
    <s v="C204"/>
    <x v="3"/>
    <s v="B2"/>
    <x v="1"/>
    <x v="0"/>
    <n v="7052"/>
    <s v="DISC10"/>
    <n v="0.1"/>
    <n v="9000"/>
    <x v="58"/>
    <s v="Below Target"/>
  </r>
  <r>
    <s v="S1570"/>
    <s v="Riya Nair"/>
    <s v="C204"/>
    <x v="3"/>
    <s v="B1"/>
    <x v="1"/>
    <x v="1"/>
    <n v="7307"/>
    <s v="DISC10"/>
    <n v="0.1"/>
    <n v="9000"/>
    <x v="48"/>
    <s v="Below Target"/>
  </r>
  <r>
    <s v="S1571"/>
    <s v="Aditya Singh"/>
    <s v="C202"/>
    <x v="2"/>
    <s v="B2"/>
    <x v="0"/>
    <x v="2"/>
    <n v="12901"/>
    <s v="DISC10"/>
    <n v="0.1"/>
    <n v="13000"/>
    <x v="25"/>
    <s v="Below Target"/>
  </r>
  <r>
    <s v="S1572"/>
    <s v="Meera Mehta"/>
    <s v="C201"/>
    <x v="0"/>
    <s v="B2"/>
    <x v="0"/>
    <x v="1"/>
    <n v="13280"/>
    <m/>
    <m/>
    <n v="14000"/>
    <x v="0"/>
    <s v="Below Target"/>
  </r>
  <r>
    <s v="S1573"/>
    <s v="Riya Shah"/>
    <s v="C201"/>
    <x v="0"/>
    <s v="B1"/>
    <x v="1"/>
    <x v="1"/>
    <n v="14650"/>
    <s v="DISC20"/>
    <n v="0.2"/>
    <n v="14000"/>
    <x v="40"/>
    <s v="Target Achieved"/>
  </r>
  <r>
    <s v="S1574"/>
    <s v="Pooja Iyer"/>
    <s v="C203"/>
    <x v="1"/>
    <s v="B3"/>
    <x v="1"/>
    <x v="2"/>
    <n v="18338"/>
    <s v="DISC30"/>
    <n v="0.3"/>
    <n v="17000"/>
    <x v="53"/>
    <s v="Target Achieved"/>
  </r>
  <r>
    <s v="S1575"/>
    <s v="Riya Verma"/>
    <s v="C204"/>
    <x v="3"/>
    <s v="B2"/>
    <x v="0"/>
    <x v="2"/>
    <n v="9825"/>
    <m/>
    <m/>
    <n v="9000"/>
    <x v="50"/>
    <s v="Target Achieved"/>
  </r>
  <r>
    <s v="S1576"/>
    <s v="Rahul Singh"/>
    <s v="C202"/>
    <x v="2"/>
    <s v="B1"/>
    <x v="1"/>
    <x v="1"/>
    <n v="13975"/>
    <s v="DISC10"/>
    <n v="0.1"/>
    <n v="13000"/>
    <x v="21"/>
    <s v="Target Achieved"/>
  </r>
  <r>
    <s v="S1577"/>
    <s v="Meera Mehta"/>
    <s v="C201"/>
    <x v="0"/>
    <s v="B2"/>
    <x v="2"/>
    <x v="2"/>
    <n v="15286"/>
    <s v="DISC15"/>
    <m/>
    <n v="14000"/>
    <x v="26"/>
    <s v="Target Achieved"/>
  </r>
  <r>
    <s v="S1578"/>
    <s v="Neha Mehta"/>
    <s v="C204"/>
    <x v="3"/>
    <s v="B2"/>
    <x v="2"/>
    <x v="0"/>
    <n v="10533"/>
    <s v="DISC20"/>
    <n v="0.2"/>
    <n v="9000"/>
    <x v="30"/>
    <s v="Target Achieved"/>
  </r>
  <r>
    <s v="S1579"/>
    <s v="Kunal Iyer"/>
    <s v="C201"/>
    <x v="0"/>
    <s v="B2"/>
    <x v="0"/>
    <x v="0"/>
    <n v="12259"/>
    <s v="DISC30"/>
    <n v="0.3"/>
    <n v="14000"/>
    <x v="49"/>
    <s v="Below Target"/>
  </r>
  <r>
    <s v="S1580"/>
    <s v="Pooja Kulkarni"/>
    <s v="C202"/>
    <x v="2"/>
    <s v="B3"/>
    <x v="0"/>
    <x v="1"/>
    <n v="13142"/>
    <s v="DISC15"/>
    <m/>
    <n v="13000"/>
    <x v="25"/>
    <s v="Target Achieved"/>
  </r>
  <r>
    <s v="S1581"/>
    <s v="Rahul Singh"/>
    <s v="C202"/>
    <x v="2"/>
    <s v="B2"/>
    <x v="0"/>
    <x v="1"/>
    <n v="13770"/>
    <m/>
    <m/>
    <n v="13000"/>
    <x v="12"/>
    <s v="Target Achieved"/>
  </r>
  <r>
    <s v="S1582"/>
    <s v="Meera Nair"/>
    <s v="C201"/>
    <x v="0"/>
    <s v="B1"/>
    <x v="2"/>
    <x v="0"/>
    <n v="14070"/>
    <m/>
    <m/>
    <n v="14000"/>
    <x v="4"/>
    <s v="Target Achieved"/>
  </r>
  <r>
    <s v="S1583"/>
    <s v="Neha Nair"/>
    <s v="C202"/>
    <x v="2"/>
    <s v="B1"/>
    <x v="0"/>
    <x v="2"/>
    <n v="11986"/>
    <s v="DISC30"/>
    <n v="0.3"/>
    <n v="13000"/>
    <x v="3"/>
    <s v="Below Target"/>
  </r>
  <r>
    <s v="S1584"/>
    <s v="Aarav Gupta"/>
    <s v="C202"/>
    <x v="2"/>
    <s v="B3"/>
    <x v="2"/>
    <x v="2"/>
    <n v="12651"/>
    <s v="DISC20"/>
    <n v="0.2"/>
    <n v="13000"/>
    <x v="14"/>
    <s v="Below Target"/>
  </r>
  <r>
    <s v="S1585"/>
    <s v="Neha Iyer"/>
    <s v="C204"/>
    <x v="3"/>
    <s v="B1"/>
    <x v="0"/>
    <x v="2"/>
    <n v="8294"/>
    <s v="DISC10"/>
    <n v="0.1"/>
    <n v="9000"/>
    <x v="20"/>
    <s v="Below Target"/>
  </r>
  <r>
    <s v="S1586"/>
    <s v="Anjali Singh"/>
    <s v="C201"/>
    <x v="0"/>
    <s v="B1"/>
    <x v="0"/>
    <x v="2"/>
    <n v="12146"/>
    <s v="DISC15"/>
    <m/>
    <n v="14000"/>
    <x v="35"/>
    <s v="Below Target"/>
  </r>
  <r>
    <s v="S1587"/>
    <s v="Aarav Nair"/>
    <s v="C201"/>
    <x v="0"/>
    <s v="B3"/>
    <x v="2"/>
    <x v="1"/>
    <n v="13247"/>
    <s v="DISC15"/>
    <m/>
    <n v="14000"/>
    <x v="35"/>
    <s v="Below Target"/>
  </r>
  <r>
    <s v="S1588"/>
    <s v="Sneha Singh"/>
    <s v="C204"/>
    <x v="3"/>
    <s v="B2"/>
    <x v="0"/>
    <x v="0"/>
    <n v="10344"/>
    <s v="DISC20"/>
    <n v="0.2"/>
    <n v="9000"/>
    <x v="4"/>
    <s v="Target Achieved"/>
  </r>
  <r>
    <s v="S1589"/>
    <s v="Neha Jain"/>
    <s v="C204"/>
    <x v="3"/>
    <s v="B3"/>
    <x v="2"/>
    <x v="2"/>
    <n v="9932"/>
    <m/>
    <m/>
    <n v="9000"/>
    <x v="17"/>
    <s v="Target Achieved"/>
  </r>
  <r>
    <s v="S1590"/>
    <s v="Riya Patel"/>
    <s v="C202"/>
    <x v="2"/>
    <s v="B1"/>
    <x v="0"/>
    <x v="2"/>
    <n v="14399"/>
    <s v="DISC30"/>
    <n v="0.3"/>
    <n v="13000"/>
    <x v="35"/>
    <s v="Target Achieved"/>
  </r>
  <r>
    <s v="S1591"/>
    <s v="Manish Jain"/>
    <s v="C201"/>
    <x v="0"/>
    <s v="B1"/>
    <x v="1"/>
    <x v="2"/>
    <n v="12575"/>
    <m/>
    <m/>
    <n v="14000"/>
    <x v="25"/>
    <s v="Below Target"/>
  </r>
  <r>
    <s v="S1592"/>
    <s v="Aditya Joshi"/>
    <s v="C202"/>
    <x v="2"/>
    <s v="B1"/>
    <x v="1"/>
    <x v="2"/>
    <n v="11883"/>
    <m/>
    <m/>
    <n v="13000"/>
    <x v="39"/>
    <s v="Below Target"/>
  </r>
  <r>
    <s v="S1593"/>
    <s v="Dev Patil"/>
    <s v="C203"/>
    <x v="1"/>
    <s v="B1"/>
    <x v="0"/>
    <x v="0"/>
    <n v="18795"/>
    <s v="DISC15"/>
    <m/>
    <n v="17000"/>
    <x v="17"/>
    <s v="Target Achieved"/>
  </r>
  <r>
    <s v="S1594"/>
    <s v="Dev Iyer"/>
    <s v="C204"/>
    <x v="3"/>
    <s v="B3"/>
    <x v="2"/>
    <x v="1"/>
    <n v="7551"/>
    <m/>
    <m/>
    <n v="9000"/>
    <x v="54"/>
    <s v="Below Target"/>
  </r>
  <r>
    <s v="S1595"/>
    <s v="Manish Desai"/>
    <s v="C201"/>
    <x v="0"/>
    <s v="B3"/>
    <x v="0"/>
    <x v="1"/>
    <n v="13978"/>
    <s v="DISC15"/>
    <m/>
    <n v="14000"/>
    <x v="57"/>
    <s v="Below Target"/>
  </r>
  <r>
    <s v="S1596"/>
    <s v="Kunal Mehta"/>
    <s v="C202"/>
    <x v="2"/>
    <s v="B3"/>
    <x v="1"/>
    <x v="0"/>
    <n v="12586"/>
    <s v="DISC15"/>
    <m/>
    <n v="13000"/>
    <x v="15"/>
    <s v="Below Target"/>
  </r>
  <r>
    <s v="S1597"/>
    <s v="Kunal Jain"/>
    <s v="C204"/>
    <x v="3"/>
    <s v="B2"/>
    <x v="2"/>
    <x v="1"/>
    <n v="10122"/>
    <s v="DISC20"/>
    <n v="0.2"/>
    <n v="9000"/>
    <x v="3"/>
    <s v="Target Achieved"/>
  </r>
  <r>
    <s v="S1598"/>
    <s v="Rahul Jain"/>
    <s v="C203"/>
    <x v="1"/>
    <s v="B2"/>
    <x v="1"/>
    <x v="0"/>
    <n v="16690"/>
    <s v="DISC15"/>
    <m/>
    <n v="17000"/>
    <x v="8"/>
    <s v="Below Target"/>
  </r>
  <r>
    <s v="S1599"/>
    <s v="Kunal Desai"/>
    <s v="C203"/>
    <x v="1"/>
    <s v="B3"/>
    <x v="2"/>
    <x v="2"/>
    <n v="17915"/>
    <s v="DISC15"/>
    <m/>
    <n v="17000"/>
    <x v="56"/>
    <s v="Target Achieved"/>
  </r>
  <r>
    <s v="S1600"/>
    <s v="Sneha Patil"/>
    <s v="C202"/>
    <x v="2"/>
    <s v="B3"/>
    <x v="2"/>
    <x v="2"/>
    <n v="13812"/>
    <s v="DISC30"/>
    <n v="0.3"/>
    <n v="13000"/>
    <x v="58"/>
    <s v="Target Achieved"/>
  </r>
  <r>
    <s v="S1601"/>
    <s v="Rohit Mehta"/>
    <s v="C202"/>
    <x v="2"/>
    <s v="B3"/>
    <x v="2"/>
    <x v="1"/>
    <n v="13608"/>
    <s v="DISC30"/>
    <n v="0.3"/>
    <n v="13000"/>
    <x v="6"/>
    <s v="Target Achieved"/>
  </r>
  <r>
    <s v="S1602"/>
    <s v="Riya Patel"/>
    <s v="C203"/>
    <x v="1"/>
    <s v="B3"/>
    <x v="0"/>
    <x v="1"/>
    <n v="17337"/>
    <m/>
    <m/>
    <n v="17000"/>
    <x v="26"/>
    <s v="Target Achieved"/>
  </r>
  <r>
    <s v="S1603"/>
    <s v="Anjali Nair"/>
    <s v="C203"/>
    <x v="1"/>
    <s v="B2"/>
    <x v="1"/>
    <x v="1"/>
    <n v="15436"/>
    <s v="DISC10"/>
    <n v="0.1"/>
    <n v="17000"/>
    <x v="7"/>
    <s v="Below Target"/>
  </r>
  <r>
    <s v="S1604"/>
    <s v="Karan Kulkarni"/>
    <s v="C201"/>
    <x v="0"/>
    <s v="B1"/>
    <x v="0"/>
    <x v="0"/>
    <n v="13173"/>
    <s v="DISC30"/>
    <n v="0.3"/>
    <n v="14000"/>
    <x v="12"/>
    <s v="Below Target"/>
  </r>
  <r>
    <s v="S1605"/>
    <s v="Meera Kulkarni"/>
    <s v="C203"/>
    <x v="1"/>
    <s v="B1"/>
    <x v="2"/>
    <x v="0"/>
    <n v="16469"/>
    <m/>
    <m/>
    <n v="17000"/>
    <x v="25"/>
    <s v="Below Target"/>
  </r>
  <r>
    <s v="S1606"/>
    <s v="Kavita Nair"/>
    <s v="C202"/>
    <x v="2"/>
    <s v="B3"/>
    <x v="2"/>
    <x v="1"/>
    <n v="12592"/>
    <s v="DISC20"/>
    <n v="0.2"/>
    <n v="13000"/>
    <x v="18"/>
    <s v="Below Target"/>
  </r>
  <r>
    <s v="S1607"/>
    <s v="Dev Patel"/>
    <s v="C203"/>
    <x v="1"/>
    <s v="B3"/>
    <x v="2"/>
    <x v="0"/>
    <n v="18794"/>
    <m/>
    <m/>
    <n v="17000"/>
    <x v="7"/>
    <s v="Target Achieved"/>
  </r>
  <r>
    <s v="S1608"/>
    <s v="Rahul Patel"/>
    <s v="C203"/>
    <x v="1"/>
    <s v="B3"/>
    <x v="1"/>
    <x v="0"/>
    <n v="18046"/>
    <s v="DISC30"/>
    <n v="0.3"/>
    <n v="17000"/>
    <x v="19"/>
    <s v="Target Achieved"/>
  </r>
  <r>
    <s v="S1609"/>
    <s v="Kavita Nair"/>
    <s v="C204"/>
    <x v="3"/>
    <s v="B1"/>
    <x v="2"/>
    <x v="1"/>
    <n v="9906"/>
    <s v="DISC30"/>
    <n v="0.3"/>
    <n v="9000"/>
    <x v="46"/>
    <s v="Target Achieved"/>
  </r>
  <r>
    <s v="S1610"/>
    <s v="Kavita Gupta"/>
    <s v="C202"/>
    <x v="2"/>
    <s v="B3"/>
    <x v="1"/>
    <x v="2"/>
    <n v="12838"/>
    <s v="DISC20"/>
    <n v="0.2"/>
    <n v="13000"/>
    <x v="26"/>
    <s v="Below Target"/>
  </r>
  <r>
    <s v="S1611"/>
    <s v="Riya Mehta"/>
    <s v="C202"/>
    <x v="2"/>
    <s v="B3"/>
    <x v="2"/>
    <x v="0"/>
    <n v="12545"/>
    <s v="DISC10"/>
    <n v="0.1"/>
    <n v="13000"/>
    <x v="13"/>
    <s v="Below Target"/>
  </r>
  <r>
    <s v="S1612"/>
    <s v="Aditya Gupta"/>
    <s v="C203"/>
    <x v="1"/>
    <s v="B1"/>
    <x v="1"/>
    <x v="1"/>
    <n v="18465"/>
    <s v="DISC30"/>
    <n v="0.3"/>
    <n v="17000"/>
    <x v="54"/>
    <s v="Target Achieved"/>
  </r>
  <r>
    <s v="S1613"/>
    <s v="Pooja Iyer"/>
    <s v="C202"/>
    <x v="2"/>
    <s v="B1"/>
    <x v="1"/>
    <x v="2"/>
    <n v="13444"/>
    <s v="DISC10"/>
    <n v="0.1"/>
    <n v="13000"/>
    <x v="57"/>
    <s v="Target Achieved"/>
  </r>
  <r>
    <s v="S1614"/>
    <s v="Kunal Singh"/>
    <s v="C203"/>
    <x v="1"/>
    <s v="B2"/>
    <x v="2"/>
    <x v="1"/>
    <n v="16466"/>
    <s v="DISC10"/>
    <n v="0.1"/>
    <n v="17000"/>
    <x v="38"/>
    <s v="Below Target"/>
  </r>
  <r>
    <s v="S1615"/>
    <s v="Anjali Jain"/>
    <s v="C202"/>
    <x v="2"/>
    <s v="B1"/>
    <x v="2"/>
    <x v="0"/>
    <n v="14220"/>
    <s v="DISC15"/>
    <m/>
    <n v="13000"/>
    <x v="9"/>
    <s v="Target Achieved"/>
  </r>
  <r>
    <s v="S1616"/>
    <s v="Rahul Gupta"/>
    <s v="C204"/>
    <x v="3"/>
    <s v="B1"/>
    <x v="0"/>
    <x v="0"/>
    <n v="10618"/>
    <s v="DISC20"/>
    <n v="0.2"/>
    <n v="9000"/>
    <x v="45"/>
    <s v="Target Achieved"/>
  </r>
  <r>
    <s v="S1617"/>
    <s v="Pooja Jain"/>
    <s v="C203"/>
    <x v="1"/>
    <s v="B2"/>
    <x v="1"/>
    <x v="1"/>
    <n v="17172"/>
    <m/>
    <m/>
    <n v="17000"/>
    <x v="35"/>
    <s v="Target Achieved"/>
  </r>
  <r>
    <s v="S1618"/>
    <s v="Meera Patel"/>
    <s v="C201"/>
    <x v="0"/>
    <s v="B1"/>
    <x v="2"/>
    <x v="2"/>
    <n v="13825"/>
    <s v="DISC20"/>
    <n v="0.2"/>
    <n v="14000"/>
    <x v="48"/>
    <s v="Below Target"/>
  </r>
  <r>
    <s v="S1619"/>
    <s v="Rohit Joshi"/>
    <s v="C202"/>
    <x v="2"/>
    <s v="B1"/>
    <x v="2"/>
    <x v="2"/>
    <n v="12562"/>
    <s v="DISC10"/>
    <n v="0.1"/>
    <n v="13000"/>
    <x v="7"/>
    <s v="Below Target"/>
  </r>
  <r>
    <s v="S1620"/>
    <s v="Aditya Gupta"/>
    <s v="C203"/>
    <x v="1"/>
    <s v="B1"/>
    <x v="2"/>
    <x v="2"/>
    <n v="17106"/>
    <s v="DISC15"/>
    <m/>
    <n v="17000"/>
    <x v="22"/>
    <s v="Target Achieved"/>
  </r>
  <r>
    <s v="S1621"/>
    <s v="Neha Kulkarni"/>
    <s v="C203"/>
    <x v="1"/>
    <s v="B3"/>
    <x v="1"/>
    <x v="2"/>
    <n v="17104"/>
    <s v="DISC10"/>
    <n v="0.1"/>
    <n v="17000"/>
    <x v="21"/>
    <s v="Target Achieved"/>
  </r>
  <r>
    <s v="S1622"/>
    <s v="Riya Mehta"/>
    <s v="C201"/>
    <x v="0"/>
    <s v="B3"/>
    <x v="1"/>
    <x v="0"/>
    <n v="14745"/>
    <s v="DISC20"/>
    <n v="0.2"/>
    <n v="14000"/>
    <x v="16"/>
    <s v="Target Achieved"/>
  </r>
  <r>
    <s v="S1623"/>
    <s v="Rohit Verma"/>
    <s v="C201"/>
    <x v="0"/>
    <s v="B1"/>
    <x v="2"/>
    <x v="1"/>
    <n v="15598"/>
    <m/>
    <m/>
    <n v="14000"/>
    <x v="49"/>
    <s v="Target Achieved"/>
  </r>
  <r>
    <s v="S1624"/>
    <s v="Meera Shah"/>
    <s v="C202"/>
    <x v="2"/>
    <s v="B1"/>
    <x v="0"/>
    <x v="1"/>
    <n v="12358"/>
    <s v="DISC10"/>
    <n v="0.1"/>
    <n v="13000"/>
    <x v="14"/>
    <s v="Below Target"/>
  </r>
  <r>
    <s v="S1625"/>
    <s v="Riya Kulkarni"/>
    <s v="C202"/>
    <x v="2"/>
    <s v="B2"/>
    <x v="2"/>
    <x v="0"/>
    <n v="13355"/>
    <s v="DISC20"/>
    <n v="0.2"/>
    <n v="13000"/>
    <x v="58"/>
    <s v="Target Achieved"/>
  </r>
  <r>
    <s v="S1626"/>
    <s v="Aditya Verma"/>
    <s v="C204"/>
    <x v="3"/>
    <s v="B2"/>
    <x v="2"/>
    <x v="2"/>
    <n v="8773"/>
    <s v="DISC30"/>
    <n v="0.3"/>
    <n v="9000"/>
    <x v="23"/>
    <s v="Below Target"/>
  </r>
  <r>
    <s v="S1627"/>
    <s v="Rahul Singh"/>
    <s v="C201"/>
    <x v="0"/>
    <s v="B3"/>
    <x v="1"/>
    <x v="1"/>
    <n v="14950"/>
    <s v="DISC15"/>
    <m/>
    <n v="14000"/>
    <x v="11"/>
    <s v="Target Achieved"/>
  </r>
  <r>
    <s v="S1628"/>
    <s v="Dev Desai"/>
    <s v="C201"/>
    <x v="0"/>
    <s v="B3"/>
    <x v="1"/>
    <x v="2"/>
    <n v="15801"/>
    <s v="DISC15"/>
    <m/>
    <n v="14000"/>
    <x v="25"/>
    <s v="Target Achieved"/>
  </r>
  <r>
    <s v="S1629"/>
    <s v="Aditya Patel"/>
    <s v="C203"/>
    <x v="1"/>
    <s v="B3"/>
    <x v="1"/>
    <x v="2"/>
    <n v="18134"/>
    <m/>
    <m/>
    <n v="17000"/>
    <x v="7"/>
    <s v="Target Achieved"/>
  </r>
  <r>
    <s v="S1630"/>
    <s v="Rahul Nair"/>
    <s v="C201"/>
    <x v="0"/>
    <s v="B2"/>
    <x v="1"/>
    <x v="1"/>
    <n v="12900"/>
    <s v="DISC20"/>
    <n v="0.2"/>
    <n v="14000"/>
    <x v="0"/>
    <s v="Below Target"/>
  </r>
  <r>
    <s v="S1631"/>
    <s v="Rahul Patel"/>
    <s v="C203"/>
    <x v="1"/>
    <s v="B3"/>
    <x v="1"/>
    <x v="2"/>
    <n v="17774"/>
    <s v="DISC30"/>
    <n v="0.3"/>
    <n v="17000"/>
    <x v="21"/>
    <s v="Target Achieved"/>
  </r>
  <r>
    <s v="S1632"/>
    <s v="Aarav Gupta"/>
    <s v="C202"/>
    <x v="2"/>
    <s v="B1"/>
    <x v="1"/>
    <x v="0"/>
    <n v="13345"/>
    <s v="DISC15"/>
    <m/>
    <n v="13000"/>
    <x v="32"/>
    <s v="Target Achieved"/>
  </r>
  <r>
    <s v="S1633"/>
    <s v="Manish Gupta"/>
    <s v="C201"/>
    <x v="0"/>
    <s v="B2"/>
    <x v="1"/>
    <x v="1"/>
    <n v="15036"/>
    <s v="DISC30"/>
    <n v="0.3"/>
    <n v="14000"/>
    <x v="1"/>
    <s v="Target Achieved"/>
  </r>
  <r>
    <s v="S1634"/>
    <s v="Rahul Singh"/>
    <s v="C202"/>
    <x v="2"/>
    <s v="B1"/>
    <x v="1"/>
    <x v="0"/>
    <n v="13526"/>
    <s v="DISC30"/>
    <n v="0.3"/>
    <n v="13000"/>
    <x v="19"/>
    <s v="Target Achieved"/>
  </r>
  <r>
    <s v="S1635"/>
    <s v="Riya Mehta"/>
    <s v="C201"/>
    <x v="0"/>
    <s v="B3"/>
    <x v="0"/>
    <x v="1"/>
    <n v="14251"/>
    <s v="DISC10"/>
    <n v="0.1"/>
    <n v="14000"/>
    <x v="28"/>
    <s v="Target Achieved"/>
  </r>
  <r>
    <s v="S1636"/>
    <s v="Rohit Shah"/>
    <s v="C203"/>
    <x v="1"/>
    <s v="B1"/>
    <x v="1"/>
    <x v="1"/>
    <n v="17378"/>
    <m/>
    <m/>
    <n v="17000"/>
    <x v="21"/>
    <s v="Target Achieved"/>
  </r>
  <r>
    <s v="S1637"/>
    <s v="Pooja Jain"/>
    <s v="C202"/>
    <x v="2"/>
    <s v="B3"/>
    <x v="2"/>
    <x v="0"/>
    <n v="11409"/>
    <s v="DISC30"/>
    <n v="0.3"/>
    <n v="13000"/>
    <x v="33"/>
    <s v="Below Target"/>
  </r>
  <r>
    <s v="S1638"/>
    <s v="Riya Patil"/>
    <s v="C203"/>
    <x v="1"/>
    <s v="B2"/>
    <x v="0"/>
    <x v="2"/>
    <n v="17524"/>
    <s v="DISC30"/>
    <n v="0.3"/>
    <n v="17000"/>
    <x v="8"/>
    <s v="Target Achieved"/>
  </r>
  <r>
    <s v="S1639"/>
    <s v="Kavita Mehta"/>
    <s v="C203"/>
    <x v="1"/>
    <s v="B2"/>
    <x v="0"/>
    <x v="0"/>
    <n v="15019"/>
    <s v="DISC30"/>
    <n v="0.3"/>
    <n v="17000"/>
    <x v="27"/>
    <s v="Below Target"/>
  </r>
  <r>
    <s v="S1640"/>
    <s v="Dev Patil"/>
    <s v="C204"/>
    <x v="3"/>
    <s v="B2"/>
    <x v="0"/>
    <x v="0"/>
    <n v="9783"/>
    <s v="DISC30"/>
    <n v="0.3"/>
    <n v="9000"/>
    <x v="43"/>
    <s v="Target Achieved"/>
  </r>
  <r>
    <s v="S1641"/>
    <s v="Neha Iyer"/>
    <s v="C204"/>
    <x v="3"/>
    <s v="B2"/>
    <x v="0"/>
    <x v="2"/>
    <n v="9259"/>
    <s v="DISC10"/>
    <n v="0.1"/>
    <n v="9000"/>
    <x v="53"/>
    <s v="Target Achieved"/>
  </r>
  <r>
    <s v="S1642"/>
    <s v="Rohit Joshi"/>
    <s v="C201"/>
    <x v="0"/>
    <s v="B2"/>
    <x v="1"/>
    <x v="1"/>
    <n v="12804"/>
    <s v="DISC30"/>
    <n v="0.3"/>
    <n v="14000"/>
    <x v="60"/>
    <s v="Below Target"/>
  </r>
  <r>
    <s v="S1643"/>
    <s v="Kunal Singh"/>
    <s v="C201"/>
    <x v="0"/>
    <s v="B3"/>
    <x v="1"/>
    <x v="0"/>
    <n v="15479"/>
    <s v="DISC15"/>
    <m/>
    <n v="14000"/>
    <x v="56"/>
    <s v="Target Achieved"/>
  </r>
  <r>
    <s v="S1644"/>
    <s v="Aarav Nair"/>
    <s v="C204"/>
    <x v="3"/>
    <s v="B3"/>
    <x v="1"/>
    <x v="0"/>
    <n v="9259"/>
    <s v="DISC30"/>
    <n v="0.3"/>
    <n v="9000"/>
    <x v="36"/>
    <s v="Target Achieved"/>
  </r>
  <r>
    <s v="S1645"/>
    <s v="Kunal Gupta"/>
    <s v="C204"/>
    <x v="3"/>
    <s v="B3"/>
    <x v="1"/>
    <x v="2"/>
    <n v="8607"/>
    <s v="DISC20"/>
    <n v="0.2"/>
    <n v="9000"/>
    <x v="48"/>
    <s v="Below Target"/>
  </r>
  <r>
    <s v="S1646"/>
    <s v="Dev Joshi"/>
    <s v="C203"/>
    <x v="1"/>
    <s v="B1"/>
    <x v="0"/>
    <x v="1"/>
    <n v="17090"/>
    <s v="DISC10"/>
    <n v="0.1"/>
    <n v="17000"/>
    <x v="32"/>
    <s v="Target Achieved"/>
  </r>
  <r>
    <s v="S1647"/>
    <s v="Pooja Gupta"/>
    <s v="C201"/>
    <x v="0"/>
    <s v="B3"/>
    <x v="1"/>
    <x v="1"/>
    <n v="14802"/>
    <s v="DISC20"/>
    <n v="0.2"/>
    <n v="14000"/>
    <x v="46"/>
    <s v="Target Achieved"/>
  </r>
  <r>
    <s v="S1648"/>
    <s v="Manish Mehta"/>
    <s v="C204"/>
    <x v="3"/>
    <s v="B1"/>
    <x v="1"/>
    <x v="1"/>
    <n v="10885"/>
    <s v="DISC15"/>
    <m/>
    <n v="9000"/>
    <x v="45"/>
    <s v="Target Achieved"/>
  </r>
  <r>
    <s v="S1649"/>
    <s v="Meera Mehta"/>
    <s v="C204"/>
    <x v="3"/>
    <s v="B2"/>
    <x v="1"/>
    <x v="0"/>
    <n v="10118"/>
    <m/>
    <m/>
    <n v="9000"/>
    <x v="24"/>
    <s v="Target Achieved"/>
  </r>
  <r>
    <s v="S1650"/>
    <s v="Riya Rao"/>
    <s v="C203"/>
    <x v="1"/>
    <s v="B1"/>
    <x v="1"/>
    <x v="1"/>
    <n v="15846"/>
    <s v="DISC15"/>
    <m/>
    <n v="17000"/>
    <x v="58"/>
    <s v="Below Target"/>
  </r>
  <r>
    <s v="S1651"/>
    <s v="Dev Jain"/>
    <s v="C204"/>
    <x v="3"/>
    <s v="B2"/>
    <x v="0"/>
    <x v="0"/>
    <n v="7163"/>
    <s v="DISC30"/>
    <n v="0.3"/>
    <n v="9000"/>
    <x v="25"/>
    <s v="Below Target"/>
  </r>
  <r>
    <s v="S1652"/>
    <s v="Anjali Gupta"/>
    <s v="C203"/>
    <x v="1"/>
    <s v="B3"/>
    <x v="0"/>
    <x v="1"/>
    <n v="17229"/>
    <s v="DISC15"/>
    <m/>
    <n v="17000"/>
    <x v="53"/>
    <s v="Target Achieved"/>
  </r>
  <r>
    <s v="S1653"/>
    <s v="Rahul Singh"/>
    <s v="C204"/>
    <x v="3"/>
    <s v="B2"/>
    <x v="2"/>
    <x v="1"/>
    <n v="10679"/>
    <s v="DISC10"/>
    <n v="0.1"/>
    <n v="9000"/>
    <x v="42"/>
    <s v="Target Achieved"/>
  </r>
  <r>
    <s v="S1654"/>
    <s v="Aditya Verma"/>
    <s v="C202"/>
    <x v="2"/>
    <s v="B3"/>
    <x v="0"/>
    <x v="2"/>
    <n v="14347"/>
    <s v="DISC30"/>
    <n v="0.3"/>
    <n v="13000"/>
    <x v="20"/>
    <s v="Target Achieved"/>
  </r>
  <r>
    <s v="S1655"/>
    <s v="Dev Iyer"/>
    <s v="C201"/>
    <x v="0"/>
    <s v="B3"/>
    <x v="1"/>
    <x v="2"/>
    <n v="12678"/>
    <s v="DISC20"/>
    <n v="0.2"/>
    <n v="14000"/>
    <x v="11"/>
    <s v="Below Target"/>
  </r>
  <r>
    <s v="S1656"/>
    <s v="Manish Singh"/>
    <s v="C203"/>
    <x v="1"/>
    <s v="B1"/>
    <x v="1"/>
    <x v="0"/>
    <n v="15644"/>
    <s v="DISC30"/>
    <n v="0.3"/>
    <n v="17000"/>
    <x v="15"/>
    <s v="Below Target"/>
  </r>
  <r>
    <s v="S1657"/>
    <s v="Anjali Nair"/>
    <s v="C201"/>
    <x v="0"/>
    <s v="B3"/>
    <x v="1"/>
    <x v="2"/>
    <n v="15322"/>
    <s v="DISC30"/>
    <n v="0.3"/>
    <n v="14000"/>
    <x v="60"/>
    <s v="Target Achieved"/>
  </r>
  <r>
    <s v="S1658"/>
    <s v="Riya Iyer"/>
    <s v="C204"/>
    <x v="3"/>
    <s v="B2"/>
    <x v="1"/>
    <x v="1"/>
    <n v="7660"/>
    <m/>
    <m/>
    <n v="9000"/>
    <x v="23"/>
    <s v="Below Target"/>
  </r>
  <r>
    <s v="S1659"/>
    <s v="Sneha Kulkarni"/>
    <s v="C202"/>
    <x v="2"/>
    <s v="B3"/>
    <x v="2"/>
    <x v="0"/>
    <n v="11551"/>
    <s v="DISC15"/>
    <m/>
    <n v="13000"/>
    <x v="34"/>
    <s v="Below Target"/>
  </r>
  <r>
    <s v="S1660"/>
    <s v="Kunal Joshi"/>
    <s v="C202"/>
    <x v="2"/>
    <s v="B1"/>
    <x v="1"/>
    <x v="2"/>
    <n v="14778"/>
    <s v="DISC20"/>
    <n v="0.2"/>
    <n v="13000"/>
    <x v="42"/>
    <s v="Target Achieved"/>
  </r>
  <r>
    <s v="S1661"/>
    <s v="Rahul Joshi"/>
    <s v="C201"/>
    <x v="0"/>
    <s v="B3"/>
    <x v="2"/>
    <x v="1"/>
    <n v="15364"/>
    <s v="DISC30"/>
    <n v="0.3"/>
    <n v="14000"/>
    <x v="21"/>
    <s v="Target Achieved"/>
  </r>
  <r>
    <s v="S1662"/>
    <s v="Riya Patil"/>
    <s v="C204"/>
    <x v="3"/>
    <s v="B3"/>
    <x v="0"/>
    <x v="2"/>
    <n v="7698"/>
    <s v="DISC20"/>
    <n v="0.2"/>
    <n v="9000"/>
    <x v="10"/>
    <s v="Below Target"/>
  </r>
  <r>
    <s v="S1663"/>
    <s v="Rahul Joshi"/>
    <s v="C202"/>
    <x v="2"/>
    <s v="B3"/>
    <x v="1"/>
    <x v="1"/>
    <n v="13701"/>
    <s v="DISC15"/>
    <m/>
    <n v="13000"/>
    <x v="41"/>
    <s v="Target Achieved"/>
  </r>
  <r>
    <s v="S1664"/>
    <s v="Karan Desai"/>
    <s v="C203"/>
    <x v="1"/>
    <s v="B2"/>
    <x v="2"/>
    <x v="1"/>
    <n v="15281"/>
    <s v="DISC20"/>
    <n v="0.2"/>
    <n v="17000"/>
    <x v="7"/>
    <s v="Below Target"/>
  </r>
  <r>
    <s v="S1665"/>
    <s v="Rahul Mehta"/>
    <s v="C201"/>
    <x v="0"/>
    <s v="B1"/>
    <x v="1"/>
    <x v="1"/>
    <n v="15520"/>
    <s v="DISC15"/>
    <m/>
    <n v="14000"/>
    <x v="26"/>
    <s v="Target Achieved"/>
  </r>
  <r>
    <s v="S1666"/>
    <s v="Rahul Nair"/>
    <s v="C202"/>
    <x v="2"/>
    <s v="B3"/>
    <x v="1"/>
    <x v="0"/>
    <n v="12949"/>
    <s v="DISC15"/>
    <m/>
    <n v="13000"/>
    <x v="15"/>
    <s v="Below Target"/>
  </r>
  <r>
    <s v="S1667"/>
    <s v="Aarav Patel"/>
    <s v="C201"/>
    <x v="0"/>
    <s v="B1"/>
    <x v="0"/>
    <x v="1"/>
    <n v="12533"/>
    <s v="DISC15"/>
    <m/>
    <n v="14000"/>
    <x v="36"/>
    <s v="Below Target"/>
  </r>
  <r>
    <s v="S1668"/>
    <s v="Meera Kulkarni"/>
    <s v="C204"/>
    <x v="3"/>
    <s v="B3"/>
    <x v="0"/>
    <x v="2"/>
    <n v="10583"/>
    <s v="DISC10"/>
    <n v="0.1"/>
    <n v="9000"/>
    <x v="8"/>
    <s v="Target Achieved"/>
  </r>
  <r>
    <s v="S1669"/>
    <s v="Manish Verma"/>
    <s v="C202"/>
    <x v="2"/>
    <s v="B2"/>
    <x v="0"/>
    <x v="2"/>
    <n v="13412"/>
    <s v="DISC15"/>
    <m/>
    <n v="13000"/>
    <x v="25"/>
    <s v="Target Achieved"/>
  </r>
  <r>
    <s v="S1670"/>
    <s v="Rahul Mehta"/>
    <s v="C203"/>
    <x v="1"/>
    <s v="B2"/>
    <x v="1"/>
    <x v="0"/>
    <n v="16160"/>
    <s v="DISC15"/>
    <m/>
    <n v="17000"/>
    <x v="43"/>
    <s v="Below Target"/>
  </r>
  <r>
    <s v="S1671"/>
    <s v="Manish Verma"/>
    <s v="C203"/>
    <x v="1"/>
    <s v="B1"/>
    <x v="1"/>
    <x v="1"/>
    <n v="18045"/>
    <s v="DISC10"/>
    <n v="0.1"/>
    <n v="17000"/>
    <x v="52"/>
    <s v="Target Achieved"/>
  </r>
  <r>
    <s v="S1672"/>
    <s v="Manish Shah"/>
    <s v="C201"/>
    <x v="0"/>
    <s v="B2"/>
    <x v="2"/>
    <x v="0"/>
    <n v="14817"/>
    <s v="DISC30"/>
    <n v="0.3"/>
    <n v="14000"/>
    <x v="2"/>
    <s v="Target Achieved"/>
  </r>
  <r>
    <s v="S1673"/>
    <s v="Pooja Shah"/>
    <s v="C202"/>
    <x v="2"/>
    <s v="B2"/>
    <x v="2"/>
    <x v="1"/>
    <n v="12038"/>
    <s v="DISC30"/>
    <n v="0.3"/>
    <n v="13000"/>
    <x v="4"/>
    <s v="Below Target"/>
  </r>
  <r>
    <s v="S1674"/>
    <s v="Manish Verma"/>
    <s v="C203"/>
    <x v="1"/>
    <s v="B3"/>
    <x v="0"/>
    <x v="1"/>
    <n v="16627"/>
    <s v="DISC20"/>
    <n v="0.2"/>
    <n v="17000"/>
    <x v="2"/>
    <s v="Below Target"/>
  </r>
  <r>
    <s v="S1675"/>
    <s v="Manish Patel"/>
    <s v="C204"/>
    <x v="3"/>
    <s v="B1"/>
    <x v="0"/>
    <x v="1"/>
    <n v="9272"/>
    <m/>
    <m/>
    <n v="9000"/>
    <x v="41"/>
    <s v="Target Achieved"/>
  </r>
  <r>
    <s v="S1676"/>
    <s v="Aditya Joshi"/>
    <s v="C203"/>
    <x v="1"/>
    <s v="B3"/>
    <x v="0"/>
    <x v="1"/>
    <n v="15565"/>
    <s v="DISC10"/>
    <n v="0.1"/>
    <n v="17000"/>
    <x v="0"/>
    <s v="Below Target"/>
  </r>
  <r>
    <s v="S1677"/>
    <s v="Sneha Iyer"/>
    <s v="C202"/>
    <x v="2"/>
    <s v="B1"/>
    <x v="1"/>
    <x v="1"/>
    <n v="12640"/>
    <s v="DISC30"/>
    <n v="0.3"/>
    <n v="13000"/>
    <x v="50"/>
    <s v="Below Target"/>
  </r>
  <r>
    <s v="S1678"/>
    <s v="Manish Joshi"/>
    <s v="C201"/>
    <x v="0"/>
    <s v="B1"/>
    <x v="0"/>
    <x v="1"/>
    <n v="12021"/>
    <s v="DISC10"/>
    <n v="0.1"/>
    <n v="14000"/>
    <x v="39"/>
    <s v="Below Target"/>
  </r>
  <r>
    <s v="S1679"/>
    <s v="Karan Iyer"/>
    <s v="C204"/>
    <x v="3"/>
    <s v="B1"/>
    <x v="1"/>
    <x v="2"/>
    <n v="7908"/>
    <s v="DISC30"/>
    <n v="0.3"/>
    <n v="9000"/>
    <x v="14"/>
    <s v="Below Target"/>
  </r>
  <r>
    <s v="S1680"/>
    <s v="Kavita Kulkarni"/>
    <s v="C204"/>
    <x v="3"/>
    <s v="B2"/>
    <x v="2"/>
    <x v="1"/>
    <n v="9134"/>
    <s v="DISC30"/>
    <n v="0.3"/>
    <n v="9000"/>
    <x v="6"/>
    <s v="Target Achieved"/>
  </r>
  <r>
    <s v="S1681"/>
    <s v="Kavita Kulkarni"/>
    <s v="C202"/>
    <x v="2"/>
    <s v="B3"/>
    <x v="0"/>
    <x v="2"/>
    <n v="11043"/>
    <s v="DISC20"/>
    <n v="0.2"/>
    <n v="13000"/>
    <x v="4"/>
    <s v="Below Target"/>
  </r>
  <r>
    <s v="S1682"/>
    <s v="Rohit Patel"/>
    <s v="C203"/>
    <x v="1"/>
    <s v="B1"/>
    <x v="1"/>
    <x v="1"/>
    <n v="17091"/>
    <s v="DISC15"/>
    <m/>
    <n v="17000"/>
    <x v="8"/>
    <s v="Target Achieved"/>
  </r>
  <r>
    <s v="S1683"/>
    <s v="Sneha Joshi"/>
    <s v="C202"/>
    <x v="2"/>
    <s v="B3"/>
    <x v="1"/>
    <x v="2"/>
    <n v="11979"/>
    <s v="DISC10"/>
    <n v="0.1"/>
    <n v="13000"/>
    <x v="9"/>
    <s v="Below Target"/>
  </r>
  <r>
    <s v="S1684"/>
    <s v="Riya Rao"/>
    <s v="C204"/>
    <x v="3"/>
    <s v="B2"/>
    <x v="2"/>
    <x v="2"/>
    <n v="8660"/>
    <s v="DISC15"/>
    <m/>
    <n v="9000"/>
    <x v="19"/>
    <s v="Below Target"/>
  </r>
  <r>
    <s v="S1685"/>
    <s v="Manish Kulkarni"/>
    <s v="C201"/>
    <x v="0"/>
    <s v="B1"/>
    <x v="2"/>
    <x v="2"/>
    <n v="14974"/>
    <s v="DISC15"/>
    <m/>
    <n v="14000"/>
    <x v="58"/>
    <s v="Target Achieved"/>
  </r>
  <r>
    <s v="S1686"/>
    <s v="Kavita Jain"/>
    <s v="C203"/>
    <x v="1"/>
    <s v="B2"/>
    <x v="1"/>
    <x v="1"/>
    <n v="18944"/>
    <s v="DISC20"/>
    <n v="0.2"/>
    <n v="17000"/>
    <x v="44"/>
    <s v="Target Achieved"/>
  </r>
  <r>
    <s v="S1687"/>
    <s v="Kunal Verma"/>
    <s v="C201"/>
    <x v="0"/>
    <s v="B2"/>
    <x v="1"/>
    <x v="2"/>
    <n v="14073"/>
    <s v="DISC10"/>
    <n v="0.1"/>
    <n v="14000"/>
    <x v="35"/>
    <s v="Target Achieved"/>
  </r>
  <r>
    <s v="S1688"/>
    <s v="Riya Gupta"/>
    <s v="C203"/>
    <x v="1"/>
    <s v="B2"/>
    <x v="1"/>
    <x v="1"/>
    <n v="18918"/>
    <s v="DISC30"/>
    <n v="0.3"/>
    <n v="17000"/>
    <x v="43"/>
    <s v="Target Achieved"/>
  </r>
  <r>
    <s v="S1689"/>
    <s v="Manish Nair"/>
    <s v="C203"/>
    <x v="1"/>
    <s v="B3"/>
    <x v="0"/>
    <x v="2"/>
    <n v="17306"/>
    <m/>
    <m/>
    <n v="17000"/>
    <x v="57"/>
    <s v="Target Achieved"/>
  </r>
  <r>
    <s v="S1690"/>
    <s v="Sneha Patel"/>
    <s v="C203"/>
    <x v="1"/>
    <s v="B2"/>
    <x v="2"/>
    <x v="2"/>
    <n v="18672"/>
    <s v="DISC15"/>
    <m/>
    <n v="17000"/>
    <x v="16"/>
    <s v="Target Achieved"/>
  </r>
  <r>
    <s v="S1691"/>
    <s v="Aarav Iyer"/>
    <s v="C201"/>
    <x v="0"/>
    <s v="B2"/>
    <x v="1"/>
    <x v="2"/>
    <n v="14595"/>
    <s v="DISC20"/>
    <n v="0.2"/>
    <n v="14000"/>
    <x v="26"/>
    <s v="Target Achieved"/>
  </r>
  <r>
    <s v="S1692"/>
    <s v="Anjali Patil"/>
    <s v="C203"/>
    <x v="1"/>
    <s v="B2"/>
    <x v="0"/>
    <x v="1"/>
    <n v="17194"/>
    <s v="DISC10"/>
    <n v="0.1"/>
    <n v="17000"/>
    <x v="8"/>
    <s v="Target Achieved"/>
  </r>
  <r>
    <s v="S1693"/>
    <s v="Meera Rao"/>
    <s v="C202"/>
    <x v="2"/>
    <s v="B2"/>
    <x v="1"/>
    <x v="2"/>
    <n v="13759"/>
    <s v="DISC30"/>
    <n v="0.3"/>
    <n v="13000"/>
    <x v="11"/>
    <s v="Target Achieved"/>
  </r>
  <r>
    <s v="S1694"/>
    <s v="Manish Mehta"/>
    <s v="C204"/>
    <x v="3"/>
    <s v="B2"/>
    <x v="0"/>
    <x v="0"/>
    <n v="10663"/>
    <s v="DISC15"/>
    <m/>
    <n v="9000"/>
    <x v="3"/>
    <s v="Target Achieved"/>
  </r>
  <r>
    <s v="S1695"/>
    <s v="Karan Desai"/>
    <s v="C202"/>
    <x v="2"/>
    <s v="B2"/>
    <x v="2"/>
    <x v="0"/>
    <n v="11961"/>
    <s v="DISC20"/>
    <n v="0.2"/>
    <n v="13000"/>
    <x v="16"/>
    <s v="Below Target"/>
  </r>
  <r>
    <s v="S1696"/>
    <s v="Aditya Patil"/>
    <s v="C202"/>
    <x v="2"/>
    <s v="B1"/>
    <x v="1"/>
    <x v="1"/>
    <n v="12458"/>
    <s v="DISC20"/>
    <n v="0.2"/>
    <n v="13000"/>
    <x v="57"/>
    <s v="Below Target"/>
  </r>
  <r>
    <s v="S1697"/>
    <s v="Riya Shah"/>
    <s v="C201"/>
    <x v="0"/>
    <s v="B3"/>
    <x v="2"/>
    <x v="2"/>
    <n v="14514"/>
    <s v="DISC10"/>
    <n v="0.1"/>
    <n v="14000"/>
    <x v="46"/>
    <s v="Target Achieved"/>
  </r>
  <r>
    <s v="S1698"/>
    <s v="Meera Gupta"/>
    <s v="C201"/>
    <x v="0"/>
    <s v="B2"/>
    <x v="0"/>
    <x v="1"/>
    <n v="13291"/>
    <m/>
    <m/>
    <n v="14000"/>
    <x v="48"/>
    <s v="Below Target"/>
  </r>
  <r>
    <s v="S1699"/>
    <s v="Kunal Joshi"/>
    <s v="C203"/>
    <x v="1"/>
    <s v="B2"/>
    <x v="1"/>
    <x v="1"/>
    <n v="16147"/>
    <m/>
    <m/>
    <n v="17000"/>
    <x v="24"/>
    <s v="Below Target"/>
  </r>
  <r>
    <s v="S1700"/>
    <s v="Dev Joshi"/>
    <s v="C202"/>
    <x v="2"/>
    <s v="B1"/>
    <x v="2"/>
    <x v="2"/>
    <n v="12959"/>
    <s v="DISC15"/>
    <m/>
    <n v="13000"/>
    <x v="34"/>
    <s v="Below Target"/>
  </r>
  <r>
    <s v="S1701"/>
    <s v="Manish Jain"/>
    <s v="C204"/>
    <x v="3"/>
    <s v="B3"/>
    <x v="1"/>
    <x v="2"/>
    <n v="10999"/>
    <s v="DISC10"/>
    <n v="0.1"/>
    <n v="9000"/>
    <x v="8"/>
    <s v="Target Achieved"/>
  </r>
  <r>
    <s v="S1702"/>
    <s v="Manish Iyer"/>
    <s v="C203"/>
    <x v="1"/>
    <s v="B3"/>
    <x v="1"/>
    <x v="0"/>
    <n v="17761"/>
    <s v="DISC20"/>
    <n v="0.2"/>
    <n v="17000"/>
    <x v="7"/>
    <s v="Target Achieved"/>
  </r>
  <r>
    <s v="S1703"/>
    <s v="Kavita Shah"/>
    <s v="C203"/>
    <x v="1"/>
    <s v="B2"/>
    <x v="2"/>
    <x v="2"/>
    <n v="15766"/>
    <s v="DISC15"/>
    <m/>
    <n v="17000"/>
    <x v="41"/>
    <s v="Below Target"/>
  </r>
  <r>
    <s v="S1704"/>
    <s v="Sneha Rao"/>
    <s v="C204"/>
    <x v="3"/>
    <s v="B3"/>
    <x v="0"/>
    <x v="2"/>
    <n v="7753"/>
    <m/>
    <m/>
    <n v="9000"/>
    <x v="13"/>
    <s v="Below Target"/>
  </r>
  <r>
    <s v="S1705"/>
    <s v="Sneha Verma"/>
    <s v="C203"/>
    <x v="1"/>
    <s v="B2"/>
    <x v="0"/>
    <x v="2"/>
    <n v="16846"/>
    <s v="DISC20"/>
    <n v="0.2"/>
    <n v="17000"/>
    <x v="52"/>
    <s v="Below Target"/>
  </r>
  <r>
    <s v="S1706"/>
    <s v="Karan Joshi"/>
    <s v="C202"/>
    <x v="2"/>
    <s v="B1"/>
    <x v="2"/>
    <x v="2"/>
    <n v="14293"/>
    <s v="DISC20"/>
    <n v="0.2"/>
    <n v="13000"/>
    <x v="35"/>
    <s v="Target Achieved"/>
  </r>
  <r>
    <s v="S1707"/>
    <s v="Rahul Nair"/>
    <s v="C204"/>
    <x v="3"/>
    <s v="B1"/>
    <x v="1"/>
    <x v="1"/>
    <n v="7612"/>
    <m/>
    <m/>
    <n v="9000"/>
    <x v="50"/>
    <s v="Below Target"/>
  </r>
  <r>
    <s v="S1708"/>
    <s v="Aarav Mehta"/>
    <s v="C204"/>
    <x v="3"/>
    <s v="B2"/>
    <x v="1"/>
    <x v="1"/>
    <n v="9117"/>
    <s v="DISC15"/>
    <m/>
    <n v="9000"/>
    <x v="60"/>
    <s v="Target Achieved"/>
  </r>
  <r>
    <s v="S1709"/>
    <s v="Pooja Patel"/>
    <s v="C204"/>
    <x v="3"/>
    <s v="B2"/>
    <x v="0"/>
    <x v="1"/>
    <n v="10516"/>
    <s v="DISC15"/>
    <m/>
    <n v="9000"/>
    <x v="55"/>
    <s v="Target Achieved"/>
  </r>
  <r>
    <s v="S1710"/>
    <s v="Rahul Shah"/>
    <s v="C202"/>
    <x v="2"/>
    <s v="B1"/>
    <x v="1"/>
    <x v="2"/>
    <n v="12951"/>
    <s v="DISC10"/>
    <n v="0.1"/>
    <n v="13000"/>
    <x v="22"/>
    <s v="Below Target"/>
  </r>
  <r>
    <s v="S1711"/>
    <s v="Anjali Jain"/>
    <s v="C203"/>
    <x v="1"/>
    <s v="B2"/>
    <x v="0"/>
    <x v="1"/>
    <n v="17283"/>
    <s v="DISC30"/>
    <n v="0.3"/>
    <n v="17000"/>
    <x v="37"/>
    <s v="Target Achieved"/>
  </r>
  <r>
    <s v="S1712"/>
    <s v="Aarav Verma"/>
    <s v="C201"/>
    <x v="0"/>
    <s v="B2"/>
    <x v="2"/>
    <x v="1"/>
    <n v="12814"/>
    <s v="DISC15"/>
    <m/>
    <n v="14000"/>
    <x v="52"/>
    <s v="Below Target"/>
  </r>
  <r>
    <s v="S1713"/>
    <s v="Rohit Singh"/>
    <s v="C202"/>
    <x v="2"/>
    <s v="B2"/>
    <x v="0"/>
    <x v="2"/>
    <n v="13757"/>
    <s v="DISC15"/>
    <m/>
    <n v="13000"/>
    <x v="20"/>
    <s v="Target Achieved"/>
  </r>
  <r>
    <s v="S1714"/>
    <s v="Dev Desai"/>
    <s v="C204"/>
    <x v="3"/>
    <s v="B1"/>
    <x v="0"/>
    <x v="1"/>
    <n v="8173"/>
    <m/>
    <m/>
    <n v="9000"/>
    <x v="56"/>
    <s v="Below Target"/>
  </r>
  <r>
    <s v="S1715"/>
    <s v="Karan Nair"/>
    <s v="C202"/>
    <x v="2"/>
    <s v="B3"/>
    <x v="0"/>
    <x v="2"/>
    <n v="13585"/>
    <s v="DISC15"/>
    <m/>
    <n v="13000"/>
    <x v="52"/>
    <s v="Target Achieved"/>
  </r>
  <r>
    <s v="S1716"/>
    <s v="Rahul Nair"/>
    <s v="C201"/>
    <x v="0"/>
    <s v="B1"/>
    <x v="1"/>
    <x v="2"/>
    <n v="12934"/>
    <s v="DISC30"/>
    <n v="0.3"/>
    <n v="14000"/>
    <x v="31"/>
    <s v="Below Target"/>
  </r>
  <r>
    <s v="S1717"/>
    <s v="Rohit Rao"/>
    <s v="C203"/>
    <x v="1"/>
    <s v="B3"/>
    <x v="2"/>
    <x v="2"/>
    <n v="16111"/>
    <m/>
    <m/>
    <n v="17000"/>
    <x v="57"/>
    <s v="Below Target"/>
  </r>
  <r>
    <s v="S1718"/>
    <s v="Meera Jain"/>
    <s v="C204"/>
    <x v="3"/>
    <s v="B2"/>
    <x v="1"/>
    <x v="0"/>
    <n v="10498"/>
    <s v="DISC10"/>
    <n v="0.1"/>
    <n v="9000"/>
    <x v="59"/>
    <s v="Target Achieved"/>
  </r>
  <r>
    <s v="S1719"/>
    <s v="Anjali Patil"/>
    <s v="C203"/>
    <x v="1"/>
    <s v="B3"/>
    <x v="2"/>
    <x v="1"/>
    <n v="15327"/>
    <s v="DISC20"/>
    <n v="0.2"/>
    <n v="17000"/>
    <x v="9"/>
    <s v="Below Target"/>
  </r>
  <r>
    <s v="S1720"/>
    <s v="Rahul Shah"/>
    <s v="C201"/>
    <x v="0"/>
    <s v="B1"/>
    <x v="0"/>
    <x v="1"/>
    <n v="12220"/>
    <s v="DISC10"/>
    <n v="0.1"/>
    <n v="14000"/>
    <x v="57"/>
    <s v="Below Target"/>
  </r>
  <r>
    <s v="S1721"/>
    <s v="Rahul Gupta"/>
    <s v="C201"/>
    <x v="0"/>
    <s v="B1"/>
    <x v="0"/>
    <x v="1"/>
    <n v="12636"/>
    <s v="DISC10"/>
    <n v="0.1"/>
    <n v="14000"/>
    <x v="49"/>
    <s v="Below Target"/>
  </r>
  <r>
    <s v="S1722"/>
    <s v="Kunal Verma"/>
    <s v="C203"/>
    <x v="1"/>
    <s v="B1"/>
    <x v="1"/>
    <x v="1"/>
    <n v="16163"/>
    <m/>
    <m/>
    <n v="17000"/>
    <x v="56"/>
    <s v="Below Target"/>
  </r>
  <r>
    <s v="S1723"/>
    <s v="Karan Mehta"/>
    <s v="C202"/>
    <x v="2"/>
    <s v="B1"/>
    <x v="1"/>
    <x v="1"/>
    <n v="12461"/>
    <s v="DISC30"/>
    <n v="0.3"/>
    <n v="13000"/>
    <x v="16"/>
    <s v="Below Target"/>
  </r>
  <r>
    <s v="S1724"/>
    <s v="Neha Iyer"/>
    <s v="C203"/>
    <x v="1"/>
    <s v="B3"/>
    <x v="0"/>
    <x v="0"/>
    <n v="18971"/>
    <s v="DISC15"/>
    <m/>
    <n v="17000"/>
    <x v="53"/>
    <s v="Target Achieved"/>
  </r>
  <r>
    <s v="S1725"/>
    <s v="Kavita Joshi"/>
    <s v="C204"/>
    <x v="3"/>
    <s v="B3"/>
    <x v="2"/>
    <x v="1"/>
    <n v="10593"/>
    <s v="DISC15"/>
    <m/>
    <n v="9000"/>
    <x v="13"/>
    <s v="Target Achieved"/>
  </r>
  <r>
    <s v="S1726"/>
    <s v="Manish Singh"/>
    <s v="C203"/>
    <x v="1"/>
    <s v="B2"/>
    <x v="0"/>
    <x v="1"/>
    <n v="15930"/>
    <s v="DISC10"/>
    <n v="0.1"/>
    <n v="17000"/>
    <x v="22"/>
    <s v="Below Target"/>
  </r>
  <r>
    <s v="S1727"/>
    <s v="Aditya Jain"/>
    <s v="C204"/>
    <x v="3"/>
    <s v="B2"/>
    <x v="1"/>
    <x v="2"/>
    <n v="7043"/>
    <s v="DISC10"/>
    <n v="0.1"/>
    <n v="9000"/>
    <x v="42"/>
    <s v="Below Target"/>
  </r>
  <r>
    <s v="S1728"/>
    <s v="Meera Patel"/>
    <s v="C202"/>
    <x v="2"/>
    <s v="B2"/>
    <x v="0"/>
    <x v="2"/>
    <n v="13191"/>
    <s v="DISC10"/>
    <n v="0.1"/>
    <n v="13000"/>
    <x v="8"/>
    <s v="Target Achieved"/>
  </r>
  <r>
    <s v="S1729"/>
    <s v="Kunal Iyer"/>
    <s v="C204"/>
    <x v="3"/>
    <s v="B2"/>
    <x v="1"/>
    <x v="2"/>
    <n v="10268"/>
    <s v="DISC30"/>
    <n v="0.3"/>
    <n v="9000"/>
    <x v="15"/>
    <s v="Target Achieved"/>
  </r>
  <r>
    <s v="S1730"/>
    <s v="Sneha Patel"/>
    <s v="C201"/>
    <x v="0"/>
    <s v="B3"/>
    <x v="0"/>
    <x v="0"/>
    <n v="13686"/>
    <s v="DISC15"/>
    <m/>
    <n v="14000"/>
    <x v="13"/>
    <s v="Below Target"/>
  </r>
  <r>
    <s v="S1731"/>
    <s v="Rahul Patil"/>
    <s v="C202"/>
    <x v="2"/>
    <s v="B3"/>
    <x v="2"/>
    <x v="1"/>
    <n v="12596"/>
    <m/>
    <m/>
    <n v="13000"/>
    <x v="24"/>
    <s v="Below Target"/>
  </r>
  <r>
    <s v="S1732"/>
    <s v="Aditya Shah"/>
    <s v="C204"/>
    <x v="3"/>
    <s v="B3"/>
    <x v="1"/>
    <x v="1"/>
    <n v="10131"/>
    <s v="DISC15"/>
    <m/>
    <n v="9000"/>
    <x v="50"/>
    <s v="Target Achieved"/>
  </r>
  <r>
    <s v="S1733"/>
    <s v="Anjali Singh"/>
    <s v="C203"/>
    <x v="1"/>
    <s v="B2"/>
    <x v="2"/>
    <x v="1"/>
    <n v="17178"/>
    <s v="DISC30"/>
    <n v="0.3"/>
    <n v="17000"/>
    <x v="2"/>
    <s v="Target Achieved"/>
  </r>
  <r>
    <s v="S1734"/>
    <s v="Sneha Nair"/>
    <s v="C201"/>
    <x v="0"/>
    <s v="B1"/>
    <x v="1"/>
    <x v="2"/>
    <n v="12452"/>
    <m/>
    <m/>
    <n v="14000"/>
    <x v="33"/>
    <s v="Below Target"/>
  </r>
  <r>
    <s v="S1735"/>
    <s v="Neha Rao"/>
    <s v="C204"/>
    <x v="3"/>
    <s v="B1"/>
    <x v="0"/>
    <x v="0"/>
    <n v="7623"/>
    <s v="DISC10"/>
    <n v="0.1"/>
    <n v="9000"/>
    <x v="36"/>
    <s v="Below Target"/>
  </r>
  <r>
    <s v="S1736"/>
    <s v="Aarav Mehta"/>
    <s v="C201"/>
    <x v="0"/>
    <s v="B2"/>
    <x v="0"/>
    <x v="0"/>
    <n v="14929"/>
    <m/>
    <m/>
    <n v="14000"/>
    <x v="60"/>
    <s v="Target Achieved"/>
  </r>
  <r>
    <s v="S1737"/>
    <s v="Aarav Patil"/>
    <s v="C201"/>
    <x v="0"/>
    <s v="B1"/>
    <x v="1"/>
    <x v="2"/>
    <n v="12889"/>
    <s v="DISC30"/>
    <n v="0.3"/>
    <n v="14000"/>
    <x v="2"/>
    <s v="Below Target"/>
  </r>
  <r>
    <s v="S1738"/>
    <s v="Aditya Patel"/>
    <s v="C204"/>
    <x v="3"/>
    <s v="B2"/>
    <x v="0"/>
    <x v="1"/>
    <n v="10241"/>
    <s v="DISC10"/>
    <n v="0.1"/>
    <n v="9000"/>
    <x v="40"/>
    <s v="Target Achieved"/>
  </r>
  <r>
    <s v="S1739"/>
    <s v="Riya Nair"/>
    <s v="C202"/>
    <x v="2"/>
    <s v="B1"/>
    <x v="0"/>
    <x v="2"/>
    <n v="11292"/>
    <s v="DISC15"/>
    <m/>
    <n v="13000"/>
    <x v="30"/>
    <s v="Below Target"/>
  </r>
  <r>
    <s v="S1740"/>
    <s v="Karan Patil"/>
    <s v="C203"/>
    <x v="1"/>
    <s v="B2"/>
    <x v="1"/>
    <x v="0"/>
    <n v="18991"/>
    <s v="DISC20"/>
    <n v="0.2"/>
    <n v="17000"/>
    <x v="7"/>
    <s v="Target Achieved"/>
  </r>
  <r>
    <s v="S1741"/>
    <s v="Dev Iyer"/>
    <s v="C202"/>
    <x v="2"/>
    <s v="B3"/>
    <x v="1"/>
    <x v="0"/>
    <n v="12887"/>
    <s v="DISC10"/>
    <n v="0.1"/>
    <n v="13000"/>
    <x v="42"/>
    <s v="Below Target"/>
  </r>
  <r>
    <s v="S1742"/>
    <s v="Rohit Patil"/>
    <s v="C204"/>
    <x v="3"/>
    <s v="B2"/>
    <x v="2"/>
    <x v="2"/>
    <n v="10834"/>
    <s v="DISC30"/>
    <n v="0.3"/>
    <n v="9000"/>
    <x v="9"/>
    <s v="Target Achieved"/>
  </r>
  <r>
    <s v="S1743"/>
    <s v="Rohit Desai"/>
    <s v="C201"/>
    <x v="0"/>
    <s v="B3"/>
    <x v="2"/>
    <x v="1"/>
    <n v="12500"/>
    <s v="DISC30"/>
    <n v="0.3"/>
    <n v="14000"/>
    <x v="30"/>
    <s v="Below Target"/>
  </r>
  <r>
    <s v="S1744"/>
    <s v="Rohit Rao"/>
    <s v="C202"/>
    <x v="2"/>
    <s v="B2"/>
    <x v="1"/>
    <x v="1"/>
    <n v="11892"/>
    <s v="DISC10"/>
    <n v="0.1"/>
    <n v="13000"/>
    <x v="27"/>
    <s v="Below Target"/>
  </r>
  <r>
    <s v="S1745"/>
    <s v="Rohit Verma"/>
    <s v="C203"/>
    <x v="1"/>
    <s v="B1"/>
    <x v="1"/>
    <x v="2"/>
    <n v="17394"/>
    <s v="DISC10"/>
    <n v="0.1"/>
    <n v="17000"/>
    <x v="32"/>
    <s v="Target Achieved"/>
  </r>
  <r>
    <s v="S1746"/>
    <s v="Dev Patil"/>
    <s v="C201"/>
    <x v="0"/>
    <s v="B1"/>
    <x v="2"/>
    <x v="1"/>
    <n v="13946"/>
    <s v="DISC15"/>
    <m/>
    <n v="14000"/>
    <x v="12"/>
    <s v="Below Target"/>
  </r>
  <r>
    <s v="S1747"/>
    <s v="Pooja Patel"/>
    <s v="C201"/>
    <x v="0"/>
    <s v="B1"/>
    <x v="1"/>
    <x v="2"/>
    <n v="12374"/>
    <s v="DISC15"/>
    <m/>
    <n v="14000"/>
    <x v="40"/>
    <s v="Below Target"/>
  </r>
  <r>
    <s v="S1748"/>
    <s v="Kunal Patel"/>
    <s v="C201"/>
    <x v="0"/>
    <s v="B1"/>
    <x v="0"/>
    <x v="1"/>
    <n v="12630"/>
    <s v="DISC15"/>
    <m/>
    <n v="14000"/>
    <x v="38"/>
    <s v="Below Target"/>
  </r>
  <r>
    <s v="S1749"/>
    <s v="Riya Mehta"/>
    <s v="C204"/>
    <x v="3"/>
    <s v="B1"/>
    <x v="0"/>
    <x v="1"/>
    <n v="10229"/>
    <s v="DISC30"/>
    <n v="0.3"/>
    <n v="9000"/>
    <x v="50"/>
    <s v="Target Achieved"/>
  </r>
  <r>
    <s v="S1750"/>
    <s v="Kunal Iyer"/>
    <s v="C202"/>
    <x v="2"/>
    <s v="B1"/>
    <x v="2"/>
    <x v="2"/>
    <n v="12467"/>
    <s v="DISC20"/>
    <n v="0.2"/>
    <n v="13000"/>
    <x v="41"/>
    <s v="Below Target"/>
  </r>
  <r>
    <s v="S1751"/>
    <s v="Kunal Kulkarni"/>
    <s v="C204"/>
    <x v="3"/>
    <s v="B3"/>
    <x v="0"/>
    <x v="1"/>
    <n v="8207"/>
    <s v="DISC15"/>
    <m/>
    <n v="9000"/>
    <x v="8"/>
    <s v="Below Target"/>
  </r>
  <r>
    <s v="S1752"/>
    <s v="Neha Patil"/>
    <s v="C202"/>
    <x v="2"/>
    <s v="B3"/>
    <x v="0"/>
    <x v="2"/>
    <n v="13999"/>
    <m/>
    <m/>
    <n v="13000"/>
    <x v="3"/>
    <s v="Target Achieved"/>
  </r>
  <r>
    <s v="S1753"/>
    <s v="Meera Nair"/>
    <s v="C202"/>
    <x v="2"/>
    <s v="B1"/>
    <x v="2"/>
    <x v="0"/>
    <n v="12840"/>
    <s v="DISC30"/>
    <n v="0.3"/>
    <n v="13000"/>
    <x v="39"/>
    <s v="Below Target"/>
  </r>
  <r>
    <s v="S1754"/>
    <s v="Aditya Gupta"/>
    <s v="C203"/>
    <x v="1"/>
    <s v="B2"/>
    <x v="1"/>
    <x v="1"/>
    <n v="17072"/>
    <m/>
    <m/>
    <n v="17000"/>
    <x v="60"/>
    <s v="Target Achieved"/>
  </r>
  <r>
    <s v="S1755"/>
    <s v="Karan Kulkarni"/>
    <s v="C203"/>
    <x v="1"/>
    <s v="B3"/>
    <x v="1"/>
    <x v="2"/>
    <n v="17953"/>
    <s v="DISC10"/>
    <n v="0.1"/>
    <n v="17000"/>
    <x v="45"/>
    <s v="Target Achieved"/>
  </r>
  <r>
    <s v="S1756"/>
    <s v="Manish Nair"/>
    <s v="C204"/>
    <x v="3"/>
    <s v="B1"/>
    <x v="2"/>
    <x v="1"/>
    <n v="9037"/>
    <s v="DISC15"/>
    <m/>
    <n v="9000"/>
    <x v="12"/>
    <s v="Target Achieved"/>
  </r>
  <r>
    <s v="S1757"/>
    <s v="Kavita Rao"/>
    <s v="C203"/>
    <x v="1"/>
    <s v="B2"/>
    <x v="2"/>
    <x v="2"/>
    <n v="15452"/>
    <s v="DISC10"/>
    <n v="0.1"/>
    <n v="17000"/>
    <x v="42"/>
    <s v="Below Target"/>
  </r>
  <r>
    <s v="S1758"/>
    <s v="Rohit Shah"/>
    <s v="C201"/>
    <x v="0"/>
    <s v="B1"/>
    <x v="1"/>
    <x v="0"/>
    <n v="12827"/>
    <s v="DISC10"/>
    <n v="0.1"/>
    <n v="14000"/>
    <x v="20"/>
    <s v="Below Target"/>
  </r>
  <r>
    <s v="S1759"/>
    <s v="Sneha Shah"/>
    <s v="C201"/>
    <x v="0"/>
    <s v="B3"/>
    <x v="2"/>
    <x v="2"/>
    <n v="14694"/>
    <m/>
    <m/>
    <n v="14000"/>
    <x v="42"/>
    <s v="Target Achieved"/>
  </r>
  <r>
    <s v="S1760"/>
    <s v="Kavita Desai"/>
    <s v="C203"/>
    <x v="1"/>
    <s v="B1"/>
    <x v="0"/>
    <x v="0"/>
    <n v="17481"/>
    <s v="DISC10"/>
    <n v="0.1"/>
    <n v="17000"/>
    <x v="54"/>
    <s v="Target Achieved"/>
  </r>
  <r>
    <s v="S1761"/>
    <s v="Kunal Patil"/>
    <s v="C204"/>
    <x v="3"/>
    <s v="B1"/>
    <x v="0"/>
    <x v="1"/>
    <n v="7248"/>
    <s v="DISC30"/>
    <n v="0.3"/>
    <n v="9000"/>
    <x v="35"/>
    <s v="Below Target"/>
  </r>
  <r>
    <s v="S1762"/>
    <s v="Anjali Verma"/>
    <s v="C203"/>
    <x v="1"/>
    <s v="B3"/>
    <x v="1"/>
    <x v="1"/>
    <n v="16088"/>
    <s v="DISC15"/>
    <m/>
    <n v="17000"/>
    <x v="34"/>
    <s v="Below Target"/>
  </r>
  <r>
    <s v="S1763"/>
    <s v="Anjali Shah"/>
    <s v="C203"/>
    <x v="1"/>
    <s v="B1"/>
    <x v="1"/>
    <x v="1"/>
    <n v="15397"/>
    <s v="DISC10"/>
    <n v="0.1"/>
    <n v="17000"/>
    <x v="60"/>
    <s v="Below Target"/>
  </r>
  <r>
    <s v="S1764"/>
    <s v="Sneha Gupta"/>
    <s v="C204"/>
    <x v="3"/>
    <s v="B1"/>
    <x v="1"/>
    <x v="1"/>
    <n v="9690"/>
    <s v="DISC20"/>
    <n v="0.2"/>
    <n v="9000"/>
    <x v="52"/>
    <s v="Target Achieved"/>
  </r>
  <r>
    <s v="S1765"/>
    <s v="Rohit Mehta"/>
    <s v="C204"/>
    <x v="3"/>
    <s v="B3"/>
    <x v="1"/>
    <x v="1"/>
    <n v="9361"/>
    <s v="DISC30"/>
    <n v="0.3"/>
    <n v="9000"/>
    <x v="26"/>
    <s v="Target Achieved"/>
  </r>
  <r>
    <s v="S1766"/>
    <s v="Neha Desai"/>
    <s v="C204"/>
    <x v="3"/>
    <s v="B1"/>
    <x v="1"/>
    <x v="0"/>
    <n v="9252"/>
    <m/>
    <m/>
    <n v="9000"/>
    <x v="18"/>
    <s v="Target Achieved"/>
  </r>
  <r>
    <s v="S1767"/>
    <s v="Pooja Singh"/>
    <s v="C202"/>
    <x v="2"/>
    <s v="B3"/>
    <x v="2"/>
    <x v="2"/>
    <n v="14823"/>
    <s v="DISC30"/>
    <n v="0.3"/>
    <n v="13000"/>
    <x v="48"/>
    <s v="Target Achieved"/>
  </r>
  <r>
    <s v="S1768"/>
    <s v="Pooja Gupta"/>
    <s v="C203"/>
    <x v="1"/>
    <s v="B2"/>
    <x v="0"/>
    <x v="1"/>
    <n v="16763"/>
    <s v="DISC30"/>
    <n v="0.3"/>
    <n v="17000"/>
    <x v="15"/>
    <s v="Below Target"/>
  </r>
  <r>
    <s v="S1769"/>
    <s v="Sneha Joshi"/>
    <s v="C202"/>
    <x v="2"/>
    <s v="B2"/>
    <x v="2"/>
    <x v="1"/>
    <n v="12040"/>
    <s v="DISC30"/>
    <n v="0.3"/>
    <n v="13000"/>
    <x v="22"/>
    <s v="Below Target"/>
  </r>
  <r>
    <s v="S1770"/>
    <s v="Neha Verma"/>
    <s v="C201"/>
    <x v="0"/>
    <s v="B3"/>
    <x v="1"/>
    <x v="2"/>
    <n v="14440"/>
    <s v="DISC10"/>
    <n v="0.1"/>
    <n v="14000"/>
    <x v="42"/>
    <s v="Target Achieved"/>
  </r>
  <r>
    <s v="S1771"/>
    <s v="Karan Rao"/>
    <s v="C201"/>
    <x v="0"/>
    <s v="B2"/>
    <x v="1"/>
    <x v="0"/>
    <n v="15505"/>
    <s v="DISC30"/>
    <n v="0.3"/>
    <n v="14000"/>
    <x v="23"/>
    <s v="Target Achieved"/>
  </r>
  <r>
    <s v="S1772"/>
    <s v="Dev Nair"/>
    <s v="C203"/>
    <x v="1"/>
    <s v="B3"/>
    <x v="2"/>
    <x v="1"/>
    <n v="17337"/>
    <s v="DISC15"/>
    <m/>
    <n v="17000"/>
    <x v="12"/>
    <s v="Target Achieved"/>
  </r>
  <r>
    <s v="S1773"/>
    <s v="Riya Kulkarni"/>
    <s v="C204"/>
    <x v="3"/>
    <s v="B2"/>
    <x v="1"/>
    <x v="0"/>
    <n v="8085"/>
    <s v="DISC30"/>
    <n v="0.3"/>
    <n v="9000"/>
    <x v="43"/>
    <s v="Below Target"/>
  </r>
  <r>
    <s v="S1774"/>
    <s v="Kavita Patil"/>
    <s v="C202"/>
    <x v="2"/>
    <s v="B2"/>
    <x v="0"/>
    <x v="0"/>
    <n v="13336"/>
    <m/>
    <m/>
    <n v="13000"/>
    <x v="52"/>
    <s v="Target Achieved"/>
  </r>
  <r>
    <s v="S1775"/>
    <s v="Kunal Patil"/>
    <s v="C201"/>
    <x v="0"/>
    <s v="B3"/>
    <x v="0"/>
    <x v="2"/>
    <n v="12708"/>
    <m/>
    <m/>
    <n v="14000"/>
    <x v="39"/>
    <s v="Below Target"/>
  </r>
  <r>
    <s v="S1776"/>
    <s v="Kunal Desai"/>
    <s v="C201"/>
    <x v="0"/>
    <s v="B3"/>
    <x v="2"/>
    <x v="2"/>
    <n v="12153"/>
    <s v="DISC15"/>
    <m/>
    <n v="14000"/>
    <x v="7"/>
    <s v="Below Target"/>
  </r>
  <r>
    <s v="S1777"/>
    <s v="Riya Patel"/>
    <s v="C201"/>
    <x v="0"/>
    <s v="B2"/>
    <x v="0"/>
    <x v="2"/>
    <n v="13706"/>
    <s v="DISC10"/>
    <n v="0.1"/>
    <n v="14000"/>
    <x v="16"/>
    <s v="Below Target"/>
  </r>
  <r>
    <s v="S1778"/>
    <s v="Dev Patil"/>
    <s v="C201"/>
    <x v="0"/>
    <s v="B3"/>
    <x v="2"/>
    <x v="2"/>
    <n v="12221"/>
    <s v="DISC30"/>
    <n v="0.3"/>
    <n v="14000"/>
    <x v="42"/>
    <s v="Below Target"/>
  </r>
  <r>
    <s v="S1779"/>
    <s v="Aarav Jain"/>
    <s v="C202"/>
    <x v="2"/>
    <s v="B2"/>
    <x v="2"/>
    <x v="1"/>
    <n v="11904"/>
    <s v="DISC20"/>
    <n v="0.2"/>
    <n v="13000"/>
    <x v="55"/>
    <s v="Below Target"/>
  </r>
  <r>
    <s v="S1780"/>
    <s v="Rohit Desai"/>
    <s v="C204"/>
    <x v="3"/>
    <s v="B2"/>
    <x v="2"/>
    <x v="1"/>
    <n v="9067"/>
    <s v="DISC10"/>
    <n v="0.1"/>
    <n v="9000"/>
    <x v="24"/>
    <s v="Target Achieved"/>
  </r>
  <r>
    <s v="S1781"/>
    <s v="Rahul Rao"/>
    <s v="C204"/>
    <x v="3"/>
    <s v="B1"/>
    <x v="1"/>
    <x v="2"/>
    <n v="7338"/>
    <m/>
    <m/>
    <n v="9000"/>
    <x v="52"/>
    <s v="Below Target"/>
  </r>
  <r>
    <s v="S1782"/>
    <s v="Anjali Kulkarni"/>
    <s v="C204"/>
    <x v="3"/>
    <s v="B2"/>
    <x v="1"/>
    <x v="2"/>
    <n v="9055"/>
    <m/>
    <m/>
    <n v="9000"/>
    <x v="57"/>
    <s v="Target Achieved"/>
  </r>
  <r>
    <s v="S1783"/>
    <s v="Anjali Mehta"/>
    <s v="C202"/>
    <x v="2"/>
    <s v="B2"/>
    <x v="2"/>
    <x v="0"/>
    <n v="12998"/>
    <m/>
    <m/>
    <n v="13000"/>
    <x v="49"/>
    <s v="Below Target"/>
  </r>
  <r>
    <s v="S1784"/>
    <s v="Kavita Patil"/>
    <s v="C202"/>
    <x v="2"/>
    <s v="B1"/>
    <x v="1"/>
    <x v="2"/>
    <n v="14181"/>
    <m/>
    <m/>
    <n v="13000"/>
    <x v="31"/>
    <s v="Target Achieved"/>
  </r>
  <r>
    <s v="S1785"/>
    <s v="Rohit Joshi"/>
    <s v="C201"/>
    <x v="0"/>
    <s v="B1"/>
    <x v="2"/>
    <x v="2"/>
    <n v="13734"/>
    <s v="DISC30"/>
    <n v="0.3"/>
    <n v="14000"/>
    <x v="37"/>
    <s v="Below Target"/>
  </r>
  <r>
    <s v="S1786"/>
    <s v="Sneha Jain"/>
    <s v="C203"/>
    <x v="1"/>
    <s v="B3"/>
    <x v="2"/>
    <x v="0"/>
    <n v="18152"/>
    <s v="DISC30"/>
    <n v="0.3"/>
    <n v="17000"/>
    <x v="9"/>
    <s v="Target Achieved"/>
  </r>
  <r>
    <s v="S1787"/>
    <s v="Pooja Joshi"/>
    <s v="C204"/>
    <x v="3"/>
    <s v="B3"/>
    <x v="1"/>
    <x v="2"/>
    <n v="7183"/>
    <s v="DISC20"/>
    <n v="0.2"/>
    <n v="9000"/>
    <x v="19"/>
    <s v="Below Target"/>
  </r>
  <r>
    <s v="S1788"/>
    <s v="Rohit Jain"/>
    <s v="C202"/>
    <x v="2"/>
    <s v="B3"/>
    <x v="1"/>
    <x v="0"/>
    <n v="14029"/>
    <s v="DISC10"/>
    <n v="0.1"/>
    <n v="13000"/>
    <x v="27"/>
    <s v="Target Achieved"/>
  </r>
  <r>
    <s v="S1789"/>
    <s v="Kavita Mehta"/>
    <s v="C203"/>
    <x v="1"/>
    <s v="B1"/>
    <x v="0"/>
    <x v="1"/>
    <n v="18294"/>
    <s v="DISC10"/>
    <n v="0.1"/>
    <n v="17000"/>
    <x v="47"/>
    <s v="Target Achieved"/>
  </r>
  <r>
    <s v="S1790"/>
    <s v="Neha Iyer"/>
    <s v="C201"/>
    <x v="0"/>
    <s v="B2"/>
    <x v="1"/>
    <x v="1"/>
    <n v="14203"/>
    <s v="DISC20"/>
    <n v="0.2"/>
    <n v="14000"/>
    <x v="1"/>
    <s v="Target Achieved"/>
  </r>
  <r>
    <s v="S1791"/>
    <s v="Manish Gupta"/>
    <s v="C203"/>
    <x v="1"/>
    <s v="B3"/>
    <x v="0"/>
    <x v="1"/>
    <n v="17989"/>
    <s v="DISC20"/>
    <n v="0.2"/>
    <n v="17000"/>
    <x v="8"/>
    <s v="Target Achieved"/>
  </r>
  <r>
    <s v="S1792"/>
    <s v="Anjali Singh"/>
    <s v="C201"/>
    <x v="0"/>
    <s v="B2"/>
    <x v="2"/>
    <x v="1"/>
    <n v="14157"/>
    <s v="DISC10"/>
    <n v="0.1"/>
    <n v="14000"/>
    <x v="41"/>
    <s v="Target Achieved"/>
  </r>
  <r>
    <s v="S1793"/>
    <s v="Karan Kulkarni"/>
    <s v="C203"/>
    <x v="1"/>
    <s v="B1"/>
    <x v="2"/>
    <x v="1"/>
    <n v="16111"/>
    <s v="DISC10"/>
    <n v="0.1"/>
    <n v="17000"/>
    <x v="44"/>
    <s v="Below Target"/>
  </r>
  <r>
    <s v="S1794"/>
    <s v="Rohit Kulkarni"/>
    <s v="C201"/>
    <x v="0"/>
    <s v="B2"/>
    <x v="2"/>
    <x v="2"/>
    <n v="14715"/>
    <s v="DISC30"/>
    <n v="0.3"/>
    <n v="14000"/>
    <x v="16"/>
    <s v="Target Achieved"/>
  </r>
  <r>
    <s v="S1795"/>
    <s v="Riya Kulkarni"/>
    <s v="C203"/>
    <x v="1"/>
    <s v="B3"/>
    <x v="0"/>
    <x v="0"/>
    <n v="16559"/>
    <s v="DISC15"/>
    <m/>
    <n v="17000"/>
    <x v="6"/>
    <s v="Below Target"/>
  </r>
  <r>
    <s v="S1796"/>
    <s v="Riya Jain"/>
    <s v="C204"/>
    <x v="3"/>
    <s v="B3"/>
    <x v="2"/>
    <x v="0"/>
    <n v="7763"/>
    <s v="DISC20"/>
    <n v="0.2"/>
    <n v="9000"/>
    <x v="18"/>
    <s v="Below Target"/>
  </r>
  <r>
    <s v="S1797"/>
    <s v="Neha Gupta"/>
    <s v="C201"/>
    <x v="0"/>
    <s v="B1"/>
    <x v="1"/>
    <x v="1"/>
    <n v="13248"/>
    <s v="DISC30"/>
    <n v="0.3"/>
    <n v="14000"/>
    <x v="20"/>
    <s v="Below Target"/>
  </r>
  <r>
    <s v="S1798"/>
    <s v="Rahul Desai"/>
    <s v="C202"/>
    <x v="2"/>
    <s v="B1"/>
    <x v="0"/>
    <x v="1"/>
    <n v="12441"/>
    <s v="DISC30"/>
    <n v="0.3"/>
    <n v="13000"/>
    <x v="56"/>
    <s v="Below Target"/>
  </r>
  <r>
    <s v="S1799"/>
    <s v="Aditya Patil"/>
    <s v="C203"/>
    <x v="1"/>
    <s v="B1"/>
    <x v="2"/>
    <x v="2"/>
    <n v="18599"/>
    <m/>
    <m/>
    <n v="17000"/>
    <x v="43"/>
    <s v="Target Achieved"/>
  </r>
  <r>
    <s v="S1800"/>
    <s v="Meera Kulkarni"/>
    <s v="C203"/>
    <x v="1"/>
    <s v="B1"/>
    <x v="1"/>
    <x v="2"/>
    <n v="18674"/>
    <m/>
    <m/>
    <n v="17000"/>
    <x v="45"/>
    <s v="Target Achieved"/>
  </r>
  <r>
    <s v="S1801"/>
    <s v="Karan Shah"/>
    <s v="C204"/>
    <x v="3"/>
    <s v="B3"/>
    <x v="2"/>
    <x v="1"/>
    <n v="10574"/>
    <s v="DISC20"/>
    <n v="0.2"/>
    <n v="9000"/>
    <x v="2"/>
    <s v="Target Achieved"/>
  </r>
  <r>
    <s v="S1802"/>
    <s v="Sneha Joshi"/>
    <s v="C202"/>
    <x v="2"/>
    <s v="B2"/>
    <x v="0"/>
    <x v="1"/>
    <n v="12348"/>
    <m/>
    <m/>
    <n v="13000"/>
    <x v="36"/>
    <s v="Below Target"/>
  </r>
  <r>
    <s v="S1803"/>
    <s v="Karan Patil"/>
    <s v="C202"/>
    <x v="2"/>
    <s v="B3"/>
    <x v="2"/>
    <x v="1"/>
    <n v="14277"/>
    <s v="DISC20"/>
    <n v="0.2"/>
    <n v="13000"/>
    <x v="16"/>
    <s v="Target Achieved"/>
  </r>
  <r>
    <s v="S1804"/>
    <s v="Karan Rao"/>
    <s v="C202"/>
    <x v="2"/>
    <s v="B2"/>
    <x v="1"/>
    <x v="1"/>
    <n v="14821"/>
    <s v="DISC15"/>
    <m/>
    <n v="13000"/>
    <x v="58"/>
    <s v="Target Achieved"/>
  </r>
  <r>
    <s v="S1805"/>
    <s v="Karan Jain"/>
    <s v="C201"/>
    <x v="0"/>
    <s v="B3"/>
    <x v="2"/>
    <x v="1"/>
    <n v="12484"/>
    <s v="DISC20"/>
    <n v="0.2"/>
    <n v="14000"/>
    <x v="31"/>
    <s v="Below Target"/>
  </r>
  <r>
    <s v="S1806"/>
    <s v="Meera Mehta"/>
    <s v="C201"/>
    <x v="0"/>
    <s v="B2"/>
    <x v="0"/>
    <x v="2"/>
    <n v="13242"/>
    <m/>
    <m/>
    <n v="14000"/>
    <x v="0"/>
    <s v="Below Target"/>
  </r>
  <r>
    <s v="S1807"/>
    <s v="Kunal Nair"/>
    <s v="C203"/>
    <x v="1"/>
    <s v="B1"/>
    <x v="1"/>
    <x v="0"/>
    <n v="15538"/>
    <s v="DISC20"/>
    <n v="0.2"/>
    <n v="17000"/>
    <x v="23"/>
    <s v="Below Target"/>
  </r>
  <r>
    <s v="S1808"/>
    <s v="Dev Joshi"/>
    <s v="C203"/>
    <x v="1"/>
    <s v="B3"/>
    <x v="2"/>
    <x v="1"/>
    <n v="15945"/>
    <s v="DISC15"/>
    <m/>
    <n v="17000"/>
    <x v="24"/>
    <s v="Below Target"/>
  </r>
  <r>
    <s v="S1809"/>
    <s v="Sneha Singh"/>
    <s v="C201"/>
    <x v="0"/>
    <s v="B2"/>
    <x v="1"/>
    <x v="1"/>
    <n v="15194"/>
    <m/>
    <m/>
    <n v="14000"/>
    <x v="59"/>
    <s v="Target Achieved"/>
  </r>
  <r>
    <s v="S1810"/>
    <s v="Manish Nair"/>
    <s v="C204"/>
    <x v="3"/>
    <s v="B3"/>
    <x v="2"/>
    <x v="2"/>
    <n v="7753"/>
    <m/>
    <m/>
    <n v="9000"/>
    <x v="20"/>
    <s v="Below Target"/>
  </r>
  <r>
    <s v="S1811"/>
    <s v="Neha Mehta"/>
    <s v="C202"/>
    <x v="2"/>
    <s v="B1"/>
    <x v="1"/>
    <x v="0"/>
    <n v="12673"/>
    <s v="DISC10"/>
    <n v="0.1"/>
    <n v="13000"/>
    <x v="5"/>
    <s v="Below Target"/>
  </r>
  <r>
    <s v="S1812"/>
    <s v="Aditya Verma"/>
    <s v="C202"/>
    <x v="2"/>
    <s v="B3"/>
    <x v="2"/>
    <x v="0"/>
    <n v="14103"/>
    <s v="DISC20"/>
    <n v="0.2"/>
    <n v="13000"/>
    <x v="11"/>
    <s v="Target Achieved"/>
  </r>
  <r>
    <s v="S1813"/>
    <s v="Karan Iyer"/>
    <s v="C204"/>
    <x v="3"/>
    <s v="B3"/>
    <x v="0"/>
    <x v="2"/>
    <n v="10635"/>
    <s v="DISC20"/>
    <n v="0.2"/>
    <n v="9000"/>
    <x v="13"/>
    <s v="Target Achieved"/>
  </r>
  <r>
    <s v="S1814"/>
    <s v="Rahul Patel"/>
    <s v="C201"/>
    <x v="0"/>
    <s v="B3"/>
    <x v="2"/>
    <x v="2"/>
    <n v="14949"/>
    <s v="DISC30"/>
    <n v="0.3"/>
    <n v="14000"/>
    <x v="32"/>
    <s v="Target Achieved"/>
  </r>
  <r>
    <s v="S1815"/>
    <s v="Kavita Desai"/>
    <s v="C201"/>
    <x v="0"/>
    <s v="B3"/>
    <x v="1"/>
    <x v="2"/>
    <n v="13871"/>
    <s v="DISC10"/>
    <n v="0.1"/>
    <n v="14000"/>
    <x v="43"/>
    <s v="Below Target"/>
  </r>
  <r>
    <s v="S1816"/>
    <s v="Sneha Gupta"/>
    <s v="C204"/>
    <x v="3"/>
    <s v="B3"/>
    <x v="1"/>
    <x v="1"/>
    <n v="8586"/>
    <s v="DISC15"/>
    <m/>
    <n v="9000"/>
    <x v="46"/>
    <s v="Below Target"/>
  </r>
  <r>
    <s v="S1817"/>
    <s v="Rohit Kulkarni"/>
    <s v="C202"/>
    <x v="2"/>
    <s v="B2"/>
    <x v="0"/>
    <x v="2"/>
    <n v="14622"/>
    <s v="DISC30"/>
    <n v="0.3"/>
    <n v="13000"/>
    <x v="57"/>
    <s v="Target Achieved"/>
  </r>
  <r>
    <s v="S1818"/>
    <s v="Meera Rao"/>
    <s v="C204"/>
    <x v="3"/>
    <s v="B1"/>
    <x v="0"/>
    <x v="2"/>
    <n v="9511"/>
    <s v="DISC10"/>
    <n v="0.1"/>
    <n v="9000"/>
    <x v="8"/>
    <s v="Target Achieved"/>
  </r>
  <r>
    <s v="S1819"/>
    <s v="Manish Mehta"/>
    <s v="C204"/>
    <x v="3"/>
    <s v="B3"/>
    <x v="0"/>
    <x v="0"/>
    <n v="9959"/>
    <s v="DISC15"/>
    <m/>
    <n v="9000"/>
    <x v="17"/>
    <s v="Target Achieved"/>
  </r>
  <r>
    <s v="S1820"/>
    <s v="Karan Patel"/>
    <s v="C202"/>
    <x v="2"/>
    <s v="B2"/>
    <x v="0"/>
    <x v="2"/>
    <n v="12846"/>
    <s v="DISC10"/>
    <n v="0.1"/>
    <n v="13000"/>
    <x v="53"/>
    <s v="Below Target"/>
  </r>
  <r>
    <s v="S1821"/>
    <s v="Neha Joshi"/>
    <s v="C202"/>
    <x v="2"/>
    <s v="B2"/>
    <x v="1"/>
    <x v="2"/>
    <n v="12327"/>
    <s v="DISC20"/>
    <n v="0.2"/>
    <n v="13000"/>
    <x v="6"/>
    <s v="Below Target"/>
  </r>
  <r>
    <s v="S1822"/>
    <s v="Anjali Shah"/>
    <s v="C201"/>
    <x v="0"/>
    <s v="B1"/>
    <x v="2"/>
    <x v="2"/>
    <n v="14597"/>
    <s v="DISC30"/>
    <n v="0.3"/>
    <n v="14000"/>
    <x v="14"/>
    <s v="Target Achieved"/>
  </r>
  <r>
    <s v="S1823"/>
    <s v="Manish Desai"/>
    <s v="C204"/>
    <x v="3"/>
    <s v="B3"/>
    <x v="2"/>
    <x v="1"/>
    <n v="10890"/>
    <s v="DISC20"/>
    <n v="0.2"/>
    <n v="9000"/>
    <x v="7"/>
    <s v="Target Achieved"/>
  </r>
  <r>
    <s v="S1824"/>
    <s v="Manish Verma"/>
    <s v="C201"/>
    <x v="0"/>
    <s v="B1"/>
    <x v="0"/>
    <x v="1"/>
    <n v="15568"/>
    <s v="DISC20"/>
    <n v="0.2"/>
    <n v="14000"/>
    <x v="9"/>
    <s v="Target Achieved"/>
  </r>
  <r>
    <s v="S1825"/>
    <s v="Meera Mehta"/>
    <s v="C202"/>
    <x v="2"/>
    <s v="B3"/>
    <x v="1"/>
    <x v="2"/>
    <n v="12261"/>
    <s v="DISC30"/>
    <n v="0.3"/>
    <n v="13000"/>
    <x v="60"/>
    <s v="Below Target"/>
  </r>
  <r>
    <s v="S1826"/>
    <s v="Dev Iyer"/>
    <s v="C203"/>
    <x v="1"/>
    <s v="B3"/>
    <x v="1"/>
    <x v="0"/>
    <n v="18680"/>
    <s v="DISC20"/>
    <n v="0.2"/>
    <n v="17000"/>
    <x v="19"/>
    <s v="Target Achieved"/>
  </r>
  <r>
    <s v="S1827"/>
    <s v="Aarav Joshi"/>
    <s v="C203"/>
    <x v="1"/>
    <s v="B1"/>
    <x v="0"/>
    <x v="2"/>
    <n v="18503"/>
    <m/>
    <m/>
    <n v="17000"/>
    <x v="36"/>
    <s v="Target Achieved"/>
  </r>
  <r>
    <s v="S1828"/>
    <s v="Dev Kulkarni"/>
    <s v="C204"/>
    <x v="3"/>
    <s v="B1"/>
    <x v="1"/>
    <x v="1"/>
    <n v="9701"/>
    <m/>
    <m/>
    <n v="9000"/>
    <x v="44"/>
    <s v="Target Achieved"/>
  </r>
  <r>
    <s v="S1829"/>
    <s v="Rahul Iyer"/>
    <s v="C201"/>
    <x v="0"/>
    <s v="B3"/>
    <x v="2"/>
    <x v="0"/>
    <n v="13002"/>
    <s v="DISC15"/>
    <m/>
    <n v="14000"/>
    <x v="3"/>
    <s v="Below Target"/>
  </r>
  <r>
    <s v="S1830"/>
    <s v="Kavita Singh"/>
    <s v="C202"/>
    <x v="2"/>
    <s v="B1"/>
    <x v="1"/>
    <x v="0"/>
    <n v="11225"/>
    <s v="DISC30"/>
    <n v="0.3"/>
    <n v="13000"/>
    <x v="34"/>
    <s v="Below Target"/>
  </r>
  <r>
    <s v="S1831"/>
    <s v="Karan Nair"/>
    <s v="C201"/>
    <x v="0"/>
    <s v="B3"/>
    <x v="2"/>
    <x v="1"/>
    <n v="13222"/>
    <s v="DISC30"/>
    <n v="0.3"/>
    <n v="14000"/>
    <x v="58"/>
    <s v="Below Target"/>
  </r>
  <r>
    <s v="S1832"/>
    <s v="Riya Kulkarni"/>
    <s v="C201"/>
    <x v="0"/>
    <s v="B2"/>
    <x v="1"/>
    <x v="0"/>
    <n v="14752"/>
    <s v="DISC30"/>
    <n v="0.3"/>
    <n v="14000"/>
    <x v="33"/>
    <s v="Target Achieved"/>
  </r>
  <r>
    <s v="S1833"/>
    <s v="Rohit Desai"/>
    <s v="C202"/>
    <x v="2"/>
    <s v="B2"/>
    <x v="2"/>
    <x v="1"/>
    <n v="12475"/>
    <s v="DISC10"/>
    <n v="0.1"/>
    <n v="13000"/>
    <x v="14"/>
    <s v="Below Target"/>
  </r>
  <r>
    <s v="S1834"/>
    <s v="Dev Rao"/>
    <s v="C203"/>
    <x v="1"/>
    <s v="B2"/>
    <x v="0"/>
    <x v="0"/>
    <n v="18106"/>
    <m/>
    <m/>
    <n v="17000"/>
    <x v="10"/>
    <s v="Target Achieved"/>
  </r>
  <r>
    <s v="S1835"/>
    <s v="Manish Shah"/>
    <s v="C203"/>
    <x v="1"/>
    <s v="B2"/>
    <x v="1"/>
    <x v="0"/>
    <n v="17845"/>
    <s v="DISC30"/>
    <n v="0.3"/>
    <n v="17000"/>
    <x v="40"/>
    <s v="Target Achieved"/>
  </r>
  <r>
    <s v="S1836"/>
    <s v="Manish Verma"/>
    <s v="C202"/>
    <x v="2"/>
    <s v="B3"/>
    <x v="1"/>
    <x v="1"/>
    <n v="11238"/>
    <s v="DISC10"/>
    <n v="0.1"/>
    <n v="13000"/>
    <x v="52"/>
    <s v="Below Target"/>
  </r>
  <r>
    <s v="S1837"/>
    <s v="Anjali Singh"/>
    <s v="C201"/>
    <x v="0"/>
    <s v="B2"/>
    <x v="2"/>
    <x v="1"/>
    <n v="14477"/>
    <s v="DISC30"/>
    <n v="0.3"/>
    <n v="14000"/>
    <x v="13"/>
    <s v="Target Achieved"/>
  </r>
  <r>
    <s v="S1838"/>
    <s v="Kavita Nair"/>
    <s v="C203"/>
    <x v="1"/>
    <s v="B2"/>
    <x v="2"/>
    <x v="1"/>
    <n v="17552"/>
    <s v="DISC30"/>
    <n v="0.3"/>
    <n v="17000"/>
    <x v="5"/>
    <s v="Target Achieved"/>
  </r>
  <r>
    <s v="S1839"/>
    <s v="Karan Joshi"/>
    <s v="C204"/>
    <x v="3"/>
    <s v="B3"/>
    <x v="2"/>
    <x v="1"/>
    <n v="9038"/>
    <m/>
    <m/>
    <n v="9000"/>
    <x v="50"/>
    <s v="Target Achieved"/>
  </r>
  <r>
    <s v="S1840"/>
    <s v="Karan Joshi"/>
    <s v="C202"/>
    <x v="2"/>
    <s v="B3"/>
    <x v="0"/>
    <x v="0"/>
    <n v="11006"/>
    <s v="DISC10"/>
    <n v="0.1"/>
    <n v="13000"/>
    <x v="23"/>
    <s v="Below Target"/>
  </r>
  <r>
    <s v="S1841"/>
    <s v="Neha Singh"/>
    <s v="C201"/>
    <x v="0"/>
    <s v="B3"/>
    <x v="1"/>
    <x v="1"/>
    <n v="13698"/>
    <m/>
    <m/>
    <n v="14000"/>
    <x v="34"/>
    <s v="Below Target"/>
  </r>
  <r>
    <s v="S1842"/>
    <s v="Pooja Jain"/>
    <s v="C202"/>
    <x v="2"/>
    <s v="B1"/>
    <x v="2"/>
    <x v="0"/>
    <n v="13826"/>
    <s v="DISC30"/>
    <n v="0.3"/>
    <n v="13000"/>
    <x v="41"/>
    <s v="Target Achieved"/>
  </r>
  <r>
    <s v="S1843"/>
    <s v="Dev Shah"/>
    <s v="C203"/>
    <x v="1"/>
    <s v="B2"/>
    <x v="2"/>
    <x v="1"/>
    <n v="16326"/>
    <s v="DISC10"/>
    <n v="0.1"/>
    <n v="17000"/>
    <x v="17"/>
    <s v="Below Target"/>
  </r>
  <r>
    <s v="S1844"/>
    <s v="Rohit Jain"/>
    <s v="C203"/>
    <x v="1"/>
    <s v="B2"/>
    <x v="2"/>
    <x v="1"/>
    <n v="17523"/>
    <s v="DISC10"/>
    <n v="0.1"/>
    <n v="17000"/>
    <x v="10"/>
    <s v="Target Achieved"/>
  </r>
  <r>
    <s v="S1845"/>
    <s v="Karan Patil"/>
    <s v="C203"/>
    <x v="1"/>
    <s v="B2"/>
    <x v="2"/>
    <x v="2"/>
    <n v="18752"/>
    <m/>
    <m/>
    <n v="17000"/>
    <x v="50"/>
    <s v="Target Achieved"/>
  </r>
  <r>
    <s v="S1846"/>
    <s v="Aarav Singh"/>
    <s v="C202"/>
    <x v="2"/>
    <s v="B2"/>
    <x v="1"/>
    <x v="1"/>
    <n v="12886"/>
    <s v="DISC15"/>
    <m/>
    <n v="13000"/>
    <x v="48"/>
    <s v="Below Target"/>
  </r>
  <r>
    <s v="S1847"/>
    <s v="Pooja Iyer"/>
    <s v="C204"/>
    <x v="3"/>
    <s v="B3"/>
    <x v="1"/>
    <x v="1"/>
    <n v="8226"/>
    <s v="DISC15"/>
    <m/>
    <n v="9000"/>
    <x v="60"/>
    <s v="Below Target"/>
  </r>
  <r>
    <s v="S1848"/>
    <s v="Rohit Jain"/>
    <s v="C201"/>
    <x v="0"/>
    <s v="B1"/>
    <x v="2"/>
    <x v="1"/>
    <n v="13358"/>
    <s v="DISC30"/>
    <n v="0.3"/>
    <n v="14000"/>
    <x v="11"/>
    <s v="Below Target"/>
  </r>
  <r>
    <s v="S1849"/>
    <s v="Karan Rao"/>
    <s v="C201"/>
    <x v="0"/>
    <s v="B2"/>
    <x v="0"/>
    <x v="1"/>
    <n v="14188"/>
    <s v="DISC20"/>
    <n v="0.2"/>
    <n v="14000"/>
    <x v="52"/>
    <s v="Target Achieved"/>
  </r>
  <r>
    <s v="S1850"/>
    <s v="Kavita Verma"/>
    <s v="C202"/>
    <x v="2"/>
    <s v="B3"/>
    <x v="1"/>
    <x v="2"/>
    <n v="13888"/>
    <s v="DISC30"/>
    <n v="0.3"/>
    <n v="13000"/>
    <x v="6"/>
    <s v="Target Achieved"/>
  </r>
  <r>
    <s v="S1851"/>
    <s v="Aarav Rao"/>
    <s v="C204"/>
    <x v="3"/>
    <s v="B1"/>
    <x v="0"/>
    <x v="0"/>
    <n v="8522"/>
    <m/>
    <m/>
    <n v="9000"/>
    <x v="10"/>
    <s v="Below Target"/>
  </r>
  <r>
    <s v="S1852"/>
    <s v="Aditya Patil"/>
    <s v="C203"/>
    <x v="1"/>
    <s v="B1"/>
    <x v="1"/>
    <x v="2"/>
    <n v="18215"/>
    <s v="DISC10"/>
    <n v="0.1"/>
    <n v="17000"/>
    <x v="57"/>
    <s v="Target Achieved"/>
  </r>
  <r>
    <s v="S1853"/>
    <s v="Sneha Shah"/>
    <s v="C204"/>
    <x v="3"/>
    <s v="B3"/>
    <x v="1"/>
    <x v="2"/>
    <n v="10706"/>
    <s v="DISC15"/>
    <m/>
    <n v="9000"/>
    <x v="12"/>
    <s v="Target Achieved"/>
  </r>
  <r>
    <s v="S1854"/>
    <s v="Sneha Jain"/>
    <s v="C204"/>
    <x v="3"/>
    <s v="B3"/>
    <x v="2"/>
    <x v="2"/>
    <n v="10176"/>
    <s v="DISC30"/>
    <n v="0.3"/>
    <n v="9000"/>
    <x v="12"/>
    <s v="Target Achieved"/>
  </r>
  <r>
    <s v="S1855"/>
    <s v="Dev Nair"/>
    <s v="C201"/>
    <x v="0"/>
    <s v="B3"/>
    <x v="2"/>
    <x v="0"/>
    <n v="12840"/>
    <s v="DISC10"/>
    <n v="0.1"/>
    <n v="14000"/>
    <x v="44"/>
    <s v="Below Target"/>
  </r>
  <r>
    <s v="S1856"/>
    <s v="Rahul Desai"/>
    <s v="C201"/>
    <x v="0"/>
    <s v="B1"/>
    <x v="0"/>
    <x v="0"/>
    <n v="14814"/>
    <s v="DISC15"/>
    <m/>
    <n v="14000"/>
    <x v="16"/>
    <s v="Target Achieved"/>
  </r>
  <r>
    <s v="S1857"/>
    <s v="Riya Jain"/>
    <s v="C204"/>
    <x v="3"/>
    <s v="B1"/>
    <x v="1"/>
    <x v="1"/>
    <n v="10138"/>
    <s v="DISC30"/>
    <n v="0.3"/>
    <n v="9000"/>
    <x v="23"/>
    <s v="Target Achieved"/>
  </r>
  <r>
    <s v="S1858"/>
    <s v="Kavita Patel"/>
    <s v="C203"/>
    <x v="1"/>
    <s v="B3"/>
    <x v="1"/>
    <x v="2"/>
    <n v="15821"/>
    <s v="DISC20"/>
    <n v="0.2"/>
    <n v="17000"/>
    <x v="28"/>
    <s v="Below Target"/>
  </r>
  <r>
    <s v="S1859"/>
    <s v="Aditya Gupta"/>
    <s v="C203"/>
    <x v="1"/>
    <s v="B2"/>
    <x v="2"/>
    <x v="0"/>
    <n v="16116"/>
    <s v="DISC20"/>
    <n v="0.2"/>
    <n v="17000"/>
    <x v="9"/>
    <s v="Below Target"/>
  </r>
  <r>
    <s v="S1860"/>
    <s v="Aditya Shah"/>
    <s v="C201"/>
    <x v="0"/>
    <s v="B3"/>
    <x v="2"/>
    <x v="1"/>
    <n v="12419"/>
    <s v="DISC20"/>
    <n v="0.2"/>
    <n v="14000"/>
    <x v="36"/>
    <s v="Below Target"/>
  </r>
  <r>
    <s v="S1861"/>
    <s v="Pooja Gupta"/>
    <s v="C203"/>
    <x v="1"/>
    <s v="B2"/>
    <x v="1"/>
    <x v="1"/>
    <n v="18293"/>
    <s v="DISC30"/>
    <n v="0.3"/>
    <n v="17000"/>
    <x v="52"/>
    <s v="Target Achieved"/>
  </r>
  <r>
    <s v="S1862"/>
    <s v="Sneha Mehta"/>
    <s v="C201"/>
    <x v="0"/>
    <s v="B2"/>
    <x v="2"/>
    <x v="2"/>
    <n v="14214"/>
    <m/>
    <m/>
    <n v="14000"/>
    <x v="55"/>
    <s v="Target Achieved"/>
  </r>
  <r>
    <s v="S1863"/>
    <s v="Karan Kulkarni"/>
    <s v="C204"/>
    <x v="3"/>
    <s v="B3"/>
    <x v="1"/>
    <x v="0"/>
    <n v="8571"/>
    <s v="DISC10"/>
    <n v="0.1"/>
    <n v="9000"/>
    <x v="14"/>
    <s v="Below Target"/>
  </r>
  <r>
    <s v="S1864"/>
    <s v="Rahul Verma"/>
    <s v="C202"/>
    <x v="2"/>
    <s v="B3"/>
    <x v="2"/>
    <x v="1"/>
    <n v="13578"/>
    <m/>
    <m/>
    <n v="13000"/>
    <x v="33"/>
    <s v="Target Achieved"/>
  </r>
  <r>
    <s v="S1865"/>
    <s v="Pooja Rao"/>
    <s v="C203"/>
    <x v="1"/>
    <s v="B1"/>
    <x v="2"/>
    <x v="1"/>
    <n v="18314"/>
    <s v="DISC15"/>
    <m/>
    <n v="17000"/>
    <x v="14"/>
    <s v="Target Achieved"/>
  </r>
  <r>
    <s v="S1866"/>
    <s v="Kunal Patel"/>
    <s v="C204"/>
    <x v="3"/>
    <s v="B3"/>
    <x v="1"/>
    <x v="0"/>
    <n v="10329"/>
    <m/>
    <m/>
    <n v="9000"/>
    <x v="25"/>
    <s v="Target Achieved"/>
  </r>
  <r>
    <s v="S1867"/>
    <s v="Neha Rao"/>
    <s v="C204"/>
    <x v="3"/>
    <s v="B2"/>
    <x v="1"/>
    <x v="0"/>
    <n v="7588"/>
    <s v="DISC15"/>
    <m/>
    <n v="9000"/>
    <x v="41"/>
    <s v="Below Target"/>
  </r>
  <r>
    <s v="S1868"/>
    <s v="Kunal Jain"/>
    <s v="C204"/>
    <x v="3"/>
    <s v="B1"/>
    <x v="2"/>
    <x v="1"/>
    <n v="8353"/>
    <s v="DISC30"/>
    <n v="0.3"/>
    <n v="9000"/>
    <x v="44"/>
    <s v="Below Target"/>
  </r>
  <r>
    <s v="S1869"/>
    <s v="Neha Kulkarni"/>
    <s v="C201"/>
    <x v="0"/>
    <s v="B2"/>
    <x v="1"/>
    <x v="2"/>
    <n v="13960"/>
    <m/>
    <m/>
    <n v="14000"/>
    <x v="4"/>
    <s v="Below Target"/>
  </r>
  <r>
    <s v="S1870"/>
    <s v="Karan Rao"/>
    <s v="C203"/>
    <x v="1"/>
    <s v="B3"/>
    <x v="2"/>
    <x v="0"/>
    <n v="17080"/>
    <s v="DISC10"/>
    <n v="0.1"/>
    <n v="17000"/>
    <x v="32"/>
    <s v="Target Achieved"/>
  </r>
  <r>
    <s v="S1871"/>
    <s v="Meera Desai"/>
    <s v="C201"/>
    <x v="0"/>
    <s v="B2"/>
    <x v="2"/>
    <x v="1"/>
    <n v="12290"/>
    <s v="DISC30"/>
    <n v="0.3"/>
    <n v="14000"/>
    <x v="36"/>
    <s v="Below Target"/>
  </r>
  <r>
    <s v="S1872"/>
    <s v="Neha Verma"/>
    <s v="C204"/>
    <x v="3"/>
    <s v="B1"/>
    <x v="2"/>
    <x v="0"/>
    <n v="9244"/>
    <s v="DISC20"/>
    <n v="0.2"/>
    <n v="9000"/>
    <x v="30"/>
    <s v="Target Achieved"/>
  </r>
  <r>
    <s v="S1873"/>
    <s v="Rahul Shah"/>
    <s v="C203"/>
    <x v="1"/>
    <s v="B1"/>
    <x v="2"/>
    <x v="1"/>
    <n v="16765"/>
    <m/>
    <m/>
    <n v="17000"/>
    <x v="52"/>
    <s v="Below Target"/>
  </r>
  <r>
    <s v="S1874"/>
    <s v="Dev Jain"/>
    <s v="C202"/>
    <x v="2"/>
    <s v="B1"/>
    <x v="2"/>
    <x v="1"/>
    <n v="11319"/>
    <s v="DISC15"/>
    <m/>
    <n v="13000"/>
    <x v="10"/>
    <s v="Below Target"/>
  </r>
  <r>
    <s v="S1875"/>
    <s v="Neha Shah"/>
    <s v="C204"/>
    <x v="3"/>
    <s v="B2"/>
    <x v="2"/>
    <x v="0"/>
    <n v="10367"/>
    <m/>
    <m/>
    <n v="9000"/>
    <x v="53"/>
    <s v="Target Achieved"/>
  </r>
  <r>
    <s v="S1876"/>
    <s v="Aditya Verma"/>
    <s v="C201"/>
    <x v="0"/>
    <s v="B3"/>
    <x v="1"/>
    <x v="1"/>
    <n v="15334"/>
    <s v="DISC15"/>
    <m/>
    <n v="14000"/>
    <x v="57"/>
    <s v="Target Achieved"/>
  </r>
  <r>
    <s v="S1877"/>
    <s v="Meera Verma"/>
    <s v="C203"/>
    <x v="1"/>
    <s v="B2"/>
    <x v="2"/>
    <x v="1"/>
    <n v="15251"/>
    <s v="DISC10"/>
    <n v="0.1"/>
    <n v="17000"/>
    <x v="1"/>
    <s v="Below Target"/>
  </r>
  <r>
    <s v="S1878"/>
    <s v="Meera Mehta"/>
    <s v="C201"/>
    <x v="0"/>
    <s v="B1"/>
    <x v="2"/>
    <x v="0"/>
    <n v="13855"/>
    <s v="DISC15"/>
    <m/>
    <n v="14000"/>
    <x v="28"/>
    <s v="Below Target"/>
  </r>
  <r>
    <s v="S1879"/>
    <s v="Rahul Joshi"/>
    <s v="C204"/>
    <x v="3"/>
    <s v="B1"/>
    <x v="1"/>
    <x v="1"/>
    <n v="10593"/>
    <s v="DISC30"/>
    <n v="0.3"/>
    <n v="9000"/>
    <x v="47"/>
    <s v="Target Achieved"/>
  </r>
  <r>
    <s v="S1880"/>
    <s v="Kavita Patel"/>
    <s v="C203"/>
    <x v="1"/>
    <s v="B2"/>
    <x v="2"/>
    <x v="2"/>
    <n v="15365"/>
    <s v="DISC15"/>
    <m/>
    <n v="17000"/>
    <x v="54"/>
    <s v="Below Target"/>
  </r>
  <r>
    <s v="S1881"/>
    <s v="Kavita Gupta"/>
    <s v="C204"/>
    <x v="3"/>
    <s v="B1"/>
    <x v="0"/>
    <x v="0"/>
    <n v="8512"/>
    <s v="DISC15"/>
    <m/>
    <n v="9000"/>
    <x v="55"/>
    <s v="Below Target"/>
  </r>
  <r>
    <s v="S1882"/>
    <s v="Aarav Desai"/>
    <s v="C203"/>
    <x v="1"/>
    <s v="B1"/>
    <x v="0"/>
    <x v="0"/>
    <n v="15963"/>
    <m/>
    <m/>
    <n v="17000"/>
    <x v="8"/>
    <s v="Below Target"/>
  </r>
  <r>
    <s v="S1883"/>
    <s v="Kavita Verma"/>
    <s v="C203"/>
    <x v="1"/>
    <s v="B3"/>
    <x v="0"/>
    <x v="2"/>
    <n v="16562"/>
    <m/>
    <m/>
    <n v="17000"/>
    <x v="36"/>
    <s v="Below Target"/>
  </r>
  <r>
    <s v="S1884"/>
    <s v="Sneha Singh"/>
    <s v="C202"/>
    <x v="2"/>
    <s v="B2"/>
    <x v="1"/>
    <x v="0"/>
    <n v="13275"/>
    <m/>
    <m/>
    <n v="13000"/>
    <x v="10"/>
    <s v="Target Achieved"/>
  </r>
  <r>
    <s v="S1885"/>
    <s v="Kunal Jain"/>
    <s v="C204"/>
    <x v="3"/>
    <s v="B1"/>
    <x v="0"/>
    <x v="1"/>
    <n v="7514"/>
    <s v="DISC20"/>
    <n v="0.2"/>
    <n v="9000"/>
    <x v="54"/>
    <s v="Below Target"/>
  </r>
  <r>
    <s v="S1886"/>
    <s v="Riya Singh"/>
    <s v="C201"/>
    <x v="0"/>
    <s v="B1"/>
    <x v="2"/>
    <x v="2"/>
    <n v="14694"/>
    <m/>
    <m/>
    <n v="14000"/>
    <x v="59"/>
    <s v="Target Achieved"/>
  </r>
  <r>
    <s v="S1887"/>
    <s v="Riya Mehta"/>
    <s v="C204"/>
    <x v="3"/>
    <s v="B2"/>
    <x v="2"/>
    <x v="1"/>
    <n v="10810"/>
    <m/>
    <m/>
    <n v="9000"/>
    <x v="33"/>
    <s v="Target Achieved"/>
  </r>
  <r>
    <s v="S1888"/>
    <s v="Karan Iyer"/>
    <s v="C204"/>
    <x v="3"/>
    <s v="B3"/>
    <x v="0"/>
    <x v="2"/>
    <n v="8455"/>
    <s v="DISC20"/>
    <n v="0.2"/>
    <n v="9000"/>
    <x v="53"/>
    <s v="Below Target"/>
  </r>
  <r>
    <s v="S1889"/>
    <s v="Rahul Joshi"/>
    <s v="C201"/>
    <x v="0"/>
    <s v="B3"/>
    <x v="0"/>
    <x v="1"/>
    <n v="12969"/>
    <s v="DISC15"/>
    <m/>
    <n v="14000"/>
    <x v="3"/>
    <s v="Below Target"/>
  </r>
  <r>
    <s v="S1890"/>
    <s v="Rahul Gupta"/>
    <s v="C203"/>
    <x v="1"/>
    <s v="B1"/>
    <x v="1"/>
    <x v="1"/>
    <n v="16979"/>
    <s v="DISC30"/>
    <n v="0.3"/>
    <n v="17000"/>
    <x v="17"/>
    <s v="Below Target"/>
  </r>
  <r>
    <s v="S1891"/>
    <s v="Kavita Iyer"/>
    <s v="C201"/>
    <x v="0"/>
    <s v="B1"/>
    <x v="2"/>
    <x v="1"/>
    <n v="14156"/>
    <s v="DISC30"/>
    <n v="0.3"/>
    <n v="14000"/>
    <x v="44"/>
    <s v="Target Achieved"/>
  </r>
  <r>
    <s v="S1892"/>
    <s v="Manish Shah"/>
    <s v="C201"/>
    <x v="0"/>
    <s v="B1"/>
    <x v="0"/>
    <x v="1"/>
    <n v="15037"/>
    <s v="DISC10"/>
    <n v="0.1"/>
    <n v="14000"/>
    <x v="26"/>
    <s v="Target Achieved"/>
  </r>
  <r>
    <s v="S1893"/>
    <s v="Rohit Gupta"/>
    <s v="C203"/>
    <x v="1"/>
    <s v="B3"/>
    <x v="1"/>
    <x v="2"/>
    <n v="17191"/>
    <s v="DISC10"/>
    <n v="0.1"/>
    <n v="17000"/>
    <x v="30"/>
    <s v="Target Achieved"/>
  </r>
  <r>
    <s v="S1894"/>
    <s v="Neha Gupta"/>
    <s v="C204"/>
    <x v="3"/>
    <s v="B3"/>
    <x v="2"/>
    <x v="2"/>
    <n v="8724"/>
    <s v="DISC30"/>
    <n v="0.3"/>
    <n v="9000"/>
    <x v="50"/>
    <s v="Below Target"/>
  </r>
  <r>
    <s v="S1895"/>
    <s v="Aditya Rao"/>
    <s v="C202"/>
    <x v="2"/>
    <s v="B1"/>
    <x v="2"/>
    <x v="1"/>
    <n v="14069"/>
    <s v="DISC30"/>
    <n v="0.3"/>
    <n v="13000"/>
    <x v="60"/>
    <s v="Target Achieved"/>
  </r>
  <r>
    <s v="S1896"/>
    <s v="Dev Joshi"/>
    <s v="C203"/>
    <x v="1"/>
    <s v="B1"/>
    <x v="2"/>
    <x v="2"/>
    <n v="17368"/>
    <s v="DISC20"/>
    <n v="0.2"/>
    <n v="17000"/>
    <x v="52"/>
    <s v="Target Achieved"/>
  </r>
  <r>
    <s v="S1897"/>
    <s v="Aarav Singh"/>
    <s v="C203"/>
    <x v="1"/>
    <s v="B3"/>
    <x v="2"/>
    <x v="0"/>
    <n v="16174"/>
    <m/>
    <m/>
    <n v="17000"/>
    <x v="14"/>
    <s v="Below Target"/>
  </r>
  <r>
    <s v="S1898"/>
    <s v="Karan Gupta"/>
    <s v="C201"/>
    <x v="0"/>
    <s v="B2"/>
    <x v="0"/>
    <x v="0"/>
    <n v="14522"/>
    <s v="DISC30"/>
    <n v="0.3"/>
    <n v="14000"/>
    <x v="3"/>
    <s v="Target Achieved"/>
  </r>
  <r>
    <s v="S1899"/>
    <s v="Meera Rao"/>
    <s v="C201"/>
    <x v="0"/>
    <s v="B3"/>
    <x v="1"/>
    <x v="1"/>
    <n v="12715"/>
    <s v="DISC15"/>
    <m/>
    <n v="14000"/>
    <x v="0"/>
    <s v="Below Target"/>
  </r>
  <r>
    <s v="S1900"/>
    <s v="Karan Singh"/>
    <s v="C204"/>
    <x v="3"/>
    <s v="B2"/>
    <x v="1"/>
    <x v="2"/>
    <n v="10205"/>
    <s v="DISC20"/>
    <n v="0.2"/>
    <n v="9000"/>
    <x v="20"/>
    <s v="Target Achieved"/>
  </r>
  <r>
    <s v="S1901"/>
    <s v="Karan Patel"/>
    <s v="C201"/>
    <x v="0"/>
    <s v="B2"/>
    <x v="1"/>
    <x v="0"/>
    <n v="14439"/>
    <s v="DISC20"/>
    <n v="0.2"/>
    <n v="14000"/>
    <x v="10"/>
    <s v="Target Achieved"/>
  </r>
  <r>
    <s v="S1902"/>
    <s v="Neha Patel"/>
    <s v="C204"/>
    <x v="3"/>
    <s v="B2"/>
    <x v="1"/>
    <x v="1"/>
    <n v="8802"/>
    <s v="DISC20"/>
    <n v="0.2"/>
    <n v="9000"/>
    <x v="1"/>
    <s v="Below Target"/>
  </r>
  <r>
    <s v="S1903"/>
    <s v="Kavita Desai"/>
    <s v="C203"/>
    <x v="1"/>
    <s v="B1"/>
    <x v="2"/>
    <x v="2"/>
    <n v="18094"/>
    <s v="DISC10"/>
    <n v="0.1"/>
    <n v="17000"/>
    <x v="55"/>
    <s v="Target Achieved"/>
  </r>
  <r>
    <s v="S1904"/>
    <s v="Karan Iyer"/>
    <s v="C204"/>
    <x v="3"/>
    <s v="B2"/>
    <x v="0"/>
    <x v="2"/>
    <n v="10056"/>
    <s v="DISC15"/>
    <m/>
    <n v="9000"/>
    <x v="24"/>
    <s v="Target Achieved"/>
  </r>
  <r>
    <s v="S1905"/>
    <s v="Rahul Singh"/>
    <s v="C204"/>
    <x v="3"/>
    <s v="B2"/>
    <x v="0"/>
    <x v="0"/>
    <n v="9172"/>
    <m/>
    <m/>
    <n v="9000"/>
    <x v="54"/>
    <s v="Target Achieved"/>
  </r>
  <r>
    <s v="S1906"/>
    <s v="Aditya Patel"/>
    <s v="C204"/>
    <x v="3"/>
    <s v="B2"/>
    <x v="2"/>
    <x v="2"/>
    <n v="10939"/>
    <s v="DISC15"/>
    <m/>
    <n v="9000"/>
    <x v="26"/>
    <s v="Target Achieved"/>
  </r>
  <r>
    <s v="S1907"/>
    <s v="Aarav Shah"/>
    <s v="C203"/>
    <x v="1"/>
    <s v="B2"/>
    <x v="2"/>
    <x v="1"/>
    <n v="18515"/>
    <s v="DISC30"/>
    <n v="0.3"/>
    <n v="17000"/>
    <x v="40"/>
    <s v="Target Achieved"/>
  </r>
  <r>
    <s v="S1908"/>
    <s v="Aditya Rao"/>
    <s v="C201"/>
    <x v="0"/>
    <s v="B2"/>
    <x v="2"/>
    <x v="1"/>
    <n v="13602"/>
    <m/>
    <m/>
    <n v="14000"/>
    <x v="57"/>
    <s v="Below Target"/>
  </r>
  <r>
    <s v="S1909"/>
    <s v="Rohit Desai"/>
    <s v="C202"/>
    <x v="2"/>
    <s v="B3"/>
    <x v="2"/>
    <x v="1"/>
    <n v="14155"/>
    <s v="DISC20"/>
    <n v="0.2"/>
    <n v="13000"/>
    <x v="42"/>
    <s v="Target Achieved"/>
  </r>
  <r>
    <s v="S1910"/>
    <s v="Pooja Singh"/>
    <s v="C202"/>
    <x v="2"/>
    <s v="B2"/>
    <x v="2"/>
    <x v="0"/>
    <n v="13755"/>
    <s v="DISC10"/>
    <n v="0.1"/>
    <n v="13000"/>
    <x v="10"/>
    <s v="Target Achieved"/>
  </r>
  <r>
    <s v="S1911"/>
    <s v="Riya Kulkarni"/>
    <s v="C204"/>
    <x v="3"/>
    <s v="B1"/>
    <x v="2"/>
    <x v="0"/>
    <n v="9807"/>
    <m/>
    <m/>
    <n v="9000"/>
    <x v="37"/>
    <s v="Target Achieved"/>
  </r>
  <r>
    <s v="S1912"/>
    <s v="Sneha Desai"/>
    <s v="C203"/>
    <x v="1"/>
    <s v="B2"/>
    <x v="1"/>
    <x v="0"/>
    <n v="15097"/>
    <s v="DISC15"/>
    <m/>
    <n v="17000"/>
    <x v="14"/>
    <s v="Below Target"/>
  </r>
  <r>
    <s v="S1913"/>
    <s v="Aarav Joshi"/>
    <s v="C202"/>
    <x v="2"/>
    <s v="B3"/>
    <x v="2"/>
    <x v="0"/>
    <n v="13900"/>
    <s v="DISC10"/>
    <n v="0.1"/>
    <n v="13000"/>
    <x v="14"/>
    <s v="Target Achieved"/>
  </r>
  <r>
    <s v="S1914"/>
    <s v="Meera Joshi"/>
    <s v="C202"/>
    <x v="2"/>
    <s v="B2"/>
    <x v="2"/>
    <x v="1"/>
    <n v="13318"/>
    <s v="DISC20"/>
    <n v="0.2"/>
    <n v="13000"/>
    <x v="48"/>
    <s v="Target Achieved"/>
  </r>
  <r>
    <s v="S1915"/>
    <s v="Riya Desai"/>
    <s v="C202"/>
    <x v="2"/>
    <s v="B2"/>
    <x v="0"/>
    <x v="2"/>
    <n v="13705"/>
    <s v="DISC10"/>
    <n v="0.1"/>
    <n v="13000"/>
    <x v="56"/>
    <s v="Target Achieved"/>
  </r>
  <r>
    <s v="S1916"/>
    <s v="Neha Rao"/>
    <s v="C204"/>
    <x v="3"/>
    <s v="B3"/>
    <x v="2"/>
    <x v="2"/>
    <n v="8054"/>
    <s v="DISC20"/>
    <n v="0.2"/>
    <n v="9000"/>
    <x v="57"/>
    <s v="Below Target"/>
  </r>
  <r>
    <s v="S1917"/>
    <s v="Riya Rao"/>
    <s v="C201"/>
    <x v="0"/>
    <s v="B2"/>
    <x v="0"/>
    <x v="2"/>
    <n v="12246"/>
    <s v="DISC30"/>
    <n v="0.3"/>
    <n v="14000"/>
    <x v="39"/>
    <s v="Below Target"/>
  </r>
  <r>
    <s v="S1918"/>
    <s v="Aditya Mehta"/>
    <s v="C204"/>
    <x v="3"/>
    <s v="B1"/>
    <x v="0"/>
    <x v="0"/>
    <n v="9499"/>
    <m/>
    <m/>
    <n v="9000"/>
    <x v="53"/>
    <s v="Target Achieved"/>
  </r>
  <r>
    <s v="S1919"/>
    <s v="Rohit Iyer"/>
    <s v="C201"/>
    <x v="0"/>
    <s v="B1"/>
    <x v="2"/>
    <x v="2"/>
    <n v="12894"/>
    <s v="DISC15"/>
    <m/>
    <n v="14000"/>
    <x v="49"/>
    <s v="Below Target"/>
  </r>
  <r>
    <s v="S1920"/>
    <s v="Riya Iyer"/>
    <s v="C203"/>
    <x v="1"/>
    <s v="B1"/>
    <x v="1"/>
    <x v="0"/>
    <n v="15288"/>
    <s v="DISC15"/>
    <m/>
    <n v="17000"/>
    <x v="60"/>
    <s v="Below Target"/>
  </r>
  <r>
    <s v="S1921"/>
    <s v="Aditya Patel"/>
    <s v="C204"/>
    <x v="3"/>
    <s v="B1"/>
    <x v="0"/>
    <x v="0"/>
    <n v="9674"/>
    <s v="DISC10"/>
    <n v="0.1"/>
    <n v="9000"/>
    <x v="5"/>
    <s v="Target Achieved"/>
  </r>
  <r>
    <s v="S1922"/>
    <s v="Aarav Singh"/>
    <s v="C204"/>
    <x v="3"/>
    <s v="B2"/>
    <x v="1"/>
    <x v="1"/>
    <n v="8350"/>
    <m/>
    <m/>
    <n v="9000"/>
    <x v="52"/>
    <s v="Below Target"/>
  </r>
  <r>
    <s v="S1923"/>
    <s v="Aarav Gupta"/>
    <s v="C204"/>
    <x v="3"/>
    <s v="B2"/>
    <x v="0"/>
    <x v="2"/>
    <n v="10457"/>
    <s v="DISC10"/>
    <n v="0.1"/>
    <n v="9000"/>
    <x v="36"/>
    <s v="Target Achieved"/>
  </r>
  <r>
    <s v="S1924"/>
    <s v="Sneha Kulkarni"/>
    <s v="C204"/>
    <x v="3"/>
    <s v="B3"/>
    <x v="0"/>
    <x v="0"/>
    <n v="9323"/>
    <s v="DISC15"/>
    <m/>
    <n v="9000"/>
    <x v="5"/>
    <s v="Target Achieved"/>
  </r>
  <r>
    <s v="S1925"/>
    <s v="Pooja Jain"/>
    <s v="C203"/>
    <x v="1"/>
    <s v="B2"/>
    <x v="1"/>
    <x v="1"/>
    <n v="18927"/>
    <s v="DISC10"/>
    <n v="0.1"/>
    <n v="17000"/>
    <x v="51"/>
    <s v="Target Achieved"/>
  </r>
  <r>
    <s v="S1926"/>
    <s v="Manish Nair"/>
    <s v="C203"/>
    <x v="1"/>
    <s v="B1"/>
    <x v="0"/>
    <x v="2"/>
    <n v="17653"/>
    <s v="DISC20"/>
    <n v="0.2"/>
    <n v="17000"/>
    <x v="53"/>
    <s v="Target Achieved"/>
  </r>
  <r>
    <s v="S1927"/>
    <s v="Manish Kulkarni"/>
    <s v="C204"/>
    <x v="3"/>
    <s v="B3"/>
    <x v="1"/>
    <x v="2"/>
    <n v="9850"/>
    <m/>
    <m/>
    <n v="9000"/>
    <x v="48"/>
    <s v="Target Achieved"/>
  </r>
  <r>
    <s v="S1928"/>
    <s v="Riya Singh"/>
    <s v="C203"/>
    <x v="1"/>
    <s v="B2"/>
    <x v="1"/>
    <x v="1"/>
    <n v="16793"/>
    <s v="DISC20"/>
    <n v="0.2"/>
    <n v="17000"/>
    <x v="59"/>
    <s v="Below Target"/>
  </r>
  <r>
    <s v="S1929"/>
    <s v="Aarav Patil"/>
    <s v="C201"/>
    <x v="0"/>
    <s v="B3"/>
    <x v="2"/>
    <x v="0"/>
    <n v="14003"/>
    <m/>
    <m/>
    <n v="14000"/>
    <x v="11"/>
    <s v="Target Achieved"/>
  </r>
  <r>
    <s v="S1930"/>
    <s v="Dev Gupta"/>
    <s v="C203"/>
    <x v="1"/>
    <s v="B2"/>
    <x v="2"/>
    <x v="2"/>
    <n v="18959"/>
    <s v="DISC10"/>
    <n v="0.1"/>
    <n v="17000"/>
    <x v="34"/>
    <s v="Target Achieved"/>
  </r>
  <r>
    <s v="S1931"/>
    <s v="Pooja Kulkarni"/>
    <s v="C203"/>
    <x v="1"/>
    <s v="B3"/>
    <x v="1"/>
    <x v="2"/>
    <n v="15484"/>
    <s v="DISC20"/>
    <n v="0.2"/>
    <n v="17000"/>
    <x v="50"/>
    <s v="Below Target"/>
  </r>
  <r>
    <s v="S1932"/>
    <s v="Rohit Singh"/>
    <s v="C204"/>
    <x v="3"/>
    <s v="B3"/>
    <x v="2"/>
    <x v="0"/>
    <n v="10035"/>
    <s v="DISC15"/>
    <m/>
    <n v="9000"/>
    <x v="24"/>
    <s v="Target Achieved"/>
  </r>
  <r>
    <s v="S1933"/>
    <s v="Kunal Shah"/>
    <s v="C201"/>
    <x v="0"/>
    <s v="B3"/>
    <x v="1"/>
    <x v="2"/>
    <n v="14678"/>
    <s v="DISC10"/>
    <n v="0.1"/>
    <n v="14000"/>
    <x v="30"/>
    <s v="Target Achieved"/>
  </r>
  <r>
    <s v="S1934"/>
    <s v="Kunal Joshi"/>
    <s v="C201"/>
    <x v="0"/>
    <s v="B1"/>
    <x v="2"/>
    <x v="1"/>
    <n v="12534"/>
    <s v="DISC10"/>
    <n v="0.1"/>
    <n v="14000"/>
    <x v="53"/>
    <s v="Below Target"/>
  </r>
  <r>
    <s v="S1935"/>
    <s v="Rohit Kulkarni"/>
    <s v="C203"/>
    <x v="1"/>
    <s v="B1"/>
    <x v="0"/>
    <x v="1"/>
    <n v="15699"/>
    <s v="DISC15"/>
    <m/>
    <n v="17000"/>
    <x v="11"/>
    <s v="Below Target"/>
  </r>
  <r>
    <s v="S1936"/>
    <s v="Meera Nair"/>
    <s v="C201"/>
    <x v="0"/>
    <s v="B1"/>
    <x v="0"/>
    <x v="1"/>
    <n v="15273"/>
    <s v="DISC15"/>
    <m/>
    <n v="14000"/>
    <x v="24"/>
    <s v="Target Achieved"/>
  </r>
  <r>
    <s v="S1937"/>
    <s v="Riya Patel"/>
    <s v="C202"/>
    <x v="2"/>
    <s v="B2"/>
    <x v="0"/>
    <x v="1"/>
    <n v="13778"/>
    <m/>
    <m/>
    <n v="13000"/>
    <x v="31"/>
    <s v="Target Achieved"/>
  </r>
  <r>
    <s v="S1938"/>
    <s v="Riya Singh"/>
    <s v="C202"/>
    <x v="2"/>
    <s v="B2"/>
    <x v="1"/>
    <x v="0"/>
    <n v="13429"/>
    <s v="DISC20"/>
    <n v="0.2"/>
    <n v="13000"/>
    <x v="40"/>
    <s v="Target Achieved"/>
  </r>
  <r>
    <s v="S1939"/>
    <s v="Riya Shah"/>
    <s v="C203"/>
    <x v="1"/>
    <s v="B1"/>
    <x v="0"/>
    <x v="0"/>
    <n v="17852"/>
    <s v="DISC30"/>
    <n v="0.3"/>
    <n v="17000"/>
    <x v="35"/>
    <s v="Target Achieved"/>
  </r>
  <r>
    <s v="S1940"/>
    <s v="Karan Iyer"/>
    <s v="C202"/>
    <x v="2"/>
    <s v="B3"/>
    <x v="1"/>
    <x v="0"/>
    <n v="11409"/>
    <s v="DISC15"/>
    <m/>
    <n v="13000"/>
    <x v="7"/>
    <s v="Below Target"/>
  </r>
  <r>
    <s v="S1941"/>
    <s v="Dev Mehta"/>
    <s v="C201"/>
    <x v="0"/>
    <s v="B2"/>
    <x v="1"/>
    <x v="0"/>
    <n v="12029"/>
    <s v="DISC20"/>
    <n v="0.2"/>
    <n v="14000"/>
    <x v="5"/>
    <s v="Below Target"/>
  </r>
  <r>
    <s v="S1942"/>
    <s v="Riya Desai"/>
    <s v="C203"/>
    <x v="1"/>
    <s v="B2"/>
    <x v="2"/>
    <x v="2"/>
    <n v="17835"/>
    <s v="DISC20"/>
    <n v="0.2"/>
    <n v="17000"/>
    <x v="1"/>
    <s v="Target Achieved"/>
  </r>
  <r>
    <s v="S1943"/>
    <s v="Karan Singh"/>
    <s v="C203"/>
    <x v="1"/>
    <s v="B3"/>
    <x v="0"/>
    <x v="2"/>
    <n v="15979"/>
    <s v="DISC20"/>
    <n v="0.2"/>
    <n v="17000"/>
    <x v="33"/>
    <s v="Below Target"/>
  </r>
  <r>
    <s v="S1944"/>
    <s v="Anjali Kulkarni"/>
    <s v="C202"/>
    <x v="2"/>
    <s v="B3"/>
    <x v="0"/>
    <x v="1"/>
    <n v="14892"/>
    <s v="DISC10"/>
    <n v="0.1"/>
    <n v="13000"/>
    <x v="56"/>
    <s v="Target Achieved"/>
  </r>
  <r>
    <s v="S1945"/>
    <s v="Meera Patel"/>
    <s v="C203"/>
    <x v="1"/>
    <s v="B2"/>
    <x v="0"/>
    <x v="0"/>
    <n v="17284"/>
    <s v="DISC20"/>
    <n v="0.2"/>
    <n v="17000"/>
    <x v="19"/>
    <s v="Target Achieved"/>
  </r>
  <r>
    <s v="S1946"/>
    <s v="Riya Gupta"/>
    <s v="C201"/>
    <x v="0"/>
    <s v="B3"/>
    <x v="0"/>
    <x v="1"/>
    <n v="14078"/>
    <s v="DISC20"/>
    <n v="0.2"/>
    <n v="14000"/>
    <x v="44"/>
    <s v="Target Achieved"/>
  </r>
  <r>
    <s v="S1947"/>
    <s v="Dev Singh"/>
    <s v="C202"/>
    <x v="2"/>
    <s v="B2"/>
    <x v="1"/>
    <x v="0"/>
    <n v="11461"/>
    <s v="DISC20"/>
    <n v="0.2"/>
    <n v="13000"/>
    <x v="26"/>
    <s v="Below Target"/>
  </r>
  <r>
    <s v="S1948"/>
    <s v="Meera Iyer"/>
    <s v="C204"/>
    <x v="3"/>
    <s v="B1"/>
    <x v="1"/>
    <x v="1"/>
    <n v="10779"/>
    <s v="DISC10"/>
    <n v="0.1"/>
    <n v="9000"/>
    <x v="55"/>
    <s v="Target Achieved"/>
  </r>
  <r>
    <s v="S1949"/>
    <s v="Rohit Jain"/>
    <s v="C203"/>
    <x v="1"/>
    <s v="B1"/>
    <x v="0"/>
    <x v="2"/>
    <n v="16369"/>
    <s v="DISC15"/>
    <m/>
    <n v="17000"/>
    <x v="50"/>
    <s v="Below Target"/>
  </r>
  <r>
    <s v="S1950"/>
    <s v="Kunal Patel"/>
    <s v="C204"/>
    <x v="3"/>
    <s v="B1"/>
    <x v="1"/>
    <x v="1"/>
    <n v="7214"/>
    <s v="DISC15"/>
    <m/>
    <n v="9000"/>
    <x v="53"/>
    <s v="Below Target"/>
  </r>
  <r>
    <s v="S1951"/>
    <s v="Karan Patel"/>
    <s v="C201"/>
    <x v="0"/>
    <s v="B2"/>
    <x v="2"/>
    <x v="0"/>
    <n v="12290"/>
    <s v="DISC20"/>
    <n v="0.2"/>
    <n v="14000"/>
    <x v="60"/>
    <s v="Below Target"/>
  </r>
  <r>
    <s v="S1952"/>
    <s v="Neha Joshi"/>
    <s v="C203"/>
    <x v="1"/>
    <s v="B2"/>
    <x v="1"/>
    <x v="1"/>
    <n v="17772"/>
    <s v="DISC30"/>
    <n v="0.3"/>
    <n v="17000"/>
    <x v="24"/>
    <s v="Target Achieved"/>
  </r>
  <r>
    <s v="S1953"/>
    <s v="Dev Shah"/>
    <s v="C203"/>
    <x v="1"/>
    <s v="B1"/>
    <x v="1"/>
    <x v="0"/>
    <n v="18021"/>
    <m/>
    <m/>
    <n v="17000"/>
    <x v="16"/>
    <s v="Target Achieved"/>
  </r>
  <r>
    <s v="S1954"/>
    <s v="Sneha Verma"/>
    <s v="C202"/>
    <x v="2"/>
    <s v="B1"/>
    <x v="0"/>
    <x v="1"/>
    <n v="12984"/>
    <s v="DISC10"/>
    <n v="0.1"/>
    <n v="13000"/>
    <x v="43"/>
    <s v="Below Target"/>
  </r>
  <r>
    <s v="S1955"/>
    <s v="Rahul Mehta"/>
    <s v="C202"/>
    <x v="2"/>
    <s v="B3"/>
    <x v="0"/>
    <x v="0"/>
    <n v="12586"/>
    <s v="DISC30"/>
    <n v="0.3"/>
    <n v="13000"/>
    <x v="59"/>
    <s v="Below Target"/>
  </r>
  <r>
    <s v="S1956"/>
    <s v="Neha Desai"/>
    <s v="C202"/>
    <x v="2"/>
    <s v="B3"/>
    <x v="0"/>
    <x v="2"/>
    <n v="11828"/>
    <s v="DISC30"/>
    <n v="0.3"/>
    <n v="13000"/>
    <x v="59"/>
    <s v="Below Target"/>
  </r>
  <r>
    <s v="S1957"/>
    <s v="Aarav Desai"/>
    <s v="C201"/>
    <x v="0"/>
    <s v="B2"/>
    <x v="1"/>
    <x v="0"/>
    <n v="15488"/>
    <m/>
    <m/>
    <n v="14000"/>
    <x v="44"/>
    <s v="Target Achieved"/>
  </r>
  <r>
    <s v="S1958"/>
    <s v="Rahul Mehta"/>
    <s v="C203"/>
    <x v="1"/>
    <s v="B1"/>
    <x v="0"/>
    <x v="1"/>
    <n v="15642"/>
    <s v="DISC15"/>
    <m/>
    <n v="17000"/>
    <x v="48"/>
    <s v="Below Target"/>
  </r>
  <r>
    <s v="S1959"/>
    <s v="Karan Joshi"/>
    <s v="C202"/>
    <x v="2"/>
    <s v="B1"/>
    <x v="0"/>
    <x v="1"/>
    <n v="13003"/>
    <s v="DISC20"/>
    <n v="0.2"/>
    <n v="13000"/>
    <x v="29"/>
    <s v="Target Achieved"/>
  </r>
  <r>
    <s v="S1960"/>
    <s v="Neha Nair"/>
    <s v="C204"/>
    <x v="3"/>
    <s v="B2"/>
    <x v="1"/>
    <x v="1"/>
    <n v="8753"/>
    <s v="DISC20"/>
    <n v="0.2"/>
    <n v="9000"/>
    <x v="27"/>
    <s v="Below Target"/>
  </r>
  <r>
    <s v="S1961"/>
    <s v="Pooja Verma"/>
    <s v="C202"/>
    <x v="2"/>
    <s v="B3"/>
    <x v="1"/>
    <x v="1"/>
    <n v="14679"/>
    <s v="DISC10"/>
    <n v="0.1"/>
    <n v="13000"/>
    <x v="2"/>
    <s v="Target Achieved"/>
  </r>
  <r>
    <s v="S1962"/>
    <s v="Aarav Kulkarni"/>
    <s v="C204"/>
    <x v="3"/>
    <s v="B3"/>
    <x v="2"/>
    <x v="0"/>
    <n v="8743"/>
    <s v="DISC15"/>
    <m/>
    <n v="9000"/>
    <x v="32"/>
    <s v="Below Target"/>
  </r>
  <r>
    <s v="S1963"/>
    <s v="Neha Patel"/>
    <s v="C201"/>
    <x v="0"/>
    <s v="B2"/>
    <x v="0"/>
    <x v="0"/>
    <n v="12340"/>
    <s v="DISC15"/>
    <m/>
    <n v="14000"/>
    <x v="46"/>
    <s v="Below Target"/>
  </r>
  <r>
    <s v="S1964"/>
    <s v="Aarav Desai"/>
    <s v="C204"/>
    <x v="3"/>
    <s v="B1"/>
    <x v="1"/>
    <x v="2"/>
    <n v="8211"/>
    <s v="DISC20"/>
    <n v="0.2"/>
    <n v="9000"/>
    <x v="49"/>
    <s v="Below Target"/>
  </r>
  <r>
    <s v="S1965"/>
    <s v="Riya Kulkarni"/>
    <s v="C204"/>
    <x v="3"/>
    <s v="B3"/>
    <x v="0"/>
    <x v="0"/>
    <n v="9880"/>
    <m/>
    <m/>
    <n v="9000"/>
    <x v="4"/>
    <s v="Target Achieved"/>
  </r>
  <r>
    <s v="S1966"/>
    <s v="Kavita Desai"/>
    <s v="C201"/>
    <x v="0"/>
    <s v="B2"/>
    <x v="0"/>
    <x v="0"/>
    <n v="15580"/>
    <m/>
    <m/>
    <n v="14000"/>
    <x v="53"/>
    <s v="Target Achieved"/>
  </r>
  <r>
    <s v="S1967"/>
    <s v="Dev Nair"/>
    <s v="C203"/>
    <x v="1"/>
    <s v="B3"/>
    <x v="0"/>
    <x v="1"/>
    <n v="17594"/>
    <s v="DISC10"/>
    <n v="0.1"/>
    <n v="17000"/>
    <x v="16"/>
    <s v="Target Achieved"/>
  </r>
  <r>
    <s v="S1968"/>
    <s v="Rohit Shah"/>
    <s v="C204"/>
    <x v="3"/>
    <s v="B3"/>
    <x v="0"/>
    <x v="1"/>
    <n v="7133"/>
    <s v="DISC30"/>
    <n v="0.3"/>
    <n v="9000"/>
    <x v="13"/>
    <s v="Below Target"/>
  </r>
  <r>
    <s v="S1969"/>
    <s v="Dev Rao"/>
    <s v="C202"/>
    <x v="2"/>
    <s v="B3"/>
    <x v="1"/>
    <x v="1"/>
    <n v="14607"/>
    <s v="DISC30"/>
    <n v="0.3"/>
    <n v="13000"/>
    <x v="0"/>
    <s v="Target Achieved"/>
  </r>
  <r>
    <s v="S1970"/>
    <s v="Kunal Kulkarni"/>
    <s v="C203"/>
    <x v="1"/>
    <s v="B1"/>
    <x v="1"/>
    <x v="2"/>
    <n v="16497"/>
    <m/>
    <m/>
    <n v="17000"/>
    <x v="33"/>
    <s v="Below Target"/>
  </r>
  <r>
    <s v="S1971"/>
    <s v="Aarav Jain"/>
    <s v="C203"/>
    <x v="1"/>
    <s v="B1"/>
    <x v="2"/>
    <x v="1"/>
    <n v="17887"/>
    <s v="DISC10"/>
    <n v="0.1"/>
    <n v="17000"/>
    <x v="35"/>
    <s v="Target Achieved"/>
  </r>
  <r>
    <s v="S1972"/>
    <s v="Anjali Patel"/>
    <s v="C202"/>
    <x v="2"/>
    <s v="B1"/>
    <x v="0"/>
    <x v="0"/>
    <n v="13210"/>
    <s v="DISC10"/>
    <n v="0.1"/>
    <n v="13000"/>
    <x v="49"/>
    <s v="Target Achieved"/>
  </r>
  <r>
    <s v="S1973"/>
    <s v="Neha Desai"/>
    <s v="C202"/>
    <x v="2"/>
    <s v="B3"/>
    <x v="1"/>
    <x v="2"/>
    <n v="12444"/>
    <s v="DISC30"/>
    <n v="0.3"/>
    <n v="13000"/>
    <x v="18"/>
    <s v="Below Target"/>
  </r>
  <r>
    <s v="S1974"/>
    <s v="Rohit Verma"/>
    <s v="C203"/>
    <x v="1"/>
    <s v="B1"/>
    <x v="1"/>
    <x v="2"/>
    <n v="16414"/>
    <m/>
    <m/>
    <n v="17000"/>
    <x v="20"/>
    <s v="Below Target"/>
  </r>
  <r>
    <s v="S1975"/>
    <s v="Manish Gupta"/>
    <s v="C201"/>
    <x v="0"/>
    <s v="B2"/>
    <x v="2"/>
    <x v="1"/>
    <n v="14778"/>
    <s v="DISC15"/>
    <m/>
    <n v="14000"/>
    <x v="48"/>
    <s v="Target Achieved"/>
  </r>
  <r>
    <s v="S1976"/>
    <s v="Aditya Iyer"/>
    <s v="C203"/>
    <x v="1"/>
    <s v="B3"/>
    <x v="2"/>
    <x v="0"/>
    <n v="15771"/>
    <m/>
    <m/>
    <n v="17000"/>
    <x v="14"/>
    <s v="Below Target"/>
  </r>
  <r>
    <s v="S1977"/>
    <s v="Riya Verma"/>
    <s v="C202"/>
    <x v="2"/>
    <s v="B2"/>
    <x v="1"/>
    <x v="0"/>
    <n v="11674"/>
    <s v="DISC30"/>
    <n v="0.3"/>
    <n v="13000"/>
    <x v="17"/>
    <s v="Below Target"/>
  </r>
  <r>
    <s v="S1978"/>
    <s v="Anjali Mehta"/>
    <s v="C204"/>
    <x v="3"/>
    <s v="B1"/>
    <x v="1"/>
    <x v="1"/>
    <n v="10899"/>
    <s v="DISC10"/>
    <n v="0.1"/>
    <n v="9000"/>
    <x v="28"/>
    <s v="Target Achieved"/>
  </r>
  <r>
    <s v="S1979"/>
    <s v="Rahul Singh"/>
    <s v="C202"/>
    <x v="2"/>
    <s v="B2"/>
    <x v="0"/>
    <x v="2"/>
    <n v="12818"/>
    <s v="DISC10"/>
    <n v="0.1"/>
    <n v="13000"/>
    <x v="28"/>
    <s v="Below Target"/>
  </r>
  <r>
    <s v="S1980"/>
    <s v="Sneha Shah"/>
    <s v="C201"/>
    <x v="0"/>
    <s v="B1"/>
    <x v="2"/>
    <x v="1"/>
    <n v="13375"/>
    <m/>
    <m/>
    <n v="14000"/>
    <x v="29"/>
    <s v="Below Target"/>
  </r>
  <r>
    <s v="S1981"/>
    <s v="Pooja Singh"/>
    <s v="C203"/>
    <x v="1"/>
    <s v="B2"/>
    <x v="2"/>
    <x v="1"/>
    <n v="17854"/>
    <s v="DISC15"/>
    <m/>
    <n v="17000"/>
    <x v="10"/>
    <s v="Target Achieved"/>
  </r>
  <r>
    <s v="S1982"/>
    <s v="Manish Iyer"/>
    <s v="C204"/>
    <x v="3"/>
    <s v="B2"/>
    <x v="2"/>
    <x v="0"/>
    <n v="10679"/>
    <s v="DISC30"/>
    <n v="0.3"/>
    <n v="9000"/>
    <x v="9"/>
    <s v="Target Achieved"/>
  </r>
  <r>
    <s v="S1983"/>
    <s v="Dev Rao"/>
    <s v="C202"/>
    <x v="2"/>
    <s v="B2"/>
    <x v="0"/>
    <x v="2"/>
    <n v="14152"/>
    <s v="DISC10"/>
    <n v="0.1"/>
    <n v="13000"/>
    <x v="12"/>
    <s v="Target Achieved"/>
  </r>
  <r>
    <s v="S1984"/>
    <s v="Pooja Rao"/>
    <s v="C204"/>
    <x v="3"/>
    <s v="B1"/>
    <x v="2"/>
    <x v="0"/>
    <n v="9915"/>
    <s v="DISC15"/>
    <m/>
    <n v="9000"/>
    <x v="28"/>
    <s v="Target Achieved"/>
  </r>
  <r>
    <s v="S1985"/>
    <s v="Karan Mehta"/>
    <s v="C202"/>
    <x v="2"/>
    <s v="B1"/>
    <x v="1"/>
    <x v="0"/>
    <n v="11168"/>
    <s v="DISC30"/>
    <n v="0.3"/>
    <n v="13000"/>
    <x v="52"/>
    <s v="Below Target"/>
  </r>
  <r>
    <s v="S1986"/>
    <s v="Karan Iyer"/>
    <s v="C203"/>
    <x v="1"/>
    <s v="B2"/>
    <x v="1"/>
    <x v="0"/>
    <n v="17303"/>
    <s v="DISC10"/>
    <n v="0.1"/>
    <n v="17000"/>
    <x v="45"/>
    <s v="Target Achieved"/>
  </r>
  <r>
    <s v="S1987"/>
    <s v="Pooja Jain"/>
    <s v="C202"/>
    <x v="2"/>
    <s v="B2"/>
    <x v="0"/>
    <x v="1"/>
    <n v="14995"/>
    <s v="DISC20"/>
    <n v="0.2"/>
    <n v="13000"/>
    <x v="36"/>
    <s v="Target Achieved"/>
  </r>
  <r>
    <s v="S1988"/>
    <s v="Aditya Shah"/>
    <s v="C201"/>
    <x v="0"/>
    <s v="B2"/>
    <x v="0"/>
    <x v="0"/>
    <n v="15882"/>
    <m/>
    <m/>
    <n v="14000"/>
    <x v="5"/>
    <s v="Target Achieved"/>
  </r>
  <r>
    <s v="S1989"/>
    <s v="Pooja Mehta"/>
    <s v="C201"/>
    <x v="0"/>
    <s v="B3"/>
    <x v="2"/>
    <x v="1"/>
    <n v="13356"/>
    <s v="DISC30"/>
    <n v="0.3"/>
    <n v="14000"/>
    <x v="30"/>
    <s v="Below Target"/>
  </r>
  <r>
    <s v="S1990"/>
    <s v="Kunal Rao"/>
    <s v="C202"/>
    <x v="2"/>
    <s v="B3"/>
    <x v="2"/>
    <x v="2"/>
    <n v="12387"/>
    <s v="DISC10"/>
    <n v="0.1"/>
    <n v="13000"/>
    <x v="60"/>
    <s v="Below Target"/>
  </r>
  <r>
    <s v="S1991"/>
    <s v="Neha Kulkarni"/>
    <s v="C202"/>
    <x v="2"/>
    <s v="B3"/>
    <x v="2"/>
    <x v="0"/>
    <n v="12261"/>
    <s v="DISC10"/>
    <n v="0.1"/>
    <n v="13000"/>
    <x v="32"/>
    <s v="Below Target"/>
  </r>
  <r>
    <s v="S1992"/>
    <s v="Kavita Nair"/>
    <s v="C202"/>
    <x v="2"/>
    <s v="B2"/>
    <x v="0"/>
    <x v="0"/>
    <n v="12336"/>
    <s v="DISC10"/>
    <n v="0.1"/>
    <n v="13000"/>
    <x v="15"/>
    <s v="Below Target"/>
  </r>
  <r>
    <s v="S1993"/>
    <s v="Rohit Patil"/>
    <s v="C202"/>
    <x v="2"/>
    <s v="B2"/>
    <x v="1"/>
    <x v="0"/>
    <n v="11342"/>
    <s v="DISC15"/>
    <m/>
    <n v="13000"/>
    <x v="4"/>
    <s v="Below Target"/>
  </r>
  <r>
    <s v="S1994"/>
    <s v="Neha Singh"/>
    <s v="C201"/>
    <x v="0"/>
    <s v="B3"/>
    <x v="0"/>
    <x v="0"/>
    <n v="14008"/>
    <s v="DISC30"/>
    <n v="0.3"/>
    <n v="14000"/>
    <x v="15"/>
    <s v="Target Achieved"/>
  </r>
  <r>
    <s v="S1995"/>
    <s v="Kavita Gupta"/>
    <s v="C201"/>
    <x v="0"/>
    <s v="B3"/>
    <x v="0"/>
    <x v="2"/>
    <n v="12605"/>
    <m/>
    <m/>
    <n v="14000"/>
    <x v="51"/>
    <s v="Below Target"/>
  </r>
  <r>
    <s v="S1996"/>
    <s v="Rahul Jain"/>
    <s v="C201"/>
    <x v="0"/>
    <s v="B2"/>
    <x v="0"/>
    <x v="2"/>
    <n v="13261"/>
    <m/>
    <m/>
    <n v="14000"/>
    <x v="16"/>
    <s v="Below Target"/>
  </r>
  <r>
    <s v="S1997"/>
    <s v="Manish Shah"/>
    <s v="C202"/>
    <x v="2"/>
    <s v="B3"/>
    <x v="0"/>
    <x v="1"/>
    <n v="12702"/>
    <m/>
    <m/>
    <n v="13000"/>
    <x v="28"/>
    <s v="Below Target"/>
  </r>
  <r>
    <s v="S1998"/>
    <s v="Karan Patel"/>
    <s v="C204"/>
    <x v="3"/>
    <s v="B3"/>
    <x v="0"/>
    <x v="0"/>
    <n v="10422"/>
    <s v="DISC15"/>
    <m/>
    <n v="9000"/>
    <x v="15"/>
    <s v="Target Achieved"/>
  </r>
  <r>
    <s v="S1999"/>
    <s v="Riya Mehta"/>
    <s v="C202"/>
    <x v="2"/>
    <s v="B2"/>
    <x v="0"/>
    <x v="1"/>
    <n v="12373"/>
    <s v="DISC10"/>
    <n v="0.1"/>
    <n v="13000"/>
    <x v="5"/>
    <s v="Below 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89946E-1B85-42C0-B992-3D93506A2F12}" name="PivotTable1" cacheId="4"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N2:R8" firstHeaderRow="1" firstDataRow="2" firstDataCol="1"/>
  <pivotFields count="12">
    <pivotField showAll="0"/>
    <pivotField showAll="0"/>
    <pivotField showAll="0"/>
    <pivotField axis="axisRow" showAll="0">
      <items count="5">
        <item x="0"/>
        <item x="2"/>
        <item x="1"/>
        <item x="3"/>
        <item t="default"/>
      </items>
    </pivotField>
    <pivotField showAll="0"/>
    <pivotField showAll="0"/>
    <pivotField axis="axisCol" showAll="0">
      <items count="4">
        <item x="2"/>
        <item x="1"/>
        <item x="0"/>
        <item t="default"/>
      </items>
    </pivotField>
    <pivotField dataField="1" showAll="0"/>
    <pivotField showAll="0"/>
    <pivotField showAll="0"/>
    <pivotField showAll="0"/>
    <pivotField numFmtId="14" showAll="0"/>
  </pivotFields>
  <rowFields count="1">
    <field x="3"/>
  </rowFields>
  <rowItems count="5">
    <i>
      <x/>
    </i>
    <i>
      <x v="1"/>
    </i>
    <i>
      <x v="2"/>
    </i>
    <i>
      <x v="3"/>
    </i>
    <i t="grand">
      <x/>
    </i>
  </rowItems>
  <colFields count="1">
    <field x="6"/>
  </colFields>
  <colItems count="4">
    <i>
      <x/>
    </i>
    <i>
      <x v="1"/>
    </i>
    <i>
      <x v="2"/>
    </i>
    <i t="grand">
      <x/>
    </i>
  </colItems>
  <dataFields count="1">
    <dataField name="Sum of PaymentAmount" fld="7" baseField="0" baseItem="0"/>
  </dataFields>
  <formats count="1">
    <format dxfId="4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EDC936-687B-4F21-9835-736564BEDCF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N2"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numFmtId="14" showAll="0"/>
    <pivotField dataField="1" dragToRow="0" dragToCol="0" dragToPage="0" showAll="0" defaultSubtotal="0"/>
  </pivotFields>
  <rowItems count="1">
    <i/>
  </rowItems>
  <colItems count="1">
    <i/>
  </colItems>
  <dataFields count="1">
    <dataField name="Sum of Net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540BF4-05CD-48E8-8BE9-67AE6CBAF475}"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37:P41" firstHeaderRow="1" firstDataRow="1" firstDataCol="1"/>
  <pivotFields count="15">
    <pivotField showAll="0"/>
    <pivotField showAll="0"/>
    <pivotField showAll="0"/>
    <pivotField showAll="0">
      <items count="5">
        <item x="0"/>
        <item x="2"/>
        <item x="1"/>
        <item x="3"/>
        <item t="default"/>
      </items>
    </pivotField>
    <pivotField showAll="0"/>
    <pivotField showAll="0"/>
    <pivotField showAll="0"/>
    <pivotField dataField="1" showAll="0"/>
    <pivotField showAll="0"/>
    <pivotField showAll="0"/>
    <pivotField showAll="0"/>
    <pivotField axis="axisRow" numFmtId="14" showAll="0">
      <items count="62">
        <item x="54"/>
        <item x="23"/>
        <item x="34"/>
        <item x="55"/>
        <item x="11"/>
        <item x="14"/>
        <item x="25"/>
        <item x="17"/>
        <item x="59"/>
        <item x="12"/>
        <item x="9"/>
        <item x="53"/>
        <item x="19"/>
        <item x="1"/>
        <item x="24"/>
        <item x="27"/>
        <item x="41"/>
        <item x="3"/>
        <item x="28"/>
        <item x="47"/>
        <item x="31"/>
        <item x="40"/>
        <item x="37"/>
        <item x="51"/>
        <item x="7"/>
        <item x="32"/>
        <item x="2"/>
        <item x="13"/>
        <item x="22"/>
        <item x="44"/>
        <item x="30"/>
        <item x="20"/>
        <item x="18"/>
        <item x="42"/>
        <item x="36"/>
        <item x="35"/>
        <item x="52"/>
        <item x="29"/>
        <item x="15"/>
        <item x="33"/>
        <item x="56"/>
        <item x="49"/>
        <item x="45"/>
        <item x="26"/>
        <item x="8"/>
        <item x="6"/>
        <item x="60"/>
        <item x="0"/>
        <item x="46"/>
        <item x="57"/>
        <item x="38"/>
        <item x="50"/>
        <item x="39"/>
        <item x="10"/>
        <item x="4"/>
        <item x="16"/>
        <item x="43"/>
        <item x="48"/>
        <item x="58"/>
        <item x="5"/>
        <item x="21"/>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4"/>
    <field x="13"/>
    <field x="11"/>
  </rowFields>
  <rowItems count="4">
    <i>
      <x v="1"/>
    </i>
    <i>
      <x v="2"/>
    </i>
    <i>
      <x v="3"/>
    </i>
    <i t="grand">
      <x/>
    </i>
  </rowItems>
  <colItems count="1">
    <i/>
  </colItems>
  <dataFields count="1">
    <dataField name="Sum of PaymentAmount" fld="7" baseField="0" baseItem="0"/>
  </dataFields>
  <formats count="5">
    <format dxfId="6">
      <pivotArea type="all" dataOnly="0" outline="0" fieldPosition="0"/>
    </format>
    <format dxfId="7">
      <pivotArea outline="0" collapsedLevelsAreSubtotals="1" fieldPosition="0"/>
    </format>
    <format dxfId="8">
      <pivotArea field="3" type="button" dataOnly="0" labelOnly="1" outline="0"/>
    </format>
    <format dxfId="9">
      <pivotArea dataOnly="0" labelOnly="1" grandRow="1" outline="0" fieldPosition="0"/>
    </format>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BA7C33-DA95-4452-984A-4C34DD226084}"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30:P35" firstHeaderRow="1" firstDataRow="1" firstDataCol="1"/>
  <pivotFields count="15">
    <pivotField showAll="0"/>
    <pivotField showAll="0"/>
    <pivotField showAll="0"/>
    <pivotField axis="axisRow" showAll="0">
      <items count="5">
        <item x="0"/>
        <item x="2"/>
        <item x="1"/>
        <item x="3"/>
        <item t="default"/>
      </items>
    </pivotField>
    <pivotField showAll="0"/>
    <pivotField showAll="0">
      <items count="4">
        <item x="2"/>
        <item x="0"/>
        <item x="1"/>
        <item t="default"/>
      </items>
    </pivotField>
    <pivotField showAll="0">
      <items count="4">
        <item x="2"/>
        <item x="1"/>
        <item x="0"/>
        <item t="default"/>
      </items>
    </pivotField>
    <pivotField dataField="1" showAll="0"/>
    <pivotField showAll="0"/>
    <pivotField showAll="0"/>
    <pivotField showAll="0"/>
    <pivotField numFmtId="14" showAll="0">
      <items count="62">
        <item x="54"/>
        <item x="23"/>
        <item x="34"/>
        <item x="55"/>
        <item x="11"/>
        <item x="14"/>
        <item x="25"/>
        <item x="17"/>
        <item x="59"/>
        <item x="12"/>
        <item x="9"/>
        <item x="53"/>
        <item x="19"/>
        <item x="1"/>
        <item x="24"/>
        <item x="27"/>
        <item x="41"/>
        <item x="3"/>
        <item x="28"/>
        <item x="47"/>
        <item x="31"/>
        <item x="40"/>
        <item x="37"/>
        <item x="51"/>
        <item x="7"/>
        <item x="32"/>
        <item x="2"/>
        <item x="13"/>
        <item x="22"/>
        <item x="44"/>
        <item x="30"/>
        <item x="20"/>
        <item x="18"/>
        <item x="42"/>
        <item x="36"/>
        <item x="35"/>
        <item x="52"/>
        <item x="29"/>
        <item x="15"/>
        <item x="33"/>
        <item x="56"/>
        <item x="49"/>
        <item x="45"/>
        <item x="26"/>
        <item x="8"/>
        <item x="6"/>
        <item x="60"/>
        <item x="0"/>
        <item x="46"/>
        <item x="57"/>
        <item x="38"/>
        <item x="50"/>
        <item x="39"/>
        <item x="10"/>
        <item x="4"/>
        <item x="16"/>
        <item x="43"/>
        <item x="48"/>
        <item x="58"/>
        <item x="5"/>
        <item x="2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PaymentAmount" fld="7" baseField="0" baseItem="0"/>
  </dataFields>
  <formats count="6">
    <format dxfId="0">
      <pivotArea type="all" dataOnly="0" outline="0" fieldPosition="0"/>
    </format>
    <format dxfId="1">
      <pivotArea outline="0" collapsedLevelsAreSubtotals="1" fieldPosition="0"/>
    </format>
    <format dxfId="2">
      <pivotArea field="3" type="button" dataOnly="0" labelOnly="1" outline="0" axis="axisRow" fieldPosition="0"/>
    </format>
    <format dxfId="3">
      <pivotArea dataOnly="0" labelOnly="1" fieldPosition="0">
        <references count="1">
          <reference field="3" count="0"/>
        </references>
      </pivotArea>
    </format>
    <format dxfId="4">
      <pivotArea dataOnly="0" labelOnly="1" grandRow="1" outline="0"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Name" xr10:uid="{36D90BF5-0EDC-4146-9054-02F59D395995}" sourceName="CourseName">
  <pivotTables>
    <pivotTable tabId="14" name="PivotTable3"/>
  </pivotTables>
  <data>
    <tabular pivotCacheId="1649432136">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Name" xr10:uid="{7C6C05EA-F813-40CE-A63D-A1835C4A20A0}" sourceName="MentorName">
  <pivotTables>
    <pivotTable tabId="14" name="PivotTable3"/>
  </pivotTables>
  <data>
    <tabular pivotCacheId="164943213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7CCB53B-6AF4-45C3-BED1-59BEF2C2CECD}" sourceName="Platform">
  <pivotTables>
    <pivotTable tabId="14" name="PivotTable3"/>
  </pivotTables>
  <data>
    <tabular pivotCacheId="164943213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Name" xr10:uid="{96AE5B94-901A-4004-AD91-17F10ED85687}" cache="Slicer_CourseName" caption="CourseName" rowHeight="251883"/>
  <slicer name="MentorName" xr10:uid="{03CBA05C-BDB3-4A22-BF85-088BDCCDB6A0}" cache="Slicer_MentorName" caption="MentorName" rowHeight="251883"/>
  <slicer name="Platform" xr10:uid="{293CCAB7-51BA-4352-B0BF-6681FEEEDE68}" cache="Slicer_Platform" caption="Platform"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F5D67-054B-4DFE-BB93-CDFF53AF9404}" name="Table1" displayName="Table1" ref="A1:L1001" totalsRowShown="0" headerRowDxfId="55" dataDxfId="56">
  <autoFilter ref="A1:L1001" xr:uid="{044F5D67-054B-4DFE-BB93-CDFF53AF9404}"/>
  <tableColumns count="12">
    <tableColumn id="1" xr3:uid="{B1455906-F3B8-472D-994E-3252B4819587}" name="StudentID" dataDxfId="68"/>
    <tableColumn id="2" xr3:uid="{102DFBAE-BF74-4336-B561-DFD50A0D5DE6}" name="StudentName" dataDxfId="67"/>
    <tableColumn id="3" xr3:uid="{60493649-EC58-4688-94D4-60B829E88AC1}" name="CourseID" dataDxfId="66"/>
    <tableColumn id="4" xr3:uid="{BC18DEE5-75C1-4C72-8E2E-C5010CF4FFD9}" name="CourseName" dataDxfId="65"/>
    <tableColumn id="5" xr3:uid="{C7BF73CC-57FC-4F31-A8C3-08F4BC818509}" name="BatchID" dataDxfId="64"/>
    <tableColumn id="6" xr3:uid="{BA316A50-0947-4EC0-9051-10A5E0670CE9}" name="MentorName" dataDxfId="63"/>
    <tableColumn id="7" xr3:uid="{8F018293-AC28-4639-B670-2AC1A5A32E6D}" name="Platform" dataDxfId="62"/>
    <tableColumn id="8" xr3:uid="{FBEF81C0-CB29-4777-8321-9795302EBB5D}" name="PaymentAmount" dataDxfId="61"/>
    <tableColumn id="9" xr3:uid="{CB693302-F13B-46A7-A9F4-1F8F4AC8A8D8}" name="DiscountCode" dataDxfId="60"/>
    <tableColumn id="10" xr3:uid="{2663D19E-033C-4E7F-84F4-65A700BA6E05}" name="DiscountPercent" dataDxfId="59"/>
    <tableColumn id="11" xr3:uid="{18F286B3-6AE6-404D-8847-5B6FB942BB80}" name="TargetRevenue" dataDxfId="58"/>
    <tableColumn id="12" xr3:uid="{09AFC256-A99B-41E5-8890-67DD95D2C632}" name="PaymentDate" dataDxfId="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79B887-8951-436E-8625-91C8BE77DC99}" name="Table2" displayName="Table2" ref="A1:L1001" totalsRowShown="0" headerRowDxfId="41" dataDxfId="42">
  <autoFilter ref="A1:L1001" xr:uid="{CC79B887-8951-436E-8625-91C8BE77DC99}"/>
  <tableColumns count="12">
    <tableColumn id="1" xr3:uid="{84D10F7B-317B-4446-90FB-20B0E0D0B670}" name="StudentID" dataDxfId="54"/>
    <tableColumn id="2" xr3:uid="{DDF1F508-E4AE-4F02-B423-B01B5849C1EA}" name="StudentName" dataDxfId="53"/>
    <tableColumn id="3" xr3:uid="{6F6496EA-127E-4B49-9157-5F2ADAC080C6}" name="CourseID" dataDxfId="52"/>
    <tableColumn id="4" xr3:uid="{2677A3B6-1D4F-439D-A190-C78A62160B89}" name="CourseName" dataDxfId="51"/>
    <tableColumn id="5" xr3:uid="{5603CBD7-4E63-4237-8355-556E04D8EB1C}" name="BatchID" dataDxfId="50"/>
    <tableColumn id="6" xr3:uid="{CB09F19A-E2E6-44B2-B373-9A6FE0ACA705}" name="MentorName" dataDxfId="49"/>
    <tableColumn id="7" xr3:uid="{F6F3443D-2BA0-4A88-AE54-09D7D712AA36}" name="Platform" dataDxfId="48"/>
    <tableColumn id="8" xr3:uid="{C76FAB0D-A2FE-437B-9713-3BE294D6975D}" name="PaymentAmount" dataDxfId="47"/>
    <tableColumn id="9" xr3:uid="{6B979ACD-83B7-4293-8EF8-9A453D397222}" name="DiscountCode" dataDxfId="46"/>
    <tableColumn id="10" xr3:uid="{99FA4965-5700-4236-8080-33F1B0F03D69}" name="DiscountPercent" dataDxfId="45"/>
    <tableColumn id="11" xr3:uid="{F79909CA-3489-4348-8BA8-0F19715CED56}" name="TargetRevenue" dataDxfId="44"/>
    <tableColumn id="12" xr3:uid="{7D788AAE-0A8D-4574-BED8-FF11B6FC034C}" name="PaymentDate" dataDxf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533FEF-257B-43E9-9129-F58FF44409F1}" name="Table3" displayName="Table3" ref="A1:L1001" totalsRowShown="0" headerRowDxfId="26" dataDxfId="27">
  <autoFilter ref="A1:L1001" xr:uid="{2F533FEF-257B-43E9-9129-F58FF44409F1}"/>
  <tableColumns count="12">
    <tableColumn id="1" xr3:uid="{A161951D-6A47-4696-87B1-17A1BA8C2BFC}" name="StudentID" dataDxfId="39"/>
    <tableColumn id="2" xr3:uid="{503EEC82-228C-4FE7-B7FB-8202852D23DB}" name="StudentName" dataDxfId="38"/>
    <tableColumn id="3" xr3:uid="{6C3E0E2D-6048-466A-BA48-8C799C515246}" name="CourseID" dataDxfId="37"/>
    <tableColumn id="4" xr3:uid="{2FFF9FA2-7138-47F0-8995-2F6C831D83C5}" name="CourseName" dataDxfId="36"/>
    <tableColumn id="5" xr3:uid="{15BDBFF7-5B18-47CF-B33B-AF0922494219}" name="BatchID" dataDxfId="35"/>
    <tableColumn id="6" xr3:uid="{40CD6A30-56A3-4EB5-BCC2-D2BB19526463}" name="MentorName" dataDxfId="34"/>
    <tableColumn id="7" xr3:uid="{D30848CD-8B5B-4A0F-9B3B-8AFB89B79DED}" name="Platform" dataDxfId="33"/>
    <tableColumn id="8" xr3:uid="{4B931D28-DA13-475C-8F1C-30D40A77FA43}" name="PaymentAmount" dataDxfId="32"/>
    <tableColumn id="9" xr3:uid="{177F99BE-B446-4051-8D6D-B9DC2185107D}" name="DiscountCode" dataDxfId="31"/>
    <tableColumn id="10" xr3:uid="{F4AD48BE-BC7B-4691-902D-A403E636DDEE}" name="DiscountPercent" dataDxfId="30"/>
    <tableColumn id="11" xr3:uid="{66EF0241-A676-4F13-A361-75B6AD09503C}" name="TargetRevenue" dataDxfId="29"/>
    <tableColumn id="12" xr3:uid="{5E9227C3-E10F-4910-A6CA-50858E3FC391}" name="PaymentDate"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7B1213-81F0-4B9A-91A5-30C5EFB318ED}" name="Table4" displayName="Table4" ref="A30:M1030" totalsRowShown="0" headerRowDxfId="11" dataDxfId="12" tableBorderDxfId="25">
  <autoFilter ref="A30:M1030" xr:uid="{C97B1213-81F0-4B9A-91A5-30C5EFB318ED}"/>
  <tableColumns count="13">
    <tableColumn id="1" xr3:uid="{4C06DC30-6238-427E-945C-199C5E7A3542}" name="StudentID" dataDxfId="24"/>
    <tableColumn id="2" xr3:uid="{B2654C3E-5CB8-4FA4-9649-A7B799E10BF3}" name="StudentName" dataDxfId="23"/>
    <tableColumn id="3" xr3:uid="{255A0BE4-2226-4C15-96BA-AFEF2925533C}" name="CourseID" dataDxfId="22"/>
    <tableColumn id="4" xr3:uid="{6A00977B-147A-420B-81EA-B7DB3A031089}" name="CourseName" dataDxfId="21"/>
    <tableColumn id="5" xr3:uid="{40A2DF57-E251-4F56-BF33-8561A9F22F04}" name="BatchID" dataDxfId="20"/>
    <tableColumn id="6" xr3:uid="{FEBC87DD-BF1B-4E6B-85F0-7A7AA34C130E}" name="MentorName" dataDxfId="19"/>
    <tableColumn id="7" xr3:uid="{1CE208CC-096E-4CC0-A747-B43C6BA32AF4}" name="Platform" dataDxfId="18"/>
    <tableColumn id="8" xr3:uid="{FCF87709-9AE0-4510-AB3A-AF03F483E5FE}" name="PaymentAmount" dataDxfId="17"/>
    <tableColumn id="9" xr3:uid="{89BD645C-A8B8-4E0B-B989-10473AADB048}" name="DiscountCode" dataDxfId="16"/>
    <tableColumn id="10" xr3:uid="{6E86A6A9-CAB4-4010-9D37-12BC74A486E9}" name="DiscountPercent" dataDxfId="15"/>
    <tableColumn id="11" xr3:uid="{0A85A74E-B3B2-4266-AC54-6E8DB8666FD1}" name="TargetRevenue" dataDxfId="14"/>
    <tableColumn id="12" xr3:uid="{F9F36113-DDE5-4292-9E45-02A3945B1B70}" name="PaymentDate" dataDxfId="13"/>
    <tableColumn id="13" xr3:uid="{90DB7B76-6996-44C2-BC03-AE1BBBB9FBB5}" name="Performance Status">
      <calculatedColumnFormula>IF(H31&gt;=K31,"Target Achieved","Below 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693B-FFB1-42CC-A628-3CA8CE399C73}">
  <dimension ref="A1:L1001"/>
  <sheetViews>
    <sheetView workbookViewId="0">
      <selection activeCell="A1001" sqref="A1:L1001"/>
    </sheetView>
  </sheetViews>
  <sheetFormatPr defaultRowHeight="14.5" x14ac:dyDescent="0.35"/>
  <cols>
    <col min="1" max="1" width="8.81640625" bestFit="1" customWidth="1"/>
    <col min="2" max="2" width="13.54296875" bestFit="1" customWidth="1"/>
    <col min="3" max="3" width="8.36328125" bestFit="1" customWidth="1"/>
    <col min="4" max="4" width="16.08984375" customWidth="1"/>
    <col min="5" max="5" width="7.26953125" bestFit="1" customWidth="1"/>
    <col min="6" max="6" width="11.36328125" bestFit="1" customWidth="1"/>
    <col min="7" max="7" width="7.7265625" bestFit="1" customWidth="1"/>
    <col min="8" max="8" width="14.26953125" bestFit="1" customWidth="1"/>
    <col min="9" max="9" width="12.36328125" bestFit="1" customWidth="1"/>
    <col min="10" max="10" width="14.54296875" bestFit="1" customWidth="1"/>
    <col min="11" max="11" width="12.90625" bestFit="1" customWidth="1"/>
    <col min="12" max="12" width="11.816406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1" t="s">
        <v>12</v>
      </c>
      <c r="B2" s="1" t="s">
        <v>13</v>
      </c>
      <c r="C2" s="1" t="s">
        <v>14</v>
      </c>
      <c r="D2" s="1" t="s">
        <v>15</v>
      </c>
      <c r="E2" s="1" t="s">
        <v>16</v>
      </c>
      <c r="F2" s="1" t="s">
        <v>17</v>
      </c>
      <c r="G2" s="1" t="s">
        <v>18</v>
      </c>
      <c r="H2" s="1">
        <v>12914</v>
      </c>
      <c r="I2" s="1" t="s">
        <v>19</v>
      </c>
      <c r="J2" s="1">
        <v>0.2</v>
      </c>
      <c r="K2" s="1">
        <v>14000</v>
      </c>
      <c r="L2" s="2">
        <v>45339</v>
      </c>
    </row>
    <row r="3" spans="1:12" x14ac:dyDescent="0.35">
      <c r="A3" s="1" t="s">
        <v>20</v>
      </c>
      <c r="B3" s="1" t="s">
        <v>21</v>
      </c>
      <c r="C3" s="1" t="s">
        <v>14</v>
      </c>
      <c r="D3" s="1" t="s">
        <v>15</v>
      </c>
      <c r="E3" s="1" t="s">
        <v>16</v>
      </c>
      <c r="F3" s="1" t="s">
        <v>17</v>
      </c>
      <c r="G3" s="1" t="s">
        <v>18</v>
      </c>
      <c r="H3" s="1">
        <v>12122</v>
      </c>
      <c r="I3" s="1" t="s">
        <v>22</v>
      </c>
      <c r="J3" s="1">
        <v>0.1</v>
      </c>
      <c r="K3" s="1">
        <v>14000</v>
      </c>
      <c r="L3" s="2">
        <v>45305</v>
      </c>
    </row>
    <row r="4" spans="1:12" x14ac:dyDescent="0.35">
      <c r="A4" s="1" t="s">
        <v>23</v>
      </c>
      <c r="B4" s="1" t="s">
        <v>24</v>
      </c>
      <c r="C4" s="1" t="s">
        <v>14</v>
      </c>
      <c r="D4" s="1" t="s">
        <v>15</v>
      </c>
      <c r="E4" s="1" t="s">
        <v>16</v>
      </c>
      <c r="F4" s="1" t="s">
        <v>25</v>
      </c>
      <c r="G4" s="1" t="s">
        <v>26</v>
      </c>
      <c r="H4" s="1">
        <v>14661</v>
      </c>
      <c r="I4" s="1" t="s">
        <v>27</v>
      </c>
      <c r="J4" s="1"/>
      <c r="K4" s="1">
        <v>14000</v>
      </c>
      <c r="L4" s="2">
        <v>45318</v>
      </c>
    </row>
    <row r="5" spans="1:12" x14ac:dyDescent="0.35">
      <c r="A5" s="1" t="s">
        <v>28</v>
      </c>
      <c r="B5" s="1" t="s">
        <v>29</v>
      </c>
      <c r="C5" s="1" t="s">
        <v>30</v>
      </c>
      <c r="D5" s="1" t="s">
        <v>31</v>
      </c>
      <c r="E5" s="1" t="s">
        <v>32</v>
      </c>
      <c r="F5" s="1" t="s">
        <v>25</v>
      </c>
      <c r="G5" s="1" t="s">
        <v>26</v>
      </c>
      <c r="H5" s="1">
        <v>16731</v>
      </c>
      <c r="I5" s="1" t="s">
        <v>33</v>
      </c>
      <c r="J5" s="1">
        <v>0.3</v>
      </c>
      <c r="K5" s="1">
        <v>17000</v>
      </c>
      <c r="L5" s="2">
        <v>45309</v>
      </c>
    </row>
    <row r="6" spans="1:12" x14ac:dyDescent="0.35">
      <c r="A6" s="1" t="s">
        <v>34</v>
      </c>
      <c r="B6" s="1" t="s">
        <v>35</v>
      </c>
      <c r="C6" s="1" t="s">
        <v>30</v>
      </c>
      <c r="D6" s="1" t="s">
        <v>31</v>
      </c>
      <c r="E6" s="1" t="s">
        <v>32</v>
      </c>
      <c r="F6" s="1" t="s">
        <v>25</v>
      </c>
      <c r="G6" s="1" t="s">
        <v>36</v>
      </c>
      <c r="H6" s="1">
        <v>15396</v>
      </c>
      <c r="I6" s="1" t="s">
        <v>33</v>
      </c>
      <c r="J6" s="1">
        <v>0.3</v>
      </c>
      <c r="K6" s="1">
        <v>17000</v>
      </c>
      <c r="L6" s="2">
        <v>45346</v>
      </c>
    </row>
    <row r="7" spans="1:12" x14ac:dyDescent="0.35">
      <c r="A7" s="1" t="s">
        <v>37</v>
      </c>
      <c r="B7" s="1" t="s">
        <v>38</v>
      </c>
      <c r="C7" s="1" t="s">
        <v>30</v>
      </c>
      <c r="D7" s="1" t="s">
        <v>31</v>
      </c>
      <c r="E7" s="1" t="s">
        <v>32</v>
      </c>
      <c r="F7" s="1" t="s">
        <v>39</v>
      </c>
      <c r="G7" s="1" t="s">
        <v>36</v>
      </c>
      <c r="H7" s="1">
        <v>17196</v>
      </c>
      <c r="I7" s="1" t="s">
        <v>22</v>
      </c>
      <c r="J7" s="1">
        <v>0.1</v>
      </c>
      <c r="K7" s="1">
        <v>17000</v>
      </c>
      <c r="L7" s="2">
        <v>45351</v>
      </c>
    </row>
    <row r="8" spans="1:12" x14ac:dyDescent="0.35">
      <c r="A8" s="1" t="s">
        <v>40</v>
      </c>
      <c r="B8" s="1" t="s">
        <v>41</v>
      </c>
      <c r="C8" s="1" t="s">
        <v>30</v>
      </c>
      <c r="D8" s="1" t="s">
        <v>31</v>
      </c>
      <c r="E8" s="1" t="s">
        <v>16</v>
      </c>
      <c r="F8" s="1" t="s">
        <v>39</v>
      </c>
      <c r="G8" s="1" t="s">
        <v>36</v>
      </c>
      <c r="H8" s="1">
        <v>17364</v>
      </c>
      <c r="I8" s="1" t="s">
        <v>19</v>
      </c>
      <c r="J8" s="1">
        <v>0.2</v>
      </c>
      <c r="K8" s="1">
        <v>17000</v>
      </c>
      <c r="L8" s="2">
        <v>45337</v>
      </c>
    </row>
    <row r="9" spans="1:12" x14ac:dyDescent="0.35">
      <c r="A9" s="1" t="s">
        <v>42</v>
      </c>
      <c r="B9" s="1" t="s">
        <v>43</v>
      </c>
      <c r="C9" s="1" t="s">
        <v>44</v>
      </c>
      <c r="D9" s="1" t="s">
        <v>45</v>
      </c>
      <c r="E9" s="1" t="s">
        <v>46</v>
      </c>
      <c r="F9" s="1" t="s">
        <v>25</v>
      </c>
      <c r="G9" s="1" t="s">
        <v>18</v>
      </c>
      <c r="H9" s="1">
        <v>14549</v>
      </c>
      <c r="I9" s="1" t="s">
        <v>22</v>
      </c>
      <c r="J9" s="1">
        <v>0.1</v>
      </c>
      <c r="K9" s="1">
        <v>13000</v>
      </c>
      <c r="L9" s="2">
        <v>45316</v>
      </c>
    </row>
    <row r="10" spans="1:12" x14ac:dyDescent="0.35">
      <c r="A10" s="1" t="s">
        <v>47</v>
      </c>
      <c r="B10" s="1" t="s">
        <v>48</v>
      </c>
      <c r="C10" s="1" t="s">
        <v>30</v>
      </c>
      <c r="D10" s="1" t="s">
        <v>31</v>
      </c>
      <c r="E10" s="1" t="s">
        <v>32</v>
      </c>
      <c r="F10" s="1" t="s">
        <v>17</v>
      </c>
      <c r="G10" s="1" t="s">
        <v>36</v>
      </c>
      <c r="H10" s="1">
        <v>15858</v>
      </c>
      <c r="I10" s="1" t="s">
        <v>33</v>
      </c>
      <c r="J10" s="1">
        <v>0.3</v>
      </c>
      <c r="K10" s="1">
        <v>17000</v>
      </c>
      <c r="L10" s="2">
        <v>45336</v>
      </c>
    </row>
    <row r="11" spans="1:12" x14ac:dyDescent="0.35">
      <c r="A11" s="1" t="s">
        <v>49</v>
      </c>
      <c r="B11" s="1" t="s">
        <v>50</v>
      </c>
      <c r="C11" s="1" t="s">
        <v>14</v>
      </c>
      <c r="D11" s="1" t="s">
        <v>15</v>
      </c>
      <c r="E11" s="1" t="s">
        <v>16</v>
      </c>
      <c r="F11" s="1" t="s">
        <v>39</v>
      </c>
      <c r="G11" s="1" t="s">
        <v>18</v>
      </c>
      <c r="H11" s="1">
        <v>14187</v>
      </c>
      <c r="I11" s="1" t="s">
        <v>19</v>
      </c>
      <c r="J11" s="1">
        <v>0.2</v>
      </c>
      <c r="K11" s="1">
        <v>14000</v>
      </c>
      <c r="L11" s="2">
        <v>45302</v>
      </c>
    </row>
    <row r="12" spans="1:12" x14ac:dyDescent="0.35">
      <c r="A12" s="1" t="s">
        <v>51</v>
      </c>
      <c r="B12" s="1" t="s">
        <v>52</v>
      </c>
      <c r="C12" s="1" t="s">
        <v>30</v>
      </c>
      <c r="D12" s="1" t="s">
        <v>31</v>
      </c>
      <c r="E12" s="1" t="s">
        <v>16</v>
      </c>
      <c r="F12" s="1" t="s">
        <v>39</v>
      </c>
      <c r="G12" s="1" t="s">
        <v>26</v>
      </c>
      <c r="H12" s="1">
        <v>15899</v>
      </c>
      <c r="I12" s="1" t="s">
        <v>33</v>
      </c>
      <c r="J12" s="1">
        <v>0.3</v>
      </c>
      <c r="K12" s="1">
        <v>17000</v>
      </c>
      <c r="L12" s="2">
        <v>45345</v>
      </c>
    </row>
    <row r="13" spans="1:12" x14ac:dyDescent="0.35">
      <c r="A13" s="1" t="s">
        <v>53</v>
      </c>
      <c r="B13" s="1" t="s">
        <v>54</v>
      </c>
      <c r="C13" s="1" t="s">
        <v>14</v>
      </c>
      <c r="D13" s="1" t="s">
        <v>15</v>
      </c>
      <c r="E13" s="1" t="s">
        <v>32</v>
      </c>
      <c r="F13" s="1" t="s">
        <v>25</v>
      </c>
      <c r="G13" s="1" t="s">
        <v>36</v>
      </c>
      <c r="H13" s="1">
        <v>13643</v>
      </c>
      <c r="I13" s="1" t="s">
        <v>33</v>
      </c>
      <c r="J13" s="1">
        <v>0.3</v>
      </c>
      <c r="K13" s="1">
        <v>14000</v>
      </c>
      <c r="L13" s="2">
        <v>45296</v>
      </c>
    </row>
    <row r="14" spans="1:12" x14ac:dyDescent="0.35">
      <c r="A14" s="1" t="s">
        <v>55</v>
      </c>
      <c r="B14" s="1" t="s">
        <v>56</v>
      </c>
      <c r="C14" s="1" t="s">
        <v>30</v>
      </c>
      <c r="D14" s="1" t="s">
        <v>31</v>
      </c>
      <c r="E14" s="1" t="s">
        <v>32</v>
      </c>
      <c r="F14" s="1" t="s">
        <v>39</v>
      </c>
      <c r="G14" s="1" t="s">
        <v>36</v>
      </c>
      <c r="H14" s="1">
        <v>16620</v>
      </c>
      <c r="I14" s="1"/>
      <c r="J14" s="1"/>
      <c r="K14" s="1">
        <v>17000</v>
      </c>
      <c r="L14" s="2">
        <v>45301</v>
      </c>
    </row>
    <row r="15" spans="1:12" x14ac:dyDescent="0.35">
      <c r="A15" s="1" t="s">
        <v>57</v>
      </c>
      <c r="B15" s="1" t="s">
        <v>58</v>
      </c>
      <c r="C15" s="1" t="s">
        <v>44</v>
      </c>
      <c r="D15" s="1" t="s">
        <v>45</v>
      </c>
      <c r="E15" s="1" t="s">
        <v>16</v>
      </c>
      <c r="F15" s="1" t="s">
        <v>39</v>
      </c>
      <c r="G15" s="1" t="s">
        <v>26</v>
      </c>
      <c r="H15" s="1">
        <v>12076</v>
      </c>
      <c r="I15" s="1" t="s">
        <v>27</v>
      </c>
      <c r="J15" s="1"/>
      <c r="K15" s="1">
        <v>13000</v>
      </c>
      <c r="L15" s="2">
        <v>45319</v>
      </c>
    </row>
    <row r="16" spans="1:12" x14ac:dyDescent="0.35">
      <c r="A16" s="1" t="s">
        <v>59</v>
      </c>
      <c r="B16" s="1" t="s">
        <v>60</v>
      </c>
      <c r="C16" s="1" t="s">
        <v>61</v>
      </c>
      <c r="D16" s="1" t="s">
        <v>62</v>
      </c>
      <c r="E16" s="1" t="s">
        <v>46</v>
      </c>
      <c r="F16" s="1" t="s">
        <v>25</v>
      </c>
      <c r="G16" s="1" t="s">
        <v>18</v>
      </c>
      <c r="H16" s="1">
        <v>9087</v>
      </c>
      <c r="I16" s="1"/>
      <c r="J16" s="1"/>
      <c r="K16" s="1">
        <v>9000</v>
      </c>
      <c r="L16" s="2">
        <v>45297</v>
      </c>
    </row>
    <row r="17" spans="1:12" x14ac:dyDescent="0.35">
      <c r="A17" s="1" t="s">
        <v>63</v>
      </c>
      <c r="B17" s="1" t="s">
        <v>64</v>
      </c>
      <c r="C17" s="1" t="s">
        <v>14</v>
      </c>
      <c r="D17" s="1" t="s">
        <v>15</v>
      </c>
      <c r="E17" s="1" t="s">
        <v>32</v>
      </c>
      <c r="F17" s="1" t="s">
        <v>39</v>
      </c>
      <c r="G17" s="1" t="s">
        <v>18</v>
      </c>
      <c r="H17" s="1">
        <v>15244</v>
      </c>
      <c r="I17" s="1"/>
      <c r="J17" s="1"/>
      <c r="K17" s="1">
        <v>14000</v>
      </c>
      <c r="L17" s="2">
        <v>45330</v>
      </c>
    </row>
    <row r="18" spans="1:12" x14ac:dyDescent="0.35">
      <c r="A18" s="1" t="s">
        <v>65</v>
      </c>
      <c r="B18" s="1" t="s">
        <v>66</v>
      </c>
      <c r="C18" s="1" t="s">
        <v>61</v>
      </c>
      <c r="D18" s="1" t="s">
        <v>62</v>
      </c>
      <c r="E18" s="1" t="s">
        <v>16</v>
      </c>
      <c r="F18" s="1" t="s">
        <v>17</v>
      </c>
      <c r="G18" s="1" t="s">
        <v>26</v>
      </c>
      <c r="H18" s="1">
        <v>8029</v>
      </c>
      <c r="I18" s="1" t="s">
        <v>27</v>
      </c>
      <c r="J18" s="1"/>
      <c r="K18" s="1">
        <v>9000</v>
      </c>
      <c r="L18" s="2">
        <v>45347</v>
      </c>
    </row>
    <row r="19" spans="1:12" x14ac:dyDescent="0.35">
      <c r="A19" s="1" t="s">
        <v>67</v>
      </c>
      <c r="B19" s="1" t="s">
        <v>68</v>
      </c>
      <c r="C19" s="1" t="s">
        <v>14</v>
      </c>
      <c r="D19" s="1" t="s">
        <v>15</v>
      </c>
      <c r="E19" s="1" t="s">
        <v>16</v>
      </c>
      <c r="F19" s="1" t="s">
        <v>39</v>
      </c>
      <c r="G19" s="1" t="s">
        <v>36</v>
      </c>
      <c r="H19" s="1">
        <v>15148</v>
      </c>
      <c r="I19" s="1" t="s">
        <v>33</v>
      </c>
      <c r="J19" s="1">
        <v>0.3</v>
      </c>
      <c r="K19" s="1">
        <v>14000</v>
      </c>
      <c r="L19" s="2">
        <v>45299</v>
      </c>
    </row>
    <row r="20" spans="1:12" x14ac:dyDescent="0.35">
      <c r="A20" s="1" t="s">
        <v>69</v>
      </c>
      <c r="B20" s="1" t="s">
        <v>70</v>
      </c>
      <c r="C20" s="1" t="s">
        <v>44</v>
      </c>
      <c r="D20" s="1" t="s">
        <v>45</v>
      </c>
      <c r="E20" s="1" t="s">
        <v>46</v>
      </c>
      <c r="F20" s="1" t="s">
        <v>25</v>
      </c>
      <c r="G20" s="1" t="s">
        <v>26</v>
      </c>
      <c r="H20" s="1">
        <v>14587</v>
      </c>
      <c r="I20" s="1" t="s">
        <v>33</v>
      </c>
      <c r="J20" s="1">
        <v>0.3</v>
      </c>
      <c r="K20" s="1">
        <v>13000</v>
      </c>
      <c r="L20" s="2">
        <v>45324</v>
      </c>
    </row>
    <row r="21" spans="1:12" x14ac:dyDescent="0.35">
      <c r="A21" s="1" t="s">
        <v>71</v>
      </c>
      <c r="B21" s="1" t="s">
        <v>72</v>
      </c>
      <c r="C21" s="1" t="s">
        <v>14</v>
      </c>
      <c r="D21" s="1" t="s">
        <v>15</v>
      </c>
      <c r="E21" s="1" t="s">
        <v>16</v>
      </c>
      <c r="F21" s="1" t="s">
        <v>17</v>
      </c>
      <c r="G21" s="1" t="s">
        <v>26</v>
      </c>
      <c r="H21" s="1">
        <v>14079</v>
      </c>
      <c r="I21" s="1" t="s">
        <v>27</v>
      </c>
      <c r="J21" s="1"/>
      <c r="K21" s="1">
        <v>14000</v>
      </c>
      <c r="L21" s="2">
        <v>45304</v>
      </c>
    </row>
    <row r="22" spans="1:12" x14ac:dyDescent="0.35">
      <c r="A22" s="1" t="s">
        <v>73</v>
      </c>
      <c r="B22" s="1" t="s">
        <v>74</v>
      </c>
      <c r="C22" s="1" t="s">
        <v>44</v>
      </c>
      <c r="D22" s="1" t="s">
        <v>45</v>
      </c>
      <c r="E22" s="1" t="s">
        <v>16</v>
      </c>
      <c r="F22" s="1" t="s">
        <v>39</v>
      </c>
      <c r="G22" s="1" t="s">
        <v>18</v>
      </c>
      <c r="H22" s="1">
        <v>13453</v>
      </c>
      <c r="I22" s="1" t="s">
        <v>33</v>
      </c>
      <c r="J22" s="1">
        <v>0.3</v>
      </c>
      <c r="K22" s="1">
        <v>13000</v>
      </c>
      <c r="L22" s="2">
        <v>45323</v>
      </c>
    </row>
    <row r="23" spans="1:12" x14ac:dyDescent="0.35">
      <c r="A23" s="1" t="s">
        <v>75</v>
      </c>
      <c r="B23" s="1" t="s">
        <v>76</v>
      </c>
      <c r="C23" s="1" t="s">
        <v>30</v>
      </c>
      <c r="D23" s="1" t="s">
        <v>31</v>
      </c>
      <c r="E23" s="1" t="s">
        <v>46</v>
      </c>
      <c r="F23" s="1" t="s">
        <v>25</v>
      </c>
      <c r="G23" s="1" t="s">
        <v>18</v>
      </c>
      <c r="H23" s="1">
        <v>15986</v>
      </c>
      <c r="I23" s="1" t="s">
        <v>27</v>
      </c>
      <c r="J23" s="1"/>
      <c r="K23" s="1">
        <v>17000</v>
      </c>
      <c r="L23" s="2">
        <v>45352</v>
      </c>
    </row>
    <row r="24" spans="1:12" x14ac:dyDescent="0.35">
      <c r="A24" s="1" t="s">
        <v>77</v>
      </c>
      <c r="B24" s="1" t="s">
        <v>78</v>
      </c>
      <c r="C24" s="1" t="s">
        <v>61</v>
      </c>
      <c r="D24" s="1" t="s">
        <v>62</v>
      </c>
      <c r="E24" s="1" t="s">
        <v>32</v>
      </c>
      <c r="F24" s="1" t="s">
        <v>39</v>
      </c>
      <c r="G24" s="1" t="s">
        <v>18</v>
      </c>
      <c r="H24" s="1">
        <v>7525</v>
      </c>
      <c r="I24" s="1"/>
      <c r="J24" s="1"/>
      <c r="K24" s="1">
        <v>9000</v>
      </c>
      <c r="L24" s="2">
        <v>45352</v>
      </c>
    </row>
    <row r="25" spans="1:12" x14ac:dyDescent="0.35">
      <c r="A25" s="1" t="s">
        <v>79</v>
      </c>
      <c r="B25" s="1" t="s">
        <v>80</v>
      </c>
      <c r="C25" s="1" t="s">
        <v>30</v>
      </c>
      <c r="D25" s="1" t="s">
        <v>31</v>
      </c>
      <c r="E25" s="1" t="s">
        <v>16</v>
      </c>
      <c r="F25" s="1" t="s">
        <v>39</v>
      </c>
      <c r="G25" s="1" t="s">
        <v>36</v>
      </c>
      <c r="H25" s="1">
        <v>18950</v>
      </c>
      <c r="I25" s="1" t="s">
        <v>19</v>
      </c>
      <c r="J25" s="1">
        <v>0.2</v>
      </c>
      <c r="K25" s="1">
        <v>17000</v>
      </c>
      <c r="L25" s="2">
        <v>45351</v>
      </c>
    </row>
    <row r="26" spans="1:12" x14ac:dyDescent="0.35">
      <c r="A26" s="1" t="s">
        <v>81</v>
      </c>
      <c r="B26" s="1" t="s">
        <v>82</v>
      </c>
      <c r="C26" s="1" t="s">
        <v>44</v>
      </c>
      <c r="D26" s="1" t="s">
        <v>45</v>
      </c>
      <c r="E26" s="1" t="s">
        <v>16</v>
      </c>
      <c r="F26" s="1" t="s">
        <v>17</v>
      </c>
      <c r="G26" s="1" t="s">
        <v>36</v>
      </c>
      <c r="H26" s="1">
        <v>13751</v>
      </c>
      <c r="I26" s="1" t="s">
        <v>33</v>
      </c>
      <c r="J26" s="1">
        <v>0.3</v>
      </c>
      <c r="K26" s="1">
        <v>13000</v>
      </c>
      <c r="L26" s="2">
        <v>45320</v>
      </c>
    </row>
    <row r="27" spans="1:12" x14ac:dyDescent="0.35">
      <c r="A27" s="1" t="s">
        <v>83</v>
      </c>
      <c r="B27" s="1" t="s">
        <v>84</v>
      </c>
      <c r="C27" s="1" t="s">
        <v>61</v>
      </c>
      <c r="D27" s="1" t="s">
        <v>62</v>
      </c>
      <c r="E27" s="1" t="s">
        <v>32</v>
      </c>
      <c r="F27" s="1" t="s">
        <v>25</v>
      </c>
      <c r="G27" s="1" t="s">
        <v>18</v>
      </c>
      <c r="H27" s="1">
        <v>7262</v>
      </c>
      <c r="I27" s="1" t="s">
        <v>33</v>
      </c>
      <c r="J27" s="1">
        <v>0.3</v>
      </c>
      <c r="K27" s="1">
        <v>9000</v>
      </c>
      <c r="L27" s="2">
        <v>45293</v>
      </c>
    </row>
    <row r="28" spans="1:12" x14ac:dyDescent="0.35">
      <c r="A28" s="1" t="s">
        <v>85</v>
      </c>
      <c r="B28" s="1" t="s">
        <v>86</v>
      </c>
      <c r="C28" s="1" t="s">
        <v>44</v>
      </c>
      <c r="D28" s="1" t="s">
        <v>45</v>
      </c>
      <c r="E28" s="1" t="s">
        <v>16</v>
      </c>
      <c r="F28" s="1" t="s">
        <v>25</v>
      </c>
      <c r="G28" s="1" t="s">
        <v>18</v>
      </c>
      <c r="H28" s="1">
        <v>11290</v>
      </c>
      <c r="I28" s="1" t="s">
        <v>22</v>
      </c>
      <c r="J28" s="1">
        <v>0.1</v>
      </c>
      <c r="K28" s="1">
        <v>13000</v>
      </c>
      <c r="L28" s="2">
        <v>45306</v>
      </c>
    </row>
    <row r="29" spans="1:12" x14ac:dyDescent="0.35">
      <c r="A29" s="1" t="s">
        <v>87</v>
      </c>
      <c r="B29" s="1" t="s">
        <v>43</v>
      </c>
      <c r="C29" s="1" t="s">
        <v>30</v>
      </c>
      <c r="D29" s="1" t="s">
        <v>31</v>
      </c>
      <c r="E29" s="1" t="s">
        <v>32</v>
      </c>
      <c r="F29" s="1" t="s">
        <v>39</v>
      </c>
      <c r="G29" s="1" t="s">
        <v>18</v>
      </c>
      <c r="H29" s="1">
        <v>16140</v>
      </c>
      <c r="I29" s="1"/>
      <c r="J29" s="1"/>
      <c r="K29" s="1">
        <v>17000</v>
      </c>
      <c r="L29" s="2">
        <v>45305</v>
      </c>
    </row>
    <row r="30" spans="1:12" x14ac:dyDescent="0.35">
      <c r="A30" s="1" t="s">
        <v>88</v>
      </c>
      <c r="B30" s="1" t="s">
        <v>80</v>
      </c>
      <c r="C30" s="1" t="s">
        <v>61</v>
      </c>
      <c r="D30" s="1" t="s">
        <v>62</v>
      </c>
      <c r="E30" s="1" t="s">
        <v>32</v>
      </c>
      <c r="F30" s="1" t="s">
        <v>17</v>
      </c>
      <c r="G30" s="1" t="s">
        <v>36</v>
      </c>
      <c r="H30" s="1">
        <v>7779</v>
      </c>
      <c r="I30" s="1" t="s">
        <v>22</v>
      </c>
      <c r="J30" s="1">
        <v>0.1</v>
      </c>
      <c r="K30" s="1">
        <v>9000</v>
      </c>
      <c r="L30" s="2">
        <v>45298</v>
      </c>
    </row>
    <row r="31" spans="1:12" x14ac:dyDescent="0.35">
      <c r="A31" s="1" t="s">
        <v>89</v>
      </c>
      <c r="B31" s="1" t="s">
        <v>90</v>
      </c>
      <c r="C31" s="1" t="s">
        <v>30</v>
      </c>
      <c r="D31" s="1" t="s">
        <v>31</v>
      </c>
      <c r="E31" s="1" t="s">
        <v>46</v>
      </c>
      <c r="F31" s="1" t="s">
        <v>17</v>
      </c>
      <c r="G31" s="1" t="s">
        <v>36</v>
      </c>
      <c r="H31" s="1">
        <v>18538</v>
      </c>
      <c r="I31" s="1" t="s">
        <v>22</v>
      </c>
      <c r="J31" s="1">
        <v>0.1</v>
      </c>
      <c r="K31" s="1">
        <v>17000</v>
      </c>
      <c r="L31" s="2">
        <v>45335</v>
      </c>
    </row>
    <row r="32" spans="1:12" x14ac:dyDescent="0.35">
      <c r="A32" s="1" t="s">
        <v>91</v>
      </c>
      <c r="B32" s="1" t="s">
        <v>92</v>
      </c>
      <c r="C32" s="1" t="s">
        <v>14</v>
      </c>
      <c r="D32" s="1" t="s">
        <v>15</v>
      </c>
      <c r="E32" s="1" t="s">
        <v>32</v>
      </c>
      <c r="F32" s="1" t="s">
        <v>17</v>
      </c>
      <c r="G32" s="1" t="s">
        <v>26</v>
      </c>
      <c r="H32" s="1">
        <v>13389</v>
      </c>
      <c r="I32" s="1" t="s">
        <v>22</v>
      </c>
      <c r="J32" s="1">
        <v>0.1</v>
      </c>
      <c r="K32" s="1">
        <v>14000</v>
      </c>
      <c r="L32" s="2">
        <v>45307</v>
      </c>
    </row>
    <row r="33" spans="1:12" x14ac:dyDescent="0.35">
      <c r="A33" s="1" t="s">
        <v>93</v>
      </c>
      <c r="B33" s="1" t="s">
        <v>94</v>
      </c>
      <c r="C33" s="1" t="s">
        <v>61</v>
      </c>
      <c r="D33" s="1" t="s">
        <v>62</v>
      </c>
      <c r="E33" s="1" t="s">
        <v>32</v>
      </c>
      <c r="F33" s="1" t="s">
        <v>17</v>
      </c>
      <c r="G33" s="1" t="s">
        <v>18</v>
      </c>
      <c r="H33" s="1">
        <v>8140</v>
      </c>
      <c r="I33" s="1"/>
      <c r="J33" s="1"/>
      <c r="K33" s="1">
        <v>9000</v>
      </c>
      <c r="L33" s="2">
        <v>45307</v>
      </c>
    </row>
    <row r="34" spans="1:12" x14ac:dyDescent="0.35">
      <c r="A34" s="1" t="s">
        <v>95</v>
      </c>
      <c r="B34" s="1" t="s">
        <v>96</v>
      </c>
      <c r="C34" s="1" t="s">
        <v>61</v>
      </c>
      <c r="D34" s="1" t="s">
        <v>62</v>
      </c>
      <c r="E34" s="1" t="s">
        <v>16</v>
      </c>
      <c r="F34" s="1" t="s">
        <v>25</v>
      </c>
      <c r="G34" s="1" t="s">
        <v>18</v>
      </c>
      <c r="H34" s="1">
        <v>9671</v>
      </c>
      <c r="I34" s="1" t="s">
        <v>27</v>
      </c>
      <c r="J34" s="1"/>
      <c r="K34" s="1">
        <v>9000</v>
      </c>
      <c r="L34" s="2">
        <v>45345</v>
      </c>
    </row>
    <row r="35" spans="1:12" x14ac:dyDescent="0.35">
      <c r="A35" s="1" t="s">
        <v>97</v>
      </c>
      <c r="B35" s="1" t="s">
        <v>76</v>
      </c>
      <c r="C35" s="1" t="s">
        <v>44</v>
      </c>
      <c r="D35" s="1" t="s">
        <v>45</v>
      </c>
      <c r="E35" s="1" t="s">
        <v>32</v>
      </c>
      <c r="F35" s="1" t="s">
        <v>17</v>
      </c>
      <c r="G35" s="1" t="s">
        <v>36</v>
      </c>
      <c r="H35" s="1">
        <v>12971</v>
      </c>
      <c r="I35" s="1" t="s">
        <v>19</v>
      </c>
      <c r="J35" s="1">
        <v>0.2</v>
      </c>
      <c r="K35" s="1">
        <v>13000</v>
      </c>
      <c r="L35" s="2">
        <v>45347</v>
      </c>
    </row>
    <row r="36" spans="1:12" x14ac:dyDescent="0.35">
      <c r="A36" s="1" t="s">
        <v>98</v>
      </c>
      <c r="B36" s="1" t="s">
        <v>99</v>
      </c>
      <c r="C36" s="1" t="s">
        <v>44</v>
      </c>
      <c r="D36" s="1" t="s">
        <v>45</v>
      </c>
      <c r="E36" s="1" t="s">
        <v>46</v>
      </c>
      <c r="F36" s="1" t="s">
        <v>25</v>
      </c>
      <c r="G36" s="1" t="s">
        <v>36</v>
      </c>
      <c r="H36" s="1">
        <v>12086</v>
      </c>
      <c r="I36" s="1"/>
      <c r="J36" s="1"/>
      <c r="K36" s="1">
        <v>13000</v>
      </c>
      <c r="L36" s="2">
        <v>45310</v>
      </c>
    </row>
    <row r="37" spans="1:12" x14ac:dyDescent="0.35">
      <c r="A37" s="1" t="s">
        <v>100</v>
      </c>
      <c r="B37" s="1" t="s">
        <v>101</v>
      </c>
      <c r="C37" s="1" t="s">
        <v>61</v>
      </c>
      <c r="D37" s="1" t="s">
        <v>62</v>
      </c>
      <c r="E37" s="1" t="s">
        <v>32</v>
      </c>
      <c r="F37" s="1" t="s">
        <v>25</v>
      </c>
      <c r="G37" s="1" t="s">
        <v>36</v>
      </c>
      <c r="H37" s="1">
        <v>7891</v>
      </c>
      <c r="I37" s="1" t="s">
        <v>22</v>
      </c>
      <c r="J37" s="1">
        <v>0.1</v>
      </c>
      <c r="K37" s="1">
        <v>9000</v>
      </c>
      <c r="L37" s="2">
        <v>45329</v>
      </c>
    </row>
    <row r="38" spans="1:12" x14ac:dyDescent="0.35">
      <c r="A38" s="1" t="s">
        <v>102</v>
      </c>
      <c r="B38" s="1" t="s">
        <v>103</v>
      </c>
      <c r="C38" s="1" t="s">
        <v>14</v>
      </c>
      <c r="D38" s="1" t="s">
        <v>15</v>
      </c>
      <c r="E38" s="1" t="s">
        <v>16</v>
      </c>
      <c r="F38" s="1" t="s">
        <v>17</v>
      </c>
      <c r="G38" s="1" t="s">
        <v>18</v>
      </c>
      <c r="H38" s="1">
        <v>12205</v>
      </c>
      <c r="I38" s="1" t="s">
        <v>27</v>
      </c>
      <c r="J38" s="1"/>
      <c r="K38" s="1">
        <v>14000</v>
      </c>
      <c r="L38" s="2">
        <v>45322</v>
      </c>
    </row>
    <row r="39" spans="1:12" x14ac:dyDescent="0.35">
      <c r="A39" s="1" t="s">
        <v>104</v>
      </c>
      <c r="B39" s="1" t="s">
        <v>105</v>
      </c>
      <c r="C39" s="1" t="s">
        <v>44</v>
      </c>
      <c r="D39" s="1" t="s">
        <v>45</v>
      </c>
      <c r="E39" s="1" t="s">
        <v>32</v>
      </c>
      <c r="F39" s="1" t="s">
        <v>39</v>
      </c>
      <c r="G39" s="1" t="s">
        <v>18</v>
      </c>
      <c r="H39" s="1">
        <v>14487</v>
      </c>
      <c r="I39" s="1" t="s">
        <v>19</v>
      </c>
      <c r="J39" s="1">
        <v>0.2</v>
      </c>
      <c r="K39" s="1">
        <v>13000</v>
      </c>
      <c r="L39" s="2">
        <v>45296</v>
      </c>
    </row>
    <row r="40" spans="1:12" x14ac:dyDescent="0.35">
      <c r="A40" s="1" t="s">
        <v>106</v>
      </c>
      <c r="B40" s="1" t="s">
        <v>107</v>
      </c>
      <c r="C40" s="1" t="s">
        <v>44</v>
      </c>
      <c r="D40" s="1" t="s">
        <v>45</v>
      </c>
      <c r="E40" s="1" t="s">
        <v>46</v>
      </c>
      <c r="F40" s="1" t="s">
        <v>25</v>
      </c>
      <c r="G40" s="1" t="s">
        <v>26</v>
      </c>
      <c r="H40" s="1">
        <v>12008</v>
      </c>
      <c r="I40" s="1" t="s">
        <v>27</v>
      </c>
      <c r="J40" s="1"/>
      <c r="K40" s="1">
        <v>13000</v>
      </c>
      <c r="L40" s="2">
        <v>45330</v>
      </c>
    </row>
    <row r="41" spans="1:12" x14ac:dyDescent="0.35">
      <c r="A41" s="1" t="s">
        <v>108</v>
      </c>
      <c r="B41" s="1" t="s">
        <v>109</v>
      </c>
      <c r="C41" s="1" t="s">
        <v>14</v>
      </c>
      <c r="D41" s="1" t="s">
        <v>15</v>
      </c>
      <c r="E41" s="1" t="s">
        <v>46</v>
      </c>
      <c r="F41" s="1" t="s">
        <v>39</v>
      </c>
      <c r="G41" s="1" t="s">
        <v>26</v>
      </c>
      <c r="H41" s="1">
        <v>14315</v>
      </c>
      <c r="I41" s="1" t="s">
        <v>27</v>
      </c>
      <c r="J41" s="1"/>
      <c r="K41" s="1">
        <v>14000</v>
      </c>
      <c r="L41" s="2">
        <v>45312</v>
      </c>
    </row>
    <row r="42" spans="1:12" x14ac:dyDescent="0.35">
      <c r="A42" s="1" t="s">
        <v>110</v>
      </c>
      <c r="B42" s="1" t="s">
        <v>111</v>
      </c>
      <c r="C42" s="1" t="s">
        <v>44</v>
      </c>
      <c r="D42" s="1" t="s">
        <v>45</v>
      </c>
      <c r="E42" s="1" t="s">
        <v>16</v>
      </c>
      <c r="F42" s="1" t="s">
        <v>39</v>
      </c>
      <c r="G42" s="1" t="s">
        <v>36</v>
      </c>
      <c r="H42" s="1">
        <v>11977</v>
      </c>
      <c r="I42" s="1" t="s">
        <v>33</v>
      </c>
      <c r="J42" s="1">
        <v>0.3</v>
      </c>
      <c r="K42" s="1">
        <v>13000</v>
      </c>
      <c r="L42" s="2">
        <v>45317</v>
      </c>
    </row>
    <row r="43" spans="1:12" x14ac:dyDescent="0.35">
      <c r="A43" s="1" t="s">
        <v>112</v>
      </c>
      <c r="B43" s="1" t="s">
        <v>113</v>
      </c>
      <c r="C43" s="1" t="s">
        <v>30</v>
      </c>
      <c r="D43" s="1" t="s">
        <v>31</v>
      </c>
      <c r="E43" s="1" t="s">
        <v>46</v>
      </c>
      <c r="F43" s="1" t="s">
        <v>17</v>
      </c>
      <c r="G43" s="1" t="s">
        <v>18</v>
      </c>
      <c r="H43" s="1">
        <v>15038</v>
      </c>
      <c r="I43" s="1"/>
      <c r="J43" s="1"/>
      <c r="K43" s="1">
        <v>17000</v>
      </c>
      <c r="L43" s="2">
        <v>45331</v>
      </c>
    </row>
    <row r="44" spans="1:12" x14ac:dyDescent="0.35">
      <c r="A44" s="1" t="s">
        <v>114</v>
      </c>
      <c r="B44" s="1" t="s">
        <v>107</v>
      </c>
      <c r="C44" s="1" t="s">
        <v>14</v>
      </c>
      <c r="D44" s="1" t="s">
        <v>15</v>
      </c>
      <c r="E44" s="1" t="s">
        <v>16</v>
      </c>
      <c r="F44" s="1" t="s">
        <v>25</v>
      </c>
      <c r="G44" s="1" t="s">
        <v>26</v>
      </c>
      <c r="H44" s="1">
        <v>13086</v>
      </c>
      <c r="I44" s="1" t="s">
        <v>19</v>
      </c>
      <c r="J44" s="1">
        <v>0.2</v>
      </c>
      <c r="K44" s="1">
        <v>14000</v>
      </c>
      <c r="L44" s="2">
        <v>45351</v>
      </c>
    </row>
    <row r="45" spans="1:12" x14ac:dyDescent="0.35">
      <c r="A45" s="1" t="s">
        <v>115</v>
      </c>
      <c r="B45" s="1" t="s">
        <v>116</v>
      </c>
      <c r="C45" s="1" t="s">
        <v>44</v>
      </c>
      <c r="D45" s="1" t="s">
        <v>45</v>
      </c>
      <c r="E45" s="1" t="s">
        <v>46</v>
      </c>
      <c r="F45" s="1" t="s">
        <v>17</v>
      </c>
      <c r="G45" s="1" t="s">
        <v>18</v>
      </c>
      <c r="H45" s="1">
        <v>12794</v>
      </c>
      <c r="I45" s="1" t="s">
        <v>27</v>
      </c>
      <c r="J45" s="1"/>
      <c r="K45" s="1">
        <v>13000</v>
      </c>
      <c r="L45" s="2">
        <v>45337</v>
      </c>
    </row>
    <row r="46" spans="1:12" x14ac:dyDescent="0.35">
      <c r="A46" s="1" t="s">
        <v>117</v>
      </c>
      <c r="B46" s="1" t="s">
        <v>118</v>
      </c>
      <c r="C46" s="1" t="s">
        <v>14</v>
      </c>
      <c r="D46" s="1" t="s">
        <v>15</v>
      </c>
      <c r="E46" s="1" t="s">
        <v>16</v>
      </c>
      <c r="F46" s="1" t="s">
        <v>39</v>
      </c>
      <c r="G46" s="1" t="s">
        <v>36</v>
      </c>
      <c r="H46" s="1">
        <v>15816</v>
      </c>
      <c r="I46" s="1" t="s">
        <v>22</v>
      </c>
      <c r="J46" s="1">
        <v>0.1</v>
      </c>
      <c r="K46" s="1">
        <v>14000</v>
      </c>
      <c r="L46" s="2">
        <v>45352</v>
      </c>
    </row>
    <row r="47" spans="1:12" x14ac:dyDescent="0.35">
      <c r="A47" s="1" t="s">
        <v>119</v>
      </c>
      <c r="B47" s="1" t="s">
        <v>120</v>
      </c>
      <c r="C47" s="1" t="s">
        <v>30</v>
      </c>
      <c r="D47" s="1" t="s">
        <v>31</v>
      </c>
      <c r="E47" s="1" t="s">
        <v>32</v>
      </c>
      <c r="F47" s="1" t="s">
        <v>25</v>
      </c>
      <c r="G47" s="1" t="s">
        <v>26</v>
      </c>
      <c r="H47" s="1">
        <v>17266</v>
      </c>
      <c r="I47" s="1" t="s">
        <v>19</v>
      </c>
      <c r="J47" s="1">
        <v>0.2</v>
      </c>
      <c r="K47" s="1">
        <v>17000</v>
      </c>
      <c r="L47" s="2">
        <v>45309</v>
      </c>
    </row>
    <row r="48" spans="1:12" x14ac:dyDescent="0.35">
      <c r="A48" s="1" t="s">
        <v>121</v>
      </c>
      <c r="B48" s="1" t="s">
        <v>118</v>
      </c>
      <c r="C48" s="1" t="s">
        <v>44</v>
      </c>
      <c r="D48" s="1" t="s">
        <v>45</v>
      </c>
      <c r="E48" s="1" t="s">
        <v>16</v>
      </c>
      <c r="F48" s="1" t="s">
        <v>17</v>
      </c>
      <c r="G48" s="1" t="s">
        <v>18</v>
      </c>
      <c r="H48" s="1">
        <v>13815</v>
      </c>
      <c r="I48" s="1" t="s">
        <v>33</v>
      </c>
      <c r="J48" s="1">
        <v>0.3</v>
      </c>
      <c r="K48" s="1">
        <v>13000</v>
      </c>
      <c r="L48" s="2">
        <v>45324</v>
      </c>
    </row>
    <row r="49" spans="1:12" x14ac:dyDescent="0.35">
      <c r="A49" s="1" t="s">
        <v>122</v>
      </c>
      <c r="B49" s="1" t="s">
        <v>123</v>
      </c>
      <c r="C49" s="1" t="s">
        <v>14</v>
      </c>
      <c r="D49" s="1" t="s">
        <v>15</v>
      </c>
      <c r="E49" s="1" t="s">
        <v>32</v>
      </c>
      <c r="F49" s="1" t="s">
        <v>39</v>
      </c>
      <c r="G49" s="1" t="s">
        <v>36</v>
      </c>
      <c r="H49" s="1">
        <v>15397</v>
      </c>
      <c r="I49" s="1" t="s">
        <v>33</v>
      </c>
      <c r="J49" s="1">
        <v>0.3</v>
      </c>
      <c r="K49" s="1">
        <v>14000</v>
      </c>
      <c r="L49" s="2">
        <v>45294</v>
      </c>
    </row>
    <row r="50" spans="1:12" x14ac:dyDescent="0.35">
      <c r="A50" s="1" t="s">
        <v>124</v>
      </c>
      <c r="B50" s="1" t="s">
        <v>125</v>
      </c>
      <c r="C50" s="1" t="s">
        <v>44</v>
      </c>
      <c r="D50" s="1" t="s">
        <v>45</v>
      </c>
      <c r="E50" s="1" t="s">
        <v>16</v>
      </c>
      <c r="F50" s="1" t="s">
        <v>17</v>
      </c>
      <c r="G50" s="1" t="s">
        <v>18</v>
      </c>
      <c r="H50" s="1">
        <v>14036</v>
      </c>
      <c r="I50" s="1"/>
      <c r="J50" s="1"/>
      <c r="K50" s="1">
        <v>13000</v>
      </c>
      <c r="L50" s="2">
        <v>45327</v>
      </c>
    </row>
    <row r="51" spans="1:12" x14ac:dyDescent="0.35">
      <c r="A51" s="1" t="s">
        <v>126</v>
      </c>
      <c r="B51" s="1" t="s">
        <v>127</v>
      </c>
      <c r="C51" s="1" t="s">
        <v>14</v>
      </c>
      <c r="D51" s="1" t="s">
        <v>15</v>
      </c>
      <c r="E51" s="1" t="s">
        <v>32</v>
      </c>
      <c r="F51" s="1" t="s">
        <v>25</v>
      </c>
      <c r="G51" s="1" t="s">
        <v>26</v>
      </c>
      <c r="H51" s="1">
        <v>15702</v>
      </c>
      <c r="I51" s="1" t="s">
        <v>19</v>
      </c>
      <c r="J51" s="1">
        <v>0.2</v>
      </c>
      <c r="K51" s="1">
        <v>14000</v>
      </c>
      <c r="L51" s="2">
        <v>45326</v>
      </c>
    </row>
    <row r="52" spans="1:12" x14ac:dyDescent="0.35">
      <c r="A52" s="1" t="s">
        <v>128</v>
      </c>
      <c r="B52" s="1" t="s">
        <v>129</v>
      </c>
      <c r="C52" s="1" t="s">
        <v>30</v>
      </c>
      <c r="D52" s="1" t="s">
        <v>31</v>
      </c>
      <c r="E52" s="1" t="s">
        <v>16</v>
      </c>
      <c r="F52" s="1" t="s">
        <v>39</v>
      </c>
      <c r="G52" s="1" t="s">
        <v>18</v>
      </c>
      <c r="H52" s="1">
        <v>16760</v>
      </c>
      <c r="I52" s="1" t="s">
        <v>19</v>
      </c>
      <c r="J52" s="1">
        <v>0.2</v>
      </c>
      <c r="K52" s="1">
        <v>17000</v>
      </c>
      <c r="L52" s="2">
        <v>45294</v>
      </c>
    </row>
    <row r="53" spans="1:12" x14ac:dyDescent="0.35">
      <c r="A53" s="1" t="s">
        <v>130</v>
      </c>
      <c r="B53" s="1" t="s">
        <v>131</v>
      </c>
      <c r="C53" s="1" t="s">
        <v>14</v>
      </c>
      <c r="D53" s="1" t="s">
        <v>15</v>
      </c>
      <c r="E53" s="1" t="s">
        <v>46</v>
      </c>
      <c r="F53" s="1" t="s">
        <v>25</v>
      </c>
      <c r="G53" s="1" t="s">
        <v>26</v>
      </c>
      <c r="H53" s="1">
        <v>13022</v>
      </c>
      <c r="I53" s="1" t="s">
        <v>22</v>
      </c>
      <c r="J53" s="1">
        <v>0.1</v>
      </c>
      <c r="K53" s="1">
        <v>14000</v>
      </c>
      <c r="L53" s="2">
        <v>45314</v>
      </c>
    </row>
    <row r="54" spans="1:12" x14ac:dyDescent="0.35">
      <c r="A54" s="1" t="s">
        <v>132</v>
      </c>
      <c r="B54" s="1" t="s">
        <v>133</v>
      </c>
      <c r="C54" s="1" t="s">
        <v>61</v>
      </c>
      <c r="D54" s="1" t="s">
        <v>62</v>
      </c>
      <c r="E54" s="1" t="s">
        <v>16</v>
      </c>
      <c r="F54" s="1" t="s">
        <v>39</v>
      </c>
      <c r="G54" s="1" t="s">
        <v>18</v>
      </c>
      <c r="H54" s="1">
        <v>10791</v>
      </c>
      <c r="I54" s="1" t="s">
        <v>19</v>
      </c>
      <c r="J54" s="1">
        <v>0.2</v>
      </c>
      <c r="K54" s="1">
        <v>9000</v>
      </c>
      <c r="L54" s="2">
        <v>45347</v>
      </c>
    </row>
    <row r="55" spans="1:12" x14ac:dyDescent="0.35">
      <c r="A55" s="1" t="s">
        <v>134</v>
      </c>
      <c r="B55" s="1" t="s">
        <v>135</v>
      </c>
      <c r="C55" s="1" t="s">
        <v>44</v>
      </c>
      <c r="D55" s="1" t="s">
        <v>45</v>
      </c>
      <c r="E55" s="1" t="s">
        <v>46</v>
      </c>
      <c r="F55" s="1" t="s">
        <v>25</v>
      </c>
      <c r="G55" s="1" t="s">
        <v>18</v>
      </c>
      <c r="H55" s="1">
        <v>14016</v>
      </c>
      <c r="I55" s="1" t="s">
        <v>33</v>
      </c>
      <c r="J55" s="1">
        <v>0.3</v>
      </c>
      <c r="K55" s="1">
        <v>13000</v>
      </c>
      <c r="L55" s="2">
        <v>45342</v>
      </c>
    </row>
    <row r="56" spans="1:12" x14ac:dyDescent="0.35">
      <c r="A56" s="1" t="s">
        <v>136</v>
      </c>
      <c r="B56" s="1" t="s">
        <v>137</v>
      </c>
      <c r="C56" s="1" t="s">
        <v>44</v>
      </c>
      <c r="D56" s="1" t="s">
        <v>45</v>
      </c>
      <c r="E56" s="1" t="s">
        <v>46</v>
      </c>
      <c r="F56" s="1" t="s">
        <v>25</v>
      </c>
      <c r="G56" s="1" t="s">
        <v>26</v>
      </c>
      <c r="H56" s="1">
        <v>11442</v>
      </c>
      <c r="I56" s="1"/>
      <c r="J56" s="1"/>
      <c r="K56" s="1">
        <v>13000</v>
      </c>
      <c r="L56" s="2">
        <v>45347</v>
      </c>
    </row>
    <row r="57" spans="1:12" x14ac:dyDescent="0.35">
      <c r="A57" s="1" t="s">
        <v>138</v>
      </c>
      <c r="B57" s="1" t="s">
        <v>129</v>
      </c>
      <c r="C57" s="1" t="s">
        <v>61</v>
      </c>
      <c r="D57" s="1" t="s">
        <v>62</v>
      </c>
      <c r="E57" s="1" t="s">
        <v>32</v>
      </c>
      <c r="F57" s="1" t="s">
        <v>25</v>
      </c>
      <c r="G57" s="1" t="s">
        <v>36</v>
      </c>
      <c r="H57" s="1">
        <v>8432</v>
      </c>
      <c r="I57" s="1" t="s">
        <v>33</v>
      </c>
      <c r="J57" s="1">
        <v>0.3</v>
      </c>
      <c r="K57" s="1">
        <v>9000</v>
      </c>
      <c r="L57" s="2">
        <v>45344</v>
      </c>
    </row>
    <row r="58" spans="1:12" x14ac:dyDescent="0.35">
      <c r="A58" s="1" t="s">
        <v>139</v>
      </c>
      <c r="B58" s="1" t="s">
        <v>140</v>
      </c>
      <c r="C58" s="1" t="s">
        <v>44</v>
      </c>
      <c r="D58" s="1" t="s">
        <v>45</v>
      </c>
      <c r="E58" s="1" t="s">
        <v>32</v>
      </c>
      <c r="F58" s="1" t="s">
        <v>25</v>
      </c>
      <c r="G58" s="1" t="s">
        <v>26</v>
      </c>
      <c r="H58" s="1">
        <v>11791</v>
      </c>
      <c r="I58" s="1"/>
      <c r="J58" s="1"/>
      <c r="K58" s="1">
        <v>13000</v>
      </c>
      <c r="L58" s="2">
        <v>45313</v>
      </c>
    </row>
    <row r="59" spans="1:12" x14ac:dyDescent="0.35">
      <c r="A59" s="1" t="s">
        <v>141</v>
      </c>
      <c r="B59" s="1" t="s">
        <v>142</v>
      </c>
      <c r="C59" s="1" t="s">
        <v>14</v>
      </c>
      <c r="D59" s="1" t="s">
        <v>15</v>
      </c>
      <c r="E59" s="1" t="s">
        <v>46</v>
      </c>
      <c r="F59" s="1" t="s">
        <v>17</v>
      </c>
      <c r="G59" s="1" t="s">
        <v>26</v>
      </c>
      <c r="H59" s="1">
        <v>14086</v>
      </c>
      <c r="I59" s="1"/>
      <c r="J59" s="1"/>
      <c r="K59" s="1">
        <v>14000</v>
      </c>
      <c r="L59" s="2">
        <v>45335</v>
      </c>
    </row>
    <row r="60" spans="1:12" x14ac:dyDescent="0.35">
      <c r="A60" s="1" t="s">
        <v>143</v>
      </c>
      <c r="B60" s="1" t="s">
        <v>144</v>
      </c>
      <c r="C60" s="1" t="s">
        <v>30</v>
      </c>
      <c r="D60" s="1" t="s">
        <v>31</v>
      </c>
      <c r="E60" s="1" t="s">
        <v>32</v>
      </c>
      <c r="F60" s="1" t="s">
        <v>25</v>
      </c>
      <c r="G60" s="1" t="s">
        <v>36</v>
      </c>
      <c r="H60" s="1">
        <v>15731</v>
      </c>
      <c r="I60" s="1" t="s">
        <v>27</v>
      </c>
      <c r="J60" s="1"/>
      <c r="K60" s="1">
        <v>17000</v>
      </c>
      <c r="L60" s="2">
        <v>45308</v>
      </c>
    </row>
    <row r="61" spans="1:12" x14ac:dyDescent="0.35">
      <c r="A61" s="1" t="s">
        <v>145</v>
      </c>
      <c r="B61" s="1" t="s">
        <v>76</v>
      </c>
      <c r="C61" s="1" t="s">
        <v>61</v>
      </c>
      <c r="D61" s="1" t="s">
        <v>62</v>
      </c>
      <c r="E61" s="1" t="s">
        <v>46</v>
      </c>
      <c r="F61" s="1" t="s">
        <v>39</v>
      </c>
      <c r="G61" s="1" t="s">
        <v>36</v>
      </c>
      <c r="H61" s="1">
        <v>8787</v>
      </c>
      <c r="I61" s="1" t="s">
        <v>27</v>
      </c>
      <c r="J61" s="1"/>
      <c r="K61" s="1">
        <v>9000</v>
      </c>
      <c r="L61" s="2">
        <v>45324</v>
      </c>
    </row>
    <row r="62" spans="1:12" x14ac:dyDescent="0.35">
      <c r="A62" s="1" t="s">
        <v>146</v>
      </c>
      <c r="B62" s="1" t="s">
        <v>66</v>
      </c>
      <c r="C62" s="1" t="s">
        <v>44</v>
      </c>
      <c r="D62" s="1" t="s">
        <v>45</v>
      </c>
      <c r="E62" s="1" t="s">
        <v>46</v>
      </c>
      <c r="F62" s="1" t="s">
        <v>25</v>
      </c>
      <c r="G62" s="1" t="s">
        <v>26</v>
      </c>
      <c r="H62" s="1">
        <v>12786</v>
      </c>
      <c r="I62" s="1" t="s">
        <v>22</v>
      </c>
      <c r="J62" s="1">
        <v>0.1</v>
      </c>
      <c r="K62" s="1">
        <v>13000</v>
      </c>
      <c r="L62" s="2">
        <v>45325</v>
      </c>
    </row>
    <row r="63" spans="1:12" x14ac:dyDescent="0.35">
      <c r="A63" s="1" t="s">
        <v>147</v>
      </c>
      <c r="B63" s="1" t="s">
        <v>148</v>
      </c>
      <c r="C63" s="1" t="s">
        <v>44</v>
      </c>
      <c r="D63" s="1" t="s">
        <v>45</v>
      </c>
      <c r="E63" s="1" t="s">
        <v>46</v>
      </c>
      <c r="F63" s="1" t="s">
        <v>17</v>
      </c>
      <c r="G63" s="1" t="s">
        <v>18</v>
      </c>
      <c r="H63" s="1">
        <v>14886</v>
      </c>
      <c r="I63" s="1" t="s">
        <v>33</v>
      </c>
      <c r="J63" s="1">
        <v>0.3</v>
      </c>
      <c r="K63" s="1">
        <v>13000</v>
      </c>
      <c r="L63" s="2">
        <v>45331</v>
      </c>
    </row>
    <row r="64" spans="1:12" x14ac:dyDescent="0.35">
      <c r="A64" s="1" t="s">
        <v>149</v>
      </c>
      <c r="B64" s="1" t="s">
        <v>150</v>
      </c>
      <c r="C64" s="1" t="s">
        <v>14</v>
      </c>
      <c r="D64" s="1" t="s">
        <v>15</v>
      </c>
      <c r="E64" s="1" t="s">
        <v>16</v>
      </c>
      <c r="F64" s="1" t="s">
        <v>17</v>
      </c>
      <c r="G64" s="1" t="s">
        <v>26</v>
      </c>
      <c r="H64" s="1">
        <v>13266</v>
      </c>
      <c r="I64" s="1"/>
      <c r="J64" s="1"/>
      <c r="K64" s="1">
        <v>14000</v>
      </c>
      <c r="L64" s="2">
        <v>45312</v>
      </c>
    </row>
    <row r="65" spans="1:12" x14ac:dyDescent="0.35">
      <c r="A65" s="1" t="s">
        <v>151</v>
      </c>
      <c r="B65" s="1" t="s">
        <v>101</v>
      </c>
      <c r="C65" s="1" t="s">
        <v>30</v>
      </c>
      <c r="D65" s="1" t="s">
        <v>31</v>
      </c>
      <c r="E65" s="1" t="s">
        <v>16</v>
      </c>
      <c r="F65" s="1" t="s">
        <v>25</v>
      </c>
      <c r="G65" s="1" t="s">
        <v>18</v>
      </c>
      <c r="H65" s="1">
        <v>16722</v>
      </c>
      <c r="I65" s="1"/>
      <c r="J65" s="1"/>
      <c r="K65" s="1">
        <v>17000</v>
      </c>
      <c r="L65" s="2">
        <v>45335</v>
      </c>
    </row>
    <row r="66" spans="1:12" x14ac:dyDescent="0.35">
      <c r="A66" s="1" t="s">
        <v>152</v>
      </c>
      <c r="B66" s="1" t="s">
        <v>153</v>
      </c>
      <c r="C66" s="1" t="s">
        <v>30</v>
      </c>
      <c r="D66" s="1" t="s">
        <v>31</v>
      </c>
      <c r="E66" s="1" t="s">
        <v>46</v>
      </c>
      <c r="F66" s="1" t="s">
        <v>39</v>
      </c>
      <c r="G66" s="1" t="s">
        <v>18</v>
      </c>
      <c r="H66" s="1">
        <v>16244</v>
      </c>
      <c r="I66" s="1" t="s">
        <v>33</v>
      </c>
      <c r="J66" s="1">
        <v>0.3</v>
      </c>
      <c r="K66" s="1">
        <v>17000</v>
      </c>
      <c r="L66" s="2">
        <v>45305</v>
      </c>
    </row>
    <row r="67" spans="1:12" x14ac:dyDescent="0.35">
      <c r="A67" s="1" t="s">
        <v>154</v>
      </c>
      <c r="B67" s="1" t="s">
        <v>155</v>
      </c>
      <c r="C67" s="1" t="s">
        <v>30</v>
      </c>
      <c r="D67" s="1" t="s">
        <v>31</v>
      </c>
      <c r="E67" s="1" t="s">
        <v>46</v>
      </c>
      <c r="F67" s="1" t="s">
        <v>17</v>
      </c>
      <c r="G67" s="1" t="s">
        <v>36</v>
      </c>
      <c r="H67" s="1">
        <v>17767</v>
      </c>
      <c r="I67" s="1" t="s">
        <v>19</v>
      </c>
      <c r="J67" s="1">
        <v>0.2</v>
      </c>
      <c r="K67" s="1">
        <v>17000</v>
      </c>
      <c r="L67" s="2">
        <v>45324</v>
      </c>
    </row>
    <row r="68" spans="1:12" x14ac:dyDescent="0.35">
      <c r="A68" s="1" t="s">
        <v>156</v>
      </c>
      <c r="B68" s="1" t="s">
        <v>157</v>
      </c>
      <c r="C68" s="1" t="s">
        <v>44</v>
      </c>
      <c r="D68" s="1" t="s">
        <v>45</v>
      </c>
      <c r="E68" s="1" t="s">
        <v>16</v>
      </c>
      <c r="F68" s="1" t="s">
        <v>25</v>
      </c>
      <c r="G68" s="1" t="s">
        <v>36</v>
      </c>
      <c r="H68" s="1">
        <v>13111</v>
      </c>
      <c r="I68" s="1" t="s">
        <v>27</v>
      </c>
      <c r="J68" s="1"/>
      <c r="K68" s="1">
        <v>13000</v>
      </c>
      <c r="L68" s="2">
        <v>45313</v>
      </c>
    </row>
    <row r="69" spans="1:12" x14ac:dyDescent="0.35">
      <c r="A69" s="1" t="s">
        <v>158</v>
      </c>
      <c r="B69" s="1" t="s">
        <v>159</v>
      </c>
      <c r="C69" s="1" t="s">
        <v>44</v>
      </c>
      <c r="D69" s="1" t="s">
        <v>45</v>
      </c>
      <c r="E69" s="1" t="s">
        <v>16</v>
      </c>
      <c r="F69" s="1" t="s">
        <v>17</v>
      </c>
      <c r="G69" s="1" t="s">
        <v>18</v>
      </c>
      <c r="H69" s="1">
        <v>14303</v>
      </c>
      <c r="I69" s="1" t="s">
        <v>19</v>
      </c>
      <c r="J69" s="1">
        <v>0.2</v>
      </c>
      <c r="K69" s="1">
        <v>13000</v>
      </c>
      <c r="L69" s="2">
        <v>45301</v>
      </c>
    </row>
    <row r="70" spans="1:12" x14ac:dyDescent="0.35">
      <c r="A70" s="1" t="s">
        <v>160</v>
      </c>
      <c r="B70" s="1" t="s">
        <v>161</v>
      </c>
      <c r="C70" s="1" t="s">
        <v>44</v>
      </c>
      <c r="D70" s="1" t="s">
        <v>45</v>
      </c>
      <c r="E70" s="1" t="s">
        <v>46</v>
      </c>
      <c r="F70" s="1" t="s">
        <v>39</v>
      </c>
      <c r="G70" s="1" t="s">
        <v>18</v>
      </c>
      <c r="H70" s="1">
        <v>12865</v>
      </c>
      <c r="I70" s="1"/>
      <c r="J70" s="1"/>
      <c r="K70" s="1">
        <v>13000</v>
      </c>
      <c r="L70" s="2">
        <v>45348</v>
      </c>
    </row>
    <row r="71" spans="1:12" x14ac:dyDescent="0.35">
      <c r="A71" s="1" t="s">
        <v>162</v>
      </c>
      <c r="B71" s="1" t="s">
        <v>163</v>
      </c>
      <c r="C71" s="1" t="s">
        <v>44</v>
      </c>
      <c r="D71" s="1" t="s">
        <v>45</v>
      </c>
      <c r="E71" s="1" t="s">
        <v>16</v>
      </c>
      <c r="F71" s="1" t="s">
        <v>39</v>
      </c>
      <c r="G71" s="1" t="s">
        <v>36</v>
      </c>
      <c r="H71" s="1">
        <v>13024</v>
      </c>
      <c r="I71" s="1"/>
      <c r="J71" s="1"/>
      <c r="K71" s="1">
        <v>13000</v>
      </c>
      <c r="L71" s="2">
        <v>45307</v>
      </c>
    </row>
    <row r="72" spans="1:12" x14ac:dyDescent="0.35">
      <c r="A72" s="1" t="s">
        <v>164</v>
      </c>
      <c r="B72" s="1" t="s">
        <v>113</v>
      </c>
      <c r="C72" s="1" t="s">
        <v>14</v>
      </c>
      <c r="D72" s="1" t="s">
        <v>15</v>
      </c>
      <c r="E72" s="1" t="s">
        <v>32</v>
      </c>
      <c r="F72" s="1" t="s">
        <v>17</v>
      </c>
      <c r="G72" s="1" t="s">
        <v>18</v>
      </c>
      <c r="H72" s="1">
        <v>12720</v>
      </c>
      <c r="I72" s="1" t="s">
        <v>27</v>
      </c>
      <c r="J72" s="1"/>
      <c r="K72" s="1">
        <v>14000</v>
      </c>
      <c r="L72" s="2">
        <v>45321</v>
      </c>
    </row>
    <row r="73" spans="1:12" x14ac:dyDescent="0.35">
      <c r="A73" s="1" t="s">
        <v>165</v>
      </c>
      <c r="B73" s="1" t="s">
        <v>166</v>
      </c>
      <c r="C73" s="1" t="s">
        <v>44</v>
      </c>
      <c r="D73" s="1" t="s">
        <v>45</v>
      </c>
      <c r="E73" s="1" t="s">
        <v>32</v>
      </c>
      <c r="F73" s="1" t="s">
        <v>17</v>
      </c>
      <c r="G73" s="1" t="s">
        <v>18</v>
      </c>
      <c r="H73" s="1">
        <v>14282</v>
      </c>
      <c r="I73" s="1"/>
      <c r="J73" s="1"/>
      <c r="K73" s="1">
        <v>13000</v>
      </c>
      <c r="L73" s="2">
        <v>45334</v>
      </c>
    </row>
    <row r="74" spans="1:12" x14ac:dyDescent="0.35">
      <c r="A74" s="1" t="s">
        <v>167</v>
      </c>
      <c r="B74" s="1" t="s">
        <v>168</v>
      </c>
      <c r="C74" s="1" t="s">
        <v>30</v>
      </c>
      <c r="D74" s="1" t="s">
        <v>31</v>
      </c>
      <c r="E74" s="1" t="s">
        <v>46</v>
      </c>
      <c r="F74" s="1" t="s">
        <v>39</v>
      </c>
      <c r="G74" s="1" t="s">
        <v>26</v>
      </c>
      <c r="H74" s="1">
        <v>18653</v>
      </c>
      <c r="I74" s="1" t="s">
        <v>27</v>
      </c>
      <c r="J74" s="1"/>
      <c r="K74" s="1">
        <v>17000</v>
      </c>
      <c r="L74" s="2">
        <v>45319</v>
      </c>
    </row>
    <row r="75" spans="1:12" x14ac:dyDescent="0.35">
      <c r="A75" s="1" t="s">
        <v>169</v>
      </c>
      <c r="B75" s="1" t="s">
        <v>144</v>
      </c>
      <c r="C75" s="1" t="s">
        <v>61</v>
      </c>
      <c r="D75" s="1" t="s">
        <v>62</v>
      </c>
      <c r="E75" s="1" t="s">
        <v>32</v>
      </c>
      <c r="F75" s="1" t="s">
        <v>39</v>
      </c>
      <c r="G75" s="1" t="s">
        <v>36</v>
      </c>
      <c r="H75" s="1">
        <v>8843</v>
      </c>
      <c r="I75" s="1" t="s">
        <v>33</v>
      </c>
      <c r="J75" s="1">
        <v>0.3</v>
      </c>
      <c r="K75" s="1">
        <v>9000</v>
      </c>
      <c r="L75" s="2">
        <v>45340</v>
      </c>
    </row>
    <row r="76" spans="1:12" x14ac:dyDescent="0.35">
      <c r="A76" s="1" t="s">
        <v>170</v>
      </c>
      <c r="B76" s="1" t="s">
        <v>171</v>
      </c>
      <c r="C76" s="1" t="s">
        <v>30</v>
      </c>
      <c r="D76" s="1" t="s">
        <v>31</v>
      </c>
      <c r="E76" s="1" t="s">
        <v>16</v>
      </c>
      <c r="F76" s="1" t="s">
        <v>17</v>
      </c>
      <c r="G76" s="1" t="s">
        <v>26</v>
      </c>
      <c r="H76" s="1">
        <v>15979</v>
      </c>
      <c r="I76" s="1" t="s">
        <v>33</v>
      </c>
      <c r="J76" s="1">
        <v>0.3</v>
      </c>
      <c r="K76" s="1">
        <v>17000</v>
      </c>
      <c r="L76" s="2">
        <v>45320</v>
      </c>
    </row>
    <row r="77" spans="1:12" x14ac:dyDescent="0.35">
      <c r="A77" s="1" t="s">
        <v>172</v>
      </c>
      <c r="B77" s="1" t="s">
        <v>173</v>
      </c>
      <c r="C77" s="1" t="s">
        <v>30</v>
      </c>
      <c r="D77" s="1" t="s">
        <v>31</v>
      </c>
      <c r="E77" s="1" t="s">
        <v>32</v>
      </c>
      <c r="F77" s="1" t="s">
        <v>17</v>
      </c>
      <c r="G77" s="1" t="s">
        <v>36</v>
      </c>
      <c r="H77" s="1">
        <v>16309</v>
      </c>
      <c r="I77" s="1" t="s">
        <v>27</v>
      </c>
      <c r="J77" s="1"/>
      <c r="K77" s="1">
        <v>17000</v>
      </c>
      <c r="L77" s="2">
        <v>45297</v>
      </c>
    </row>
    <row r="78" spans="1:12" x14ac:dyDescent="0.35">
      <c r="A78" s="1" t="s">
        <v>174</v>
      </c>
      <c r="B78" s="1" t="s">
        <v>175</v>
      </c>
      <c r="C78" s="1" t="s">
        <v>44</v>
      </c>
      <c r="D78" s="1" t="s">
        <v>45</v>
      </c>
      <c r="E78" s="1" t="s">
        <v>46</v>
      </c>
      <c r="F78" s="1" t="s">
        <v>39</v>
      </c>
      <c r="G78" s="1" t="s">
        <v>18</v>
      </c>
      <c r="H78" s="1">
        <v>13893</v>
      </c>
      <c r="I78" s="1" t="s">
        <v>19</v>
      </c>
      <c r="J78" s="1">
        <v>0.2</v>
      </c>
      <c r="K78" s="1">
        <v>13000</v>
      </c>
      <c r="L78" s="2">
        <v>45296</v>
      </c>
    </row>
    <row r="79" spans="1:12" x14ac:dyDescent="0.35">
      <c r="A79" s="1" t="s">
        <v>176</v>
      </c>
      <c r="B79" s="1" t="s">
        <v>177</v>
      </c>
      <c r="C79" s="1" t="s">
        <v>30</v>
      </c>
      <c r="D79" s="1" t="s">
        <v>31</v>
      </c>
      <c r="E79" s="1" t="s">
        <v>16</v>
      </c>
      <c r="F79" s="1" t="s">
        <v>17</v>
      </c>
      <c r="G79" s="1" t="s">
        <v>36</v>
      </c>
      <c r="H79" s="1">
        <v>15255</v>
      </c>
      <c r="I79" s="1" t="s">
        <v>19</v>
      </c>
      <c r="J79" s="1">
        <v>0.2</v>
      </c>
      <c r="K79" s="1">
        <v>17000</v>
      </c>
      <c r="L79" s="2">
        <v>45345</v>
      </c>
    </row>
    <row r="80" spans="1:12" x14ac:dyDescent="0.35">
      <c r="A80" s="1" t="s">
        <v>178</v>
      </c>
      <c r="B80" s="1" t="s">
        <v>177</v>
      </c>
      <c r="C80" s="1" t="s">
        <v>14</v>
      </c>
      <c r="D80" s="1" t="s">
        <v>15</v>
      </c>
      <c r="E80" s="1" t="s">
        <v>16</v>
      </c>
      <c r="F80" s="1" t="s">
        <v>17</v>
      </c>
      <c r="G80" s="1" t="s">
        <v>36</v>
      </c>
      <c r="H80" s="1">
        <v>12024</v>
      </c>
      <c r="I80" s="1" t="s">
        <v>33</v>
      </c>
      <c r="J80" s="1">
        <v>0.3</v>
      </c>
      <c r="K80" s="1">
        <v>14000</v>
      </c>
      <c r="L80" s="2">
        <v>45311</v>
      </c>
    </row>
    <row r="81" spans="1:12" x14ac:dyDescent="0.35">
      <c r="A81" s="1" t="s">
        <v>179</v>
      </c>
      <c r="B81" s="1" t="s">
        <v>180</v>
      </c>
      <c r="C81" s="1" t="s">
        <v>61</v>
      </c>
      <c r="D81" s="1" t="s">
        <v>62</v>
      </c>
      <c r="E81" s="1" t="s">
        <v>16</v>
      </c>
      <c r="F81" s="1" t="s">
        <v>39</v>
      </c>
      <c r="G81" s="1" t="s">
        <v>26</v>
      </c>
      <c r="H81" s="1">
        <v>9236</v>
      </c>
      <c r="I81" s="1" t="s">
        <v>27</v>
      </c>
      <c r="J81" s="1"/>
      <c r="K81" s="1">
        <v>9000</v>
      </c>
      <c r="L81" s="2">
        <v>45349</v>
      </c>
    </row>
    <row r="82" spans="1:12" x14ac:dyDescent="0.35">
      <c r="A82" s="1" t="s">
        <v>181</v>
      </c>
      <c r="B82" s="1" t="s">
        <v>29</v>
      </c>
      <c r="C82" s="1" t="s">
        <v>44</v>
      </c>
      <c r="D82" s="1" t="s">
        <v>45</v>
      </c>
      <c r="E82" s="1" t="s">
        <v>46</v>
      </c>
      <c r="F82" s="1" t="s">
        <v>17</v>
      </c>
      <c r="G82" s="1" t="s">
        <v>36</v>
      </c>
      <c r="H82" s="1">
        <v>11118</v>
      </c>
      <c r="I82" s="1"/>
      <c r="J82" s="1"/>
      <c r="K82" s="1">
        <v>13000</v>
      </c>
      <c r="L82" s="2">
        <v>45313</v>
      </c>
    </row>
    <row r="83" spans="1:12" x14ac:dyDescent="0.35">
      <c r="A83" s="1" t="s">
        <v>182</v>
      </c>
      <c r="B83" s="1" t="s">
        <v>92</v>
      </c>
      <c r="C83" s="1" t="s">
        <v>61</v>
      </c>
      <c r="D83" s="1" t="s">
        <v>62</v>
      </c>
      <c r="E83" s="1" t="s">
        <v>16</v>
      </c>
      <c r="F83" s="1" t="s">
        <v>25</v>
      </c>
      <c r="G83" s="1" t="s">
        <v>36</v>
      </c>
      <c r="H83" s="1">
        <v>10766</v>
      </c>
      <c r="I83" s="1" t="s">
        <v>19</v>
      </c>
      <c r="J83" s="1">
        <v>0.2</v>
      </c>
      <c r="K83" s="1">
        <v>9000</v>
      </c>
      <c r="L83" s="2">
        <v>45331</v>
      </c>
    </row>
    <row r="84" spans="1:12" x14ac:dyDescent="0.35">
      <c r="A84" s="1" t="s">
        <v>183</v>
      </c>
      <c r="B84" s="1" t="s">
        <v>184</v>
      </c>
      <c r="C84" s="1" t="s">
        <v>61</v>
      </c>
      <c r="D84" s="1" t="s">
        <v>62</v>
      </c>
      <c r="E84" s="1" t="s">
        <v>16</v>
      </c>
      <c r="F84" s="1" t="s">
        <v>39</v>
      </c>
      <c r="G84" s="1" t="s">
        <v>26</v>
      </c>
      <c r="H84" s="1">
        <v>7111</v>
      </c>
      <c r="I84" s="1" t="s">
        <v>22</v>
      </c>
      <c r="J84" s="1">
        <v>0.1</v>
      </c>
      <c r="K84" s="1">
        <v>9000</v>
      </c>
      <c r="L84" s="2">
        <v>45333</v>
      </c>
    </row>
    <row r="85" spans="1:12" x14ac:dyDescent="0.35">
      <c r="A85" s="1" t="s">
        <v>185</v>
      </c>
      <c r="B85" s="1" t="s">
        <v>186</v>
      </c>
      <c r="C85" s="1" t="s">
        <v>61</v>
      </c>
      <c r="D85" s="1" t="s">
        <v>62</v>
      </c>
      <c r="E85" s="1" t="s">
        <v>32</v>
      </c>
      <c r="F85" s="1" t="s">
        <v>25</v>
      </c>
      <c r="G85" s="1" t="s">
        <v>36</v>
      </c>
      <c r="H85" s="1">
        <v>8552</v>
      </c>
      <c r="I85" s="1" t="s">
        <v>33</v>
      </c>
      <c r="J85" s="1">
        <v>0.3</v>
      </c>
      <c r="K85" s="1">
        <v>9000</v>
      </c>
      <c r="L85" s="2">
        <v>45305</v>
      </c>
    </row>
    <row r="86" spans="1:12" x14ac:dyDescent="0.35">
      <c r="A86" s="1" t="s">
        <v>187</v>
      </c>
      <c r="B86" s="1" t="s">
        <v>188</v>
      </c>
      <c r="C86" s="1" t="s">
        <v>30</v>
      </c>
      <c r="D86" s="1" t="s">
        <v>31</v>
      </c>
      <c r="E86" s="1" t="s">
        <v>46</v>
      </c>
      <c r="F86" s="1" t="s">
        <v>17</v>
      </c>
      <c r="G86" s="1" t="s">
        <v>36</v>
      </c>
      <c r="H86" s="1">
        <v>16033</v>
      </c>
      <c r="I86" s="1" t="s">
        <v>22</v>
      </c>
      <c r="J86" s="1">
        <v>0.1</v>
      </c>
      <c r="K86" s="1">
        <v>17000</v>
      </c>
      <c r="L86" s="2">
        <v>45322</v>
      </c>
    </row>
    <row r="87" spans="1:12" x14ac:dyDescent="0.35">
      <c r="A87" s="1" t="s">
        <v>189</v>
      </c>
      <c r="B87" s="1" t="s">
        <v>190</v>
      </c>
      <c r="C87" s="1" t="s">
        <v>14</v>
      </c>
      <c r="D87" s="1" t="s">
        <v>15</v>
      </c>
      <c r="E87" s="1" t="s">
        <v>46</v>
      </c>
      <c r="F87" s="1" t="s">
        <v>25</v>
      </c>
      <c r="G87" s="1" t="s">
        <v>26</v>
      </c>
      <c r="H87" s="1">
        <v>12281</v>
      </c>
      <c r="I87" s="1" t="s">
        <v>22</v>
      </c>
      <c r="J87" s="1">
        <v>0.1</v>
      </c>
      <c r="K87" s="1">
        <v>14000</v>
      </c>
      <c r="L87" s="2">
        <v>45340</v>
      </c>
    </row>
    <row r="88" spans="1:12" x14ac:dyDescent="0.35">
      <c r="A88" s="1" t="s">
        <v>191</v>
      </c>
      <c r="B88" s="1" t="s">
        <v>192</v>
      </c>
      <c r="C88" s="1" t="s">
        <v>44</v>
      </c>
      <c r="D88" s="1" t="s">
        <v>45</v>
      </c>
      <c r="E88" s="1" t="s">
        <v>32</v>
      </c>
      <c r="F88" s="1" t="s">
        <v>39</v>
      </c>
      <c r="G88" s="1" t="s">
        <v>18</v>
      </c>
      <c r="H88" s="1">
        <v>11977</v>
      </c>
      <c r="I88" s="1" t="s">
        <v>19</v>
      </c>
      <c r="J88" s="1">
        <v>0.2</v>
      </c>
      <c r="K88" s="1">
        <v>13000</v>
      </c>
      <c r="L88" s="2">
        <v>45322</v>
      </c>
    </row>
    <row r="89" spans="1:12" x14ac:dyDescent="0.35">
      <c r="A89" s="1" t="s">
        <v>193</v>
      </c>
      <c r="B89" s="1" t="s">
        <v>13</v>
      </c>
      <c r="C89" s="1" t="s">
        <v>44</v>
      </c>
      <c r="D89" s="1" t="s">
        <v>45</v>
      </c>
      <c r="E89" s="1" t="s">
        <v>46</v>
      </c>
      <c r="F89" s="1" t="s">
        <v>39</v>
      </c>
      <c r="G89" s="1" t="s">
        <v>36</v>
      </c>
      <c r="H89" s="1">
        <v>14141</v>
      </c>
      <c r="I89" s="1" t="s">
        <v>33</v>
      </c>
      <c r="J89" s="1">
        <v>0.3</v>
      </c>
      <c r="K89" s="1">
        <v>13000</v>
      </c>
      <c r="L89" s="2">
        <v>45302</v>
      </c>
    </row>
    <row r="90" spans="1:12" x14ac:dyDescent="0.35">
      <c r="A90" s="1" t="s">
        <v>194</v>
      </c>
      <c r="B90" s="1" t="s">
        <v>195</v>
      </c>
      <c r="C90" s="1" t="s">
        <v>14</v>
      </c>
      <c r="D90" s="1" t="s">
        <v>15</v>
      </c>
      <c r="E90" s="1" t="s">
        <v>32</v>
      </c>
      <c r="F90" s="1" t="s">
        <v>17</v>
      </c>
      <c r="G90" s="1" t="s">
        <v>18</v>
      </c>
      <c r="H90" s="1">
        <v>14370</v>
      </c>
      <c r="I90" s="1" t="s">
        <v>22</v>
      </c>
      <c r="J90" s="1">
        <v>0.1</v>
      </c>
      <c r="K90" s="1">
        <v>14000</v>
      </c>
      <c r="L90" s="2">
        <v>45351</v>
      </c>
    </row>
    <row r="91" spans="1:12" x14ac:dyDescent="0.35">
      <c r="A91" s="1" t="s">
        <v>196</v>
      </c>
      <c r="B91" s="1" t="s">
        <v>118</v>
      </c>
      <c r="C91" s="1" t="s">
        <v>61</v>
      </c>
      <c r="D91" s="1" t="s">
        <v>62</v>
      </c>
      <c r="E91" s="1" t="s">
        <v>46</v>
      </c>
      <c r="F91" s="1" t="s">
        <v>39</v>
      </c>
      <c r="G91" s="1" t="s">
        <v>18</v>
      </c>
      <c r="H91" s="1">
        <v>7311</v>
      </c>
      <c r="I91" s="1" t="s">
        <v>27</v>
      </c>
      <c r="J91" s="1"/>
      <c r="K91" s="1">
        <v>9000</v>
      </c>
      <c r="L91" s="2">
        <v>45336</v>
      </c>
    </row>
    <row r="92" spans="1:12" x14ac:dyDescent="0.35">
      <c r="A92" s="1" t="s">
        <v>197</v>
      </c>
      <c r="B92" s="1" t="s">
        <v>198</v>
      </c>
      <c r="C92" s="1" t="s">
        <v>44</v>
      </c>
      <c r="D92" s="1" t="s">
        <v>45</v>
      </c>
      <c r="E92" s="1" t="s">
        <v>32</v>
      </c>
      <c r="F92" s="1" t="s">
        <v>39</v>
      </c>
      <c r="G92" s="1" t="s">
        <v>36</v>
      </c>
      <c r="H92" s="1">
        <v>14482</v>
      </c>
      <c r="I92" s="1" t="s">
        <v>27</v>
      </c>
      <c r="J92" s="1"/>
      <c r="K92" s="1">
        <v>13000</v>
      </c>
      <c r="L92" s="2">
        <v>45343</v>
      </c>
    </row>
    <row r="93" spans="1:12" x14ac:dyDescent="0.35">
      <c r="A93" s="1" t="s">
        <v>199</v>
      </c>
      <c r="B93" s="1" t="s">
        <v>200</v>
      </c>
      <c r="C93" s="1" t="s">
        <v>14</v>
      </c>
      <c r="D93" s="1" t="s">
        <v>15</v>
      </c>
      <c r="E93" s="1" t="s">
        <v>46</v>
      </c>
      <c r="F93" s="1" t="s">
        <v>39</v>
      </c>
      <c r="G93" s="1" t="s">
        <v>36</v>
      </c>
      <c r="H93" s="1">
        <v>14709</v>
      </c>
      <c r="I93" s="1" t="s">
        <v>33</v>
      </c>
      <c r="J93" s="1">
        <v>0.3</v>
      </c>
      <c r="K93" s="1">
        <v>14000</v>
      </c>
      <c r="L93" s="2">
        <v>45296</v>
      </c>
    </row>
    <row r="94" spans="1:12" x14ac:dyDescent="0.35">
      <c r="A94" s="1" t="s">
        <v>201</v>
      </c>
      <c r="B94" s="1" t="s">
        <v>202</v>
      </c>
      <c r="C94" s="1" t="s">
        <v>30</v>
      </c>
      <c r="D94" s="1" t="s">
        <v>31</v>
      </c>
      <c r="E94" s="1" t="s">
        <v>32</v>
      </c>
      <c r="F94" s="1" t="s">
        <v>17</v>
      </c>
      <c r="G94" s="1" t="s">
        <v>36</v>
      </c>
      <c r="H94" s="1">
        <v>15432</v>
      </c>
      <c r="I94" s="1"/>
      <c r="J94" s="1"/>
      <c r="K94" s="1">
        <v>17000</v>
      </c>
      <c r="L94" s="2">
        <v>45315</v>
      </c>
    </row>
    <row r="95" spans="1:12" x14ac:dyDescent="0.35">
      <c r="A95" s="1" t="s">
        <v>203</v>
      </c>
      <c r="B95" s="1" t="s">
        <v>204</v>
      </c>
      <c r="C95" s="1" t="s">
        <v>61</v>
      </c>
      <c r="D95" s="1" t="s">
        <v>62</v>
      </c>
      <c r="E95" s="1" t="s">
        <v>16</v>
      </c>
      <c r="F95" s="1" t="s">
        <v>25</v>
      </c>
      <c r="G95" s="1" t="s">
        <v>36</v>
      </c>
      <c r="H95" s="1">
        <v>7721</v>
      </c>
      <c r="I95" s="1" t="s">
        <v>27</v>
      </c>
      <c r="J95" s="1"/>
      <c r="K95" s="1">
        <v>9000</v>
      </c>
      <c r="L95" s="2">
        <v>45333</v>
      </c>
    </row>
    <row r="96" spans="1:12" x14ac:dyDescent="0.35">
      <c r="A96" s="1" t="s">
        <v>205</v>
      </c>
      <c r="B96" s="1" t="s">
        <v>118</v>
      </c>
      <c r="C96" s="1" t="s">
        <v>61</v>
      </c>
      <c r="D96" s="1" t="s">
        <v>62</v>
      </c>
      <c r="E96" s="1" t="s">
        <v>46</v>
      </c>
      <c r="F96" s="1" t="s">
        <v>17</v>
      </c>
      <c r="G96" s="1" t="s">
        <v>26</v>
      </c>
      <c r="H96" s="1">
        <v>9426</v>
      </c>
      <c r="I96" s="1" t="s">
        <v>33</v>
      </c>
      <c r="J96" s="1">
        <v>0.3</v>
      </c>
      <c r="K96" s="1">
        <v>9000</v>
      </c>
      <c r="L96" s="2">
        <v>45312</v>
      </c>
    </row>
    <row r="97" spans="1:12" x14ac:dyDescent="0.35">
      <c r="A97" s="1" t="s">
        <v>206</v>
      </c>
      <c r="B97" s="1" t="s">
        <v>207</v>
      </c>
      <c r="C97" s="1" t="s">
        <v>14</v>
      </c>
      <c r="D97" s="1" t="s">
        <v>15</v>
      </c>
      <c r="E97" s="1" t="s">
        <v>46</v>
      </c>
      <c r="F97" s="1" t="s">
        <v>17</v>
      </c>
      <c r="G97" s="1" t="s">
        <v>18</v>
      </c>
      <c r="H97" s="1">
        <v>15073</v>
      </c>
      <c r="I97" s="1"/>
      <c r="J97" s="1"/>
      <c r="K97" s="1">
        <v>14000</v>
      </c>
      <c r="L97" s="2">
        <v>45328</v>
      </c>
    </row>
    <row r="98" spans="1:12" x14ac:dyDescent="0.35">
      <c r="A98" s="1" t="s">
        <v>208</v>
      </c>
      <c r="B98" s="1" t="s">
        <v>209</v>
      </c>
      <c r="C98" s="1" t="s">
        <v>61</v>
      </c>
      <c r="D98" s="1" t="s">
        <v>62</v>
      </c>
      <c r="E98" s="1" t="s">
        <v>46</v>
      </c>
      <c r="F98" s="1" t="s">
        <v>25</v>
      </c>
      <c r="G98" s="1" t="s">
        <v>36</v>
      </c>
      <c r="H98" s="1">
        <v>10485</v>
      </c>
      <c r="I98" s="1" t="s">
        <v>33</v>
      </c>
      <c r="J98" s="1">
        <v>0.3</v>
      </c>
      <c r="K98" s="1">
        <v>9000</v>
      </c>
      <c r="L98" s="2">
        <v>45303</v>
      </c>
    </row>
    <row r="99" spans="1:12" x14ac:dyDescent="0.35">
      <c r="A99" s="1" t="s">
        <v>210</v>
      </c>
      <c r="B99" s="1" t="s">
        <v>211</v>
      </c>
      <c r="C99" s="1" t="s">
        <v>30</v>
      </c>
      <c r="D99" s="1" t="s">
        <v>31</v>
      </c>
      <c r="E99" s="1" t="s">
        <v>46</v>
      </c>
      <c r="F99" s="1" t="s">
        <v>17</v>
      </c>
      <c r="G99" s="1" t="s">
        <v>36</v>
      </c>
      <c r="H99" s="1">
        <v>18605</v>
      </c>
      <c r="I99" s="1" t="s">
        <v>27</v>
      </c>
      <c r="J99" s="1"/>
      <c r="K99" s="1">
        <v>17000</v>
      </c>
      <c r="L99" s="2">
        <v>45336</v>
      </c>
    </row>
    <row r="100" spans="1:12" x14ac:dyDescent="0.35">
      <c r="A100" s="1" t="s">
        <v>212</v>
      </c>
      <c r="B100" s="1" t="s">
        <v>111</v>
      </c>
      <c r="C100" s="1" t="s">
        <v>14</v>
      </c>
      <c r="D100" s="1" t="s">
        <v>15</v>
      </c>
      <c r="E100" s="1" t="s">
        <v>16</v>
      </c>
      <c r="F100" s="1" t="s">
        <v>25</v>
      </c>
      <c r="G100" s="1" t="s">
        <v>18</v>
      </c>
      <c r="H100" s="1">
        <v>12988</v>
      </c>
      <c r="I100" s="1"/>
      <c r="J100" s="1"/>
      <c r="K100" s="1">
        <v>14000</v>
      </c>
      <c r="L100" s="2">
        <v>45323</v>
      </c>
    </row>
    <row r="101" spans="1:12" x14ac:dyDescent="0.35">
      <c r="A101" s="1" t="s">
        <v>213</v>
      </c>
      <c r="B101" s="1" t="s">
        <v>82</v>
      </c>
      <c r="C101" s="1" t="s">
        <v>44</v>
      </c>
      <c r="D101" s="1" t="s">
        <v>45</v>
      </c>
      <c r="E101" s="1" t="s">
        <v>16</v>
      </c>
      <c r="F101" s="1" t="s">
        <v>17</v>
      </c>
      <c r="G101" s="1" t="s">
        <v>26</v>
      </c>
      <c r="H101" s="1">
        <v>13915</v>
      </c>
      <c r="I101" s="1"/>
      <c r="J101" s="1"/>
      <c r="K101" s="1">
        <v>13000</v>
      </c>
      <c r="L101" s="2">
        <v>45320</v>
      </c>
    </row>
    <row r="102" spans="1:12" x14ac:dyDescent="0.35">
      <c r="A102" s="1" t="s">
        <v>214</v>
      </c>
      <c r="B102" s="1" t="s">
        <v>64</v>
      </c>
      <c r="C102" s="1" t="s">
        <v>14</v>
      </c>
      <c r="D102" s="1" t="s">
        <v>15</v>
      </c>
      <c r="E102" s="1" t="s">
        <v>46</v>
      </c>
      <c r="F102" s="1" t="s">
        <v>25</v>
      </c>
      <c r="G102" s="1" t="s">
        <v>36</v>
      </c>
      <c r="H102" s="1">
        <v>14833</v>
      </c>
      <c r="I102" s="1" t="s">
        <v>19</v>
      </c>
      <c r="J102" s="1">
        <v>0.2</v>
      </c>
      <c r="K102" s="1">
        <v>14000</v>
      </c>
      <c r="L102" s="2">
        <v>45311</v>
      </c>
    </row>
    <row r="103" spans="1:12" x14ac:dyDescent="0.35">
      <c r="A103" s="1" t="s">
        <v>215</v>
      </c>
      <c r="B103" s="1" t="s">
        <v>163</v>
      </c>
      <c r="C103" s="1" t="s">
        <v>30</v>
      </c>
      <c r="D103" s="1" t="s">
        <v>31</v>
      </c>
      <c r="E103" s="1" t="s">
        <v>46</v>
      </c>
      <c r="F103" s="1" t="s">
        <v>39</v>
      </c>
      <c r="G103" s="1" t="s">
        <v>26</v>
      </c>
      <c r="H103" s="1">
        <v>16408</v>
      </c>
      <c r="I103" s="1"/>
      <c r="J103" s="1"/>
      <c r="K103" s="1">
        <v>17000</v>
      </c>
      <c r="L103" s="2">
        <v>45339</v>
      </c>
    </row>
    <row r="104" spans="1:12" x14ac:dyDescent="0.35">
      <c r="A104" s="1" t="s">
        <v>216</v>
      </c>
      <c r="B104" s="1" t="s">
        <v>217</v>
      </c>
      <c r="C104" s="1" t="s">
        <v>30</v>
      </c>
      <c r="D104" s="1" t="s">
        <v>31</v>
      </c>
      <c r="E104" s="1" t="s">
        <v>16</v>
      </c>
      <c r="F104" s="1" t="s">
        <v>17</v>
      </c>
      <c r="G104" s="1" t="s">
        <v>36</v>
      </c>
      <c r="H104" s="1">
        <v>16255</v>
      </c>
      <c r="I104" s="1" t="s">
        <v>33</v>
      </c>
      <c r="J104" s="1">
        <v>0.3</v>
      </c>
      <c r="K104" s="1">
        <v>17000</v>
      </c>
      <c r="L104" s="2">
        <v>45306</v>
      </c>
    </row>
    <row r="105" spans="1:12" x14ac:dyDescent="0.35">
      <c r="A105" s="1" t="s">
        <v>218</v>
      </c>
      <c r="B105" s="1" t="s">
        <v>173</v>
      </c>
      <c r="C105" s="1" t="s">
        <v>44</v>
      </c>
      <c r="D105" s="1" t="s">
        <v>45</v>
      </c>
      <c r="E105" s="1" t="s">
        <v>46</v>
      </c>
      <c r="F105" s="1" t="s">
        <v>25</v>
      </c>
      <c r="G105" s="1" t="s">
        <v>26</v>
      </c>
      <c r="H105" s="1">
        <v>13194</v>
      </c>
      <c r="I105" s="1" t="s">
        <v>19</v>
      </c>
      <c r="J105" s="1">
        <v>0.2</v>
      </c>
      <c r="K105" s="1">
        <v>13000</v>
      </c>
      <c r="L105" s="2">
        <v>45304</v>
      </c>
    </row>
    <row r="106" spans="1:12" x14ac:dyDescent="0.35">
      <c r="A106" s="1" t="s">
        <v>219</v>
      </c>
      <c r="B106" s="1" t="s">
        <v>220</v>
      </c>
      <c r="C106" s="1" t="s">
        <v>61</v>
      </c>
      <c r="D106" s="1" t="s">
        <v>62</v>
      </c>
      <c r="E106" s="1" t="s">
        <v>46</v>
      </c>
      <c r="F106" s="1" t="s">
        <v>39</v>
      </c>
      <c r="G106" s="1" t="s">
        <v>26</v>
      </c>
      <c r="H106" s="1">
        <v>11000</v>
      </c>
      <c r="I106" s="1" t="s">
        <v>27</v>
      </c>
      <c r="J106" s="1"/>
      <c r="K106" s="1">
        <v>9000</v>
      </c>
      <c r="L106" s="2">
        <v>45330</v>
      </c>
    </row>
    <row r="107" spans="1:12" x14ac:dyDescent="0.35">
      <c r="A107" s="1" t="s">
        <v>221</v>
      </c>
      <c r="B107" s="1" t="s">
        <v>222</v>
      </c>
      <c r="C107" s="1" t="s">
        <v>44</v>
      </c>
      <c r="D107" s="1" t="s">
        <v>45</v>
      </c>
      <c r="E107" s="1" t="s">
        <v>46</v>
      </c>
      <c r="F107" s="1" t="s">
        <v>25</v>
      </c>
      <c r="G107" s="1" t="s">
        <v>36</v>
      </c>
      <c r="H107" s="1">
        <v>11734</v>
      </c>
      <c r="I107" s="1" t="s">
        <v>33</v>
      </c>
      <c r="J107" s="1">
        <v>0.3</v>
      </c>
      <c r="K107" s="1">
        <v>13000</v>
      </c>
      <c r="L107" s="2">
        <v>45292</v>
      </c>
    </row>
    <row r="108" spans="1:12" x14ac:dyDescent="0.35">
      <c r="A108" s="1" t="s">
        <v>223</v>
      </c>
      <c r="B108" s="1" t="s">
        <v>103</v>
      </c>
      <c r="C108" s="1" t="s">
        <v>44</v>
      </c>
      <c r="D108" s="1" t="s">
        <v>45</v>
      </c>
      <c r="E108" s="1" t="s">
        <v>46</v>
      </c>
      <c r="F108" s="1" t="s">
        <v>25</v>
      </c>
      <c r="G108" s="1" t="s">
        <v>18</v>
      </c>
      <c r="H108" s="1">
        <v>13266</v>
      </c>
      <c r="I108" s="1" t="s">
        <v>33</v>
      </c>
      <c r="J108" s="1">
        <v>0.3</v>
      </c>
      <c r="K108" s="1">
        <v>13000</v>
      </c>
      <c r="L108" s="2">
        <v>45336</v>
      </c>
    </row>
    <row r="109" spans="1:12" x14ac:dyDescent="0.35">
      <c r="A109" s="1" t="s">
        <v>224</v>
      </c>
      <c r="B109" s="1" t="s">
        <v>113</v>
      </c>
      <c r="C109" s="1" t="s">
        <v>61</v>
      </c>
      <c r="D109" s="1" t="s">
        <v>62</v>
      </c>
      <c r="E109" s="1" t="s">
        <v>32</v>
      </c>
      <c r="F109" s="1" t="s">
        <v>25</v>
      </c>
      <c r="G109" s="1" t="s">
        <v>26</v>
      </c>
      <c r="H109" s="1">
        <v>8164</v>
      </c>
      <c r="I109" s="1"/>
      <c r="J109" s="1"/>
      <c r="K109" s="1">
        <v>9000</v>
      </c>
      <c r="L109" s="2">
        <v>45322</v>
      </c>
    </row>
    <row r="110" spans="1:12" x14ac:dyDescent="0.35">
      <c r="A110" s="1" t="s">
        <v>225</v>
      </c>
      <c r="B110" s="1" t="s">
        <v>188</v>
      </c>
      <c r="C110" s="1" t="s">
        <v>44</v>
      </c>
      <c r="D110" s="1" t="s">
        <v>45</v>
      </c>
      <c r="E110" s="1" t="s">
        <v>32</v>
      </c>
      <c r="F110" s="1" t="s">
        <v>17</v>
      </c>
      <c r="G110" s="1" t="s">
        <v>36</v>
      </c>
      <c r="H110" s="1">
        <v>11467</v>
      </c>
      <c r="I110" s="1" t="s">
        <v>22</v>
      </c>
      <c r="J110" s="1">
        <v>0.1</v>
      </c>
      <c r="K110" s="1">
        <v>13000</v>
      </c>
      <c r="L110" s="2">
        <v>45317</v>
      </c>
    </row>
    <row r="111" spans="1:12" x14ac:dyDescent="0.35">
      <c r="A111" s="1" t="s">
        <v>226</v>
      </c>
      <c r="B111" s="1" t="s">
        <v>227</v>
      </c>
      <c r="C111" s="1" t="s">
        <v>14</v>
      </c>
      <c r="D111" s="1" t="s">
        <v>15</v>
      </c>
      <c r="E111" s="1" t="s">
        <v>32</v>
      </c>
      <c r="F111" s="1" t="s">
        <v>25</v>
      </c>
      <c r="G111" s="1" t="s">
        <v>26</v>
      </c>
      <c r="H111" s="1">
        <v>15887</v>
      </c>
      <c r="I111" s="1" t="s">
        <v>33</v>
      </c>
      <c r="J111" s="1">
        <v>0.3</v>
      </c>
      <c r="K111" s="1">
        <v>14000</v>
      </c>
      <c r="L111" s="2">
        <v>45297</v>
      </c>
    </row>
    <row r="112" spans="1:12" x14ac:dyDescent="0.35">
      <c r="A112" s="1" t="s">
        <v>228</v>
      </c>
      <c r="B112" s="1" t="s">
        <v>229</v>
      </c>
      <c r="C112" s="1" t="s">
        <v>61</v>
      </c>
      <c r="D112" s="1" t="s">
        <v>62</v>
      </c>
      <c r="E112" s="1" t="s">
        <v>16</v>
      </c>
      <c r="F112" s="1" t="s">
        <v>39</v>
      </c>
      <c r="G112" s="1" t="s">
        <v>26</v>
      </c>
      <c r="H112" s="1">
        <v>7924</v>
      </c>
      <c r="I112" s="1" t="s">
        <v>27</v>
      </c>
      <c r="J112" s="1"/>
      <c r="K112" s="1">
        <v>9000</v>
      </c>
      <c r="L112" s="2">
        <v>45316</v>
      </c>
    </row>
    <row r="113" spans="1:12" x14ac:dyDescent="0.35">
      <c r="A113" s="1" t="s">
        <v>230</v>
      </c>
      <c r="B113" s="1" t="s">
        <v>231</v>
      </c>
      <c r="C113" s="1" t="s">
        <v>30</v>
      </c>
      <c r="D113" s="1" t="s">
        <v>31</v>
      </c>
      <c r="E113" s="1" t="s">
        <v>16</v>
      </c>
      <c r="F113" s="1" t="s">
        <v>17</v>
      </c>
      <c r="G113" s="1" t="s">
        <v>36</v>
      </c>
      <c r="H113" s="1">
        <v>17329</v>
      </c>
      <c r="I113" s="1" t="s">
        <v>27</v>
      </c>
      <c r="J113" s="1"/>
      <c r="K113" s="1">
        <v>17000</v>
      </c>
      <c r="L113" s="2">
        <v>45295</v>
      </c>
    </row>
    <row r="114" spans="1:12" x14ac:dyDescent="0.35">
      <c r="A114" s="1" t="s">
        <v>232</v>
      </c>
      <c r="B114" s="1" t="s">
        <v>233</v>
      </c>
      <c r="C114" s="1" t="s">
        <v>14</v>
      </c>
      <c r="D114" s="1" t="s">
        <v>15</v>
      </c>
      <c r="E114" s="1" t="s">
        <v>32</v>
      </c>
      <c r="F114" s="1" t="s">
        <v>39</v>
      </c>
      <c r="G114" s="1" t="s">
        <v>18</v>
      </c>
      <c r="H114" s="1">
        <v>13083</v>
      </c>
      <c r="I114" s="1" t="s">
        <v>22</v>
      </c>
      <c r="J114" s="1">
        <v>0.1</v>
      </c>
      <c r="K114" s="1">
        <v>14000</v>
      </c>
      <c r="L114" s="2">
        <v>45302</v>
      </c>
    </row>
    <row r="115" spans="1:12" x14ac:dyDescent="0.35">
      <c r="A115" s="1" t="s">
        <v>234</v>
      </c>
      <c r="B115" s="1" t="s">
        <v>235</v>
      </c>
      <c r="C115" s="1" t="s">
        <v>14</v>
      </c>
      <c r="D115" s="1" t="s">
        <v>15</v>
      </c>
      <c r="E115" s="1" t="s">
        <v>32</v>
      </c>
      <c r="F115" s="1" t="s">
        <v>25</v>
      </c>
      <c r="G115" s="1" t="s">
        <v>36</v>
      </c>
      <c r="H115" s="1">
        <v>13845</v>
      </c>
      <c r="I115" s="1" t="s">
        <v>27</v>
      </c>
      <c r="J115" s="1"/>
      <c r="K115" s="1">
        <v>14000</v>
      </c>
      <c r="L115" s="2">
        <v>45322</v>
      </c>
    </row>
    <row r="116" spans="1:12" x14ac:dyDescent="0.35">
      <c r="A116" s="1" t="s">
        <v>236</v>
      </c>
      <c r="B116" s="1" t="s">
        <v>237</v>
      </c>
      <c r="C116" s="1" t="s">
        <v>44</v>
      </c>
      <c r="D116" s="1" t="s">
        <v>45</v>
      </c>
      <c r="E116" s="1" t="s">
        <v>46</v>
      </c>
      <c r="F116" s="1" t="s">
        <v>39</v>
      </c>
      <c r="G116" s="1" t="s">
        <v>36</v>
      </c>
      <c r="H116" s="1">
        <v>13879</v>
      </c>
      <c r="I116" s="1"/>
      <c r="J116" s="1"/>
      <c r="K116" s="1">
        <v>13000</v>
      </c>
      <c r="L116" s="2">
        <v>45296</v>
      </c>
    </row>
    <row r="117" spans="1:12" x14ac:dyDescent="0.35">
      <c r="A117" s="1" t="s">
        <v>238</v>
      </c>
      <c r="B117" s="1" t="s">
        <v>239</v>
      </c>
      <c r="C117" s="1" t="s">
        <v>30</v>
      </c>
      <c r="D117" s="1" t="s">
        <v>31</v>
      </c>
      <c r="E117" s="1" t="s">
        <v>16</v>
      </c>
      <c r="F117" s="1" t="s">
        <v>39</v>
      </c>
      <c r="G117" s="1" t="s">
        <v>26</v>
      </c>
      <c r="H117" s="1">
        <v>18292</v>
      </c>
      <c r="I117" s="1" t="s">
        <v>19</v>
      </c>
      <c r="J117" s="1">
        <v>0.2</v>
      </c>
      <c r="K117" s="1">
        <v>17000</v>
      </c>
      <c r="L117" s="2">
        <v>45319</v>
      </c>
    </row>
    <row r="118" spans="1:12" x14ac:dyDescent="0.35">
      <c r="A118" s="1" t="s">
        <v>240</v>
      </c>
      <c r="B118" s="1" t="s">
        <v>241</v>
      </c>
      <c r="C118" s="1" t="s">
        <v>44</v>
      </c>
      <c r="D118" s="1" t="s">
        <v>45</v>
      </c>
      <c r="E118" s="1" t="s">
        <v>16</v>
      </c>
      <c r="F118" s="1" t="s">
        <v>25</v>
      </c>
      <c r="G118" s="1" t="s">
        <v>36</v>
      </c>
      <c r="H118" s="1">
        <v>14385</v>
      </c>
      <c r="I118" s="1" t="s">
        <v>19</v>
      </c>
      <c r="J118" s="1">
        <v>0.2</v>
      </c>
      <c r="K118" s="1">
        <v>13000</v>
      </c>
      <c r="L118" s="2">
        <v>45296</v>
      </c>
    </row>
    <row r="119" spans="1:12" x14ac:dyDescent="0.35">
      <c r="A119" s="1" t="s">
        <v>242</v>
      </c>
      <c r="B119" s="1" t="s">
        <v>243</v>
      </c>
      <c r="C119" s="1" t="s">
        <v>30</v>
      </c>
      <c r="D119" s="1" t="s">
        <v>31</v>
      </c>
      <c r="E119" s="1" t="s">
        <v>16</v>
      </c>
      <c r="F119" s="1" t="s">
        <v>39</v>
      </c>
      <c r="G119" s="1" t="s">
        <v>26</v>
      </c>
      <c r="H119" s="1">
        <v>18773</v>
      </c>
      <c r="I119" s="1" t="s">
        <v>33</v>
      </c>
      <c r="J119" s="1">
        <v>0.3</v>
      </c>
      <c r="K119" s="1">
        <v>17000</v>
      </c>
      <c r="L119" s="2">
        <v>45320</v>
      </c>
    </row>
    <row r="120" spans="1:12" x14ac:dyDescent="0.35">
      <c r="A120" s="1" t="s">
        <v>244</v>
      </c>
      <c r="B120" s="1" t="s">
        <v>245</v>
      </c>
      <c r="C120" s="1" t="s">
        <v>30</v>
      </c>
      <c r="D120" s="1" t="s">
        <v>31</v>
      </c>
      <c r="E120" s="1" t="s">
        <v>16</v>
      </c>
      <c r="F120" s="1" t="s">
        <v>17</v>
      </c>
      <c r="G120" s="1" t="s">
        <v>36</v>
      </c>
      <c r="H120" s="1">
        <v>17049</v>
      </c>
      <c r="I120" s="1" t="s">
        <v>27</v>
      </c>
      <c r="J120" s="1"/>
      <c r="K120" s="1">
        <v>17000</v>
      </c>
      <c r="L120" s="2">
        <v>45323</v>
      </c>
    </row>
    <row r="121" spans="1:12" x14ac:dyDescent="0.35">
      <c r="A121" s="1" t="s">
        <v>246</v>
      </c>
      <c r="B121" s="1" t="s">
        <v>227</v>
      </c>
      <c r="C121" s="1" t="s">
        <v>14</v>
      </c>
      <c r="D121" s="1" t="s">
        <v>15</v>
      </c>
      <c r="E121" s="1" t="s">
        <v>46</v>
      </c>
      <c r="F121" s="1" t="s">
        <v>39</v>
      </c>
      <c r="G121" s="1" t="s">
        <v>36</v>
      </c>
      <c r="H121" s="1">
        <v>14472</v>
      </c>
      <c r="I121" s="1" t="s">
        <v>33</v>
      </c>
      <c r="J121" s="1">
        <v>0.3</v>
      </c>
      <c r="K121" s="1">
        <v>14000</v>
      </c>
      <c r="L121" s="2">
        <v>45293</v>
      </c>
    </row>
    <row r="122" spans="1:12" x14ac:dyDescent="0.35">
      <c r="A122" s="1" t="s">
        <v>247</v>
      </c>
      <c r="B122" s="1" t="s">
        <v>248</v>
      </c>
      <c r="C122" s="1" t="s">
        <v>14</v>
      </c>
      <c r="D122" s="1" t="s">
        <v>15</v>
      </c>
      <c r="E122" s="1" t="s">
        <v>16</v>
      </c>
      <c r="F122" s="1" t="s">
        <v>17</v>
      </c>
      <c r="G122" s="1" t="s">
        <v>26</v>
      </c>
      <c r="H122" s="1">
        <v>12164</v>
      </c>
      <c r="I122" s="1" t="s">
        <v>19</v>
      </c>
      <c r="J122" s="1">
        <v>0.2</v>
      </c>
      <c r="K122" s="1">
        <v>14000</v>
      </c>
      <c r="L122" s="2">
        <v>45322</v>
      </c>
    </row>
    <row r="123" spans="1:12" x14ac:dyDescent="0.35">
      <c r="A123" s="1" t="s">
        <v>249</v>
      </c>
      <c r="B123" s="1" t="s">
        <v>202</v>
      </c>
      <c r="C123" s="1" t="s">
        <v>61</v>
      </c>
      <c r="D123" s="1" t="s">
        <v>62</v>
      </c>
      <c r="E123" s="1" t="s">
        <v>46</v>
      </c>
      <c r="F123" s="1" t="s">
        <v>25</v>
      </c>
      <c r="G123" s="1" t="s">
        <v>26</v>
      </c>
      <c r="H123" s="1">
        <v>8785</v>
      </c>
      <c r="I123" s="1"/>
      <c r="J123" s="1"/>
      <c r="K123" s="1">
        <v>9000</v>
      </c>
      <c r="L123" s="2">
        <v>45297</v>
      </c>
    </row>
    <row r="124" spans="1:12" x14ac:dyDescent="0.35">
      <c r="A124" s="1" t="s">
        <v>250</v>
      </c>
      <c r="B124" s="1" t="s">
        <v>188</v>
      </c>
      <c r="C124" s="1" t="s">
        <v>61</v>
      </c>
      <c r="D124" s="1" t="s">
        <v>62</v>
      </c>
      <c r="E124" s="1" t="s">
        <v>46</v>
      </c>
      <c r="F124" s="1" t="s">
        <v>17</v>
      </c>
      <c r="G124" s="1" t="s">
        <v>26</v>
      </c>
      <c r="H124" s="1">
        <v>7428</v>
      </c>
      <c r="I124" s="1" t="s">
        <v>19</v>
      </c>
      <c r="J124" s="1">
        <v>0.2</v>
      </c>
      <c r="K124" s="1">
        <v>9000</v>
      </c>
      <c r="L124" s="2">
        <v>45313</v>
      </c>
    </row>
    <row r="125" spans="1:12" x14ac:dyDescent="0.35">
      <c r="A125" s="1" t="s">
        <v>251</v>
      </c>
      <c r="B125" s="1" t="s">
        <v>101</v>
      </c>
      <c r="C125" s="1" t="s">
        <v>61</v>
      </c>
      <c r="D125" s="1" t="s">
        <v>62</v>
      </c>
      <c r="E125" s="1" t="s">
        <v>46</v>
      </c>
      <c r="F125" s="1" t="s">
        <v>39</v>
      </c>
      <c r="G125" s="1" t="s">
        <v>36</v>
      </c>
      <c r="H125" s="1">
        <v>10332</v>
      </c>
      <c r="I125" s="1" t="s">
        <v>27</v>
      </c>
      <c r="J125" s="1"/>
      <c r="K125" s="1">
        <v>9000</v>
      </c>
      <c r="L125" s="2">
        <v>45294</v>
      </c>
    </row>
    <row r="126" spans="1:12" x14ac:dyDescent="0.35">
      <c r="A126" s="1" t="s">
        <v>252</v>
      </c>
      <c r="B126" s="1" t="s">
        <v>227</v>
      </c>
      <c r="C126" s="1" t="s">
        <v>30</v>
      </c>
      <c r="D126" s="1" t="s">
        <v>31</v>
      </c>
      <c r="E126" s="1" t="s">
        <v>46</v>
      </c>
      <c r="F126" s="1" t="s">
        <v>17</v>
      </c>
      <c r="G126" s="1" t="s">
        <v>18</v>
      </c>
      <c r="H126" s="1">
        <v>18973</v>
      </c>
      <c r="I126" s="1"/>
      <c r="J126" s="1"/>
      <c r="K126" s="1">
        <v>17000</v>
      </c>
      <c r="L126" s="2">
        <v>45347</v>
      </c>
    </row>
    <row r="127" spans="1:12" x14ac:dyDescent="0.35">
      <c r="A127" s="1" t="s">
        <v>253</v>
      </c>
      <c r="B127" s="1" t="s">
        <v>105</v>
      </c>
      <c r="C127" s="1" t="s">
        <v>14</v>
      </c>
      <c r="D127" s="1" t="s">
        <v>15</v>
      </c>
      <c r="E127" s="1" t="s">
        <v>16</v>
      </c>
      <c r="F127" s="1" t="s">
        <v>39</v>
      </c>
      <c r="G127" s="1" t="s">
        <v>36</v>
      </c>
      <c r="H127" s="1">
        <v>13692</v>
      </c>
      <c r="I127" s="1" t="s">
        <v>22</v>
      </c>
      <c r="J127" s="1">
        <v>0.1</v>
      </c>
      <c r="K127" s="1">
        <v>14000</v>
      </c>
      <c r="L127" s="2">
        <v>45304</v>
      </c>
    </row>
    <row r="128" spans="1:12" x14ac:dyDescent="0.35">
      <c r="A128" s="1" t="s">
        <v>254</v>
      </c>
      <c r="B128" s="1" t="s">
        <v>217</v>
      </c>
      <c r="C128" s="1" t="s">
        <v>61</v>
      </c>
      <c r="D128" s="1" t="s">
        <v>62</v>
      </c>
      <c r="E128" s="1" t="s">
        <v>16</v>
      </c>
      <c r="F128" s="1" t="s">
        <v>17</v>
      </c>
      <c r="G128" s="1" t="s">
        <v>18</v>
      </c>
      <c r="H128" s="1">
        <v>7833</v>
      </c>
      <c r="I128" s="1" t="s">
        <v>33</v>
      </c>
      <c r="J128" s="1">
        <v>0.3</v>
      </c>
      <c r="K128" s="1">
        <v>9000</v>
      </c>
      <c r="L128" s="2">
        <v>45327</v>
      </c>
    </row>
    <row r="129" spans="1:12" x14ac:dyDescent="0.35">
      <c r="A129" s="1" t="s">
        <v>255</v>
      </c>
      <c r="B129" s="1" t="s">
        <v>256</v>
      </c>
      <c r="C129" s="1" t="s">
        <v>61</v>
      </c>
      <c r="D129" s="1" t="s">
        <v>62</v>
      </c>
      <c r="E129" s="1" t="s">
        <v>16</v>
      </c>
      <c r="F129" s="1" t="s">
        <v>17</v>
      </c>
      <c r="G129" s="1" t="s">
        <v>18</v>
      </c>
      <c r="H129" s="1">
        <v>7118</v>
      </c>
      <c r="I129" s="1" t="s">
        <v>27</v>
      </c>
      <c r="J129" s="1"/>
      <c r="K129" s="1">
        <v>9000</v>
      </c>
      <c r="L129" s="2">
        <v>45343</v>
      </c>
    </row>
    <row r="130" spans="1:12" x14ac:dyDescent="0.35">
      <c r="A130" s="1" t="s">
        <v>257</v>
      </c>
      <c r="B130" s="1" t="s">
        <v>220</v>
      </c>
      <c r="C130" s="1" t="s">
        <v>44</v>
      </c>
      <c r="D130" s="1" t="s">
        <v>45</v>
      </c>
      <c r="E130" s="1" t="s">
        <v>46</v>
      </c>
      <c r="F130" s="1" t="s">
        <v>39</v>
      </c>
      <c r="G130" s="1" t="s">
        <v>18</v>
      </c>
      <c r="H130" s="1">
        <v>13262</v>
      </c>
      <c r="I130" s="1"/>
      <c r="J130" s="1"/>
      <c r="K130" s="1">
        <v>13000</v>
      </c>
      <c r="L130" s="2">
        <v>45297</v>
      </c>
    </row>
    <row r="131" spans="1:12" x14ac:dyDescent="0.35">
      <c r="A131" s="1" t="s">
        <v>258</v>
      </c>
      <c r="B131" s="1" t="s">
        <v>171</v>
      </c>
      <c r="C131" s="1" t="s">
        <v>14</v>
      </c>
      <c r="D131" s="1" t="s">
        <v>15</v>
      </c>
      <c r="E131" s="1" t="s">
        <v>46</v>
      </c>
      <c r="F131" s="1" t="s">
        <v>25</v>
      </c>
      <c r="G131" s="1" t="s">
        <v>26</v>
      </c>
      <c r="H131" s="1">
        <v>15408</v>
      </c>
      <c r="I131" s="1" t="s">
        <v>19</v>
      </c>
      <c r="J131" s="1">
        <v>0.2</v>
      </c>
      <c r="K131" s="1">
        <v>14000</v>
      </c>
      <c r="L131" s="2">
        <v>45323</v>
      </c>
    </row>
    <row r="132" spans="1:12" x14ac:dyDescent="0.35">
      <c r="A132" s="1" t="s">
        <v>259</v>
      </c>
      <c r="B132" s="1" t="s">
        <v>260</v>
      </c>
      <c r="C132" s="1" t="s">
        <v>30</v>
      </c>
      <c r="D132" s="1" t="s">
        <v>31</v>
      </c>
      <c r="E132" s="1" t="s">
        <v>16</v>
      </c>
      <c r="F132" s="1" t="s">
        <v>39</v>
      </c>
      <c r="G132" s="1" t="s">
        <v>36</v>
      </c>
      <c r="H132" s="1">
        <v>16701</v>
      </c>
      <c r="I132" s="1"/>
      <c r="J132" s="1"/>
      <c r="K132" s="1">
        <v>17000</v>
      </c>
      <c r="L132" s="2">
        <v>45322</v>
      </c>
    </row>
    <row r="133" spans="1:12" x14ac:dyDescent="0.35">
      <c r="A133" s="1" t="s">
        <v>261</v>
      </c>
      <c r="B133" s="1" t="s">
        <v>29</v>
      </c>
      <c r="C133" s="1" t="s">
        <v>44</v>
      </c>
      <c r="D133" s="1" t="s">
        <v>45</v>
      </c>
      <c r="E133" s="1" t="s">
        <v>46</v>
      </c>
      <c r="F133" s="1" t="s">
        <v>25</v>
      </c>
      <c r="G133" s="1" t="s">
        <v>26</v>
      </c>
      <c r="H133" s="1">
        <v>13081</v>
      </c>
      <c r="I133" s="1" t="s">
        <v>19</v>
      </c>
      <c r="J133" s="1">
        <v>0.2</v>
      </c>
      <c r="K133" s="1">
        <v>13000</v>
      </c>
      <c r="L133" s="2">
        <v>45347</v>
      </c>
    </row>
    <row r="134" spans="1:12" x14ac:dyDescent="0.35">
      <c r="A134" s="1" t="s">
        <v>262</v>
      </c>
      <c r="B134" s="1" t="s">
        <v>263</v>
      </c>
      <c r="C134" s="1" t="s">
        <v>61</v>
      </c>
      <c r="D134" s="1" t="s">
        <v>62</v>
      </c>
      <c r="E134" s="1" t="s">
        <v>46</v>
      </c>
      <c r="F134" s="1" t="s">
        <v>39</v>
      </c>
      <c r="G134" s="1" t="s">
        <v>36</v>
      </c>
      <c r="H134" s="1">
        <v>10360</v>
      </c>
      <c r="I134" s="1" t="s">
        <v>22</v>
      </c>
      <c r="J134" s="1">
        <v>0.1</v>
      </c>
      <c r="K134" s="1">
        <v>9000</v>
      </c>
      <c r="L134" s="2">
        <v>45310</v>
      </c>
    </row>
    <row r="135" spans="1:12" x14ac:dyDescent="0.35">
      <c r="A135" s="1" t="s">
        <v>264</v>
      </c>
      <c r="B135" s="1" t="s">
        <v>265</v>
      </c>
      <c r="C135" s="1" t="s">
        <v>61</v>
      </c>
      <c r="D135" s="1" t="s">
        <v>62</v>
      </c>
      <c r="E135" s="1" t="s">
        <v>32</v>
      </c>
      <c r="F135" s="1" t="s">
        <v>17</v>
      </c>
      <c r="G135" s="1" t="s">
        <v>26</v>
      </c>
      <c r="H135" s="1">
        <v>8983</v>
      </c>
      <c r="I135" s="1" t="s">
        <v>33</v>
      </c>
      <c r="J135" s="1">
        <v>0.3</v>
      </c>
      <c r="K135" s="1">
        <v>9000</v>
      </c>
      <c r="L135" s="2">
        <v>45313</v>
      </c>
    </row>
    <row r="136" spans="1:12" x14ac:dyDescent="0.35">
      <c r="A136" s="1" t="s">
        <v>266</v>
      </c>
      <c r="B136" s="1" t="s">
        <v>82</v>
      </c>
      <c r="C136" s="1" t="s">
        <v>61</v>
      </c>
      <c r="D136" s="1" t="s">
        <v>62</v>
      </c>
      <c r="E136" s="1" t="s">
        <v>46</v>
      </c>
      <c r="F136" s="1" t="s">
        <v>17</v>
      </c>
      <c r="G136" s="1" t="s">
        <v>18</v>
      </c>
      <c r="H136" s="1">
        <v>9856</v>
      </c>
      <c r="I136" s="1" t="s">
        <v>19</v>
      </c>
      <c r="J136" s="1">
        <v>0.2</v>
      </c>
      <c r="K136" s="1">
        <v>9000</v>
      </c>
      <c r="L136" s="2">
        <v>45328</v>
      </c>
    </row>
    <row r="137" spans="1:12" x14ac:dyDescent="0.35">
      <c r="A137" s="1" t="s">
        <v>267</v>
      </c>
      <c r="B137" s="1" t="s">
        <v>268</v>
      </c>
      <c r="C137" s="1" t="s">
        <v>61</v>
      </c>
      <c r="D137" s="1" t="s">
        <v>62</v>
      </c>
      <c r="E137" s="1" t="s">
        <v>32</v>
      </c>
      <c r="F137" s="1" t="s">
        <v>17</v>
      </c>
      <c r="G137" s="1" t="s">
        <v>26</v>
      </c>
      <c r="H137" s="1">
        <v>8937</v>
      </c>
      <c r="I137" s="1"/>
      <c r="J137" s="1"/>
      <c r="K137" s="1">
        <v>9000</v>
      </c>
      <c r="L137" s="2">
        <v>45316</v>
      </c>
    </row>
    <row r="138" spans="1:12" x14ac:dyDescent="0.35">
      <c r="A138" s="1" t="s">
        <v>269</v>
      </c>
      <c r="B138" s="1" t="s">
        <v>270</v>
      </c>
      <c r="C138" s="1" t="s">
        <v>44</v>
      </c>
      <c r="D138" s="1" t="s">
        <v>45</v>
      </c>
      <c r="E138" s="1" t="s">
        <v>46</v>
      </c>
      <c r="F138" s="1" t="s">
        <v>25</v>
      </c>
      <c r="G138" s="1" t="s">
        <v>18</v>
      </c>
      <c r="H138" s="1">
        <v>13057</v>
      </c>
      <c r="I138" s="1" t="s">
        <v>27</v>
      </c>
      <c r="J138" s="1"/>
      <c r="K138" s="1">
        <v>13000</v>
      </c>
      <c r="L138" s="2">
        <v>45313</v>
      </c>
    </row>
    <row r="139" spans="1:12" x14ac:dyDescent="0.35">
      <c r="A139" s="1" t="s">
        <v>271</v>
      </c>
      <c r="B139" s="1" t="s">
        <v>96</v>
      </c>
      <c r="C139" s="1" t="s">
        <v>61</v>
      </c>
      <c r="D139" s="1" t="s">
        <v>62</v>
      </c>
      <c r="E139" s="1" t="s">
        <v>32</v>
      </c>
      <c r="F139" s="1" t="s">
        <v>39</v>
      </c>
      <c r="G139" s="1" t="s">
        <v>36</v>
      </c>
      <c r="H139" s="1">
        <v>7062</v>
      </c>
      <c r="I139" s="1" t="s">
        <v>19</v>
      </c>
      <c r="J139" s="1">
        <v>0.2</v>
      </c>
      <c r="K139" s="1">
        <v>9000</v>
      </c>
      <c r="L139" s="2">
        <v>45318</v>
      </c>
    </row>
    <row r="140" spans="1:12" x14ac:dyDescent="0.35">
      <c r="A140" s="1" t="s">
        <v>272</v>
      </c>
      <c r="B140" s="1" t="s">
        <v>198</v>
      </c>
      <c r="C140" s="1" t="s">
        <v>44</v>
      </c>
      <c r="D140" s="1" t="s">
        <v>45</v>
      </c>
      <c r="E140" s="1" t="s">
        <v>32</v>
      </c>
      <c r="F140" s="1" t="s">
        <v>17</v>
      </c>
      <c r="G140" s="1" t="s">
        <v>36</v>
      </c>
      <c r="H140" s="1">
        <v>12386</v>
      </c>
      <c r="I140" s="1" t="s">
        <v>27</v>
      </c>
      <c r="J140" s="1"/>
      <c r="K140" s="1">
        <v>13000</v>
      </c>
      <c r="L140" s="2">
        <v>45336</v>
      </c>
    </row>
    <row r="141" spans="1:12" x14ac:dyDescent="0.35">
      <c r="A141" s="1" t="s">
        <v>273</v>
      </c>
      <c r="B141" s="1" t="s">
        <v>274</v>
      </c>
      <c r="C141" s="1" t="s">
        <v>14</v>
      </c>
      <c r="D141" s="1" t="s">
        <v>15</v>
      </c>
      <c r="E141" s="1" t="s">
        <v>46</v>
      </c>
      <c r="F141" s="1" t="s">
        <v>39</v>
      </c>
      <c r="G141" s="1" t="s">
        <v>26</v>
      </c>
      <c r="H141" s="1">
        <v>13556</v>
      </c>
      <c r="I141" s="1" t="s">
        <v>33</v>
      </c>
      <c r="J141" s="1">
        <v>0.3</v>
      </c>
      <c r="K141" s="1">
        <v>14000</v>
      </c>
      <c r="L141" s="2">
        <v>45332</v>
      </c>
    </row>
    <row r="142" spans="1:12" x14ac:dyDescent="0.35">
      <c r="A142" s="1" t="s">
        <v>275</v>
      </c>
      <c r="B142" s="1" t="s">
        <v>276</v>
      </c>
      <c r="C142" s="1" t="s">
        <v>61</v>
      </c>
      <c r="D142" s="1" t="s">
        <v>62</v>
      </c>
      <c r="E142" s="1" t="s">
        <v>16</v>
      </c>
      <c r="F142" s="1" t="s">
        <v>25</v>
      </c>
      <c r="G142" s="1" t="s">
        <v>26</v>
      </c>
      <c r="H142" s="1">
        <v>7280</v>
      </c>
      <c r="I142" s="1" t="s">
        <v>19</v>
      </c>
      <c r="J142" s="1">
        <v>0.2</v>
      </c>
      <c r="K142" s="1">
        <v>9000</v>
      </c>
      <c r="L142" s="2">
        <v>45332</v>
      </c>
    </row>
    <row r="143" spans="1:12" x14ac:dyDescent="0.35">
      <c r="A143" s="1" t="s">
        <v>277</v>
      </c>
      <c r="B143" s="1" t="s">
        <v>278</v>
      </c>
      <c r="C143" s="1" t="s">
        <v>44</v>
      </c>
      <c r="D143" s="1" t="s">
        <v>45</v>
      </c>
      <c r="E143" s="1" t="s">
        <v>16</v>
      </c>
      <c r="F143" s="1" t="s">
        <v>25</v>
      </c>
      <c r="G143" s="1" t="s">
        <v>36</v>
      </c>
      <c r="H143" s="1">
        <v>11403</v>
      </c>
      <c r="I143" s="1" t="s">
        <v>22</v>
      </c>
      <c r="J143" s="1">
        <v>0.1</v>
      </c>
      <c r="K143" s="1">
        <v>13000</v>
      </c>
      <c r="L143" s="2">
        <v>45320</v>
      </c>
    </row>
    <row r="144" spans="1:12" x14ac:dyDescent="0.35">
      <c r="A144" s="1" t="s">
        <v>279</v>
      </c>
      <c r="B144" s="1" t="s">
        <v>280</v>
      </c>
      <c r="C144" s="1" t="s">
        <v>30</v>
      </c>
      <c r="D144" s="1" t="s">
        <v>31</v>
      </c>
      <c r="E144" s="1" t="s">
        <v>32</v>
      </c>
      <c r="F144" s="1" t="s">
        <v>25</v>
      </c>
      <c r="G144" s="1" t="s">
        <v>36</v>
      </c>
      <c r="H144" s="1">
        <v>18261</v>
      </c>
      <c r="I144" s="1" t="s">
        <v>22</v>
      </c>
      <c r="J144" s="1">
        <v>0.1</v>
      </c>
      <c r="K144" s="1">
        <v>17000</v>
      </c>
      <c r="L144" s="2">
        <v>45310</v>
      </c>
    </row>
    <row r="145" spans="1:12" x14ac:dyDescent="0.35">
      <c r="A145" s="1" t="s">
        <v>281</v>
      </c>
      <c r="B145" s="1" t="s">
        <v>282</v>
      </c>
      <c r="C145" s="1" t="s">
        <v>61</v>
      </c>
      <c r="D145" s="1" t="s">
        <v>62</v>
      </c>
      <c r="E145" s="1" t="s">
        <v>32</v>
      </c>
      <c r="F145" s="1" t="s">
        <v>25</v>
      </c>
      <c r="G145" s="1" t="s">
        <v>26</v>
      </c>
      <c r="H145" s="1">
        <v>8687</v>
      </c>
      <c r="I145" s="1" t="s">
        <v>27</v>
      </c>
      <c r="J145" s="1"/>
      <c r="K145" s="1">
        <v>9000</v>
      </c>
      <c r="L145" s="2">
        <v>45335</v>
      </c>
    </row>
    <row r="146" spans="1:12" x14ac:dyDescent="0.35">
      <c r="A146" s="1" t="s">
        <v>283</v>
      </c>
      <c r="B146" s="1" t="s">
        <v>72</v>
      </c>
      <c r="C146" s="1" t="s">
        <v>44</v>
      </c>
      <c r="D146" s="1" t="s">
        <v>45</v>
      </c>
      <c r="E146" s="1" t="s">
        <v>32</v>
      </c>
      <c r="F146" s="1" t="s">
        <v>25</v>
      </c>
      <c r="G146" s="1" t="s">
        <v>26</v>
      </c>
      <c r="H146" s="1">
        <v>14566</v>
      </c>
      <c r="I146" s="1"/>
      <c r="J146" s="1"/>
      <c r="K146" s="1">
        <v>13000</v>
      </c>
      <c r="L146" s="2">
        <v>45331</v>
      </c>
    </row>
    <row r="147" spans="1:12" x14ac:dyDescent="0.35">
      <c r="A147" s="1" t="s">
        <v>284</v>
      </c>
      <c r="B147" s="1" t="s">
        <v>239</v>
      </c>
      <c r="C147" s="1" t="s">
        <v>61</v>
      </c>
      <c r="D147" s="1" t="s">
        <v>62</v>
      </c>
      <c r="E147" s="1" t="s">
        <v>16</v>
      </c>
      <c r="F147" s="1" t="s">
        <v>25</v>
      </c>
      <c r="G147" s="1" t="s">
        <v>18</v>
      </c>
      <c r="H147" s="1">
        <v>8888</v>
      </c>
      <c r="I147" s="1" t="s">
        <v>33</v>
      </c>
      <c r="J147" s="1">
        <v>0.3</v>
      </c>
      <c r="K147" s="1">
        <v>9000</v>
      </c>
      <c r="L147" s="2">
        <v>45321</v>
      </c>
    </row>
    <row r="148" spans="1:12" x14ac:dyDescent="0.35">
      <c r="A148" s="1" t="s">
        <v>285</v>
      </c>
      <c r="B148" s="1" t="s">
        <v>286</v>
      </c>
      <c r="C148" s="1" t="s">
        <v>14</v>
      </c>
      <c r="D148" s="1" t="s">
        <v>15</v>
      </c>
      <c r="E148" s="1" t="s">
        <v>46</v>
      </c>
      <c r="F148" s="1" t="s">
        <v>17</v>
      </c>
      <c r="G148" s="1" t="s">
        <v>26</v>
      </c>
      <c r="H148" s="1">
        <v>14238</v>
      </c>
      <c r="I148" s="1" t="s">
        <v>19</v>
      </c>
      <c r="J148" s="1">
        <v>0.2</v>
      </c>
      <c r="K148" s="1">
        <v>14000</v>
      </c>
      <c r="L148" s="2">
        <v>45296</v>
      </c>
    </row>
    <row r="149" spans="1:12" x14ac:dyDescent="0.35">
      <c r="A149" s="1" t="s">
        <v>287</v>
      </c>
      <c r="B149" s="1" t="s">
        <v>188</v>
      </c>
      <c r="C149" s="1" t="s">
        <v>30</v>
      </c>
      <c r="D149" s="1" t="s">
        <v>31</v>
      </c>
      <c r="E149" s="1" t="s">
        <v>16</v>
      </c>
      <c r="F149" s="1" t="s">
        <v>17</v>
      </c>
      <c r="G149" s="1" t="s">
        <v>26</v>
      </c>
      <c r="H149" s="1">
        <v>16024</v>
      </c>
      <c r="I149" s="1"/>
      <c r="J149" s="1"/>
      <c r="K149" s="1">
        <v>17000</v>
      </c>
      <c r="L149" s="2">
        <v>45346</v>
      </c>
    </row>
    <row r="150" spans="1:12" x14ac:dyDescent="0.35">
      <c r="A150" s="1" t="s">
        <v>288</v>
      </c>
      <c r="B150" s="1" t="s">
        <v>289</v>
      </c>
      <c r="C150" s="1" t="s">
        <v>61</v>
      </c>
      <c r="D150" s="1" t="s">
        <v>62</v>
      </c>
      <c r="E150" s="1" t="s">
        <v>46</v>
      </c>
      <c r="F150" s="1" t="s">
        <v>25</v>
      </c>
      <c r="G150" s="1" t="s">
        <v>18</v>
      </c>
      <c r="H150" s="1">
        <v>8562</v>
      </c>
      <c r="I150" s="1" t="s">
        <v>27</v>
      </c>
      <c r="J150" s="1"/>
      <c r="K150" s="1">
        <v>9000</v>
      </c>
      <c r="L150" s="2">
        <v>45314</v>
      </c>
    </row>
    <row r="151" spans="1:12" x14ac:dyDescent="0.35">
      <c r="A151" s="1" t="s">
        <v>290</v>
      </c>
      <c r="B151" s="1" t="s">
        <v>291</v>
      </c>
      <c r="C151" s="1" t="s">
        <v>30</v>
      </c>
      <c r="D151" s="1" t="s">
        <v>31</v>
      </c>
      <c r="E151" s="1" t="s">
        <v>32</v>
      </c>
      <c r="F151" s="1" t="s">
        <v>39</v>
      </c>
      <c r="G151" s="1" t="s">
        <v>36</v>
      </c>
      <c r="H151" s="1">
        <v>16124</v>
      </c>
      <c r="I151" s="1" t="s">
        <v>22</v>
      </c>
      <c r="J151" s="1">
        <v>0.1</v>
      </c>
      <c r="K151" s="1">
        <v>17000</v>
      </c>
      <c r="L151" s="2">
        <v>45328</v>
      </c>
    </row>
    <row r="152" spans="1:12" x14ac:dyDescent="0.35">
      <c r="A152" s="1" t="s">
        <v>292</v>
      </c>
      <c r="B152" s="1" t="s">
        <v>198</v>
      </c>
      <c r="C152" s="1" t="s">
        <v>14</v>
      </c>
      <c r="D152" s="1" t="s">
        <v>15</v>
      </c>
      <c r="E152" s="1" t="s">
        <v>16</v>
      </c>
      <c r="F152" s="1" t="s">
        <v>39</v>
      </c>
      <c r="G152" s="1" t="s">
        <v>36</v>
      </c>
      <c r="H152" s="1">
        <v>15411</v>
      </c>
      <c r="I152" s="1" t="s">
        <v>33</v>
      </c>
      <c r="J152" s="1">
        <v>0.3</v>
      </c>
      <c r="K152" s="1">
        <v>14000</v>
      </c>
      <c r="L152" s="2">
        <v>45341</v>
      </c>
    </row>
    <row r="153" spans="1:12" x14ac:dyDescent="0.35">
      <c r="A153" s="1" t="s">
        <v>293</v>
      </c>
      <c r="B153" s="1" t="s">
        <v>294</v>
      </c>
      <c r="C153" s="1" t="s">
        <v>30</v>
      </c>
      <c r="D153" s="1" t="s">
        <v>31</v>
      </c>
      <c r="E153" s="1" t="s">
        <v>32</v>
      </c>
      <c r="F153" s="1" t="s">
        <v>39</v>
      </c>
      <c r="G153" s="1" t="s">
        <v>18</v>
      </c>
      <c r="H153" s="1">
        <v>17543</v>
      </c>
      <c r="I153" s="1" t="s">
        <v>33</v>
      </c>
      <c r="J153" s="1">
        <v>0.3</v>
      </c>
      <c r="K153" s="1">
        <v>17000</v>
      </c>
      <c r="L153" s="2">
        <v>45335</v>
      </c>
    </row>
    <row r="154" spans="1:12" x14ac:dyDescent="0.35">
      <c r="A154" s="1" t="s">
        <v>295</v>
      </c>
      <c r="B154" s="1" t="s">
        <v>296</v>
      </c>
      <c r="C154" s="1" t="s">
        <v>44</v>
      </c>
      <c r="D154" s="1" t="s">
        <v>45</v>
      </c>
      <c r="E154" s="1" t="s">
        <v>16</v>
      </c>
      <c r="F154" s="1" t="s">
        <v>25</v>
      </c>
      <c r="G154" s="1" t="s">
        <v>26</v>
      </c>
      <c r="H154" s="1">
        <v>13647</v>
      </c>
      <c r="I154" s="1" t="s">
        <v>22</v>
      </c>
      <c r="J154" s="1">
        <v>0.1</v>
      </c>
      <c r="K154" s="1">
        <v>13000</v>
      </c>
      <c r="L154" s="2">
        <v>45311</v>
      </c>
    </row>
    <row r="155" spans="1:12" x14ac:dyDescent="0.35">
      <c r="A155" s="1" t="s">
        <v>297</v>
      </c>
      <c r="B155" s="1" t="s">
        <v>298</v>
      </c>
      <c r="C155" s="1" t="s">
        <v>14</v>
      </c>
      <c r="D155" s="1" t="s">
        <v>15</v>
      </c>
      <c r="E155" s="1" t="s">
        <v>16</v>
      </c>
      <c r="F155" s="1" t="s">
        <v>17</v>
      </c>
      <c r="G155" s="1" t="s">
        <v>26</v>
      </c>
      <c r="H155" s="1">
        <v>12538</v>
      </c>
      <c r="I155" s="1" t="s">
        <v>22</v>
      </c>
      <c r="J155" s="1">
        <v>0.1</v>
      </c>
      <c r="K155" s="1">
        <v>14000</v>
      </c>
      <c r="L155" s="2">
        <v>45350</v>
      </c>
    </row>
    <row r="156" spans="1:12" x14ac:dyDescent="0.35">
      <c r="A156" s="1" t="s">
        <v>299</v>
      </c>
      <c r="B156" s="1" t="s">
        <v>131</v>
      </c>
      <c r="C156" s="1" t="s">
        <v>61</v>
      </c>
      <c r="D156" s="1" t="s">
        <v>62</v>
      </c>
      <c r="E156" s="1" t="s">
        <v>32</v>
      </c>
      <c r="F156" s="1" t="s">
        <v>25</v>
      </c>
      <c r="G156" s="1" t="s">
        <v>18</v>
      </c>
      <c r="H156" s="1">
        <v>10221</v>
      </c>
      <c r="I156" s="1" t="s">
        <v>27</v>
      </c>
      <c r="J156" s="1"/>
      <c r="K156" s="1">
        <v>9000</v>
      </c>
      <c r="L156" s="2">
        <v>45348</v>
      </c>
    </row>
    <row r="157" spans="1:12" x14ac:dyDescent="0.35">
      <c r="A157" s="1" t="s">
        <v>300</v>
      </c>
      <c r="B157" s="1" t="s">
        <v>301</v>
      </c>
      <c r="C157" s="1" t="s">
        <v>30</v>
      </c>
      <c r="D157" s="1" t="s">
        <v>31</v>
      </c>
      <c r="E157" s="1" t="s">
        <v>32</v>
      </c>
      <c r="F157" s="1" t="s">
        <v>17</v>
      </c>
      <c r="G157" s="1" t="s">
        <v>36</v>
      </c>
      <c r="H157" s="1">
        <v>18962</v>
      </c>
      <c r="I157" s="1" t="s">
        <v>33</v>
      </c>
      <c r="J157" s="1">
        <v>0.3</v>
      </c>
      <c r="K157" s="1">
        <v>17000</v>
      </c>
      <c r="L157" s="2">
        <v>45339</v>
      </c>
    </row>
    <row r="158" spans="1:12" x14ac:dyDescent="0.35">
      <c r="A158" s="1" t="s">
        <v>302</v>
      </c>
      <c r="B158" s="1" t="s">
        <v>303</v>
      </c>
      <c r="C158" s="1" t="s">
        <v>14</v>
      </c>
      <c r="D158" s="1" t="s">
        <v>15</v>
      </c>
      <c r="E158" s="1" t="s">
        <v>46</v>
      </c>
      <c r="F158" s="1" t="s">
        <v>25</v>
      </c>
      <c r="G158" s="1" t="s">
        <v>18</v>
      </c>
      <c r="H158" s="1">
        <v>15089</v>
      </c>
      <c r="I158" s="1" t="s">
        <v>19</v>
      </c>
      <c r="J158" s="1">
        <v>0.2</v>
      </c>
      <c r="K158" s="1">
        <v>14000</v>
      </c>
      <c r="L158" s="2">
        <v>45347</v>
      </c>
    </row>
    <row r="159" spans="1:12" x14ac:dyDescent="0.35">
      <c r="A159" s="1" t="s">
        <v>304</v>
      </c>
      <c r="B159" s="1" t="s">
        <v>305</v>
      </c>
      <c r="C159" s="1" t="s">
        <v>61</v>
      </c>
      <c r="D159" s="1" t="s">
        <v>62</v>
      </c>
      <c r="E159" s="1" t="s">
        <v>16</v>
      </c>
      <c r="F159" s="1" t="s">
        <v>17</v>
      </c>
      <c r="G159" s="1" t="s">
        <v>18</v>
      </c>
      <c r="H159" s="1">
        <v>10238</v>
      </c>
      <c r="I159" s="1"/>
      <c r="J159" s="1"/>
      <c r="K159" s="1">
        <v>9000</v>
      </c>
      <c r="L159" s="2">
        <v>45292</v>
      </c>
    </row>
    <row r="160" spans="1:12" x14ac:dyDescent="0.35">
      <c r="A160" s="1" t="s">
        <v>306</v>
      </c>
      <c r="B160" s="1" t="s">
        <v>307</v>
      </c>
      <c r="C160" s="1" t="s">
        <v>14</v>
      </c>
      <c r="D160" s="1" t="s">
        <v>15</v>
      </c>
      <c r="E160" s="1" t="s">
        <v>46</v>
      </c>
      <c r="F160" s="1" t="s">
        <v>17</v>
      </c>
      <c r="G160" s="1" t="s">
        <v>26</v>
      </c>
      <c r="H160" s="1">
        <v>15067</v>
      </c>
      <c r="I160" s="1" t="s">
        <v>33</v>
      </c>
      <c r="J160" s="1">
        <v>0.3</v>
      </c>
      <c r="K160" s="1">
        <v>14000</v>
      </c>
      <c r="L160" s="2">
        <v>45329</v>
      </c>
    </row>
    <row r="161" spans="1:12" x14ac:dyDescent="0.35">
      <c r="A161" s="1" t="s">
        <v>308</v>
      </c>
      <c r="B161" s="1" t="s">
        <v>309</v>
      </c>
      <c r="C161" s="1" t="s">
        <v>30</v>
      </c>
      <c r="D161" s="1" t="s">
        <v>31</v>
      </c>
      <c r="E161" s="1" t="s">
        <v>32</v>
      </c>
      <c r="F161" s="1" t="s">
        <v>39</v>
      </c>
      <c r="G161" s="1" t="s">
        <v>18</v>
      </c>
      <c r="H161" s="1">
        <v>16931</v>
      </c>
      <c r="I161" s="1" t="s">
        <v>22</v>
      </c>
      <c r="J161" s="1">
        <v>0.1</v>
      </c>
      <c r="K161" s="1">
        <v>17000</v>
      </c>
      <c r="L161" s="2">
        <v>45331</v>
      </c>
    </row>
    <row r="162" spans="1:12" x14ac:dyDescent="0.35">
      <c r="A162" s="1" t="s">
        <v>310</v>
      </c>
      <c r="B162" s="1" t="s">
        <v>84</v>
      </c>
      <c r="C162" s="1" t="s">
        <v>30</v>
      </c>
      <c r="D162" s="1" t="s">
        <v>31</v>
      </c>
      <c r="E162" s="1" t="s">
        <v>16</v>
      </c>
      <c r="F162" s="1" t="s">
        <v>25</v>
      </c>
      <c r="G162" s="1" t="s">
        <v>26</v>
      </c>
      <c r="H162" s="1">
        <v>15258</v>
      </c>
      <c r="I162" s="1"/>
      <c r="J162" s="1"/>
      <c r="K162" s="1">
        <v>17000</v>
      </c>
      <c r="L162" s="2">
        <v>45350</v>
      </c>
    </row>
    <row r="163" spans="1:12" x14ac:dyDescent="0.35">
      <c r="A163" s="1" t="s">
        <v>311</v>
      </c>
      <c r="B163" s="1" t="s">
        <v>265</v>
      </c>
      <c r="C163" s="1" t="s">
        <v>61</v>
      </c>
      <c r="D163" s="1" t="s">
        <v>62</v>
      </c>
      <c r="E163" s="1" t="s">
        <v>32</v>
      </c>
      <c r="F163" s="1" t="s">
        <v>25</v>
      </c>
      <c r="G163" s="1" t="s">
        <v>18</v>
      </c>
      <c r="H163" s="1">
        <v>10875</v>
      </c>
      <c r="I163" s="1" t="s">
        <v>22</v>
      </c>
      <c r="J163" s="1">
        <v>0.1</v>
      </c>
      <c r="K163" s="1">
        <v>9000</v>
      </c>
      <c r="L163" s="2">
        <v>45311</v>
      </c>
    </row>
    <row r="164" spans="1:12" x14ac:dyDescent="0.35">
      <c r="A164" s="1" t="s">
        <v>312</v>
      </c>
      <c r="B164" s="1" t="s">
        <v>227</v>
      </c>
      <c r="C164" s="1" t="s">
        <v>14</v>
      </c>
      <c r="D164" s="1" t="s">
        <v>15</v>
      </c>
      <c r="E164" s="1" t="s">
        <v>32</v>
      </c>
      <c r="F164" s="1" t="s">
        <v>39</v>
      </c>
      <c r="G164" s="1" t="s">
        <v>18</v>
      </c>
      <c r="H164" s="1">
        <v>13591</v>
      </c>
      <c r="I164" s="1"/>
      <c r="J164" s="1"/>
      <c r="K164" s="1">
        <v>14000</v>
      </c>
      <c r="L164" s="2">
        <v>45315</v>
      </c>
    </row>
    <row r="165" spans="1:12" x14ac:dyDescent="0.35">
      <c r="A165" s="1" t="s">
        <v>313</v>
      </c>
      <c r="B165" s="1" t="s">
        <v>305</v>
      </c>
      <c r="C165" s="1" t="s">
        <v>61</v>
      </c>
      <c r="D165" s="1" t="s">
        <v>62</v>
      </c>
      <c r="E165" s="1" t="s">
        <v>16</v>
      </c>
      <c r="F165" s="1" t="s">
        <v>39</v>
      </c>
      <c r="G165" s="1" t="s">
        <v>26</v>
      </c>
      <c r="H165" s="1">
        <v>7632</v>
      </c>
      <c r="I165" s="1"/>
      <c r="J165" s="1"/>
      <c r="K165" s="1">
        <v>9000</v>
      </c>
      <c r="L165" s="2">
        <v>45333</v>
      </c>
    </row>
    <row r="166" spans="1:12" x14ac:dyDescent="0.35">
      <c r="A166" s="1" t="s">
        <v>314</v>
      </c>
      <c r="B166" s="1" t="s">
        <v>159</v>
      </c>
      <c r="C166" s="1" t="s">
        <v>61</v>
      </c>
      <c r="D166" s="1" t="s">
        <v>62</v>
      </c>
      <c r="E166" s="1" t="s">
        <v>16</v>
      </c>
      <c r="F166" s="1" t="s">
        <v>17</v>
      </c>
      <c r="G166" s="1" t="s">
        <v>36</v>
      </c>
      <c r="H166" s="1">
        <v>7134</v>
      </c>
      <c r="I166" s="1" t="s">
        <v>33</v>
      </c>
      <c r="J166" s="1">
        <v>0.3</v>
      </c>
      <c r="K166" s="1">
        <v>9000</v>
      </c>
      <c r="L166" s="2">
        <v>45305</v>
      </c>
    </row>
    <row r="167" spans="1:12" x14ac:dyDescent="0.35">
      <c r="A167" s="1" t="s">
        <v>315</v>
      </c>
      <c r="B167" s="1" t="s">
        <v>231</v>
      </c>
      <c r="C167" s="1" t="s">
        <v>44</v>
      </c>
      <c r="D167" s="1" t="s">
        <v>45</v>
      </c>
      <c r="E167" s="1" t="s">
        <v>46</v>
      </c>
      <c r="F167" s="1" t="s">
        <v>25</v>
      </c>
      <c r="G167" s="1" t="s">
        <v>26</v>
      </c>
      <c r="H167" s="1">
        <v>12504</v>
      </c>
      <c r="I167" s="1" t="s">
        <v>27</v>
      </c>
      <c r="J167" s="1"/>
      <c r="K167" s="1">
        <v>13000</v>
      </c>
      <c r="L167" s="2">
        <v>45349</v>
      </c>
    </row>
    <row r="168" spans="1:12" x14ac:dyDescent="0.35">
      <c r="A168" s="1" t="s">
        <v>316</v>
      </c>
      <c r="B168" s="1" t="s">
        <v>317</v>
      </c>
      <c r="C168" s="1" t="s">
        <v>14</v>
      </c>
      <c r="D168" s="1" t="s">
        <v>15</v>
      </c>
      <c r="E168" s="1" t="s">
        <v>46</v>
      </c>
      <c r="F168" s="1" t="s">
        <v>17</v>
      </c>
      <c r="G168" s="1" t="s">
        <v>18</v>
      </c>
      <c r="H168" s="1">
        <v>15965</v>
      </c>
      <c r="I168" s="1" t="s">
        <v>22</v>
      </c>
      <c r="J168" s="1">
        <v>0.1</v>
      </c>
      <c r="K168" s="1">
        <v>14000</v>
      </c>
      <c r="L168" s="2">
        <v>45352</v>
      </c>
    </row>
    <row r="169" spans="1:12" x14ac:dyDescent="0.35">
      <c r="A169" s="1" t="s">
        <v>318</v>
      </c>
      <c r="B169" s="1" t="s">
        <v>319</v>
      </c>
      <c r="C169" s="1" t="s">
        <v>61</v>
      </c>
      <c r="D169" s="1" t="s">
        <v>62</v>
      </c>
      <c r="E169" s="1" t="s">
        <v>32</v>
      </c>
      <c r="F169" s="1" t="s">
        <v>39</v>
      </c>
      <c r="G169" s="1" t="s">
        <v>18</v>
      </c>
      <c r="H169" s="1">
        <v>9628</v>
      </c>
      <c r="I169" s="1" t="s">
        <v>27</v>
      </c>
      <c r="J169" s="1"/>
      <c r="K169" s="1">
        <v>9000</v>
      </c>
      <c r="L169" s="2">
        <v>45293</v>
      </c>
    </row>
    <row r="170" spans="1:12" x14ac:dyDescent="0.35">
      <c r="A170" s="1" t="s">
        <v>320</v>
      </c>
      <c r="B170" s="1" t="s">
        <v>321</v>
      </c>
      <c r="C170" s="1" t="s">
        <v>30</v>
      </c>
      <c r="D170" s="1" t="s">
        <v>31</v>
      </c>
      <c r="E170" s="1" t="s">
        <v>32</v>
      </c>
      <c r="F170" s="1" t="s">
        <v>25</v>
      </c>
      <c r="G170" s="1" t="s">
        <v>26</v>
      </c>
      <c r="H170" s="1">
        <v>15840</v>
      </c>
      <c r="I170" s="1" t="s">
        <v>22</v>
      </c>
      <c r="J170" s="1">
        <v>0.1</v>
      </c>
      <c r="K170" s="1">
        <v>17000</v>
      </c>
      <c r="L170" s="2">
        <v>45345</v>
      </c>
    </row>
    <row r="171" spans="1:12" x14ac:dyDescent="0.35">
      <c r="A171" s="1" t="s">
        <v>322</v>
      </c>
      <c r="B171" s="1" t="s">
        <v>133</v>
      </c>
      <c r="C171" s="1" t="s">
        <v>44</v>
      </c>
      <c r="D171" s="1" t="s">
        <v>45</v>
      </c>
      <c r="E171" s="1" t="s">
        <v>16</v>
      </c>
      <c r="F171" s="1" t="s">
        <v>25</v>
      </c>
      <c r="G171" s="1" t="s">
        <v>18</v>
      </c>
      <c r="H171" s="1">
        <v>12345</v>
      </c>
      <c r="I171" s="1" t="s">
        <v>19</v>
      </c>
      <c r="J171" s="1">
        <v>0.2</v>
      </c>
      <c r="K171" s="1">
        <v>13000</v>
      </c>
      <c r="L171" s="2">
        <v>45342</v>
      </c>
    </row>
    <row r="172" spans="1:12" x14ac:dyDescent="0.35">
      <c r="A172" s="1" t="s">
        <v>323</v>
      </c>
      <c r="B172" s="1" t="s">
        <v>60</v>
      </c>
      <c r="C172" s="1" t="s">
        <v>14</v>
      </c>
      <c r="D172" s="1" t="s">
        <v>15</v>
      </c>
      <c r="E172" s="1" t="s">
        <v>46</v>
      </c>
      <c r="F172" s="1" t="s">
        <v>25</v>
      </c>
      <c r="G172" s="1" t="s">
        <v>18</v>
      </c>
      <c r="H172" s="1">
        <v>14212</v>
      </c>
      <c r="I172" s="1" t="s">
        <v>33</v>
      </c>
      <c r="J172" s="1">
        <v>0.3</v>
      </c>
      <c r="K172" s="1">
        <v>14000</v>
      </c>
      <c r="L172" s="2">
        <v>45343</v>
      </c>
    </row>
    <row r="173" spans="1:12" x14ac:dyDescent="0.35">
      <c r="A173" s="1" t="s">
        <v>324</v>
      </c>
      <c r="B173" s="1" t="s">
        <v>325</v>
      </c>
      <c r="C173" s="1" t="s">
        <v>14</v>
      </c>
      <c r="D173" s="1" t="s">
        <v>15</v>
      </c>
      <c r="E173" s="1" t="s">
        <v>32</v>
      </c>
      <c r="F173" s="1" t="s">
        <v>25</v>
      </c>
      <c r="G173" s="1" t="s">
        <v>36</v>
      </c>
      <c r="H173" s="1">
        <v>15235</v>
      </c>
      <c r="I173" s="1" t="s">
        <v>19</v>
      </c>
      <c r="J173" s="1">
        <v>0.2</v>
      </c>
      <c r="K173" s="1">
        <v>14000</v>
      </c>
      <c r="L173" s="2">
        <v>45329</v>
      </c>
    </row>
    <row r="174" spans="1:12" x14ac:dyDescent="0.35">
      <c r="A174" s="1" t="s">
        <v>326</v>
      </c>
      <c r="B174" s="1" t="s">
        <v>327</v>
      </c>
      <c r="C174" s="1" t="s">
        <v>44</v>
      </c>
      <c r="D174" s="1" t="s">
        <v>45</v>
      </c>
      <c r="E174" s="1" t="s">
        <v>46</v>
      </c>
      <c r="F174" s="1" t="s">
        <v>25</v>
      </c>
      <c r="G174" s="1" t="s">
        <v>18</v>
      </c>
      <c r="H174" s="1">
        <v>14038</v>
      </c>
      <c r="I174" s="1"/>
      <c r="J174" s="1"/>
      <c r="K174" s="1">
        <v>13000</v>
      </c>
      <c r="L174" s="2">
        <v>45325</v>
      </c>
    </row>
    <row r="175" spans="1:12" x14ac:dyDescent="0.35">
      <c r="A175" s="1" t="s">
        <v>328</v>
      </c>
      <c r="B175" s="1" t="s">
        <v>173</v>
      </c>
      <c r="C175" s="1" t="s">
        <v>14</v>
      </c>
      <c r="D175" s="1" t="s">
        <v>15</v>
      </c>
      <c r="E175" s="1" t="s">
        <v>46</v>
      </c>
      <c r="F175" s="1" t="s">
        <v>17</v>
      </c>
      <c r="G175" s="1" t="s">
        <v>36</v>
      </c>
      <c r="H175" s="1">
        <v>14102</v>
      </c>
      <c r="I175" s="1" t="s">
        <v>27</v>
      </c>
      <c r="J175" s="1"/>
      <c r="K175" s="1">
        <v>14000</v>
      </c>
      <c r="L175" s="2">
        <v>45298</v>
      </c>
    </row>
    <row r="176" spans="1:12" x14ac:dyDescent="0.35">
      <c r="A176" s="1" t="s">
        <v>329</v>
      </c>
      <c r="B176" s="1" t="s">
        <v>330</v>
      </c>
      <c r="C176" s="1" t="s">
        <v>44</v>
      </c>
      <c r="D176" s="1" t="s">
        <v>45</v>
      </c>
      <c r="E176" s="1" t="s">
        <v>16</v>
      </c>
      <c r="F176" s="1" t="s">
        <v>25</v>
      </c>
      <c r="G176" s="1" t="s">
        <v>26</v>
      </c>
      <c r="H176" s="1">
        <v>14208</v>
      </c>
      <c r="I176" s="1" t="s">
        <v>27</v>
      </c>
      <c r="J176" s="1"/>
      <c r="K176" s="1">
        <v>13000</v>
      </c>
      <c r="L176" s="2">
        <v>45311</v>
      </c>
    </row>
    <row r="177" spans="1:12" x14ac:dyDescent="0.35">
      <c r="A177" s="1" t="s">
        <v>331</v>
      </c>
      <c r="B177" s="1" t="s">
        <v>332</v>
      </c>
      <c r="C177" s="1" t="s">
        <v>14</v>
      </c>
      <c r="D177" s="1" t="s">
        <v>15</v>
      </c>
      <c r="E177" s="1" t="s">
        <v>32</v>
      </c>
      <c r="F177" s="1" t="s">
        <v>17</v>
      </c>
      <c r="G177" s="1" t="s">
        <v>36</v>
      </c>
      <c r="H177" s="1">
        <v>13746</v>
      </c>
      <c r="I177" s="1" t="s">
        <v>22</v>
      </c>
      <c r="J177" s="1">
        <v>0.1</v>
      </c>
      <c r="K177" s="1">
        <v>14000</v>
      </c>
      <c r="L177" s="2">
        <v>45323</v>
      </c>
    </row>
    <row r="178" spans="1:12" x14ac:dyDescent="0.35">
      <c r="A178" s="1" t="s">
        <v>333</v>
      </c>
      <c r="B178" s="1" t="s">
        <v>334</v>
      </c>
      <c r="C178" s="1" t="s">
        <v>14</v>
      </c>
      <c r="D178" s="1" t="s">
        <v>15</v>
      </c>
      <c r="E178" s="1" t="s">
        <v>32</v>
      </c>
      <c r="F178" s="1" t="s">
        <v>17</v>
      </c>
      <c r="G178" s="1" t="s">
        <v>26</v>
      </c>
      <c r="H178" s="1">
        <v>12607</v>
      </c>
      <c r="I178" s="1" t="s">
        <v>22</v>
      </c>
      <c r="J178" s="1">
        <v>0.1</v>
      </c>
      <c r="K178" s="1">
        <v>14000</v>
      </c>
      <c r="L178" s="2">
        <v>45300</v>
      </c>
    </row>
    <row r="179" spans="1:12" x14ac:dyDescent="0.35">
      <c r="A179" s="1" t="s">
        <v>335</v>
      </c>
      <c r="B179" s="1" t="s">
        <v>118</v>
      </c>
      <c r="C179" s="1" t="s">
        <v>30</v>
      </c>
      <c r="D179" s="1" t="s">
        <v>31</v>
      </c>
      <c r="E179" s="1" t="s">
        <v>46</v>
      </c>
      <c r="F179" s="1" t="s">
        <v>39</v>
      </c>
      <c r="G179" s="1" t="s">
        <v>26</v>
      </c>
      <c r="H179" s="1">
        <v>16207</v>
      </c>
      <c r="I179" s="1"/>
      <c r="J179" s="1"/>
      <c r="K179" s="1">
        <v>17000</v>
      </c>
      <c r="L179" s="2">
        <v>45324</v>
      </c>
    </row>
    <row r="180" spans="1:12" x14ac:dyDescent="0.35">
      <c r="A180" s="1" t="s">
        <v>336</v>
      </c>
      <c r="B180" s="1" t="s">
        <v>337</v>
      </c>
      <c r="C180" s="1" t="s">
        <v>14</v>
      </c>
      <c r="D180" s="1" t="s">
        <v>15</v>
      </c>
      <c r="E180" s="1" t="s">
        <v>16</v>
      </c>
      <c r="F180" s="1" t="s">
        <v>25</v>
      </c>
      <c r="G180" s="1" t="s">
        <v>26</v>
      </c>
      <c r="H180" s="1">
        <v>14666</v>
      </c>
      <c r="I180" s="1" t="s">
        <v>27</v>
      </c>
      <c r="J180" s="1"/>
      <c r="K180" s="1">
        <v>14000</v>
      </c>
      <c r="L180" s="2">
        <v>45338</v>
      </c>
    </row>
    <row r="181" spans="1:12" x14ac:dyDescent="0.35">
      <c r="A181" s="1" t="s">
        <v>338</v>
      </c>
      <c r="B181" s="1" t="s">
        <v>207</v>
      </c>
      <c r="C181" s="1" t="s">
        <v>61</v>
      </c>
      <c r="D181" s="1" t="s">
        <v>62</v>
      </c>
      <c r="E181" s="1" t="s">
        <v>46</v>
      </c>
      <c r="F181" s="1" t="s">
        <v>25</v>
      </c>
      <c r="G181" s="1" t="s">
        <v>36</v>
      </c>
      <c r="H181" s="1">
        <v>8388</v>
      </c>
      <c r="I181" s="1"/>
      <c r="J181" s="1"/>
      <c r="K181" s="1">
        <v>9000</v>
      </c>
      <c r="L181" s="2">
        <v>45317</v>
      </c>
    </row>
    <row r="182" spans="1:12" x14ac:dyDescent="0.35">
      <c r="A182" s="1" t="s">
        <v>339</v>
      </c>
      <c r="B182" s="1" t="s">
        <v>101</v>
      </c>
      <c r="C182" s="1" t="s">
        <v>14</v>
      </c>
      <c r="D182" s="1" t="s">
        <v>15</v>
      </c>
      <c r="E182" s="1" t="s">
        <v>46</v>
      </c>
      <c r="F182" s="1" t="s">
        <v>17</v>
      </c>
      <c r="G182" s="1" t="s">
        <v>36</v>
      </c>
      <c r="H182" s="1">
        <v>14724</v>
      </c>
      <c r="I182" s="1" t="s">
        <v>33</v>
      </c>
      <c r="J182" s="1">
        <v>0.3</v>
      </c>
      <c r="K182" s="1">
        <v>14000</v>
      </c>
      <c r="L182" s="2">
        <v>45315</v>
      </c>
    </row>
    <row r="183" spans="1:12" x14ac:dyDescent="0.35">
      <c r="A183" s="1" t="s">
        <v>340</v>
      </c>
      <c r="B183" s="1" t="s">
        <v>113</v>
      </c>
      <c r="C183" s="1" t="s">
        <v>61</v>
      </c>
      <c r="D183" s="1" t="s">
        <v>62</v>
      </c>
      <c r="E183" s="1" t="s">
        <v>32</v>
      </c>
      <c r="F183" s="1" t="s">
        <v>25</v>
      </c>
      <c r="G183" s="1" t="s">
        <v>18</v>
      </c>
      <c r="H183" s="1">
        <v>7381</v>
      </c>
      <c r="I183" s="1"/>
      <c r="J183" s="1"/>
      <c r="K183" s="1">
        <v>9000</v>
      </c>
      <c r="L183" s="2">
        <v>45298</v>
      </c>
    </row>
    <row r="184" spans="1:12" x14ac:dyDescent="0.35">
      <c r="A184" s="1" t="s">
        <v>341</v>
      </c>
      <c r="B184" s="1" t="s">
        <v>342</v>
      </c>
      <c r="C184" s="1" t="s">
        <v>30</v>
      </c>
      <c r="D184" s="1" t="s">
        <v>31</v>
      </c>
      <c r="E184" s="1" t="s">
        <v>32</v>
      </c>
      <c r="F184" s="1" t="s">
        <v>39</v>
      </c>
      <c r="G184" s="1" t="s">
        <v>18</v>
      </c>
      <c r="H184" s="1">
        <v>17402</v>
      </c>
      <c r="I184" s="1" t="s">
        <v>27</v>
      </c>
      <c r="J184" s="1"/>
      <c r="K184" s="1">
        <v>17000</v>
      </c>
      <c r="L184" s="2">
        <v>45327</v>
      </c>
    </row>
    <row r="185" spans="1:12" x14ac:dyDescent="0.35">
      <c r="A185" s="1" t="s">
        <v>343</v>
      </c>
      <c r="B185" s="1" t="s">
        <v>150</v>
      </c>
      <c r="C185" s="1" t="s">
        <v>14</v>
      </c>
      <c r="D185" s="1" t="s">
        <v>15</v>
      </c>
      <c r="E185" s="1" t="s">
        <v>46</v>
      </c>
      <c r="F185" s="1" t="s">
        <v>17</v>
      </c>
      <c r="G185" s="1" t="s">
        <v>26</v>
      </c>
      <c r="H185" s="1">
        <v>15854</v>
      </c>
      <c r="I185" s="1"/>
      <c r="J185" s="1"/>
      <c r="K185" s="1">
        <v>14000</v>
      </c>
      <c r="L185" s="2">
        <v>45347</v>
      </c>
    </row>
    <row r="186" spans="1:12" x14ac:dyDescent="0.35">
      <c r="A186" s="1" t="s">
        <v>344</v>
      </c>
      <c r="B186" s="1" t="s">
        <v>260</v>
      </c>
      <c r="C186" s="1" t="s">
        <v>14</v>
      </c>
      <c r="D186" s="1" t="s">
        <v>15</v>
      </c>
      <c r="E186" s="1" t="s">
        <v>46</v>
      </c>
      <c r="F186" s="1" t="s">
        <v>39</v>
      </c>
      <c r="G186" s="1" t="s">
        <v>36</v>
      </c>
      <c r="H186" s="1">
        <v>13440</v>
      </c>
      <c r="I186" s="1" t="s">
        <v>22</v>
      </c>
      <c r="J186" s="1">
        <v>0.1</v>
      </c>
      <c r="K186" s="1">
        <v>14000</v>
      </c>
      <c r="L186" s="2">
        <v>45328</v>
      </c>
    </row>
    <row r="187" spans="1:12" x14ac:dyDescent="0.35">
      <c r="A187" s="1" t="s">
        <v>345</v>
      </c>
      <c r="B187" s="1" t="s">
        <v>346</v>
      </c>
      <c r="C187" s="1" t="s">
        <v>44</v>
      </c>
      <c r="D187" s="1" t="s">
        <v>45</v>
      </c>
      <c r="E187" s="1" t="s">
        <v>16</v>
      </c>
      <c r="F187" s="1" t="s">
        <v>17</v>
      </c>
      <c r="G187" s="1" t="s">
        <v>18</v>
      </c>
      <c r="H187" s="1">
        <v>14470</v>
      </c>
      <c r="I187" s="1" t="s">
        <v>22</v>
      </c>
      <c r="J187" s="1">
        <v>0.1</v>
      </c>
      <c r="K187" s="1">
        <v>13000</v>
      </c>
      <c r="L187" s="2">
        <v>45314</v>
      </c>
    </row>
    <row r="188" spans="1:12" x14ac:dyDescent="0.35">
      <c r="A188" s="1" t="s">
        <v>347</v>
      </c>
      <c r="B188" s="1" t="s">
        <v>144</v>
      </c>
      <c r="C188" s="1" t="s">
        <v>30</v>
      </c>
      <c r="D188" s="1" t="s">
        <v>31</v>
      </c>
      <c r="E188" s="1" t="s">
        <v>32</v>
      </c>
      <c r="F188" s="1" t="s">
        <v>17</v>
      </c>
      <c r="G188" s="1" t="s">
        <v>26</v>
      </c>
      <c r="H188" s="1">
        <v>15926</v>
      </c>
      <c r="I188" s="1"/>
      <c r="J188" s="1"/>
      <c r="K188" s="1">
        <v>17000</v>
      </c>
      <c r="L188" s="2">
        <v>45346</v>
      </c>
    </row>
    <row r="189" spans="1:12" x14ac:dyDescent="0.35">
      <c r="A189" s="1" t="s">
        <v>348</v>
      </c>
      <c r="B189" s="1" t="s">
        <v>82</v>
      </c>
      <c r="C189" s="1" t="s">
        <v>14</v>
      </c>
      <c r="D189" s="1" t="s">
        <v>15</v>
      </c>
      <c r="E189" s="1" t="s">
        <v>16</v>
      </c>
      <c r="F189" s="1" t="s">
        <v>39</v>
      </c>
      <c r="G189" s="1" t="s">
        <v>26</v>
      </c>
      <c r="H189" s="1">
        <v>13095</v>
      </c>
      <c r="I189" s="1" t="s">
        <v>22</v>
      </c>
      <c r="J189" s="1">
        <v>0.1</v>
      </c>
      <c r="K189" s="1">
        <v>14000</v>
      </c>
      <c r="L189" s="2">
        <v>45303</v>
      </c>
    </row>
    <row r="190" spans="1:12" x14ac:dyDescent="0.35">
      <c r="A190" s="1" t="s">
        <v>349</v>
      </c>
      <c r="B190" s="1" t="s">
        <v>350</v>
      </c>
      <c r="C190" s="1" t="s">
        <v>30</v>
      </c>
      <c r="D190" s="1" t="s">
        <v>31</v>
      </c>
      <c r="E190" s="1" t="s">
        <v>46</v>
      </c>
      <c r="F190" s="1" t="s">
        <v>17</v>
      </c>
      <c r="G190" s="1" t="s">
        <v>18</v>
      </c>
      <c r="H190" s="1">
        <v>15743</v>
      </c>
      <c r="I190" s="1" t="s">
        <v>19</v>
      </c>
      <c r="J190" s="1">
        <v>0.2</v>
      </c>
      <c r="K190" s="1">
        <v>17000</v>
      </c>
      <c r="L190" s="2">
        <v>45328</v>
      </c>
    </row>
    <row r="191" spans="1:12" x14ac:dyDescent="0.35">
      <c r="A191" s="1" t="s">
        <v>351</v>
      </c>
      <c r="B191" s="1" t="s">
        <v>90</v>
      </c>
      <c r="C191" s="1" t="s">
        <v>14</v>
      </c>
      <c r="D191" s="1" t="s">
        <v>15</v>
      </c>
      <c r="E191" s="1" t="s">
        <v>32</v>
      </c>
      <c r="F191" s="1" t="s">
        <v>39</v>
      </c>
      <c r="G191" s="1" t="s">
        <v>26</v>
      </c>
      <c r="H191" s="1">
        <v>15980</v>
      </c>
      <c r="I191" s="1" t="s">
        <v>22</v>
      </c>
      <c r="J191" s="1">
        <v>0.1</v>
      </c>
      <c r="K191" s="1">
        <v>14000</v>
      </c>
      <c r="L191" s="2">
        <v>45297</v>
      </c>
    </row>
    <row r="192" spans="1:12" x14ac:dyDescent="0.35">
      <c r="A192" s="1" t="s">
        <v>352</v>
      </c>
      <c r="B192" s="1" t="s">
        <v>103</v>
      </c>
      <c r="C192" s="1" t="s">
        <v>44</v>
      </c>
      <c r="D192" s="1" t="s">
        <v>45</v>
      </c>
      <c r="E192" s="1" t="s">
        <v>46</v>
      </c>
      <c r="F192" s="1" t="s">
        <v>17</v>
      </c>
      <c r="G192" s="1" t="s">
        <v>36</v>
      </c>
      <c r="H192" s="1">
        <v>12396</v>
      </c>
      <c r="I192" s="1" t="s">
        <v>19</v>
      </c>
      <c r="J192" s="1">
        <v>0.2</v>
      </c>
      <c r="K192" s="1">
        <v>13000</v>
      </c>
      <c r="L192" s="2">
        <v>45315</v>
      </c>
    </row>
    <row r="193" spans="1:12" x14ac:dyDescent="0.35">
      <c r="A193" s="1" t="s">
        <v>353</v>
      </c>
      <c r="B193" s="1" t="s">
        <v>350</v>
      </c>
      <c r="C193" s="1" t="s">
        <v>30</v>
      </c>
      <c r="D193" s="1" t="s">
        <v>31</v>
      </c>
      <c r="E193" s="1" t="s">
        <v>16</v>
      </c>
      <c r="F193" s="1" t="s">
        <v>39</v>
      </c>
      <c r="G193" s="1" t="s">
        <v>18</v>
      </c>
      <c r="H193" s="1">
        <v>18618</v>
      </c>
      <c r="I193" s="1" t="s">
        <v>22</v>
      </c>
      <c r="J193" s="1">
        <v>0.1</v>
      </c>
      <c r="K193" s="1">
        <v>17000</v>
      </c>
      <c r="L193" s="2">
        <v>45301</v>
      </c>
    </row>
    <row r="194" spans="1:12" x14ac:dyDescent="0.35">
      <c r="A194" s="1" t="s">
        <v>354</v>
      </c>
      <c r="B194" s="1" t="s">
        <v>135</v>
      </c>
      <c r="C194" s="1" t="s">
        <v>14</v>
      </c>
      <c r="D194" s="1" t="s">
        <v>15</v>
      </c>
      <c r="E194" s="1" t="s">
        <v>16</v>
      </c>
      <c r="F194" s="1" t="s">
        <v>25</v>
      </c>
      <c r="G194" s="1" t="s">
        <v>36</v>
      </c>
      <c r="H194" s="1">
        <v>13814</v>
      </c>
      <c r="I194" s="1"/>
      <c r="J194" s="1"/>
      <c r="K194" s="1">
        <v>14000</v>
      </c>
      <c r="L194" s="2">
        <v>45323</v>
      </c>
    </row>
    <row r="195" spans="1:12" x14ac:dyDescent="0.35">
      <c r="A195" s="1" t="s">
        <v>355</v>
      </c>
      <c r="B195" s="1" t="s">
        <v>356</v>
      </c>
      <c r="C195" s="1" t="s">
        <v>61</v>
      </c>
      <c r="D195" s="1" t="s">
        <v>62</v>
      </c>
      <c r="E195" s="1" t="s">
        <v>46</v>
      </c>
      <c r="F195" s="1" t="s">
        <v>25</v>
      </c>
      <c r="G195" s="1" t="s">
        <v>26</v>
      </c>
      <c r="H195" s="1">
        <v>7466</v>
      </c>
      <c r="I195" s="1" t="s">
        <v>33</v>
      </c>
      <c r="J195" s="1">
        <v>0.3</v>
      </c>
      <c r="K195" s="1">
        <v>9000</v>
      </c>
      <c r="L195" s="2">
        <v>45319</v>
      </c>
    </row>
    <row r="196" spans="1:12" x14ac:dyDescent="0.35">
      <c r="A196" s="1" t="s">
        <v>357</v>
      </c>
      <c r="B196" s="1" t="s">
        <v>263</v>
      </c>
      <c r="C196" s="1" t="s">
        <v>61</v>
      </c>
      <c r="D196" s="1" t="s">
        <v>62</v>
      </c>
      <c r="E196" s="1" t="s">
        <v>16</v>
      </c>
      <c r="F196" s="1" t="s">
        <v>39</v>
      </c>
      <c r="G196" s="1" t="s">
        <v>36</v>
      </c>
      <c r="H196" s="1">
        <v>7186</v>
      </c>
      <c r="I196" s="1" t="s">
        <v>19</v>
      </c>
      <c r="J196" s="1">
        <v>0.2</v>
      </c>
      <c r="K196" s="1">
        <v>9000</v>
      </c>
      <c r="L196" s="2">
        <v>45317</v>
      </c>
    </row>
    <row r="197" spans="1:12" x14ac:dyDescent="0.35">
      <c r="A197" s="1" t="s">
        <v>358</v>
      </c>
      <c r="B197" s="1" t="s">
        <v>359</v>
      </c>
      <c r="C197" s="1" t="s">
        <v>14</v>
      </c>
      <c r="D197" s="1" t="s">
        <v>15</v>
      </c>
      <c r="E197" s="1" t="s">
        <v>32</v>
      </c>
      <c r="F197" s="1" t="s">
        <v>17</v>
      </c>
      <c r="G197" s="1" t="s">
        <v>18</v>
      </c>
      <c r="H197" s="1">
        <v>15143</v>
      </c>
      <c r="I197" s="1" t="s">
        <v>19</v>
      </c>
      <c r="J197" s="1">
        <v>0.2</v>
      </c>
      <c r="K197" s="1">
        <v>14000</v>
      </c>
      <c r="L197" s="2">
        <v>45340</v>
      </c>
    </row>
    <row r="198" spans="1:12" x14ac:dyDescent="0.35">
      <c r="A198" s="1" t="s">
        <v>360</v>
      </c>
      <c r="B198" s="1" t="s">
        <v>361</v>
      </c>
      <c r="C198" s="1" t="s">
        <v>30</v>
      </c>
      <c r="D198" s="1" t="s">
        <v>31</v>
      </c>
      <c r="E198" s="1" t="s">
        <v>32</v>
      </c>
      <c r="F198" s="1" t="s">
        <v>25</v>
      </c>
      <c r="G198" s="1" t="s">
        <v>36</v>
      </c>
      <c r="H198" s="1">
        <v>18059</v>
      </c>
      <c r="I198" s="1"/>
      <c r="J198" s="1"/>
      <c r="K198" s="1">
        <v>17000</v>
      </c>
      <c r="L198" s="2">
        <v>45303</v>
      </c>
    </row>
    <row r="199" spans="1:12" x14ac:dyDescent="0.35">
      <c r="A199" s="1" t="s">
        <v>362</v>
      </c>
      <c r="B199" s="1" t="s">
        <v>363</v>
      </c>
      <c r="C199" s="1" t="s">
        <v>44</v>
      </c>
      <c r="D199" s="1" t="s">
        <v>45</v>
      </c>
      <c r="E199" s="1" t="s">
        <v>16</v>
      </c>
      <c r="F199" s="1" t="s">
        <v>39</v>
      </c>
      <c r="G199" s="1" t="s">
        <v>26</v>
      </c>
      <c r="H199" s="1">
        <v>14302</v>
      </c>
      <c r="I199" s="1" t="s">
        <v>33</v>
      </c>
      <c r="J199" s="1">
        <v>0.3</v>
      </c>
      <c r="K199" s="1">
        <v>13000</v>
      </c>
      <c r="L199" s="2">
        <v>45296</v>
      </c>
    </row>
    <row r="200" spans="1:12" x14ac:dyDescent="0.35">
      <c r="A200" s="1" t="s">
        <v>364</v>
      </c>
      <c r="B200" s="1" t="s">
        <v>309</v>
      </c>
      <c r="C200" s="1" t="s">
        <v>14</v>
      </c>
      <c r="D200" s="1" t="s">
        <v>15</v>
      </c>
      <c r="E200" s="1" t="s">
        <v>46</v>
      </c>
      <c r="F200" s="1" t="s">
        <v>25</v>
      </c>
      <c r="G200" s="1" t="s">
        <v>36</v>
      </c>
      <c r="H200" s="1">
        <v>15773</v>
      </c>
      <c r="I200" s="1" t="s">
        <v>22</v>
      </c>
      <c r="J200" s="1">
        <v>0.1</v>
      </c>
      <c r="K200" s="1">
        <v>14000</v>
      </c>
      <c r="L200" s="2">
        <v>45347</v>
      </c>
    </row>
    <row r="201" spans="1:12" x14ac:dyDescent="0.35">
      <c r="A201" s="1" t="s">
        <v>365</v>
      </c>
      <c r="B201" s="1" t="s">
        <v>38</v>
      </c>
      <c r="C201" s="1" t="s">
        <v>61</v>
      </c>
      <c r="D201" s="1" t="s">
        <v>62</v>
      </c>
      <c r="E201" s="1" t="s">
        <v>16</v>
      </c>
      <c r="F201" s="1" t="s">
        <v>17</v>
      </c>
      <c r="G201" s="1" t="s">
        <v>26</v>
      </c>
      <c r="H201" s="1">
        <v>9622</v>
      </c>
      <c r="I201" s="1"/>
      <c r="J201" s="1"/>
      <c r="K201" s="1">
        <v>9000</v>
      </c>
      <c r="L201" s="2">
        <v>45310</v>
      </c>
    </row>
    <row r="202" spans="1:12" x14ac:dyDescent="0.35">
      <c r="A202" s="1" t="s">
        <v>366</v>
      </c>
      <c r="B202" s="1" t="s">
        <v>66</v>
      </c>
      <c r="C202" s="1" t="s">
        <v>14</v>
      </c>
      <c r="D202" s="1" t="s">
        <v>15</v>
      </c>
      <c r="E202" s="1" t="s">
        <v>46</v>
      </c>
      <c r="F202" s="1" t="s">
        <v>25</v>
      </c>
      <c r="G202" s="1" t="s">
        <v>26</v>
      </c>
      <c r="H202" s="1">
        <v>13884</v>
      </c>
      <c r="I202" s="1" t="s">
        <v>33</v>
      </c>
      <c r="J202" s="1">
        <v>0.3</v>
      </c>
      <c r="K202" s="1">
        <v>14000</v>
      </c>
      <c r="L202" s="2">
        <v>45297</v>
      </c>
    </row>
    <row r="203" spans="1:12" x14ac:dyDescent="0.35">
      <c r="A203" s="1" t="s">
        <v>367</v>
      </c>
      <c r="B203" s="1" t="s">
        <v>309</v>
      </c>
      <c r="C203" s="1" t="s">
        <v>14</v>
      </c>
      <c r="D203" s="1" t="s">
        <v>15</v>
      </c>
      <c r="E203" s="1" t="s">
        <v>32</v>
      </c>
      <c r="F203" s="1" t="s">
        <v>17</v>
      </c>
      <c r="G203" s="1" t="s">
        <v>26</v>
      </c>
      <c r="H203" s="1">
        <v>13640</v>
      </c>
      <c r="I203" s="1" t="s">
        <v>27</v>
      </c>
      <c r="J203" s="1"/>
      <c r="K203" s="1">
        <v>14000</v>
      </c>
      <c r="L203" s="2">
        <v>45297</v>
      </c>
    </row>
    <row r="204" spans="1:12" x14ac:dyDescent="0.35">
      <c r="A204" s="1" t="s">
        <v>368</v>
      </c>
      <c r="B204" s="1" t="s">
        <v>309</v>
      </c>
      <c r="C204" s="1" t="s">
        <v>30</v>
      </c>
      <c r="D204" s="1" t="s">
        <v>31</v>
      </c>
      <c r="E204" s="1" t="s">
        <v>16</v>
      </c>
      <c r="F204" s="1" t="s">
        <v>17</v>
      </c>
      <c r="G204" s="1" t="s">
        <v>18</v>
      </c>
      <c r="H204" s="1">
        <v>16364</v>
      </c>
      <c r="I204" s="1" t="s">
        <v>19</v>
      </c>
      <c r="J204" s="1">
        <v>0.2</v>
      </c>
      <c r="K204" s="1">
        <v>17000</v>
      </c>
      <c r="L204" s="2">
        <v>45296</v>
      </c>
    </row>
    <row r="205" spans="1:12" x14ac:dyDescent="0.35">
      <c r="A205" s="1" t="s">
        <v>369</v>
      </c>
      <c r="B205" s="1" t="s">
        <v>202</v>
      </c>
      <c r="C205" s="1" t="s">
        <v>14</v>
      </c>
      <c r="D205" s="1" t="s">
        <v>15</v>
      </c>
      <c r="E205" s="1" t="s">
        <v>16</v>
      </c>
      <c r="F205" s="1" t="s">
        <v>39</v>
      </c>
      <c r="G205" s="1" t="s">
        <v>18</v>
      </c>
      <c r="H205" s="1">
        <v>15710</v>
      </c>
      <c r="I205" s="1" t="s">
        <v>33</v>
      </c>
      <c r="J205" s="1">
        <v>0.3</v>
      </c>
      <c r="K205" s="1">
        <v>14000</v>
      </c>
      <c r="L205" s="2">
        <v>45314</v>
      </c>
    </row>
    <row r="206" spans="1:12" x14ac:dyDescent="0.35">
      <c r="A206" s="1" t="s">
        <v>370</v>
      </c>
      <c r="B206" s="1" t="s">
        <v>371</v>
      </c>
      <c r="C206" s="1" t="s">
        <v>44</v>
      </c>
      <c r="D206" s="1" t="s">
        <v>45</v>
      </c>
      <c r="E206" s="1" t="s">
        <v>32</v>
      </c>
      <c r="F206" s="1" t="s">
        <v>25</v>
      </c>
      <c r="G206" s="1" t="s">
        <v>18</v>
      </c>
      <c r="H206" s="1">
        <v>12048</v>
      </c>
      <c r="I206" s="1" t="s">
        <v>19</v>
      </c>
      <c r="J206" s="1">
        <v>0.2</v>
      </c>
      <c r="K206" s="1">
        <v>13000</v>
      </c>
      <c r="L206" s="2">
        <v>45303</v>
      </c>
    </row>
    <row r="207" spans="1:12" x14ac:dyDescent="0.35">
      <c r="A207" s="1" t="s">
        <v>372</v>
      </c>
      <c r="B207" s="1" t="s">
        <v>373</v>
      </c>
      <c r="C207" s="1" t="s">
        <v>14</v>
      </c>
      <c r="D207" s="1" t="s">
        <v>15</v>
      </c>
      <c r="E207" s="1" t="s">
        <v>32</v>
      </c>
      <c r="F207" s="1" t="s">
        <v>39</v>
      </c>
      <c r="G207" s="1" t="s">
        <v>36</v>
      </c>
      <c r="H207" s="1">
        <v>13900</v>
      </c>
      <c r="I207" s="1" t="s">
        <v>27</v>
      </c>
      <c r="J207" s="1"/>
      <c r="K207" s="1">
        <v>14000</v>
      </c>
      <c r="L207" s="2">
        <v>45340</v>
      </c>
    </row>
    <row r="208" spans="1:12" x14ac:dyDescent="0.35">
      <c r="A208" s="1" t="s">
        <v>374</v>
      </c>
      <c r="B208" s="1" t="s">
        <v>356</v>
      </c>
      <c r="C208" s="1" t="s">
        <v>30</v>
      </c>
      <c r="D208" s="1" t="s">
        <v>31</v>
      </c>
      <c r="E208" s="1" t="s">
        <v>16</v>
      </c>
      <c r="F208" s="1" t="s">
        <v>17</v>
      </c>
      <c r="G208" s="1" t="s">
        <v>18</v>
      </c>
      <c r="H208" s="1">
        <v>16801</v>
      </c>
      <c r="I208" s="1" t="s">
        <v>22</v>
      </c>
      <c r="J208" s="1">
        <v>0.1</v>
      </c>
      <c r="K208" s="1">
        <v>17000</v>
      </c>
      <c r="L208" s="2">
        <v>45322</v>
      </c>
    </row>
    <row r="209" spans="1:12" x14ac:dyDescent="0.35">
      <c r="A209" s="1" t="s">
        <v>375</v>
      </c>
      <c r="B209" s="1" t="s">
        <v>332</v>
      </c>
      <c r="C209" s="1" t="s">
        <v>30</v>
      </c>
      <c r="D209" s="1" t="s">
        <v>31</v>
      </c>
      <c r="E209" s="1" t="s">
        <v>46</v>
      </c>
      <c r="F209" s="1" t="s">
        <v>39</v>
      </c>
      <c r="G209" s="1" t="s">
        <v>18</v>
      </c>
      <c r="H209" s="1">
        <v>16441</v>
      </c>
      <c r="I209" s="1" t="s">
        <v>27</v>
      </c>
      <c r="J209" s="1"/>
      <c r="K209" s="1">
        <v>17000</v>
      </c>
      <c r="L209" s="2">
        <v>45296</v>
      </c>
    </row>
    <row r="210" spans="1:12" x14ac:dyDescent="0.35">
      <c r="A210" s="1" t="s">
        <v>376</v>
      </c>
      <c r="B210" s="1" t="s">
        <v>48</v>
      </c>
      <c r="C210" s="1" t="s">
        <v>61</v>
      </c>
      <c r="D210" s="1" t="s">
        <v>62</v>
      </c>
      <c r="E210" s="1" t="s">
        <v>32</v>
      </c>
      <c r="F210" s="1" t="s">
        <v>25</v>
      </c>
      <c r="G210" s="1" t="s">
        <v>36</v>
      </c>
      <c r="H210" s="1">
        <v>10406</v>
      </c>
      <c r="I210" s="1" t="s">
        <v>33</v>
      </c>
      <c r="J210" s="1">
        <v>0.3</v>
      </c>
      <c r="K210" s="1">
        <v>9000</v>
      </c>
      <c r="L210" s="2">
        <v>45296</v>
      </c>
    </row>
    <row r="211" spans="1:12" x14ac:dyDescent="0.35">
      <c r="A211" s="1" t="s">
        <v>377</v>
      </c>
      <c r="B211" s="1" t="s">
        <v>204</v>
      </c>
      <c r="C211" s="1" t="s">
        <v>14</v>
      </c>
      <c r="D211" s="1" t="s">
        <v>15</v>
      </c>
      <c r="E211" s="1" t="s">
        <v>16</v>
      </c>
      <c r="F211" s="1" t="s">
        <v>39</v>
      </c>
      <c r="G211" s="1" t="s">
        <v>26</v>
      </c>
      <c r="H211" s="1">
        <v>13574</v>
      </c>
      <c r="I211" s="1"/>
      <c r="J211" s="1"/>
      <c r="K211" s="1">
        <v>14000</v>
      </c>
      <c r="L211" s="2">
        <v>45329</v>
      </c>
    </row>
    <row r="212" spans="1:12" x14ac:dyDescent="0.35">
      <c r="A212" s="1" t="s">
        <v>378</v>
      </c>
      <c r="B212" s="1" t="s">
        <v>82</v>
      </c>
      <c r="C212" s="1" t="s">
        <v>14</v>
      </c>
      <c r="D212" s="1" t="s">
        <v>15</v>
      </c>
      <c r="E212" s="1" t="s">
        <v>46</v>
      </c>
      <c r="F212" s="1" t="s">
        <v>39</v>
      </c>
      <c r="G212" s="1" t="s">
        <v>26</v>
      </c>
      <c r="H212" s="1">
        <v>12771</v>
      </c>
      <c r="I212" s="1" t="s">
        <v>33</v>
      </c>
      <c r="J212" s="1">
        <v>0.3</v>
      </c>
      <c r="K212" s="1">
        <v>14000</v>
      </c>
      <c r="L212" s="2">
        <v>45330</v>
      </c>
    </row>
    <row r="213" spans="1:12" x14ac:dyDescent="0.35">
      <c r="A213" s="1" t="s">
        <v>379</v>
      </c>
      <c r="B213" s="1" t="s">
        <v>330</v>
      </c>
      <c r="C213" s="1" t="s">
        <v>44</v>
      </c>
      <c r="D213" s="1" t="s">
        <v>45</v>
      </c>
      <c r="E213" s="1" t="s">
        <v>32</v>
      </c>
      <c r="F213" s="1" t="s">
        <v>17</v>
      </c>
      <c r="G213" s="1" t="s">
        <v>18</v>
      </c>
      <c r="H213" s="1">
        <v>14321</v>
      </c>
      <c r="I213" s="1" t="s">
        <v>33</v>
      </c>
      <c r="J213" s="1">
        <v>0.3</v>
      </c>
      <c r="K213" s="1">
        <v>13000</v>
      </c>
      <c r="L213" s="2">
        <v>45337</v>
      </c>
    </row>
    <row r="214" spans="1:12" x14ac:dyDescent="0.35">
      <c r="A214" s="1" t="s">
        <v>380</v>
      </c>
      <c r="B214" s="1" t="s">
        <v>241</v>
      </c>
      <c r="C214" s="1" t="s">
        <v>44</v>
      </c>
      <c r="D214" s="1" t="s">
        <v>45</v>
      </c>
      <c r="E214" s="1" t="s">
        <v>32</v>
      </c>
      <c r="F214" s="1" t="s">
        <v>25</v>
      </c>
      <c r="G214" s="1" t="s">
        <v>26</v>
      </c>
      <c r="H214" s="1">
        <v>12793</v>
      </c>
      <c r="I214" s="1"/>
      <c r="J214" s="1"/>
      <c r="K214" s="1">
        <v>13000</v>
      </c>
      <c r="L214" s="2">
        <v>45325</v>
      </c>
    </row>
    <row r="215" spans="1:12" x14ac:dyDescent="0.35">
      <c r="A215" s="1" t="s">
        <v>381</v>
      </c>
      <c r="B215" s="1" t="s">
        <v>382</v>
      </c>
      <c r="C215" s="1" t="s">
        <v>44</v>
      </c>
      <c r="D215" s="1" t="s">
        <v>45</v>
      </c>
      <c r="E215" s="1" t="s">
        <v>46</v>
      </c>
      <c r="F215" s="1" t="s">
        <v>17</v>
      </c>
      <c r="G215" s="1" t="s">
        <v>36</v>
      </c>
      <c r="H215" s="1">
        <v>12586</v>
      </c>
      <c r="I215" s="1"/>
      <c r="J215" s="1"/>
      <c r="K215" s="1">
        <v>13000</v>
      </c>
      <c r="L215" s="2">
        <v>45341</v>
      </c>
    </row>
    <row r="216" spans="1:12" x14ac:dyDescent="0.35">
      <c r="A216" s="1" t="s">
        <v>383</v>
      </c>
      <c r="B216" s="1" t="s">
        <v>150</v>
      </c>
      <c r="C216" s="1" t="s">
        <v>14</v>
      </c>
      <c r="D216" s="1" t="s">
        <v>15</v>
      </c>
      <c r="E216" s="1" t="s">
        <v>16</v>
      </c>
      <c r="F216" s="1" t="s">
        <v>39</v>
      </c>
      <c r="G216" s="1" t="s">
        <v>36</v>
      </c>
      <c r="H216" s="1">
        <v>12269</v>
      </c>
      <c r="I216" s="1" t="s">
        <v>33</v>
      </c>
      <c r="J216" s="1">
        <v>0.3</v>
      </c>
      <c r="K216" s="1">
        <v>14000</v>
      </c>
      <c r="L216" s="2">
        <v>45298</v>
      </c>
    </row>
    <row r="217" spans="1:12" x14ac:dyDescent="0.35">
      <c r="A217" s="1" t="s">
        <v>384</v>
      </c>
      <c r="B217" s="1" t="s">
        <v>202</v>
      </c>
      <c r="C217" s="1" t="s">
        <v>61</v>
      </c>
      <c r="D217" s="1" t="s">
        <v>62</v>
      </c>
      <c r="E217" s="1" t="s">
        <v>46</v>
      </c>
      <c r="F217" s="1" t="s">
        <v>17</v>
      </c>
      <c r="G217" s="1" t="s">
        <v>26</v>
      </c>
      <c r="H217" s="1">
        <v>10488</v>
      </c>
      <c r="I217" s="1" t="s">
        <v>27</v>
      </c>
      <c r="J217" s="1"/>
      <c r="K217" s="1">
        <v>9000</v>
      </c>
      <c r="L217" s="2">
        <v>45347</v>
      </c>
    </row>
    <row r="218" spans="1:12" x14ac:dyDescent="0.35">
      <c r="A218" s="1" t="s">
        <v>385</v>
      </c>
      <c r="B218" s="1" t="s">
        <v>74</v>
      </c>
      <c r="C218" s="1" t="s">
        <v>14</v>
      </c>
      <c r="D218" s="1" t="s">
        <v>15</v>
      </c>
      <c r="E218" s="1" t="s">
        <v>16</v>
      </c>
      <c r="F218" s="1" t="s">
        <v>39</v>
      </c>
      <c r="G218" s="1" t="s">
        <v>18</v>
      </c>
      <c r="H218" s="1">
        <v>15754</v>
      </c>
      <c r="I218" s="1" t="s">
        <v>33</v>
      </c>
      <c r="J218" s="1">
        <v>0.3</v>
      </c>
      <c r="K218" s="1">
        <v>14000</v>
      </c>
      <c r="L218" s="2">
        <v>45311</v>
      </c>
    </row>
    <row r="219" spans="1:12" x14ac:dyDescent="0.35">
      <c r="A219" s="1" t="s">
        <v>386</v>
      </c>
      <c r="B219" s="1" t="s">
        <v>305</v>
      </c>
      <c r="C219" s="1" t="s">
        <v>61</v>
      </c>
      <c r="D219" s="1" t="s">
        <v>62</v>
      </c>
      <c r="E219" s="1" t="s">
        <v>32</v>
      </c>
      <c r="F219" s="1" t="s">
        <v>39</v>
      </c>
      <c r="G219" s="1" t="s">
        <v>26</v>
      </c>
      <c r="H219" s="1">
        <v>10842</v>
      </c>
      <c r="I219" s="1" t="s">
        <v>22</v>
      </c>
      <c r="J219" s="1">
        <v>0.1</v>
      </c>
      <c r="K219" s="1">
        <v>9000</v>
      </c>
      <c r="L219" s="2">
        <v>45311</v>
      </c>
    </row>
    <row r="220" spans="1:12" x14ac:dyDescent="0.35">
      <c r="A220" s="1" t="s">
        <v>387</v>
      </c>
      <c r="B220" s="1" t="s">
        <v>388</v>
      </c>
      <c r="C220" s="1" t="s">
        <v>30</v>
      </c>
      <c r="D220" s="1" t="s">
        <v>31</v>
      </c>
      <c r="E220" s="1" t="s">
        <v>32</v>
      </c>
      <c r="F220" s="1" t="s">
        <v>39</v>
      </c>
      <c r="G220" s="1" t="s">
        <v>26</v>
      </c>
      <c r="H220" s="1">
        <v>18395</v>
      </c>
      <c r="I220" s="1" t="s">
        <v>27</v>
      </c>
      <c r="J220" s="1"/>
      <c r="K220" s="1">
        <v>17000</v>
      </c>
      <c r="L220" s="2">
        <v>45297</v>
      </c>
    </row>
    <row r="221" spans="1:12" x14ac:dyDescent="0.35">
      <c r="A221" s="1" t="s">
        <v>389</v>
      </c>
      <c r="B221" s="1" t="s">
        <v>92</v>
      </c>
      <c r="C221" s="1" t="s">
        <v>61</v>
      </c>
      <c r="D221" s="1" t="s">
        <v>62</v>
      </c>
      <c r="E221" s="1" t="s">
        <v>16</v>
      </c>
      <c r="F221" s="1" t="s">
        <v>17</v>
      </c>
      <c r="G221" s="1" t="s">
        <v>18</v>
      </c>
      <c r="H221" s="1">
        <v>8485</v>
      </c>
      <c r="I221" s="1" t="s">
        <v>33</v>
      </c>
      <c r="J221" s="1">
        <v>0.3</v>
      </c>
      <c r="K221" s="1">
        <v>9000</v>
      </c>
      <c r="L221" s="2">
        <v>45303</v>
      </c>
    </row>
    <row r="222" spans="1:12" x14ac:dyDescent="0.35">
      <c r="A222" s="1" t="s">
        <v>390</v>
      </c>
      <c r="B222" s="1" t="s">
        <v>391</v>
      </c>
      <c r="C222" s="1" t="s">
        <v>61</v>
      </c>
      <c r="D222" s="1" t="s">
        <v>62</v>
      </c>
      <c r="E222" s="1" t="s">
        <v>32</v>
      </c>
      <c r="F222" s="1" t="s">
        <v>25</v>
      </c>
      <c r="G222" s="1" t="s">
        <v>18</v>
      </c>
      <c r="H222" s="1">
        <v>7634</v>
      </c>
      <c r="I222" s="1" t="s">
        <v>22</v>
      </c>
      <c r="J222" s="1">
        <v>0.1</v>
      </c>
      <c r="K222" s="1">
        <v>9000</v>
      </c>
      <c r="L222" s="2">
        <v>45310</v>
      </c>
    </row>
    <row r="223" spans="1:12" x14ac:dyDescent="0.35">
      <c r="A223" s="1" t="s">
        <v>392</v>
      </c>
      <c r="B223" s="1" t="s">
        <v>393</v>
      </c>
      <c r="C223" s="1" t="s">
        <v>14</v>
      </c>
      <c r="D223" s="1" t="s">
        <v>15</v>
      </c>
      <c r="E223" s="1" t="s">
        <v>16</v>
      </c>
      <c r="F223" s="1" t="s">
        <v>39</v>
      </c>
      <c r="G223" s="1" t="s">
        <v>26</v>
      </c>
      <c r="H223" s="1">
        <v>15619</v>
      </c>
      <c r="I223" s="1" t="s">
        <v>27</v>
      </c>
      <c r="J223" s="1"/>
      <c r="K223" s="1">
        <v>14000</v>
      </c>
      <c r="L223" s="2">
        <v>45294</v>
      </c>
    </row>
    <row r="224" spans="1:12" x14ac:dyDescent="0.35">
      <c r="A224" s="1" t="s">
        <v>394</v>
      </c>
      <c r="B224" s="1" t="s">
        <v>317</v>
      </c>
      <c r="C224" s="1" t="s">
        <v>44</v>
      </c>
      <c r="D224" s="1" t="s">
        <v>45</v>
      </c>
      <c r="E224" s="1" t="s">
        <v>16</v>
      </c>
      <c r="F224" s="1" t="s">
        <v>17</v>
      </c>
      <c r="G224" s="1" t="s">
        <v>18</v>
      </c>
      <c r="H224" s="1">
        <v>11664</v>
      </c>
      <c r="I224" s="1" t="s">
        <v>19</v>
      </c>
      <c r="J224" s="1">
        <v>0.2</v>
      </c>
      <c r="K224" s="1">
        <v>13000</v>
      </c>
      <c r="L224" s="2">
        <v>45345</v>
      </c>
    </row>
    <row r="225" spans="1:12" x14ac:dyDescent="0.35">
      <c r="A225" s="1" t="s">
        <v>395</v>
      </c>
      <c r="B225" s="1" t="s">
        <v>276</v>
      </c>
      <c r="C225" s="1" t="s">
        <v>44</v>
      </c>
      <c r="D225" s="1" t="s">
        <v>45</v>
      </c>
      <c r="E225" s="1" t="s">
        <v>16</v>
      </c>
      <c r="F225" s="1" t="s">
        <v>17</v>
      </c>
      <c r="G225" s="1" t="s">
        <v>18</v>
      </c>
      <c r="H225" s="1">
        <v>12682</v>
      </c>
      <c r="I225" s="1" t="s">
        <v>33</v>
      </c>
      <c r="J225" s="1">
        <v>0.3</v>
      </c>
      <c r="K225" s="1">
        <v>13000</v>
      </c>
      <c r="L225" s="2">
        <v>45335</v>
      </c>
    </row>
    <row r="226" spans="1:12" x14ac:dyDescent="0.35">
      <c r="A226" s="1" t="s">
        <v>396</v>
      </c>
      <c r="B226" s="1" t="s">
        <v>397</v>
      </c>
      <c r="C226" s="1" t="s">
        <v>61</v>
      </c>
      <c r="D226" s="1" t="s">
        <v>62</v>
      </c>
      <c r="E226" s="1" t="s">
        <v>16</v>
      </c>
      <c r="F226" s="1" t="s">
        <v>17</v>
      </c>
      <c r="G226" s="1" t="s">
        <v>26</v>
      </c>
      <c r="H226" s="1">
        <v>10210</v>
      </c>
      <c r="I226" s="1"/>
      <c r="J226" s="1"/>
      <c r="K226" s="1">
        <v>9000</v>
      </c>
      <c r="L226" s="2">
        <v>45306</v>
      </c>
    </row>
    <row r="227" spans="1:12" x14ac:dyDescent="0.35">
      <c r="A227" s="1" t="s">
        <v>398</v>
      </c>
      <c r="B227" s="1" t="s">
        <v>346</v>
      </c>
      <c r="C227" s="1" t="s">
        <v>30</v>
      </c>
      <c r="D227" s="1" t="s">
        <v>31</v>
      </c>
      <c r="E227" s="1" t="s">
        <v>46</v>
      </c>
      <c r="F227" s="1" t="s">
        <v>25</v>
      </c>
      <c r="G227" s="1" t="s">
        <v>36</v>
      </c>
      <c r="H227" s="1">
        <v>17778</v>
      </c>
      <c r="I227" s="1" t="s">
        <v>27</v>
      </c>
      <c r="J227" s="1"/>
      <c r="K227" s="1">
        <v>17000</v>
      </c>
      <c r="L227" s="2">
        <v>45320</v>
      </c>
    </row>
    <row r="228" spans="1:12" x14ac:dyDescent="0.35">
      <c r="A228" s="1" t="s">
        <v>399</v>
      </c>
      <c r="B228" s="1" t="s">
        <v>157</v>
      </c>
      <c r="C228" s="1" t="s">
        <v>30</v>
      </c>
      <c r="D228" s="1" t="s">
        <v>31</v>
      </c>
      <c r="E228" s="1" t="s">
        <v>46</v>
      </c>
      <c r="F228" s="1" t="s">
        <v>39</v>
      </c>
      <c r="G228" s="1" t="s">
        <v>26</v>
      </c>
      <c r="H228" s="1">
        <v>16714</v>
      </c>
      <c r="I228" s="1" t="s">
        <v>19</v>
      </c>
      <c r="J228" s="1">
        <v>0.2</v>
      </c>
      <c r="K228" s="1">
        <v>17000</v>
      </c>
      <c r="L228" s="2">
        <v>45344</v>
      </c>
    </row>
    <row r="229" spans="1:12" x14ac:dyDescent="0.35">
      <c r="A229" s="1" t="s">
        <v>400</v>
      </c>
      <c r="B229" s="1" t="s">
        <v>401</v>
      </c>
      <c r="C229" s="1" t="s">
        <v>44</v>
      </c>
      <c r="D229" s="1" t="s">
        <v>45</v>
      </c>
      <c r="E229" s="1" t="s">
        <v>46</v>
      </c>
      <c r="F229" s="1" t="s">
        <v>25</v>
      </c>
      <c r="G229" s="1" t="s">
        <v>26</v>
      </c>
      <c r="H229" s="1">
        <v>12968</v>
      </c>
      <c r="I229" s="1" t="s">
        <v>33</v>
      </c>
      <c r="J229" s="1">
        <v>0.3</v>
      </c>
      <c r="K229" s="1">
        <v>13000</v>
      </c>
      <c r="L229" s="2">
        <v>45327</v>
      </c>
    </row>
    <row r="230" spans="1:12" x14ac:dyDescent="0.35">
      <c r="A230" s="1" t="s">
        <v>402</v>
      </c>
      <c r="B230" s="1" t="s">
        <v>403</v>
      </c>
      <c r="C230" s="1" t="s">
        <v>14</v>
      </c>
      <c r="D230" s="1" t="s">
        <v>15</v>
      </c>
      <c r="E230" s="1" t="s">
        <v>46</v>
      </c>
      <c r="F230" s="1" t="s">
        <v>25</v>
      </c>
      <c r="G230" s="1" t="s">
        <v>18</v>
      </c>
      <c r="H230" s="1">
        <v>13117</v>
      </c>
      <c r="I230" s="1"/>
      <c r="J230" s="1"/>
      <c r="K230" s="1">
        <v>14000</v>
      </c>
      <c r="L230" s="2">
        <v>45349</v>
      </c>
    </row>
    <row r="231" spans="1:12" x14ac:dyDescent="0.35">
      <c r="A231" s="1" t="s">
        <v>404</v>
      </c>
      <c r="B231" s="1" t="s">
        <v>80</v>
      </c>
      <c r="C231" s="1" t="s">
        <v>61</v>
      </c>
      <c r="D231" s="1" t="s">
        <v>62</v>
      </c>
      <c r="E231" s="1" t="s">
        <v>32</v>
      </c>
      <c r="F231" s="1" t="s">
        <v>25</v>
      </c>
      <c r="G231" s="1" t="s">
        <v>36</v>
      </c>
      <c r="H231" s="1">
        <v>10623</v>
      </c>
      <c r="I231" s="1" t="s">
        <v>33</v>
      </c>
      <c r="J231" s="1">
        <v>0.3</v>
      </c>
      <c r="K231" s="1">
        <v>9000</v>
      </c>
      <c r="L231" s="2">
        <v>45351</v>
      </c>
    </row>
    <row r="232" spans="1:12" x14ac:dyDescent="0.35">
      <c r="A232" s="1" t="s">
        <v>405</v>
      </c>
      <c r="B232" s="1" t="s">
        <v>406</v>
      </c>
      <c r="C232" s="1" t="s">
        <v>14</v>
      </c>
      <c r="D232" s="1" t="s">
        <v>15</v>
      </c>
      <c r="E232" s="1" t="s">
        <v>46</v>
      </c>
      <c r="F232" s="1" t="s">
        <v>39</v>
      </c>
      <c r="G232" s="1" t="s">
        <v>36</v>
      </c>
      <c r="H232" s="1">
        <v>12965</v>
      </c>
      <c r="I232" s="1"/>
      <c r="J232" s="1"/>
      <c r="K232" s="1">
        <v>14000</v>
      </c>
      <c r="L232" s="2">
        <v>45297</v>
      </c>
    </row>
    <row r="233" spans="1:12" x14ac:dyDescent="0.35">
      <c r="A233" s="1" t="s">
        <v>407</v>
      </c>
      <c r="B233" s="1" t="s">
        <v>408</v>
      </c>
      <c r="C233" s="1" t="s">
        <v>14</v>
      </c>
      <c r="D233" s="1" t="s">
        <v>15</v>
      </c>
      <c r="E233" s="1" t="s">
        <v>46</v>
      </c>
      <c r="F233" s="1" t="s">
        <v>25</v>
      </c>
      <c r="G233" s="1" t="s">
        <v>26</v>
      </c>
      <c r="H233" s="1">
        <v>14662</v>
      </c>
      <c r="I233" s="1" t="s">
        <v>33</v>
      </c>
      <c r="J233" s="1">
        <v>0.3</v>
      </c>
      <c r="K233" s="1">
        <v>14000</v>
      </c>
      <c r="L233" s="2">
        <v>45342</v>
      </c>
    </row>
    <row r="234" spans="1:12" x14ac:dyDescent="0.35">
      <c r="A234" s="1" t="s">
        <v>409</v>
      </c>
      <c r="B234" s="1" t="s">
        <v>175</v>
      </c>
      <c r="C234" s="1" t="s">
        <v>14</v>
      </c>
      <c r="D234" s="1" t="s">
        <v>15</v>
      </c>
      <c r="E234" s="1" t="s">
        <v>46</v>
      </c>
      <c r="F234" s="1" t="s">
        <v>17</v>
      </c>
      <c r="G234" s="1" t="s">
        <v>26</v>
      </c>
      <c r="H234" s="1">
        <v>15404</v>
      </c>
      <c r="I234" s="1" t="s">
        <v>19</v>
      </c>
      <c r="J234" s="1">
        <v>0.2</v>
      </c>
      <c r="K234" s="1">
        <v>14000</v>
      </c>
      <c r="L234" s="2">
        <v>45340</v>
      </c>
    </row>
    <row r="235" spans="1:12" x14ac:dyDescent="0.35">
      <c r="A235" s="1" t="s">
        <v>410</v>
      </c>
      <c r="B235" s="1" t="s">
        <v>334</v>
      </c>
      <c r="C235" s="1" t="s">
        <v>61</v>
      </c>
      <c r="D235" s="1" t="s">
        <v>62</v>
      </c>
      <c r="E235" s="1" t="s">
        <v>16</v>
      </c>
      <c r="F235" s="1" t="s">
        <v>25</v>
      </c>
      <c r="G235" s="1" t="s">
        <v>18</v>
      </c>
      <c r="H235" s="1">
        <v>7077</v>
      </c>
      <c r="I235" s="1" t="s">
        <v>33</v>
      </c>
      <c r="J235" s="1">
        <v>0.3</v>
      </c>
      <c r="K235" s="1">
        <v>9000</v>
      </c>
      <c r="L235" s="2">
        <v>45305</v>
      </c>
    </row>
    <row r="236" spans="1:12" x14ac:dyDescent="0.35">
      <c r="A236" s="1" t="s">
        <v>411</v>
      </c>
      <c r="B236" s="1" t="s">
        <v>412</v>
      </c>
      <c r="C236" s="1" t="s">
        <v>61</v>
      </c>
      <c r="D236" s="1" t="s">
        <v>62</v>
      </c>
      <c r="E236" s="1" t="s">
        <v>32</v>
      </c>
      <c r="F236" s="1" t="s">
        <v>17</v>
      </c>
      <c r="G236" s="1" t="s">
        <v>18</v>
      </c>
      <c r="H236" s="1">
        <v>8233</v>
      </c>
      <c r="I236" s="1" t="s">
        <v>22</v>
      </c>
      <c r="J236" s="1">
        <v>0.1</v>
      </c>
      <c r="K236" s="1">
        <v>9000</v>
      </c>
      <c r="L236" s="2">
        <v>45295</v>
      </c>
    </row>
    <row r="237" spans="1:12" x14ac:dyDescent="0.35">
      <c r="A237" s="1" t="s">
        <v>413</v>
      </c>
      <c r="B237" s="1" t="s">
        <v>414</v>
      </c>
      <c r="C237" s="1" t="s">
        <v>61</v>
      </c>
      <c r="D237" s="1" t="s">
        <v>62</v>
      </c>
      <c r="E237" s="1" t="s">
        <v>32</v>
      </c>
      <c r="F237" s="1" t="s">
        <v>25</v>
      </c>
      <c r="G237" s="1" t="s">
        <v>36</v>
      </c>
      <c r="H237" s="1">
        <v>9444</v>
      </c>
      <c r="I237" s="1" t="s">
        <v>27</v>
      </c>
      <c r="J237" s="1"/>
      <c r="K237" s="1">
        <v>9000</v>
      </c>
      <c r="L237" s="2">
        <v>45293</v>
      </c>
    </row>
    <row r="238" spans="1:12" x14ac:dyDescent="0.35">
      <c r="A238" s="1" t="s">
        <v>415</v>
      </c>
      <c r="B238" s="1" t="s">
        <v>416</v>
      </c>
      <c r="C238" s="1" t="s">
        <v>44</v>
      </c>
      <c r="D238" s="1" t="s">
        <v>45</v>
      </c>
      <c r="E238" s="1" t="s">
        <v>16</v>
      </c>
      <c r="F238" s="1" t="s">
        <v>25</v>
      </c>
      <c r="G238" s="1" t="s">
        <v>36</v>
      </c>
      <c r="H238" s="1">
        <v>12758</v>
      </c>
      <c r="I238" s="1" t="s">
        <v>22</v>
      </c>
      <c r="J238" s="1">
        <v>0.1</v>
      </c>
      <c r="K238" s="1">
        <v>13000</v>
      </c>
      <c r="L238" s="2">
        <v>45331</v>
      </c>
    </row>
    <row r="239" spans="1:12" x14ac:dyDescent="0.35">
      <c r="A239" s="1" t="s">
        <v>417</v>
      </c>
      <c r="B239" s="1" t="s">
        <v>408</v>
      </c>
      <c r="C239" s="1" t="s">
        <v>61</v>
      </c>
      <c r="D239" s="1" t="s">
        <v>62</v>
      </c>
      <c r="E239" s="1" t="s">
        <v>32</v>
      </c>
      <c r="F239" s="1" t="s">
        <v>39</v>
      </c>
      <c r="G239" s="1" t="s">
        <v>26</v>
      </c>
      <c r="H239" s="1">
        <v>7350</v>
      </c>
      <c r="I239" s="1" t="s">
        <v>27</v>
      </c>
      <c r="J239" s="1"/>
      <c r="K239" s="1">
        <v>9000</v>
      </c>
      <c r="L239" s="2">
        <v>45315</v>
      </c>
    </row>
    <row r="240" spans="1:12" x14ac:dyDescent="0.35">
      <c r="A240" s="1" t="s">
        <v>418</v>
      </c>
      <c r="B240" s="1" t="s">
        <v>241</v>
      </c>
      <c r="C240" s="1" t="s">
        <v>14</v>
      </c>
      <c r="D240" s="1" t="s">
        <v>15</v>
      </c>
      <c r="E240" s="1" t="s">
        <v>46</v>
      </c>
      <c r="F240" s="1" t="s">
        <v>17</v>
      </c>
      <c r="G240" s="1" t="s">
        <v>18</v>
      </c>
      <c r="H240" s="1">
        <v>14603</v>
      </c>
      <c r="I240" s="1"/>
      <c r="J240" s="1"/>
      <c r="K240" s="1">
        <v>14000</v>
      </c>
      <c r="L240" s="2">
        <v>45315</v>
      </c>
    </row>
    <row r="241" spans="1:12" x14ac:dyDescent="0.35">
      <c r="A241" s="1" t="s">
        <v>419</v>
      </c>
      <c r="B241" s="1" t="s">
        <v>350</v>
      </c>
      <c r="C241" s="1" t="s">
        <v>14</v>
      </c>
      <c r="D241" s="1" t="s">
        <v>15</v>
      </c>
      <c r="E241" s="1" t="s">
        <v>46</v>
      </c>
      <c r="F241" s="1" t="s">
        <v>25</v>
      </c>
      <c r="G241" s="1" t="s">
        <v>36</v>
      </c>
      <c r="H241" s="1">
        <v>12987</v>
      </c>
      <c r="I241" s="1" t="s">
        <v>22</v>
      </c>
      <c r="J241" s="1">
        <v>0.1</v>
      </c>
      <c r="K241" s="1">
        <v>14000</v>
      </c>
      <c r="L241" s="2">
        <v>45341</v>
      </c>
    </row>
    <row r="242" spans="1:12" x14ac:dyDescent="0.35">
      <c r="A242" s="1" t="s">
        <v>420</v>
      </c>
      <c r="B242" s="1" t="s">
        <v>233</v>
      </c>
      <c r="C242" s="1" t="s">
        <v>30</v>
      </c>
      <c r="D242" s="1" t="s">
        <v>31</v>
      </c>
      <c r="E242" s="1" t="s">
        <v>32</v>
      </c>
      <c r="F242" s="1" t="s">
        <v>25</v>
      </c>
      <c r="G242" s="1" t="s">
        <v>36</v>
      </c>
      <c r="H242" s="1">
        <v>17236</v>
      </c>
      <c r="I242" s="1" t="s">
        <v>33</v>
      </c>
      <c r="J242" s="1">
        <v>0.3</v>
      </c>
      <c r="K242" s="1">
        <v>17000</v>
      </c>
      <c r="L242" s="2">
        <v>45344</v>
      </c>
    </row>
    <row r="243" spans="1:12" x14ac:dyDescent="0.35">
      <c r="A243" s="1" t="s">
        <v>421</v>
      </c>
      <c r="B243" s="1" t="s">
        <v>422</v>
      </c>
      <c r="C243" s="1" t="s">
        <v>61</v>
      </c>
      <c r="D243" s="1" t="s">
        <v>62</v>
      </c>
      <c r="E243" s="1" t="s">
        <v>16</v>
      </c>
      <c r="F243" s="1" t="s">
        <v>17</v>
      </c>
      <c r="G243" s="1" t="s">
        <v>26</v>
      </c>
      <c r="H243" s="1">
        <v>7746</v>
      </c>
      <c r="I243" s="1" t="s">
        <v>19</v>
      </c>
      <c r="J243" s="1">
        <v>0.2</v>
      </c>
      <c r="K243" s="1">
        <v>9000</v>
      </c>
      <c r="L243" s="2">
        <v>45296</v>
      </c>
    </row>
    <row r="244" spans="1:12" x14ac:dyDescent="0.35">
      <c r="A244" s="1" t="s">
        <v>423</v>
      </c>
      <c r="B244" s="1" t="s">
        <v>276</v>
      </c>
      <c r="C244" s="1" t="s">
        <v>61</v>
      </c>
      <c r="D244" s="1" t="s">
        <v>62</v>
      </c>
      <c r="E244" s="1" t="s">
        <v>32</v>
      </c>
      <c r="F244" s="1" t="s">
        <v>17</v>
      </c>
      <c r="G244" s="1" t="s">
        <v>18</v>
      </c>
      <c r="H244" s="1">
        <v>7179</v>
      </c>
      <c r="I244" s="1" t="s">
        <v>19</v>
      </c>
      <c r="J244" s="1">
        <v>0.2</v>
      </c>
      <c r="K244" s="1">
        <v>9000</v>
      </c>
      <c r="L244" s="2">
        <v>45348</v>
      </c>
    </row>
    <row r="245" spans="1:12" x14ac:dyDescent="0.35">
      <c r="A245" s="1" t="s">
        <v>424</v>
      </c>
      <c r="B245" s="1" t="s">
        <v>125</v>
      </c>
      <c r="C245" s="1" t="s">
        <v>30</v>
      </c>
      <c r="D245" s="1" t="s">
        <v>31</v>
      </c>
      <c r="E245" s="1" t="s">
        <v>16</v>
      </c>
      <c r="F245" s="1" t="s">
        <v>17</v>
      </c>
      <c r="G245" s="1" t="s">
        <v>26</v>
      </c>
      <c r="H245" s="1">
        <v>16939</v>
      </c>
      <c r="I245" s="1" t="s">
        <v>33</v>
      </c>
      <c r="J245" s="1">
        <v>0.3</v>
      </c>
      <c r="K245" s="1">
        <v>17000</v>
      </c>
      <c r="L245" s="2">
        <v>45294</v>
      </c>
    </row>
    <row r="246" spans="1:12" x14ac:dyDescent="0.35">
      <c r="A246" s="1" t="s">
        <v>425</v>
      </c>
      <c r="B246" s="1" t="s">
        <v>426</v>
      </c>
      <c r="C246" s="1" t="s">
        <v>44</v>
      </c>
      <c r="D246" s="1" t="s">
        <v>45</v>
      </c>
      <c r="E246" s="1" t="s">
        <v>46</v>
      </c>
      <c r="F246" s="1" t="s">
        <v>17</v>
      </c>
      <c r="G246" s="1" t="s">
        <v>18</v>
      </c>
      <c r="H246" s="1">
        <v>14546</v>
      </c>
      <c r="I246" s="1" t="s">
        <v>33</v>
      </c>
      <c r="J246" s="1">
        <v>0.3</v>
      </c>
      <c r="K246" s="1">
        <v>13000</v>
      </c>
      <c r="L246" s="2">
        <v>45309</v>
      </c>
    </row>
    <row r="247" spans="1:12" x14ac:dyDescent="0.35">
      <c r="A247" s="1" t="s">
        <v>427</v>
      </c>
      <c r="B247" s="1" t="s">
        <v>200</v>
      </c>
      <c r="C247" s="1" t="s">
        <v>30</v>
      </c>
      <c r="D247" s="1" t="s">
        <v>31</v>
      </c>
      <c r="E247" s="1" t="s">
        <v>46</v>
      </c>
      <c r="F247" s="1" t="s">
        <v>17</v>
      </c>
      <c r="G247" s="1" t="s">
        <v>26</v>
      </c>
      <c r="H247" s="1">
        <v>16801</v>
      </c>
      <c r="I247" s="1"/>
      <c r="J247" s="1"/>
      <c r="K247" s="1">
        <v>17000</v>
      </c>
      <c r="L247" s="2">
        <v>45313</v>
      </c>
    </row>
    <row r="248" spans="1:12" x14ac:dyDescent="0.35">
      <c r="A248" s="1" t="s">
        <v>428</v>
      </c>
      <c r="B248" s="1" t="s">
        <v>429</v>
      </c>
      <c r="C248" s="1" t="s">
        <v>61</v>
      </c>
      <c r="D248" s="1" t="s">
        <v>62</v>
      </c>
      <c r="E248" s="1" t="s">
        <v>46</v>
      </c>
      <c r="F248" s="1" t="s">
        <v>39</v>
      </c>
      <c r="G248" s="1" t="s">
        <v>36</v>
      </c>
      <c r="H248" s="1">
        <v>10281</v>
      </c>
      <c r="I248" s="1" t="s">
        <v>22</v>
      </c>
      <c r="J248" s="1">
        <v>0.1</v>
      </c>
      <c r="K248" s="1">
        <v>9000</v>
      </c>
      <c r="L248" s="2">
        <v>45338</v>
      </c>
    </row>
    <row r="249" spans="1:12" x14ac:dyDescent="0.35">
      <c r="A249" s="1" t="s">
        <v>430</v>
      </c>
      <c r="B249" s="1" t="s">
        <v>41</v>
      </c>
      <c r="C249" s="1" t="s">
        <v>61</v>
      </c>
      <c r="D249" s="1" t="s">
        <v>62</v>
      </c>
      <c r="E249" s="1" t="s">
        <v>16</v>
      </c>
      <c r="F249" s="1" t="s">
        <v>25</v>
      </c>
      <c r="G249" s="1" t="s">
        <v>26</v>
      </c>
      <c r="H249" s="1">
        <v>8203</v>
      </c>
      <c r="I249" s="1" t="s">
        <v>33</v>
      </c>
      <c r="J249" s="1">
        <v>0.3</v>
      </c>
      <c r="K249" s="1">
        <v>9000</v>
      </c>
      <c r="L249" s="2">
        <v>45298</v>
      </c>
    </row>
    <row r="250" spans="1:12" x14ac:dyDescent="0.35">
      <c r="A250" s="1" t="s">
        <v>431</v>
      </c>
      <c r="B250" s="1" t="s">
        <v>432</v>
      </c>
      <c r="C250" s="1" t="s">
        <v>30</v>
      </c>
      <c r="D250" s="1" t="s">
        <v>31</v>
      </c>
      <c r="E250" s="1" t="s">
        <v>46</v>
      </c>
      <c r="F250" s="1" t="s">
        <v>17</v>
      </c>
      <c r="G250" s="1" t="s">
        <v>26</v>
      </c>
      <c r="H250" s="1">
        <v>17939</v>
      </c>
      <c r="I250" s="1"/>
      <c r="J250" s="1"/>
      <c r="K250" s="1">
        <v>17000</v>
      </c>
      <c r="L250" s="2">
        <v>45302</v>
      </c>
    </row>
    <row r="251" spans="1:12" x14ac:dyDescent="0.35">
      <c r="A251" s="1" t="s">
        <v>433</v>
      </c>
      <c r="B251" s="1" t="s">
        <v>334</v>
      </c>
      <c r="C251" s="1" t="s">
        <v>30</v>
      </c>
      <c r="D251" s="1" t="s">
        <v>31</v>
      </c>
      <c r="E251" s="1" t="s">
        <v>46</v>
      </c>
      <c r="F251" s="1" t="s">
        <v>25</v>
      </c>
      <c r="G251" s="1" t="s">
        <v>26</v>
      </c>
      <c r="H251" s="1">
        <v>18563</v>
      </c>
      <c r="I251" s="1" t="s">
        <v>33</v>
      </c>
      <c r="J251" s="1">
        <v>0.3</v>
      </c>
      <c r="K251" s="1">
        <v>17000</v>
      </c>
      <c r="L251" s="2">
        <v>45331</v>
      </c>
    </row>
    <row r="252" spans="1:12" x14ac:dyDescent="0.35">
      <c r="A252" s="1" t="s">
        <v>434</v>
      </c>
      <c r="B252" s="1" t="s">
        <v>435</v>
      </c>
      <c r="C252" s="1" t="s">
        <v>14</v>
      </c>
      <c r="D252" s="1" t="s">
        <v>15</v>
      </c>
      <c r="E252" s="1" t="s">
        <v>32</v>
      </c>
      <c r="F252" s="1" t="s">
        <v>39</v>
      </c>
      <c r="G252" s="1" t="s">
        <v>26</v>
      </c>
      <c r="H252" s="1">
        <v>13663</v>
      </c>
      <c r="I252" s="1" t="s">
        <v>33</v>
      </c>
      <c r="J252" s="1">
        <v>0.3</v>
      </c>
      <c r="K252" s="1">
        <v>14000</v>
      </c>
      <c r="L252" s="2">
        <v>45324</v>
      </c>
    </row>
    <row r="253" spans="1:12" x14ac:dyDescent="0.35">
      <c r="A253" s="1" t="s">
        <v>436</v>
      </c>
      <c r="B253" s="1" t="s">
        <v>296</v>
      </c>
      <c r="C253" s="1" t="s">
        <v>44</v>
      </c>
      <c r="D253" s="1" t="s">
        <v>45</v>
      </c>
      <c r="E253" s="1" t="s">
        <v>32</v>
      </c>
      <c r="F253" s="1" t="s">
        <v>25</v>
      </c>
      <c r="G253" s="1" t="s">
        <v>26</v>
      </c>
      <c r="H253" s="1">
        <v>13777</v>
      </c>
      <c r="I253" s="1"/>
      <c r="J253" s="1"/>
      <c r="K253" s="1">
        <v>13000</v>
      </c>
      <c r="L253" s="2">
        <v>45294</v>
      </c>
    </row>
    <row r="254" spans="1:12" x14ac:dyDescent="0.35">
      <c r="A254" s="1" t="s">
        <v>437</v>
      </c>
      <c r="B254" s="1" t="s">
        <v>325</v>
      </c>
      <c r="C254" s="1" t="s">
        <v>44</v>
      </c>
      <c r="D254" s="1" t="s">
        <v>45</v>
      </c>
      <c r="E254" s="1" t="s">
        <v>16</v>
      </c>
      <c r="F254" s="1" t="s">
        <v>17</v>
      </c>
      <c r="G254" s="1" t="s">
        <v>36</v>
      </c>
      <c r="H254" s="1">
        <v>12568</v>
      </c>
      <c r="I254" s="1" t="s">
        <v>27</v>
      </c>
      <c r="J254" s="1"/>
      <c r="K254" s="1">
        <v>13000</v>
      </c>
      <c r="L254" s="2">
        <v>45294</v>
      </c>
    </row>
    <row r="255" spans="1:12" x14ac:dyDescent="0.35">
      <c r="A255" s="1" t="s">
        <v>438</v>
      </c>
      <c r="B255" s="1" t="s">
        <v>373</v>
      </c>
      <c r="C255" s="1" t="s">
        <v>61</v>
      </c>
      <c r="D255" s="1" t="s">
        <v>62</v>
      </c>
      <c r="E255" s="1" t="s">
        <v>46</v>
      </c>
      <c r="F255" s="1" t="s">
        <v>17</v>
      </c>
      <c r="G255" s="1" t="s">
        <v>36</v>
      </c>
      <c r="H255" s="1">
        <v>10125</v>
      </c>
      <c r="I255" s="1" t="s">
        <v>22</v>
      </c>
      <c r="J255" s="1">
        <v>0.1</v>
      </c>
      <c r="K255" s="1">
        <v>9000</v>
      </c>
      <c r="L255" s="2">
        <v>45328</v>
      </c>
    </row>
    <row r="256" spans="1:12" x14ac:dyDescent="0.35">
      <c r="A256" s="1" t="s">
        <v>439</v>
      </c>
      <c r="B256" s="1" t="s">
        <v>440</v>
      </c>
      <c r="C256" s="1" t="s">
        <v>30</v>
      </c>
      <c r="D256" s="1" t="s">
        <v>31</v>
      </c>
      <c r="E256" s="1" t="s">
        <v>46</v>
      </c>
      <c r="F256" s="1" t="s">
        <v>17</v>
      </c>
      <c r="G256" s="1" t="s">
        <v>26</v>
      </c>
      <c r="H256" s="1">
        <v>16141</v>
      </c>
      <c r="I256" s="1" t="s">
        <v>19</v>
      </c>
      <c r="J256" s="1">
        <v>0.2</v>
      </c>
      <c r="K256" s="1">
        <v>17000</v>
      </c>
      <c r="L256" s="2">
        <v>45299</v>
      </c>
    </row>
    <row r="257" spans="1:12" x14ac:dyDescent="0.35">
      <c r="A257" s="1" t="s">
        <v>441</v>
      </c>
      <c r="B257" s="1" t="s">
        <v>190</v>
      </c>
      <c r="C257" s="1" t="s">
        <v>44</v>
      </c>
      <c r="D257" s="1" t="s">
        <v>45</v>
      </c>
      <c r="E257" s="1" t="s">
        <v>46</v>
      </c>
      <c r="F257" s="1" t="s">
        <v>39</v>
      </c>
      <c r="G257" s="1" t="s">
        <v>36</v>
      </c>
      <c r="H257" s="1">
        <v>14741</v>
      </c>
      <c r="I257" s="1" t="s">
        <v>27</v>
      </c>
      <c r="J257" s="1"/>
      <c r="K257" s="1">
        <v>13000</v>
      </c>
      <c r="L257" s="2">
        <v>45299</v>
      </c>
    </row>
    <row r="258" spans="1:12" x14ac:dyDescent="0.35">
      <c r="A258" s="1" t="s">
        <v>442</v>
      </c>
      <c r="B258" s="1" t="s">
        <v>443</v>
      </c>
      <c r="C258" s="1" t="s">
        <v>30</v>
      </c>
      <c r="D258" s="1" t="s">
        <v>31</v>
      </c>
      <c r="E258" s="1" t="s">
        <v>16</v>
      </c>
      <c r="F258" s="1" t="s">
        <v>17</v>
      </c>
      <c r="G258" s="1" t="s">
        <v>18</v>
      </c>
      <c r="H258" s="1">
        <v>17506</v>
      </c>
      <c r="I258" s="1" t="s">
        <v>33</v>
      </c>
      <c r="J258" s="1">
        <v>0.3</v>
      </c>
      <c r="K258" s="1">
        <v>17000</v>
      </c>
      <c r="L258" s="2">
        <v>45336</v>
      </c>
    </row>
    <row r="259" spans="1:12" x14ac:dyDescent="0.35">
      <c r="A259" s="1" t="s">
        <v>444</v>
      </c>
      <c r="B259" s="1" t="s">
        <v>445</v>
      </c>
      <c r="C259" s="1" t="s">
        <v>44</v>
      </c>
      <c r="D259" s="1" t="s">
        <v>45</v>
      </c>
      <c r="E259" s="1" t="s">
        <v>32</v>
      </c>
      <c r="F259" s="1" t="s">
        <v>25</v>
      </c>
      <c r="G259" s="1" t="s">
        <v>18</v>
      </c>
      <c r="H259" s="1">
        <v>12851</v>
      </c>
      <c r="I259" s="1" t="s">
        <v>19</v>
      </c>
      <c r="J259" s="1">
        <v>0.2</v>
      </c>
      <c r="K259" s="1">
        <v>13000</v>
      </c>
      <c r="L259" s="2">
        <v>45349</v>
      </c>
    </row>
    <row r="260" spans="1:12" x14ac:dyDescent="0.35">
      <c r="A260" s="1" t="s">
        <v>446</v>
      </c>
      <c r="B260" s="1" t="s">
        <v>334</v>
      </c>
      <c r="C260" s="1" t="s">
        <v>14</v>
      </c>
      <c r="D260" s="1" t="s">
        <v>15</v>
      </c>
      <c r="E260" s="1" t="s">
        <v>16</v>
      </c>
      <c r="F260" s="1" t="s">
        <v>17</v>
      </c>
      <c r="G260" s="1" t="s">
        <v>26</v>
      </c>
      <c r="H260" s="1">
        <v>13423</v>
      </c>
      <c r="I260" s="1" t="s">
        <v>22</v>
      </c>
      <c r="J260" s="1">
        <v>0.1</v>
      </c>
      <c r="K260" s="1">
        <v>14000</v>
      </c>
      <c r="L260" s="2">
        <v>45327</v>
      </c>
    </row>
    <row r="261" spans="1:12" x14ac:dyDescent="0.35">
      <c r="A261" s="1" t="s">
        <v>447</v>
      </c>
      <c r="B261" s="1" t="s">
        <v>448</v>
      </c>
      <c r="C261" s="1" t="s">
        <v>30</v>
      </c>
      <c r="D261" s="1" t="s">
        <v>31</v>
      </c>
      <c r="E261" s="1" t="s">
        <v>32</v>
      </c>
      <c r="F261" s="1" t="s">
        <v>39</v>
      </c>
      <c r="G261" s="1" t="s">
        <v>26</v>
      </c>
      <c r="H261" s="1">
        <v>18798</v>
      </c>
      <c r="I261" s="1" t="s">
        <v>19</v>
      </c>
      <c r="J261" s="1">
        <v>0.2</v>
      </c>
      <c r="K261" s="1">
        <v>17000</v>
      </c>
      <c r="L261" s="2">
        <v>45342</v>
      </c>
    </row>
    <row r="262" spans="1:12" x14ac:dyDescent="0.35">
      <c r="A262" s="1" t="s">
        <v>449</v>
      </c>
      <c r="B262" s="1" t="s">
        <v>301</v>
      </c>
      <c r="C262" s="1" t="s">
        <v>44</v>
      </c>
      <c r="D262" s="1" t="s">
        <v>45</v>
      </c>
      <c r="E262" s="1" t="s">
        <v>32</v>
      </c>
      <c r="F262" s="1" t="s">
        <v>25</v>
      </c>
      <c r="G262" s="1" t="s">
        <v>18</v>
      </c>
      <c r="H262" s="1">
        <v>11969</v>
      </c>
      <c r="I262" s="1"/>
      <c r="J262" s="1"/>
      <c r="K262" s="1">
        <v>13000</v>
      </c>
      <c r="L262" s="2">
        <v>45293</v>
      </c>
    </row>
    <row r="263" spans="1:12" x14ac:dyDescent="0.35">
      <c r="A263" s="1" t="s">
        <v>450</v>
      </c>
      <c r="B263" s="1" t="s">
        <v>301</v>
      </c>
      <c r="C263" s="1" t="s">
        <v>30</v>
      </c>
      <c r="D263" s="1" t="s">
        <v>31</v>
      </c>
      <c r="E263" s="1" t="s">
        <v>46</v>
      </c>
      <c r="F263" s="1" t="s">
        <v>39</v>
      </c>
      <c r="G263" s="1" t="s">
        <v>18</v>
      </c>
      <c r="H263" s="1">
        <v>17506</v>
      </c>
      <c r="I263" s="1" t="s">
        <v>22</v>
      </c>
      <c r="J263" s="1">
        <v>0.1</v>
      </c>
      <c r="K263" s="1">
        <v>17000</v>
      </c>
      <c r="L263" s="2">
        <v>45296</v>
      </c>
    </row>
    <row r="264" spans="1:12" x14ac:dyDescent="0.35">
      <c r="A264" s="1" t="s">
        <v>451</v>
      </c>
      <c r="B264" s="1" t="s">
        <v>70</v>
      </c>
      <c r="C264" s="1" t="s">
        <v>61</v>
      </c>
      <c r="D264" s="1" t="s">
        <v>62</v>
      </c>
      <c r="E264" s="1" t="s">
        <v>16</v>
      </c>
      <c r="F264" s="1" t="s">
        <v>17</v>
      </c>
      <c r="G264" s="1" t="s">
        <v>36</v>
      </c>
      <c r="H264" s="1">
        <v>10372</v>
      </c>
      <c r="I264" s="1" t="s">
        <v>27</v>
      </c>
      <c r="J264" s="1"/>
      <c r="K264" s="1">
        <v>9000</v>
      </c>
      <c r="L264" s="2">
        <v>45296</v>
      </c>
    </row>
    <row r="265" spans="1:12" x14ac:dyDescent="0.35">
      <c r="A265" s="1" t="s">
        <v>452</v>
      </c>
      <c r="B265" s="1" t="s">
        <v>74</v>
      </c>
      <c r="C265" s="1" t="s">
        <v>14</v>
      </c>
      <c r="D265" s="1" t="s">
        <v>15</v>
      </c>
      <c r="E265" s="1" t="s">
        <v>46</v>
      </c>
      <c r="F265" s="1" t="s">
        <v>17</v>
      </c>
      <c r="G265" s="1" t="s">
        <v>26</v>
      </c>
      <c r="H265" s="1">
        <v>14119</v>
      </c>
      <c r="I265" s="1" t="s">
        <v>33</v>
      </c>
      <c r="J265" s="1">
        <v>0.3</v>
      </c>
      <c r="K265" s="1">
        <v>14000</v>
      </c>
      <c r="L265" s="2">
        <v>45300</v>
      </c>
    </row>
    <row r="266" spans="1:12" x14ac:dyDescent="0.35">
      <c r="A266" s="1" t="s">
        <v>453</v>
      </c>
      <c r="B266" s="1" t="s">
        <v>454</v>
      </c>
      <c r="C266" s="1" t="s">
        <v>44</v>
      </c>
      <c r="D266" s="1" t="s">
        <v>45</v>
      </c>
      <c r="E266" s="1" t="s">
        <v>32</v>
      </c>
      <c r="F266" s="1" t="s">
        <v>17</v>
      </c>
      <c r="G266" s="1" t="s">
        <v>26</v>
      </c>
      <c r="H266" s="1">
        <v>14730</v>
      </c>
      <c r="I266" s="1" t="s">
        <v>22</v>
      </c>
      <c r="J266" s="1">
        <v>0.1</v>
      </c>
      <c r="K266" s="1">
        <v>13000</v>
      </c>
      <c r="L266" s="2">
        <v>45345</v>
      </c>
    </row>
    <row r="267" spans="1:12" x14ac:dyDescent="0.35">
      <c r="A267" s="1" t="s">
        <v>455</v>
      </c>
      <c r="B267" s="1" t="s">
        <v>241</v>
      </c>
      <c r="C267" s="1" t="s">
        <v>44</v>
      </c>
      <c r="D267" s="1" t="s">
        <v>45</v>
      </c>
      <c r="E267" s="1" t="s">
        <v>46</v>
      </c>
      <c r="F267" s="1" t="s">
        <v>25</v>
      </c>
      <c r="G267" s="1" t="s">
        <v>18</v>
      </c>
      <c r="H267" s="1">
        <v>12321</v>
      </c>
      <c r="I267" s="1" t="s">
        <v>19</v>
      </c>
      <c r="J267" s="1">
        <v>0.2</v>
      </c>
      <c r="K267" s="1">
        <v>13000</v>
      </c>
      <c r="L267" s="2">
        <v>45314</v>
      </c>
    </row>
    <row r="268" spans="1:12" x14ac:dyDescent="0.35">
      <c r="A268" s="1" t="s">
        <v>456</v>
      </c>
      <c r="B268" s="1" t="s">
        <v>448</v>
      </c>
      <c r="C268" s="1" t="s">
        <v>14</v>
      </c>
      <c r="D268" s="1" t="s">
        <v>15</v>
      </c>
      <c r="E268" s="1" t="s">
        <v>46</v>
      </c>
      <c r="F268" s="1" t="s">
        <v>25</v>
      </c>
      <c r="G268" s="1" t="s">
        <v>26</v>
      </c>
      <c r="H268" s="1">
        <v>15917</v>
      </c>
      <c r="I268" s="1" t="s">
        <v>27</v>
      </c>
      <c r="J268" s="1"/>
      <c r="K268" s="1">
        <v>14000</v>
      </c>
      <c r="L268" s="2">
        <v>45309</v>
      </c>
    </row>
    <row r="269" spans="1:12" x14ac:dyDescent="0.35">
      <c r="A269" s="1" t="s">
        <v>457</v>
      </c>
      <c r="B269" s="1" t="s">
        <v>113</v>
      </c>
      <c r="C269" s="1" t="s">
        <v>30</v>
      </c>
      <c r="D269" s="1" t="s">
        <v>31</v>
      </c>
      <c r="E269" s="1" t="s">
        <v>16</v>
      </c>
      <c r="F269" s="1" t="s">
        <v>39</v>
      </c>
      <c r="G269" s="1" t="s">
        <v>18</v>
      </c>
      <c r="H269" s="1">
        <v>17058</v>
      </c>
      <c r="I269" s="1" t="s">
        <v>19</v>
      </c>
      <c r="J269" s="1">
        <v>0.2</v>
      </c>
      <c r="K269" s="1">
        <v>17000</v>
      </c>
      <c r="L269" s="2">
        <v>45329</v>
      </c>
    </row>
    <row r="270" spans="1:12" x14ac:dyDescent="0.35">
      <c r="A270" s="1" t="s">
        <v>458</v>
      </c>
      <c r="B270" s="1" t="s">
        <v>373</v>
      </c>
      <c r="C270" s="1" t="s">
        <v>44</v>
      </c>
      <c r="D270" s="1" t="s">
        <v>45</v>
      </c>
      <c r="E270" s="1" t="s">
        <v>16</v>
      </c>
      <c r="F270" s="1" t="s">
        <v>39</v>
      </c>
      <c r="G270" s="1" t="s">
        <v>26</v>
      </c>
      <c r="H270" s="1">
        <v>14694</v>
      </c>
      <c r="I270" s="1" t="s">
        <v>27</v>
      </c>
      <c r="J270" s="1"/>
      <c r="K270" s="1">
        <v>13000</v>
      </c>
      <c r="L270" s="2">
        <v>45313</v>
      </c>
    </row>
    <row r="271" spans="1:12" x14ac:dyDescent="0.35">
      <c r="A271" s="1" t="s">
        <v>459</v>
      </c>
      <c r="B271" s="1" t="s">
        <v>460</v>
      </c>
      <c r="C271" s="1" t="s">
        <v>14</v>
      </c>
      <c r="D271" s="1" t="s">
        <v>15</v>
      </c>
      <c r="E271" s="1" t="s">
        <v>32</v>
      </c>
      <c r="F271" s="1" t="s">
        <v>25</v>
      </c>
      <c r="G271" s="1" t="s">
        <v>18</v>
      </c>
      <c r="H271" s="1">
        <v>15885</v>
      </c>
      <c r="I271" s="1" t="s">
        <v>27</v>
      </c>
      <c r="J271" s="1"/>
      <c r="K271" s="1">
        <v>14000</v>
      </c>
      <c r="L271" s="2">
        <v>45308</v>
      </c>
    </row>
    <row r="272" spans="1:12" x14ac:dyDescent="0.35">
      <c r="A272" s="1" t="s">
        <v>461</v>
      </c>
      <c r="B272" s="1" t="s">
        <v>239</v>
      </c>
      <c r="C272" s="1" t="s">
        <v>61</v>
      </c>
      <c r="D272" s="1" t="s">
        <v>62</v>
      </c>
      <c r="E272" s="1" t="s">
        <v>16</v>
      </c>
      <c r="F272" s="1" t="s">
        <v>39</v>
      </c>
      <c r="G272" s="1" t="s">
        <v>18</v>
      </c>
      <c r="H272" s="1">
        <v>9039</v>
      </c>
      <c r="I272" s="1" t="s">
        <v>27</v>
      </c>
      <c r="J272" s="1"/>
      <c r="K272" s="1">
        <v>9000</v>
      </c>
      <c r="L272" s="2">
        <v>45310</v>
      </c>
    </row>
    <row r="273" spans="1:12" x14ac:dyDescent="0.35">
      <c r="A273" s="1" t="s">
        <v>462</v>
      </c>
      <c r="B273" s="1" t="s">
        <v>278</v>
      </c>
      <c r="C273" s="1" t="s">
        <v>61</v>
      </c>
      <c r="D273" s="1" t="s">
        <v>62</v>
      </c>
      <c r="E273" s="1" t="s">
        <v>32</v>
      </c>
      <c r="F273" s="1" t="s">
        <v>39</v>
      </c>
      <c r="G273" s="1" t="s">
        <v>36</v>
      </c>
      <c r="H273" s="1">
        <v>8218</v>
      </c>
      <c r="I273" s="1"/>
      <c r="J273" s="1"/>
      <c r="K273" s="1">
        <v>9000</v>
      </c>
      <c r="L273" s="2">
        <v>45296</v>
      </c>
    </row>
    <row r="274" spans="1:12" x14ac:dyDescent="0.35">
      <c r="A274" s="1" t="s">
        <v>463</v>
      </c>
      <c r="B274" s="1" t="s">
        <v>464</v>
      </c>
      <c r="C274" s="1" t="s">
        <v>44</v>
      </c>
      <c r="D274" s="1" t="s">
        <v>45</v>
      </c>
      <c r="E274" s="1" t="s">
        <v>46</v>
      </c>
      <c r="F274" s="1" t="s">
        <v>17</v>
      </c>
      <c r="G274" s="1" t="s">
        <v>36</v>
      </c>
      <c r="H274" s="1">
        <v>12902</v>
      </c>
      <c r="I274" s="1" t="s">
        <v>19</v>
      </c>
      <c r="J274" s="1">
        <v>0.2</v>
      </c>
      <c r="K274" s="1">
        <v>13000</v>
      </c>
      <c r="L274" s="2">
        <v>45313</v>
      </c>
    </row>
    <row r="275" spans="1:12" x14ac:dyDescent="0.35">
      <c r="A275" s="1" t="s">
        <v>465</v>
      </c>
      <c r="B275" s="1" t="s">
        <v>373</v>
      </c>
      <c r="C275" s="1" t="s">
        <v>30</v>
      </c>
      <c r="D275" s="1" t="s">
        <v>31</v>
      </c>
      <c r="E275" s="1" t="s">
        <v>16</v>
      </c>
      <c r="F275" s="1" t="s">
        <v>17</v>
      </c>
      <c r="G275" s="1" t="s">
        <v>26</v>
      </c>
      <c r="H275" s="1">
        <v>18525</v>
      </c>
      <c r="I275" s="1" t="s">
        <v>33</v>
      </c>
      <c r="J275" s="1">
        <v>0.3</v>
      </c>
      <c r="K275" s="1">
        <v>17000</v>
      </c>
      <c r="L275" s="2">
        <v>45317</v>
      </c>
    </row>
    <row r="276" spans="1:12" x14ac:dyDescent="0.35">
      <c r="A276" s="1" t="s">
        <v>466</v>
      </c>
      <c r="B276" s="1" t="s">
        <v>135</v>
      </c>
      <c r="C276" s="1" t="s">
        <v>30</v>
      </c>
      <c r="D276" s="1" t="s">
        <v>31</v>
      </c>
      <c r="E276" s="1" t="s">
        <v>16</v>
      </c>
      <c r="F276" s="1" t="s">
        <v>39</v>
      </c>
      <c r="G276" s="1" t="s">
        <v>18</v>
      </c>
      <c r="H276" s="1">
        <v>16307</v>
      </c>
      <c r="I276" s="1" t="s">
        <v>19</v>
      </c>
      <c r="J276" s="1">
        <v>0.2</v>
      </c>
      <c r="K276" s="1">
        <v>17000</v>
      </c>
      <c r="L276" s="2">
        <v>45321</v>
      </c>
    </row>
    <row r="277" spans="1:12" x14ac:dyDescent="0.35">
      <c r="A277" s="1" t="s">
        <v>467</v>
      </c>
      <c r="B277" s="1" t="s">
        <v>263</v>
      </c>
      <c r="C277" s="1" t="s">
        <v>61</v>
      </c>
      <c r="D277" s="1" t="s">
        <v>62</v>
      </c>
      <c r="E277" s="1" t="s">
        <v>32</v>
      </c>
      <c r="F277" s="1" t="s">
        <v>25</v>
      </c>
      <c r="G277" s="1" t="s">
        <v>18</v>
      </c>
      <c r="H277" s="1">
        <v>7207</v>
      </c>
      <c r="I277" s="1" t="s">
        <v>33</v>
      </c>
      <c r="J277" s="1">
        <v>0.3</v>
      </c>
      <c r="K277" s="1">
        <v>9000</v>
      </c>
      <c r="L277" s="2">
        <v>45352</v>
      </c>
    </row>
    <row r="278" spans="1:12" x14ac:dyDescent="0.35">
      <c r="A278" s="1" t="s">
        <v>468</v>
      </c>
      <c r="B278" s="1" t="s">
        <v>309</v>
      </c>
      <c r="C278" s="1" t="s">
        <v>61</v>
      </c>
      <c r="D278" s="1" t="s">
        <v>62</v>
      </c>
      <c r="E278" s="1" t="s">
        <v>32</v>
      </c>
      <c r="F278" s="1" t="s">
        <v>25</v>
      </c>
      <c r="G278" s="1" t="s">
        <v>36</v>
      </c>
      <c r="H278" s="1">
        <v>10824</v>
      </c>
      <c r="I278" s="1" t="s">
        <v>27</v>
      </c>
      <c r="J278" s="1"/>
      <c r="K278" s="1">
        <v>9000</v>
      </c>
      <c r="L278" s="2">
        <v>45338</v>
      </c>
    </row>
    <row r="279" spans="1:12" x14ac:dyDescent="0.35">
      <c r="A279" s="1" t="s">
        <v>469</v>
      </c>
      <c r="B279" s="1" t="s">
        <v>408</v>
      </c>
      <c r="C279" s="1" t="s">
        <v>44</v>
      </c>
      <c r="D279" s="1" t="s">
        <v>45</v>
      </c>
      <c r="E279" s="1" t="s">
        <v>46</v>
      </c>
      <c r="F279" s="1" t="s">
        <v>39</v>
      </c>
      <c r="G279" s="1" t="s">
        <v>36</v>
      </c>
      <c r="H279" s="1">
        <v>13042</v>
      </c>
      <c r="I279" s="1" t="s">
        <v>33</v>
      </c>
      <c r="J279" s="1">
        <v>0.3</v>
      </c>
      <c r="K279" s="1">
        <v>13000</v>
      </c>
      <c r="L279" s="2">
        <v>45323</v>
      </c>
    </row>
    <row r="280" spans="1:12" x14ac:dyDescent="0.35">
      <c r="A280" s="1" t="s">
        <v>470</v>
      </c>
      <c r="B280" s="1" t="s">
        <v>76</v>
      </c>
      <c r="C280" s="1" t="s">
        <v>61</v>
      </c>
      <c r="D280" s="1" t="s">
        <v>62</v>
      </c>
      <c r="E280" s="1" t="s">
        <v>16</v>
      </c>
      <c r="F280" s="1" t="s">
        <v>17</v>
      </c>
      <c r="G280" s="1" t="s">
        <v>18</v>
      </c>
      <c r="H280" s="1">
        <v>7881</v>
      </c>
      <c r="I280" s="1" t="s">
        <v>27</v>
      </c>
      <c r="J280" s="1"/>
      <c r="K280" s="1">
        <v>9000</v>
      </c>
      <c r="L280" s="2">
        <v>45314</v>
      </c>
    </row>
    <row r="281" spans="1:12" x14ac:dyDescent="0.35">
      <c r="A281" s="1" t="s">
        <v>471</v>
      </c>
      <c r="B281" s="1" t="s">
        <v>161</v>
      </c>
      <c r="C281" s="1" t="s">
        <v>30</v>
      </c>
      <c r="D281" s="1" t="s">
        <v>31</v>
      </c>
      <c r="E281" s="1" t="s">
        <v>46</v>
      </c>
      <c r="F281" s="1" t="s">
        <v>39</v>
      </c>
      <c r="G281" s="1" t="s">
        <v>26</v>
      </c>
      <c r="H281" s="1">
        <v>17754</v>
      </c>
      <c r="I281" s="1"/>
      <c r="J281" s="1"/>
      <c r="K281" s="1">
        <v>17000</v>
      </c>
      <c r="L281" s="2">
        <v>45310</v>
      </c>
    </row>
    <row r="282" spans="1:12" x14ac:dyDescent="0.35">
      <c r="A282" s="1" t="s">
        <v>472</v>
      </c>
      <c r="B282" s="1" t="s">
        <v>184</v>
      </c>
      <c r="C282" s="1" t="s">
        <v>14</v>
      </c>
      <c r="D282" s="1" t="s">
        <v>15</v>
      </c>
      <c r="E282" s="1" t="s">
        <v>46</v>
      </c>
      <c r="F282" s="1" t="s">
        <v>25</v>
      </c>
      <c r="G282" s="1" t="s">
        <v>36</v>
      </c>
      <c r="H282" s="1">
        <v>14979</v>
      </c>
      <c r="I282" s="1" t="s">
        <v>33</v>
      </c>
      <c r="J282" s="1">
        <v>0.3</v>
      </c>
      <c r="K282" s="1">
        <v>14000</v>
      </c>
      <c r="L282" s="2">
        <v>45340</v>
      </c>
    </row>
    <row r="283" spans="1:12" x14ac:dyDescent="0.35">
      <c r="A283" s="1" t="s">
        <v>473</v>
      </c>
      <c r="B283" s="1" t="s">
        <v>474</v>
      </c>
      <c r="C283" s="1" t="s">
        <v>14</v>
      </c>
      <c r="D283" s="1" t="s">
        <v>15</v>
      </c>
      <c r="E283" s="1" t="s">
        <v>46</v>
      </c>
      <c r="F283" s="1" t="s">
        <v>25</v>
      </c>
      <c r="G283" s="1" t="s">
        <v>26</v>
      </c>
      <c r="H283" s="1">
        <v>14301</v>
      </c>
      <c r="I283" s="1" t="s">
        <v>19</v>
      </c>
      <c r="J283" s="1">
        <v>0.2</v>
      </c>
      <c r="K283" s="1">
        <v>14000</v>
      </c>
      <c r="L283" s="2">
        <v>45315</v>
      </c>
    </row>
    <row r="284" spans="1:12" x14ac:dyDescent="0.35">
      <c r="A284" s="1" t="s">
        <v>475</v>
      </c>
      <c r="B284" s="1" t="s">
        <v>448</v>
      </c>
      <c r="C284" s="1" t="s">
        <v>14</v>
      </c>
      <c r="D284" s="1" t="s">
        <v>15</v>
      </c>
      <c r="E284" s="1" t="s">
        <v>46</v>
      </c>
      <c r="F284" s="1" t="s">
        <v>39</v>
      </c>
      <c r="G284" s="1" t="s">
        <v>36</v>
      </c>
      <c r="H284" s="1">
        <v>15130</v>
      </c>
      <c r="I284" s="1" t="s">
        <v>27</v>
      </c>
      <c r="J284" s="1"/>
      <c r="K284" s="1">
        <v>14000</v>
      </c>
      <c r="L284" s="2">
        <v>45309</v>
      </c>
    </row>
    <row r="285" spans="1:12" x14ac:dyDescent="0.35">
      <c r="A285" s="1" t="s">
        <v>476</v>
      </c>
      <c r="B285" s="1" t="s">
        <v>460</v>
      </c>
      <c r="C285" s="1" t="s">
        <v>14</v>
      </c>
      <c r="D285" s="1" t="s">
        <v>15</v>
      </c>
      <c r="E285" s="1" t="s">
        <v>32</v>
      </c>
      <c r="F285" s="1" t="s">
        <v>25</v>
      </c>
      <c r="G285" s="1" t="s">
        <v>36</v>
      </c>
      <c r="H285" s="1">
        <v>13528</v>
      </c>
      <c r="I285" s="1" t="s">
        <v>33</v>
      </c>
      <c r="J285" s="1">
        <v>0.3</v>
      </c>
      <c r="K285" s="1">
        <v>14000</v>
      </c>
      <c r="L285" s="2">
        <v>45327</v>
      </c>
    </row>
    <row r="286" spans="1:12" x14ac:dyDescent="0.35">
      <c r="A286" s="1" t="s">
        <v>477</v>
      </c>
      <c r="B286" s="1" t="s">
        <v>478</v>
      </c>
      <c r="C286" s="1" t="s">
        <v>44</v>
      </c>
      <c r="D286" s="1" t="s">
        <v>45</v>
      </c>
      <c r="E286" s="1" t="s">
        <v>32</v>
      </c>
      <c r="F286" s="1" t="s">
        <v>39</v>
      </c>
      <c r="G286" s="1" t="s">
        <v>26</v>
      </c>
      <c r="H286" s="1">
        <v>12644</v>
      </c>
      <c r="I286" s="1" t="s">
        <v>27</v>
      </c>
      <c r="J286" s="1"/>
      <c r="K286" s="1">
        <v>13000</v>
      </c>
      <c r="L286" s="2">
        <v>45294</v>
      </c>
    </row>
    <row r="287" spans="1:12" x14ac:dyDescent="0.35">
      <c r="A287" s="1" t="s">
        <v>479</v>
      </c>
      <c r="B287" s="1" t="s">
        <v>161</v>
      </c>
      <c r="C287" s="1" t="s">
        <v>44</v>
      </c>
      <c r="D287" s="1" t="s">
        <v>45</v>
      </c>
      <c r="E287" s="1" t="s">
        <v>16</v>
      </c>
      <c r="F287" s="1" t="s">
        <v>17</v>
      </c>
      <c r="G287" s="1" t="s">
        <v>36</v>
      </c>
      <c r="H287" s="1">
        <v>13127</v>
      </c>
      <c r="I287" s="1"/>
      <c r="J287" s="1"/>
      <c r="K287" s="1">
        <v>13000</v>
      </c>
      <c r="L287" s="2">
        <v>45301</v>
      </c>
    </row>
    <row r="288" spans="1:12" x14ac:dyDescent="0.35">
      <c r="A288" s="1" t="s">
        <v>480</v>
      </c>
      <c r="B288" s="1" t="s">
        <v>86</v>
      </c>
      <c r="C288" s="1" t="s">
        <v>44</v>
      </c>
      <c r="D288" s="1" t="s">
        <v>45</v>
      </c>
      <c r="E288" s="1" t="s">
        <v>46</v>
      </c>
      <c r="F288" s="1" t="s">
        <v>39</v>
      </c>
      <c r="G288" s="1" t="s">
        <v>36</v>
      </c>
      <c r="H288" s="1">
        <v>11665</v>
      </c>
      <c r="I288" s="1"/>
      <c r="J288" s="1"/>
      <c r="K288" s="1">
        <v>13000</v>
      </c>
      <c r="L288" s="2">
        <v>45331</v>
      </c>
    </row>
    <row r="289" spans="1:12" x14ac:dyDescent="0.35">
      <c r="A289" s="1" t="s">
        <v>481</v>
      </c>
      <c r="B289" s="1" t="s">
        <v>371</v>
      </c>
      <c r="C289" s="1" t="s">
        <v>30</v>
      </c>
      <c r="D289" s="1" t="s">
        <v>31</v>
      </c>
      <c r="E289" s="1" t="s">
        <v>16</v>
      </c>
      <c r="F289" s="1" t="s">
        <v>17</v>
      </c>
      <c r="G289" s="1" t="s">
        <v>26</v>
      </c>
      <c r="H289" s="1">
        <v>18392</v>
      </c>
      <c r="I289" s="1" t="s">
        <v>27</v>
      </c>
      <c r="J289" s="1"/>
      <c r="K289" s="1">
        <v>17000</v>
      </c>
      <c r="L289" s="2">
        <v>45326</v>
      </c>
    </row>
    <row r="290" spans="1:12" x14ac:dyDescent="0.35">
      <c r="A290" s="1" t="s">
        <v>482</v>
      </c>
      <c r="B290" s="1" t="s">
        <v>483</v>
      </c>
      <c r="C290" s="1" t="s">
        <v>30</v>
      </c>
      <c r="D290" s="1" t="s">
        <v>31</v>
      </c>
      <c r="E290" s="1" t="s">
        <v>46</v>
      </c>
      <c r="F290" s="1" t="s">
        <v>25</v>
      </c>
      <c r="G290" s="1" t="s">
        <v>36</v>
      </c>
      <c r="H290" s="1">
        <v>16356</v>
      </c>
      <c r="I290" s="1" t="s">
        <v>22</v>
      </c>
      <c r="J290" s="1">
        <v>0.1</v>
      </c>
      <c r="K290" s="1">
        <v>17000</v>
      </c>
      <c r="L290" s="2">
        <v>45318</v>
      </c>
    </row>
    <row r="291" spans="1:12" x14ac:dyDescent="0.35">
      <c r="A291" s="1" t="s">
        <v>484</v>
      </c>
      <c r="B291" s="1" t="s">
        <v>291</v>
      </c>
      <c r="C291" s="1" t="s">
        <v>14</v>
      </c>
      <c r="D291" s="1" t="s">
        <v>15</v>
      </c>
      <c r="E291" s="1" t="s">
        <v>16</v>
      </c>
      <c r="F291" s="1" t="s">
        <v>17</v>
      </c>
      <c r="G291" s="1" t="s">
        <v>36</v>
      </c>
      <c r="H291" s="1">
        <v>15961</v>
      </c>
      <c r="I291" s="1" t="s">
        <v>27</v>
      </c>
      <c r="J291" s="1"/>
      <c r="K291" s="1">
        <v>14000</v>
      </c>
      <c r="L291" s="2">
        <v>45328</v>
      </c>
    </row>
    <row r="292" spans="1:12" x14ac:dyDescent="0.35">
      <c r="A292" s="1" t="s">
        <v>485</v>
      </c>
      <c r="B292" s="1" t="s">
        <v>220</v>
      </c>
      <c r="C292" s="1" t="s">
        <v>14</v>
      </c>
      <c r="D292" s="1" t="s">
        <v>15</v>
      </c>
      <c r="E292" s="1" t="s">
        <v>16</v>
      </c>
      <c r="F292" s="1" t="s">
        <v>17</v>
      </c>
      <c r="G292" s="1" t="s">
        <v>18</v>
      </c>
      <c r="H292" s="1">
        <v>14147</v>
      </c>
      <c r="I292" s="1" t="s">
        <v>27</v>
      </c>
      <c r="J292" s="1"/>
      <c r="K292" s="1">
        <v>14000</v>
      </c>
      <c r="L292" s="2">
        <v>45341</v>
      </c>
    </row>
    <row r="293" spans="1:12" x14ac:dyDescent="0.35">
      <c r="A293" s="1" t="s">
        <v>486</v>
      </c>
      <c r="B293" s="1" t="s">
        <v>487</v>
      </c>
      <c r="C293" s="1" t="s">
        <v>44</v>
      </c>
      <c r="D293" s="1" t="s">
        <v>45</v>
      </c>
      <c r="E293" s="1" t="s">
        <v>16</v>
      </c>
      <c r="F293" s="1" t="s">
        <v>25</v>
      </c>
      <c r="G293" s="1" t="s">
        <v>18</v>
      </c>
      <c r="H293" s="1">
        <v>13345</v>
      </c>
      <c r="I293" s="1" t="s">
        <v>22</v>
      </c>
      <c r="J293" s="1">
        <v>0.1</v>
      </c>
      <c r="K293" s="1">
        <v>13000</v>
      </c>
      <c r="L293" s="2">
        <v>45304</v>
      </c>
    </row>
    <row r="294" spans="1:12" x14ac:dyDescent="0.35">
      <c r="A294" s="1" t="s">
        <v>488</v>
      </c>
      <c r="B294" s="1" t="s">
        <v>489</v>
      </c>
      <c r="C294" s="1" t="s">
        <v>30</v>
      </c>
      <c r="D294" s="1" t="s">
        <v>31</v>
      </c>
      <c r="E294" s="1" t="s">
        <v>46</v>
      </c>
      <c r="F294" s="1" t="s">
        <v>25</v>
      </c>
      <c r="G294" s="1" t="s">
        <v>36</v>
      </c>
      <c r="H294" s="1">
        <v>17828</v>
      </c>
      <c r="I294" s="1" t="s">
        <v>19</v>
      </c>
      <c r="J294" s="1">
        <v>0.2</v>
      </c>
      <c r="K294" s="1">
        <v>17000</v>
      </c>
      <c r="L294" s="2">
        <v>45318</v>
      </c>
    </row>
    <row r="295" spans="1:12" x14ac:dyDescent="0.35">
      <c r="A295" s="1" t="s">
        <v>490</v>
      </c>
      <c r="B295" s="1" t="s">
        <v>82</v>
      </c>
      <c r="C295" s="1" t="s">
        <v>61</v>
      </c>
      <c r="D295" s="1" t="s">
        <v>62</v>
      </c>
      <c r="E295" s="1" t="s">
        <v>16</v>
      </c>
      <c r="F295" s="1" t="s">
        <v>39</v>
      </c>
      <c r="G295" s="1" t="s">
        <v>18</v>
      </c>
      <c r="H295" s="1">
        <v>9890</v>
      </c>
      <c r="I295" s="1" t="s">
        <v>19</v>
      </c>
      <c r="J295" s="1">
        <v>0.2</v>
      </c>
      <c r="K295" s="1">
        <v>9000</v>
      </c>
      <c r="L295" s="2">
        <v>45325</v>
      </c>
    </row>
    <row r="296" spans="1:12" x14ac:dyDescent="0.35">
      <c r="A296" s="1" t="s">
        <v>491</v>
      </c>
      <c r="B296" s="1" t="s">
        <v>24</v>
      </c>
      <c r="C296" s="1" t="s">
        <v>30</v>
      </c>
      <c r="D296" s="1" t="s">
        <v>31</v>
      </c>
      <c r="E296" s="1" t="s">
        <v>16</v>
      </c>
      <c r="F296" s="1" t="s">
        <v>17</v>
      </c>
      <c r="G296" s="1" t="s">
        <v>26</v>
      </c>
      <c r="H296" s="1">
        <v>16543</v>
      </c>
      <c r="I296" s="1" t="s">
        <v>33</v>
      </c>
      <c r="J296" s="1">
        <v>0.3</v>
      </c>
      <c r="K296" s="1">
        <v>17000</v>
      </c>
      <c r="L296" s="2">
        <v>45303</v>
      </c>
    </row>
    <row r="297" spans="1:12" x14ac:dyDescent="0.35">
      <c r="A297" s="1" t="s">
        <v>492</v>
      </c>
      <c r="B297" s="1" t="s">
        <v>330</v>
      </c>
      <c r="C297" s="1" t="s">
        <v>30</v>
      </c>
      <c r="D297" s="1" t="s">
        <v>31</v>
      </c>
      <c r="E297" s="1" t="s">
        <v>16</v>
      </c>
      <c r="F297" s="1" t="s">
        <v>17</v>
      </c>
      <c r="G297" s="1" t="s">
        <v>26</v>
      </c>
      <c r="H297" s="1">
        <v>18162</v>
      </c>
      <c r="I297" s="1" t="s">
        <v>33</v>
      </c>
      <c r="J297" s="1">
        <v>0.3</v>
      </c>
      <c r="K297" s="1">
        <v>17000</v>
      </c>
      <c r="L297" s="2">
        <v>45331</v>
      </c>
    </row>
    <row r="298" spans="1:12" x14ac:dyDescent="0.35">
      <c r="A298" s="1" t="s">
        <v>493</v>
      </c>
      <c r="B298" s="1" t="s">
        <v>211</v>
      </c>
      <c r="C298" s="1" t="s">
        <v>44</v>
      </c>
      <c r="D298" s="1" t="s">
        <v>45</v>
      </c>
      <c r="E298" s="1" t="s">
        <v>46</v>
      </c>
      <c r="F298" s="1" t="s">
        <v>39</v>
      </c>
      <c r="G298" s="1" t="s">
        <v>36</v>
      </c>
      <c r="H298" s="1">
        <v>11921</v>
      </c>
      <c r="I298" s="1" t="s">
        <v>33</v>
      </c>
      <c r="J298" s="1">
        <v>0.3</v>
      </c>
      <c r="K298" s="1">
        <v>13000</v>
      </c>
      <c r="L298" s="2">
        <v>45341</v>
      </c>
    </row>
    <row r="299" spans="1:12" x14ac:dyDescent="0.35">
      <c r="A299" s="1" t="s">
        <v>494</v>
      </c>
      <c r="B299" s="1" t="s">
        <v>350</v>
      </c>
      <c r="C299" s="1" t="s">
        <v>44</v>
      </c>
      <c r="D299" s="1" t="s">
        <v>45</v>
      </c>
      <c r="E299" s="1" t="s">
        <v>16</v>
      </c>
      <c r="F299" s="1" t="s">
        <v>39</v>
      </c>
      <c r="G299" s="1" t="s">
        <v>36</v>
      </c>
      <c r="H299" s="1">
        <v>12298</v>
      </c>
      <c r="I299" s="1"/>
      <c r="J299" s="1"/>
      <c r="K299" s="1">
        <v>13000</v>
      </c>
      <c r="L299" s="2">
        <v>45314</v>
      </c>
    </row>
    <row r="300" spans="1:12" x14ac:dyDescent="0.35">
      <c r="A300" s="1" t="s">
        <v>495</v>
      </c>
      <c r="B300" s="1" t="s">
        <v>82</v>
      </c>
      <c r="C300" s="1" t="s">
        <v>30</v>
      </c>
      <c r="D300" s="1" t="s">
        <v>31</v>
      </c>
      <c r="E300" s="1" t="s">
        <v>46</v>
      </c>
      <c r="F300" s="1" t="s">
        <v>25</v>
      </c>
      <c r="G300" s="1" t="s">
        <v>26</v>
      </c>
      <c r="H300" s="1">
        <v>17771</v>
      </c>
      <c r="I300" s="1" t="s">
        <v>27</v>
      </c>
      <c r="J300" s="1"/>
      <c r="K300" s="1">
        <v>17000</v>
      </c>
      <c r="L300" s="2">
        <v>45316</v>
      </c>
    </row>
    <row r="301" spans="1:12" x14ac:dyDescent="0.35">
      <c r="A301" s="1" t="s">
        <v>496</v>
      </c>
      <c r="B301" s="1" t="s">
        <v>137</v>
      </c>
      <c r="C301" s="1" t="s">
        <v>30</v>
      </c>
      <c r="D301" s="1" t="s">
        <v>31</v>
      </c>
      <c r="E301" s="1" t="s">
        <v>32</v>
      </c>
      <c r="F301" s="1" t="s">
        <v>17</v>
      </c>
      <c r="G301" s="1" t="s">
        <v>18</v>
      </c>
      <c r="H301" s="1">
        <v>16178</v>
      </c>
      <c r="I301" s="1" t="s">
        <v>22</v>
      </c>
      <c r="J301" s="1">
        <v>0.1</v>
      </c>
      <c r="K301" s="1">
        <v>17000</v>
      </c>
      <c r="L301" s="2">
        <v>45314</v>
      </c>
    </row>
    <row r="302" spans="1:12" x14ac:dyDescent="0.35">
      <c r="A302" s="1" t="s">
        <v>497</v>
      </c>
      <c r="B302" s="1" t="s">
        <v>445</v>
      </c>
      <c r="C302" s="1" t="s">
        <v>30</v>
      </c>
      <c r="D302" s="1" t="s">
        <v>31</v>
      </c>
      <c r="E302" s="1" t="s">
        <v>16</v>
      </c>
      <c r="F302" s="1" t="s">
        <v>17</v>
      </c>
      <c r="G302" s="1" t="s">
        <v>18</v>
      </c>
      <c r="H302" s="1">
        <v>15827</v>
      </c>
      <c r="I302" s="1" t="s">
        <v>27</v>
      </c>
      <c r="J302" s="1"/>
      <c r="K302" s="1">
        <v>17000</v>
      </c>
      <c r="L302" s="2">
        <v>45309</v>
      </c>
    </row>
    <row r="303" spans="1:12" x14ac:dyDescent="0.35">
      <c r="A303" s="1" t="s">
        <v>498</v>
      </c>
      <c r="B303" s="1" t="s">
        <v>84</v>
      </c>
      <c r="C303" s="1" t="s">
        <v>30</v>
      </c>
      <c r="D303" s="1" t="s">
        <v>31</v>
      </c>
      <c r="E303" s="1" t="s">
        <v>32</v>
      </c>
      <c r="F303" s="1" t="s">
        <v>25</v>
      </c>
      <c r="G303" s="1" t="s">
        <v>26</v>
      </c>
      <c r="H303" s="1">
        <v>18034</v>
      </c>
      <c r="I303" s="1" t="s">
        <v>27</v>
      </c>
      <c r="J303" s="1"/>
      <c r="K303" s="1">
        <v>17000</v>
      </c>
      <c r="L303" s="2">
        <v>45307</v>
      </c>
    </row>
    <row r="304" spans="1:12" x14ac:dyDescent="0.35">
      <c r="A304" s="1" t="s">
        <v>499</v>
      </c>
      <c r="B304" s="1" t="s">
        <v>500</v>
      </c>
      <c r="C304" s="1" t="s">
        <v>44</v>
      </c>
      <c r="D304" s="1" t="s">
        <v>45</v>
      </c>
      <c r="E304" s="1" t="s">
        <v>16</v>
      </c>
      <c r="F304" s="1" t="s">
        <v>25</v>
      </c>
      <c r="G304" s="1" t="s">
        <v>18</v>
      </c>
      <c r="H304" s="1">
        <v>11410</v>
      </c>
      <c r="I304" s="1"/>
      <c r="J304" s="1"/>
      <c r="K304" s="1">
        <v>13000</v>
      </c>
      <c r="L304" s="2">
        <v>45313</v>
      </c>
    </row>
    <row r="305" spans="1:12" x14ac:dyDescent="0.35">
      <c r="A305" s="1" t="s">
        <v>501</v>
      </c>
      <c r="B305" s="1" t="s">
        <v>334</v>
      </c>
      <c r="C305" s="1" t="s">
        <v>14</v>
      </c>
      <c r="D305" s="1" t="s">
        <v>15</v>
      </c>
      <c r="E305" s="1" t="s">
        <v>16</v>
      </c>
      <c r="F305" s="1" t="s">
        <v>25</v>
      </c>
      <c r="G305" s="1" t="s">
        <v>18</v>
      </c>
      <c r="H305" s="1">
        <v>15950</v>
      </c>
      <c r="I305" s="1" t="s">
        <v>27</v>
      </c>
      <c r="J305" s="1"/>
      <c r="K305" s="1">
        <v>14000</v>
      </c>
      <c r="L305" s="2">
        <v>45351</v>
      </c>
    </row>
    <row r="306" spans="1:12" x14ac:dyDescent="0.35">
      <c r="A306" s="1" t="s">
        <v>502</v>
      </c>
      <c r="B306" s="1" t="s">
        <v>363</v>
      </c>
      <c r="C306" s="1" t="s">
        <v>61</v>
      </c>
      <c r="D306" s="1" t="s">
        <v>62</v>
      </c>
      <c r="E306" s="1" t="s">
        <v>46</v>
      </c>
      <c r="F306" s="1" t="s">
        <v>39</v>
      </c>
      <c r="G306" s="1" t="s">
        <v>18</v>
      </c>
      <c r="H306" s="1">
        <v>10096</v>
      </c>
      <c r="I306" s="1" t="s">
        <v>33</v>
      </c>
      <c r="J306" s="1">
        <v>0.3</v>
      </c>
      <c r="K306" s="1">
        <v>9000</v>
      </c>
      <c r="L306" s="2">
        <v>45312</v>
      </c>
    </row>
    <row r="307" spans="1:12" x14ac:dyDescent="0.35">
      <c r="A307" s="1" t="s">
        <v>503</v>
      </c>
      <c r="B307" s="1" t="s">
        <v>286</v>
      </c>
      <c r="C307" s="1" t="s">
        <v>14</v>
      </c>
      <c r="D307" s="1" t="s">
        <v>15</v>
      </c>
      <c r="E307" s="1" t="s">
        <v>32</v>
      </c>
      <c r="F307" s="1" t="s">
        <v>39</v>
      </c>
      <c r="G307" s="1" t="s">
        <v>26</v>
      </c>
      <c r="H307" s="1">
        <v>12951</v>
      </c>
      <c r="I307" s="1" t="s">
        <v>27</v>
      </c>
      <c r="J307" s="1"/>
      <c r="K307" s="1">
        <v>14000</v>
      </c>
      <c r="L307" s="2">
        <v>45339</v>
      </c>
    </row>
    <row r="308" spans="1:12" x14ac:dyDescent="0.35">
      <c r="A308" s="1" t="s">
        <v>504</v>
      </c>
      <c r="B308" s="1" t="s">
        <v>371</v>
      </c>
      <c r="C308" s="1" t="s">
        <v>14</v>
      </c>
      <c r="D308" s="1" t="s">
        <v>15</v>
      </c>
      <c r="E308" s="1" t="s">
        <v>32</v>
      </c>
      <c r="F308" s="1" t="s">
        <v>17</v>
      </c>
      <c r="G308" s="1" t="s">
        <v>18</v>
      </c>
      <c r="H308" s="1">
        <v>15825</v>
      </c>
      <c r="I308" s="1" t="s">
        <v>22</v>
      </c>
      <c r="J308" s="1">
        <v>0.1</v>
      </c>
      <c r="K308" s="1">
        <v>14000</v>
      </c>
      <c r="L308" s="2">
        <v>45345</v>
      </c>
    </row>
    <row r="309" spans="1:12" x14ac:dyDescent="0.35">
      <c r="A309" s="1" t="s">
        <v>505</v>
      </c>
      <c r="B309" s="1" t="s">
        <v>155</v>
      </c>
      <c r="C309" s="1" t="s">
        <v>61</v>
      </c>
      <c r="D309" s="1" t="s">
        <v>62</v>
      </c>
      <c r="E309" s="1" t="s">
        <v>32</v>
      </c>
      <c r="F309" s="1" t="s">
        <v>39</v>
      </c>
      <c r="G309" s="1" t="s">
        <v>36</v>
      </c>
      <c r="H309" s="1">
        <v>10591</v>
      </c>
      <c r="I309" s="1" t="s">
        <v>22</v>
      </c>
      <c r="J309" s="1">
        <v>0.1</v>
      </c>
      <c r="K309" s="1">
        <v>9000</v>
      </c>
      <c r="L309" s="2">
        <v>45292</v>
      </c>
    </row>
    <row r="310" spans="1:12" x14ac:dyDescent="0.35">
      <c r="A310" s="1" t="s">
        <v>506</v>
      </c>
      <c r="B310" s="1" t="s">
        <v>118</v>
      </c>
      <c r="C310" s="1" t="s">
        <v>14</v>
      </c>
      <c r="D310" s="1" t="s">
        <v>15</v>
      </c>
      <c r="E310" s="1" t="s">
        <v>46</v>
      </c>
      <c r="F310" s="1" t="s">
        <v>17</v>
      </c>
      <c r="G310" s="1" t="s">
        <v>36</v>
      </c>
      <c r="H310" s="1">
        <v>14626</v>
      </c>
      <c r="I310" s="1" t="s">
        <v>27</v>
      </c>
      <c r="J310" s="1"/>
      <c r="K310" s="1">
        <v>14000</v>
      </c>
      <c r="L310" s="2">
        <v>45325</v>
      </c>
    </row>
    <row r="311" spans="1:12" x14ac:dyDescent="0.35">
      <c r="A311" s="1" t="s">
        <v>507</v>
      </c>
      <c r="B311" s="1" t="s">
        <v>508</v>
      </c>
      <c r="C311" s="1" t="s">
        <v>61</v>
      </c>
      <c r="D311" s="1" t="s">
        <v>62</v>
      </c>
      <c r="E311" s="1" t="s">
        <v>46</v>
      </c>
      <c r="F311" s="1" t="s">
        <v>25</v>
      </c>
      <c r="G311" s="1" t="s">
        <v>18</v>
      </c>
      <c r="H311" s="1">
        <v>8354</v>
      </c>
      <c r="I311" s="1" t="s">
        <v>19</v>
      </c>
      <c r="J311" s="1">
        <v>0.2</v>
      </c>
      <c r="K311" s="1">
        <v>9000</v>
      </c>
      <c r="L311" s="2">
        <v>45338</v>
      </c>
    </row>
    <row r="312" spans="1:12" x14ac:dyDescent="0.35">
      <c r="A312" s="1" t="s">
        <v>509</v>
      </c>
      <c r="B312" s="1" t="s">
        <v>332</v>
      </c>
      <c r="C312" s="1" t="s">
        <v>30</v>
      </c>
      <c r="D312" s="1" t="s">
        <v>31</v>
      </c>
      <c r="E312" s="1" t="s">
        <v>16</v>
      </c>
      <c r="F312" s="1" t="s">
        <v>25</v>
      </c>
      <c r="G312" s="1" t="s">
        <v>18</v>
      </c>
      <c r="H312" s="1">
        <v>18017</v>
      </c>
      <c r="I312" s="1" t="s">
        <v>33</v>
      </c>
      <c r="J312" s="1">
        <v>0.3</v>
      </c>
      <c r="K312" s="1">
        <v>17000</v>
      </c>
      <c r="L312" s="2">
        <v>45342</v>
      </c>
    </row>
    <row r="313" spans="1:12" x14ac:dyDescent="0.35">
      <c r="A313" s="1" t="s">
        <v>510</v>
      </c>
      <c r="B313" s="1" t="s">
        <v>118</v>
      </c>
      <c r="C313" s="1" t="s">
        <v>44</v>
      </c>
      <c r="D313" s="1" t="s">
        <v>45</v>
      </c>
      <c r="E313" s="1" t="s">
        <v>32</v>
      </c>
      <c r="F313" s="1" t="s">
        <v>39</v>
      </c>
      <c r="G313" s="1" t="s">
        <v>26</v>
      </c>
      <c r="H313" s="1">
        <v>14674</v>
      </c>
      <c r="I313" s="1"/>
      <c r="J313" s="1"/>
      <c r="K313" s="1">
        <v>13000</v>
      </c>
      <c r="L313" s="2">
        <v>45344</v>
      </c>
    </row>
    <row r="314" spans="1:12" x14ac:dyDescent="0.35">
      <c r="A314" s="1" t="s">
        <v>511</v>
      </c>
      <c r="B314" s="1" t="s">
        <v>512</v>
      </c>
      <c r="C314" s="1" t="s">
        <v>30</v>
      </c>
      <c r="D314" s="1" t="s">
        <v>31</v>
      </c>
      <c r="E314" s="1" t="s">
        <v>32</v>
      </c>
      <c r="F314" s="1" t="s">
        <v>17</v>
      </c>
      <c r="G314" s="1" t="s">
        <v>26</v>
      </c>
      <c r="H314" s="1">
        <v>15390</v>
      </c>
      <c r="I314" s="1" t="s">
        <v>19</v>
      </c>
      <c r="J314" s="1">
        <v>0.2</v>
      </c>
      <c r="K314" s="1">
        <v>17000</v>
      </c>
      <c r="L314" s="2">
        <v>45300</v>
      </c>
    </row>
    <row r="315" spans="1:12" x14ac:dyDescent="0.35">
      <c r="A315" s="1" t="s">
        <v>513</v>
      </c>
      <c r="B315" s="1" t="s">
        <v>188</v>
      </c>
      <c r="C315" s="1" t="s">
        <v>44</v>
      </c>
      <c r="D315" s="1" t="s">
        <v>45</v>
      </c>
      <c r="E315" s="1" t="s">
        <v>32</v>
      </c>
      <c r="F315" s="1" t="s">
        <v>17</v>
      </c>
      <c r="G315" s="1" t="s">
        <v>36</v>
      </c>
      <c r="H315" s="1">
        <v>11964</v>
      </c>
      <c r="I315" s="1"/>
      <c r="J315" s="1"/>
      <c r="K315" s="1">
        <v>13000</v>
      </c>
      <c r="L315" s="2">
        <v>45340</v>
      </c>
    </row>
    <row r="316" spans="1:12" x14ac:dyDescent="0.35">
      <c r="A316" s="1" t="s">
        <v>514</v>
      </c>
      <c r="B316" s="1" t="s">
        <v>131</v>
      </c>
      <c r="C316" s="1" t="s">
        <v>30</v>
      </c>
      <c r="D316" s="1" t="s">
        <v>31</v>
      </c>
      <c r="E316" s="1" t="s">
        <v>16</v>
      </c>
      <c r="F316" s="1" t="s">
        <v>39</v>
      </c>
      <c r="G316" s="1" t="s">
        <v>26</v>
      </c>
      <c r="H316" s="1">
        <v>15046</v>
      </c>
      <c r="I316" s="1" t="s">
        <v>33</v>
      </c>
      <c r="J316" s="1">
        <v>0.3</v>
      </c>
      <c r="K316" s="1">
        <v>17000</v>
      </c>
      <c r="L316" s="2">
        <v>45333</v>
      </c>
    </row>
    <row r="317" spans="1:12" x14ac:dyDescent="0.35">
      <c r="A317" s="1" t="s">
        <v>515</v>
      </c>
      <c r="B317" s="1" t="s">
        <v>516</v>
      </c>
      <c r="C317" s="1" t="s">
        <v>44</v>
      </c>
      <c r="D317" s="1" t="s">
        <v>45</v>
      </c>
      <c r="E317" s="1" t="s">
        <v>32</v>
      </c>
      <c r="F317" s="1" t="s">
        <v>39</v>
      </c>
      <c r="G317" s="1" t="s">
        <v>18</v>
      </c>
      <c r="H317" s="1">
        <v>12906</v>
      </c>
      <c r="I317" s="1" t="s">
        <v>33</v>
      </c>
      <c r="J317" s="1">
        <v>0.3</v>
      </c>
      <c r="K317" s="1">
        <v>13000</v>
      </c>
      <c r="L317" s="2">
        <v>45302</v>
      </c>
    </row>
    <row r="318" spans="1:12" x14ac:dyDescent="0.35">
      <c r="A318" s="1" t="s">
        <v>517</v>
      </c>
      <c r="B318" s="1" t="s">
        <v>274</v>
      </c>
      <c r="C318" s="1" t="s">
        <v>30</v>
      </c>
      <c r="D318" s="1" t="s">
        <v>31</v>
      </c>
      <c r="E318" s="1" t="s">
        <v>16</v>
      </c>
      <c r="F318" s="1" t="s">
        <v>25</v>
      </c>
      <c r="G318" s="1" t="s">
        <v>26</v>
      </c>
      <c r="H318" s="1">
        <v>18752</v>
      </c>
      <c r="I318" s="1" t="s">
        <v>33</v>
      </c>
      <c r="J318" s="1">
        <v>0.3</v>
      </c>
      <c r="K318" s="1">
        <v>17000</v>
      </c>
      <c r="L318" s="2">
        <v>45315</v>
      </c>
    </row>
    <row r="319" spans="1:12" x14ac:dyDescent="0.35">
      <c r="A319" s="1" t="s">
        <v>518</v>
      </c>
      <c r="B319" s="1" t="s">
        <v>519</v>
      </c>
      <c r="C319" s="1" t="s">
        <v>44</v>
      </c>
      <c r="D319" s="1" t="s">
        <v>45</v>
      </c>
      <c r="E319" s="1" t="s">
        <v>32</v>
      </c>
      <c r="F319" s="1" t="s">
        <v>17</v>
      </c>
      <c r="G319" s="1" t="s">
        <v>18</v>
      </c>
      <c r="H319" s="1">
        <v>12863</v>
      </c>
      <c r="I319" s="1" t="s">
        <v>27</v>
      </c>
      <c r="J319" s="1"/>
      <c r="K319" s="1">
        <v>13000</v>
      </c>
      <c r="L319" s="2">
        <v>45315</v>
      </c>
    </row>
    <row r="320" spans="1:12" x14ac:dyDescent="0.35">
      <c r="A320" s="1" t="s">
        <v>520</v>
      </c>
      <c r="B320" s="1" t="s">
        <v>101</v>
      </c>
      <c r="C320" s="1" t="s">
        <v>61</v>
      </c>
      <c r="D320" s="1" t="s">
        <v>62</v>
      </c>
      <c r="E320" s="1" t="s">
        <v>16</v>
      </c>
      <c r="F320" s="1" t="s">
        <v>39</v>
      </c>
      <c r="G320" s="1" t="s">
        <v>18</v>
      </c>
      <c r="H320" s="1">
        <v>10120</v>
      </c>
      <c r="I320" s="1" t="s">
        <v>19</v>
      </c>
      <c r="J320" s="1">
        <v>0.2</v>
      </c>
      <c r="K320" s="1">
        <v>9000</v>
      </c>
      <c r="L320" s="2">
        <v>45335</v>
      </c>
    </row>
    <row r="321" spans="1:12" x14ac:dyDescent="0.35">
      <c r="A321" s="1" t="s">
        <v>521</v>
      </c>
      <c r="B321" s="1" t="s">
        <v>522</v>
      </c>
      <c r="C321" s="1" t="s">
        <v>14</v>
      </c>
      <c r="D321" s="1" t="s">
        <v>15</v>
      </c>
      <c r="E321" s="1" t="s">
        <v>16</v>
      </c>
      <c r="F321" s="1" t="s">
        <v>17</v>
      </c>
      <c r="G321" s="1" t="s">
        <v>26</v>
      </c>
      <c r="H321" s="1">
        <v>14882</v>
      </c>
      <c r="I321" s="1" t="s">
        <v>33</v>
      </c>
      <c r="J321" s="1">
        <v>0.3</v>
      </c>
      <c r="K321" s="1">
        <v>14000</v>
      </c>
      <c r="L321" s="2">
        <v>45296</v>
      </c>
    </row>
    <row r="322" spans="1:12" x14ac:dyDescent="0.35">
      <c r="A322" s="1" t="s">
        <v>523</v>
      </c>
      <c r="B322" s="1" t="s">
        <v>60</v>
      </c>
      <c r="C322" s="1" t="s">
        <v>14</v>
      </c>
      <c r="D322" s="1" t="s">
        <v>15</v>
      </c>
      <c r="E322" s="1" t="s">
        <v>32</v>
      </c>
      <c r="F322" s="1" t="s">
        <v>39</v>
      </c>
      <c r="G322" s="1" t="s">
        <v>26</v>
      </c>
      <c r="H322" s="1">
        <v>12828</v>
      </c>
      <c r="I322" s="1" t="s">
        <v>27</v>
      </c>
      <c r="J322" s="1"/>
      <c r="K322" s="1">
        <v>14000</v>
      </c>
      <c r="L322" s="2">
        <v>45326</v>
      </c>
    </row>
    <row r="323" spans="1:12" x14ac:dyDescent="0.35">
      <c r="A323" s="1" t="s">
        <v>524</v>
      </c>
      <c r="B323" s="1" t="s">
        <v>175</v>
      </c>
      <c r="C323" s="1" t="s">
        <v>30</v>
      </c>
      <c r="D323" s="1" t="s">
        <v>31</v>
      </c>
      <c r="E323" s="1" t="s">
        <v>16</v>
      </c>
      <c r="F323" s="1" t="s">
        <v>17</v>
      </c>
      <c r="G323" s="1" t="s">
        <v>18</v>
      </c>
      <c r="H323" s="1">
        <v>17786</v>
      </c>
      <c r="I323" s="1" t="s">
        <v>19</v>
      </c>
      <c r="J323" s="1">
        <v>0.2</v>
      </c>
      <c r="K323" s="1">
        <v>17000</v>
      </c>
      <c r="L323" s="2">
        <v>45337</v>
      </c>
    </row>
    <row r="324" spans="1:12" x14ac:dyDescent="0.35">
      <c r="A324" s="1" t="s">
        <v>525</v>
      </c>
      <c r="B324" s="1" t="s">
        <v>356</v>
      </c>
      <c r="C324" s="1" t="s">
        <v>14</v>
      </c>
      <c r="D324" s="1" t="s">
        <v>15</v>
      </c>
      <c r="E324" s="1" t="s">
        <v>16</v>
      </c>
      <c r="F324" s="1" t="s">
        <v>17</v>
      </c>
      <c r="G324" s="1" t="s">
        <v>18</v>
      </c>
      <c r="H324" s="1">
        <v>13857</v>
      </c>
      <c r="I324" s="1" t="s">
        <v>19</v>
      </c>
      <c r="J324" s="1">
        <v>0.2</v>
      </c>
      <c r="K324" s="1">
        <v>14000</v>
      </c>
      <c r="L324" s="2">
        <v>45324</v>
      </c>
    </row>
    <row r="325" spans="1:12" x14ac:dyDescent="0.35">
      <c r="A325" s="1" t="s">
        <v>526</v>
      </c>
      <c r="B325" s="1" t="s">
        <v>527</v>
      </c>
      <c r="C325" s="1" t="s">
        <v>14</v>
      </c>
      <c r="D325" s="1" t="s">
        <v>15</v>
      </c>
      <c r="E325" s="1" t="s">
        <v>16</v>
      </c>
      <c r="F325" s="1" t="s">
        <v>17</v>
      </c>
      <c r="G325" s="1" t="s">
        <v>26</v>
      </c>
      <c r="H325" s="1">
        <v>15305</v>
      </c>
      <c r="I325" s="1" t="s">
        <v>33</v>
      </c>
      <c r="J325" s="1">
        <v>0.3</v>
      </c>
      <c r="K325" s="1">
        <v>14000</v>
      </c>
      <c r="L325" s="2">
        <v>45338</v>
      </c>
    </row>
    <row r="326" spans="1:12" x14ac:dyDescent="0.35">
      <c r="A326" s="1" t="s">
        <v>528</v>
      </c>
      <c r="B326" s="1" t="s">
        <v>406</v>
      </c>
      <c r="C326" s="1" t="s">
        <v>30</v>
      </c>
      <c r="D326" s="1" t="s">
        <v>31</v>
      </c>
      <c r="E326" s="1" t="s">
        <v>32</v>
      </c>
      <c r="F326" s="1" t="s">
        <v>39</v>
      </c>
      <c r="G326" s="1" t="s">
        <v>18</v>
      </c>
      <c r="H326" s="1">
        <v>17368</v>
      </c>
      <c r="I326" s="1" t="s">
        <v>22</v>
      </c>
      <c r="J326" s="1">
        <v>0.1</v>
      </c>
      <c r="K326" s="1">
        <v>17000</v>
      </c>
      <c r="L326" s="2">
        <v>45294</v>
      </c>
    </row>
    <row r="327" spans="1:12" x14ac:dyDescent="0.35">
      <c r="A327" s="1" t="s">
        <v>529</v>
      </c>
      <c r="B327" s="1" t="s">
        <v>474</v>
      </c>
      <c r="C327" s="1" t="s">
        <v>14</v>
      </c>
      <c r="D327" s="1" t="s">
        <v>15</v>
      </c>
      <c r="E327" s="1" t="s">
        <v>16</v>
      </c>
      <c r="F327" s="1" t="s">
        <v>25</v>
      </c>
      <c r="G327" s="1" t="s">
        <v>18</v>
      </c>
      <c r="H327" s="1">
        <v>15824</v>
      </c>
      <c r="I327" s="1"/>
      <c r="J327" s="1"/>
      <c r="K327" s="1">
        <v>14000</v>
      </c>
      <c r="L327" s="2">
        <v>45294</v>
      </c>
    </row>
    <row r="328" spans="1:12" x14ac:dyDescent="0.35">
      <c r="A328" s="1" t="s">
        <v>530</v>
      </c>
      <c r="B328" s="1" t="s">
        <v>70</v>
      </c>
      <c r="C328" s="1" t="s">
        <v>44</v>
      </c>
      <c r="D328" s="1" t="s">
        <v>45</v>
      </c>
      <c r="E328" s="1" t="s">
        <v>32</v>
      </c>
      <c r="F328" s="1" t="s">
        <v>39</v>
      </c>
      <c r="G328" s="1" t="s">
        <v>26</v>
      </c>
      <c r="H328" s="1">
        <v>13645</v>
      </c>
      <c r="I328" s="1"/>
      <c r="J328" s="1"/>
      <c r="K328" s="1">
        <v>13000</v>
      </c>
      <c r="L328" s="2">
        <v>45315</v>
      </c>
    </row>
    <row r="329" spans="1:12" x14ac:dyDescent="0.35">
      <c r="A329" s="1" t="s">
        <v>531</v>
      </c>
      <c r="B329" s="1" t="s">
        <v>137</v>
      </c>
      <c r="C329" s="1" t="s">
        <v>61</v>
      </c>
      <c r="D329" s="1" t="s">
        <v>62</v>
      </c>
      <c r="E329" s="1" t="s">
        <v>46</v>
      </c>
      <c r="F329" s="1" t="s">
        <v>17</v>
      </c>
      <c r="G329" s="1" t="s">
        <v>18</v>
      </c>
      <c r="H329" s="1">
        <v>9796</v>
      </c>
      <c r="I329" s="1" t="s">
        <v>27</v>
      </c>
      <c r="J329" s="1"/>
      <c r="K329" s="1">
        <v>9000</v>
      </c>
      <c r="L329" s="2">
        <v>45300</v>
      </c>
    </row>
    <row r="330" spans="1:12" x14ac:dyDescent="0.35">
      <c r="A330" s="1" t="s">
        <v>532</v>
      </c>
      <c r="B330" s="1" t="s">
        <v>204</v>
      </c>
      <c r="C330" s="1" t="s">
        <v>30</v>
      </c>
      <c r="D330" s="1" t="s">
        <v>31</v>
      </c>
      <c r="E330" s="1" t="s">
        <v>32</v>
      </c>
      <c r="F330" s="1" t="s">
        <v>25</v>
      </c>
      <c r="G330" s="1" t="s">
        <v>26</v>
      </c>
      <c r="H330" s="1">
        <v>16609</v>
      </c>
      <c r="I330" s="1" t="s">
        <v>27</v>
      </c>
      <c r="J330" s="1"/>
      <c r="K330" s="1">
        <v>17000</v>
      </c>
      <c r="L330" s="2">
        <v>45300</v>
      </c>
    </row>
    <row r="331" spans="1:12" x14ac:dyDescent="0.35">
      <c r="A331" s="1" t="s">
        <v>533</v>
      </c>
      <c r="B331" s="1" t="s">
        <v>397</v>
      </c>
      <c r="C331" s="1" t="s">
        <v>14</v>
      </c>
      <c r="D331" s="1" t="s">
        <v>15</v>
      </c>
      <c r="E331" s="1" t="s">
        <v>32</v>
      </c>
      <c r="F331" s="1" t="s">
        <v>17</v>
      </c>
      <c r="G331" s="1" t="s">
        <v>36</v>
      </c>
      <c r="H331" s="1">
        <v>14758</v>
      </c>
      <c r="I331" s="1" t="s">
        <v>27</v>
      </c>
      <c r="J331" s="1"/>
      <c r="K331" s="1">
        <v>14000</v>
      </c>
      <c r="L331" s="2">
        <v>45319</v>
      </c>
    </row>
    <row r="332" spans="1:12" x14ac:dyDescent="0.35">
      <c r="A332" s="1" t="s">
        <v>534</v>
      </c>
      <c r="B332" s="1" t="s">
        <v>388</v>
      </c>
      <c r="C332" s="1" t="s">
        <v>44</v>
      </c>
      <c r="D332" s="1" t="s">
        <v>45</v>
      </c>
      <c r="E332" s="1" t="s">
        <v>32</v>
      </c>
      <c r="F332" s="1" t="s">
        <v>17</v>
      </c>
      <c r="G332" s="1" t="s">
        <v>36</v>
      </c>
      <c r="H332" s="1">
        <v>11635</v>
      </c>
      <c r="I332" s="1" t="s">
        <v>33</v>
      </c>
      <c r="J332" s="1">
        <v>0.3</v>
      </c>
      <c r="K332" s="1">
        <v>13000</v>
      </c>
      <c r="L332" s="2">
        <v>45304</v>
      </c>
    </row>
    <row r="333" spans="1:12" x14ac:dyDescent="0.35">
      <c r="A333" s="1" t="s">
        <v>535</v>
      </c>
      <c r="B333" s="1" t="s">
        <v>260</v>
      </c>
      <c r="C333" s="1" t="s">
        <v>14</v>
      </c>
      <c r="D333" s="1" t="s">
        <v>15</v>
      </c>
      <c r="E333" s="1" t="s">
        <v>32</v>
      </c>
      <c r="F333" s="1" t="s">
        <v>39</v>
      </c>
      <c r="G333" s="1" t="s">
        <v>36</v>
      </c>
      <c r="H333" s="1">
        <v>14518</v>
      </c>
      <c r="I333" s="1" t="s">
        <v>22</v>
      </c>
      <c r="J333" s="1">
        <v>0.1</v>
      </c>
      <c r="K333" s="1">
        <v>14000</v>
      </c>
      <c r="L333" s="2">
        <v>45307</v>
      </c>
    </row>
    <row r="334" spans="1:12" x14ac:dyDescent="0.35">
      <c r="A334" s="1" t="s">
        <v>536</v>
      </c>
      <c r="B334" s="1" t="s">
        <v>229</v>
      </c>
      <c r="C334" s="1" t="s">
        <v>14</v>
      </c>
      <c r="D334" s="1" t="s">
        <v>15</v>
      </c>
      <c r="E334" s="1" t="s">
        <v>16</v>
      </c>
      <c r="F334" s="1" t="s">
        <v>25</v>
      </c>
      <c r="G334" s="1" t="s">
        <v>36</v>
      </c>
      <c r="H334" s="1">
        <v>14448</v>
      </c>
      <c r="I334" s="1" t="s">
        <v>22</v>
      </c>
      <c r="J334" s="1">
        <v>0.1</v>
      </c>
      <c r="K334" s="1">
        <v>14000</v>
      </c>
      <c r="L334" s="2">
        <v>45307</v>
      </c>
    </row>
    <row r="335" spans="1:12" x14ac:dyDescent="0.35">
      <c r="A335" s="1" t="s">
        <v>537</v>
      </c>
      <c r="B335" s="1" t="s">
        <v>464</v>
      </c>
      <c r="C335" s="1" t="s">
        <v>61</v>
      </c>
      <c r="D335" s="1" t="s">
        <v>62</v>
      </c>
      <c r="E335" s="1" t="s">
        <v>46</v>
      </c>
      <c r="F335" s="1" t="s">
        <v>25</v>
      </c>
      <c r="G335" s="1" t="s">
        <v>26</v>
      </c>
      <c r="H335" s="1">
        <v>7889</v>
      </c>
      <c r="I335" s="1" t="s">
        <v>22</v>
      </c>
      <c r="J335" s="1">
        <v>0.1</v>
      </c>
      <c r="K335" s="1">
        <v>9000</v>
      </c>
      <c r="L335" s="2">
        <v>45300</v>
      </c>
    </row>
    <row r="336" spans="1:12" x14ac:dyDescent="0.35">
      <c r="A336" s="1" t="s">
        <v>538</v>
      </c>
      <c r="B336" s="1" t="s">
        <v>448</v>
      </c>
      <c r="C336" s="1" t="s">
        <v>44</v>
      </c>
      <c r="D336" s="1" t="s">
        <v>45</v>
      </c>
      <c r="E336" s="1" t="s">
        <v>16</v>
      </c>
      <c r="F336" s="1" t="s">
        <v>39</v>
      </c>
      <c r="G336" s="1" t="s">
        <v>36</v>
      </c>
      <c r="H336" s="1">
        <v>13365</v>
      </c>
      <c r="I336" s="1" t="s">
        <v>27</v>
      </c>
      <c r="J336" s="1"/>
      <c r="K336" s="1">
        <v>13000</v>
      </c>
      <c r="L336" s="2">
        <v>45341</v>
      </c>
    </row>
    <row r="337" spans="1:12" x14ac:dyDescent="0.35">
      <c r="A337" s="1" t="s">
        <v>539</v>
      </c>
      <c r="B337" s="1" t="s">
        <v>204</v>
      </c>
      <c r="C337" s="1" t="s">
        <v>30</v>
      </c>
      <c r="D337" s="1" t="s">
        <v>31</v>
      </c>
      <c r="E337" s="1" t="s">
        <v>32</v>
      </c>
      <c r="F337" s="1" t="s">
        <v>17</v>
      </c>
      <c r="G337" s="1" t="s">
        <v>18</v>
      </c>
      <c r="H337" s="1">
        <v>17704</v>
      </c>
      <c r="I337" s="1" t="s">
        <v>27</v>
      </c>
      <c r="J337" s="1"/>
      <c r="K337" s="1">
        <v>17000</v>
      </c>
      <c r="L337" s="2">
        <v>45306</v>
      </c>
    </row>
    <row r="338" spans="1:12" x14ac:dyDescent="0.35">
      <c r="A338" s="1" t="s">
        <v>540</v>
      </c>
      <c r="B338" s="1" t="s">
        <v>435</v>
      </c>
      <c r="C338" s="1" t="s">
        <v>30</v>
      </c>
      <c r="D338" s="1" t="s">
        <v>31</v>
      </c>
      <c r="E338" s="1" t="s">
        <v>32</v>
      </c>
      <c r="F338" s="1" t="s">
        <v>39</v>
      </c>
      <c r="G338" s="1" t="s">
        <v>26</v>
      </c>
      <c r="H338" s="1">
        <v>18603</v>
      </c>
      <c r="I338" s="1" t="s">
        <v>19</v>
      </c>
      <c r="J338" s="1">
        <v>0.2</v>
      </c>
      <c r="K338" s="1">
        <v>17000</v>
      </c>
      <c r="L338" s="2">
        <v>45332</v>
      </c>
    </row>
    <row r="339" spans="1:12" x14ac:dyDescent="0.35">
      <c r="A339" s="1" t="s">
        <v>541</v>
      </c>
      <c r="B339" s="1" t="s">
        <v>90</v>
      </c>
      <c r="C339" s="1" t="s">
        <v>61</v>
      </c>
      <c r="D339" s="1" t="s">
        <v>62</v>
      </c>
      <c r="E339" s="1" t="s">
        <v>32</v>
      </c>
      <c r="F339" s="1" t="s">
        <v>17</v>
      </c>
      <c r="G339" s="1" t="s">
        <v>26</v>
      </c>
      <c r="H339" s="1">
        <v>9749</v>
      </c>
      <c r="I339" s="1"/>
      <c r="J339" s="1"/>
      <c r="K339" s="1">
        <v>9000</v>
      </c>
      <c r="L339" s="2">
        <v>45342</v>
      </c>
    </row>
    <row r="340" spans="1:12" x14ac:dyDescent="0.35">
      <c r="A340" s="1" t="s">
        <v>542</v>
      </c>
      <c r="B340" s="1" t="s">
        <v>217</v>
      </c>
      <c r="C340" s="1" t="s">
        <v>61</v>
      </c>
      <c r="D340" s="1" t="s">
        <v>62</v>
      </c>
      <c r="E340" s="1" t="s">
        <v>46</v>
      </c>
      <c r="F340" s="1" t="s">
        <v>25</v>
      </c>
      <c r="G340" s="1" t="s">
        <v>36</v>
      </c>
      <c r="H340" s="1">
        <v>8541</v>
      </c>
      <c r="I340" s="1" t="s">
        <v>19</v>
      </c>
      <c r="J340" s="1">
        <v>0.2</v>
      </c>
      <c r="K340" s="1">
        <v>9000</v>
      </c>
      <c r="L340" s="2">
        <v>45340</v>
      </c>
    </row>
    <row r="341" spans="1:12" x14ac:dyDescent="0.35">
      <c r="A341" s="1" t="s">
        <v>543</v>
      </c>
      <c r="B341" s="1" t="s">
        <v>544</v>
      </c>
      <c r="C341" s="1" t="s">
        <v>44</v>
      </c>
      <c r="D341" s="1" t="s">
        <v>45</v>
      </c>
      <c r="E341" s="1" t="s">
        <v>32</v>
      </c>
      <c r="F341" s="1" t="s">
        <v>17</v>
      </c>
      <c r="G341" s="1" t="s">
        <v>26</v>
      </c>
      <c r="H341" s="1">
        <v>11591</v>
      </c>
      <c r="I341" s="1"/>
      <c r="J341" s="1"/>
      <c r="K341" s="1">
        <v>13000</v>
      </c>
      <c r="L341" s="2">
        <v>45350</v>
      </c>
    </row>
    <row r="342" spans="1:12" x14ac:dyDescent="0.35">
      <c r="A342" s="1" t="s">
        <v>545</v>
      </c>
      <c r="B342" s="1" t="s">
        <v>166</v>
      </c>
      <c r="C342" s="1" t="s">
        <v>61</v>
      </c>
      <c r="D342" s="1" t="s">
        <v>62</v>
      </c>
      <c r="E342" s="1" t="s">
        <v>46</v>
      </c>
      <c r="F342" s="1" t="s">
        <v>39</v>
      </c>
      <c r="G342" s="1" t="s">
        <v>26</v>
      </c>
      <c r="H342" s="1">
        <v>7549</v>
      </c>
      <c r="I342" s="1"/>
      <c r="J342" s="1"/>
      <c r="K342" s="1">
        <v>9000</v>
      </c>
      <c r="L342" s="2">
        <v>45307</v>
      </c>
    </row>
    <row r="343" spans="1:12" x14ac:dyDescent="0.35">
      <c r="A343" s="1" t="s">
        <v>546</v>
      </c>
      <c r="B343" s="1" t="s">
        <v>289</v>
      </c>
      <c r="C343" s="1" t="s">
        <v>30</v>
      </c>
      <c r="D343" s="1" t="s">
        <v>31</v>
      </c>
      <c r="E343" s="1" t="s">
        <v>16</v>
      </c>
      <c r="F343" s="1" t="s">
        <v>25</v>
      </c>
      <c r="G343" s="1" t="s">
        <v>36</v>
      </c>
      <c r="H343" s="1">
        <v>18469</v>
      </c>
      <c r="I343" s="1" t="s">
        <v>33</v>
      </c>
      <c r="J343" s="1">
        <v>0.3</v>
      </c>
      <c r="K343" s="1">
        <v>17000</v>
      </c>
      <c r="L343" s="2">
        <v>45297</v>
      </c>
    </row>
    <row r="344" spans="1:12" x14ac:dyDescent="0.35">
      <c r="A344" s="1" t="s">
        <v>547</v>
      </c>
      <c r="B344" s="1" t="s">
        <v>548</v>
      </c>
      <c r="C344" s="1" t="s">
        <v>44</v>
      </c>
      <c r="D344" s="1" t="s">
        <v>45</v>
      </c>
      <c r="E344" s="1" t="s">
        <v>32</v>
      </c>
      <c r="F344" s="1" t="s">
        <v>17</v>
      </c>
      <c r="G344" s="1" t="s">
        <v>36</v>
      </c>
      <c r="H344" s="1">
        <v>13759</v>
      </c>
      <c r="I344" s="1" t="s">
        <v>27</v>
      </c>
      <c r="J344" s="1"/>
      <c r="K344" s="1">
        <v>13000</v>
      </c>
      <c r="L344" s="2">
        <v>45330</v>
      </c>
    </row>
    <row r="345" spans="1:12" x14ac:dyDescent="0.35">
      <c r="A345" s="1" t="s">
        <v>549</v>
      </c>
      <c r="B345" s="1" t="s">
        <v>129</v>
      </c>
      <c r="C345" s="1" t="s">
        <v>14</v>
      </c>
      <c r="D345" s="1" t="s">
        <v>15</v>
      </c>
      <c r="E345" s="1" t="s">
        <v>32</v>
      </c>
      <c r="F345" s="1" t="s">
        <v>39</v>
      </c>
      <c r="G345" s="1" t="s">
        <v>26</v>
      </c>
      <c r="H345" s="1">
        <v>14750</v>
      </c>
      <c r="I345" s="1" t="s">
        <v>27</v>
      </c>
      <c r="J345" s="1"/>
      <c r="K345" s="1">
        <v>14000</v>
      </c>
      <c r="L345" s="2">
        <v>45305</v>
      </c>
    </row>
    <row r="346" spans="1:12" x14ac:dyDescent="0.35">
      <c r="A346" s="1" t="s">
        <v>550</v>
      </c>
      <c r="B346" s="1" t="s">
        <v>211</v>
      </c>
      <c r="C346" s="1" t="s">
        <v>30</v>
      </c>
      <c r="D346" s="1" t="s">
        <v>31</v>
      </c>
      <c r="E346" s="1" t="s">
        <v>46</v>
      </c>
      <c r="F346" s="1" t="s">
        <v>25</v>
      </c>
      <c r="G346" s="1" t="s">
        <v>18</v>
      </c>
      <c r="H346" s="1">
        <v>18838</v>
      </c>
      <c r="I346" s="1" t="s">
        <v>19</v>
      </c>
      <c r="J346" s="1">
        <v>0.2</v>
      </c>
      <c r="K346" s="1">
        <v>17000</v>
      </c>
      <c r="L346" s="2">
        <v>45339</v>
      </c>
    </row>
    <row r="347" spans="1:12" x14ac:dyDescent="0.35">
      <c r="A347" s="1" t="s">
        <v>551</v>
      </c>
      <c r="B347" s="1" t="s">
        <v>173</v>
      </c>
      <c r="C347" s="1" t="s">
        <v>61</v>
      </c>
      <c r="D347" s="1" t="s">
        <v>62</v>
      </c>
      <c r="E347" s="1" t="s">
        <v>32</v>
      </c>
      <c r="F347" s="1" t="s">
        <v>39</v>
      </c>
      <c r="G347" s="1" t="s">
        <v>26</v>
      </c>
      <c r="H347" s="1">
        <v>9882</v>
      </c>
      <c r="I347" s="1" t="s">
        <v>19</v>
      </c>
      <c r="J347" s="1">
        <v>0.2</v>
      </c>
      <c r="K347" s="1">
        <v>9000</v>
      </c>
      <c r="L347" s="2">
        <v>45317</v>
      </c>
    </row>
    <row r="348" spans="1:12" x14ac:dyDescent="0.35">
      <c r="A348" s="1" t="s">
        <v>552</v>
      </c>
      <c r="B348" s="1" t="s">
        <v>553</v>
      </c>
      <c r="C348" s="1" t="s">
        <v>30</v>
      </c>
      <c r="D348" s="1" t="s">
        <v>31</v>
      </c>
      <c r="E348" s="1" t="s">
        <v>46</v>
      </c>
      <c r="F348" s="1" t="s">
        <v>17</v>
      </c>
      <c r="G348" s="1" t="s">
        <v>36</v>
      </c>
      <c r="H348" s="1">
        <v>17185</v>
      </c>
      <c r="I348" s="1" t="s">
        <v>33</v>
      </c>
      <c r="J348" s="1">
        <v>0.3</v>
      </c>
      <c r="K348" s="1">
        <v>17000</v>
      </c>
      <c r="L348" s="2">
        <v>45311</v>
      </c>
    </row>
    <row r="349" spans="1:12" x14ac:dyDescent="0.35">
      <c r="A349" s="1" t="s">
        <v>554</v>
      </c>
      <c r="B349" s="1" t="s">
        <v>131</v>
      </c>
      <c r="C349" s="1" t="s">
        <v>61</v>
      </c>
      <c r="D349" s="1" t="s">
        <v>62</v>
      </c>
      <c r="E349" s="1" t="s">
        <v>46</v>
      </c>
      <c r="F349" s="1" t="s">
        <v>25</v>
      </c>
      <c r="G349" s="1" t="s">
        <v>26</v>
      </c>
      <c r="H349" s="1">
        <v>8923</v>
      </c>
      <c r="I349" s="1" t="s">
        <v>33</v>
      </c>
      <c r="J349" s="1">
        <v>0.3</v>
      </c>
      <c r="K349" s="1">
        <v>9000</v>
      </c>
      <c r="L349" s="2">
        <v>45350</v>
      </c>
    </row>
    <row r="350" spans="1:12" x14ac:dyDescent="0.35">
      <c r="A350" s="1" t="s">
        <v>555</v>
      </c>
      <c r="B350" s="1" t="s">
        <v>391</v>
      </c>
      <c r="C350" s="1" t="s">
        <v>30</v>
      </c>
      <c r="D350" s="1" t="s">
        <v>31</v>
      </c>
      <c r="E350" s="1" t="s">
        <v>46</v>
      </c>
      <c r="F350" s="1" t="s">
        <v>25</v>
      </c>
      <c r="G350" s="1" t="s">
        <v>26</v>
      </c>
      <c r="H350" s="1">
        <v>18539</v>
      </c>
      <c r="I350" s="1" t="s">
        <v>19</v>
      </c>
      <c r="J350" s="1">
        <v>0.2</v>
      </c>
      <c r="K350" s="1">
        <v>17000</v>
      </c>
      <c r="L350" s="2">
        <v>45339</v>
      </c>
    </row>
    <row r="351" spans="1:12" x14ac:dyDescent="0.35">
      <c r="A351" s="1" t="s">
        <v>556</v>
      </c>
      <c r="B351" s="1" t="s">
        <v>557</v>
      </c>
      <c r="C351" s="1" t="s">
        <v>30</v>
      </c>
      <c r="D351" s="1" t="s">
        <v>31</v>
      </c>
      <c r="E351" s="1" t="s">
        <v>16</v>
      </c>
      <c r="F351" s="1" t="s">
        <v>39</v>
      </c>
      <c r="G351" s="1" t="s">
        <v>26</v>
      </c>
      <c r="H351" s="1">
        <v>17949</v>
      </c>
      <c r="I351" s="1"/>
      <c r="J351" s="1"/>
      <c r="K351" s="1">
        <v>17000</v>
      </c>
      <c r="L351" s="2">
        <v>45310</v>
      </c>
    </row>
    <row r="352" spans="1:12" x14ac:dyDescent="0.35">
      <c r="A352" s="1" t="s">
        <v>558</v>
      </c>
      <c r="B352" s="1" t="s">
        <v>35</v>
      </c>
      <c r="C352" s="1" t="s">
        <v>30</v>
      </c>
      <c r="D352" s="1" t="s">
        <v>31</v>
      </c>
      <c r="E352" s="1" t="s">
        <v>32</v>
      </c>
      <c r="F352" s="1" t="s">
        <v>17</v>
      </c>
      <c r="G352" s="1" t="s">
        <v>26</v>
      </c>
      <c r="H352" s="1">
        <v>18413</v>
      </c>
      <c r="I352" s="1" t="s">
        <v>19</v>
      </c>
      <c r="J352" s="1">
        <v>0.2</v>
      </c>
      <c r="K352" s="1">
        <v>17000</v>
      </c>
      <c r="L352" s="2">
        <v>45323</v>
      </c>
    </row>
    <row r="353" spans="1:12" x14ac:dyDescent="0.35">
      <c r="A353" s="1" t="s">
        <v>559</v>
      </c>
      <c r="B353" s="1" t="s">
        <v>202</v>
      </c>
      <c r="C353" s="1" t="s">
        <v>30</v>
      </c>
      <c r="D353" s="1" t="s">
        <v>31</v>
      </c>
      <c r="E353" s="1" t="s">
        <v>46</v>
      </c>
      <c r="F353" s="1" t="s">
        <v>17</v>
      </c>
      <c r="G353" s="1" t="s">
        <v>26</v>
      </c>
      <c r="H353" s="1">
        <v>17628</v>
      </c>
      <c r="I353" s="1"/>
      <c r="J353" s="1"/>
      <c r="K353" s="1">
        <v>17000</v>
      </c>
      <c r="L353" s="2">
        <v>45321</v>
      </c>
    </row>
    <row r="354" spans="1:12" x14ac:dyDescent="0.35">
      <c r="A354" s="1" t="s">
        <v>560</v>
      </c>
      <c r="B354" s="1" t="s">
        <v>280</v>
      </c>
      <c r="C354" s="1" t="s">
        <v>30</v>
      </c>
      <c r="D354" s="1" t="s">
        <v>31</v>
      </c>
      <c r="E354" s="1" t="s">
        <v>32</v>
      </c>
      <c r="F354" s="1" t="s">
        <v>25</v>
      </c>
      <c r="G354" s="1" t="s">
        <v>26</v>
      </c>
      <c r="H354" s="1">
        <v>17238</v>
      </c>
      <c r="I354" s="1"/>
      <c r="J354" s="1"/>
      <c r="K354" s="1">
        <v>17000</v>
      </c>
      <c r="L354" s="2">
        <v>45303</v>
      </c>
    </row>
    <row r="355" spans="1:12" x14ac:dyDescent="0.35">
      <c r="A355" s="1" t="s">
        <v>561</v>
      </c>
      <c r="B355" s="1" t="s">
        <v>84</v>
      </c>
      <c r="C355" s="1" t="s">
        <v>14</v>
      </c>
      <c r="D355" s="1" t="s">
        <v>15</v>
      </c>
      <c r="E355" s="1" t="s">
        <v>16</v>
      </c>
      <c r="F355" s="1" t="s">
        <v>25</v>
      </c>
      <c r="G355" s="1" t="s">
        <v>18</v>
      </c>
      <c r="H355" s="1">
        <v>15871</v>
      </c>
      <c r="I355" s="1" t="s">
        <v>22</v>
      </c>
      <c r="J355" s="1">
        <v>0.1</v>
      </c>
      <c r="K355" s="1">
        <v>14000</v>
      </c>
      <c r="L355" s="2">
        <v>45340</v>
      </c>
    </row>
    <row r="356" spans="1:12" x14ac:dyDescent="0.35">
      <c r="A356" s="1" t="s">
        <v>562</v>
      </c>
      <c r="B356" s="1" t="s">
        <v>406</v>
      </c>
      <c r="C356" s="1" t="s">
        <v>44</v>
      </c>
      <c r="D356" s="1" t="s">
        <v>45</v>
      </c>
      <c r="E356" s="1" t="s">
        <v>16</v>
      </c>
      <c r="F356" s="1" t="s">
        <v>25</v>
      </c>
      <c r="G356" s="1" t="s">
        <v>18</v>
      </c>
      <c r="H356" s="1">
        <v>13896</v>
      </c>
      <c r="I356" s="1" t="s">
        <v>19</v>
      </c>
      <c r="J356" s="1">
        <v>0.2</v>
      </c>
      <c r="K356" s="1">
        <v>13000</v>
      </c>
      <c r="L356" s="2">
        <v>45292</v>
      </c>
    </row>
    <row r="357" spans="1:12" x14ac:dyDescent="0.35">
      <c r="A357" s="1" t="s">
        <v>563</v>
      </c>
      <c r="B357" s="1" t="s">
        <v>24</v>
      </c>
      <c r="C357" s="1" t="s">
        <v>61</v>
      </c>
      <c r="D357" s="1" t="s">
        <v>62</v>
      </c>
      <c r="E357" s="1" t="s">
        <v>46</v>
      </c>
      <c r="F357" s="1" t="s">
        <v>25</v>
      </c>
      <c r="G357" s="1" t="s">
        <v>26</v>
      </c>
      <c r="H357" s="1">
        <v>9612</v>
      </c>
      <c r="I357" s="1" t="s">
        <v>27</v>
      </c>
      <c r="J357" s="1"/>
      <c r="K357" s="1">
        <v>9000</v>
      </c>
      <c r="L357" s="2">
        <v>45350</v>
      </c>
    </row>
    <row r="358" spans="1:12" x14ac:dyDescent="0.35">
      <c r="A358" s="1" t="s">
        <v>564</v>
      </c>
      <c r="B358" s="1" t="s">
        <v>332</v>
      </c>
      <c r="C358" s="1" t="s">
        <v>61</v>
      </c>
      <c r="D358" s="1" t="s">
        <v>62</v>
      </c>
      <c r="E358" s="1" t="s">
        <v>32</v>
      </c>
      <c r="F358" s="1" t="s">
        <v>25</v>
      </c>
      <c r="G358" s="1" t="s">
        <v>26</v>
      </c>
      <c r="H358" s="1">
        <v>9259</v>
      </c>
      <c r="I358" s="1"/>
      <c r="J358" s="1"/>
      <c r="K358" s="1">
        <v>9000</v>
      </c>
      <c r="L358" s="2">
        <v>45292</v>
      </c>
    </row>
    <row r="359" spans="1:12" x14ac:dyDescent="0.35">
      <c r="A359" s="1" t="s">
        <v>565</v>
      </c>
      <c r="B359" s="1" t="s">
        <v>166</v>
      </c>
      <c r="C359" s="1" t="s">
        <v>30</v>
      </c>
      <c r="D359" s="1" t="s">
        <v>31</v>
      </c>
      <c r="E359" s="1" t="s">
        <v>16</v>
      </c>
      <c r="F359" s="1" t="s">
        <v>17</v>
      </c>
      <c r="G359" s="1" t="s">
        <v>18</v>
      </c>
      <c r="H359" s="1">
        <v>17057</v>
      </c>
      <c r="I359" s="1"/>
      <c r="J359" s="1"/>
      <c r="K359" s="1">
        <v>17000</v>
      </c>
      <c r="L359" s="2">
        <v>45343</v>
      </c>
    </row>
    <row r="360" spans="1:12" x14ac:dyDescent="0.35">
      <c r="A360" s="1" t="s">
        <v>566</v>
      </c>
      <c r="B360" s="1" t="s">
        <v>120</v>
      </c>
      <c r="C360" s="1" t="s">
        <v>14</v>
      </c>
      <c r="D360" s="1" t="s">
        <v>15</v>
      </c>
      <c r="E360" s="1" t="s">
        <v>32</v>
      </c>
      <c r="F360" s="1" t="s">
        <v>39</v>
      </c>
      <c r="G360" s="1" t="s">
        <v>18</v>
      </c>
      <c r="H360" s="1">
        <v>12987</v>
      </c>
      <c r="I360" s="1" t="s">
        <v>19</v>
      </c>
      <c r="J360" s="1">
        <v>0.2</v>
      </c>
      <c r="K360" s="1">
        <v>14000</v>
      </c>
      <c r="L360" s="2">
        <v>45331</v>
      </c>
    </row>
    <row r="361" spans="1:12" x14ac:dyDescent="0.35">
      <c r="A361" s="1" t="s">
        <v>567</v>
      </c>
      <c r="B361" s="1" t="s">
        <v>448</v>
      </c>
      <c r="C361" s="1" t="s">
        <v>30</v>
      </c>
      <c r="D361" s="1" t="s">
        <v>31</v>
      </c>
      <c r="E361" s="1" t="s">
        <v>46</v>
      </c>
      <c r="F361" s="1" t="s">
        <v>17</v>
      </c>
      <c r="G361" s="1" t="s">
        <v>18</v>
      </c>
      <c r="H361" s="1">
        <v>16528</v>
      </c>
      <c r="I361" s="1"/>
      <c r="J361" s="1"/>
      <c r="K361" s="1">
        <v>17000</v>
      </c>
      <c r="L361" s="2">
        <v>45321</v>
      </c>
    </row>
    <row r="362" spans="1:12" x14ac:dyDescent="0.35">
      <c r="A362" s="1" t="s">
        <v>568</v>
      </c>
      <c r="B362" s="1" t="s">
        <v>519</v>
      </c>
      <c r="C362" s="1" t="s">
        <v>44</v>
      </c>
      <c r="D362" s="1" t="s">
        <v>45</v>
      </c>
      <c r="E362" s="1" t="s">
        <v>46</v>
      </c>
      <c r="F362" s="1" t="s">
        <v>39</v>
      </c>
      <c r="G362" s="1" t="s">
        <v>18</v>
      </c>
      <c r="H362" s="1">
        <v>13677</v>
      </c>
      <c r="I362" s="1" t="s">
        <v>22</v>
      </c>
      <c r="J362" s="1">
        <v>0.1</v>
      </c>
      <c r="K362" s="1">
        <v>13000</v>
      </c>
      <c r="L362" s="2">
        <v>45297</v>
      </c>
    </row>
    <row r="363" spans="1:12" x14ac:dyDescent="0.35">
      <c r="A363" s="1" t="s">
        <v>569</v>
      </c>
      <c r="B363" s="1" t="s">
        <v>177</v>
      </c>
      <c r="C363" s="1" t="s">
        <v>61</v>
      </c>
      <c r="D363" s="1" t="s">
        <v>62</v>
      </c>
      <c r="E363" s="1" t="s">
        <v>16</v>
      </c>
      <c r="F363" s="1" t="s">
        <v>17</v>
      </c>
      <c r="G363" s="1" t="s">
        <v>18</v>
      </c>
      <c r="H363" s="1">
        <v>9608</v>
      </c>
      <c r="I363" s="1" t="s">
        <v>22</v>
      </c>
      <c r="J363" s="1">
        <v>0.1</v>
      </c>
      <c r="K363" s="1">
        <v>9000</v>
      </c>
      <c r="L363" s="2">
        <v>45336</v>
      </c>
    </row>
    <row r="364" spans="1:12" x14ac:dyDescent="0.35">
      <c r="A364" s="1" t="s">
        <v>570</v>
      </c>
      <c r="B364" s="1" t="s">
        <v>325</v>
      </c>
      <c r="C364" s="1" t="s">
        <v>61</v>
      </c>
      <c r="D364" s="1" t="s">
        <v>62</v>
      </c>
      <c r="E364" s="1" t="s">
        <v>46</v>
      </c>
      <c r="F364" s="1" t="s">
        <v>39</v>
      </c>
      <c r="G364" s="1" t="s">
        <v>36</v>
      </c>
      <c r="H364" s="1">
        <v>9317</v>
      </c>
      <c r="I364" s="1" t="s">
        <v>22</v>
      </c>
      <c r="J364" s="1">
        <v>0.1</v>
      </c>
      <c r="K364" s="1">
        <v>9000</v>
      </c>
      <c r="L364" s="2">
        <v>45349</v>
      </c>
    </row>
    <row r="365" spans="1:12" x14ac:dyDescent="0.35">
      <c r="A365" s="1" t="s">
        <v>571</v>
      </c>
      <c r="B365" s="1" t="s">
        <v>184</v>
      </c>
      <c r="C365" s="1" t="s">
        <v>44</v>
      </c>
      <c r="D365" s="1" t="s">
        <v>45</v>
      </c>
      <c r="E365" s="1" t="s">
        <v>32</v>
      </c>
      <c r="F365" s="1" t="s">
        <v>39</v>
      </c>
      <c r="G365" s="1" t="s">
        <v>26</v>
      </c>
      <c r="H365" s="1">
        <v>12947</v>
      </c>
      <c r="I365" s="1" t="s">
        <v>33</v>
      </c>
      <c r="J365" s="1">
        <v>0.3</v>
      </c>
      <c r="K365" s="1">
        <v>13000</v>
      </c>
      <c r="L365" s="2">
        <v>45294</v>
      </c>
    </row>
    <row r="366" spans="1:12" x14ac:dyDescent="0.35">
      <c r="A366" s="1" t="s">
        <v>572</v>
      </c>
      <c r="B366" s="1" t="s">
        <v>403</v>
      </c>
      <c r="C366" s="1" t="s">
        <v>30</v>
      </c>
      <c r="D366" s="1" t="s">
        <v>31</v>
      </c>
      <c r="E366" s="1" t="s">
        <v>16</v>
      </c>
      <c r="F366" s="1" t="s">
        <v>39</v>
      </c>
      <c r="G366" s="1" t="s">
        <v>26</v>
      </c>
      <c r="H366" s="1">
        <v>15134</v>
      </c>
      <c r="I366" s="1" t="s">
        <v>19</v>
      </c>
      <c r="J366" s="1">
        <v>0.2</v>
      </c>
      <c r="K366" s="1">
        <v>17000</v>
      </c>
      <c r="L366" s="2">
        <v>45351</v>
      </c>
    </row>
    <row r="367" spans="1:12" x14ac:dyDescent="0.35">
      <c r="A367" s="1" t="s">
        <v>573</v>
      </c>
      <c r="B367" s="1" t="s">
        <v>303</v>
      </c>
      <c r="C367" s="1" t="s">
        <v>14</v>
      </c>
      <c r="D367" s="1" t="s">
        <v>15</v>
      </c>
      <c r="E367" s="1" t="s">
        <v>32</v>
      </c>
      <c r="F367" s="1" t="s">
        <v>39</v>
      </c>
      <c r="G367" s="1" t="s">
        <v>18</v>
      </c>
      <c r="H367" s="1">
        <v>15081</v>
      </c>
      <c r="I367" s="1"/>
      <c r="J367" s="1"/>
      <c r="K367" s="1">
        <v>14000</v>
      </c>
      <c r="L367" s="2">
        <v>45351</v>
      </c>
    </row>
    <row r="368" spans="1:12" x14ac:dyDescent="0.35">
      <c r="A368" s="1" t="s">
        <v>574</v>
      </c>
      <c r="B368" s="1" t="s">
        <v>263</v>
      </c>
      <c r="C368" s="1" t="s">
        <v>44</v>
      </c>
      <c r="D368" s="1" t="s">
        <v>45</v>
      </c>
      <c r="E368" s="1" t="s">
        <v>16</v>
      </c>
      <c r="F368" s="1" t="s">
        <v>25</v>
      </c>
      <c r="G368" s="1" t="s">
        <v>26</v>
      </c>
      <c r="H368" s="1">
        <v>14418</v>
      </c>
      <c r="I368" s="1"/>
      <c r="J368" s="1"/>
      <c r="K368" s="1">
        <v>13000</v>
      </c>
      <c r="L368" s="2">
        <v>45335</v>
      </c>
    </row>
    <row r="369" spans="1:12" x14ac:dyDescent="0.35">
      <c r="A369" s="1" t="s">
        <v>575</v>
      </c>
      <c r="B369" s="1" t="s">
        <v>84</v>
      </c>
      <c r="C369" s="1" t="s">
        <v>30</v>
      </c>
      <c r="D369" s="1" t="s">
        <v>31</v>
      </c>
      <c r="E369" s="1" t="s">
        <v>46</v>
      </c>
      <c r="F369" s="1" t="s">
        <v>39</v>
      </c>
      <c r="G369" s="1" t="s">
        <v>18</v>
      </c>
      <c r="H369" s="1">
        <v>18237</v>
      </c>
      <c r="I369" s="1" t="s">
        <v>22</v>
      </c>
      <c r="J369" s="1">
        <v>0.1</v>
      </c>
      <c r="K369" s="1">
        <v>17000</v>
      </c>
      <c r="L369" s="2">
        <v>45324</v>
      </c>
    </row>
    <row r="370" spans="1:12" x14ac:dyDescent="0.35">
      <c r="A370" s="1" t="s">
        <v>576</v>
      </c>
      <c r="B370" s="1" t="s">
        <v>577</v>
      </c>
      <c r="C370" s="1" t="s">
        <v>14</v>
      </c>
      <c r="D370" s="1" t="s">
        <v>15</v>
      </c>
      <c r="E370" s="1" t="s">
        <v>32</v>
      </c>
      <c r="F370" s="1" t="s">
        <v>17</v>
      </c>
      <c r="G370" s="1" t="s">
        <v>18</v>
      </c>
      <c r="H370" s="1">
        <v>15435</v>
      </c>
      <c r="I370" s="1" t="s">
        <v>22</v>
      </c>
      <c r="J370" s="1">
        <v>0.1</v>
      </c>
      <c r="K370" s="1">
        <v>14000</v>
      </c>
      <c r="L370" s="2">
        <v>45313</v>
      </c>
    </row>
    <row r="371" spans="1:12" x14ac:dyDescent="0.35">
      <c r="A371" s="1" t="s">
        <v>578</v>
      </c>
      <c r="B371" s="1" t="s">
        <v>579</v>
      </c>
      <c r="C371" s="1" t="s">
        <v>61</v>
      </c>
      <c r="D371" s="1" t="s">
        <v>62</v>
      </c>
      <c r="E371" s="1" t="s">
        <v>46</v>
      </c>
      <c r="F371" s="1" t="s">
        <v>25</v>
      </c>
      <c r="G371" s="1" t="s">
        <v>26</v>
      </c>
      <c r="H371" s="1">
        <v>8119</v>
      </c>
      <c r="I371" s="1"/>
      <c r="J371" s="1"/>
      <c r="K371" s="1">
        <v>9000</v>
      </c>
      <c r="L371" s="2">
        <v>45323</v>
      </c>
    </row>
    <row r="372" spans="1:12" x14ac:dyDescent="0.35">
      <c r="A372" s="1" t="s">
        <v>580</v>
      </c>
      <c r="B372" s="1" t="s">
        <v>391</v>
      </c>
      <c r="C372" s="1" t="s">
        <v>61</v>
      </c>
      <c r="D372" s="1" t="s">
        <v>62</v>
      </c>
      <c r="E372" s="1" t="s">
        <v>46</v>
      </c>
      <c r="F372" s="1" t="s">
        <v>25</v>
      </c>
      <c r="G372" s="1" t="s">
        <v>26</v>
      </c>
      <c r="H372" s="1">
        <v>9399</v>
      </c>
      <c r="I372" s="1"/>
      <c r="J372" s="1"/>
      <c r="K372" s="1">
        <v>9000</v>
      </c>
      <c r="L372" s="2">
        <v>45297</v>
      </c>
    </row>
    <row r="373" spans="1:12" x14ac:dyDescent="0.35">
      <c r="A373" s="1" t="s">
        <v>581</v>
      </c>
      <c r="B373" s="1" t="s">
        <v>522</v>
      </c>
      <c r="C373" s="1" t="s">
        <v>30</v>
      </c>
      <c r="D373" s="1" t="s">
        <v>31</v>
      </c>
      <c r="E373" s="1" t="s">
        <v>32</v>
      </c>
      <c r="F373" s="1" t="s">
        <v>39</v>
      </c>
      <c r="G373" s="1" t="s">
        <v>18</v>
      </c>
      <c r="H373" s="1">
        <v>15336</v>
      </c>
      <c r="I373" s="1" t="s">
        <v>33</v>
      </c>
      <c r="J373" s="1">
        <v>0.3</v>
      </c>
      <c r="K373" s="1">
        <v>17000</v>
      </c>
      <c r="L373" s="2">
        <v>45301</v>
      </c>
    </row>
    <row r="374" spans="1:12" x14ac:dyDescent="0.35">
      <c r="A374" s="1" t="s">
        <v>582</v>
      </c>
      <c r="B374" s="1" t="s">
        <v>101</v>
      </c>
      <c r="C374" s="1" t="s">
        <v>44</v>
      </c>
      <c r="D374" s="1" t="s">
        <v>45</v>
      </c>
      <c r="E374" s="1" t="s">
        <v>16</v>
      </c>
      <c r="F374" s="1" t="s">
        <v>17</v>
      </c>
      <c r="G374" s="1" t="s">
        <v>36</v>
      </c>
      <c r="H374" s="1">
        <v>12477</v>
      </c>
      <c r="I374" s="1" t="s">
        <v>22</v>
      </c>
      <c r="J374" s="1">
        <v>0.1</v>
      </c>
      <c r="K374" s="1">
        <v>13000</v>
      </c>
      <c r="L374" s="2">
        <v>45297</v>
      </c>
    </row>
    <row r="375" spans="1:12" x14ac:dyDescent="0.35">
      <c r="A375" s="1" t="s">
        <v>583</v>
      </c>
      <c r="B375" s="1" t="s">
        <v>584</v>
      </c>
      <c r="C375" s="1" t="s">
        <v>61</v>
      </c>
      <c r="D375" s="1" t="s">
        <v>62</v>
      </c>
      <c r="E375" s="1" t="s">
        <v>46</v>
      </c>
      <c r="F375" s="1" t="s">
        <v>17</v>
      </c>
      <c r="G375" s="1" t="s">
        <v>18</v>
      </c>
      <c r="H375" s="1">
        <v>7542</v>
      </c>
      <c r="I375" s="1" t="s">
        <v>22</v>
      </c>
      <c r="J375" s="1">
        <v>0.1</v>
      </c>
      <c r="K375" s="1">
        <v>9000</v>
      </c>
      <c r="L375" s="2">
        <v>45303</v>
      </c>
    </row>
    <row r="376" spans="1:12" x14ac:dyDescent="0.35">
      <c r="A376" s="1" t="s">
        <v>585</v>
      </c>
      <c r="B376" s="1" t="s">
        <v>527</v>
      </c>
      <c r="C376" s="1" t="s">
        <v>61</v>
      </c>
      <c r="D376" s="1" t="s">
        <v>62</v>
      </c>
      <c r="E376" s="1" t="s">
        <v>32</v>
      </c>
      <c r="F376" s="1" t="s">
        <v>25</v>
      </c>
      <c r="G376" s="1" t="s">
        <v>18</v>
      </c>
      <c r="H376" s="1">
        <v>8449</v>
      </c>
      <c r="I376" s="1" t="s">
        <v>27</v>
      </c>
      <c r="J376" s="1"/>
      <c r="K376" s="1">
        <v>9000</v>
      </c>
      <c r="L376" s="2">
        <v>45297</v>
      </c>
    </row>
    <row r="377" spans="1:12" x14ac:dyDescent="0.35">
      <c r="A377" s="1" t="s">
        <v>586</v>
      </c>
      <c r="B377" s="1" t="s">
        <v>195</v>
      </c>
      <c r="C377" s="1" t="s">
        <v>30</v>
      </c>
      <c r="D377" s="1" t="s">
        <v>31</v>
      </c>
      <c r="E377" s="1" t="s">
        <v>46</v>
      </c>
      <c r="F377" s="1" t="s">
        <v>25</v>
      </c>
      <c r="G377" s="1" t="s">
        <v>36</v>
      </c>
      <c r="H377" s="1">
        <v>16694</v>
      </c>
      <c r="I377" s="1"/>
      <c r="J377" s="1"/>
      <c r="K377" s="1">
        <v>17000</v>
      </c>
      <c r="L377" s="2">
        <v>45341</v>
      </c>
    </row>
    <row r="378" spans="1:12" x14ac:dyDescent="0.35">
      <c r="A378" s="1" t="s">
        <v>587</v>
      </c>
      <c r="B378" s="1" t="s">
        <v>173</v>
      </c>
      <c r="C378" s="1" t="s">
        <v>44</v>
      </c>
      <c r="D378" s="1" t="s">
        <v>45</v>
      </c>
      <c r="E378" s="1" t="s">
        <v>16</v>
      </c>
      <c r="F378" s="1" t="s">
        <v>39</v>
      </c>
      <c r="G378" s="1" t="s">
        <v>18</v>
      </c>
      <c r="H378" s="1">
        <v>13807</v>
      </c>
      <c r="I378" s="1"/>
      <c r="J378" s="1"/>
      <c r="K378" s="1">
        <v>13000</v>
      </c>
      <c r="L378" s="2">
        <v>45302</v>
      </c>
    </row>
    <row r="379" spans="1:12" x14ac:dyDescent="0.35">
      <c r="A379" s="1" t="s">
        <v>588</v>
      </c>
      <c r="B379" s="1" t="s">
        <v>256</v>
      </c>
      <c r="C379" s="1" t="s">
        <v>30</v>
      </c>
      <c r="D379" s="1" t="s">
        <v>31</v>
      </c>
      <c r="E379" s="1" t="s">
        <v>46</v>
      </c>
      <c r="F379" s="1" t="s">
        <v>17</v>
      </c>
      <c r="G379" s="1" t="s">
        <v>18</v>
      </c>
      <c r="H379" s="1">
        <v>15259</v>
      </c>
      <c r="I379" s="1" t="s">
        <v>19</v>
      </c>
      <c r="J379" s="1">
        <v>0.2</v>
      </c>
      <c r="K379" s="1">
        <v>17000</v>
      </c>
      <c r="L379" s="2">
        <v>45319</v>
      </c>
    </row>
    <row r="380" spans="1:12" x14ac:dyDescent="0.35">
      <c r="A380" s="1" t="s">
        <v>589</v>
      </c>
      <c r="B380" s="1" t="s">
        <v>70</v>
      </c>
      <c r="C380" s="1" t="s">
        <v>30</v>
      </c>
      <c r="D380" s="1" t="s">
        <v>31</v>
      </c>
      <c r="E380" s="1" t="s">
        <v>46</v>
      </c>
      <c r="F380" s="1" t="s">
        <v>25</v>
      </c>
      <c r="G380" s="1" t="s">
        <v>36</v>
      </c>
      <c r="H380" s="1">
        <v>16030</v>
      </c>
      <c r="I380" s="1" t="s">
        <v>19</v>
      </c>
      <c r="J380" s="1">
        <v>0.2</v>
      </c>
      <c r="K380" s="1">
        <v>17000</v>
      </c>
      <c r="L380" s="2">
        <v>45338</v>
      </c>
    </row>
    <row r="381" spans="1:12" x14ac:dyDescent="0.35">
      <c r="A381" s="1" t="s">
        <v>590</v>
      </c>
      <c r="B381" s="1" t="s">
        <v>591</v>
      </c>
      <c r="C381" s="1" t="s">
        <v>44</v>
      </c>
      <c r="D381" s="1" t="s">
        <v>45</v>
      </c>
      <c r="E381" s="1" t="s">
        <v>46</v>
      </c>
      <c r="F381" s="1" t="s">
        <v>25</v>
      </c>
      <c r="G381" s="1" t="s">
        <v>18</v>
      </c>
      <c r="H381" s="1">
        <v>12247</v>
      </c>
      <c r="I381" s="1" t="s">
        <v>22</v>
      </c>
      <c r="J381" s="1">
        <v>0.1</v>
      </c>
      <c r="K381" s="1">
        <v>13000</v>
      </c>
      <c r="L381" s="2">
        <v>45352</v>
      </c>
    </row>
    <row r="382" spans="1:12" x14ac:dyDescent="0.35">
      <c r="A382" s="1" t="s">
        <v>592</v>
      </c>
      <c r="B382" s="1" t="s">
        <v>474</v>
      </c>
      <c r="C382" s="1" t="s">
        <v>61</v>
      </c>
      <c r="D382" s="1" t="s">
        <v>62</v>
      </c>
      <c r="E382" s="1" t="s">
        <v>46</v>
      </c>
      <c r="F382" s="1" t="s">
        <v>17</v>
      </c>
      <c r="G382" s="1" t="s">
        <v>36</v>
      </c>
      <c r="H382" s="1">
        <v>8763</v>
      </c>
      <c r="I382" s="1" t="s">
        <v>27</v>
      </c>
      <c r="J382" s="1"/>
      <c r="K382" s="1">
        <v>9000</v>
      </c>
      <c r="L382" s="2">
        <v>45300</v>
      </c>
    </row>
    <row r="383" spans="1:12" x14ac:dyDescent="0.35">
      <c r="A383" s="1" t="s">
        <v>593</v>
      </c>
      <c r="B383" s="1" t="s">
        <v>131</v>
      </c>
      <c r="C383" s="1" t="s">
        <v>44</v>
      </c>
      <c r="D383" s="1" t="s">
        <v>45</v>
      </c>
      <c r="E383" s="1" t="s">
        <v>46</v>
      </c>
      <c r="F383" s="1" t="s">
        <v>17</v>
      </c>
      <c r="G383" s="1" t="s">
        <v>18</v>
      </c>
      <c r="H383" s="1">
        <v>14950</v>
      </c>
      <c r="I383" s="1"/>
      <c r="J383" s="1"/>
      <c r="K383" s="1">
        <v>13000</v>
      </c>
      <c r="L383" s="2">
        <v>45312</v>
      </c>
    </row>
    <row r="384" spans="1:12" x14ac:dyDescent="0.35">
      <c r="A384" s="1" t="s">
        <v>594</v>
      </c>
      <c r="B384" s="1" t="s">
        <v>350</v>
      </c>
      <c r="C384" s="1" t="s">
        <v>61</v>
      </c>
      <c r="D384" s="1" t="s">
        <v>62</v>
      </c>
      <c r="E384" s="1" t="s">
        <v>16</v>
      </c>
      <c r="F384" s="1" t="s">
        <v>25</v>
      </c>
      <c r="G384" s="1" t="s">
        <v>36</v>
      </c>
      <c r="H384" s="1">
        <v>8540</v>
      </c>
      <c r="I384" s="1" t="s">
        <v>33</v>
      </c>
      <c r="J384" s="1">
        <v>0.3</v>
      </c>
      <c r="K384" s="1">
        <v>9000</v>
      </c>
      <c r="L384" s="2">
        <v>45344</v>
      </c>
    </row>
    <row r="385" spans="1:12" x14ac:dyDescent="0.35">
      <c r="A385" s="1" t="s">
        <v>595</v>
      </c>
      <c r="B385" s="1" t="s">
        <v>180</v>
      </c>
      <c r="C385" s="1" t="s">
        <v>30</v>
      </c>
      <c r="D385" s="1" t="s">
        <v>31</v>
      </c>
      <c r="E385" s="1" t="s">
        <v>32</v>
      </c>
      <c r="F385" s="1" t="s">
        <v>39</v>
      </c>
      <c r="G385" s="1" t="s">
        <v>18</v>
      </c>
      <c r="H385" s="1">
        <v>17425</v>
      </c>
      <c r="I385" s="1" t="s">
        <v>27</v>
      </c>
      <c r="J385" s="1"/>
      <c r="K385" s="1">
        <v>17000</v>
      </c>
      <c r="L385" s="2">
        <v>45303</v>
      </c>
    </row>
    <row r="386" spans="1:12" x14ac:dyDescent="0.35">
      <c r="A386" s="1" t="s">
        <v>596</v>
      </c>
      <c r="B386" s="1" t="s">
        <v>270</v>
      </c>
      <c r="C386" s="1" t="s">
        <v>14</v>
      </c>
      <c r="D386" s="1" t="s">
        <v>15</v>
      </c>
      <c r="E386" s="1" t="s">
        <v>16</v>
      </c>
      <c r="F386" s="1" t="s">
        <v>17</v>
      </c>
      <c r="G386" s="1" t="s">
        <v>26</v>
      </c>
      <c r="H386" s="1">
        <v>12858</v>
      </c>
      <c r="I386" s="1"/>
      <c r="J386" s="1"/>
      <c r="K386" s="1">
        <v>14000</v>
      </c>
      <c r="L386" s="2">
        <v>45343</v>
      </c>
    </row>
    <row r="387" spans="1:12" x14ac:dyDescent="0.35">
      <c r="A387" s="1" t="s">
        <v>597</v>
      </c>
      <c r="B387" s="1" t="s">
        <v>142</v>
      </c>
      <c r="C387" s="1" t="s">
        <v>14</v>
      </c>
      <c r="D387" s="1" t="s">
        <v>15</v>
      </c>
      <c r="E387" s="1" t="s">
        <v>46</v>
      </c>
      <c r="F387" s="1" t="s">
        <v>39</v>
      </c>
      <c r="G387" s="1" t="s">
        <v>36</v>
      </c>
      <c r="H387" s="1">
        <v>12570</v>
      </c>
      <c r="I387" s="1" t="s">
        <v>33</v>
      </c>
      <c r="J387" s="1">
        <v>0.3</v>
      </c>
      <c r="K387" s="1">
        <v>14000</v>
      </c>
      <c r="L387" s="2">
        <v>45307</v>
      </c>
    </row>
    <row r="388" spans="1:12" x14ac:dyDescent="0.35">
      <c r="A388" s="1" t="s">
        <v>598</v>
      </c>
      <c r="B388" s="1" t="s">
        <v>286</v>
      </c>
      <c r="C388" s="1" t="s">
        <v>44</v>
      </c>
      <c r="D388" s="1" t="s">
        <v>45</v>
      </c>
      <c r="E388" s="1" t="s">
        <v>16</v>
      </c>
      <c r="F388" s="1" t="s">
        <v>17</v>
      </c>
      <c r="G388" s="1" t="s">
        <v>36</v>
      </c>
      <c r="H388" s="1">
        <v>11302</v>
      </c>
      <c r="I388" s="1"/>
      <c r="J388" s="1"/>
      <c r="K388" s="1">
        <v>13000</v>
      </c>
      <c r="L388" s="2">
        <v>45330</v>
      </c>
    </row>
    <row r="389" spans="1:12" x14ac:dyDescent="0.35">
      <c r="A389" s="1" t="s">
        <v>599</v>
      </c>
      <c r="B389" s="1" t="s">
        <v>600</v>
      </c>
      <c r="C389" s="1" t="s">
        <v>61</v>
      </c>
      <c r="D389" s="1" t="s">
        <v>62</v>
      </c>
      <c r="E389" s="1" t="s">
        <v>16</v>
      </c>
      <c r="F389" s="1" t="s">
        <v>39</v>
      </c>
      <c r="G389" s="1" t="s">
        <v>26</v>
      </c>
      <c r="H389" s="1">
        <v>8713</v>
      </c>
      <c r="I389" s="1" t="s">
        <v>27</v>
      </c>
      <c r="J389" s="1"/>
      <c r="K389" s="1">
        <v>9000</v>
      </c>
      <c r="L389" s="2">
        <v>45294</v>
      </c>
    </row>
    <row r="390" spans="1:12" x14ac:dyDescent="0.35">
      <c r="A390" s="1" t="s">
        <v>601</v>
      </c>
      <c r="B390" s="1" t="s">
        <v>602</v>
      </c>
      <c r="C390" s="1" t="s">
        <v>14</v>
      </c>
      <c r="D390" s="1" t="s">
        <v>15</v>
      </c>
      <c r="E390" s="1" t="s">
        <v>32</v>
      </c>
      <c r="F390" s="1" t="s">
        <v>25</v>
      </c>
      <c r="G390" s="1" t="s">
        <v>26</v>
      </c>
      <c r="H390" s="1">
        <v>14722</v>
      </c>
      <c r="I390" s="1" t="s">
        <v>33</v>
      </c>
      <c r="J390" s="1">
        <v>0.3</v>
      </c>
      <c r="K390" s="1">
        <v>14000</v>
      </c>
      <c r="L390" s="2">
        <v>45302</v>
      </c>
    </row>
    <row r="391" spans="1:12" x14ac:dyDescent="0.35">
      <c r="A391" s="1" t="s">
        <v>603</v>
      </c>
      <c r="B391" s="1" t="s">
        <v>163</v>
      </c>
      <c r="C391" s="1" t="s">
        <v>14</v>
      </c>
      <c r="D391" s="1" t="s">
        <v>15</v>
      </c>
      <c r="E391" s="1" t="s">
        <v>16</v>
      </c>
      <c r="F391" s="1" t="s">
        <v>39</v>
      </c>
      <c r="G391" s="1" t="s">
        <v>26</v>
      </c>
      <c r="H391" s="1">
        <v>14649</v>
      </c>
      <c r="I391" s="1"/>
      <c r="J391" s="1"/>
      <c r="K391" s="1">
        <v>14000</v>
      </c>
      <c r="L391" s="2">
        <v>45340</v>
      </c>
    </row>
    <row r="392" spans="1:12" x14ac:dyDescent="0.35">
      <c r="A392" s="1" t="s">
        <v>604</v>
      </c>
      <c r="B392" s="1" t="s">
        <v>478</v>
      </c>
      <c r="C392" s="1" t="s">
        <v>61</v>
      </c>
      <c r="D392" s="1" t="s">
        <v>62</v>
      </c>
      <c r="E392" s="1" t="s">
        <v>32</v>
      </c>
      <c r="F392" s="1" t="s">
        <v>25</v>
      </c>
      <c r="G392" s="1" t="s">
        <v>18</v>
      </c>
      <c r="H392" s="1">
        <v>8059</v>
      </c>
      <c r="I392" s="1" t="s">
        <v>19</v>
      </c>
      <c r="J392" s="1">
        <v>0.2</v>
      </c>
      <c r="K392" s="1">
        <v>9000</v>
      </c>
      <c r="L392" s="2">
        <v>45324</v>
      </c>
    </row>
    <row r="393" spans="1:12" x14ac:dyDescent="0.35">
      <c r="A393" s="1" t="s">
        <v>605</v>
      </c>
      <c r="B393" s="1" t="s">
        <v>103</v>
      </c>
      <c r="C393" s="1" t="s">
        <v>44</v>
      </c>
      <c r="D393" s="1" t="s">
        <v>45</v>
      </c>
      <c r="E393" s="1" t="s">
        <v>46</v>
      </c>
      <c r="F393" s="1" t="s">
        <v>17</v>
      </c>
      <c r="G393" s="1" t="s">
        <v>36</v>
      </c>
      <c r="H393" s="1">
        <v>12896</v>
      </c>
      <c r="I393" s="1" t="s">
        <v>27</v>
      </c>
      <c r="J393" s="1"/>
      <c r="K393" s="1">
        <v>13000</v>
      </c>
      <c r="L393" s="2">
        <v>45336</v>
      </c>
    </row>
    <row r="394" spans="1:12" x14ac:dyDescent="0.35">
      <c r="A394" s="1" t="s">
        <v>606</v>
      </c>
      <c r="B394" s="1" t="s">
        <v>80</v>
      </c>
      <c r="C394" s="1" t="s">
        <v>30</v>
      </c>
      <c r="D394" s="1" t="s">
        <v>31</v>
      </c>
      <c r="E394" s="1" t="s">
        <v>32</v>
      </c>
      <c r="F394" s="1" t="s">
        <v>17</v>
      </c>
      <c r="G394" s="1" t="s">
        <v>18</v>
      </c>
      <c r="H394" s="1">
        <v>16210</v>
      </c>
      <c r="I394" s="1"/>
      <c r="J394" s="1"/>
      <c r="K394" s="1">
        <v>17000</v>
      </c>
      <c r="L394" s="2">
        <v>45350</v>
      </c>
    </row>
    <row r="395" spans="1:12" x14ac:dyDescent="0.35">
      <c r="A395" s="1" t="s">
        <v>607</v>
      </c>
      <c r="B395" s="1" t="s">
        <v>78</v>
      </c>
      <c r="C395" s="1" t="s">
        <v>44</v>
      </c>
      <c r="D395" s="1" t="s">
        <v>45</v>
      </c>
      <c r="E395" s="1" t="s">
        <v>46</v>
      </c>
      <c r="F395" s="1" t="s">
        <v>17</v>
      </c>
      <c r="G395" s="1" t="s">
        <v>36</v>
      </c>
      <c r="H395" s="1">
        <v>12865</v>
      </c>
      <c r="I395" s="1" t="s">
        <v>19</v>
      </c>
      <c r="J395" s="1">
        <v>0.2</v>
      </c>
      <c r="K395" s="1">
        <v>13000</v>
      </c>
      <c r="L395" s="2">
        <v>45325</v>
      </c>
    </row>
    <row r="396" spans="1:12" x14ac:dyDescent="0.35">
      <c r="A396" s="1" t="s">
        <v>608</v>
      </c>
      <c r="B396" s="1" t="s">
        <v>188</v>
      </c>
      <c r="C396" s="1" t="s">
        <v>61</v>
      </c>
      <c r="D396" s="1" t="s">
        <v>62</v>
      </c>
      <c r="E396" s="1" t="s">
        <v>32</v>
      </c>
      <c r="F396" s="1" t="s">
        <v>17</v>
      </c>
      <c r="G396" s="1" t="s">
        <v>26</v>
      </c>
      <c r="H396" s="1">
        <v>9853</v>
      </c>
      <c r="I396" s="1"/>
      <c r="J396" s="1"/>
      <c r="K396" s="1">
        <v>9000</v>
      </c>
      <c r="L396" s="2">
        <v>45312</v>
      </c>
    </row>
    <row r="397" spans="1:12" x14ac:dyDescent="0.35">
      <c r="A397" s="1" t="s">
        <v>609</v>
      </c>
      <c r="B397" s="1" t="s">
        <v>263</v>
      </c>
      <c r="C397" s="1" t="s">
        <v>14</v>
      </c>
      <c r="D397" s="1" t="s">
        <v>15</v>
      </c>
      <c r="E397" s="1" t="s">
        <v>16</v>
      </c>
      <c r="F397" s="1" t="s">
        <v>25</v>
      </c>
      <c r="G397" s="1" t="s">
        <v>18</v>
      </c>
      <c r="H397" s="1">
        <v>15478</v>
      </c>
      <c r="I397" s="1" t="s">
        <v>33</v>
      </c>
      <c r="J397" s="1">
        <v>0.3</v>
      </c>
      <c r="K397" s="1">
        <v>14000</v>
      </c>
      <c r="L397" s="2">
        <v>45333</v>
      </c>
    </row>
    <row r="398" spans="1:12" x14ac:dyDescent="0.35">
      <c r="A398" s="1" t="s">
        <v>610</v>
      </c>
      <c r="B398" s="1" t="s">
        <v>21</v>
      </c>
      <c r="C398" s="1" t="s">
        <v>44</v>
      </c>
      <c r="D398" s="1" t="s">
        <v>45</v>
      </c>
      <c r="E398" s="1" t="s">
        <v>16</v>
      </c>
      <c r="F398" s="1" t="s">
        <v>25</v>
      </c>
      <c r="G398" s="1" t="s">
        <v>26</v>
      </c>
      <c r="H398" s="1">
        <v>11714</v>
      </c>
      <c r="I398" s="1" t="s">
        <v>27</v>
      </c>
      <c r="J398" s="1"/>
      <c r="K398" s="1">
        <v>13000</v>
      </c>
      <c r="L398" s="2">
        <v>45302</v>
      </c>
    </row>
    <row r="399" spans="1:12" x14ac:dyDescent="0.35">
      <c r="A399" s="1" t="s">
        <v>611</v>
      </c>
      <c r="B399" s="1" t="s">
        <v>301</v>
      </c>
      <c r="C399" s="1" t="s">
        <v>61</v>
      </c>
      <c r="D399" s="1" t="s">
        <v>62</v>
      </c>
      <c r="E399" s="1" t="s">
        <v>46</v>
      </c>
      <c r="F399" s="1" t="s">
        <v>25</v>
      </c>
      <c r="G399" s="1" t="s">
        <v>36</v>
      </c>
      <c r="H399" s="1">
        <v>9579</v>
      </c>
      <c r="I399" s="1" t="s">
        <v>19</v>
      </c>
      <c r="J399" s="1">
        <v>0.2</v>
      </c>
      <c r="K399" s="1">
        <v>9000</v>
      </c>
      <c r="L399" s="2">
        <v>45303</v>
      </c>
    </row>
    <row r="400" spans="1:12" x14ac:dyDescent="0.35">
      <c r="A400" s="1" t="s">
        <v>612</v>
      </c>
      <c r="B400" s="1" t="s">
        <v>92</v>
      </c>
      <c r="C400" s="1" t="s">
        <v>61</v>
      </c>
      <c r="D400" s="1" t="s">
        <v>62</v>
      </c>
      <c r="E400" s="1" t="s">
        <v>46</v>
      </c>
      <c r="F400" s="1" t="s">
        <v>25</v>
      </c>
      <c r="G400" s="1" t="s">
        <v>26</v>
      </c>
      <c r="H400" s="1">
        <v>9515</v>
      </c>
      <c r="I400" s="1" t="s">
        <v>19</v>
      </c>
      <c r="J400" s="1">
        <v>0.2</v>
      </c>
      <c r="K400" s="1">
        <v>9000</v>
      </c>
      <c r="L400" s="2">
        <v>45320</v>
      </c>
    </row>
    <row r="401" spans="1:12" x14ac:dyDescent="0.35">
      <c r="A401" s="1" t="s">
        <v>613</v>
      </c>
      <c r="B401" s="1" t="s">
        <v>337</v>
      </c>
      <c r="C401" s="1" t="s">
        <v>61</v>
      </c>
      <c r="D401" s="1" t="s">
        <v>62</v>
      </c>
      <c r="E401" s="1" t="s">
        <v>32</v>
      </c>
      <c r="F401" s="1" t="s">
        <v>39</v>
      </c>
      <c r="G401" s="1" t="s">
        <v>18</v>
      </c>
      <c r="H401" s="1">
        <v>7842</v>
      </c>
      <c r="I401" s="1" t="s">
        <v>33</v>
      </c>
      <c r="J401" s="1">
        <v>0.3</v>
      </c>
      <c r="K401" s="1">
        <v>9000</v>
      </c>
      <c r="L401" s="2">
        <v>45340</v>
      </c>
    </row>
    <row r="402" spans="1:12" x14ac:dyDescent="0.35">
      <c r="A402" s="1" t="s">
        <v>614</v>
      </c>
      <c r="B402" s="1" t="s">
        <v>276</v>
      </c>
      <c r="C402" s="1" t="s">
        <v>14</v>
      </c>
      <c r="D402" s="1" t="s">
        <v>15</v>
      </c>
      <c r="E402" s="1" t="s">
        <v>16</v>
      </c>
      <c r="F402" s="1" t="s">
        <v>25</v>
      </c>
      <c r="G402" s="1" t="s">
        <v>26</v>
      </c>
      <c r="H402" s="1">
        <v>12765</v>
      </c>
      <c r="I402" s="1" t="s">
        <v>33</v>
      </c>
      <c r="J402" s="1">
        <v>0.3</v>
      </c>
      <c r="K402" s="1">
        <v>14000</v>
      </c>
      <c r="L402" s="2">
        <v>45312</v>
      </c>
    </row>
    <row r="403" spans="1:12" x14ac:dyDescent="0.35">
      <c r="A403" s="1" t="s">
        <v>615</v>
      </c>
      <c r="B403" s="1" t="s">
        <v>29</v>
      </c>
      <c r="C403" s="1" t="s">
        <v>14</v>
      </c>
      <c r="D403" s="1" t="s">
        <v>15</v>
      </c>
      <c r="E403" s="1" t="s">
        <v>46</v>
      </c>
      <c r="F403" s="1" t="s">
        <v>39</v>
      </c>
      <c r="G403" s="1" t="s">
        <v>36</v>
      </c>
      <c r="H403" s="1">
        <v>14161</v>
      </c>
      <c r="I403" s="1" t="s">
        <v>33</v>
      </c>
      <c r="J403" s="1">
        <v>0.3</v>
      </c>
      <c r="K403" s="1">
        <v>14000</v>
      </c>
      <c r="L403" s="2">
        <v>45330</v>
      </c>
    </row>
    <row r="404" spans="1:12" x14ac:dyDescent="0.35">
      <c r="A404" s="1" t="s">
        <v>616</v>
      </c>
      <c r="B404" s="1" t="s">
        <v>617</v>
      </c>
      <c r="C404" s="1" t="s">
        <v>61</v>
      </c>
      <c r="D404" s="1" t="s">
        <v>62</v>
      </c>
      <c r="E404" s="1" t="s">
        <v>16</v>
      </c>
      <c r="F404" s="1" t="s">
        <v>25</v>
      </c>
      <c r="G404" s="1" t="s">
        <v>36</v>
      </c>
      <c r="H404" s="1">
        <v>8441</v>
      </c>
      <c r="I404" s="1"/>
      <c r="J404" s="1"/>
      <c r="K404" s="1">
        <v>9000</v>
      </c>
      <c r="L404" s="2">
        <v>45331</v>
      </c>
    </row>
    <row r="405" spans="1:12" x14ac:dyDescent="0.35">
      <c r="A405" s="1" t="s">
        <v>618</v>
      </c>
      <c r="B405" s="1" t="s">
        <v>619</v>
      </c>
      <c r="C405" s="1" t="s">
        <v>30</v>
      </c>
      <c r="D405" s="1" t="s">
        <v>31</v>
      </c>
      <c r="E405" s="1" t="s">
        <v>16</v>
      </c>
      <c r="F405" s="1" t="s">
        <v>39</v>
      </c>
      <c r="G405" s="1" t="s">
        <v>18</v>
      </c>
      <c r="H405" s="1">
        <v>17752</v>
      </c>
      <c r="I405" s="1" t="s">
        <v>19</v>
      </c>
      <c r="J405" s="1">
        <v>0.2</v>
      </c>
      <c r="K405" s="1">
        <v>17000</v>
      </c>
      <c r="L405" s="2">
        <v>45312</v>
      </c>
    </row>
    <row r="406" spans="1:12" x14ac:dyDescent="0.35">
      <c r="A406" s="1" t="s">
        <v>620</v>
      </c>
      <c r="B406" s="1" t="s">
        <v>248</v>
      </c>
      <c r="C406" s="1" t="s">
        <v>30</v>
      </c>
      <c r="D406" s="1" t="s">
        <v>31</v>
      </c>
      <c r="E406" s="1" t="s">
        <v>32</v>
      </c>
      <c r="F406" s="1" t="s">
        <v>25</v>
      </c>
      <c r="G406" s="1" t="s">
        <v>36</v>
      </c>
      <c r="H406" s="1">
        <v>17840</v>
      </c>
      <c r="I406" s="1" t="s">
        <v>19</v>
      </c>
      <c r="J406" s="1">
        <v>0.2</v>
      </c>
      <c r="K406" s="1">
        <v>17000</v>
      </c>
      <c r="L406" s="2">
        <v>45324</v>
      </c>
    </row>
    <row r="407" spans="1:12" x14ac:dyDescent="0.35">
      <c r="A407" s="1" t="s">
        <v>621</v>
      </c>
      <c r="B407" s="1" t="s">
        <v>177</v>
      </c>
      <c r="C407" s="1" t="s">
        <v>44</v>
      </c>
      <c r="D407" s="1" t="s">
        <v>45</v>
      </c>
      <c r="E407" s="1" t="s">
        <v>16</v>
      </c>
      <c r="F407" s="1" t="s">
        <v>17</v>
      </c>
      <c r="G407" s="1" t="s">
        <v>36</v>
      </c>
      <c r="H407" s="1">
        <v>11760</v>
      </c>
      <c r="I407" s="1"/>
      <c r="J407" s="1"/>
      <c r="K407" s="1">
        <v>13000</v>
      </c>
      <c r="L407" s="2">
        <v>45332</v>
      </c>
    </row>
    <row r="408" spans="1:12" x14ac:dyDescent="0.35">
      <c r="A408" s="1" t="s">
        <v>622</v>
      </c>
      <c r="B408" s="1" t="s">
        <v>548</v>
      </c>
      <c r="C408" s="1" t="s">
        <v>44</v>
      </c>
      <c r="D408" s="1" t="s">
        <v>45</v>
      </c>
      <c r="E408" s="1" t="s">
        <v>16</v>
      </c>
      <c r="F408" s="1" t="s">
        <v>25</v>
      </c>
      <c r="G408" s="1" t="s">
        <v>36</v>
      </c>
      <c r="H408" s="1">
        <v>12183</v>
      </c>
      <c r="I408" s="1" t="s">
        <v>19</v>
      </c>
      <c r="J408" s="1">
        <v>0.2</v>
      </c>
      <c r="K408" s="1">
        <v>13000</v>
      </c>
      <c r="L408" s="2">
        <v>45303</v>
      </c>
    </row>
    <row r="409" spans="1:12" x14ac:dyDescent="0.35">
      <c r="A409" s="1" t="s">
        <v>623</v>
      </c>
      <c r="B409" s="1" t="s">
        <v>624</v>
      </c>
      <c r="C409" s="1" t="s">
        <v>61</v>
      </c>
      <c r="D409" s="1" t="s">
        <v>62</v>
      </c>
      <c r="E409" s="1" t="s">
        <v>16</v>
      </c>
      <c r="F409" s="1" t="s">
        <v>25</v>
      </c>
      <c r="G409" s="1" t="s">
        <v>36</v>
      </c>
      <c r="H409" s="1">
        <v>10898</v>
      </c>
      <c r="I409" s="1" t="s">
        <v>22</v>
      </c>
      <c r="J409" s="1">
        <v>0.1</v>
      </c>
      <c r="K409" s="1">
        <v>9000</v>
      </c>
      <c r="L409" s="2">
        <v>45323</v>
      </c>
    </row>
    <row r="410" spans="1:12" x14ac:dyDescent="0.35">
      <c r="A410" s="1" t="s">
        <v>625</v>
      </c>
      <c r="B410" s="1" t="s">
        <v>35</v>
      </c>
      <c r="C410" s="1" t="s">
        <v>61</v>
      </c>
      <c r="D410" s="1" t="s">
        <v>62</v>
      </c>
      <c r="E410" s="1" t="s">
        <v>16</v>
      </c>
      <c r="F410" s="1" t="s">
        <v>39</v>
      </c>
      <c r="G410" s="1" t="s">
        <v>26</v>
      </c>
      <c r="H410" s="1">
        <v>9027</v>
      </c>
      <c r="I410" s="1"/>
      <c r="J410" s="1"/>
      <c r="K410" s="1">
        <v>9000</v>
      </c>
      <c r="L410" s="2">
        <v>45335</v>
      </c>
    </row>
    <row r="411" spans="1:12" x14ac:dyDescent="0.35">
      <c r="A411" s="1" t="s">
        <v>626</v>
      </c>
      <c r="B411" s="1" t="s">
        <v>52</v>
      </c>
      <c r="C411" s="1" t="s">
        <v>61</v>
      </c>
      <c r="D411" s="1" t="s">
        <v>62</v>
      </c>
      <c r="E411" s="1" t="s">
        <v>46</v>
      </c>
      <c r="F411" s="1" t="s">
        <v>25</v>
      </c>
      <c r="G411" s="1" t="s">
        <v>18</v>
      </c>
      <c r="H411" s="1">
        <v>9315</v>
      </c>
      <c r="I411" s="1" t="s">
        <v>22</v>
      </c>
      <c r="J411" s="1">
        <v>0.1</v>
      </c>
      <c r="K411" s="1">
        <v>9000</v>
      </c>
      <c r="L411" s="2">
        <v>45342</v>
      </c>
    </row>
    <row r="412" spans="1:12" x14ac:dyDescent="0.35">
      <c r="A412" s="1" t="s">
        <v>627</v>
      </c>
      <c r="B412" s="1" t="s">
        <v>294</v>
      </c>
      <c r="C412" s="1" t="s">
        <v>30</v>
      </c>
      <c r="D412" s="1" t="s">
        <v>31</v>
      </c>
      <c r="E412" s="1" t="s">
        <v>32</v>
      </c>
      <c r="F412" s="1" t="s">
        <v>17</v>
      </c>
      <c r="G412" s="1" t="s">
        <v>18</v>
      </c>
      <c r="H412" s="1">
        <v>17202</v>
      </c>
      <c r="I412" s="1" t="s">
        <v>33</v>
      </c>
      <c r="J412" s="1">
        <v>0.3</v>
      </c>
      <c r="K412" s="1">
        <v>17000</v>
      </c>
      <c r="L412" s="2">
        <v>45302</v>
      </c>
    </row>
    <row r="413" spans="1:12" x14ac:dyDescent="0.35">
      <c r="A413" s="1" t="s">
        <v>628</v>
      </c>
      <c r="B413" s="1" t="s">
        <v>298</v>
      </c>
      <c r="C413" s="1" t="s">
        <v>61</v>
      </c>
      <c r="D413" s="1" t="s">
        <v>62</v>
      </c>
      <c r="E413" s="1" t="s">
        <v>16</v>
      </c>
      <c r="F413" s="1" t="s">
        <v>39</v>
      </c>
      <c r="G413" s="1" t="s">
        <v>18</v>
      </c>
      <c r="H413" s="1">
        <v>9345</v>
      </c>
      <c r="I413" s="1" t="s">
        <v>22</v>
      </c>
      <c r="J413" s="1">
        <v>0.1</v>
      </c>
      <c r="K413" s="1">
        <v>9000</v>
      </c>
      <c r="L413" s="2">
        <v>45309</v>
      </c>
    </row>
    <row r="414" spans="1:12" x14ac:dyDescent="0.35">
      <c r="A414" s="1" t="s">
        <v>629</v>
      </c>
      <c r="B414" s="1" t="s">
        <v>133</v>
      </c>
      <c r="C414" s="1" t="s">
        <v>30</v>
      </c>
      <c r="D414" s="1" t="s">
        <v>31</v>
      </c>
      <c r="E414" s="1" t="s">
        <v>16</v>
      </c>
      <c r="F414" s="1" t="s">
        <v>25</v>
      </c>
      <c r="G414" s="1" t="s">
        <v>26</v>
      </c>
      <c r="H414" s="1">
        <v>16807</v>
      </c>
      <c r="I414" s="1" t="s">
        <v>27</v>
      </c>
      <c r="J414" s="1"/>
      <c r="K414" s="1">
        <v>17000</v>
      </c>
      <c r="L414" s="2">
        <v>45305</v>
      </c>
    </row>
    <row r="415" spans="1:12" x14ac:dyDescent="0.35">
      <c r="A415" s="1" t="s">
        <v>630</v>
      </c>
      <c r="B415" s="1" t="s">
        <v>41</v>
      </c>
      <c r="C415" s="1" t="s">
        <v>44</v>
      </c>
      <c r="D415" s="1" t="s">
        <v>45</v>
      </c>
      <c r="E415" s="1" t="s">
        <v>46</v>
      </c>
      <c r="F415" s="1" t="s">
        <v>25</v>
      </c>
      <c r="G415" s="1" t="s">
        <v>36</v>
      </c>
      <c r="H415" s="1">
        <v>12076</v>
      </c>
      <c r="I415" s="1" t="s">
        <v>33</v>
      </c>
      <c r="J415" s="1">
        <v>0.3</v>
      </c>
      <c r="K415" s="1">
        <v>13000</v>
      </c>
      <c r="L415" s="2">
        <v>45347</v>
      </c>
    </row>
    <row r="416" spans="1:12" x14ac:dyDescent="0.35">
      <c r="A416" s="1" t="s">
        <v>631</v>
      </c>
      <c r="B416" s="1" t="s">
        <v>96</v>
      </c>
      <c r="C416" s="1" t="s">
        <v>61</v>
      </c>
      <c r="D416" s="1" t="s">
        <v>62</v>
      </c>
      <c r="E416" s="1" t="s">
        <v>32</v>
      </c>
      <c r="F416" s="1" t="s">
        <v>25</v>
      </c>
      <c r="G416" s="1" t="s">
        <v>18</v>
      </c>
      <c r="H416" s="1">
        <v>10320</v>
      </c>
      <c r="I416" s="1" t="s">
        <v>27</v>
      </c>
      <c r="J416" s="1"/>
      <c r="K416" s="1">
        <v>9000</v>
      </c>
      <c r="L416" s="2">
        <v>45336</v>
      </c>
    </row>
    <row r="417" spans="1:12" x14ac:dyDescent="0.35">
      <c r="A417" s="1" t="s">
        <v>632</v>
      </c>
      <c r="B417" s="1" t="s">
        <v>624</v>
      </c>
      <c r="C417" s="1" t="s">
        <v>61</v>
      </c>
      <c r="D417" s="1" t="s">
        <v>62</v>
      </c>
      <c r="E417" s="1" t="s">
        <v>32</v>
      </c>
      <c r="F417" s="1" t="s">
        <v>39</v>
      </c>
      <c r="G417" s="1" t="s">
        <v>18</v>
      </c>
      <c r="H417" s="1">
        <v>10214</v>
      </c>
      <c r="I417" s="1" t="s">
        <v>19</v>
      </c>
      <c r="J417" s="1">
        <v>0.2</v>
      </c>
      <c r="K417" s="1">
        <v>9000</v>
      </c>
      <c r="L417" s="2">
        <v>45344</v>
      </c>
    </row>
    <row r="418" spans="1:12" x14ac:dyDescent="0.35">
      <c r="A418" s="1" t="s">
        <v>633</v>
      </c>
      <c r="B418" s="1" t="s">
        <v>401</v>
      </c>
      <c r="C418" s="1" t="s">
        <v>14</v>
      </c>
      <c r="D418" s="1" t="s">
        <v>15</v>
      </c>
      <c r="E418" s="1" t="s">
        <v>16</v>
      </c>
      <c r="F418" s="1" t="s">
        <v>17</v>
      </c>
      <c r="G418" s="1" t="s">
        <v>26</v>
      </c>
      <c r="H418" s="1">
        <v>13151</v>
      </c>
      <c r="I418" s="1" t="s">
        <v>27</v>
      </c>
      <c r="J418" s="1"/>
      <c r="K418" s="1">
        <v>14000</v>
      </c>
      <c r="L418" s="2">
        <v>45326</v>
      </c>
    </row>
    <row r="419" spans="1:12" x14ac:dyDescent="0.35">
      <c r="A419" s="1" t="s">
        <v>634</v>
      </c>
      <c r="B419" s="1" t="s">
        <v>74</v>
      </c>
      <c r="C419" s="1" t="s">
        <v>30</v>
      </c>
      <c r="D419" s="1" t="s">
        <v>31</v>
      </c>
      <c r="E419" s="1" t="s">
        <v>46</v>
      </c>
      <c r="F419" s="1" t="s">
        <v>39</v>
      </c>
      <c r="G419" s="1" t="s">
        <v>36</v>
      </c>
      <c r="H419" s="1">
        <v>18901</v>
      </c>
      <c r="I419" s="1" t="s">
        <v>27</v>
      </c>
      <c r="J419" s="1"/>
      <c r="K419" s="1">
        <v>17000</v>
      </c>
      <c r="L419" s="2">
        <v>45349</v>
      </c>
    </row>
    <row r="420" spans="1:12" x14ac:dyDescent="0.35">
      <c r="A420" s="1" t="s">
        <v>635</v>
      </c>
      <c r="B420" s="1" t="s">
        <v>204</v>
      </c>
      <c r="C420" s="1" t="s">
        <v>14</v>
      </c>
      <c r="D420" s="1" t="s">
        <v>15</v>
      </c>
      <c r="E420" s="1" t="s">
        <v>32</v>
      </c>
      <c r="F420" s="1" t="s">
        <v>17</v>
      </c>
      <c r="G420" s="1" t="s">
        <v>18</v>
      </c>
      <c r="H420" s="1">
        <v>13135</v>
      </c>
      <c r="I420" s="1" t="s">
        <v>19</v>
      </c>
      <c r="J420" s="1">
        <v>0.2</v>
      </c>
      <c r="K420" s="1">
        <v>14000</v>
      </c>
      <c r="L420" s="2">
        <v>45336</v>
      </c>
    </row>
    <row r="421" spans="1:12" x14ac:dyDescent="0.35">
      <c r="A421" s="1" t="s">
        <v>636</v>
      </c>
      <c r="B421" s="1" t="s">
        <v>412</v>
      </c>
      <c r="C421" s="1" t="s">
        <v>44</v>
      </c>
      <c r="D421" s="1" t="s">
        <v>45</v>
      </c>
      <c r="E421" s="1" t="s">
        <v>32</v>
      </c>
      <c r="F421" s="1" t="s">
        <v>39</v>
      </c>
      <c r="G421" s="1" t="s">
        <v>36</v>
      </c>
      <c r="H421" s="1">
        <v>14393</v>
      </c>
      <c r="I421" s="1" t="s">
        <v>19</v>
      </c>
      <c r="J421" s="1">
        <v>0.2</v>
      </c>
      <c r="K421" s="1">
        <v>13000</v>
      </c>
      <c r="L421" s="2">
        <v>45340</v>
      </c>
    </row>
    <row r="422" spans="1:12" x14ac:dyDescent="0.35">
      <c r="A422" s="1" t="s">
        <v>637</v>
      </c>
      <c r="B422" s="1" t="s">
        <v>198</v>
      </c>
      <c r="C422" s="1" t="s">
        <v>61</v>
      </c>
      <c r="D422" s="1" t="s">
        <v>62</v>
      </c>
      <c r="E422" s="1" t="s">
        <v>46</v>
      </c>
      <c r="F422" s="1" t="s">
        <v>25</v>
      </c>
      <c r="G422" s="1" t="s">
        <v>26</v>
      </c>
      <c r="H422" s="1">
        <v>9590</v>
      </c>
      <c r="I422" s="1" t="s">
        <v>33</v>
      </c>
      <c r="J422" s="1">
        <v>0.3</v>
      </c>
      <c r="K422" s="1">
        <v>9000</v>
      </c>
      <c r="L422" s="2">
        <v>45332</v>
      </c>
    </row>
    <row r="423" spans="1:12" x14ac:dyDescent="0.35">
      <c r="A423" s="1" t="s">
        <v>638</v>
      </c>
      <c r="B423" s="1" t="s">
        <v>177</v>
      </c>
      <c r="C423" s="1" t="s">
        <v>61</v>
      </c>
      <c r="D423" s="1" t="s">
        <v>62</v>
      </c>
      <c r="E423" s="1" t="s">
        <v>32</v>
      </c>
      <c r="F423" s="1" t="s">
        <v>39</v>
      </c>
      <c r="G423" s="1" t="s">
        <v>18</v>
      </c>
      <c r="H423" s="1">
        <v>8650</v>
      </c>
      <c r="I423" s="1" t="s">
        <v>27</v>
      </c>
      <c r="J423" s="1"/>
      <c r="K423" s="1">
        <v>9000</v>
      </c>
      <c r="L423" s="2">
        <v>45339</v>
      </c>
    </row>
    <row r="424" spans="1:12" x14ac:dyDescent="0.35">
      <c r="A424" s="1" t="s">
        <v>639</v>
      </c>
      <c r="B424" s="1" t="s">
        <v>350</v>
      </c>
      <c r="C424" s="1" t="s">
        <v>30</v>
      </c>
      <c r="D424" s="1" t="s">
        <v>31</v>
      </c>
      <c r="E424" s="1" t="s">
        <v>46</v>
      </c>
      <c r="F424" s="1" t="s">
        <v>17</v>
      </c>
      <c r="G424" s="1" t="s">
        <v>36</v>
      </c>
      <c r="H424" s="1">
        <v>17383</v>
      </c>
      <c r="I424" s="1" t="s">
        <v>22</v>
      </c>
      <c r="J424" s="1">
        <v>0.1</v>
      </c>
      <c r="K424" s="1">
        <v>17000</v>
      </c>
      <c r="L424" s="2">
        <v>45347</v>
      </c>
    </row>
    <row r="425" spans="1:12" x14ac:dyDescent="0.35">
      <c r="A425" s="1" t="s">
        <v>640</v>
      </c>
      <c r="B425" s="1" t="s">
        <v>140</v>
      </c>
      <c r="C425" s="1" t="s">
        <v>14</v>
      </c>
      <c r="D425" s="1" t="s">
        <v>15</v>
      </c>
      <c r="E425" s="1" t="s">
        <v>16</v>
      </c>
      <c r="F425" s="1" t="s">
        <v>17</v>
      </c>
      <c r="G425" s="1" t="s">
        <v>26</v>
      </c>
      <c r="H425" s="1">
        <v>14720</v>
      </c>
      <c r="I425" s="1" t="s">
        <v>33</v>
      </c>
      <c r="J425" s="1">
        <v>0.3</v>
      </c>
      <c r="K425" s="1">
        <v>14000</v>
      </c>
      <c r="L425" s="2">
        <v>45346</v>
      </c>
    </row>
    <row r="426" spans="1:12" x14ac:dyDescent="0.35">
      <c r="A426" s="1" t="s">
        <v>641</v>
      </c>
      <c r="B426" s="1" t="s">
        <v>200</v>
      </c>
      <c r="C426" s="1" t="s">
        <v>61</v>
      </c>
      <c r="D426" s="1" t="s">
        <v>62</v>
      </c>
      <c r="E426" s="1" t="s">
        <v>32</v>
      </c>
      <c r="F426" s="1" t="s">
        <v>17</v>
      </c>
      <c r="G426" s="1" t="s">
        <v>18</v>
      </c>
      <c r="H426" s="1">
        <v>9026</v>
      </c>
      <c r="I426" s="1" t="s">
        <v>33</v>
      </c>
      <c r="J426" s="1">
        <v>0.3</v>
      </c>
      <c r="K426" s="1">
        <v>9000</v>
      </c>
      <c r="L426" s="2">
        <v>45312</v>
      </c>
    </row>
    <row r="427" spans="1:12" x14ac:dyDescent="0.35">
      <c r="A427" s="1" t="s">
        <v>642</v>
      </c>
      <c r="B427" s="1" t="s">
        <v>643</v>
      </c>
      <c r="C427" s="1" t="s">
        <v>30</v>
      </c>
      <c r="D427" s="1" t="s">
        <v>31</v>
      </c>
      <c r="E427" s="1" t="s">
        <v>16</v>
      </c>
      <c r="F427" s="1" t="s">
        <v>39</v>
      </c>
      <c r="G427" s="1" t="s">
        <v>18</v>
      </c>
      <c r="H427" s="1">
        <v>17318</v>
      </c>
      <c r="I427" s="1"/>
      <c r="J427" s="1"/>
      <c r="K427" s="1">
        <v>17000</v>
      </c>
      <c r="L427" s="2">
        <v>45342</v>
      </c>
    </row>
    <row r="428" spans="1:12" x14ac:dyDescent="0.35">
      <c r="A428" s="1" t="s">
        <v>644</v>
      </c>
      <c r="B428" s="1" t="s">
        <v>150</v>
      </c>
      <c r="C428" s="1" t="s">
        <v>14</v>
      </c>
      <c r="D428" s="1" t="s">
        <v>15</v>
      </c>
      <c r="E428" s="1" t="s">
        <v>32</v>
      </c>
      <c r="F428" s="1" t="s">
        <v>25</v>
      </c>
      <c r="G428" s="1" t="s">
        <v>26</v>
      </c>
      <c r="H428" s="1">
        <v>15210</v>
      </c>
      <c r="I428" s="1"/>
      <c r="J428" s="1"/>
      <c r="K428" s="1">
        <v>14000</v>
      </c>
      <c r="L428" s="2">
        <v>45293</v>
      </c>
    </row>
    <row r="429" spans="1:12" x14ac:dyDescent="0.35">
      <c r="A429" s="1" t="s">
        <v>645</v>
      </c>
      <c r="B429" s="1" t="s">
        <v>159</v>
      </c>
      <c r="C429" s="1" t="s">
        <v>44</v>
      </c>
      <c r="D429" s="1" t="s">
        <v>45</v>
      </c>
      <c r="E429" s="1" t="s">
        <v>46</v>
      </c>
      <c r="F429" s="1" t="s">
        <v>17</v>
      </c>
      <c r="G429" s="1" t="s">
        <v>18</v>
      </c>
      <c r="H429" s="1">
        <v>14924</v>
      </c>
      <c r="I429" s="1"/>
      <c r="J429" s="1"/>
      <c r="K429" s="1">
        <v>13000</v>
      </c>
      <c r="L429" s="2">
        <v>45304</v>
      </c>
    </row>
    <row r="430" spans="1:12" x14ac:dyDescent="0.35">
      <c r="A430" s="1" t="s">
        <v>646</v>
      </c>
      <c r="B430" s="1" t="s">
        <v>153</v>
      </c>
      <c r="C430" s="1" t="s">
        <v>30</v>
      </c>
      <c r="D430" s="1" t="s">
        <v>31</v>
      </c>
      <c r="E430" s="1" t="s">
        <v>32</v>
      </c>
      <c r="F430" s="1" t="s">
        <v>17</v>
      </c>
      <c r="G430" s="1" t="s">
        <v>18</v>
      </c>
      <c r="H430" s="1">
        <v>17681</v>
      </c>
      <c r="I430" s="1" t="s">
        <v>33</v>
      </c>
      <c r="J430" s="1">
        <v>0.3</v>
      </c>
      <c r="K430" s="1">
        <v>17000</v>
      </c>
      <c r="L430" s="2">
        <v>45308</v>
      </c>
    </row>
    <row r="431" spans="1:12" x14ac:dyDescent="0.35">
      <c r="A431" s="1" t="s">
        <v>647</v>
      </c>
      <c r="B431" s="1" t="s">
        <v>432</v>
      </c>
      <c r="C431" s="1" t="s">
        <v>44</v>
      </c>
      <c r="D431" s="1" t="s">
        <v>45</v>
      </c>
      <c r="E431" s="1" t="s">
        <v>32</v>
      </c>
      <c r="F431" s="1" t="s">
        <v>17</v>
      </c>
      <c r="G431" s="1" t="s">
        <v>26</v>
      </c>
      <c r="H431" s="1">
        <v>12251</v>
      </c>
      <c r="I431" s="1" t="s">
        <v>19</v>
      </c>
      <c r="J431" s="1">
        <v>0.2</v>
      </c>
      <c r="K431" s="1">
        <v>13000</v>
      </c>
      <c r="L431" s="2">
        <v>45319</v>
      </c>
    </row>
    <row r="432" spans="1:12" x14ac:dyDescent="0.35">
      <c r="A432" s="1" t="s">
        <v>648</v>
      </c>
      <c r="B432" s="1" t="s">
        <v>13</v>
      </c>
      <c r="C432" s="1" t="s">
        <v>14</v>
      </c>
      <c r="D432" s="1" t="s">
        <v>15</v>
      </c>
      <c r="E432" s="1" t="s">
        <v>32</v>
      </c>
      <c r="F432" s="1" t="s">
        <v>25</v>
      </c>
      <c r="G432" s="1" t="s">
        <v>36</v>
      </c>
      <c r="H432" s="1">
        <v>12319</v>
      </c>
      <c r="I432" s="1" t="s">
        <v>19</v>
      </c>
      <c r="J432" s="1">
        <v>0.2</v>
      </c>
      <c r="K432" s="1">
        <v>14000</v>
      </c>
      <c r="L432" s="2">
        <v>45329</v>
      </c>
    </row>
    <row r="433" spans="1:12" x14ac:dyDescent="0.35">
      <c r="A433" s="1" t="s">
        <v>649</v>
      </c>
      <c r="B433" s="1" t="s">
        <v>24</v>
      </c>
      <c r="C433" s="1" t="s">
        <v>61</v>
      </c>
      <c r="D433" s="1" t="s">
        <v>62</v>
      </c>
      <c r="E433" s="1" t="s">
        <v>32</v>
      </c>
      <c r="F433" s="1" t="s">
        <v>25</v>
      </c>
      <c r="G433" s="1" t="s">
        <v>26</v>
      </c>
      <c r="H433" s="1">
        <v>8407</v>
      </c>
      <c r="I433" s="1" t="s">
        <v>22</v>
      </c>
      <c r="J433" s="1">
        <v>0.1</v>
      </c>
      <c r="K433" s="1">
        <v>9000</v>
      </c>
      <c r="L433" s="2">
        <v>45347</v>
      </c>
    </row>
    <row r="434" spans="1:12" x14ac:dyDescent="0.35">
      <c r="A434" s="1" t="s">
        <v>650</v>
      </c>
      <c r="B434" s="1" t="s">
        <v>101</v>
      </c>
      <c r="C434" s="1" t="s">
        <v>44</v>
      </c>
      <c r="D434" s="1" t="s">
        <v>45</v>
      </c>
      <c r="E434" s="1" t="s">
        <v>46</v>
      </c>
      <c r="F434" s="1" t="s">
        <v>25</v>
      </c>
      <c r="G434" s="1" t="s">
        <v>18</v>
      </c>
      <c r="H434" s="1">
        <v>12569</v>
      </c>
      <c r="I434" s="1" t="s">
        <v>22</v>
      </c>
      <c r="J434" s="1">
        <v>0.1</v>
      </c>
      <c r="K434" s="1">
        <v>13000</v>
      </c>
      <c r="L434" s="2">
        <v>45338</v>
      </c>
    </row>
    <row r="435" spans="1:12" x14ac:dyDescent="0.35">
      <c r="A435" s="1" t="s">
        <v>651</v>
      </c>
      <c r="B435" s="1" t="s">
        <v>652</v>
      </c>
      <c r="C435" s="1" t="s">
        <v>14</v>
      </c>
      <c r="D435" s="1" t="s">
        <v>15</v>
      </c>
      <c r="E435" s="1" t="s">
        <v>46</v>
      </c>
      <c r="F435" s="1" t="s">
        <v>17</v>
      </c>
      <c r="G435" s="1" t="s">
        <v>36</v>
      </c>
      <c r="H435" s="1">
        <v>12561</v>
      </c>
      <c r="I435" s="1"/>
      <c r="J435" s="1"/>
      <c r="K435" s="1">
        <v>14000</v>
      </c>
      <c r="L435" s="2">
        <v>45341</v>
      </c>
    </row>
    <row r="436" spans="1:12" x14ac:dyDescent="0.35">
      <c r="A436" s="1" t="s">
        <v>653</v>
      </c>
      <c r="B436" s="1" t="s">
        <v>393</v>
      </c>
      <c r="C436" s="1" t="s">
        <v>44</v>
      </c>
      <c r="D436" s="1" t="s">
        <v>45</v>
      </c>
      <c r="E436" s="1" t="s">
        <v>16</v>
      </c>
      <c r="F436" s="1" t="s">
        <v>39</v>
      </c>
      <c r="G436" s="1" t="s">
        <v>18</v>
      </c>
      <c r="H436" s="1">
        <v>11280</v>
      </c>
      <c r="I436" s="1" t="s">
        <v>27</v>
      </c>
      <c r="J436" s="1"/>
      <c r="K436" s="1">
        <v>13000</v>
      </c>
      <c r="L436" s="2">
        <v>45328</v>
      </c>
    </row>
    <row r="437" spans="1:12" x14ac:dyDescent="0.35">
      <c r="A437" s="1" t="s">
        <v>654</v>
      </c>
      <c r="B437" s="1" t="s">
        <v>109</v>
      </c>
      <c r="C437" s="1" t="s">
        <v>44</v>
      </c>
      <c r="D437" s="1" t="s">
        <v>45</v>
      </c>
      <c r="E437" s="1" t="s">
        <v>46</v>
      </c>
      <c r="F437" s="1" t="s">
        <v>17</v>
      </c>
      <c r="G437" s="1" t="s">
        <v>26</v>
      </c>
      <c r="H437" s="1">
        <v>11872</v>
      </c>
      <c r="I437" s="1" t="s">
        <v>19</v>
      </c>
      <c r="J437" s="1">
        <v>0.2</v>
      </c>
      <c r="K437" s="1">
        <v>13000</v>
      </c>
      <c r="L437" s="2">
        <v>45350</v>
      </c>
    </row>
    <row r="438" spans="1:12" x14ac:dyDescent="0.35">
      <c r="A438" s="1" t="s">
        <v>655</v>
      </c>
      <c r="B438" s="1" t="s">
        <v>617</v>
      </c>
      <c r="C438" s="1" t="s">
        <v>61</v>
      </c>
      <c r="D438" s="1" t="s">
        <v>62</v>
      </c>
      <c r="E438" s="1" t="s">
        <v>32</v>
      </c>
      <c r="F438" s="1" t="s">
        <v>25</v>
      </c>
      <c r="G438" s="1" t="s">
        <v>18</v>
      </c>
      <c r="H438" s="1">
        <v>7573</v>
      </c>
      <c r="I438" s="1" t="s">
        <v>22</v>
      </c>
      <c r="J438" s="1">
        <v>0.1</v>
      </c>
      <c r="K438" s="1">
        <v>9000</v>
      </c>
      <c r="L438" s="2">
        <v>45329</v>
      </c>
    </row>
    <row r="439" spans="1:12" x14ac:dyDescent="0.35">
      <c r="A439" s="1" t="s">
        <v>656</v>
      </c>
      <c r="B439" s="1" t="s">
        <v>127</v>
      </c>
      <c r="C439" s="1" t="s">
        <v>30</v>
      </c>
      <c r="D439" s="1" t="s">
        <v>31</v>
      </c>
      <c r="E439" s="1" t="s">
        <v>46</v>
      </c>
      <c r="F439" s="1" t="s">
        <v>17</v>
      </c>
      <c r="G439" s="1" t="s">
        <v>18</v>
      </c>
      <c r="H439" s="1">
        <v>16014</v>
      </c>
      <c r="I439" s="1" t="s">
        <v>33</v>
      </c>
      <c r="J439" s="1">
        <v>0.3</v>
      </c>
      <c r="K439" s="1">
        <v>17000</v>
      </c>
      <c r="L439" s="2">
        <v>45333</v>
      </c>
    </row>
    <row r="440" spans="1:12" x14ac:dyDescent="0.35">
      <c r="A440" s="1" t="s">
        <v>657</v>
      </c>
      <c r="B440" s="1" t="s">
        <v>248</v>
      </c>
      <c r="C440" s="1" t="s">
        <v>30</v>
      </c>
      <c r="D440" s="1" t="s">
        <v>31</v>
      </c>
      <c r="E440" s="1" t="s">
        <v>16</v>
      </c>
      <c r="F440" s="1" t="s">
        <v>25</v>
      </c>
      <c r="G440" s="1" t="s">
        <v>26</v>
      </c>
      <c r="H440" s="1">
        <v>18587</v>
      </c>
      <c r="I440" s="1" t="s">
        <v>33</v>
      </c>
      <c r="J440" s="1">
        <v>0.3</v>
      </c>
      <c r="K440" s="1">
        <v>17000</v>
      </c>
      <c r="L440" s="2">
        <v>45305</v>
      </c>
    </row>
    <row r="441" spans="1:12" x14ac:dyDescent="0.35">
      <c r="A441" s="1" t="s">
        <v>658</v>
      </c>
      <c r="B441" s="1" t="s">
        <v>382</v>
      </c>
      <c r="C441" s="1" t="s">
        <v>44</v>
      </c>
      <c r="D441" s="1" t="s">
        <v>45</v>
      </c>
      <c r="E441" s="1" t="s">
        <v>16</v>
      </c>
      <c r="F441" s="1" t="s">
        <v>17</v>
      </c>
      <c r="G441" s="1" t="s">
        <v>36</v>
      </c>
      <c r="H441" s="1">
        <v>13646</v>
      </c>
      <c r="I441" s="1" t="s">
        <v>22</v>
      </c>
      <c r="J441" s="1">
        <v>0.1</v>
      </c>
      <c r="K441" s="1">
        <v>13000</v>
      </c>
      <c r="L441" s="2">
        <v>45342</v>
      </c>
    </row>
    <row r="442" spans="1:12" x14ac:dyDescent="0.35">
      <c r="A442" s="1" t="s">
        <v>659</v>
      </c>
      <c r="B442" s="1" t="s">
        <v>148</v>
      </c>
      <c r="C442" s="1" t="s">
        <v>44</v>
      </c>
      <c r="D442" s="1" t="s">
        <v>45</v>
      </c>
      <c r="E442" s="1" t="s">
        <v>46</v>
      </c>
      <c r="F442" s="1" t="s">
        <v>17</v>
      </c>
      <c r="G442" s="1" t="s">
        <v>18</v>
      </c>
      <c r="H442" s="1">
        <v>11987</v>
      </c>
      <c r="I442" s="1"/>
      <c r="J442" s="1"/>
      <c r="K442" s="1">
        <v>13000</v>
      </c>
      <c r="L442" s="2">
        <v>45332</v>
      </c>
    </row>
    <row r="443" spans="1:12" x14ac:dyDescent="0.35">
      <c r="A443" s="1" t="s">
        <v>660</v>
      </c>
      <c r="B443" s="1" t="s">
        <v>107</v>
      </c>
      <c r="C443" s="1" t="s">
        <v>14</v>
      </c>
      <c r="D443" s="1" t="s">
        <v>15</v>
      </c>
      <c r="E443" s="1" t="s">
        <v>46</v>
      </c>
      <c r="F443" s="1" t="s">
        <v>17</v>
      </c>
      <c r="G443" s="1" t="s">
        <v>18</v>
      </c>
      <c r="H443" s="1">
        <v>13584</v>
      </c>
      <c r="I443" s="1" t="s">
        <v>27</v>
      </c>
      <c r="J443" s="1"/>
      <c r="K443" s="1">
        <v>14000</v>
      </c>
      <c r="L443" s="2">
        <v>45318</v>
      </c>
    </row>
    <row r="444" spans="1:12" x14ac:dyDescent="0.35">
      <c r="A444" s="1" t="s">
        <v>661</v>
      </c>
      <c r="B444" s="1" t="s">
        <v>301</v>
      </c>
      <c r="C444" s="1" t="s">
        <v>44</v>
      </c>
      <c r="D444" s="1" t="s">
        <v>45</v>
      </c>
      <c r="E444" s="1" t="s">
        <v>46</v>
      </c>
      <c r="F444" s="1" t="s">
        <v>25</v>
      </c>
      <c r="G444" s="1" t="s">
        <v>18</v>
      </c>
      <c r="H444" s="1">
        <v>13405</v>
      </c>
      <c r="I444" s="1" t="s">
        <v>22</v>
      </c>
      <c r="J444" s="1">
        <v>0.1</v>
      </c>
      <c r="K444" s="1">
        <v>13000</v>
      </c>
      <c r="L444" s="2">
        <v>45292</v>
      </c>
    </row>
    <row r="445" spans="1:12" x14ac:dyDescent="0.35">
      <c r="A445" s="1" t="s">
        <v>662</v>
      </c>
      <c r="B445" s="1" t="s">
        <v>289</v>
      </c>
      <c r="C445" s="1" t="s">
        <v>14</v>
      </c>
      <c r="D445" s="1" t="s">
        <v>15</v>
      </c>
      <c r="E445" s="1" t="s">
        <v>32</v>
      </c>
      <c r="F445" s="1" t="s">
        <v>17</v>
      </c>
      <c r="G445" s="1" t="s">
        <v>26</v>
      </c>
      <c r="H445" s="1">
        <v>13173</v>
      </c>
      <c r="I445" s="1" t="s">
        <v>27</v>
      </c>
      <c r="J445" s="1"/>
      <c r="K445" s="1">
        <v>14000</v>
      </c>
      <c r="L445" s="2">
        <v>45341</v>
      </c>
    </row>
    <row r="446" spans="1:12" x14ac:dyDescent="0.35">
      <c r="A446" s="1" t="s">
        <v>663</v>
      </c>
      <c r="B446" s="1" t="s">
        <v>177</v>
      </c>
      <c r="C446" s="1" t="s">
        <v>61</v>
      </c>
      <c r="D446" s="1" t="s">
        <v>62</v>
      </c>
      <c r="E446" s="1" t="s">
        <v>32</v>
      </c>
      <c r="F446" s="1" t="s">
        <v>39</v>
      </c>
      <c r="G446" s="1" t="s">
        <v>26</v>
      </c>
      <c r="H446" s="1">
        <v>9202</v>
      </c>
      <c r="I446" s="1" t="s">
        <v>27</v>
      </c>
      <c r="J446" s="1"/>
      <c r="K446" s="1">
        <v>9000</v>
      </c>
      <c r="L446" s="2">
        <v>45301</v>
      </c>
    </row>
    <row r="447" spans="1:12" x14ac:dyDescent="0.35">
      <c r="A447" s="1" t="s">
        <v>664</v>
      </c>
      <c r="B447" s="1" t="s">
        <v>222</v>
      </c>
      <c r="C447" s="1" t="s">
        <v>30</v>
      </c>
      <c r="D447" s="1" t="s">
        <v>31</v>
      </c>
      <c r="E447" s="1" t="s">
        <v>32</v>
      </c>
      <c r="F447" s="1" t="s">
        <v>39</v>
      </c>
      <c r="G447" s="1" t="s">
        <v>18</v>
      </c>
      <c r="H447" s="1">
        <v>18990</v>
      </c>
      <c r="I447" s="1" t="s">
        <v>19</v>
      </c>
      <c r="J447" s="1">
        <v>0.2</v>
      </c>
      <c r="K447" s="1">
        <v>17000</v>
      </c>
      <c r="L447" s="2">
        <v>45326</v>
      </c>
    </row>
    <row r="448" spans="1:12" x14ac:dyDescent="0.35">
      <c r="A448" s="1" t="s">
        <v>665</v>
      </c>
      <c r="B448" s="1" t="s">
        <v>666</v>
      </c>
      <c r="C448" s="1" t="s">
        <v>14</v>
      </c>
      <c r="D448" s="1" t="s">
        <v>15</v>
      </c>
      <c r="E448" s="1" t="s">
        <v>46</v>
      </c>
      <c r="F448" s="1" t="s">
        <v>39</v>
      </c>
      <c r="G448" s="1" t="s">
        <v>36</v>
      </c>
      <c r="H448" s="1">
        <v>14989</v>
      </c>
      <c r="I448" s="1" t="s">
        <v>19</v>
      </c>
      <c r="J448" s="1">
        <v>0.2</v>
      </c>
      <c r="K448" s="1">
        <v>14000</v>
      </c>
      <c r="L448" s="2">
        <v>45295</v>
      </c>
    </row>
    <row r="449" spans="1:12" x14ac:dyDescent="0.35">
      <c r="A449" s="1" t="s">
        <v>667</v>
      </c>
      <c r="B449" s="1" t="s">
        <v>229</v>
      </c>
      <c r="C449" s="1" t="s">
        <v>61</v>
      </c>
      <c r="D449" s="1" t="s">
        <v>62</v>
      </c>
      <c r="E449" s="1" t="s">
        <v>32</v>
      </c>
      <c r="F449" s="1" t="s">
        <v>17</v>
      </c>
      <c r="G449" s="1" t="s">
        <v>26</v>
      </c>
      <c r="H449" s="1">
        <v>9493</v>
      </c>
      <c r="I449" s="1" t="s">
        <v>22</v>
      </c>
      <c r="J449" s="1">
        <v>0.1</v>
      </c>
      <c r="K449" s="1">
        <v>9000</v>
      </c>
      <c r="L449" s="2">
        <v>45311</v>
      </c>
    </row>
    <row r="450" spans="1:12" x14ac:dyDescent="0.35">
      <c r="A450" s="1" t="s">
        <v>668</v>
      </c>
      <c r="B450" s="1" t="s">
        <v>305</v>
      </c>
      <c r="C450" s="1" t="s">
        <v>44</v>
      </c>
      <c r="D450" s="1" t="s">
        <v>45</v>
      </c>
      <c r="E450" s="1" t="s">
        <v>32</v>
      </c>
      <c r="F450" s="1" t="s">
        <v>25</v>
      </c>
      <c r="G450" s="1" t="s">
        <v>26</v>
      </c>
      <c r="H450" s="1">
        <v>11562</v>
      </c>
      <c r="I450" s="1" t="s">
        <v>22</v>
      </c>
      <c r="J450" s="1">
        <v>0.1</v>
      </c>
      <c r="K450" s="1">
        <v>13000</v>
      </c>
      <c r="L450" s="2">
        <v>45302</v>
      </c>
    </row>
    <row r="451" spans="1:12" x14ac:dyDescent="0.35">
      <c r="A451" s="1" t="s">
        <v>669</v>
      </c>
      <c r="B451" s="1" t="s">
        <v>188</v>
      </c>
      <c r="C451" s="1" t="s">
        <v>30</v>
      </c>
      <c r="D451" s="1" t="s">
        <v>31</v>
      </c>
      <c r="E451" s="1" t="s">
        <v>32</v>
      </c>
      <c r="F451" s="1" t="s">
        <v>17</v>
      </c>
      <c r="G451" s="1" t="s">
        <v>18</v>
      </c>
      <c r="H451" s="1">
        <v>18071</v>
      </c>
      <c r="I451" s="1" t="s">
        <v>33</v>
      </c>
      <c r="J451" s="1">
        <v>0.3</v>
      </c>
      <c r="K451" s="1">
        <v>17000</v>
      </c>
      <c r="L451" s="2">
        <v>45338</v>
      </c>
    </row>
    <row r="452" spans="1:12" x14ac:dyDescent="0.35">
      <c r="A452" s="1" t="s">
        <v>670</v>
      </c>
      <c r="B452" s="1" t="s">
        <v>403</v>
      </c>
      <c r="C452" s="1" t="s">
        <v>14</v>
      </c>
      <c r="D452" s="1" t="s">
        <v>15</v>
      </c>
      <c r="E452" s="1" t="s">
        <v>46</v>
      </c>
      <c r="F452" s="1" t="s">
        <v>17</v>
      </c>
      <c r="G452" s="1" t="s">
        <v>36</v>
      </c>
      <c r="H452" s="1">
        <v>14145</v>
      </c>
      <c r="I452" s="1" t="s">
        <v>22</v>
      </c>
      <c r="J452" s="1">
        <v>0.1</v>
      </c>
      <c r="K452" s="1">
        <v>14000</v>
      </c>
      <c r="L452" s="2">
        <v>45308</v>
      </c>
    </row>
    <row r="453" spans="1:12" x14ac:dyDescent="0.35">
      <c r="A453" s="1" t="s">
        <v>671</v>
      </c>
      <c r="B453" s="1" t="s">
        <v>672</v>
      </c>
      <c r="C453" s="1" t="s">
        <v>14</v>
      </c>
      <c r="D453" s="1" t="s">
        <v>15</v>
      </c>
      <c r="E453" s="1" t="s">
        <v>46</v>
      </c>
      <c r="F453" s="1" t="s">
        <v>17</v>
      </c>
      <c r="G453" s="1" t="s">
        <v>26</v>
      </c>
      <c r="H453" s="1">
        <v>13475</v>
      </c>
      <c r="I453" s="1" t="s">
        <v>22</v>
      </c>
      <c r="J453" s="1">
        <v>0.1</v>
      </c>
      <c r="K453" s="1">
        <v>14000</v>
      </c>
      <c r="L453" s="2">
        <v>45323</v>
      </c>
    </row>
    <row r="454" spans="1:12" x14ac:dyDescent="0.35">
      <c r="A454" s="1" t="s">
        <v>673</v>
      </c>
      <c r="B454" s="1" t="s">
        <v>460</v>
      </c>
      <c r="C454" s="1" t="s">
        <v>44</v>
      </c>
      <c r="D454" s="1" t="s">
        <v>45</v>
      </c>
      <c r="E454" s="1" t="s">
        <v>46</v>
      </c>
      <c r="F454" s="1" t="s">
        <v>25</v>
      </c>
      <c r="G454" s="1" t="s">
        <v>36</v>
      </c>
      <c r="H454" s="1">
        <v>14167</v>
      </c>
      <c r="I454" s="1" t="s">
        <v>22</v>
      </c>
      <c r="J454" s="1">
        <v>0.1</v>
      </c>
      <c r="K454" s="1">
        <v>13000</v>
      </c>
      <c r="L454" s="2">
        <v>45349</v>
      </c>
    </row>
    <row r="455" spans="1:12" x14ac:dyDescent="0.35">
      <c r="A455" s="1" t="s">
        <v>674</v>
      </c>
      <c r="B455" s="1" t="s">
        <v>209</v>
      </c>
      <c r="C455" s="1" t="s">
        <v>14</v>
      </c>
      <c r="D455" s="1" t="s">
        <v>15</v>
      </c>
      <c r="E455" s="1" t="s">
        <v>32</v>
      </c>
      <c r="F455" s="1" t="s">
        <v>39</v>
      </c>
      <c r="G455" s="1" t="s">
        <v>26</v>
      </c>
      <c r="H455" s="1">
        <v>12010</v>
      </c>
      <c r="I455" s="1" t="s">
        <v>22</v>
      </c>
      <c r="J455" s="1">
        <v>0.1</v>
      </c>
      <c r="K455" s="1">
        <v>14000</v>
      </c>
      <c r="L455" s="2">
        <v>45346</v>
      </c>
    </row>
    <row r="456" spans="1:12" x14ac:dyDescent="0.35">
      <c r="A456" s="1" t="s">
        <v>675</v>
      </c>
      <c r="B456" s="1" t="s">
        <v>676</v>
      </c>
      <c r="C456" s="1" t="s">
        <v>44</v>
      </c>
      <c r="D456" s="1" t="s">
        <v>45</v>
      </c>
      <c r="E456" s="1" t="s">
        <v>32</v>
      </c>
      <c r="F456" s="1" t="s">
        <v>17</v>
      </c>
      <c r="G456" s="1" t="s">
        <v>36</v>
      </c>
      <c r="H456" s="1">
        <v>12568</v>
      </c>
      <c r="I456" s="1" t="s">
        <v>19</v>
      </c>
      <c r="J456" s="1">
        <v>0.2</v>
      </c>
      <c r="K456" s="1">
        <v>13000</v>
      </c>
      <c r="L456" s="2">
        <v>45303</v>
      </c>
    </row>
    <row r="457" spans="1:12" x14ac:dyDescent="0.35">
      <c r="A457" s="1" t="s">
        <v>677</v>
      </c>
      <c r="B457" s="1" t="s">
        <v>454</v>
      </c>
      <c r="C457" s="1" t="s">
        <v>14</v>
      </c>
      <c r="D457" s="1" t="s">
        <v>15</v>
      </c>
      <c r="E457" s="1" t="s">
        <v>16</v>
      </c>
      <c r="F457" s="1" t="s">
        <v>39</v>
      </c>
      <c r="G457" s="1" t="s">
        <v>26</v>
      </c>
      <c r="H457" s="1">
        <v>14685</v>
      </c>
      <c r="I457" s="1"/>
      <c r="J457" s="1"/>
      <c r="K457" s="1">
        <v>14000</v>
      </c>
      <c r="L457" s="2">
        <v>45306</v>
      </c>
    </row>
    <row r="458" spans="1:12" x14ac:dyDescent="0.35">
      <c r="A458" s="1" t="s">
        <v>678</v>
      </c>
      <c r="B458" s="1" t="s">
        <v>408</v>
      </c>
      <c r="C458" s="1" t="s">
        <v>61</v>
      </c>
      <c r="D458" s="1" t="s">
        <v>62</v>
      </c>
      <c r="E458" s="1" t="s">
        <v>16</v>
      </c>
      <c r="F458" s="1" t="s">
        <v>17</v>
      </c>
      <c r="G458" s="1" t="s">
        <v>36</v>
      </c>
      <c r="H458" s="1">
        <v>10383</v>
      </c>
      <c r="I458" s="1" t="s">
        <v>22</v>
      </c>
      <c r="J458" s="1">
        <v>0.1</v>
      </c>
      <c r="K458" s="1">
        <v>9000</v>
      </c>
      <c r="L458" s="2">
        <v>45328</v>
      </c>
    </row>
    <row r="459" spans="1:12" x14ac:dyDescent="0.35">
      <c r="A459" s="1" t="s">
        <v>679</v>
      </c>
      <c r="B459" s="1" t="s">
        <v>116</v>
      </c>
      <c r="C459" s="1" t="s">
        <v>14</v>
      </c>
      <c r="D459" s="1" t="s">
        <v>15</v>
      </c>
      <c r="E459" s="1" t="s">
        <v>32</v>
      </c>
      <c r="F459" s="1" t="s">
        <v>25</v>
      </c>
      <c r="G459" s="1" t="s">
        <v>26</v>
      </c>
      <c r="H459" s="1">
        <v>12188</v>
      </c>
      <c r="I459" s="1"/>
      <c r="J459" s="1"/>
      <c r="K459" s="1">
        <v>14000</v>
      </c>
      <c r="L459" s="2">
        <v>45296</v>
      </c>
    </row>
    <row r="460" spans="1:12" x14ac:dyDescent="0.35">
      <c r="A460" s="1" t="s">
        <v>680</v>
      </c>
      <c r="B460" s="1" t="s">
        <v>445</v>
      </c>
      <c r="C460" s="1" t="s">
        <v>30</v>
      </c>
      <c r="D460" s="1" t="s">
        <v>31</v>
      </c>
      <c r="E460" s="1" t="s">
        <v>46</v>
      </c>
      <c r="F460" s="1" t="s">
        <v>17</v>
      </c>
      <c r="G460" s="1" t="s">
        <v>18</v>
      </c>
      <c r="H460" s="1">
        <v>17265</v>
      </c>
      <c r="I460" s="1"/>
      <c r="J460" s="1"/>
      <c r="K460" s="1">
        <v>17000</v>
      </c>
      <c r="L460" s="2">
        <v>45292</v>
      </c>
    </row>
    <row r="461" spans="1:12" x14ac:dyDescent="0.35">
      <c r="A461" s="1" t="s">
        <v>681</v>
      </c>
      <c r="B461" s="1" t="s">
        <v>408</v>
      </c>
      <c r="C461" s="1" t="s">
        <v>30</v>
      </c>
      <c r="D461" s="1" t="s">
        <v>31</v>
      </c>
      <c r="E461" s="1" t="s">
        <v>16</v>
      </c>
      <c r="F461" s="1" t="s">
        <v>17</v>
      </c>
      <c r="G461" s="1" t="s">
        <v>26</v>
      </c>
      <c r="H461" s="1">
        <v>17550</v>
      </c>
      <c r="I461" s="1" t="s">
        <v>19</v>
      </c>
      <c r="J461" s="1">
        <v>0.2</v>
      </c>
      <c r="K461" s="1">
        <v>17000</v>
      </c>
      <c r="L461" s="2">
        <v>45321</v>
      </c>
    </row>
    <row r="462" spans="1:12" x14ac:dyDescent="0.35">
      <c r="A462" s="1" t="s">
        <v>682</v>
      </c>
      <c r="B462" s="1" t="s">
        <v>38</v>
      </c>
      <c r="C462" s="1" t="s">
        <v>61</v>
      </c>
      <c r="D462" s="1" t="s">
        <v>62</v>
      </c>
      <c r="E462" s="1" t="s">
        <v>32</v>
      </c>
      <c r="F462" s="1" t="s">
        <v>39</v>
      </c>
      <c r="G462" s="1" t="s">
        <v>26</v>
      </c>
      <c r="H462" s="1">
        <v>10114</v>
      </c>
      <c r="I462" s="1" t="s">
        <v>19</v>
      </c>
      <c r="J462" s="1">
        <v>0.2</v>
      </c>
      <c r="K462" s="1">
        <v>9000</v>
      </c>
      <c r="L462" s="2">
        <v>45301</v>
      </c>
    </row>
    <row r="463" spans="1:12" x14ac:dyDescent="0.35">
      <c r="A463" s="1" t="s">
        <v>683</v>
      </c>
      <c r="B463" s="1" t="s">
        <v>406</v>
      </c>
      <c r="C463" s="1" t="s">
        <v>14</v>
      </c>
      <c r="D463" s="1" t="s">
        <v>15</v>
      </c>
      <c r="E463" s="1" t="s">
        <v>32</v>
      </c>
      <c r="F463" s="1" t="s">
        <v>39</v>
      </c>
      <c r="G463" s="1" t="s">
        <v>36</v>
      </c>
      <c r="H463" s="1">
        <v>14604</v>
      </c>
      <c r="I463" s="1" t="s">
        <v>22</v>
      </c>
      <c r="J463" s="1">
        <v>0.1</v>
      </c>
      <c r="K463" s="1">
        <v>14000</v>
      </c>
      <c r="L463" s="2">
        <v>45352</v>
      </c>
    </row>
    <row r="464" spans="1:12" x14ac:dyDescent="0.35">
      <c r="A464" s="1" t="s">
        <v>684</v>
      </c>
      <c r="B464" s="1" t="s">
        <v>327</v>
      </c>
      <c r="C464" s="1" t="s">
        <v>61</v>
      </c>
      <c r="D464" s="1" t="s">
        <v>62</v>
      </c>
      <c r="E464" s="1" t="s">
        <v>16</v>
      </c>
      <c r="F464" s="1" t="s">
        <v>39</v>
      </c>
      <c r="G464" s="1" t="s">
        <v>36</v>
      </c>
      <c r="H464" s="1">
        <v>7425</v>
      </c>
      <c r="I464" s="1" t="s">
        <v>19</v>
      </c>
      <c r="J464" s="1">
        <v>0.2</v>
      </c>
      <c r="K464" s="1">
        <v>9000</v>
      </c>
      <c r="L464" s="2">
        <v>45325</v>
      </c>
    </row>
    <row r="465" spans="1:12" x14ac:dyDescent="0.35">
      <c r="A465" s="1" t="s">
        <v>685</v>
      </c>
      <c r="B465" s="1" t="s">
        <v>414</v>
      </c>
      <c r="C465" s="1" t="s">
        <v>61</v>
      </c>
      <c r="D465" s="1" t="s">
        <v>62</v>
      </c>
      <c r="E465" s="1" t="s">
        <v>32</v>
      </c>
      <c r="F465" s="1" t="s">
        <v>25</v>
      </c>
      <c r="G465" s="1" t="s">
        <v>26</v>
      </c>
      <c r="H465" s="1">
        <v>8146</v>
      </c>
      <c r="I465" s="1" t="s">
        <v>22</v>
      </c>
      <c r="J465" s="1">
        <v>0.1</v>
      </c>
      <c r="K465" s="1">
        <v>9000</v>
      </c>
      <c r="L465" s="2">
        <v>45294</v>
      </c>
    </row>
    <row r="466" spans="1:12" x14ac:dyDescent="0.35">
      <c r="A466" s="1" t="s">
        <v>686</v>
      </c>
      <c r="B466" s="1" t="s">
        <v>553</v>
      </c>
      <c r="C466" s="1" t="s">
        <v>61</v>
      </c>
      <c r="D466" s="1" t="s">
        <v>62</v>
      </c>
      <c r="E466" s="1" t="s">
        <v>16</v>
      </c>
      <c r="F466" s="1" t="s">
        <v>17</v>
      </c>
      <c r="G466" s="1" t="s">
        <v>36</v>
      </c>
      <c r="H466" s="1">
        <v>10991</v>
      </c>
      <c r="I466" s="1" t="s">
        <v>22</v>
      </c>
      <c r="J466" s="1">
        <v>0.1</v>
      </c>
      <c r="K466" s="1">
        <v>9000</v>
      </c>
      <c r="L466" s="2">
        <v>45329</v>
      </c>
    </row>
    <row r="467" spans="1:12" x14ac:dyDescent="0.35">
      <c r="A467" s="1" t="s">
        <v>687</v>
      </c>
      <c r="B467" s="1" t="s">
        <v>241</v>
      </c>
      <c r="C467" s="1" t="s">
        <v>44</v>
      </c>
      <c r="D467" s="1" t="s">
        <v>45</v>
      </c>
      <c r="E467" s="1" t="s">
        <v>16</v>
      </c>
      <c r="F467" s="1" t="s">
        <v>17</v>
      </c>
      <c r="G467" s="1" t="s">
        <v>18</v>
      </c>
      <c r="H467" s="1">
        <v>13424</v>
      </c>
      <c r="I467" s="1" t="s">
        <v>27</v>
      </c>
      <c r="J467" s="1"/>
      <c r="K467" s="1">
        <v>13000</v>
      </c>
      <c r="L467" s="2">
        <v>45295</v>
      </c>
    </row>
    <row r="468" spans="1:12" x14ac:dyDescent="0.35">
      <c r="A468" s="1" t="s">
        <v>688</v>
      </c>
      <c r="B468" s="1" t="s">
        <v>274</v>
      </c>
      <c r="C468" s="1" t="s">
        <v>44</v>
      </c>
      <c r="D468" s="1" t="s">
        <v>45</v>
      </c>
      <c r="E468" s="1" t="s">
        <v>32</v>
      </c>
      <c r="F468" s="1" t="s">
        <v>17</v>
      </c>
      <c r="G468" s="1" t="s">
        <v>36</v>
      </c>
      <c r="H468" s="1">
        <v>14485</v>
      </c>
      <c r="I468" s="1" t="s">
        <v>33</v>
      </c>
      <c r="J468" s="1">
        <v>0.3</v>
      </c>
      <c r="K468" s="1">
        <v>13000</v>
      </c>
      <c r="L468" s="2">
        <v>45351</v>
      </c>
    </row>
    <row r="469" spans="1:12" x14ac:dyDescent="0.35">
      <c r="A469" s="1" t="s">
        <v>689</v>
      </c>
      <c r="B469" s="1" t="s">
        <v>180</v>
      </c>
      <c r="C469" s="1" t="s">
        <v>30</v>
      </c>
      <c r="D469" s="1" t="s">
        <v>31</v>
      </c>
      <c r="E469" s="1" t="s">
        <v>46</v>
      </c>
      <c r="F469" s="1" t="s">
        <v>17</v>
      </c>
      <c r="G469" s="1" t="s">
        <v>36</v>
      </c>
      <c r="H469" s="1">
        <v>15956</v>
      </c>
      <c r="I469" s="1" t="s">
        <v>22</v>
      </c>
      <c r="J469" s="1">
        <v>0.1</v>
      </c>
      <c r="K469" s="1">
        <v>17000</v>
      </c>
      <c r="L469" s="2">
        <v>45352</v>
      </c>
    </row>
    <row r="470" spans="1:12" x14ac:dyDescent="0.35">
      <c r="A470" s="1" t="s">
        <v>690</v>
      </c>
      <c r="B470" s="1" t="s">
        <v>235</v>
      </c>
      <c r="C470" s="1" t="s">
        <v>14</v>
      </c>
      <c r="D470" s="1" t="s">
        <v>15</v>
      </c>
      <c r="E470" s="1" t="s">
        <v>32</v>
      </c>
      <c r="F470" s="1" t="s">
        <v>25</v>
      </c>
      <c r="G470" s="1" t="s">
        <v>18</v>
      </c>
      <c r="H470" s="1">
        <v>13841</v>
      </c>
      <c r="I470" s="1"/>
      <c r="J470" s="1"/>
      <c r="K470" s="1">
        <v>14000</v>
      </c>
      <c r="L470" s="2">
        <v>45312</v>
      </c>
    </row>
    <row r="471" spans="1:12" x14ac:dyDescent="0.35">
      <c r="A471" s="1" t="s">
        <v>691</v>
      </c>
      <c r="B471" s="1" t="s">
        <v>41</v>
      </c>
      <c r="C471" s="1" t="s">
        <v>30</v>
      </c>
      <c r="D471" s="1" t="s">
        <v>31</v>
      </c>
      <c r="E471" s="1" t="s">
        <v>32</v>
      </c>
      <c r="F471" s="1" t="s">
        <v>17</v>
      </c>
      <c r="G471" s="1" t="s">
        <v>36</v>
      </c>
      <c r="H471" s="1">
        <v>16897</v>
      </c>
      <c r="I471" s="1" t="s">
        <v>33</v>
      </c>
      <c r="J471" s="1">
        <v>0.3</v>
      </c>
      <c r="K471" s="1">
        <v>17000</v>
      </c>
      <c r="L471" s="2">
        <v>45346</v>
      </c>
    </row>
    <row r="472" spans="1:12" x14ac:dyDescent="0.35">
      <c r="A472" s="1" t="s">
        <v>692</v>
      </c>
      <c r="B472" s="1" t="s">
        <v>78</v>
      </c>
      <c r="C472" s="1" t="s">
        <v>44</v>
      </c>
      <c r="D472" s="1" t="s">
        <v>45</v>
      </c>
      <c r="E472" s="1" t="s">
        <v>16</v>
      </c>
      <c r="F472" s="1" t="s">
        <v>17</v>
      </c>
      <c r="G472" s="1" t="s">
        <v>26</v>
      </c>
      <c r="H472" s="1">
        <v>13854</v>
      </c>
      <c r="I472" s="1" t="s">
        <v>27</v>
      </c>
      <c r="J472" s="1"/>
      <c r="K472" s="1">
        <v>13000</v>
      </c>
      <c r="L472" s="2">
        <v>45294</v>
      </c>
    </row>
    <row r="473" spans="1:12" x14ac:dyDescent="0.35">
      <c r="A473" s="1" t="s">
        <v>693</v>
      </c>
      <c r="B473" s="1" t="s">
        <v>171</v>
      </c>
      <c r="C473" s="1" t="s">
        <v>30</v>
      </c>
      <c r="D473" s="1" t="s">
        <v>31</v>
      </c>
      <c r="E473" s="1" t="s">
        <v>32</v>
      </c>
      <c r="F473" s="1" t="s">
        <v>25</v>
      </c>
      <c r="G473" s="1" t="s">
        <v>26</v>
      </c>
      <c r="H473" s="1">
        <v>16016</v>
      </c>
      <c r="I473" s="1" t="s">
        <v>33</v>
      </c>
      <c r="J473" s="1">
        <v>0.3</v>
      </c>
      <c r="K473" s="1">
        <v>17000</v>
      </c>
      <c r="L473" s="2">
        <v>45317</v>
      </c>
    </row>
    <row r="474" spans="1:12" x14ac:dyDescent="0.35">
      <c r="A474" s="1" t="s">
        <v>694</v>
      </c>
      <c r="B474" s="1" t="s">
        <v>184</v>
      </c>
      <c r="C474" s="1" t="s">
        <v>30</v>
      </c>
      <c r="D474" s="1" t="s">
        <v>31</v>
      </c>
      <c r="E474" s="1" t="s">
        <v>46</v>
      </c>
      <c r="F474" s="1" t="s">
        <v>25</v>
      </c>
      <c r="G474" s="1" t="s">
        <v>18</v>
      </c>
      <c r="H474" s="1">
        <v>18899</v>
      </c>
      <c r="I474" s="1"/>
      <c r="J474" s="1"/>
      <c r="K474" s="1">
        <v>17000</v>
      </c>
      <c r="L474" s="2">
        <v>45346</v>
      </c>
    </row>
    <row r="475" spans="1:12" x14ac:dyDescent="0.35">
      <c r="A475" s="1" t="s">
        <v>695</v>
      </c>
      <c r="B475" s="1" t="s">
        <v>330</v>
      </c>
      <c r="C475" s="1" t="s">
        <v>44</v>
      </c>
      <c r="D475" s="1" t="s">
        <v>45</v>
      </c>
      <c r="E475" s="1" t="s">
        <v>32</v>
      </c>
      <c r="F475" s="1" t="s">
        <v>17</v>
      </c>
      <c r="G475" s="1" t="s">
        <v>18</v>
      </c>
      <c r="H475" s="1">
        <v>14292</v>
      </c>
      <c r="I475" s="1" t="s">
        <v>19</v>
      </c>
      <c r="J475" s="1">
        <v>0.2</v>
      </c>
      <c r="K475" s="1">
        <v>13000</v>
      </c>
      <c r="L475" s="2">
        <v>45299</v>
      </c>
    </row>
    <row r="476" spans="1:12" x14ac:dyDescent="0.35">
      <c r="A476" s="1" t="s">
        <v>696</v>
      </c>
      <c r="B476" s="1" t="s">
        <v>161</v>
      </c>
      <c r="C476" s="1" t="s">
        <v>44</v>
      </c>
      <c r="D476" s="1" t="s">
        <v>45</v>
      </c>
      <c r="E476" s="1" t="s">
        <v>32</v>
      </c>
      <c r="F476" s="1" t="s">
        <v>25</v>
      </c>
      <c r="G476" s="1" t="s">
        <v>36</v>
      </c>
      <c r="H476" s="1">
        <v>12524</v>
      </c>
      <c r="I476" s="1" t="s">
        <v>22</v>
      </c>
      <c r="J476" s="1">
        <v>0.1</v>
      </c>
      <c r="K476" s="1">
        <v>13000</v>
      </c>
      <c r="L476" s="2">
        <v>45329</v>
      </c>
    </row>
    <row r="477" spans="1:12" x14ac:dyDescent="0.35">
      <c r="A477" s="1" t="s">
        <v>697</v>
      </c>
      <c r="B477" s="1" t="s">
        <v>291</v>
      </c>
      <c r="C477" s="1" t="s">
        <v>14</v>
      </c>
      <c r="D477" s="1" t="s">
        <v>15</v>
      </c>
      <c r="E477" s="1" t="s">
        <v>32</v>
      </c>
      <c r="F477" s="1" t="s">
        <v>25</v>
      </c>
      <c r="G477" s="1" t="s">
        <v>18</v>
      </c>
      <c r="H477" s="1">
        <v>15696</v>
      </c>
      <c r="I477" s="1"/>
      <c r="J477" s="1"/>
      <c r="K477" s="1">
        <v>14000</v>
      </c>
      <c r="L477" s="2">
        <v>45343</v>
      </c>
    </row>
    <row r="478" spans="1:12" x14ac:dyDescent="0.35">
      <c r="A478" s="1" t="s">
        <v>698</v>
      </c>
      <c r="B478" s="1" t="s">
        <v>325</v>
      </c>
      <c r="C478" s="1" t="s">
        <v>30</v>
      </c>
      <c r="D478" s="1" t="s">
        <v>31</v>
      </c>
      <c r="E478" s="1" t="s">
        <v>32</v>
      </c>
      <c r="F478" s="1" t="s">
        <v>25</v>
      </c>
      <c r="G478" s="1" t="s">
        <v>36</v>
      </c>
      <c r="H478" s="1">
        <v>15207</v>
      </c>
      <c r="I478" s="1" t="s">
        <v>19</v>
      </c>
      <c r="J478" s="1">
        <v>0.2</v>
      </c>
      <c r="K478" s="1">
        <v>17000</v>
      </c>
      <c r="L478" s="2">
        <v>45351</v>
      </c>
    </row>
    <row r="479" spans="1:12" x14ac:dyDescent="0.35">
      <c r="A479" s="1" t="s">
        <v>699</v>
      </c>
      <c r="B479" s="1" t="s">
        <v>337</v>
      </c>
      <c r="C479" s="1" t="s">
        <v>61</v>
      </c>
      <c r="D479" s="1" t="s">
        <v>62</v>
      </c>
      <c r="E479" s="1" t="s">
        <v>46</v>
      </c>
      <c r="F479" s="1" t="s">
        <v>25</v>
      </c>
      <c r="G479" s="1" t="s">
        <v>36</v>
      </c>
      <c r="H479" s="1">
        <v>9798</v>
      </c>
      <c r="I479" s="1"/>
      <c r="J479" s="1"/>
      <c r="K479" s="1">
        <v>9000</v>
      </c>
      <c r="L479" s="2">
        <v>45303</v>
      </c>
    </row>
    <row r="480" spans="1:12" x14ac:dyDescent="0.35">
      <c r="A480" s="1" t="s">
        <v>700</v>
      </c>
      <c r="B480" s="1" t="s">
        <v>408</v>
      </c>
      <c r="C480" s="1" t="s">
        <v>44</v>
      </c>
      <c r="D480" s="1" t="s">
        <v>45</v>
      </c>
      <c r="E480" s="1" t="s">
        <v>46</v>
      </c>
      <c r="F480" s="1" t="s">
        <v>17</v>
      </c>
      <c r="G480" s="1" t="s">
        <v>36</v>
      </c>
      <c r="H480" s="1">
        <v>14618</v>
      </c>
      <c r="I480" s="1" t="s">
        <v>19</v>
      </c>
      <c r="J480" s="1">
        <v>0.2</v>
      </c>
      <c r="K480" s="1">
        <v>13000</v>
      </c>
      <c r="L480" s="2">
        <v>45294</v>
      </c>
    </row>
    <row r="481" spans="1:12" x14ac:dyDescent="0.35">
      <c r="A481" s="1" t="s">
        <v>701</v>
      </c>
      <c r="B481" s="1" t="s">
        <v>195</v>
      </c>
      <c r="C481" s="1" t="s">
        <v>44</v>
      </c>
      <c r="D481" s="1" t="s">
        <v>45</v>
      </c>
      <c r="E481" s="1" t="s">
        <v>16</v>
      </c>
      <c r="F481" s="1" t="s">
        <v>17</v>
      </c>
      <c r="G481" s="1" t="s">
        <v>36</v>
      </c>
      <c r="H481" s="1">
        <v>12687</v>
      </c>
      <c r="I481" s="1" t="s">
        <v>27</v>
      </c>
      <c r="J481" s="1"/>
      <c r="K481" s="1">
        <v>13000</v>
      </c>
      <c r="L481" s="2">
        <v>45322</v>
      </c>
    </row>
    <row r="482" spans="1:12" x14ac:dyDescent="0.35">
      <c r="A482" s="1" t="s">
        <v>702</v>
      </c>
      <c r="B482" s="1" t="s">
        <v>76</v>
      </c>
      <c r="C482" s="1" t="s">
        <v>30</v>
      </c>
      <c r="D482" s="1" t="s">
        <v>31</v>
      </c>
      <c r="E482" s="1" t="s">
        <v>46</v>
      </c>
      <c r="F482" s="1" t="s">
        <v>25</v>
      </c>
      <c r="G482" s="1" t="s">
        <v>36</v>
      </c>
      <c r="H482" s="1">
        <v>15816</v>
      </c>
      <c r="I482" s="1" t="s">
        <v>27</v>
      </c>
      <c r="J482" s="1"/>
      <c r="K482" s="1">
        <v>17000</v>
      </c>
      <c r="L482" s="2">
        <v>45307</v>
      </c>
    </row>
    <row r="483" spans="1:12" x14ac:dyDescent="0.35">
      <c r="A483" s="1" t="s">
        <v>703</v>
      </c>
      <c r="B483" s="1" t="s">
        <v>270</v>
      </c>
      <c r="C483" s="1" t="s">
        <v>14</v>
      </c>
      <c r="D483" s="1" t="s">
        <v>15</v>
      </c>
      <c r="E483" s="1" t="s">
        <v>46</v>
      </c>
      <c r="F483" s="1" t="s">
        <v>39</v>
      </c>
      <c r="G483" s="1" t="s">
        <v>36</v>
      </c>
      <c r="H483" s="1">
        <v>13964</v>
      </c>
      <c r="I483" s="1" t="s">
        <v>27</v>
      </c>
      <c r="J483" s="1"/>
      <c r="K483" s="1">
        <v>14000</v>
      </c>
      <c r="L483" s="2">
        <v>45342</v>
      </c>
    </row>
    <row r="484" spans="1:12" x14ac:dyDescent="0.35">
      <c r="A484" s="1" t="s">
        <v>704</v>
      </c>
      <c r="B484" s="1" t="s">
        <v>188</v>
      </c>
      <c r="C484" s="1" t="s">
        <v>30</v>
      </c>
      <c r="D484" s="1" t="s">
        <v>31</v>
      </c>
      <c r="E484" s="1" t="s">
        <v>46</v>
      </c>
      <c r="F484" s="1" t="s">
        <v>17</v>
      </c>
      <c r="G484" s="1" t="s">
        <v>18</v>
      </c>
      <c r="H484" s="1">
        <v>15106</v>
      </c>
      <c r="I484" s="1" t="s">
        <v>33</v>
      </c>
      <c r="J484" s="1">
        <v>0.3</v>
      </c>
      <c r="K484" s="1">
        <v>17000</v>
      </c>
      <c r="L484" s="2">
        <v>45330</v>
      </c>
    </row>
    <row r="485" spans="1:12" x14ac:dyDescent="0.35">
      <c r="A485" s="1" t="s">
        <v>705</v>
      </c>
      <c r="B485" s="1" t="s">
        <v>500</v>
      </c>
      <c r="C485" s="1" t="s">
        <v>30</v>
      </c>
      <c r="D485" s="1" t="s">
        <v>31</v>
      </c>
      <c r="E485" s="1" t="s">
        <v>32</v>
      </c>
      <c r="F485" s="1" t="s">
        <v>17</v>
      </c>
      <c r="G485" s="1" t="s">
        <v>26</v>
      </c>
      <c r="H485" s="1">
        <v>16464</v>
      </c>
      <c r="I485" s="1" t="s">
        <v>27</v>
      </c>
      <c r="J485" s="1"/>
      <c r="K485" s="1">
        <v>17000</v>
      </c>
      <c r="L485" s="2">
        <v>45306</v>
      </c>
    </row>
    <row r="486" spans="1:12" x14ac:dyDescent="0.35">
      <c r="A486" s="1" t="s">
        <v>706</v>
      </c>
      <c r="B486" s="1" t="s">
        <v>325</v>
      </c>
      <c r="C486" s="1" t="s">
        <v>44</v>
      </c>
      <c r="D486" s="1" t="s">
        <v>45</v>
      </c>
      <c r="E486" s="1" t="s">
        <v>16</v>
      </c>
      <c r="F486" s="1" t="s">
        <v>25</v>
      </c>
      <c r="G486" s="1" t="s">
        <v>36</v>
      </c>
      <c r="H486" s="1">
        <v>13185</v>
      </c>
      <c r="I486" s="1" t="s">
        <v>22</v>
      </c>
      <c r="J486" s="1">
        <v>0.1</v>
      </c>
      <c r="K486" s="1">
        <v>13000</v>
      </c>
      <c r="L486" s="2">
        <v>45340</v>
      </c>
    </row>
    <row r="487" spans="1:12" x14ac:dyDescent="0.35">
      <c r="A487" s="1" t="s">
        <v>707</v>
      </c>
      <c r="B487" s="1" t="s">
        <v>56</v>
      </c>
      <c r="C487" s="1" t="s">
        <v>61</v>
      </c>
      <c r="D487" s="1" t="s">
        <v>62</v>
      </c>
      <c r="E487" s="1" t="s">
        <v>46</v>
      </c>
      <c r="F487" s="1" t="s">
        <v>25</v>
      </c>
      <c r="G487" s="1" t="s">
        <v>18</v>
      </c>
      <c r="H487" s="1">
        <v>7968</v>
      </c>
      <c r="I487" s="1" t="s">
        <v>27</v>
      </c>
      <c r="J487" s="1"/>
      <c r="K487" s="1">
        <v>9000</v>
      </c>
      <c r="L487" s="2">
        <v>45312</v>
      </c>
    </row>
    <row r="488" spans="1:12" x14ac:dyDescent="0.35">
      <c r="A488" s="1" t="s">
        <v>708</v>
      </c>
      <c r="B488" s="1" t="s">
        <v>296</v>
      </c>
      <c r="C488" s="1" t="s">
        <v>30</v>
      </c>
      <c r="D488" s="1" t="s">
        <v>31</v>
      </c>
      <c r="E488" s="1" t="s">
        <v>16</v>
      </c>
      <c r="F488" s="1" t="s">
        <v>25</v>
      </c>
      <c r="G488" s="1" t="s">
        <v>26</v>
      </c>
      <c r="H488" s="1">
        <v>17869</v>
      </c>
      <c r="I488" s="1" t="s">
        <v>33</v>
      </c>
      <c r="J488" s="1">
        <v>0.3</v>
      </c>
      <c r="K488" s="1">
        <v>17000</v>
      </c>
      <c r="L488" s="2">
        <v>45352</v>
      </c>
    </row>
    <row r="489" spans="1:12" x14ac:dyDescent="0.35">
      <c r="A489" s="1" t="s">
        <v>709</v>
      </c>
      <c r="B489" s="1" t="s">
        <v>195</v>
      </c>
      <c r="C489" s="1" t="s">
        <v>44</v>
      </c>
      <c r="D489" s="1" t="s">
        <v>45</v>
      </c>
      <c r="E489" s="1" t="s">
        <v>16</v>
      </c>
      <c r="F489" s="1" t="s">
        <v>25</v>
      </c>
      <c r="G489" s="1" t="s">
        <v>36</v>
      </c>
      <c r="H489" s="1">
        <v>13220</v>
      </c>
      <c r="I489" s="1" t="s">
        <v>33</v>
      </c>
      <c r="J489" s="1">
        <v>0.3</v>
      </c>
      <c r="K489" s="1">
        <v>13000</v>
      </c>
      <c r="L489" s="2">
        <v>45303</v>
      </c>
    </row>
    <row r="490" spans="1:12" x14ac:dyDescent="0.35">
      <c r="A490" s="1" t="s">
        <v>710</v>
      </c>
      <c r="B490" s="1" t="s">
        <v>711</v>
      </c>
      <c r="C490" s="1" t="s">
        <v>14</v>
      </c>
      <c r="D490" s="1" t="s">
        <v>15</v>
      </c>
      <c r="E490" s="1" t="s">
        <v>32</v>
      </c>
      <c r="F490" s="1" t="s">
        <v>25</v>
      </c>
      <c r="G490" s="1" t="s">
        <v>26</v>
      </c>
      <c r="H490" s="1">
        <v>12896</v>
      </c>
      <c r="I490" s="1" t="s">
        <v>22</v>
      </c>
      <c r="J490" s="1">
        <v>0.1</v>
      </c>
      <c r="K490" s="1">
        <v>14000</v>
      </c>
      <c r="L490" s="2">
        <v>45325</v>
      </c>
    </row>
    <row r="491" spans="1:12" x14ac:dyDescent="0.35">
      <c r="A491" s="1" t="s">
        <v>712</v>
      </c>
      <c r="B491" s="1" t="s">
        <v>711</v>
      </c>
      <c r="C491" s="1" t="s">
        <v>30</v>
      </c>
      <c r="D491" s="1" t="s">
        <v>31</v>
      </c>
      <c r="E491" s="1" t="s">
        <v>16</v>
      </c>
      <c r="F491" s="1" t="s">
        <v>25</v>
      </c>
      <c r="G491" s="1" t="s">
        <v>18</v>
      </c>
      <c r="H491" s="1">
        <v>16395</v>
      </c>
      <c r="I491" s="1" t="s">
        <v>19</v>
      </c>
      <c r="J491" s="1">
        <v>0.2</v>
      </c>
      <c r="K491" s="1">
        <v>17000</v>
      </c>
      <c r="L491" s="2">
        <v>45350</v>
      </c>
    </row>
    <row r="492" spans="1:12" x14ac:dyDescent="0.35">
      <c r="A492" s="1" t="s">
        <v>713</v>
      </c>
      <c r="B492" s="1" t="s">
        <v>140</v>
      </c>
      <c r="C492" s="1" t="s">
        <v>30</v>
      </c>
      <c r="D492" s="1" t="s">
        <v>31</v>
      </c>
      <c r="E492" s="1" t="s">
        <v>32</v>
      </c>
      <c r="F492" s="1" t="s">
        <v>25</v>
      </c>
      <c r="G492" s="1" t="s">
        <v>18</v>
      </c>
      <c r="H492" s="1">
        <v>17402</v>
      </c>
      <c r="I492" s="1" t="s">
        <v>19</v>
      </c>
      <c r="J492" s="1">
        <v>0.2</v>
      </c>
      <c r="K492" s="1">
        <v>17000</v>
      </c>
      <c r="L492" s="2">
        <v>45341</v>
      </c>
    </row>
    <row r="493" spans="1:12" x14ac:dyDescent="0.35">
      <c r="A493" s="1" t="s">
        <v>714</v>
      </c>
      <c r="B493" s="1" t="s">
        <v>159</v>
      </c>
      <c r="C493" s="1" t="s">
        <v>30</v>
      </c>
      <c r="D493" s="1" t="s">
        <v>31</v>
      </c>
      <c r="E493" s="1" t="s">
        <v>32</v>
      </c>
      <c r="F493" s="1" t="s">
        <v>17</v>
      </c>
      <c r="G493" s="1" t="s">
        <v>26</v>
      </c>
      <c r="H493" s="1">
        <v>18858</v>
      </c>
      <c r="I493" s="1"/>
      <c r="J493" s="1"/>
      <c r="K493" s="1">
        <v>17000</v>
      </c>
      <c r="L493" s="2">
        <v>45329</v>
      </c>
    </row>
    <row r="494" spans="1:12" x14ac:dyDescent="0.35">
      <c r="A494" s="1" t="s">
        <v>715</v>
      </c>
      <c r="B494" s="1" t="s">
        <v>432</v>
      </c>
      <c r="C494" s="1" t="s">
        <v>30</v>
      </c>
      <c r="D494" s="1" t="s">
        <v>31</v>
      </c>
      <c r="E494" s="1" t="s">
        <v>46</v>
      </c>
      <c r="F494" s="1" t="s">
        <v>25</v>
      </c>
      <c r="G494" s="1" t="s">
        <v>18</v>
      </c>
      <c r="H494" s="1">
        <v>17999</v>
      </c>
      <c r="I494" s="1"/>
      <c r="J494" s="1"/>
      <c r="K494" s="1">
        <v>17000</v>
      </c>
      <c r="L494" s="2">
        <v>45342</v>
      </c>
    </row>
    <row r="495" spans="1:12" x14ac:dyDescent="0.35">
      <c r="A495" s="1" t="s">
        <v>716</v>
      </c>
      <c r="B495" s="1" t="s">
        <v>591</v>
      </c>
      <c r="C495" s="1" t="s">
        <v>30</v>
      </c>
      <c r="D495" s="1" t="s">
        <v>31</v>
      </c>
      <c r="E495" s="1" t="s">
        <v>32</v>
      </c>
      <c r="F495" s="1" t="s">
        <v>39</v>
      </c>
      <c r="G495" s="1" t="s">
        <v>26</v>
      </c>
      <c r="H495" s="1">
        <v>17840</v>
      </c>
      <c r="I495" s="1" t="s">
        <v>27</v>
      </c>
      <c r="J495" s="1"/>
      <c r="K495" s="1">
        <v>17000</v>
      </c>
      <c r="L495" s="2">
        <v>45342</v>
      </c>
    </row>
    <row r="496" spans="1:12" x14ac:dyDescent="0.35">
      <c r="A496" s="1" t="s">
        <v>717</v>
      </c>
      <c r="B496" s="1" t="s">
        <v>408</v>
      </c>
      <c r="C496" s="1" t="s">
        <v>44</v>
      </c>
      <c r="D496" s="1" t="s">
        <v>45</v>
      </c>
      <c r="E496" s="1" t="s">
        <v>46</v>
      </c>
      <c r="F496" s="1" t="s">
        <v>17</v>
      </c>
      <c r="G496" s="1" t="s">
        <v>26</v>
      </c>
      <c r="H496" s="1">
        <v>13820</v>
      </c>
      <c r="I496" s="1" t="s">
        <v>33</v>
      </c>
      <c r="J496" s="1">
        <v>0.3</v>
      </c>
      <c r="K496" s="1">
        <v>13000</v>
      </c>
      <c r="L496" s="2">
        <v>45300</v>
      </c>
    </row>
    <row r="497" spans="1:12" x14ac:dyDescent="0.35">
      <c r="A497" s="1" t="s">
        <v>718</v>
      </c>
      <c r="B497" s="1" t="s">
        <v>280</v>
      </c>
      <c r="C497" s="1" t="s">
        <v>14</v>
      </c>
      <c r="D497" s="1" t="s">
        <v>15</v>
      </c>
      <c r="E497" s="1" t="s">
        <v>16</v>
      </c>
      <c r="F497" s="1" t="s">
        <v>39</v>
      </c>
      <c r="G497" s="1" t="s">
        <v>36</v>
      </c>
      <c r="H497" s="1">
        <v>15484</v>
      </c>
      <c r="I497" s="1" t="s">
        <v>27</v>
      </c>
      <c r="J497" s="1"/>
      <c r="K497" s="1">
        <v>14000</v>
      </c>
      <c r="L497" s="2">
        <v>45294</v>
      </c>
    </row>
    <row r="498" spans="1:12" x14ac:dyDescent="0.35">
      <c r="A498" s="1" t="s">
        <v>719</v>
      </c>
      <c r="B498" s="1" t="s">
        <v>720</v>
      </c>
      <c r="C498" s="1" t="s">
        <v>30</v>
      </c>
      <c r="D498" s="1" t="s">
        <v>31</v>
      </c>
      <c r="E498" s="1" t="s">
        <v>16</v>
      </c>
      <c r="F498" s="1" t="s">
        <v>25</v>
      </c>
      <c r="G498" s="1" t="s">
        <v>26</v>
      </c>
      <c r="H498" s="1">
        <v>17316</v>
      </c>
      <c r="I498" s="1" t="s">
        <v>22</v>
      </c>
      <c r="J498" s="1">
        <v>0.1</v>
      </c>
      <c r="K498" s="1">
        <v>17000</v>
      </c>
      <c r="L498" s="2">
        <v>45351</v>
      </c>
    </row>
    <row r="499" spans="1:12" x14ac:dyDescent="0.35">
      <c r="A499" s="1" t="s">
        <v>721</v>
      </c>
      <c r="B499" s="1" t="s">
        <v>508</v>
      </c>
      <c r="C499" s="1" t="s">
        <v>30</v>
      </c>
      <c r="D499" s="1" t="s">
        <v>31</v>
      </c>
      <c r="E499" s="1" t="s">
        <v>16</v>
      </c>
      <c r="F499" s="1" t="s">
        <v>25</v>
      </c>
      <c r="G499" s="1" t="s">
        <v>18</v>
      </c>
      <c r="H499" s="1">
        <v>16420</v>
      </c>
      <c r="I499" s="1" t="s">
        <v>33</v>
      </c>
      <c r="J499" s="1">
        <v>0.3</v>
      </c>
      <c r="K499" s="1">
        <v>17000</v>
      </c>
      <c r="L499" s="2">
        <v>45302</v>
      </c>
    </row>
    <row r="500" spans="1:12" x14ac:dyDescent="0.35">
      <c r="A500" s="1" t="s">
        <v>722</v>
      </c>
      <c r="B500" s="1" t="s">
        <v>13</v>
      </c>
      <c r="C500" s="1" t="s">
        <v>30</v>
      </c>
      <c r="D500" s="1" t="s">
        <v>31</v>
      </c>
      <c r="E500" s="1" t="s">
        <v>46</v>
      </c>
      <c r="F500" s="1" t="s">
        <v>25</v>
      </c>
      <c r="G500" s="1" t="s">
        <v>36</v>
      </c>
      <c r="H500" s="1">
        <v>15858</v>
      </c>
      <c r="I500" s="1" t="s">
        <v>19</v>
      </c>
      <c r="J500" s="1">
        <v>0.2</v>
      </c>
      <c r="K500" s="1">
        <v>17000</v>
      </c>
      <c r="L500" s="2">
        <v>45336</v>
      </c>
    </row>
    <row r="501" spans="1:12" x14ac:dyDescent="0.35">
      <c r="A501" s="1" t="s">
        <v>723</v>
      </c>
      <c r="B501" s="1" t="s">
        <v>432</v>
      </c>
      <c r="C501" s="1" t="s">
        <v>30</v>
      </c>
      <c r="D501" s="1" t="s">
        <v>31</v>
      </c>
      <c r="E501" s="1" t="s">
        <v>32</v>
      </c>
      <c r="F501" s="1" t="s">
        <v>39</v>
      </c>
      <c r="G501" s="1" t="s">
        <v>18</v>
      </c>
      <c r="H501" s="1">
        <v>15197</v>
      </c>
      <c r="I501" s="1"/>
      <c r="J501" s="1"/>
      <c r="K501" s="1">
        <v>17000</v>
      </c>
      <c r="L501" s="2">
        <v>45320</v>
      </c>
    </row>
    <row r="502" spans="1:12" x14ac:dyDescent="0.35">
      <c r="A502" s="1" t="s">
        <v>724</v>
      </c>
      <c r="B502" s="1" t="s">
        <v>127</v>
      </c>
      <c r="C502" s="1" t="s">
        <v>44</v>
      </c>
      <c r="D502" s="1" t="s">
        <v>45</v>
      </c>
      <c r="E502" s="1" t="s">
        <v>46</v>
      </c>
      <c r="F502" s="1" t="s">
        <v>17</v>
      </c>
      <c r="G502" s="1" t="s">
        <v>36</v>
      </c>
      <c r="H502" s="1">
        <v>12438</v>
      </c>
      <c r="I502" s="1" t="s">
        <v>27</v>
      </c>
      <c r="J502" s="1"/>
      <c r="K502" s="1">
        <v>13000</v>
      </c>
      <c r="L502" s="2">
        <v>45316</v>
      </c>
    </row>
    <row r="503" spans="1:12" x14ac:dyDescent="0.35">
      <c r="A503" s="1" t="s">
        <v>725</v>
      </c>
      <c r="B503" s="1" t="s">
        <v>159</v>
      </c>
      <c r="C503" s="1" t="s">
        <v>61</v>
      </c>
      <c r="D503" s="1" t="s">
        <v>62</v>
      </c>
      <c r="E503" s="1" t="s">
        <v>16</v>
      </c>
      <c r="F503" s="1" t="s">
        <v>39</v>
      </c>
      <c r="G503" s="1" t="s">
        <v>26</v>
      </c>
      <c r="H503" s="1">
        <v>7923</v>
      </c>
      <c r="I503" s="1" t="s">
        <v>19</v>
      </c>
      <c r="J503" s="1">
        <v>0.2</v>
      </c>
      <c r="K503" s="1">
        <v>9000</v>
      </c>
      <c r="L503" s="2">
        <v>45320</v>
      </c>
    </row>
    <row r="504" spans="1:12" x14ac:dyDescent="0.35">
      <c r="A504" s="1" t="s">
        <v>726</v>
      </c>
      <c r="B504" s="1" t="s">
        <v>200</v>
      </c>
      <c r="C504" s="1" t="s">
        <v>14</v>
      </c>
      <c r="D504" s="1" t="s">
        <v>15</v>
      </c>
      <c r="E504" s="1" t="s">
        <v>46</v>
      </c>
      <c r="F504" s="1" t="s">
        <v>25</v>
      </c>
      <c r="G504" s="1" t="s">
        <v>36</v>
      </c>
      <c r="H504" s="1">
        <v>13069</v>
      </c>
      <c r="I504" s="1" t="s">
        <v>22</v>
      </c>
      <c r="J504" s="1">
        <v>0.1</v>
      </c>
      <c r="K504" s="1">
        <v>14000</v>
      </c>
      <c r="L504" s="2">
        <v>45296</v>
      </c>
    </row>
    <row r="505" spans="1:12" x14ac:dyDescent="0.35">
      <c r="A505" s="1" t="s">
        <v>727</v>
      </c>
      <c r="B505" s="1" t="s">
        <v>728</v>
      </c>
      <c r="C505" s="1" t="s">
        <v>61</v>
      </c>
      <c r="D505" s="1" t="s">
        <v>62</v>
      </c>
      <c r="E505" s="1" t="s">
        <v>32</v>
      </c>
      <c r="F505" s="1" t="s">
        <v>39</v>
      </c>
      <c r="G505" s="1" t="s">
        <v>18</v>
      </c>
      <c r="H505" s="1">
        <v>9240</v>
      </c>
      <c r="I505" s="1" t="s">
        <v>22</v>
      </c>
      <c r="J505" s="1">
        <v>0.1</v>
      </c>
      <c r="K505" s="1">
        <v>9000</v>
      </c>
      <c r="L505" s="2">
        <v>45313</v>
      </c>
    </row>
    <row r="506" spans="1:12" x14ac:dyDescent="0.35">
      <c r="A506" s="1" t="s">
        <v>729</v>
      </c>
      <c r="B506" s="1" t="s">
        <v>195</v>
      </c>
      <c r="C506" s="1" t="s">
        <v>61</v>
      </c>
      <c r="D506" s="1" t="s">
        <v>62</v>
      </c>
      <c r="E506" s="1" t="s">
        <v>16</v>
      </c>
      <c r="F506" s="1" t="s">
        <v>25</v>
      </c>
      <c r="G506" s="1" t="s">
        <v>36</v>
      </c>
      <c r="H506" s="1">
        <v>10860</v>
      </c>
      <c r="I506" s="1" t="s">
        <v>19</v>
      </c>
      <c r="J506" s="1">
        <v>0.2</v>
      </c>
      <c r="K506" s="1">
        <v>9000</v>
      </c>
      <c r="L506" s="2">
        <v>45330</v>
      </c>
    </row>
    <row r="507" spans="1:12" x14ac:dyDescent="0.35">
      <c r="A507" s="1" t="s">
        <v>730</v>
      </c>
      <c r="B507" s="1" t="s">
        <v>137</v>
      </c>
      <c r="C507" s="1" t="s">
        <v>44</v>
      </c>
      <c r="D507" s="1" t="s">
        <v>45</v>
      </c>
      <c r="E507" s="1" t="s">
        <v>32</v>
      </c>
      <c r="F507" s="1" t="s">
        <v>25</v>
      </c>
      <c r="G507" s="1" t="s">
        <v>36</v>
      </c>
      <c r="H507" s="1">
        <v>11841</v>
      </c>
      <c r="I507" s="1" t="s">
        <v>19</v>
      </c>
      <c r="J507" s="1">
        <v>0.2</v>
      </c>
      <c r="K507" s="1">
        <v>13000</v>
      </c>
      <c r="L507" s="2">
        <v>45318</v>
      </c>
    </row>
    <row r="508" spans="1:12" x14ac:dyDescent="0.35">
      <c r="A508" s="1" t="s">
        <v>731</v>
      </c>
      <c r="B508" s="1" t="s">
        <v>103</v>
      </c>
      <c r="C508" s="1" t="s">
        <v>30</v>
      </c>
      <c r="D508" s="1" t="s">
        <v>31</v>
      </c>
      <c r="E508" s="1" t="s">
        <v>16</v>
      </c>
      <c r="F508" s="1" t="s">
        <v>17</v>
      </c>
      <c r="G508" s="1" t="s">
        <v>36</v>
      </c>
      <c r="H508" s="1">
        <v>15972</v>
      </c>
      <c r="I508" s="1" t="s">
        <v>22</v>
      </c>
      <c r="J508" s="1">
        <v>0.1</v>
      </c>
      <c r="K508" s="1">
        <v>17000</v>
      </c>
      <c r="L508" s="2">
        <v>45295</v>
      </c>
    </row>
    <row r="509" spans="1:12" x14ac:dyDescent="0.35">
      <c r="A509" s="1" t="s">
        <v>732</v>
      </c>
      <c r="B509" s="1" t="s">
        <v>617</v>
      </c>
      <c r="C509" s="1" t="s">
        <v>61</v>
      </c>
      <c r="D509" s="1" t="s">
        <v>62</v>
      </c>
      <c r="E509" s="1" t="s">
        <v>32</v>
      </c>
      <c r="F509" s="1" t="s">
        <v>25</v>
      </c>
      <c r="G509" s="1" t="s">
        <v>36</v>
      </c>
      <c r="H509" s="1">
        <v>7015</v>
      </c>
      <c r="I509" s="1"/>
      <c r="J509" s="1"/>
      <c r="K509" s="1">
        <v>9000</v>
      </c>
      <c r="L509" s="2">
        <v>45297</v>
      </c>
    </row>
    <row r="510" spans="1:12" x14ac:dyDescent="0.35">
      <c r="A510" s="1" t="s">
        <v>733</v>
      </c>
      <c r="B510" s="1" t="s">
        <v>142</v>
      </c>
      <c r="C510" s="1" t="s">
        <v>61</v>
      </c>
      <c r="D510" s="1" t="s">
        <v>62</v>
      </c>
      <c r="E510" s="1" t="s">
        <v>32</v>
      </c>
      <c r="F510" s="1" t="s">
        <v>25</v>
      </c>
      <c r="G510" s="1" t="s">
        <v>18</v>
      </c>
      <c r="H510" s="1">
        <v>7847</v>
      </c>
      <c r="I510" s="1" t="s">
        <v>19</v>
      </c>
      <c r="J510" s="1">
        <v>0.2</v>
      </c>
      <c r="K510" s="1">
        <v>9000</v>
      </c>
      <c r="L510" s="2">
        <v>45332</v>
      </c>
    </row>
    <row r="511" spans="1:12" x14ac:dyDescent="0.35">
      <c r="A511" s="1" t="s">
        <v>734</v>
      </c>
      <c r="B511" s="1" t="s">
        <v>222</v>
      </c>
      <c r="C511" s="1" t="s">
        <v>61</v>
      </c>
      <c r="D511" s="1" t="s">
        <v>62</v>
      </c>
      <c r="E511" s="1" t="s">
        <v>32</v>
      </c>
      <c r="F511" s="1" t="s">
        <v>17</v>
      </c>
      <c r="G511" s="1" t="s">
        <v>36</v>
      </c>
      <c r="H511" s="1">
        <v>8928</v>
      </c>
      <c r="I511" s="1"/>
      <c r="J511" s="1"/>
      <c r="K511" s="1">
        <v>9000</v>
      </c>
      <c r="L511" s="2">
        <v>45349</v>
      </c>
    </row>
    <row r="512" spans="1:12" x14ac:dyDescent="0.35">
      <c r="A512" s="1" t="s">
        <v>735</v>
      </c>
      <c r="B512" s="1" t="s">
        <v>278</v>
      </c>
      <c r="C512" s="1" t="s">
        <v>14</v>
      </c>
      <c r="D512" s="1" t="s">
        <v>15</v>
      </c>
      <c r="E512" s="1" t="s">
        <v>16</v>
      </c>
      <c r="F512" s="1" t="s">
        <v>39</v>
      </c>
      <c r="G512" s="1" t="s">
        <v>36</v>
      </c>
      <c r="H512" s="1">
        <v>12757</v>
      </c>
      <c r="I512" s="1" t="s">
        <v>33</v>
      </c>
      <c r="J512" s="1">
        <v>0.3</v>
      </c>
      <c r="K512" s="1">
        <v>14000</v>
      </c>
      <c r="L512" s="2">
        <v>45348</v>
      </c>
    </row>
    <row r="513" spans="1:12" x14ac:dyDescent="0.35">
      <c r="A513" s="1" t="s">
        <v>736</v>
      </c>
      <c r="B513" s="1" t="s">
        <v>474</v>
      </c>
      <c r="C513" s="1" t="s">
        <v>44</v>
      </c>
      <c r="D513" s="1" t="s">
        <v>45</v>
      </c>
      <c r="E513" s="1" t="s">
        <v>46</v>
      </c>
      <c r="F513" s="1" t="s">
        <v>25</v>
      </c>
      <c r="G513" s="1" t="s">
        <v>36</v>
      </c>
      <c r="H513" s="1">
        <v>12801</v>
      </c>
      <c r="I513" s="1"/>
      <c r="J513" s="1"/>
      <c r="K513" s="1">
        <v>13000</v>
      </c>
      <c r="L513" s="2">
        <v>45308</v>
      </c>
    </row>
    <row r="514" spans="1:12" x14ac:dyDescent="0.35">
      <c r="A514" s="1" t="s">
        <v>737</v>
      </c>
      <c r="B514" s="1" t="s">
        <v>171</v>
      </c>
      <c r="C514" s="1" t="s">
        <v>30</v>
      </c>
      <c r="D514" s="1" t="s">
        <v>31</v>
      </c>
      <c r="E514" s="1" t="s">
        <v>16</v>
      </c>
      <c r="F514" s="1" t="s">
        <v>25</v>
      </c>
      <c r="G514" s="1" t="s">
        <v>18</v>
      </c>
      <c r="H514" s="1">
        <v>18081</v>
      </c>
      <c r="I514" s="1" t="s">
        <v>22</v>
      </c>
      <c r="J514" s="1">
        <v>0.1</v>
      </c>
      <c r="K514" s="1">
        <v>17000</v>
      </c>
      <c r="L514" s="2">
        <v>45297</v>
      </c>
    </row>
    <row r="515" spans="1:12" x14ac:dyDescent="0.35">
      <c r="A515" s="1" t="s">
        <v>738</v>
      </c>
      <c r="B515" s="1" t="s">
        <v>317</v>
      </c>
      <c r="C515" s="1" t="s">
        <v>61</v>
      </c>
      <c r="D515" s="1" t="s">
        <v>62</v>
      </c>
      <c r="E515" s="1" t="s">
        <v>16</v>
      </c>
      <c r="F515" s="1" t="s">
        <v>25</v>
      </c>
      <c r="G515" s="1" t="s">
        <v>26</v>
      </c>
      <c r="H515" s="1">
        <v>7249</v>
      </c>
      <c r="I515" s="1"/>
      <c r="J515" s="1"/>
      <c r="K515" s="1">
        <v>9000</v>
      </c>
      <c r="L515" s="2">
        <v>45344</v>
      </c>
    </row>
    <row r="516" spans="1:12" x14ac:dyDescent="0.35">
      <c r="A516" s="1" t="s">
        <v>739</v>
      </c>
      <c r="B516" s="1" t="s">
        <v>388</v>
      </c>
      <c r="C516" s="1" t="s">
        <v>61</v>
      </c>
      <c r="D516" s="1" t="s">
        <v>62</v>
      </c>
      <c r="E516" s="1" t="s">
        <v>16</v>
      </c>
      <c r="F516" s="1" t="s">
        <v>25</v>
      </c>
      <c r="G516" s="1" t="s">
        <v>36</v>
      </c>
      <c r="H516" s="1">
        <v>8224</v>
      </c>
      <c r="I516" s="1" t="s">
        <v>22</v>
      </c>
      <c r="J516" s="1">
        <v>0.1</v>
      </c>
      <c r="K516" s="1">
        <v>9000</v>
      </c>
      <c r="L516" s="2">
        <v>45317</v>
      </c>
    </row>
    <row r="517" spans="1:12" x14ac:dyDescent="0.35">
      <c r="A517" s="1" t="s">
        <v>740</v>
      </c>
      <c r="B517" s="1" t="s">
        <v>454</v>
      </c>
      <c r="C517" s="1" t="s">
        <v>14</v>
      </c>
      <c r="D517" s="1" t="s">
        <v>15</v>
      </c>
      <c r="E517" s="1" t="s">
        <v>16</v>
      </c>
      <c r="F517" s="1" t="s">
        <v>39</v>
      </c>
      <c r="G517" s="1" t="s">
        <v>26</v>
      </c>
      <c r="H517" s="1">
        <v>15278</v>
      </c>
      <c r="I517" s="1" t="s">
        <v>27</v>
      </c>
      <c r="J517" s="1"/>
      <c r="K517" s="1">
        <v>14000</v>
      </c>
      <c r="L517" s="2">
        <v>45335</v>
      </c>
    </row>
    <row r="518" spans="1:12" x14ac:dyDescent="0.35">
      <c r="A518" s="1" t="s">
        <v>741</v>
      </c>
      <c r="B518" s="1" t="s">
        <v>373</v>
      </c>
      <c r="C518" s="1" t="s">
        <v>14</v>
      </c>
      <c r="D518" s="1" t="s">
        <v>15</v>
      </c>
      <c r="E518" s="1" t="s">
        <v>46</v>
      </c>
      <c r="F518" s="1" t="s">
        <v>25</v>
      </c>
      <c r="G518" s="1" t="s">
        <v>18</v>
      </c>
      <c r="H518" s="1">
        <v>15981</v>
      </c>
      <c r="I518" s="1" t="s">
        <v>19</v>
      </c>
      <c r="J518" s="1">
        <v>0.2</v>
      </c>
      <c r="K518" s="1">
        <v>14000</v>
      </c>
      <c r="L518" s="2">
        <v>45343</v>
      </c>
    </row>
    <row r="519" spans="1:12" x14ac:dyDescent="0.35">
      <c r="A519" s="1" t="s">
        <v>742</v>
      </c>
      <c r="B519" s="1" t="s">
        <v>235</v>
      </c>
      <c r="C519" s="1" t="s">
        <v>14</v>
      </c>
      <c r="D519" s="1" t="s">
        <v>15</v>
      </c>
      <c r="E519" s="1" t="s">
        <v>46</v>
      </c>
      <c r="F519" s="1" t="s">
        <v>25</v>
      </c>
      <c r="G519" s="1" t="s">
        <v>26</v>
      </c>
      <c r="H519" s="1">
        <v>13783</v>
      </c>
      <c r="I519" s="1" t="s">
        <v>19</v>
      </c>
      <c r="J519" s="1">
        <v>0.2</v>
      </c>
      <c r="K519" s="1">
        <v>14000</v>
      </c>
      <c r="L519" s="2">
        <v>45344</v>
      </c>
    </row>
    <row r="520" spans="1:12" x14ac:dyDescent="0.35">
      <c r="A520" s="1" t="s">
        <v>743</v>
      </c>
      <c r="B520" s="1" t="s">
        <v>422</v>
      </c>
      <c r="C520" s="1" t="s">
        <v>30</v>
      </c>
      <c r="D520" s="1" t="s">
        <v>31</v>
      </c>
      <c r="E520" s="1" t="s">
        <v>46</v>
      </c>
      <c r="F520" s="1" t="s">
        <v>39</v>
      </c>
      <c r="G520" s="1" t="s">
        <v>18</v>
      </c>
      <c r="H520" s="1">
        <v>15356</v>
      </c>
      <c r="I520" s="1"/>
      <c r="J520" s="1"/>
      <c r="K520" s="1">
        <v>17000</v>
      </c>
      <c r="L520" s="2">
        <v>45327</v>
      </c>
    </row>
    <row r="521" spans="1:12" x14ac:dyDescent="0.35">
      <c r="A521" s="1" t="s">
        <v>744</v>
      </c>
      <c r="B521" s="1" t="s">
        <v>512</v>
      </c>
      <c r="C521" s="1" t="s">
        <v>30</v>
      </c>
      <c r="D521" s="1" t="s">
        <v>31</v>
      </c>
      <c r="E521" s="1" t="s">
        <v>46</v>
      </c>
      <c r="F521" s="1" t="s">
        <v>39</v>
      </c>
      <c r="G521" s="1" t="s">
        <v>36</v>
      </c>
      <c r="H521" s="1">
        <v>18756</v>
      </c>
      <c r="I521" s="1" t="s">
        <v>22</v>
      </c>
      <c r="J521" s="1">
        <v>0.1</v>
      </c>
      <c r="K521" s="1">
        <v>17000</v>
      </c>
      <c r="L521" s="2">
        <v>45342</v>
      </c>
    </row>
    <row r="522" spans="1:12" x14ac:dyDescent="0.35">
      <c r="A522" s="1" t="s">
        <v>745</v>
      </c>
      <c r="B522" s="1" t="s">
        <v>672</v>
      </c>
      <c r="C522" s="1" t="s">
        <v>61</v>
      </c>
      <c r="D522" s="1" t="s">
        <v>62</v>
      </c>
      <c r="E522" s="1" t="s">
        <v>32</v>
      </c>
      <c r="F522" s="1" t="s">
        <v>17</v>
      </c>
      <c r="G522" s="1" t="s">
        <v>18</v>
      </c>
      <c r="H522" s="1">
        <v>7607</v>
      </c>
      <c r="I522" s="1" t="s">
        <v>27</v>
      </c>
      <c r="J522" s="1"/>
      <c r="K522" s="1">
        <v>9000</v>
      </c>
      <c r="L522" s="2">
        <v>45329</v>
      </c>
    </row>
    <row r="523" spans="1:12" x14ac:dyDescent="0.35">
      <c r="A523" s="1" t="s">
        <v>746</v>
      </c>
      <c r="B523" s="1" t="s">
        <v>579</v>
      </c>
      <c r="C523" s="1" t="s">
        <v>14</v>
      </c>
      <c r="D523" s="1" t="s">
        <v>15</v>
      </c>
      <c r="E523" s="1" t="s">
        <v>32</v>
      </c>
      <c r="F523" s="1" t="s">
        <v>39</v>
      </c>
      <c r="G523" s="1" t="s">
        <v>18</v>
      </c>
      <c r="H523" s="1">
        <v>15218</v>
      </c>
      <c r="I523" s="1" t="s">
        <v>33</v>
      </c>
      <c r="J523" s="1">
        <v>0.3</v>
      </c>
      <c r="K523" s="1">
        <v>14000</v>
      </c>
      <c r="L523" s="2">
        <v>45347</v>
      </c>
    </row>
    <row r="524" spans="1:12" x14ac:dyDescent="0.35">
      <c r="A524" s="1" t="s">
        <v>747</v>
      </c>
      <c r="B524" s="1" t="s">
        <v>217</v>
      </c>
      <c r="C524" s="1" t="s">
        <v>61</v>
      </c>
      <c r="D524" s="1" t="s">
        <v>62</v>
      </c>
      <c r="E524" s="1" t="s">
        <v>46</v>
      </c>
      <c r="F524" s="1" t="s">
        <v>17</v>
      </c>
      <c r="G524" s="1" t="s">
        <v>26</v>
      </c>
      <c r="H524" s="1">
        <v>8988</v>
      </c>
      <c r="I524" s="1" t="s">
        <v>27</v>
      </c>
      <c r="J524" s="1"/>
      <c r="K524" s="1">
        <v>9000</v>
      </c>
      <c r="L524" s="2">
        <v>45330</v>
      </c>
    </row>
    <row r="525" spans="1:12" x14ac:dyDescent="0.35">
      <c r="A525" s="1" t="s">
        <v>748</v>
      </c>
      <c r="B525" s="1" t="s">
        <v>711</v>
      </c>
      <c r="C525" s="1" t="s">
        <v>44</v>
      </c>
      <c r="D525" s="1" t="s">
        <v>45</v>
      </c>
      <c r="E525" s="1" t="s">
        <v>46</v>
      </c>
      <c r="F525" s="1" t="s">
        <v>17</v>
      </c>
      <c r="G525" s="1" t="s">
        <v>18</v>
      </c>
      <c r="H525" s="1">
        <v>13532</v>
      </c>
      <c r="I525" s="1" t="s">
        <v>27</v>
      </c>
      <c r="J525" s="1"/>
      <c r="K525" s="1">
        <v>13000</v>
      </c>
      <c r="L525" s="2">
        <v>45335</v>
      </c>
    </row>
    <row r="526" spans="1:12" x14ac:dyDescent="0.35">
      <c r="A526" s="1" t="s">
        <v>749</v>
      </c>
      <c r="B526" s="1" t="s">
        <v>127</v>
      </c>
      <c r="C526" s="1" t="s">
        <v>14</v>
      </c>
      <c r="D526" s="1" t="s">
        <v>15</v>
      </c>
      <c r="E526" s="1" t="s">
        <v>46</v>
      </c>
      <c r="F526" s="1" t="s">
        <v>17</v>
      </c>
      <c r="G526" s="1" t="s">
        <v>26</v>
      </c>
      <c r="H526" s="1">
        <v>12973</v>
      </c>
      <c r="I526" s="1" t="s">
        <v>22</v>
      </c>
      <c r="J526" s="1">
        <v>0.1</v>
      </c>
      <c r="K526" s="1">
        <v>14000</v>
      </c>
      <c r="L526" s="2">
        <v>45339</v>
      </c>
    </row>
    <row r="527" spans="1:12" x14ac:dyDescent="0.35">
      <c r="A527" s="1" t="s">
        <v>750</v>
      </c>
      <c r="B527" s="1" t="s">
        <v>123</v>
      </c>
      <c r="C527" s="1" t="s">
        <v>30</v>
      </c>
      <c r="D527" s="1" t="s">
        <v>31</v>
      </c>
      <c r="E527" s="1" t="s">
        <v>32</v>
      </c>
      <c r="F527" s="1" t="s">
        <v>17</v>
      </c>
      <c r="G527" s="1" t="s">
        <v>36</v>
      </c>
      <c r="H527" s="1">
        <v>16273</v>
      </c>
      <c r="I527" s="1" t="s">
        <v>33</v>
      </c>
      <c r="J527" s="1">
        <v>0.3</v>
      </c>
      <c r="K527" s="1">
        <v>17000</v>
      </c>
      <c r="L527" s="2">
        <v>45345</v>
      </c>
    </row>
    <row r="528" spans="1:12" x14ac:dyDescent="0.35">
      <c r="A528" s="1" t="s">
        <v>751</v>
      </c>
      <c r="B528" s="1" t="s">
        <v>752</v>
      </c>
      <c r="C528" s="1" t="s">
        <v>14</v>
      </c>
      <c r="D528" s="1" t="s">
        <v>15</v>
      </c>
      <c r="E528" s="1" t="s">
        <v>32</v>
      </c>
      <c r="F528" s="1" t="s">
        <v>25</v>
      </c>
      <c r="G528" s="1" t="s">
        <v>36</v>
      </c>
      <c r="H528" s="1">
        <v>15990</v>
      </c>
      <c r="I528" s="1"/>
      <c r="J528" s="1"/>
      <c r="K528" s="1">
        <v>14000</v>
      </c>
      <c r="L528" s="2">
        <v>45341</v>
      </c>
    </row>
    <row r="529" spans="1:12" x14ac:dyDescent="0.35">
      <c r="A529" s="1" t="s">
        <v>753</v>
      </c>
      <c r="B529" s="1" t="s">
        <v>303</v>
      </c>
      <c r="C529" s="1" t="s">
        <v>30</v>
      </c>
      <c r="D529" s="1" t="s">
        <v>31</v>
      </c>
      <c r="E529" s="1" t="s">
        <v>16</v>
      </c>
      <c r="F529" s="1" t="s">
        <v>17</v>
      </c>
      <c r="G529" s="1" t="s">
        <v>26</v>
      </c>
      <c r="H529" s="1">
        <v>17644</v>
      </c>
      <c r="I529" s="1" t="s">
        <v>22</v>
      </c>
      <c r="J529" s="1">
        <v>0.1</v>
      </c>
      <c r="K529" s="1">
        <v>17000</v>
      </c>
      <c r="L529" s="2">
        <v>45304</v>
      </c>
    </row>
    <row r="530" spans="1:12" x14ac:dyDescent="0.35">
      <c r="A530" s="1" t="s">
        <v>754</v>
      </c>
      <c r="B530" s="1" t="s">
        <v>211</v>
      </c>
      <c r="C530" s="1" t="s">
        <v>61</v>
      </c>
      <c r="D530" s="1" t="s">
        <v>62</v>
      </c>
      <c r="E530" s="1" t="s">
        <v>16</v>
      </c>
      <c r="F530" s="1" t="s">
        <v>17</v>
      </c>
      <c r="G530" s="1" t="s">
        <v>26</v>
      </c>
      <c r="H530" s="1">
        <v>10552</v>
      </c>
      <c r="I530" s="1" t="s">
        <v>33</v>
      </c>
      <c r="J530" s="1">
        <v>0.3</v>
      </c>
      <c r="K530" s="1">
        <v>9000</v>
      </c>
      <c r="L530" s="2">
        <v>45344</v>
      </c>
    </row>
    <row r="531" spans="1:12" x14ac:dyDescent="0.35">
      <c r="A531" s="1" t="s">
        <v>755</v>
      </c>
      <c r="B531" s="1" t="s">
        <v>166</v>
      </c>
      <c r="C531" s="1" t="s">
        <v>44</v>
      </c>
      <c r="D531" s="1" t="s">
        <v>45</v>
      </c>
      <c r="E531" s="1" t="s">
        <v>32</v>
      </c>
      <c r="F531" s="1" t="s">
        <v>17</v>
      </c>
      <c r="G531" s="1" t="s">
        <v>26</v>
      </c>
      <c r="H531" s="1">
        <v>13075</v>
      </c>
      <c r="I531" s="1"/>
      <c r="J531" s="1"/>
      <c r="K531" s="1">
        <v>13000</v>
      </c>
      <c r="L531" s="2">
        <v>45300</v>
      </c>
    </row>
    <row r="532" spans="1:12" x14ac:dyDescent="0.35">
      <c r="A532" s="1" t="s">
        <v>756</v>
      </c>
      <c r="B532" s="1" t="s">
        <v>140</v>
      </c>
      <c r="C532" s="1" t="s">
        <v>14</v>
      </c>
      <c r="D532" s="1" t="s">
        <v>15</v>
      </c>
      <c r="E532" s="1" t="s">
        <v>32</v>
      </c>
      <c r="F532" s="1" t="s">
        <v>25</v>
      </c>
      <c r="G532" s="1" t="s">
        <v>18</v>
      </c>
      <c r="H532" s="1">
        <v>15428</v>
      </c>
      <c r="I532" s="1" t="s">
        <v>22</v>
      </c>
      <c r="J532" s="1">
        <v>0.1</v>
      </c>
      <c r="K532" s="1">
        <v>14000</v>
      </c>
      <c r="L532" s="2">
        <v>45307</v>
      </c>
    </row>
    <row r="533" spans="1:12" x14ac:dyDescent="0.35">
      <c r="A533" s="1" t="s">
        <v>757</v>
      </c>
      <c r="B533" s="1" t="s">
        <v>489</v>
      </c>
      <c r="C533" s="1" t="s">
        <v>14</v>
      </c>
      <c r="D533" s="1" t="s">
        <v>15</v>
      </c>
      <c r="E533" s="1" t="s">
        <v>46</v>
      </c>
      <c r="F533" s="1" t="s">
        <v>39</v>
      </c>
      <c r="G533" s="1" t="s">
        <v>18</v>
      </c>
      <c r="H533" s="1">
        <v>13122</v>
      </c>
      <c r="I533" s="1" t="s">
        <v>33</v>
      </c>
      <c r="J533" s="1">
        <v>0.3</v>
      </c>
      <c r="K533" s="1">
        <v>14000</v>
      </c>
      <c r="L533" s="2">
        <v>45344</v>
      </c>
    </row>
    <row r="534" spans="1:12" x14ac:dyDescent="0.35">
      <c r="A534" s="1" t="s">
        <v>758</v>
      </c>
      <c r="B534" s="1" t="s">
        <v>330</v>
      </c>
      <c r="C534" s="1" t="s">
        <v>61</v>
      </c>
      <c r="D534" s="1" t="s">
        <v>62</v>
      </c>
      <c r="E534" s="1" t="s">
        <v>16</v>
      </c>
      <c r="F534" s="1" t="s">
        <v>25</v>
      </c>
      <c r="G534" s="1" t="s">
        <v>26</v>
      </c>
      <c r="H534" s="1">
        <v>7125</v>
      </c>
      <c r="I534" s="1" t="s">
        <v>19</v>
      </c>
      <c r="J534" s="1">
        <v>0.2</v>
      </c>
      <c r="K534" s="1">
        <v>9000</v>
      </c>
      <c r="L534" s="2">
        <v>45315</v>
      </c>
    </row>
    <row r="535" spans="1:12" x14ac:dyDescent="0.35">
      <c r="A535" s="1" t="s">
        <v>759</v>
      </c>
      <c r="B535" s="1" t="s">
        <v>600</v>
      </c>
      <c r="C535" s="1" t="s">
        <v>61</v>
      </c>
      <c r="D535" s="1" t="s">
        <v>62</v>
      </c>
      <c r="E535" s="1" t="s">
        <v>32</v>
      </c>
      <c r="F535" s="1" t="s">
        <v>17</v>
      </c>
      <c r="G535" s="1" t="s">
        <v>26</v>
      </c>
      <c r="H535" s="1">
        <v>9258</v>
      </c>
      <c r="I535" s="1" t="s">
        <v>33</v>
      </c>
      <c r="J535" s="1">
        <v>0.3</v>
      </c>
      <c r="K535" s="1">
        <v>9000</v>
      </c>
      <c r="L535" s="2">
        <v>45314</v>
      </c>
    </row>
    <row r="536" spans="1:12" x14ac:dyDescent="0.35">
      <c r="A536" s="1" t="s">
        <v>760</v>
      </c>
      <c r="B536" s="1" t="s">
        <v>619</v>
      </c>
      <c r="C536" s="1" t="s">
        <v>30</v>
      </c>
      <c r="D536" s="1" t="s">
        <v>31</v>
      </c>
      <c r="E536" s="1" t="s">
        <v>16</v>
      </c>
      <c r="F536" s="1" t="s">
        <v>39</v>
      </c>
      <c r="G536" s="1" t="s">
        <v>18</v>
      </c>
      <c r="H536" s="1">
        <v>16167</v>
      </c>
      <c r="I536" s="1" t="s">
        <v>22</v>
      </c>
      <c r="J536" s="1">
        <v>0.1</v>
      </c>
      <c r="K536" s="1">
        <v>17000</v>
      </c>
      <c r="L536" s="2">
        <v>45316</v>
      </c>
    </row>
    <row r="537" spans="1:12" x14ac:dyDescent="0.35">
      <c r="A537" s="1" t="s">
        <v>761</v>
      </c>
      <c r="B537" s="1" t="s">
        <v>243</v>
      </c>
      <c r="C537" s="1" t="s">
        <v>44</v>
      </c>
      <c r="D537" s="1" t="s">
        <v>45</v>
      </c>
      <c r="E537" s="1" t="s">
        <v>32</v>
      </c>
      <c r="F537" s="1" t="s">
        <v>39</v>
      </c>
      <c r="G537" s="1" t="s">
        <v>18</v>
      </c>
      <c r="H537" s="1">
        <v>13775</v>
      </c>
      <c r="I537" s="1" t="s">
        <v>19</v>
      </c>
      <c r="J537" s="1">
        <v>0.2</v>
      </c>
      <c r="K537" s="1">
        <v>13000</v>
      </c>
      <c r="L537" s="2">
        <v>45309</v>
      </c>
    </row>
    <row r="538" spans="1:12" x14ac:dyDescent="0.35">
      <c r="A538" s="1" t="s">
        <v>762</v>
      </c>
      <c r="B538" s="1" t="s">
        <v>90</v>
      </c>
      <c r="C538" s="1" t="s">
        <v>14</v>
      </c>
      <c r="D538" s="1" t="s">
        <v>15</v>
      </c>
      <c r="E538" s="1" t="s">
        <v>16</v>
      </c>
      <c r="F538" s="1" t="s">
        <v>25</v>
      </c>
      <c r="G538" s="1" t="s">
        <v>36</v>
      </c>
      <c r="H538" s="1">
        <v>15733</v>
      </c>
      <c r="I538" s="1" t="s">
        <v>19</v>
      </c>
      <c r="J538" s="1">
        <v>0.2</v>
      </c>
      <c r="K538" s="1">
        <v>14000</v>
      </c>
      <c r="L538" s="2">
        <v>45333</v>
      </c>
    </row>
    <row r="539" spans="1:12" x14ac:dyDescent="0.35">
      <c r="A539" s="1" t="s">
        <v>763</v>
      </c>
      <c r="B539" s="1" t="s">
        <v>720</v>
      </c>
      <c r="C539" s="1" t="s">
        <v>14</v>
      </c>
      <c r="D539" s="1" t="s">
        <v>15</v>
      </c>
      <c r="E539" s="1" t="s">
        <v>32</v>
      </c>
      <c r="F539" s="1" t="s">
        <v>17</v>
      </c>
      <c r="G539" s="1" t="s">
        <v>26</v>
      </c>
      <c r="H539" s="1">
        <v>15297</v>
      </c>
      <c r="I539" s="1" t="s">
        <v>33</v>
      </c>
      <c r="J539" s="1">
        <v>0.3</v>
      </c>
      <c r="K539" s="1">
        <v>14000</v>
      </c>
      <c r="L539" s="2">
        <v>45337</v>
      </c>
    </row>
    <row r="540" spans="1:12" x14ac:dyDescent="0.35">
      <c r="A540" s="1" t="s">
        <v>764</v>
      </c>
      <c r="B540" s="1" t="s">
        <v>765</v>
      </c>
      <c r="C540" s="1" t="s">
        <v>30</v>
      </c>
      <c r="D540" s="1" t="s">
        <v>31</v>
      </c>
      <c r="E540" s="1" t="s">
        <v>46</v>
      </c>
      <c r="F540" s="1" t="s">
        <v>17</v>
      </c>
      <c r="G540" s="1" t="s">
        <v>36</v>
      </c>
      <c r="H540" s="1">
        <v>16880</v>
      </c>
      <c r="I540" s="1" t="s">
        <v>33</v>
      </c>
      <c r="J540" s="1">
        <v>0.3</v>
      </c>
      <c r="K540" s="1">
        <v>17000</v>
      </c>
      <c r="L540" s="2">
        <v>45305</v>
      </c>
    </row>
    <row r="541" spans="1:12" x14ac:dyDescent="0.35">
      <c r="A541" s="1" t="s">
        <v>766</v>
      </c>
      <c r="B541" s="1" t="s">
        <v>123</v>
      </c>
      <c r="C541" s="1" t="s">
        <v>61</v>
      </c>
      <c r="D541" s="1" t="s">
        <v>62</v>
      </c>
      <c r="E541" s="1" t="s">
        <v>16</v>
      </c>
      <c r="F541" s="1" t="s">
        <v>25</v>
      </c>
      <c r="G541" s="1" t="s">
        <v>18</v>
      </c>
      <c r="H541" s="1">
        <v>9095</v>
      </c>
      <c r="I541" s="1" t="s">
        <v>33</v>
      </c>
      <c r="J541" s="1">
        <v>0.3</v>
      </c>
      <c r="K541" s="1">
        <v>9000</v>
      </c>
      <c r="L541" s="2">
        <v>45327</v>
      </c>
    </row>
    <row r="542" spans="1:12" x14ac:dyDescent="0.35">
      <c r="A542" s="1" t="s">
        <v>767</v>
      </c>
      <c r="B542" s="1" t="s">
        <v>163</v>
      </c>
      <c r="C542" s="1" t="s">
        <v>30</v>
      </c>
      <c r="D542" s="1" t="s">
        <v>31</v>
      </c>
      <c r="E542" s="1" t="s">
        <v>46</v>
      </c>
      <c r="F542" s="1" t="s">
        <v>39</v>
      </c>
      <c r="G542" s="1" t="s">
        <v>18</v>
      </c>
      <c r="H542" s="1">
        <v>16973</v>
      </c>
      <c r="I542" s="1" t="s">
        <v>22</v>
      </c>
      <c r="J542" s="1">
        <v>0.1</v>
      </c>
      <c r="K542" s="1">
        <v>17000</v>
      </c>
      <c r="L542" s="2">
        <v>45313</v>
      </c>
    </row>
    <row r="543" spans="1:12" x14ac:dyDescent="0.35">
      <c r="A543" s="1" t="s">
        <v>768</v>
      </c>
      <c r="B543" s="1" t="s">
        <v>286</v>
      </c>
      <c r="C543" s="1" t="s">
        <v>30</v>
      </c>
      <c r="D543" s="1" t="s">
        <v>31</v>
      </c>
      <c r="E543" s="1" t="s">
        <v>46</v>
      </c>
      <c r="F543" s="1" t="s">
        <v>17</v>
      </c>
      <c r="G543" s="1" t="s">
        <v>26</v>
      </c>
      <c r="H543" s="1">
        <v>17912</v>
      </c>
      <c r="I543" s="1" t="s">
        <v>33</v>
      </c>
      <c r="J543" s="1">
        <v>0.3</v>
      </c>
      <c r="K543" s="1">
        <v>17000</v>
      </c>
      <c r="L543" s="2">
        <v>45304</v>
      </c>
    </row>
    <row r="544" spans="1:12" x14ac:dyDescent="0.35">
      <c r="A544" s="1" t="s">
        <v>769</v>
      </c>
      <c r="B544" s="1" t="s">
        <v>440</v>
      </c>
      <c r="C544" s="1" t="s">
        <v>44</v>
      </c>
      <c r="D544" s="1" t="s">
        <v>45</v>
      </c>
      <c r="E544" s="1" t="s">
        <v>32</v>
      </c>
      <c r="F544" s="1" t="s">
        <v>39</v>
      </c>
      <c r="G544" s="1" t="s">
        <v>36</v>
      </c>
      <c r="H544" s="1">
        <v>13705</v>
      </c>
      <c r="I544" s="1" t="s">
        <v>33</v>
      </c>
      <c r="J544" s="1">
        <v>0.3</v>
      </c>
      <c r="K544" s="1">
        <v>13000</v>
      </c>
      <c r="L544" s="2">
        <v>45335</v>
      </c>
    </row>
    <row r="545" spans="1:12" x14ac:dyDescent="0.35">
      <c r="A545" s="1" t="s">
        <v>770</v>
      </c>
      <c r="B545" s="1" t="s">
        <v>280</v>
      </c>
      <c r="C545" s="1" t="s">
        <v>14</v>
      </c>
      <c r="D545" s="1" t="s">
        <v>15</v>
      </c>
      <c r="E545" s="1" t="s">
        <v>16</v>
      </c>
      <c r="F545" s="1" t="s">
        <v>17</v>
      </c>
      <c r="G545" s="1" t="s">
        <v>36</v>
      </c>
      <c r="H545" s="1">
        <v>13062</v>
      </c>
      <c r="I545" s="1"/>
      <c r="J545" s="1"/>
      <c r="K545" s="1">
        <v>14000</v>
      </c>
      <c r="L545" s="2">
        <v>45317</v>
      </c>
    </row>
    <row r="546" spans="1:12" x14ac:dyDescent="0.35">
      <c r="A546" s="1" t="s">
        <v>771</v>
      </c>
      <c r="B546" s="1" t="s">
        <v>101</v>
      </c>
      <c r="C546" s="1" t="s">
        <v>14</v>
      </c>
      <c r="D546" s="1" t="s">
        <v>15</v>
      </c>
      <c r="E546" s="1" t="s">
        <v>16</v>
      </c>
      <c r="F546" s="1" t="s">
        <v>39</v>
      </c>
      <c r="G546" s="1" t="s">
        <v>26</v>
      </c>
      <c r="H546" s="1">
        <v>15342</v>
      </c>
      <c r="I546" s="1" t="s">
        <v>19</v>
      </c>
      <c r="J546" s="1">
        <v>0.2</v>
      </c>
      <c r="K546" s="1">
        <v>14000</v>
      </c>
      <c r="L546" s="2">
        <v>45313</v>
      </c>
    </row>
    <row r="547" spans="1:12" x14ac:dyDescent="0.35">
      <c r="A547" s="1" t="s">
        <v>772</v>
      </c>
      <c r="B547" s="1" t="s">
        <v>342</v>
      </c>
      <c r="C547" s="1" t="s">
        <v>44</v>
      </c>
      <c r="D547" s="1" t="s">
        <v>45</v>
      </c>
      <c r="E547" s="1" t="s">
        <v>16</v>
      </c>
      <c r="F547" s="1" t="s">
        <v>39</v>
      </c>
      <c r="G547" s="1" t="s">
        <v>26</v>
      </c>
      <c r="H547" s="1">
        <v>14214</v>
      </c>
      <c r="I547" s="1"/>
      <c r="J547" s="1"/>
      <c r="K547" s="1">
        <v>13000</v>
      </c>
      <c r="L547" s="2">
        <v>45350</v>
      </c>
    </row>
    <row r="548" spans="1:12" x14ac:dyDescent="0.35">
      <c r="A548" s="1" t="s">
        <v>773</v>
      </c>
      <c r="B548" s="1" t="s">
        <v>317</v>
      </c>
      <c r="C548" s="1" t="s">
        <v>30</v>
      </c>
      <c r="D548" s="1" t="s">
        <v>31</v>
      </c>
      <c r="E548" s="1" t="s">
        <v>32</v>
      </c>
      <c r="F548" s="1" t="s">
        <v>39</v>
      </c>
      <c r="G548" s="1" t="s">
        <v>26</v>
      </c>
      <c r="H548" s="1">
        <v>15741</v>
      </c>
      <c r="I548" s="1" t="s">
        <v>33</v>
      </c>
      <c r="J548" s="1">
        <v>0.3</v>
      </c>
      <c r="K548" s="1">
        <v>17000</v>
      </c>
      <c r="L548" s="2">
        <v>45298</v>
      </c>
    </row>
    <row r="549" spans="1:12" x14ac:dyDescent="0.35">
      <c r="A549" s="1" t="s">
        <v>774</v>
      </c>
      <c r="B549" s="1" t="s">
        <v>508</v>
      </c>
      <c r="C549" s="1" t="s">
        <v>30</v>
      </c>
      <c r="D549" s="1" t="s">
        <v>31</v>
      </c>
      <c r="E549" s="1" t="s">
        <v>16</v>
      </c>
      <c r="F549" s="1" t="s">
        <v>39</v>
      </c>
      <c r="G549" s="1" t="s">
        <v>18</v>
      </c>
      <c r="H549" s="1">
        <v>18878</v>
      </c>
      <c r="I549" s="1" t="s">
        <v>33</v>
      </c>
      <c r="J549" s="1">
        <v>0.3</v>
      </c>
      <c r="K549" s="1">
        <v>17000</v>
      </c>
      <c r="L549" s="2">
        <v>45333</v>
      </c>
    </row>
    <row r="550" spans="1:12" x14ac:dyDescent="0.35">
      <c r="A550" s="1" t="s">
        <v>775</v>
      </c>
      <c r="B550" s="1" t="s">
        <v>248</v>
      </c>
      <c r="C550" s="1" t="s">
        <v>30</v>
      </c>
      <c r="D550" s="1" t="s">
        <v>31</v>
      </c>
      <c r="E550" s="1" t="s">
        <v>32</v>
      </c>
      <c r="F550" s="1" t="s">
        <v>39</v>
      </c>
      <c r="G550" s="1" t="s">
        <v>36</v>
      </c>
      <c r="H550" s="1">
        <v>16722</v>
      </c>
      <c r="I550" s="1" t="s">
        <v>33</v>
      </c>
      <c r="J550" s="1">
        <v>0.3</v>
      </c>
      <c r="K550" s="1">
        <v>17000</v>
      </c>
      <c r="L550" s="2">
        <v>45315</v>
      </c>
    </row>
    <row r="551" spans="1:12" x14ac:dyDescent="0.35">
      <c r="A551" s="1" t="s">
        <v>776</v>
      </c>
      <c r="B551" s="1" t="s">
        <v>118</v>
      </c>
      <c r="C551" s="1" t="s">
        <v>30</v>
      </c>
      <c r="D551" s="1" t="s">
        <v>31</v>
      </c>
      <c r="E551" s="1" t="s">
        <v>46</v>
      </c>
      <c r="F551" s="1" t="s">
        <v>25</v>
      </c>
      <c r="G551" s="1" t="s">
        <v>36</v>
      </c>
      <c r="H551" s="1">
        <v>15219</v>
      </c>
      <c r="I551" s="1" t="s">
        <v>27</v>
      </c>
      <c r="J551" s="1"/>
      <c r="K551" s="1">
        <v>17000</v>
      </c>
      <c r="L551" s="2">
        <v>45329</v>
      </c>
    </row>
    <row r="552" spans="1:12" x14ac:dyDescent="0.35">
      <c r="A552" s="1" t="s">
        <v>777</v>
      </c>
      <c r="B552" s="1" t="s">
        <v>107</v>
      </c>
      <c r="C552" s="1" t="s">
        <v>61</v>
      </c>
      <c r="D552" s="1" t="s">
        <v>62</v>
      </c>
      <c r="E552" s="1" t="s">
        <v>32</v>
      </c>
      <c r="F552" s="1" t="s">
        <v>39</v>
      </c>
      <c r="G552" s="1" t="s">
        <v>18</v>
      </c>
      <c r="H552" s="1">
        <v>10553</v>
      </c>
      <c r="I552" s="1"/>
      <c r="J552" s="1"/>
      <c r="K552" s="1">
        <v>9000</v>
      </c>
      <c r="L552" s="2">
        <v>45325</v>
      </c>
    </row>
    <row r="553" spans="1:12" x14ac:dyDescent="0.35">
      <c r="A553" s="1" t="s">
        <v>778</v>
      </c>
      <c r="B553" s="1" t="s">
        <v>70</v>
      </c>
      <c r="C553" s="1" t="s">
        <v>14</v>
      </c>
      <c r="D553" s="1" t="s">
        <v>15</v>
      </c>
      <c r="E553" s="1" t="s">
        <v>32</v>
      </c>
      <c r="F553" s="1" t="s">
        <v>25</v>
      </c>
      <c r="G553" s="1" t="s">
        <v>18</v>
      </c>
      <c r="H553" s="1">
        <v>13403</v>
      </c>
      <c r="I553" s="1"/>
      <c r="J553" s="1"/>
      <c r="K553" s="1">
        <v>14000</v>
      </c>
      <c r="L553" s="2">
        <v>45328</v>
      </c>
    </row>
    <row r="554" spans="1:12" x14ac:dyDescent="0.35">
      <c r="A554" s="1" t="s">
        <v>779</v>
      </c>
      <c r="B554" s="1" t="s">
        <v>445</v>
      </c>
      <c r="C554" s="1" t="s">
        <v>44</v>
      </c>
      <c r="D554" s="1" t="s">
        <v>45</v>
      </c>
      <c r="E554" s="1" t="s">
        <v>46</v>
      </c>
      <c r="F554" s="1" t="s">
        <v>39</v>
      </c>
      <c r="G554" s="1" t="s">
        <v>18</v>
      </c>
      <c r="H554" s="1">
        <v>14190</v>
      </c>
      <c r="I554" s="1" t="s">
        <v>22</v>
      </c>
      <c r="J554" s="1">
        <v>0.1</v>
      </c>
      <c r="K554" s="1">
        <v>13000</v>
      </c>
      <c r="L554" s="2">
        <v>45323</v>
      </c>
    </row>
    <row r="555" spans="1:12" x14ac:dyDescent="0.35">
      <c r="A555" s="1" t="s">
        <v>780</v>
      </c>
      <c r="B555" s="1" t="s">
        <v>150</v>
      </c>
      <c r="C555" s="1" t="s">
        <v>44</v>
      </c>
      <c r="D555" s="1" t="s">
        <v>45</v>
      </c>
      <c r="E555" s="1" t="s">
        <v>46</v>
      </c>
      <c r="F555" s="1" t="s">
        <v>39</v>
      </c>
      <c r="G555" s="1" t="s">
        <v>18</v>
      </c>
      <c r="H555" s="1">
        <v>11019</v>
      </c>
      <c r="I555" s="1"/>
      <c r="J555" s="1"/>
      <c r="K555" s="1">
        <v>13000</v>
      </c>
      <c r="L555" s="2">
        <v>45309</v>
      </c>
    </row>
    <row r="556" spans="1:12" x14ac:dyDescent="0.35">
      <c r="A556" s="1" t="s">
        <v>781</v>
      </c>
      <c r="B556" s="1" t="s">
        <v>401</v>
      </c>
      <c r="C556" s="1" t="s">
        <v>44</v>
      </c>
      <c r="D556" s="1" t="s">
        <v>45</v>
      </c>
      <c r="E556" s="1" t="s">
        <v>16</v>
      </c>
      <c r="F556" s="1" t="s">
        <v>25</v>
      </c>
      <c r="G556" s="1" t="s">
        <v>36</v>
      </c>
      <c r="H556" s="1">
        <v>14216</v>
      </c>
      <c r="I556" s="1" t="s">
        <v>22</v>
      </c>
      <c r="J556" s="1">
        <v>0.1</v>
      </c>
      <c r="K556" s="1">
        <v>13000</v>
      </c>
      <c r="L556" s="2">
        <v>45300</v>
      </c>
    </row>
    <row r="557" spans="1:12" x14ac:dyDescent="0.35">
      <c r="A557" s="1" t="s">
        <v>782</v>
      </c>
      <c r="B557" s="1" t="s">
        <v>337</v>
      </c>
      <c r="C557" s="1" t="s">
        <v>61</v>
      </c>
      <c r="D557" s="1" t="s">
        <v>62</v>
      </c>
      <c r="E557" s="1" t="s">
        <v>46</v>
      </c>
      <c r="F557" s="1" t="s">
        <v>17</v>
      </c>
      <c r="G557" s="1" t="s">
        <v>36</v>
      </c>
      <c r="H557" s="1">
        <v>8570</v>
      </c>
      <c r="I557" s="1" t="s">
        <v>22</v>
      </c>
      <c r="J557" s="1">
        <v>0.1</v>
      </c>
      <c r="K557" s="1">
        <v>9000</v>
      </c>
      <c r="L557" s="2">
        <v>45294</v>
      </c>
    </row>
    <row r="558" spans="1:12" x14ac:dyDescent="0.35">
      <c r="A558" s="1" t="s">
        <v>783</v>
      </c>
      <c r="B558" s="1" t="s">
        <v>346</v>
      </c>
      <c r="C558" s="1" t="s">
        <v>30</v>
      </c>
      <c r="D558" s="1" t="s">
        <v>31</v>
      </c>
      <c r="E558" s="1" t="s">
        <v>32</v>
      </c>
      <c r="F558" s="1" t="s">
        <v>17</v>
      </c>
      <c r="G558" s="1" t="s">
        <v>26</v>
      </c>
      <c r="H558" s="1">
        <v>15780</v>
      </c>
      <c r="I558" s="1" t="s">
        <v>22</v>
      </c>
      <c r="J558" s="1">
        <v>0.1</v>
      </c>
      <c r="K558" s="1">
        <v>17000</v>
      </c>
      <c r="L558" s="2">
        <v>45335</v>
      </c>
    </row>
    <row r="559" spans="1:12" x14ac:dyDescent="0.35">
      <c r="A559" s="1" t="s">
        <v>784</v>
      </c>
      <c r="B559" s="1" t="s">
        <v>68</v>
      </c>
      <c r="C559" s="1" t="s">
        <v>44</v>
      </c>
      <c r="D559" s="1" t="s">
        <v>45</v>
      </c>
      <c r="E559" s="1" t="s">
        <v>32</v>
      </c>
      <c r="F559" s="1" t="s">
        <v>39</v>
      </c>
      <c r="G559" s="1" t="s">
        <v>36</v>
      </c>
      <c r="H559" s="1">
        <v>12278</v>
      </c>
      <c r="I559" s="1" t="s">
        <v>19</v>
      </c>
      <c r="J559" s="1">
        <v>0.2</v>
      </c>
      <c r="K559" s="1">
        <v>13000</v>
      </c>
      <c r="L559" s="2">
        <v>45298</v>
      </c>
    </row>
    <row r="560" spans="1:12" x14ac:dyDescent="0.35">
      <c r="A560" s="1" t="s">
        <v>785</v>
      </c>
      <c r="B560" s="1" t="s">
        <v>512</v>
      </c>
      <c r="C560" s="1" t="s">
        <v>30</v>
      </c>
      <c r="D560" s="1" t="s">
        <v>31</v>
      </c>
      <c r="E560" s="1" t="s">
        <v>32</v>
      </c>
      <c r="F560" s="1" t="s">
        <v>25</v>
      </c>
      <c r="G560" s="1" t="s">
        <v>18</v>
      </c>
      <c r="H560" s="1">
        <v>16221</v>
      </c>
      <c r="I560" s="1" t="s">
        <v>33</v>
      </c>
      <c r="J560" s="1">
        <v>0.3</v>
      </c>
      <c r="K560" s="1">
        <v>17000</v>
      </c>
      <c r="L560" s="2">
        <v>45321</v>
      </c>
    </row>
    <row r="561" spans="1:12" x14ac:dyDescent="0.35">
      <c r="A561" s="1" t="s">
        <v>786</v>
      </c>
      <c r="B561" s="1" t="s">
        <v>103</v>
      </c>
      <c r="C561" s="1" t="s">
        <v>30</v>
      </c>
      <c r="D561" s="1" t="s">
        <v>31</v>
      </c>
      <c r="E561" s="1" t="s">
        <v>46</v>
      </c>
      <c r="F561" s="1" t="s">
        <v>39</v>
      </c>
      <c r="G561" s="1" t="s">
        <v>18</v>
      </c>
      <c r="H561" s="1">
        <v>16403</v>
      </c>
      <c r="I561" s="1"/>
      <c r="J561" s="1"/>
      <c r="K561" s="1">
        <v>17000</v>
      </c>
      <c r="L561" s="2">
        <v>45314</v>
      </c>
    </row>
    <row r="562" spans="1:12" x14ac:dyDescent="0.35">
      <c r="A562" s="1" t="s">
        <v>787</v>
      </c>
      <c r="B562" s="1" t="s">
        <v>294</v>
      </c>
      <c r="C562" s="1" t="s">
        <v>44</v>
      </c>
      <c r="D562" s="1" t="s">
        <v>45</v>
      </c>
      <c r="E562" s="1" t="s">
        <v>46</v>
      </c>
      <c r="F562" s="1" t="s">
        <v>25</v>
      </c>
      <c r="G562" s="1" t="s">
        <v>18</v>
      </c>
      <c r="H562" s="1">
        <v>11918</v>
      </c>
      <c r="I562" s="1" t="s">
        <v>19</v>
      </c>
      <c r="J562" s="1">
        <v>0.2</v>
      </c>
      <c r="K562" s="1">
        <v>13000</v>
      </c>
      <c r="L562" s="2">
        <v>45305</v>
      </c>
    </row>
    <row r="563" spans="1:12" x14ac:dyDescent="0.35">
      <c r="A563" s="1" t="s">
        <v>788</v>
      </c>
      <c r="B563" s="1" t="s">
        <v>464</v>
      </c>
      <c r="C563" s="1" t="s">
        <v>44</v>
      </c>
      <c r="D563" s="1" t="s">
        <v>45</v>
      </c>
      <c r="E563" s="1" t="s">
        <v>32</v>
      </c>
      <c r="F563" s="1" t="s">
        <v>17</v>
      </c>
      <c r="G563" s="1" t="s">
        <v>26</v>
      </c>
      <c r="H563" s="1">
        <v>13664</v>
      </c>
      <c r="I563" s="1" t="s">
        <v>22</v>
      </c>
      <c r="J563" s="1">
        <v>0.1</v>
      </c>
      <c r="K563" s="1">
        <v>13000</v>
      </c>
      <c r="L563" s="2">
        <v>45316</v>
      </c>
    </row>
    <row r="564" spans="1:12" x14ac:dyDescent="0.35">
      <c r="A564" s="1" t="s">
        <v>789</v>
      </c>
      <c r="B564" s="1" t="s">
        <v>50</v>
      </c>
      <c r="C564" s="1" t="s">
        <v>30</v>
      </c>
      <c r="D564" s="1" t="s">
        <v>31</v>
      </c>
      <c r="E564" s="1" t="s">
        <v>16</v>
      </c>
      <c r="F564" s="1" t="s">
        <v>39</v>
      </c>
      <c r="G564" s="1" t="s">
        <v>18</v>
      </c>
      <c r="H564" s="1">
        <v>17432</v>
      </c>
      <c r="I564" s="1" t="s">
        <v>22</v>
      </c>
      <c r="J564" s="1">
        <v>0.1</v>
      </c>
      <c r="K564" s="1">
        <v>17000</v>
      </c>
      <c r="L564" s="2">
        <v>45334</v>
      </c>
    </row>
    <row r="565" spans="1:12" x14ac:dyDescent="0.35">
      <c r="A565" s="1" t="s">
        <v>790</v>
      </c>
      <c r="B565" s="1" t="s">
        <v>21</v>
      </c>
      <c r="C565" s="1" t="s">
        <v>14</v>
      </c>
      <c r="D565" s="1" t="s">
        <v>15</v>
      </c>
      <c r="E565" s="1" t="s">
        <v>32</v>
      </c>
      <c r="F565" s="1" t="s">
        <v>39</v>
      </c>
      <c r="G565" s="1" t="s">
        <v>18</v>
      </c>
      <c r="H565" s="1">
        <v>13707</v>
      </c>
      <c r="I565" s="1"/>
      <c r="J565" s="1"/>
      <c r="K565" s="1">
        <v>14000</v>
      </c>
      <c r="L565" s="2">
        <v>45316</v>
      </c>
    </row>
    <row r="566" spans="1:12" x14ac:dyDescent="0.35">
      <c r="A566" s="1" t="s">
        <v>791</v>
      </c>
      <c r="B566" s="1" t="s">
        <v>241</v>
      </c>
      <c r="C566" s="1" t="s">
        <v>30</v>
      </c>
      <c r="D566" s="1" t="s">
        <v>31</v>
      </c>
      <c r="E566" s="1" t="s">
        <v>46</v>
      </c>
      <c r="F566" s="1" t="s">
        <v>39</v>
      </c>
      <c r="G566" s="1" t="s">
        <v>18</v>
      </c>
      <c r="H566" s="1">
        <v>15841</v>
      </c>
      <c r="I566" s="1" t="s">
        <v>22</v>
      </c>
      <c r="J566" s="1">
        <v>0.1</v>
      </c>
      <c r="K566" s="1">
        <v>17000</v>
      </c>
      <c r="L566" s="2">
        <v>45311</v>
      </c>
    </row>
    <row r="567" spans="1:12" x14ac:dyDescent="0.35">
      <c r="A567" s="1" t="s">
        <v>792</v>
      </c>
      <c r="B567" s="1" t="s">
        <v>274</v>
      </c>
      <c r="C567" s="1" t="s">
        <v>14</v>
      </c>
      <c r="D567" s="1" t="s">
        <v>15</v>
      </c>
      <c r="E567" s="1" t="s">
        <v>16</v>
      </c>
      <c r="F567" s="1" t="s">
        <v>39</v>
      </c>
      <c r="G567" s="1" t="s">
        <v>36</v>
      </c>
      <c r="H567" s="1">
        <v>14550</v>
      </c>
      <c r="I567" s="1" t="s">
        <v>27</v>
      </c>
      <c r="J567" s="1"/>
      <c r="K567" s="1">
        <v>14000</v>
      </c>
      <c r="L567" s="2">
        <v>45336</v>
      </c>
    </row>
    <row r="568" spans="1:12" x14ac:dyDescent="0.35">
      <c r="A568" s="1" t="s">
        <v>793</v>
      </c>
      <c r="B568" s="1" t="s">
        <v>363</v>
      </c>
      <c r="C568" s="1" t="s">
        <v>14</v>
      </c>
      <c r="D568" s="1" t="s">
        <v>15</v>
      </c>
      <c r="E568" s="1" t="s">
        <v>16</v>
      </c>
      <c r="F568" s="1" t="s">
        <v>39</v>
      </c>
      <c r="G568" s="1" t="s">
        <v>26</v>
      </c>
      <c r="H568" s="1">
        <v>12482</v>
      </c>
      <c r="I568" s="1" t="s">
        <v>33</v>
      </c>
      <c r="J568" s="1">
        <v>0.3</v>
      </c>
      <c r="K568" s="1">
        <v>14000</v>
      </c>
      <c r="L568" s="2">
        <v>45299</v>
      </c>
    </row>
    <row r="569" spans="1:12" x14ac:dyDescent="0.35">
      <c r="A569" s="1" t="s">
        <v>794</v>
      </c>
      <c r="B569" s="1" t="s">
        <v>652</v>
      </c>
      <c r="C569" s="1" t="s">
        <v>61</v>
      </c>
      <c r="D569" s="1" t="s">
        <v>62</v>
      </c>
      <c r="E569" s="1" t="s">
        <v>32</v>
      </c>
      <c r="F569" s="1" t="s">
        <v>39</v>
      </c>
      <c r="G569" s="1" t="s">
        <v>18</v>
      </c>
      <c r="H569" s="1">
        <v>10186</v>
      </c>
      <c r="I569" s="1" t="s">
        <v>33</v>
      </c>
      <c r="J569" s="1">
        <v>0.3</v>
      </c>
      <c r="K569" s="1">
        <v>9000</v>
      </c>
      <c r="L569" s="2">
        <v>45345</v>
      </c>
    </row>
    <row r="570" spans="1:12" x14ac:dyDescent="0.35">
      <c r="A570" s="1" t="s">
        <v>795</v>
      </c>
      <c r="B570" s="1" t="s">
        <v>346</v>
      </c>
      <c r="C570" s="1" t="s">
        <v>30</v>
      </c>
      <c r="D570" s="1" t="s">
        <v>31</v>
      </c>
      <c r="E570" s="1" t="s">
        <v>16</v>
      </c>
      <c r="F570" s="1" t="s">
        <v>17</v>
      </c>
      <c r="G570" s="1" t="s">
        <v>36</v>
      </c>
      <c r="H570" s="1">
        <v>15656</v>
      </c>
      <c r="I570" s="1" t="s">
        <v>22</v>
      </c>
      <c r="J570" s="1">
        <v>0.1</v>
      </c>
      <c r="K570" s="1">
        <v>17000</v>
      </c>
      <c r="L570" s="2">
        <v>45327</v>
      </c>
    </row>
    <row r="571" spans="1:12" x14ac:dyDescent="0.35">
      <c r="A571" s="1" t="s">
        <v>796</v>
      </c>
      <c r="B571" s="1" t="s">
        <v>211</v>
      </c>
      <c r="C571" s="1" t="s">
        <v>61</v>
      </c>
      <c r="D571" s="1" t="s">
        <v>62</v>
      </c>
      <c r="E571" s="1" t="s">
        <v>46</v>
      </c>
      <c r="F571" s="1" t="s">
        <v>25</v>
      </c>
      <c r="G571" s="1" t="s">
        <v>18</v>
      </c>
      <c r="H571" s="1">
        <v>7052</v>
      </c>
      <c r="I571" s="1" t="s">
        <v>22</v>
      </c>
      <c r="J571" s="1">
        <v>0.1</v>
      </c>
      <c r="K571" s="1">
        <v>9000</v>
      </c>
      <c r="L571" s="2">
        <v>45350</v>
      </c>
    </row>
    <row r="572" spans="1:12" x14ac:dyDescent="0.35">
      <c r="A572" s="1" t="s">
        <v>797</v>
      </c>
      <c r="B572" s="1" t="s">
        <v>159</v>
      </c>
      <c r="C572" s="1" t="s">
        <v>61</v>
      </c>
      <c r="D572" s="1" t="s">
        <v>62</v>
      </c>
      <c r="E572" s="1" t="s">
        <v>32</v>
      </c>
      <c r="F572" s="1" t="s">
        <v>25</v>
      </c>
      <c r="G572" s="1" t="s">
        <v>26</v>
      </c>
      <c r="H572" s="1">
        <v>7307</v>
      </c>
      <c r="I572" s="1" t="s">
        <v>22</v>
      </c>
      <c r="J572" s="1">
        <v>0.1</v>
      </c>
      <c r="K572" s="1">
        <v>9000</v>
      </c>
      <c r="L572" s="2">
        <v>45349</v>
      </c>
    </row>
    <row r="573" spans="1:12" x14ac:dyDescent="0.35">
      <c r="A573" s="1" t="s">
        <v>798</v>
      </c>
      <c r="B573" s="1" t="s">
        <v>286</v>
      </c>
      <c r="C573" s="1" t="s">
        <v>44</v>
      </c>
      <c r="D573" s="1" t="s">
        <v>45</v>
      </c>
      <c r="E573" s="1" t="s">
        <v>46</v>
      </c>
      <c r="F573" s="1" t="s">
        <v>17</v>
      </c>
      <c r="G573" s="1" t="s">
        <v>36</v>
      </c>
      <c r="H573" s="1">
        <v>12901</v>
      </c>
      <c r="I573" s="1" t="s">
        <v>22</v>
      </c>
      <c r="J573" s="1">
        <v>0.1</v>
      </c>
      <c r="K573" s="1">
        <v>13000</v>
      </c>
      <c r="L573" s="2">
        <v>45298</v>
      </c>
    </row>
    <row r="574" spans="1:12" x14ac:dyDescent="0.35">
      <c r="A574" s="1" t="s">
        <v>799</v>
      </c>
      <c r="B574" s="1" t="s">
        <v>412</v>
      </c>
      <c r="C574" s="1" t="s">
        <v>14</v>
      </c>
      <c r="D574" s="1" t="s">
        <v>15</v>
      </c>
      <c r="E574" s="1" t="s">
        <v>46</v>
      </c>
      <c r="F574" s="1" t="s">
        <v>17</v>
      </c>
      <c r="G574" s="1" t="s">
        <v>26</v>
      </c>
      <c r="H574" s="1">
        <v>13280</v>
      </c>
      <c r="I574" s="1"/>
      <c r="J574" s="1"/>
      <c r="K574" s="1">
        <v>14000</v>
      </c>
      <c r="L574" s="2">
        <v>45339</v>
      </c>
    </row>
    <row r="575" spans="1:12" x14ac:dyDescent="0.35">
      <c r="A575" s="1" t="s">
        <v>800</v>
      </c>
      <c r="B575" s="1" t="s">
        <v>78</v>
      </c>
      <c r="C575" s="1" t="s">
        <v>14</v>
      </c>
      <c r="D575" s="1" t="s">
        <v>15</v>
      </c>
      <c r="E575" s="1" t="s">
        <v>32</v>
      </c>
      <c r="F575" s="1" t="s">
        <v>25</v>
      </c>
      <c r="G575" s="1" t="s">
        <v>26</v>
      </c>
      <c r="H575" s="1">
        <v>14650</v>
      </c>
      <c r="I575" s="1" t="s">
        <v>19</v>
      </c>
      <c r="J575" s="1">
        <v>0.2</v>
      </c>
      <c r="K575" s="1">
        <v>14000</v>
      </c>
      <c r="L575" s="2">
        <v>45313</v>
      </c>
    </row>
    <row r="576" spans="1:12" x14ac:dyDescent="0.35">
      <c r="A576" s="1" t="s">
        <v>801</v>
      </c>
      <c r="B576" s="1" t="s">
        <v>802</v>
      </c>
      <c r="C576" s="1" t="s">
        <v>30</v>
      </c>
      <c r="D576" s="1" t="s">
        <v>31</v>
      </c>
      <c r="E576" s="1" t="s">
        <v>16</v>
      </c>
      <c r="F576" s="1" t="s">
        <v>25</v>
      </c>
      <c r="G576" s="1" t="s">
        <v>36</v>
      </c>
      <c r="H576" s="1">
        <v>18338</v>
      </c>
      <c r="I576" s="1" t="s">
        <v>33</v>
      </c>
      <c r="J576" s="1">
        <v>0.3</v>
      </c>
      <c r="K576" s="1">
        <v>17000</v>
      </c>
      <c r="L576" s="2">
        <v>45303</v>
      </c>
    </row>
    <row r="577" spans="1:12" x14ac:dyDescent="0.35">
      <c r="A577" s="1" t="s">
        <v>803</v>
      </c>
      <c r="B577" s="1" t="s">
        <v>66</v>
      </c>
      <c r="C577" s="1" t="s">
        <v>61</v>
      </c>
      <c r="D577" s="1" t="s">
        <v>62</v>
      </c>
      <c r="E577" s="1" t="s">
        <v>46</v>
      </c>
      <c r="F577" s="1" t="s">
        <v>17</v>
      </c>
      <c r="G577" s="1" t="s">
        <v>36</v>
      </c>
      <c r="H577" s="1">
        <v>9825</v>
      </c>
      <c r="I577" s="1"/>
      <c r="J577" s="1"/>
      <c r="K577" s="1">
        <v>9000</v>
      </c>
      <c r="L577" s="2">
        <v>45343</v>
      </c>
    </row>
    <row r="578" spans="1:12" x14ac:dyDescent="0.35">
      <c r="A578" s="1" t="s">
        <v>804</v>
      </c>
      <c r="B578" s="1" t="s">
        <v>274</v>
      </c>
      <c r="C578" s="1" t="s">
        <v>44</v>
      </c>
      <c r="D578" s="1" t="s">
        <v>45</v>
      </c>
      <c r="E578" s="1" t="s">
        <v>32</v>
      </c>
      <c r="F578" s="1" t="s">
        <v>25</v>
      </c>
      <c r="G578" s="1" t="s">
        <v>26</v>
      </c>
      <c r="H578" s="1">
        <v>13975</v>
      </c>
      <c r="I578" s="1" t="s">
        <v>22</v>
      </c>
      <c r="J578" s="1">
        <v>0.1</v>
      </c>
      <c r="K578" s="1">
        <v>13000</v>
      </c>
      <c r="L578" s="2">
        <v>45352</v>
      </c>
    </row>
    <row r="579" spans="1:12" x14ac:dyDescent="0.35">
      <c r="A579" s="1" t="s">
        <v>805</v>
      </c>
      <c r="B579" s="1" t="s">
        <v>412</v>
      </c>
      <c r="C579" s="1" t="s">
        <v>14</v>
      </c>
      <c r="D579" s="1" t="s">
        <v>15</v>
      </c>
      <c r="E579" s="1" t="s">
        <v>46</v>
      </c>
      <c r="F579" s="1" t="s">
        <v>39</v>
      </c>
      <c r="G579" s="1" t="s">
        <v>36</v>
      </c>
      <c r="H579" s="1">
        <v>15286</v>
      </c>
      <c r="I579" s="1" t="s">
        <v>27</v>
      </c>
      <c r="J579" s="1"/>
      <c r="K579" s="1">
        <v>14000</v>
      </c>
      <c r="L579" s="2">
        <v>45335</v>
      </c>
    </row>
    <row r="580" spans="1:12" x14ac:dyDescent="0.35">
      <c r="A580" s="1" t="s">
        <v>806</v>
      </c>
      <c r="B580" s="1" t="s">
        <v>508</v>
      </c>
      <c r="C580" s="1" t="s">
        <v>61</v>
      </c>
      <c r="D580" s="1" t="s">
        <v>62</v>
      </c>
      <c r="E580" s="1" t="s">
        <v>46</v>
      </c>
      <c r="F580" s="1" t="s">
        <v>39</v>
      </c>
      <c r="G580" s="1" t="s">
        <v>18</v>
      </c>
      <c r="H580" s="1">
        <v>10533</v>
      </c>
      <c r="I580" s="1" t="s">
        <v>19</v>
      </c>
      <c r="J580" s="1">
        <v>0.2</v>
      </c>
      <c r="K580" s="1">
        <v>9000</v>
      </c>
      <c r="L580" s="2">
        <v>45322</v>
      </c>
    </row>
    <row r="581" spans="1:12" x14ac:dyDescent="0.35">
      <c r="A581" s="1" t="s">
        <v>807</v>
      </c>
      <c r="B581" s="1" t="s">
        <v>445</v>
      </c>
      <c r="C581" s="1" t="s">
        <v>14</v>
      </c>
      <c r="D581" s="1" t="s">
        <v>15</v>
      </c>
      <c r="E581" s="1" t="s">
        <v>46</v>
      </c>
      <c r="F581" s="1" t="s">
        <v>17</v>
      </c>
      <c r="G581" s="1" t="s">
        <v>18</v>
      </c>
      <c r="H581" s="1">
        <v>12259</v>
      </c>
      <c r="I581" s="1" t="s">
        <v>33</v>
      </c>
      <c r="J581" s="1">
        <v>0.3</v>
      </c>
      <c r="K581" s="1">
        <v>14000</v>
      </c>
      <c r="L581" s="2">
        <v>45333</v>
      </c>
    </row>
    <row r="582" spans="1:12" x14ac:dyDescent="0.35">
      <c r="A582" s="1" t="s">
        <v>808</v>
      </c>
      <c r="B582" s="1" t="s">
        <v>327</v>
      </c>
      <c r="C582" s="1" t="s">
        <v>44</v>
      </c>
      <c r="D582" s="1" t="s">
        <v>45</v>
      </c>
      <c r="E582" s="1" t="s">
        <v>16</v>
      </c>
      <c r="F582" s="1" t="s">
        <v>17</v>
      </c>
      <c r="G582" s="1" t="s">
        <v>26</v>
      </c>
      <c r="H582" s="1">
        <v>13142</v>
      </c>
      <c r="I582" s="1" t="s">
        <v>27</v>
      </c>
      <c r="J582" s="1"/>
      <c r="K582" s="1">
        <v>13000</v>
      </c>
      <c r="L582" s="2">
        <v>45298</v>
      </c>
    </row>
    <row r="583" spans="1:12" x14ac:dyDescent="0.35">
      <c r="A583" s="1" t="s">
        <v>809</v>
      </c>
      <c r="B583" s="1" t="s">
        <v>274</v>
      </c>
      <c r="C583" s="1" t="s">
        <v>44</v>
      </c>
      <c r="D583" s="1" t="s">
        <v>45</v>
      </c>
      <c r="E583" s="1" t="s">
        <v>46</v>
      </c>
      <c r="F583" s="1" t="s">
        <v>17</v>
      </c>
      <c r="G583" s="1" t="s">
        <v>26</v>
      </c>
      <c r="H583" s="1">
        <v>13770</v>
      </c>
      <c r="I583" s="1"/>
      <c r="J583" s="1"/>
      <c r="K583" s="1">
        <v>13000</v>
      </c>
      <c r="L583" s="2">
        <v>45301</v>
      </c>
    </row>
    <row r="584" spans="1:12" x14ac:dyDescent="0.35">
      <c r="A584" s="1" t="s">
        <v>810</v>
      </c>
      <c r="B584" s="1" t="s">
        <v>319</v>
      </c>
      <c r="C584" s="1" t="s">
        <v>14</v>
      </c>
      <c r="D584" s="1" t="s">
        <v>15</v>
      </c>
      <c r="E584" s="1" t="s">
        <v>32</v>
      </c>
      <c r="F584" s="1" t="s">
        <v>39</v>
      </c>
      <c r="G584" s="1" t="s">
        <v>18</v>
      </c>
      <c r="H584" s="1">
        <v>14070</v>
      </c>
      <c r="I584" s="1"/>
      <c r="J584" s="1"/>
      <c r="K584" s="1">
        <v>14000</v>
      </c>
      <c r="L584" s="2">
        <v>45346</v>
      </c>
    </row>
    <row r="585" spans="1:12" x14ac:dyDescent="0.35">
      <c r="A585" s="1" t="s">
        <v>811</v>
      </c>
      <c r="B585" s="1" t="s">
        <v>752</v>
      </c>
      <c r="C585" s="1" t="s">
        <v>44</v>
      </c>
      <c r="D585" s="1" t="s">
        <v>45</v>
      </c>
      <c r="E585" s="1" t="s">
        <v>32</v>
      </c>
      <c r="F585" s="1" t="s">
        <v>17</v>
      </c>
      <c r="G585" s="1" t="s">
        <v>36</v>
      </c>
      <c r="H585" s="1">
        <v>11986</v>
      </c>
      <c r="I585" s="1" t="s">
        <v>33</v>
      </c>
      <c r="J585" s="1">
        <v>0.3</v>
      </c>
      <c r="K585" s="1">
        <v>13000</v>
      </c>
      <c r="L585" s="2">
        <v>45309</v>
      </c>
    </row>
    <row r="586" spans="1:12" x14ac:dyDescent="0.35">
      <c r="A586" s="1" t="s">
        <v>812</v>
      </c>
      <c r="B586" s="1" t="s">
        <v>166</v>
      </c>
      <c r="C586" s="1" t="s">
        <v>44</v>
      </c>
      <c r="D586" s="1" t="s">
        <v>45</v>
      </c>
      <c r="E586" s="1" t="s">
        <v>16</v>
      </c>
      <c r="F586" s="1" t="s">
        <v>39</v>
      </c>
      <c r="G586" s="1" t="s">
        <v>36</v>
      </c>
      <c r="H586" s="1">
        <v>12651</v>
      </c>
      <c r="I586" s="1" t="s">
        <v>19</v>
      </c>
      <c r="J586" s="1">
        <v>0.2</v>
      </c>
      <c r="K586" s="1">
        <v>13000</v>
      </c>
      <c r="L586" s="2">
        <v>45297</v>
      </c>
    </row>
    <row r="587" spans="1:12" x14ac:dyDescent="0.35">
      <c r="A587" s="1" t="s">
        <v>813</v>
      </c>
      <c r="B587" s="1" t="s">
        <v>231</v>
      </c>
      <c r="C587" s="1" t="s">
        <v>61</v>
      </c>
      <c r="D587" s="1" t="s">
        <v>62</v>
      </c>
      <c r="E587" s="1" t="s">
        <v>32</v>
      </c>
      <c r="F587" s="1" t="s">
        <v>17</v>
      </c>
      <c r="G587" s="1" t="s">
        <v>36</v>
      </c>
      <c r="H587" s="1">
        <v>8294</v>
      </c>
      <c r="I587" s="1" t="s">
        <v>22</v>
      </c>
      <c r="J587" s="1">
        <v>0.1</v>
      </c>
      <c r="K587" s="1">
        <v>9000</v>
      </c>
      <c r="L587" s="2">
        <v>45323</v>
      </c>
    </row>
    <row r="588" spans="1:12" x14ac:dyDescent="0.35">
      <c r="A588" s="1" t="s">
        <v>814</v>
      </c>
      <c r="B588" s="1" t="s">
        <v>765</v>
      </c>
      <c r="C588" s="1" t="s">
        <v>14</v>
      </c>
      <c r="D588" s="1" t="s">
        <v>15</v>
      </c>
      <c r="E588" s="1" t="s">
        <v>32</v>
      </c>
      <c r="F588" s="1" t="s">
        <v>17</v>
      </c>
      <c r="G588" s="1" t="s">
        <v>36</v>
      </c>
      <c r="H588" s="1">
        <v>12146</v>
      </c>
      <c r="I588" s="1" t="s">
        <v>27</v>
      </c>
      <c r="J588" s="1"/>
      <c r="K588" s="1">
        <v>14000</v>
      </c>
      <c r="L588" s="2">
        <v>45327</v>
      </c>
    </row>
    <row r="589" spans="1:12" x14ac:dyDescent="0.35">
      <c r="A589" s="1" t="s">
        <v>815</v>
      </c>
      <c r="B589" s="1" t="s">
        <v>129</v>
      </c>
      <c r="C589" s="1" t="s">
        <v>14</v>
      </c>
      <c r="D589" s="1" t="s">
        <v>15</v>
      </c>
      <c r="E589" s="1" t="s">
        <v>16</v>
      </c>
      <c r="F589" s="1" t="s">
        <v>39</v>
      </c>
      <c r="G589" s="1" t="s">
        <v>26</v>
      </c>
      <c r="H589" s="1">
        <v>13247</v>
      </c>
      <c r="I589" s="1" t="s">
        <v>27</v>
      </c>
      <c r="J589" s="1"/>
      <c r="K589" s="1">
        <v>14000</v>
      </c>
      <c r="L589" s="2">
        <v>45327</v>
      </c>
    </row>
    <row r="590" spans="1:12" x14ac:dyDescent="0.35">
      <c r="A590" s="1" t="s">
        <v>816</v>
      </c>
      <c r="B590" s="1" t="s">
        <v>817</v>
      </c>
      <c r="C590" s="1" t="s">
        <v>61</v>
      </c>
      <c r="D590" s="1" t="s">
        <v>62</v>
      </c>
      <c r="E590" s="1" t="s">
        <v>46</v>
      </c>
      <c r="F590" s="1" t="s">
        <v>17</v>
      </c>
      <c r="G590" s="1" t="s">
        <v>18</v>
      </c>
      <c r="H590" s="1">
        <v>10344</v>
      </c>
      <c r="I590" s="1" t="s">
        <v>19</v>
      </c>
      <c r="J590" s="1">
        <v>0.2</v>
      </c>
      <c r="K590" s="1">
        <v>9000</v>
      </c>
      <c r="L590" s="2">
        <v>45346</v>
      </c>
    </row>
    <row r="591" spans="1:12" x14ac:dyDescent="0.35">
      <c r="A591" s="1" t="s">
        <v>818</v>
      </c>
      <c r="B591" s="1" t="s">
        <v>188</v>
      </c>
      <c r="C591" s="1" t="s">
        <v>61</v>
      </c>
      <c r="D591" s="1" t="s">
        <v>62</v>
      </c>
      <c r="E591" s="1" t="s">
        <v>16</v>
      </c>
      <c r="F591" s="1" t="s">
        <v>39</v>
      </c>
      <c r="G591" s="1" t="s">
        <v>36</v>
      </c>
      <c r="H591" s="1">
        <v>9932</v>
      </c>
      <c r="I591" s="1"/>
      <c r="J591" s="1"/>
      <c r="K591" s="1">
        <v>9000</v>
      </c>
      <c r="L591" s="2">
        <v>45299</v>
      </c>
    </row>
    <row r="592" spans="1:12" x14ac:dyDescent="0.35">
      <c r="A592" s="1" t="s">
        <v>819</v>
      </c>
      <c r="B592" s="1" t="s">
        <v>200</v>
      </c>
      <c r="C592" s="1" t="s">
        <v>44</v>
      </c>
      <c r="D592" s="1" t="s">
        <v>45</v>
      </c>
      <c r="E592" s="1" t="s">
        <v>32</v>
      </c>
      <c r="F592" s="1" t="s">
        <v>17</v>
      </c>
      <c r="G592" s="1" t="s">
        <v>36</v>
      </c>
      <c r="H592" s="1">
        <v>14399</v>
      </c>
      <c r="I592" s="1" t="s">
        <v>33</v>
      </c>
      <c r="J592" s="1">
        <v>0.3</v>
      </c>
      <c r="K592" s="1">
        <v>13000</v>
      </c>
      <c r="L592" s="2">
        <v>45327</v>
      </c>
    </row>
    <row r="593" spans="1:12" x14ac:dyDescent="0.35">
      <c r="A593" s="1" t="s">
        <v>820</v>
      </c>
      <c r="B593" s="1" t="s">
        <v>217</v>
      </c>
      <c r="C593" s="1" t="s">
        <v>14</v>
      </c>
      <c r="D593" s="1" t="s">
        <v>15</v>
      </c>
      <c r="E593" s="1" t="s">
        <v>32</v>
      </c>
      <c r="F593" s="1" t="s">
        <v>25</v>
      </c>
      <c r="G593" s="1" t="s">
        <v>36</v>
      </c>
      <c r="H593" s="1">
        <v>12575</v>
      </c>
      <c r="I593" s="1"/>
      <c r="J593" s="1"/>
      <c r="K593" s="1">
        <v>14000</v>
      </c>
      <c r="L593" s="2">
        <v>45298</v>
      </c>
    </row>
    <row r="594" spans="1:12" x14ac:dyDescent="0.35">
      <c r="A594" s="1" t="s">
        <v>821</v>
      </c>
      <c r="B594" s="1" t="s">
        <v>118</v>
      </c>
      <c r="C594" s="1" t="s">
        <v>44</v>
      </c>
      <c r="D594" s="1" t="s">
        <v>45</v>
      </c>
      <c r="E594" s="1" t="s">
        <v>32</v>
      </c>
      <c r="F594" s="1" t="s">
        <v>25</v>
      </c>
      <c r="G594" s="1" t="s">
        <v>36</v>
      </c>
      <c r="H594" s="1">
        <v>11883</v>
      </c>
      <c r="I594" s="1"/>
      <c r="J594" s="1"/>
      <c r="K594" s="1">
        <v>13000</v>
      </c>
      <c r="L594" s="2">
        <v>45344</v>
      </c>
    </row>
    <row r="595" spans="1:12" x14ac:dyDescent="0.35">
      <c r="A595" s="1" t="s">
        <v>822</v>
      </c>
      <c r="B595" s="1" t="s">
        <v>294</v>
      </c>
      <c r="C595" s="1" t="s">
        <v>30</v>
      </c>
      <c r="D595" s="1" t="s">
        <v>31</v>
      </c>
      <c r="E595" s="1" t="s">
        <v>32</v>
      </c>
      <c r="F595" s="1" t="s">
        <v>17</v>
      </c>
      <c r="G595" s="1" t="s">
        <v>18</v>
      </c>
      <c r="H595" s="1">
        <v>18795</v>
      </c>
      <c r="I595" s="1" t="s">
        <v>27</v>
      </c>
      <c r="J595" s="1"/>
      <c r="K595" s="1">
        <v>17000</v>
      </c>
      <c r="L595" s="2">
        <v>45299</v>
      </c>
    </row>
    <row r="596" spans="1:12" x14ac:dyDescent="0.35">
      <c r="A596" s="1" t="s">
        <v>823</v>
      </c>
      <c r="B596" s="1" t="s">
        <v>298</v>
      </c>
      <c r="C596" s="1" t="s">
        <v>61</v>
      </c>
      <c r="D596" s="1" t="s">
        <v>62</v>
      </c>
      <c r="E596" s="1" t="s">
        <v>16</v>
      </c>
      <c r="F596" s="1" t="s">
        <v>39</v>
      </c>
      <c r="G596" s="1" t="s">
        <v>26</v>
      </c>
      <c r="H596" s="1">
        <v>7551</v>
      </c>
      <c r="I596" s="1"/>
      <c r="J596" s="1"/>
      <c r="K596" s="1">
        <v>9000</v>
      </c>
      <c r="L596" s="2">
        <v>45292</v>
      </c>
    </row>
    <row r="597" spans="1:12" x14ac:dyDescent="0.35">
      <c r="A597" s="1" t="s">
        <v>824</v>
      </c>
      <c r="B597" s="1" t="s">
        <v>548</v>
      </c>
      <c r="C597" s="1" t="s">
        <v>14</v>
      </c>
      <c r="D597" s="1" t="s">
        <v>15</v>
      </c>
      <c r="E597" s="1" t="s">
        <v>16</v>
      </c>
      <c r="F597" s="1" t="s">
        <v>17</v>
      </c>
      <c r="G597" s="1" t="s">
        <v>26</v>
      </c>
      <c r="H597" s="1">
        <v>13978</v>
      </c>
      <c r="I597" s="1" t="s">
        <v>27</v>
      </c>
      <c r="J597" s="1"/>
      <c r="K597" s="1">
        <v>14000</v>
      </c>
      <c r="L597" s="2">
        <v>45341</v>
      </c>
    </row>
    <row r="598" spans="1:12" x14ac:dyDescent="0.35">
      <c r="A598" s="1" t="s">
        <v>825</v>
      </c>
      <c r="B598" s="1" t="s">
        <v>120</v>
      </c>
      <c r="C598" s="1" t="s">
        <v>44</v>
      </c>
      <c r="D598" s="1" t="s">
        <v>45</v>
      </c>
      <c r="E598" s="1" t="s">
        <v>16</v>
      </c>
      <c r="F598" s="1" t="s">
        <v>25</v>
      </c>
      <c r="G598" s="1" t="s">
        <v>18</v>
      </c>
      <c r="H598" s="1">
        <v>12586</v>
      </c>
      <c r="I598" s="1" t="s">
        <v>27</v>
      </c>
      <c r="J598" s="1"/>
      <c r="K598" s="1">
        <v>13000</v>
      </c>
      <c r="L598" s="2">
        <v>45330</v>
      </c>
    </row>
    <row r="599" spans="1:12" x14ac:dyDescent="0.35">
      <c r="A599" s="1" t="s">
        <v>826</v>
      </c>
      <c r="B599" s="1" t="s">
        <v>827</v>
      </c>
      <c r="C599" s="1" t="s">
        <v>61</v>
      </c>
      <c r="D599" s="1" t="s">
        <v>62</v>
      </c>
      <c r="E599" s="1" t="s">
        <v>46</v>
      </c>
      <c r="F599" s="1" t="s">
        <v>39</v>
      </c>
      <c r="G599" s="1" t="s">
        <v>26</v>
      </c>
      <c r="H599" s="1">
        <v>10122</v>
      </c>
      <c r="I599" s="1" t="s">
        <v>19</v>
      </c>
      <c r="J599" s="1">
        <v>0.2</v>
      </c>
      <c r="K599" s="1">
        <v>9000</v>
      </c>
      <c r="L599" s="2">
        <v>45309</v>
      </c>
    </row>
    <row r="600" spans="1:12" x14ac:dyDescent="0.35">
      <c r="A600" s="1" t="s">
        <v>828</v>
      </c>
      <c r="B600" s="1" t="s">
        <v>474</v>
      </c>
      <c r="C600" s="1" t="s">
        <v>30</v>
      </c>
      <c r="D600" s="1" t="s">
        <v>31</v>
      </c>
      <c r="E600" s="1" t="s">
        <v>46</v>
      </c>
      <c r="F600" s="1" t="s">
        <v>25</v>
      </c>
      <c r="G600" s="1" t="s">
        <v>18</v>
      </c>
      <c r="H600" s="1">
        <v>16690</v>
      </c>
      <c r="I600" s="1" t="s">
        <v>27</v>
      </c>
      <c r="J600" s="1"/>
      <c r="K600" s="1">
        <v>17000</v>
      </c>
      <c r="L600" s="2">
        <v>45336</v>
      </c>
    </row>
    <row r="601" spans="1:12" x14ac:dyDescent="0.35">
      <c r="A601" s="1" t="s">
        <v>829</v>
      </c>
      <c r="B601" s="1" t="s">
        <v>260</v>
      </c>
      <c r="C601" s="1" t="s">
        <v>30</v>
      </c>
      <c r="D601" s="1" t="s">
        <v>31</v>
      </c>
      <c r="E601" s="1" t="s">
        <v>16</v>
      </c>
      <c r="F601" s="1" t="s">
        <v>39</v>
      </c>
      <c r="G601" s="1" t="s">
        <v>36</v>
      </c>
      <c r="H601" s="1">
        <v>17915</v>
      </c>
      <c r="I601" s="1" t="s">
        <v>27</v>
      </c>
      <c r="J601" s="1"/>
      <c r="K601" s="1">
        <v>17000</v>
      </c>
      <c r="L601" s="2">
        <v>45332</v>
      </c>
    </row>
    <row r="602" spans="1:12" x14ac:dyDescent="0.35">
      <c r="A602" s="1" t="s">
        <v>830</v>
      </c>
      <c r="B602" s="1" t="s">
        <v>94</v>
      </c>
      <c r="C602" s="1" t="s">
        <v>44</v>
      </c>
      <c r="D602" s="1" t="s">
        <v>45</v>
      </c>
      <c r="E602" s="1" t="s">
        <v>16</v>
      </c>
      <c r="F602" s="1" t="s">
        <v>39</v>
      </c>
      <c r="G602" s="1" t="s">
        <v>36</v>
      </c>
      <c r="H602" s="1">
        <v>13812</v>
      </c>
      <c r="I602" s="1" t="s">
        <v>33</v>
      </c>
      <c r="J602" s="1">
        <v>0.3</v>
      </c>
      <c r="K602" s="1">
        <v>13000</v>
      </c>
      <c r="L602" s="2">
        <v>45350</v>
      </c>
    </row>
    <row r="603" spans="1:12" x14ac:dyDescent="0.35">
      <c r="A603" s="1" t="s">
        <v>831</v>
      </c>
      <c r="B603" s="1" t="s">
        <v>422</v>
      </c>
      <c r="C603" s="1" t="s">
        <v>44</v>
      </c>
      <c r="D603" s="1" t="s">
        <v>45</v>
      </c>
      <c r="E603" s="1" t="s">
        <v>16</v>
      </c>
      <c r="F603" s="1" t="s">
        <v>39</v>
      </c>
      <c r="G603" s="1" t="s">
        <v>26</v>
      </c>
      <c r="H603" s="1">
        <v>13608</v>
      </c>
      <c r="I603" s="1" t="s">
        <v>33</v>
      </c>
      <c r="J603" s="1">
        <v>0.3</v>
      </c>
      <c r="K603" s="1">
        <v>13000</v>
      </c>
      <c r="L603" s="2">
        <v>45337</v>
      </c>
    </row>
    <row r="604" spans="1:12" x14ac:dyDescent="0.35">
      <c r="A604" s="1" t="s">
        <v>832</v>
      </c>
      <c r="B604" s="1" t="s">
        <v>200</v>
      </c>
      <c r="C604" s="1" t="s">
        <v>30</v>
      </c>
      <c r="D604" s="1" t="s">
        <v>31</v>
      </c>
      <c r="E604" s="1" t="s">
        <v>16</v>
      </c>
      <c r="F604" s="1" t="s">
        <v>17</v>
      </c>
      <c r="G604" s="1" t="s">
        <v>26</v>
      </c>
      <c r="H604" s="1">
        <v>17337</v>
      </c>
      <c r="I604" s="1"/>
      <c r="J604" s="1"/>
      <c r="K604" s="1">
        <v>17000</v>
      </c>
      <c r="L604" s="2">
        <v>45335</v>
      </c>
    </row>
    <row r="605" spans="1:12" x14ac:dyDescent="0.35">
      <c r="A605" s="1" t="s">
        <v>833</v>
      </c>
      <c r="B605" s="1" t="s">
        <v>371</v>
      </c>
      <c r="C605" s="1" t="s">
        <v>30</v>
      </c>
      <c r="D605" s="1" t="s">
        <v>31</v>
      </c>
      <c r="E605" s="1" t="s">
        <v>46</v>
      </c>
      <c r="F605" s="1" t="s">
        <v>25</v>
      </c>
      <c r="G605" s="1" t="s">
        <v>26</v>
      </c>
      <c r="H605" s="1">
        <v>15436</v>
      </c>
      <c r="I605" s="1" t="s">
        <v>22</v>
      </c>
      <c r="J605" s="1">
        <v>0.1</v>
      </c>
      <c r="K605" s="1">
        <v>17000</v>
      </c>
      <c r="L605" s="2">
        <v>45316</v>
      </c>
    </row>
    <row r="606" spans="1:12" x14ac:dyDescent="0.35">
      <c r="A606" s="1" t="s">
        <v>834</v>
      </c>
      <c r="B606" s="1" t="s">
        <v>557</v>
      </c>
      <c r="C606" s="1" t="s">
        <v>14</v>
      </c>
      <c r="D606" s="1" t="s">
        <v>15</v>
      </c>
      <c r="E606" s="1" t="s">
        <v>32</v>
      </c>
      <c r="F606" s="1" t="s">
        <v>17</v>
      </c>
      <c r="G606" s="1" t="s">
        <v>18</v>
      </c>
      <c r="H606" s="1">
        <v>13173</v>
      </c>
      <c r="I606" s="1" t="s">
        <v>33</v>
      </c>
      <c r="J606" s="1">
        <v>0.3</v>
      </c>
      <c r="K606" s="1">
        <v>14000</v>
      </c>
      <c r="L606" s="2">
        <v>45301</v>
      </c>
    </row>
    <row r="607" spans="1:12" x14ac:dyDescent="0.35">
      <c r="A607" s="1" t="s">
        <v>835</v>
      </c>
      <c r="B607" s="1" t="s">
        <v>676</v>
      </c>
      <c r="C607" s="1" t="s">
        <v>30</v>
      </c>
      <c r="D607" s="1" t="s">
        <v>31</v>
      </c>
      <c r="E607" s="1" t="s">
        <v>32</v>
      </c>
      <c r="F607" s="1" t="s">
        <v>39</v>
      </c>
      <c r="G607" s="1" t="s">
        <v>18</v>
      </c>
      <c r="H607" s="1">
        <v>16469</v>
      </c>
      <c r="I607" s="1"/>
      <c r="J607" s="1"/>
      <c r="K607" s="1">
        <v>17000</v>
      </c>
      <c r="L607" s="2">
        <v>45298</v>
      </c>
    </row>
    <row r="608" spans="1:12" x14ac:dyDescent="0.35">
      <c r="A608" s="1" t="s">
        <v>836</v>
      </c>
      <c r="B608" s="1" t="s">
        <v>837</v>
      </c>
      <c r="C608" s="1" t="s">
        <v>44</v>
      </c>
      <c r="D608" s="1" t="s">
        <v>45</v>
      </c>
      <c r="E608" s="1" t="s">
        <v>16</v>
      </c>
      <c r="F608" s="1" t="s">
        <v>39</v>
      </c>
      <c r="G608" s="1" t="s">
        <v>26</v>
      </c>
      <c r="H608" s="1">
        <v>12592</v>
      </c>
      <c r="I608" s="1" t="s">
        <v>19</v>
      </c>
      <c r="J608" s="1">
        <v>0.2</v>
      </c>
      <c r="K608" s="1">
        <v>13000</v>
      </c>
      <c r="L608" s="2">
        <v>45324</v>
      </c>
    </row>
    <row r="609" spans="1:12" x14ac:dyDescent="0.35">
      <c r="A609" s="1" t="s">
        <v>838</v>
      </c>
      <c r="B609" s="1" t="s">
        <v>54</v>
      </c>
      <c r="C609" s="1" t="s">
        <v>30</v>
      </c>
      <c r="D609" s="1" t="s">
        <v>31</v>
      </c>
      <c r="E609" s="1" t="s">
        <v>16</v>
      </c>
      <c r="F609" s="1" t="s">
        <v>39</v>
      </c>
      <c r="G609" s="1" t="s">
        <v>18</v>
      </c>
      <c r="H609" s="1">
        <v>18794</v>
      </c>
      <c r="I609" s="1"/>
      <c r="J609" s="1"/>
      <c r="K609" s="1">
        <v>17000</v>
      </c>
      <c r="L609" s="2">
        <v>45316</v>
      </c>
    </row>
    <row r="610" spans="1:12" x14ac:dyDescent="0.35">
      <c r="A610" s="1" t="s">
        <v>839</v>
      </c>
      <c r="B610" s="1" t="s">
        <v>155</v>
      </c>
      <c r="C610" s="1" t="s">
        <v>30</v>
      </c>
      <c r="D610" s="1" t="s">
        <v>31</v>
      </c>
      <c r="E610" s="1" t="s">
        <v>16</v>
      </c>
      <c r="F610" s="1" t="s">
        <v>25</v>
      </c>
      <c r="G610" s="1" t="s">
        <v>18</v>
      </c>
      <c r="H610" s="1">
        <v>18046</v>
      </c>
      <c r="I610" s="1" t="s">
        <v>33</v>
      </c>
      <c r="J610" s="1">
        <v>0.3</v>
      </c>
      <c r="K610" s="1">
        <v>17000</v>
      </c>
      <c r="L610" s="2">
        <v>45304</v>
      </c>
    </row>
    <row r="611" spans="1:12" x14ac:dyDescent="0.35">
      <c r="A611" s="1" t="s">
        <v>840</v>
      </c>
      <c r="B611" s="1" t="s">
        <v>837</v>
      </c>
      <c r="C611" s="1" t="s">
        <v>61</v>
      </c>
      <c r="D611" s="1" t="s">
        <v>62</v>
      </c>
      <c r="E611" s="1" t="s">
        <v>32</v>
      </c>
      <c r="F611" s="1" t="s">
        <v>39</v>
      </c>
      <c r="G611" s="1" t="s">
        <v>26</v>
      </c>
      <c r="H611" s="1">
        <v>9906</v>
      </c>
      <c r="I611" s="1" t="s">
        <v>33</v>
      </c>
      <c r="J611" s="1">
        <v>0.3</v>
      </c>
      <c r="K611" s="1">
        <v>9000</v>
      </c>
      <c r="L611" s="2">
        <v>45340</v>
      </c>
    </row>
    <row r="612" spans="1:12" x14ac:dyDescent="0.35">
      <c r="A612" s="1" t="s">
        <v>841</v>
      </c>
      <c r="B612" s="1" t="s">
        <v>86</v>
      </c>
      <c r="C612" s="1" t="s">
        <v>44</v>
      </c>
      <c r="D612" s="1" t="s">
        <v>45</v>
      </c>
      <c r="E612" s="1" t="s">
        <v>16</v>
      </c>
      <c r="F612" s="1" t="s">
        <v>25</v>
      </c>
      <c r="G612" s="1" t="s">
        <v>36</v>
      </c>
      <c r="H612" s="1">
        <v>12838</v>
      </c>
      <c r="I612" s="1" t="s">
        <v>19</v>
      </c>
      <c r="J612" s="1">
        <v>0.2</v>
      </c>
      <c r="K612" s="1">
        <v>13000</v>
      </c>
      <c r="L612" s="2">
        <v>45335</v>
      </c>
    </row>
    <row r="613" spans="1:12" x14ac:dyDescent="0.35">
      <c r="A613" s="1" t="s">
        <v>842</v>
      </c>
      <c r="B613" s="1" t="s">
        <v>843</v>
      </c>
      <c r="C613" s="1" t="s">
        <v>44</v>
      </c>
      <c r="D613" s="1" t="s">
        <v>45</v>
      </c>
      <c r="E613" s="1" t="s">
        <v>16</v>
      </c>
      <c r="F613" s="1" t="s">
        <v>39</v>
      </c>
      <c r="G613" s="1" t="s">
        <v>18</v>
      </c>
      <c r="H613" s="1">
        <v>12545</v>
      </c>
      <c r="I613" s="1" t="s">
        <v>22</v>
      </c>
      <c r="J613" s="1">
        <v>0.1</v>
      </c>
      <c r="K613" s="1">
        <v>13000</v>
      </c>
      <c r="L613" s="2">
        <v>45319</v>
      </c>
    </row>
    <row r="614" spans="1:12" x14ac:dyDescent="0.35">
      <c r="A614" s="1" t="s">
        <v>844</v>
      </c>
      <c r="B614" s="1" t="s">
        <v>307</v>
      </c>
      <c r="C614" s="1" t="s">
        <v>30</v>
      </c>
      <c r="D614" s="1" t="s">
        <v>31</v>
      </c>
      <c r="E614" s="1" t="s">
        <v>32</v>
      </c>
      <c r="F614" s="1" t="s">
        <v>25</v>
      </c>
      <c r="G614" s="1" t="s">
        <v>26</v>
      </c>
      <c r="H614" s="1">
        <v>18465</v>
      </c>
      <c r="I614" s="1" t="s">
        <v>33</v>
      </c>
      <c r="J614" s="1">
        <v>0.3</v>
      </c>
      <c r="K614" s="1">
        <v>17000</v>
      </c>
      <c r="L614" s="2">
        <v>45292</v>
      </c>
    </row>
    <row r="615" spans="1:12" x14ac:dyDescent="0.35">
      <c r="A615" s="1" t="s">
        <v>845</v>
      </c>
      <c r="B615" s="1" t="s">
        <v>802</v>
      </c>
      <c r="C615" s="1" t="s">
        <v>44</v>
      </c>
      <c r="D615" s="1" t="s">
        <v>45</v>
      </c>
      <c r="E615" s="1" t="s">
        <v>32</v>
      </c>
      <c r="F615" s="1" t="s">
        <v>25</v>
      </c>
      <c r="G615" s="1" t="s">
        <v>36</v>
      </c>
      <c r="H615" s="1">
        <v>13444</v>
      </c>
      <c r="I615" s="1" t="s">
        <v>22</v>
      </c>
      <c r="J615" s="1">
        <v>0.1</v>
      </c>
      <c r="K615" s="1">
        <v>13000</v>
      </c>
      <c r="L615" s="2">
        <v>45341</v>
      </c>
    </row>
    <row r="616" spans="1:12" x14ac:dyDescent="0.35">
      <c r="A616" s="1" t="s">
        <v>846</v>
      </c>
      <c r="B616" s="1" t="s">
        <v>50</v>
      </c>
      <c r="C616" s="1" t="s">
        <v>30</v>
      </c>
      <c r="D616" s="1" t="s">
        <v>31</v>
      </c>
      <c r="E616" s="1" t="s">
        <v>46</v>
      </c>
      <c r="F616" s="1" t="s">
        <v>39</v>
      </c>
      <c r="G616" s="1" t="s">
        <v>26</v>
      </c>
      <c r="H616" s="1">
        <v>16466</v>
      </c>
      <c r="I616" s="1" t="s">
        <v>22</v>
      </c>
      <c r="J616" s="1">
        <v>0.1</v>
      </c>
      <c r="K616" s="1">
        <v>17000</v>
      </c>
      <c r="L616" s="2">
        <v>45342</v>
      </c>
    </row>
    <row r="617" spans="1:12" x14ac:dyDescent="0.35">
      <c r="A617" s="1" t="s">
        <v>847</v>
      </c>
      <c r="B617" s="1" t="s">
        <v>577</v>
      </c>
      <c r="C617" s="1" t="s">
        <v>44</v>
      </c>
      <c r="D617" s="1" t="s">
        <v>45</v>
      </c>
      <c r="E617" s="1" t="s">
        <v>32</v>
      </c>
      <c r="F617" s="1" t="s">
        <v>39</v>
      </c>
      <c r="G617" s="1" t="s">
        <v>18</v>
      </c>
      <c r="H617" s="1">
        <v>14220</v>
      </c>
      <c r="I617" s="1" t="s">
        <v>27</v>
      </c>
      <c r="J617" s="1"/>
      <c r="K617" s="1">
        <v>13000</v>
      </c>
      <c r="L617" s="2">
        <v>45302</v>
      </c>
    </row>
    <row r="618" spans="1:12" x14ac:dyDescent="0.35">
      <c r="A618" s="1" t="s">
        <v>848</v>
      </c>
      <c r="B618" s="1" t="s">
        <v>512</v>
      </c>
      <c r="C618" s="1" t="s">
        <v>61</v>
      </c>
      <c r="D618" s="1" t="s">
        <v>62</v>
      </c>
      <c r="E618" s="1" t="s">
        <v>32</v>
      </c>
      <c r="F618" s="1" t="s">
        <v>17</v>
      </c>
      <c r="G618" s="1" t="s">
        <v>18</v>
      </c>
      <c r="H618" s="1">
        <v>10618</v>
      </c>
      <c r="I618" s="1" t="s">
        <v>19</v>
      </c>
      <c r="J618" s="1">
        <v>0.2</v>
      </c>
      <c r="K618" s="1">
        <v>9000</v>
      </c>
      <c r="L618" s="2">
        <v>45334</v>
      </c>
    </row>
    <row r="619" spans="1:12" x14ac:dyDescent="0.35">
      <c r="A619" s="1" t="s">
        <v>849</v>
      </c>
      <c r="B619" s="1" t="s">
        <v>282</v>
      </c>
      <c r="C619" s="1" t="s">
        <v>30</v>
      </c>
      <c r="D619" s="1" t="s">
        <v>31</v>
      </c>
      <c r="E619" s="1" t="s">
        <v>46</v>
      </c>
      <c r="F619" s="1" t="s">
        <v>25</v>
      </c>
      <c r="G619" s="1" t="s">
        <v>26</v>
      </c>
      <c r="H619" s="1">
        <v>17172</v>
      </c>
      <c r="I619" s="1"/>
      <c r="J619" s="1"/>
      <c r="K619" s="1">
        <v>17000</v>
      </c>
      <c r="L619" s="2">
        <v>45327</v>
      </c>
    </row>
    <row r="620" spans="1:12" x14ac:dyDescent="0.35">
      <c r="A620" s="1" t="s">
        <v>850</v>
      </c>
      <c r="B620" s="1" t="s">
        <v>393</v>
      </c>
      <c r="C620" s="1" t="s">
        <v>14</v>
      </c>
      <c r="D620" s="1" t="s">
        <v>15</v>
      </c>
      <c r="E620" s="1" t="s">
        <v>32</v>
      </c>
      <c r="F620" s="1" t="s">
        <v>39</v>
      </c>
      <c r="G620" s="1" t="s">
        <v>36</v>
      </c>
      <c r="H620" s="1">
        <v>13825</v>
      </c>
      <c r="I620" s="1" t="s">
        <v>19</v>
      </c>
      <c r="J620" s="1">
        <v>0.2</v>
      </c>
      <c r="K620" s="1">
        <v>14000</v>
      </c>
      <c r="L620" s="2">
        <v>45349</v>
      </c>
    </row>
    <row r="621" spans="1:12" x14ac:dyDescent="0.35">
      <c r="A621" s="1" t="s">
        <v>851</v>
      </c>
      <c r="B621" s="1" t="s">
        <v>163</v>
      </c>
      <c r="C621" s="1" t="s">
        <v>44</v>
      </c>
      <c r="D621" s="1" t="s">
        <v>45</v>
      </c>
      <c r="E621" s="1" t="s">
        <v>32</v>
      </c>
      <c r="F621" s="1" t="s">
        <v>39</v>
      </c>
      <c r="G621" s="1" t="s">
        <v>36</v>
      </c>
      <c r="H621" s="1">
        <v>12562</v>
      </c>
      <c r="I621" s="1" t="s">
        <v>22</v>
      </c>
      <c r="J621" s="1">
        <v>0.1</v>
      </c>
      <c r="K621" s="1">
        <v>13000</v>
      </c>
      <c r="L621" s="2">
        <v>45316</v>
      </c>
    </row>
    <row r="622" spans="1:12" x14ac:dyDescent="0.35">
      <c r="A622" s="1" t="s">
        <v>852</v>
      </c>
      <c r="B622" s="1" t="s">
        <v>307</v>
      </c>
      <c r="C622" s="1" t="s">
        <v>30</v>
      </c>
      <c r="D622" s="1" t="s">
        <v>31</v>
      </c>
      <c r="E622" s="1" t="s">
        <v>32</v>
      </c>
      <c r="F622" s="1" t="s">
        <v>39</v>
      </c>
      <c r="G622" s="1" t="s">
        <v>36</v>
      </c>
      <c r="H622" s="1">
        <v>17106</v>
      </c>
      <c r="I622" s="1" t="s">
        <v>27</v>
      </c>
      <c r="J622" s="1"/>
      <c r="K622" s="1">
        <v>17000</v>
      </c>
      <c r="L622" s="2">
        <v>45320</v>
      </c>
    </row>
    <row r="623" spans="1:12" x14ac:dyDescent="0.35">
      <c r="A623" s="1" t="s">
        <v>853</v>
      </c>
      <c r="B623" s="1" t="s">
        <v>711</v>
      </c>
      <c r="C623" s="1" t="s">
        <v>30</v>
      </c>
      <c r="D623" s="1" t="s">
        <v>31</v>
      </c>
      <c r="E623" s="1" t="s">
        <v>16</v>
      </c>
      <c r="F623" s="1" t="s">
        <v>25</v>
      </c>
      <c r="G623" s="1" t="s">
        <v>36</v>
      </c>
      <c r="H623" s="1">
        <v>17104</v>
      </c>
      <c r="I623" s="1" t="s">
        <v>22</v>
      </c>
      <c r="J623" s="1">
        <v>0.1</v>
      </c>
      <c r="K623" s="1">
        <v>17000</v>
      </c>
      <c r="L623" s="2">
        <v>45352</v>
      </c>
    </row>
    <row r="624" spans="1:12" x14ac:dyDescent="0.35">
      <c r="A624" s="1" t="s">
        <v>854</v>
      </c>
      <c r="B624" s="1" t="s">
        <v>843</v>
      </c>
      <c r="C624" s="1" t="s">
        <v>14</v>
      </c>
      <c r="D624" s="1" t="s">
        <v>15</v>
      </c>
      <c r="E624" s="1" t="s">
        <v>16</v>
      </c>
      <c r="F624" s="1" t="s">
        <v>25</v>
      </c>
      <c r="G624" s="1" t="s">
        <v>18</v>
      </c>
      <c r="H624" s="1">
        <v>14745</v>
      </c>
      <c r="I624" s="1" t="s">
        <v>19</v>
      </c>
      <c r="J624" s="1">
        <v>0.2</v>
      </c>
      <c r="K624" s="1">
        <v>14000</v>
      </c>
      <c r="L624" s="2">
        <v>45347</v>
      </c>
    </row>
    <row r="625" spans="1:12" x14ac:dyDescent="0.35">
      <c r="A625" s="1" t="s">
        <v>855</v>
      </c>
      <c r="B625" s="1" t="s">
        <v>90</v>
      </c>
      <c r="C625" s="1" t="s">
        <v>14</v>
      </c>
      <c r="D625" s="1" t="s">
        <v>15</v>
      </c>
      <c r="E625" s="1" t="s">
        <v>32</v>
      </c>
      <c r="F625" s="1" t="s">
        <v>39</v>
      </c>
      <c r="G625" s="1" t="s">
        <v>26</v>
      </c>
      <c r="H625" s="1">
        <v>15598</v>
      </c>
      <c r="I625" s="1"/>
      <c r="J625" s="1"/>
      <c r="K625" s="1">
        <v>14000</v>
      </c>
      <c r="L625" s="2">
        <v>45333</v>
      </c>
    </row>
    <row r="626" spans="1:12" x14ac:dyDescent="0.35">
      <c r="A626" s="1" t="s">
        <v>856</v>
      </c>
      <c r="B626" s="1" t="s">
        <v>96</v>
      </c>
      <c r="C626" s="1" t="s">
        <v>44</v>
      </c>
      <c r="D626" s="1" t="s">
        <v>45</v>
      </c>
      <c r="E626" s="1" t="s">
        <v>32</v>
      </c>
      <c r="F626" s="1" t="s">
        <v>17</v>
      </c>
      <c r="G626" s="1" t="s">
        <v>26</v>
      </c>
      <c r="H626" s="1">
        <v>12358</v>
      </c>
      <c r="I626" s="1" t="s">
        <v>22</v>
      </c>
      <c r="J626" s="1">
        <v>0.1</v>
      </c>
      <c r="K626" s="1">
        <v>13000</v>
      </c>
      <c r="L626" s="2">
        <v>45297</v>
      </c>
    </row>
    <row r="627" spans="1:12" x14ac:dyDescent="0.35">
      <c r="A627" s="1" t="s">
        <v>857</v>
      </c>
      <c r="B627" s="1" t="s">
        <v>43</v>
      </c>
      <c r="C627" s="1" t="s">
        <v>44</v>
      </c>
      <c r="D627" s="1" t="s">
        <v>45</v>
      </c>
      <c r="E627" s="1" t="s">
        <v>46</v>
      </c>
      <c r="F627" s="1" t="s">
        <v>39</v>
      </c>
      <c r="G627" s="1" t="s">
        <v>18</v>
      </c>
      <c r="H627" s="1">
        <v>13355</v>
      </c>
      <c r="I627" s="1" t="s">
        <v>19</v>
      </c>
      <c r="J627" s="1">
        <v>0.2</v>
      </c>
      <c r="K627" s="1">
        <v>13000</v>
      </c>
      <c r="L627" s="2">
        <v>45350</v>
      </c>
    </row>
    <row r="628" spans="1:12" x14ac:dyDescent="0.35">
      <c r="A628" s="1" t="s">
        <v>858</v>
      </c>
      <c r="B628" s="1" t="s">
        <v>70</v>
      </c>
      <c r="C628" s="1" t="s">
        <v>61</v>
      </c>
      <c r="D628" s="1" t="s">
        <v>62</v>
      </c>
      <c r="E628" s="1" t="s">
        <v>46</v>
      </c>
      <c r="F628" s="1" t="s">
        <v>39</v>
      </c>
      <c r="G628" s="1" t="s">
        <v>36</v>
      </c>
      <c r="H628" s="1">
        <v>8773</v>
      </c>
      <c r="I628" s="1" t="s">
        <v>33</v>
      </c>
      <c r="J628" s="1">
        <v>0.3</v>
      </c>
      <c r="K628" s="1">
        <v>9000</v>
      </c>
      <c r="L628" s="2">
        <v>45293</v>
      </c>
    </row>
    <row r="629" spans="1:12" x14ac:dyDescent="0.35">
      <c r="A629" s="1" t="s">
        <v>859</v>
      </c>
      <c r="B629" s="1" t="s">
        <v>274</v>
      </c>
      <c r="C629" s="1" t="s">
        <v>14</v>
      </c>
      <c r="D629" s="1" t="s">
        <v>15</v>
      </c>
      <c r="E629" s="1" t="s">
        <v>16</v>
      </c>
      <c r="F629" s="1" t="s">
        <v>25</v>
      </c>
      <c r="G629" s="1" t="s">
        <v>26</v>
      </c>
      <c r="H629" s="1">
        <v>14950</v>
      </c>
      <c r="I629" s="1" t="s">
        <v>27</v>
      </c>
      <c r="J629" s="1"/>
      <c r="K629" s="1">
        <v>14000</v>
      </c>
      <c r="L629" s="2">
        <v>45296</v>
      </c>
    </row>
    <row r="630" spans="1:12" x14ac:dyDescent="0.35">
      <c r="A630" s="1" t="s">
        <v>860</v>
      </c>
      <c r="B630" s="1" t="s">
        <v>296</v>
      </c>
      <c r="C630" s="1" t="s">
        <v>14</v>
      </c>
      <c r="D630" s="1" t="s">
        <v>15</v>
      </c>
      <c r="E630" s="1" t="s">
        <v>16</v>
      </c>
      <c r="F630" s="1" t="s">
        <v>25</v>
      </c>
      <c r="G630" s="1" t="s">
        <v>36</v>
      </c>
      <c r="H630" s="1">
        <v>15801</v>
      </c>
      <c r="I630" s="1" t="s">
        <v>27</v>
      </c>
      <c r="J630" s="1"/>
      <c r="K630" s="1">
        <v>14000</v>
      </c>
      <c r="L630" s="2">
        <v>45298</v>
      </c>
    </row>
    <row r="631" spans="1:12" x14ac:dyDescent="0.35">
      <c r="A631" s="1" t="s">
        <v>861</v>
      </c>
      <c r="B631" s="1" t="s">
        <v>443</v>
      </c>
      <c r="C631" s="1" t="s">
        <v>30</v>
      </c>
      <c r="D631" s="1" t="s">
        <v>31</v>
      </c>
      <c r="E631" s="1" t="s">
        <v>16</v>
      </c>
      <c r="F631" s="1" t="s">
        <v>25</v>
      </c>
      <c r="G631" s="1" t="s">
        <v>36</v>
      </c>
      <c r="H631" s="1">
        <v>18134</v>
      </c>
      <c r="I631" s="1"/>
      <c r="J631" s="1"/>
      <c r="K631" s="1">
        <v>17000</v>
      </c>
      <c r="L631" s="2">
        <v>45316</v>
      </c>
    </row>
    <row r="632" spans="1:12" x14ac:dyDescent="0.35">
      <c r="A632" s="1" t="s">
        <v>862</v>
      </c>
      <c r="B632" s="1" t="s">
        <v>309</v>
      </c>
      <c r="C632" s="1" t="s">
        <v>14</v>
      </c>
      <c r="D632" s="1" t="s">
        <v>15</v>
      </c>
      <c r="E632" s="1" t="s">
        <v>46</v>
      </c>
      <c r="F632" s="1" t="s">
        <v>25</v>
      </c>
      <c r="G632" s="1" t="s">
        <v>26</v>
      </c>
      <c r="H632" s="1">
        <v>12900</v>
      </c>
      <c r="I632" s="1" t="s">
        <v>19</v>
      </c>
      <c r="J632" s="1">
        <v>0.2</v>
      </c>
      <c r="K632" s="1">
        <v>14000</v>
      </c>
      <c r="L632" s="2">
        <v>45339</v>
      </c>
    </row>
    <row r="633" spans="1:12" x14ac:dyDescent="0.35">
      <c r="A633" s="1" t="s">
        <v>863</v>
      </c>
      <c r="B633" s="1" t="s">
        <v>155</v>
      </c>
      <c r="C633" s="1" t="s">
        <v>30</v>
      </c>
      <c r="D633" s="1" t="s">
        <v>31</v>
      </c>
      <c r="E633" s="1" t="s">
        <v>16</v>
      </c>
      <c r="F633" s="1" t="s">
        <v>25</v>
      </c>
      <c r="G633" s="1" t="s">
        <v>36</v>
      </c>
      <c r="H633" s="1">
        <v>17774</v>
      </c>
      <c r="I633" s="1" t="s">
        <v>33</v>
      </c>
      <c r="J633" s="1">
        <v>0.3</v>
      </c>
      <c r="K633" s="1">
        <v>17000</v>
      </c>
      <c r="L633" s="2">
        <v>45352</v>
      </c>
    </row>
    <row r="634" spans="1:12" x14ac:dyDescent="0.35">
      <c r="A634" s="1" t="s">
        <v>864</v>
      </c>
      <c r="B634" s="1" t="s">
        <v>166</v>
      </c>
      <c r="C634" s="1" t="s">
        <v>44</v>
      </c>
      <c r="D634" s="1" t="s">
        <v>45</v>
      </c>
      <c r="E634" s="1" t="s">
        <v>32</v>
      </c>
      <c r="F634" s="1" t="s">
        <v>25</v>
      </c>
      <c r="G634" s="1" t="s">
        <v>18</v>
      </c>
      <c r="H634" s="1">
        <v>13345</v>
      </c>
      <c r="I634" s="1" t="s">
        <v>27</v>
      </c>
      <c r="J634" s="1"/>
      <c r="K634" s="1">
        <v>13000</v>
      </c>
      <c r="L634" s="2">
        <v>45317</v>
      </c>
    </row>
    <row r="635" spans="1:12" x14ac:dyDescent="0.35">
      <c r="A635" s="1" t="s">
        <v>865</v>
      </c>
      <c r="B635" s="1" t="s">
        <v>168</v>
      </c>
      <c r="C635" s="1" t="s">
        <v>14</v>
      </c>
      <c r="D635" s="1" t="s">
        <v>15</v>
      </c>
      <c r="E635" s="1" t="s">
        <v>46</v>
      </c>
      <c r="F635" s="1" t="s">
        <v>25</v>
      </c>
      <c r="G635" s="1" t="s">
        <v>26</v>
      </c>
      <c r="H635" s="1">
        <v>15036</v>
      </c>
      <c r="I635" s="1" t="s">
        <v>33</v>
      </c>
      <c r="J635" s="1">
        <v>0.3</v>
      </c>
      <c r="K635" s="1">
        <v>14000</v>
      </c>
      <c r="L635" s="2">
        <v>45305</v>
      </c>
    </row>
    <row r="636" spans="1:12" x14ac:dyDescent="0.35">
      <c r="A636" s="1" t="s">
        <v>866</v>
      </c>
      <c r="B636" s="1" t="s">
        <v>274</v>
      </c>
      <c r="C636" s="1" t="s">
        <v>44</v>
      </c>
      <c r="D636" s="1" t="s">
        <v>45</v>
      </c>
      <c r="E636" s="1" t="s">
        <v>32</v>
      </c>
      <c r="F636" s="1" t="s">
        <v>25</v>
      </c>
      <c r="G636" s="1" t="s">
        <v>18</v>
      </c>
      <c r="H636" s="1">
        <v>13526</v>
      </c>
      <c r="I636" s="1" t="s">
        <v>33</v>
      </c>
      <c r="J636" s="1">
        <v>0.3</v>
      </c>
      <c r="K636" s="1">
        <v>13000</v>
      </c>
      <c r="L636" s="2">
        <v>45304</v>
      </c>
    </row>
    <row r="637" spans="1:12" x14ac:dyDescent="0.35">
      <c r="A637" s="1" t="s">
        <v>867</v>
      </c>
      <c r="B637" s="1" t="s">
        <v>843</v>
      </c>
      <c r="C637" s="1" t="s">
        <v>14</v>
      </c>
      <c r="D637" s="1" t="s">
        <v>15</v>
      </c>
      <c r="E637" s="1" t="s">
        <v>16</v>
      </c>
      <c r="F637" s="1" t="s">
        <v>17</v>
      </c>
      <c r="G637" s="1" t="s">
        <v>26</v>
      </c>
      <c r="H637" s="1">
        <v>14251</v>
      </c>
      <c r="I637" s="1" t="s">
        <v>22</v>
      </c>
      <c r="J637" s="1">
        <v>0.1</v>
      </c>
      <c r="K637" s="1">
        <v>14000</v>
      </c>
      <c r="L637" s="2">
        <v>45310</v>
      </c>
    </row>
    <row r="638" spans="1:12" x14ac:dyDescent="0.35">
      <c r="A638" s="1" t="s">
        <v>868</v>
      </c>
      <c r="B638" s="1" t="s">
        <v>13</v>
      </c>
      <c r="C638" s="1" t="s">
        <v>30</v>
      </c>
      <c r="D638" s="1" t="s">
        <v>31</v>
      </c>
      <c r="E638" s="1" t="s">
        <v>32</v>
      </c>
      <c r="F638" s="1" t="s">
        <v>25</v>
      </c>
      <c r="G638" s="1" t="s">
        <v>26</v>
      </c>
      <c r="H638" s="1">
        <v>17378</v>
      </c>
      <c r="I638" s="1"/>
      <c r="J638" s="1"/>
      <c r="K638" s="1">
        <v>17000</v>
      </c>
      <c r="L638" s="2">
        <v>45352</v>
      </c>
    </row>
    <row r="639" spans="1:12" x14ac:dyDescent="0.35">
      <c r="A639" s="1" t="s">
        <v>869</v>
      </c>
      <c r="B639" s="1" t="s">
        <v>282</v>
      </c>
      <c r="C639" s="1" t="s">
        <v>44</v>
      </c>
      <c r="D639" s="1" t="s">
        <v>45</v>
      </c>
      <c r="E639" s="1" t="s">
        <v>16</v>
      </c>
      <c r="F639" s="1" t="s">
        <v>39</v>
      </c>
      <c r="G639" s="1" t="s">
        <v>18</v>
      </c>
      <c r="H639" s="1">
        <v>11409</v>
      </c>
      <c r="I639" s="1" t="s">
        <v>33</v>
      </c>
      <c r="J639" s="1">
        <v>0.3</v>
      </c>
      <c r="K639" s="1">
        <v>13000</v>
      </c>
      <c r="L639" s="2">
        <v>45331</v>
      </c>
    </row>
    <row r="640" spans="1:12" x14ac:dyDescent="0.35">
      <c r="A640" s="1" t="s">
        <v>870</v>
      </c>
      <c r="B640" s="1" t="s">
        <v>248</v>
      </c>
      <c r="C640" s="1" t="s">
        <v>30</v>
      </c>
      <c r="D640" s="1" t="s">
        <v>31</v>
      </c>
      <c r="E640" s="1" t="s">
        <v>46</v>
      </c>
      <c r="F640" s="1" t="s">
        <v>17</v>
      </c>
      <c r="G640" s="1" t="s">
        <v>36</v>
      </c>
      <c r="H640" s="1">
        <v>17524</v>
      </c>
      <c r="I640" s="1" t="s">
        <v>33</v>
      </c>
      <c r="J640" s="1">
        <v>0.3</v>
      </c>
      <c r="K640" s="1">
        <v>17000</v>
      </c>
      <c r="L640" s="2">
        <v>45336</v>
      </c>
    </row>
    <row r="641" spans="1:12" x14ac:dyDescent="0.35">
      <c r="A641" s="1" t="s">
        <v>871</v>
      </c>
      <c r="B641" s="1" t="s">
        <v>373</v>
      </c>
      <c r="C641" s="1" t="s">
        <v>30</v>
      </c>
      <c r="D641" s="1" t="s">
        <v>31</v>
      </c>
      <c r="E641" s="1" t="s">
        <v>46</v>
      </c>
      <c r="F641" s="1" t="s">
        <v>17</v>
      </c>
      <c r="G641" s="1" t="s">
        <v>18</v>
      </c>
      <c r="H641" s="1">
        <v>15019</v>
      </c>
      <c r="I641" s="1" t="s">
        <v>33</v>
      </c>
      <c r="J641" s="1">
        <v>0.3</v>
      </c>
      <c r="K641" s="1">
        <v>17000</v>
      </c>
      <c r="L641" s="2">
        <v>45307</v>
      </c>
    </row>
    <row r="642" spans="1:12" x14ac:dyDescent="0.35">
      <c r="A642" s="1" t="s">
        <v>872</v>
      </c>
      <c r="B642" s="1" t="s">
        <v>294</v>
      </c>
      <c r="C642" s="1" t="s">
        <v>61</v>
      </c>
      <c r="D642" s="1" t="s">
        <v>62</v>
      </c>
      <c r="E642" s="1" t="s">
        <v>46</v>
      </c>
      <c r="F642" s="1" t="s">
        <v>17</v>
      </c>
      <c r="G642" s="1" t="s">
        <v>18</v>
      </c>
      <c r="H642" s="1">
        <v>9783</v>
      </c>
      <c r="I642" s="1" t="s">
        <v>33</v>
      </c>
      <c r="J642" s="1">
        <v>0.3</v>
      </c>
      <c r="K642" s="1">
        <v>9000</v>
      </c>
      <c r="L642" s="2">
        <v>45348</v>
      </c>
    </row>
    <row r="643" spans="1:12" x14ac:dyDescent="0.35">
      <c r="A643" s="1" t="s">
        <v>873</v>
      </c>
      <c r="B643" s="1" t="s">
        <v>231</v>
      </c>
      <c r="C643" s="1" t="s">
        <v>61</v>
      </c>
      <c r="D643" s="1" t="s">
        <v>62</v>
      </c>
      <c r="E643" s="1" t="s">
        <v>46</v>
      </c>
      <c r="F643" s="1" t="s">
        <v>17</v>
      </c>
      <c r="G643" s="1" t="s">
        <v>36</v>
      </c>
      <c r="H643" s="1">
        <v>9259</v>
      </c>
      <c r="I643" s="1" t="s">
        <v>22</v>
      </c>
      <c r="J643" s="1">
        <v>0.1</v>
      </c>
      <c r="K643" s="1">
        <v>9000</v>
      </c>
      <c r="L643" s="2">
        <v>45303</v>
      </c>
    </row>
    <row r="644" spans="1:12" x14ac:dyDescent="0.35">
      <c r="A644" s="1" t="s">
        <v>874</v>
      </c>
      <c r="B644" s="1" t="s">
        <v>163</v>
      </c>
      <c r="C644" s="1" t="s">
        <v>14</v>
      </c>
      <c r="D644" s="1" t="s">
        <v>15</v>
      </c>
      <c r="E644" s="1" t="s">
        <v>46</v>
      </c>
      <c r="F644" s="1" t="s">
        <v>25</v>
      </c>
      <c r="G644" s="1" t="s">
        <v>26</v>
      </c>
      <c r="H644" s="1">
        <v>12804</v>
      </c>
      <c r="I644" s="1" t="s">
        <v>33</v>
      </c>
      <c r="J644" s="1">
        <v>0.3</v>
      </c>
      <c r="K644" s="1">
        <v>14000</v>
      </c>
      <c r="L644" s="2">
        <v>45338</v>
      </c>
    </row>
    <row r="645" spans="1:12" x14ac:dyDescent="0.35">
      <c r="A645" s="1" t="s">
        <v>875</v>
      </c>
      <c r="B645" s="1" t="s">
        <v>50</v>
      </c>
      <c r="C645" s="1" t="s">
        <v>14</v>
      </c>
      <c r="D645" s="1" t="s">
        <v>15</v>
      </c>
      <c r="E645" s="1" t="s">
        <v>16</v>
      </c>
      <c r="F645" s="1" t="s">
        <v>25</v>
      </c>
      <c r="G645" s="1" t="s">
        <v>18</v>
      </c>
      <c r="H645" s="1">
        <v>15479</v>
      </c>
      <c r="I645" s="1" t="s">
        <v>27</v>
      </c>
      <c r="J645" s="1"/>
      <c r="K645" s="1">
        <v>14000</v>
      </c>
      <c r="L645" s="2">
        <v>45332</v>
      </c>
    </row>
    <row r="646" spans="1:12" x14ac:dyDescent="0.35">
      <c r="A646" s="1" t="s">
        <v>876</v>
      </c>
      <c r="B646" s="1" t="s">
        <v>129</v>
      </c>
      <c r="C646" s="1" t="s">
        <v>61</v>
      </c>
      <c r="D646" s="1" t="s">
        <v>62</v>
      </c>
      <c r="E646" s="1" t="s">
        <v>16</v>
      </c>
      <c r="F646" s="1" t="s">
        <v>25</v>
      </c>
      <c r="G646" s="1" t="s">
        <v>18</v>
      </c>
      <c r="H646" s="1">
        <v>9259</v>
      </c>
      <c r="I646" s="1" t="s">
        <v>33</v>
      </c>
      <c r="J646" s="1">
        <v>0.3</v>
      </c>
      <c r="K646" s="1">
        <v>9000</v>
      </c>
      <c r="L646" s="2">
        <v>45326</v>
      </c>
    </row>
    <row r="647" spans="1:12" x14ac:dyDescent="0.35">
      <c r="A647" s="1" t="s">
        <v>877</v>
      </c>
      <c r="B647" s="1" t="s">
        <v>84</v>
      </c>
      <c r="C647" s="1" t="s">
        <v>61</v>
      </c>
      <c r="D647" s="1" t="s">
        <v>62</v>
      </c>
      <c r="E647" s="1" t="s">
        <v>16</v>
      </c>
      <c r="F647" s="1" t="s">
        <v>25</v>
      </c>
      <c r="G647" s="1" t="s">
        <v>36</v>
      </c>
      <c r="H647" s="1">
        <v>8607</v>
      </c>
      <c r="I647" s="1" t="s">
        <v>19</v>
      </c>
      <c r="J647" s="1">
        <v>0.2</v>
      </c>
      <c r="K647" s="1">
        <v>9000</v>
      </c>
      <c r="L647" s="2">
        <v>45349</v>
      </c>
    </row>
    <row r="648" spans="1:12" x14ac:dyDescent="0.35">
      <c r="A648" s="1" t="s">
        <v>878</v>
      </c>
      <c r="B648" s="1" t="s">
        <v>522</v>
      </c>
      <c r="C648" s="1" t="s">
        <v>30</v>
      </c>
      <c r="D648" s="1" t="s">
        <v>31</v>
      </c>
      <c r="E648" s="1" t="s">
        <v>32</v>
      </c>
      <c r="F648" s="1" t="s">
        <v>17</v>
      </c>
      <c r="G648" s="1" t="s">
        <v>26</v>
      </c>
      <c r="H648" s="1">
        <v>17090</v>
      </c>
      <c r="I648" s="1" t="s">
        <v>22</v>
      </c>
      <c r="J648" s="1">
        <v>0.1</v>
      </c>
      <c r="K648" s="1">
        <v>17000</v>
      </c>
      <c r="L648" s="2">
        <v>45317</v>
      </c>
    </row>
    <row r="649" spans="1:12" x14ac:dyDescent="0.35">
      <c r="A649" s="1" t="s">
        <v>879</v>
      </c>
      <c r="B649" s="1" t="s">
        <v>301</v>
      </c>
      <c r="C649" s="1" t="s">
        <v>14</v>
      </c>
      <c r="D649" s="1" t="s">
        <v>15</v>
      </c>
      <c r="E649" s="1" t="s">
        <v>16</v>
      </c>
      <c r="F649" s="1" t="s">
        <v>25</v>
      </c>
      <c r="G649" s="1" t="s">
        <v>26</v>
      </c>
      <c r="H649" s="1">
        <v>14802</v>
      </c>
      <c r="I649" s="1" t="s">
        <v>19</v>
      </c>
      <c r="J649" s="1">
        <v>0.2</v>
      </c>
      <c r="K649" s="1">
        <v>14000</v>
      </c>
      <c r="L649" s="2">
        <v>45340</v>
      </c>
    </row>
    <row r="650" spans="1:12" x14ac:dyDescent="0.35">
      <c r="A650" s="1" t="s">
        <v>880</v>
      </c>
      <c r="B650" s="1" t="s">
        <v>80</v>
      </c>
      <c r="C650" s="1" t="s">
        <v>61</v>
      </c>
      <c r="D650" s="1" t="s">
        <v>62</v>
      </c>
      <c r="E650" s="1" t="s">
        <v>32</v>
      </c>
      <c r="F650" s="1" t="s">
        <v>25</v>
      </c>
      <c r="G650" s="1" t="s">
        <v>26</v>
      </c>
      <c r="H650" s="1">
        <v>10885</v>
      </c>
      <c r="I650" s="1" t="s">
        <v>27</v>
      </c>
      <c r="J650" s="1"/>
      <c r="K650" s="1">
        <v>9000</v>
      </c>
      <c r="L650" s="2">
        <v>45334</v>
      </c>
    </row>
    <row r="651" spans="1:12" x14ac:dyDescent="0.35">
      <c r="A651" s="1" t="s">
        <v>881</v>
      </c>
      <c r="B651" s="1" t="s">
        <v>412</v>
      </c>
      <c r="C651" s="1" t="s">
        <v>61</v>
      </c>
      <c r="D651" s="1" t="s">
        <v>62</v>
      </c>
      <c r="E651" s="1" t="s">
        <v>46</v>
      </c>
      <c r="F651" s="1" t="s">
        <v>25</v>
      </c>
      <c r="G651" s="1" t="s">
        <v>18</v>
      </c>
      <c r="H651" s="1">
        <v>10118</v>
      </c>
      <c r="I651" s="1"/>
      <c r="J651" s="1"/>
      <c r="K651" s="1">
        <v>9000</v>
      </c>
      <c r="L651" s="2">
        <v>45306</v>
      </c>
    </row>
    <row r="652" spans="1:12" x14ac:dyDescent="0.35">
      <c r="A652" s="1" t="s">
        <v>882</v>
      </c>
      <c r="B652" s="1" t="s">
        <v>263</v>
      </c>
      <c r="C652" s="1" t="s">
        <v>30</v>
      </c>
      <c r="D652" s="1" t="s">
        <v>31</v>
      </c>
      <c r="E652" s="1" t="s">
        <v>32</v>
      </c>
      <c r="F652" s="1" t="s">
        <v>25</v>
      </c>
      <c r="G652" s="1" t="s">
        <v>26</v>
      </c>
      <c r="H652" s="1">
        <v>15846</v>
      </c>
      <c r="I652" s="1" t="s">
        <v>27</v>
      </c>
      <c r="J652" s="1"/>
      <c r="K652" s="1">
        <v>17000</v>
      </c>
      <c r="L652" s="2">
        <v>45350</v>
      </c>
    </row>
    <row r="653" spans="1:12" x14ac:dyDescent="0.35">
      <c r="A653" s="1" t="s">
        <v>883</v>
      </c>
      <c r="B653" s="1" t="s">
        <v>602</v>
      </c>
      <c r="C653" s="1" t="s">
        <v>61</v>
      </c>
      <c r="D653" s="1" t="s">
        <v>62</v>
      </c>
      <c r="E653" s="1" t="s">
        <v>46</v>
      </c>
      <c r="F653" s="1" t="s">
        <v>17</v>
      </c>
      <c r="G653" s="1" t="s">
        <v>18</v>
      </c>
      <c r="H653" s="1">
        <v>7163</v>
      </c>
      <c r="I653" s="1" t="s">
        <v>33</v>
      </c>
      <c r="J653" s="1">
        <v>0.3</v>
      </c>
      <c r="K653" s="1">
        <v>9000</v>
      </c>
      <c r="L653" s="2">
        <v>45298</v>
      </c>
    </row>
    <row r="654" spans="1:12" x14ac:dyDescent="0.35">
      <c r="A654" s="1" t="s">
        <v>884</v>
      </c>
      <c r="B654" s="1" t="s">
        <v>103</v>
      </c>
      <c r="C654" s="1" t="s">
        <v>30</v>
      </c>
      <c r="D654" s="1" t="s">
        <v>31</v>
      </c>
      <c r="E654" s="1" t="s">
        <v>16</v>
      </c>
      <c r="F654" s="1" t="s">
        <v>17</v>
      </c>
      <c r="G654" s="1" t="s">
        <v>26</v>
      </c>
      <c r="H654" s="1">
        <v>17229</v>
      </c>
      <c r="I654" s="1" t="s">
        <v>27</v>
      </c>
      <c r="J654" s="1"/>
      <c r="K654" s="1">
        <v>17000</v>
      </c>
      <c r="L654" s="2">
        <v>45303</v>
      </c>
    </row>
    <row r="655" spans="1:12" x14ac:dyDescent="0.35">
      <c r="A655" s="1" t="s">
        <v>885</v>
      </c>
      <c r="B655" s="1" t="s">
        <v>274</v>
      </c>
      <c r="C655" s="1" t="s">
        <v>61</v>
      </c>
      <c r="D655" s="1" t="s">
        <v>62</v>
      </c>
      <c r="E655" s="1" t="s">
        <v>46</v>
      </c>
      <c r="F655" s="1" t="s">
        <v>39</v>
      </c>
      <c r="G655" s="1" t="s">
        <v>26</v>
      </c>
      <c r="H655" s="1">
        <v>10679</v>
      </c>
      <c r="I655" s="1" t="s">
        <v>22</v>
      </c>
      <c r="J655" s="1">
        <v>0.1</v>
      </c>
      <c r="K655" s="1">
        <v>9000</v>
      </c>
      <c r="L655" s="2">
        <v>45325</v>
      </c>
    </row>
    <row r="656" spans="1:12" x14ac:dyDescent="0.35">
      <c r="A656" s="1" t="s">
        <v>886</v>
      </c>
      <c r="B656" s="1" t="s">
        <v>70</v>
      </c>
      <c r="C656" s="1" t="s">
        <v>44</v>
      </c>
      <c r="D656" s="1" t="s">
        <v>45</v>
      </c>
      <c r="E656" s="1" t="s">
        <v>16</v>
      </c>
      <c r="F656" s="1" t="s">
        <v>17</v>
      </c>
      <c r="G656" s="1" t="s">
        <v>36</v>
      </c>
      <c r="H656" s="1">
        <v>14347</v>
      </c>
      <c r="I656" s="1" t="s">
        <v>33</v>
      </c>
      <c r="J656" s="1">
        <v>0.3</v>
      </c>
      <c r="K656" s="1">
        <v>13000</v>
      </c>
      <c r="L656" s="2">
        <v>45323</v>
      </c>
    </row>
    <row r="657" spans="1:12" x14ac:dyDescent="0.35">
      <c r="A657" s="1" t="s">
        <v>887</v>
      </c>
      <c r="B657" s="1" t="s">
        <v>298</v>
      </c>
      <c r="C657" s="1" t="s">
        <v>14</v>
      </c>
      <c r="D657" s="1" t="s">
        <v>15</v>
      </c>
      <c r="E657" s="1" t="s">
        <v>16</v>
      </c>
      <c r="F657" s="1" t="s">
        <v>25</v>
      </c>
      <c r="G657" s="1" t="s">
        <v>36</v>
      </c>
      <c r="H657" s="1">
        <v>12678</v>
      </c>
      <c r="I657" s="1" t="s">
        <v>19</v>
      </c>
      <c r="J657" s="1">
        <v>0.2</v>
      </c>
      <c r="K657" s="1">
        <v>14000</v>
      </c>
      <c r="L657" s="2">
        <v>45296</v>
      </c>
    </row>
    <row r="658" spans="1:12" x14ac:dyDescent="0.35">
      <c r="A658" s="1" t="s">
        <v>888</v>
      </c>
      <c r="B658" s="1" t="s">
        <v>202</v>
      </c>
      <c r="C658" s="1" t="s">
        <v>30</v>
      </c>
      <c r="D658" s="1" t="s">
        <v>31</v>
      </c>
      <c r="E658" s="1" t="s">
        <v>32</v>
      </c>
      <c r="F658" s="1" t="s">
        <v>25</v>
      </c>
      <c r="G658" s="1" t="s">
        <v>18</v>
      </c>
      <c r="H658" s="1">
        <v>15644</v>
      </c>
      <c r="I658" s="1" t="s">
        <v>33</v>
      </c>
      <c r="J658" s="1">
        <v>0.3</v>
      </c>
      <c r="K658" s="1">
        <v>17000</v>
      </c>
      <c r="L658" s="2">
        <v>45330</v>
      </c>
    </row>
    <row r="659" spans="1:12" x14ac:dyDescent="0.35">
      <c r="A659" s="1" t="s">
        <v>889</v>
      </c>
      <c r="B659" s="1" t="s">
        <v>371</v>
      </c>
      <c r="C659" s="1" t="s">
        <v>14</v>
      </c>
      <c r="D659" s="1" t="s">
        <v>15</v>
      </c>
      <c r="E659" s="1" t="s">
        <v>16</v>
      </c>
      <c r="F659" s="1" t="s">
        <v>25</v>
      </c>
      <c r="G659" s="1" t="s">
        <v>36</v>
      </c>
      <c r="H659" s="1">
        <v>15322</v>
      </c>
      <c r="I659" s="1" t="s">
        <v>33</v>
      </c>
      <c r="J659" s="1">
        <v>0.3</v>
      </c>
      <c r="K659" s="1">
        <v>14000</v>
      </c>
      <c r="L659" s="2">
        <v>45338</v>
      </c>
    </row>
    <row r="660" spans="1:12" x14ac:dyDescent="0.35">
      <c r="A660" s="1" t="s">
        <v>890</v>
      </c>
      <c r="B660" s="1" t="s">
        <v>245</v>
      </c>
      <c r="C660" s="1" t="s">
        <v>61</v>
      </c>
      <c r="D660" s="1" t="s">
        <v>62</v>
      </c>
      <c r="E660" s="1" t="s">
        <v>46</v>
      </c>
      <c r="F660" s="1" t="s">
        <v>25</v>
      </c>
      <c r="G660" s="1" t="s">
        <v>26</v>
      </c>
      <c r="H660" s="1">
        <v>7660</v>
      </c>
      <c r="I660" s="1"/>
      <c r="J660" s="1"/>
      <c r="K660" s="1">
        <v>9000</v>
      </c>
      <c r="L660" s="2">
        <v>45293</v>
      </c>
    </row>
    <row r="661" spans="1:12" x14ac:dyDescent="0.35">
      <c r="A661" s="1" t="s">
        <v>891</v>
      </c>
      <c r="B661" s="1" t="s">
        <v>500</v>
      </c>
      <c r="C661" s="1" t="s">
        <v>44</v>
      </c>
      <c r="D661" s="1" t="s">
        <v>45</v>
      </c>
      <c r="E661" s="1" t="s">
        <v>16</v>
      </c>
      <c r="F661" s="1" t="s">
        <v>39</v>
      </c>
      <c r="G661" s="1" t="s">
        <v>18</v>
      </c>
      <c r="H661" s="1">
        <v>11551</v>
      </c>
      <c r="I661" s="1" t="s">
        <v>27</v>
      </c>
      <c r="J661" s="1"/>
      <c r="K661" s="1">
        <v>13000</v>
      </c>
      <c r="L661" s="2">
        <v>45294</v>
      </c>
    </row>
    <row r="662" spans="1:12" x14ac:dyDescent="0.35">
      <c r="A662" s="1" t="s">
        <v>892</v>
      </c>
      <c r="B662" s="1" t="s">
        <v>60</v>
      </c>
      <c r="C662" s="1" t="s">
        <v>44</v>
      </c>
      <c r="D662" s="1" t="s">
        <v>45</v>
      </c>
      <c r="E662" s="1" t="s">
        <v>32</v>
      </c>
      <c r="F662" s="1" t="s">
        <v>25</v>
      </c>
      <c r="G662" s="1" t="s">
        <v>36</v>
      </c>
      <c r="H662" s="1">
        <v>14778</v>
      </c>
      <c r="I662" s="1" t="s">
        <v>19</v>
      </c>
      <c r="J662" s="1">
        <v>0.2</v>
      </c>
      <c r="K662" s="1">
        <v>13000</v>
      </c>
      <c r="L662" s="2">
        <v>45325</v>
      </c>
    </row>
    <row r="663" spans="1:12" x14ac:dyDescent="0.35">
      <c r="A663" s="1" t="s">
        <v>893</v>
      </c>
      <c r="B663" s="1" t="s">
        <v>617</v>
      </c>
      <c r="C663" s="1" t="s">
        <v>14</v>
      </c>
      <c r="D663" s="1" t="s">
        <v>15</v>
      </c>
      <c r="E663" s="1" t="s">
        <v>16</v>
      </c>
      <c r="F663" s="1" t="s">
        <v>39</v>
      </c>
      <c r="G663" s="1" t="s">
        <v>26</v>
      </c>
      <c r="H663" s="1">
        <v>15364</v>
      </c>
      <c r="I663" s="1" t="s">
        <v>33</v>
      </c>
      <c r="J663" s="1">
        <v>0.3</v>
      </c>
      <c r="K663" s="1">
        <v>14000</v>
      </c>
      <c r="L663" s="2">
        <v>45352</v>
      </c>
    </row>
    <row r="664" spans="1:12" x14ac:dyDescent="0.35">
      <c r="A664" s="1" t="s">
        <v>894</v>
      </c>
      <c r="B664" s="1" t="s">
        <v>248</v>
      </c>
      <c r="C664" s="1" t="s">
        <v>61</v>
      </c>
      <c r="D664" s="1" t="s">
        <v>62</v>
      </c>
      <c r="E664" s="1" t="s">
        <v>16</v>
      </c>
      <c r="F664" s="1" t="s">
        <v>17</v>
      </c>
      <c r="G664" s="1" t="s">
        <v>36</v>
      </c>
      <c r="H664" s="1">
        <v>7698</v>
      </c>
      <c r="I664" s="1" t="s">
        <v>19</v>
      </c>
      <c r="J664" s="1">
        <v>0.2</v>
      </c>
      <c r="K664" s="1">
        <v>9000</v>
      </c>
      <c r="L664" s="2">
        <v>45345</v>
      </c>
    </row>
    <row r="665" spans="1:12" x14ac:dyDescent="0.35">
      <c r="A665" s="1" t="s">
        <v>895</v>
      </c>
      <c r="B665" s="1" t="s">
        <v>617</v>
      </c>
      <c r="C665" s="1" t="s">
        <v>44</v>
      </c>
      <c r="D665" s="1" t="s">
        <v>45</v>
      </c>
      <c r="E665" s="1" t="s">
        <v>16</v>
      </c>
      <c r="F665" s="1" t="s">
        <v>25</v>
      </c>
      <c r="G665" s="1" t="s">
        <v>26</v>
      </c>
      <c r="H665" s="1">
        <v>13701</v>
      </c>
      <c r="I665" s="1" t="s">
        <v>27</v>
      </c>
      <c r="J665" s="1"/>
      <c r="K665" s="1">
        <v>13000</v>
      </c>
      <c r="L665" s="2">
        <v>45308</v>
      </c>
    </row>
    <row r="666" spans="1:12" x14ac:dyDescent="0.35">
      <c r="A666" s="1" t="s">
        <v>896</v>
      </c>
      <c r="B666" s="1" t="s">
        <v>280</v>
      </c>
      <c r="C666" s="1" t="s">
        <v>30</v>
      </c>
      <c r="D666" s="1" t="s">
        <v>31</v>
      </c>
      <c r="E666" s="1" t="s">
        <v>46</v>
      </c>
      <c r="F666" s="1" t="s">
        <v>39</v>
      </c>
      <c r="G666" s="1" t="s">
        <v>26</v>
      </c>
      <c r="H666" s="1">
        <v>15281</v>
      </c>
      <c r="I666" s="1" t="s">
        <v>19</v>
      </c>
      <c r="J666" s="1">
        <v>0.2</v>
      </c>
      <c r="K666" s="1">
        <v>17000</v>
      </c>
      <c r="L666" s="2">
        <v>45316</v>
      </c>
    </row>
    <row r="667" spans="1:12" x14ac:dyDescent="0.35">
      <c r="A667" s="1" t="s">
        <v>897</v>
      </c>
      <c r="B667" s="1" t="s">
        <v>186</v>
      </c>
      <c r="C667" s="1" t="s">
        <v>14</v>
      </c>
      <c r="D667" s="1" t="s">
        <v>15</v>
      </c>
      <c r="E667" s="1" t="s">
        <v>32</v>
      </c>
      <c r="F667" s="1" t="s">
        <v>25</v>
      </c>
      <c r="G667" s="1" t="s">
        <v>26</v>
      </c>
      <c r="H667" s="1">
        <v>15520</v>
      </c>
      <c r="I667" s="1" t="s">
        <v>27</v>
      </c>
      <c r="J667" s="1"/>
      <c r="K667" s="1">
        <v>14000</v>
      </c>
      <c r="L667" s="2">
        <v>45335</v>
      </c>
    </row>
    <row r="668" spans="1:12" x14ac:dyDescent="0.35">
      <c r="A668" s="1" t="s">
        <v>898</v>
      </c>
      <c r="B668" s="1" t="s">
        <v>309</v>
      </c>
      <c r="C668" s="1" t="s">
        <v>44</v>
      </c>
      <c r="D668" s="1" t="s">
        <v>45</v>
      </c>
      <c r="E668" s="1" t="s">
        <v>16</v>
      </c>
      <c r="F668" s="1" t="s">
        <v>25</v>
      </c>
      <c r="G668" s="1" t="s">
        <v>18</v>
      </c>
      <c r="H668" s="1">
        <v>12949</v>
      </c>
      <c r="I668" s="1" t="s">
        <v>27</v>
      </c>
      <c r="J668" s="1"/>
      <c r="K668" s="1">
        <v>13000</v>
      </c>
      <c r="L668" s="2">
        <v>45330</v>
      </c>
    </row>
    <row r="669" spans="1:12" x14ac:dyDescent="0.35">
      <c r="A669" s="1" t="s">
        <v>899</v>
      </c>
      <c r="B669" s="1" t="s">
        <v>321</v>
      </c>
      <c r="C669" s="1" t="s">
        <v>14</v>
      </c>
      <c r="D669" s="1" t="s">
        <v>15</v>
      </c>
      <c r="E669" s="1" t="s">
        <v>32</v>
      </c>
      <c r="F669" s="1" t="s">
        <v>17</v>
      </c>
      <c r="G669" s="1" t="s">
        <v>26</v>
      </c>
      <c r="H669" s="1">
        <v>12533</v>
      </c>
      <c r="I669" s="1" t="s">
        <v>27</v>
      </c>
      <c r="J669" s="1"/>
      <c r="K669" s="1">
        <v>14000</v>
      </c>
      <c r="L669" s="2">
        <v>45326</v>
      </c>
    </row>
    <row r="670" spans="1:12" x14ac:dyDescent="0.35">
      <c r="A670" s="1" t="s">
        <v>900</v>
      </c>
      <c r="B670" s="1" t="s">
        <v>676</v>
      </c>
      <c r="C670" s="1" t="s">
        <v>61</v>
      </c>
      <c r="D670" s="1" t="s">
        <v>62</v>
      </c>
      <c r="E670" s="1" t="s">
        <v>16</v>
      </c>
      <c r="F670" s="1" t="s">
        <v>17</v>
      </c>
      <c r="G670" s="1" t="s">
        <v>36</v>
      </c>
      <c r="H670" s="1">
        <v>10583</v>
      </c>
      <c r="I670" s="1" t="s">
        <v>22</v>
      </c>
      <c r="J670" s="1">
        <v>0.1</v>
      </c>
      <c r="K670" s="1">
        <v>9000</v>
      </c>
      <c r="L670" s="2">
        <v>45336</v>
      </c>
    </row>
    <row r="671" spans="1:12" x14ac:dyDescent="0.35">
      <c r="A671" s="1" t="s">
        <v>901</v>
      </c>
      <c r="B671" s="1" t="s">
        <v>388</v>
      </c>
      <c r="C671" s="1" t="s">
        <v>44</v>
      </c>
      <c r="D671" s="1" t="s">
        <v>45</v>
      </c>
      <c r="E671" s="1" t="s">
        <v>46</v>
      </c>
      <c r="F671" s="1" t="s">
        <v>17</v>
      </c>
      <c r="G671" s="1" t="s">
        <v>36</v>
      </c>
      <c r="H671" s="1">
        <v>13412</v>
      </c>
      <c r="I671" s="1" t="s">
        <v>27</v>
      </c>
      <c r="J671" s="1"/>
      <c r="K671" s="1">
        <v>13000</v>
      </c>
      <c r="L671" s="2">
        <v>45298</v>
      </c>
    </row>
    <row r="672" spans="1:12" x14ac:dyDescent="0.35">
      <c r="A672" s="1" t="s">
        <v>902</v>
      </c>
      <c r="B672" s="1" t="s">
        <v>186</v>
      </c>
      <c r="C672" s="1" t="s">
        <v>30</v>
      </c>
      <c r="D672" s="1" t="s">
        <v>31</v>
      </c>
      <c r="E672" s="1" t="s">
        <v>46</v>
      </c>
      <c r="F672" s="1" t="s">
        <v>25</v>
      </c>
      <c r="G672" s="1" t="s">
        <v>18</v>
      </c>
      <c r="H672" s="1">
        <v>16160</v>
      </c>
      <c r="I672" s="1" t="s">
        <v>27</v>
      </c>
      <c r="J672" s="1"/>
      <c r="K672" s="1">
        <v>17000</v>
      </c>
      <c r="L672" s="2">
        <v>45348</v>
      </c>
    </row>
    <row r="673" spans="1:12" x14ac:dyDescent="0.35">
      <c r="A673" s="1" t="s">
        <v>903</v>
      </c>
      <c r="B673" s="1" t="s">
        <v>388</v>
      </c>
      <c r="C673" s="1" t="s">
        <v>30</v>
      </c>
      <c r="D673" s="1" t="s">
        <v>31</v>
      </c>
      <c r="E673" s="1" t="s">
        <v>32</v>
      </c>
      <c r="F673" s="1" t="s">
        <v>25</v>
      </c>
      <c r="G673" s="1" t="s">
        <v>26</v>
      </c>
      <c r="H673" s="1">
        <v>18045</v>
      </c>
      <c r="I673" s="1" t="s">
        <v>22</v>
      </c>
      <c r="J673" s="1">
        <v>0.1</v>
      </c>
      <c r="K673" s="1">
        <v>17000</v>
      </c>
      <c r="L673" s="2">
        <v>45328</v>
      </c>
    </row>
    <row r="674" spans="1:12" x14ac:dyDescent="0.35">
      <c r="A674" s="1" t="s">
        <v>904</v>
      </c>
      <c r="B674" s="1" t="s">
        <v>905</v>
      </c>
      <c r="C674" s="1" t="s">
        <v>14</v>
      </c>
      <c r="D674" s="1" t="s">
        <v>15</v>
      </c>
      <c r="E674" s="1" t="s">
        <v>46</v>
      </c>
      <c r="F674" s="1" t="s">
        <v>39</v>
      </c>
      <c r="G674" s="1" t="s">
        <v>18</v>
      </c>
      <c r="H674" s="1">
        <v>14817</v>
      </c>
      <c r="I674" s="1" t="s">
        <v>33</v>
      </c>
      <c r="J674" s="1">
        <v>0.3</v>
      </c>
      <c r="K674" s="1">
        <v>14000</v>
      </c>
      <c r="L674" s="2">
        <v>45318</v>
      </c>
    </row>
    <row r="675" spans="1:12" x14ac:dyDescent="0.35">
      <c r="A675" s="1" t="s">
        <v>906</v>
      </c>
      <c r="B675" s="1" t="s">
        <v>116</v>
      </c>
      <c r="C675" s="1" t="s">
        <v>44</v>
      </c>
      <c r="D675" s="1" t="s">
        <v>45</v>
      </c>
      <c r="E675" s="1" t="s">
        <v>46</v>
      </c>
      <c r="F675" s="1" t="s">
        <v>39</v>
      </c>
      <c r="G675" s="1" t="s">
        <v>26</v>
      </c>
      <c r="H675" s="1">
        <v>12038</v>
      </c>
      <c r="I675" s="1" t="s">
        <v>33</v>
      </c>
      <c r="J675" s="1">
        <v>0.3</v>
      </c>
      <c r="K675" s="1">
        <v>13000</v>
      </c>
      <c r="L675" s="2">
        <v>45346</v>
      </c>
    </row>
    <row r="676" spans="1:12" x14ac:dyDescent="0.35">
      <c r="A676" s="1" t="s">
        <v>907</v>
      </c>
      <c r="B676" s="1" t="s">
        <v>388</v>
      </c>
      <c r="C676" s="1" t="s">
        <v>30</v>
      </c>
      <c r="D676" s="1" t="s">
        <v>31</v>
      </c>
      <c r="E676" s="1" t="s">
        <v>16</v>
      </c>
      <c r="F676" s="1" t="s">
        <v>17</v>
      </c>
      <c r="G676" s="1" t="s">
        <v>26</v>
      </c>
      <c r="H676" s="1">
        <v>16627</v>
      </c>
      <c r="I676" s="1" t="s">
        <v>19</v>
      </c>
      <c r="J676" s="1">
        <v>0.2</v>
      </c>
      <c r="K676" s="1">
        <v>17000</v>
      </c>
      <c r="L676" s="2">
        <v>45318</v>
      </c>
    </row>
    <row r="677" spans="1:12" x14ac:dyDescent="0.35">
      <c r="A677" s="1" t="s">
        <v>908</v>
      </c>
      <c r="B677" s="1" t="s">
        <v>82</v>
      </c>
      <c r="C677" s="1" t="s">
        <v>61</v>
      </c>
      <c r="D677" s="1" t="s">
        <v>62</v>
      </c>
      <c r="E677" s="1" t="s">
        <v>32</v>
      </c>
      <c r="F677" s="1" t="s">
        <v>17</v>
      </c>
      <c r="G677" s="1" t="s">
        <v>26</v>
      </c>
      <c r="H677" s="1">
        <v>9272</v>
      </c>
      <c r="I677" s="1"/>
      <c r="J677" s="1"/>
      <c r="K677" s="1">
        <v>9000</v>
      </c>
      <c r="L677" s="2">
        <v>45308</v>
      </c>
    </row>
    <row r="678" spans="1:12" x14ac:dyDescent="0.35">
      <c r="A678" s="1" t="s">
        <v>909</v>
      </c>
      <c r="B678" s="1" t="s">
        <v>118</v>
      </c>
      <c r="C678" s="1" t="s">
        <v>30</v>
      </c>
      <c r="D678" s="1" t="s">
        <v>31</v>
      </c>
      <c r="E678" s="1" t="s">
        <v>16</v>
      </c>
      <c r="F678" s="1" t="s">
        <v>17</v>
      </c>
      <c r="G678" s="1" t="s">
        <v>26</v>
      </c>
      <c r="H678" s="1">
        <v>15565</v>
      </c>
      <c r="I678" s="1" t="s">
        <v>22</v>
      </c>
      <c r="J678" s="1">
        <v>0.1</v>
      </c>
      <c r="K678" s="1">
        <v>17000</v>
      </c>
      <c r="L678" s="2">
        <v>45339</v>
      </c>
    </row>
    <row r="679" spans="1:12" x14ac:dyDescent="0.35">
      <c r="A679" s="1" t="s">
        <v>910</v>
      </c>
      <c r="B679" s="1" t="s">
        <v>29</v>
      </c>
      <c r="C679" s="1" t="s">
        <v>44</v>
      </c>
      <c r="D679" s="1" t="s">
        <v>45</v>
      </c>
      <c r="E679" s="1" t="s">
        <v>32</v>
      </c>
      <c r="F679" s="1" t="s">
        <v>25</v>
      </c>
      <c r="G679" s="1" t="s">
        <v>26</v>
      </c>
      <c r="H679" s="1">
        <v>12640</v>
      </c>
      <c r="I679" s="1" t="s">
        <v>33</v>
      </c>
      <c r="J679" s="1">
        <v>0.3</v>
      </c>
      <c r="K679" s="1">
        <v>13000</v>
      </c>
      <c r="L679" s="2">
        <v>45343</v>
      </c>
    </row>
    <row r="680" spans="1:12" x14ac:dyDescent="0.35">
      <c r="A680" s="1" t="s">
        <v>911</v>
      </c>
      <c r="B680" s="1" t="s">
        <v>382</v>
      </c>
      <c r="C680" s="1" t="s">
        <v>14</v>
      </c>
      <c r="D680" s="1" t="s">
        <v>15</v>
      </c>
      <c r="E680" s="1" t="s">
        <v>32</v>
      </c>
      <c r="F680" s="1" t="s">
        <v>17</v>
      </c>
      <c r="G680" s="1" t="s">
        <v>26</v>
      </c>
      <c r="H680" s="1">
        <v>12021</v>
      </c>
      <c r="I680" s="1" t="s">
        <v>22</v>
      </c>
      <c r="J680" s="1">
        <v>0.1</v>
      </c>
      <c r="K680" s="1">
        <v>14000</v>
      </c>
      <c r="L680" s="2">
        <v>45344</v>
      </c>
    </row>
    <row r="681" spans="1:12" x14ac:dyDescent="0.35">
      <c r="A681" s="1" t="s">
        <v>912</v>
      </c>
      <c r="B681" s="1" t="s">
        <v>429</v>
      </c>
      <c r="C681" s="1" t="s">
        <v>61</v>
      </c>
      <c r="D681" s="1" t="s">
        <v>62</v>
      </c>
      <c r="E681" s="1" t="s">
        <v>32</v>
      </c>
      <c r="F681" s="1" t="s">
        <v>25</v>
      </c>
      <c r="G681" s="1" t="s">
        <v>36</v>
      </c>
      <c r="H681" s="1">
        <v>7908</v>
      </c>
      <c r="I681" s="1" t="s">
        <v>33</v>
      </c>
      <c r="J681" s="1">
        <v>0.3</v>
      </c>
      <c r="K681" s="1">
        <v>9000</v>
      </c>
      <c r="L681" s="2">
        <v>45297</v>
      </c>
    </row>
    <row r="682" spans="1:12" x14ac:dyDescent="0.35">
      <c r="A682" s="1" t="s">
        <v>913</v>
      </c>
      <c r="B682" s="1" t="s">
        <v>359</v>
      </c>
      <c r="C682" s="1" t="s">
        <v>61</v>
      </c>
      <c r="D682" s="1" t="s">
        <v>62</v>
      </c>
      <c r="E682" s="1" t="s">
        <v>46</v>
      </c>
      <c r="F682" s="1" t="s">
        <v>39</v>
      </c>
      <c r="G682" s="1" t="s">
        <v>26</v>
      </c>
      <c r="H682" s="1">
        <v>9134</v>
      </c>
      <c r="I682" s="1" t="s">
        <v>33</v>
      </c>
      <c r="J682" s="1">
        <v>0.3</v>
      </c>
      <c r="K682" s="1">
        <v>9000</v>
      </c>
      <c r="L682" s="2">
        <v>45337</v>
      </c>
    </row>
    <row r="683" spans="1:12" x14ac:dyDescent="0.35">
      <c r="A683" s="1" t="s">
        <v>914</v>
      </c>
      <c r="B683" s="1" t="s">
        <v>359</v>
      </c>
      <c r="C683" s="1" t="s">
        <v>44</v>
      </c>
      <c r="D683" s="1" t="s">
        <v>45</v>
      </c>
      <c r="E683" s="1" t="s">
        <v>16</v>
      </c>
      <c r="F683" s="1" t="s">
        <v>17</v>
      </c>
      <c r="G683" s="1" t="s">
        <v>36</v>
      </c>
      <c r="H683" s="1">
        <v>11043</v>
      </c>
      <c r="I683" s="1" t="s">
        <v>19</v>
      </c>
      <c r="J683" s="1">
        <v>0.2</v>
      </c>
      <c r="K683" s="1">
        <v>13000</v>
      </c>
      <c r="L683" s="2">
        <v>45346</v>
      </c>
    </row>
    <row r="684" spans="1:12" x14ac:dyDescent="0.35">
      <c r="A684" s="1" t="s">
        <v>915</v>
      </c>
      <c r="B684" s="1" t="s">
        <v>270</v>
      </c>
      <c r="C684" s="1" t="s">
        <v>30</v>
      </c>
      <c r="D684" s="1" t="s">
        <v>31</v>
      </c>
      <c r="E684" s="1" t="s">
        <v>32</v>
      </c>
      <c r="F684" s="1" t="s">
        <v>25</v>
      </c>
      <c r="G684" s="1" t="s">
        <v>26</v>
      </c>
      <c r="H684" s="1">
        <v>17091</v>
      </c>
      <c r="I684" s="1" t="s">
        <v>27</v>
      </c>
      <c r="J684" s="1"/>
      <c r="K684" s="1">
        <v>17000</v>
      </c>
      <c r="L684" s="2">
        <v>45336</v>
      </c>
    </row>
    <row r="685" spans="1:12" x14ac:dyDescent="0.35">
      <c r="A685" s="1" t="s">
        <v>916</v>
      </c>
      <c r="B685" s="1" t="s">
        <v>56</v>
      </c>
      <c r="C685" s="1" t="s">
        <v>44</v>
      </c>
      <c r="D685" s="1" t="s">
        <v>45</v>
      </c>
      <c r="E685" s="1" t="s">
        <v>16</v>
      </c>
      <c r="F685" s="1" t="s">
        <v>25</v>
      </c>
      <c r="G685" s="1" t="s">
        <v>36</v>
      </c>
      <c r="H685" s="1">
        <v>11979</v>
      </c>
      <c r="I685" s="1" t="s">
        <v>22</v>
      </c>
      <c r="J685" s="1">
        <v>0.1</v>
      </c>
      <c r="K685" s="1">
        <v>13000</v>
      </c>
      <c r="L685" s="2">
        <v>45302</v>
      </c>
    </row>
    <row r="686" spans="1:12" x14ac:dyDescent="0.35">
      <c r="A686" s="1" t="s">
        <v>917</v>
      </c>
      <c r="B686" s="1" t="s">
        <v>263</v>
      </c>
      <c r="C686" s="1" t="s">
        <v>61</v>
      </c>
      <c r="D686" s="1" t="s">
        <v>62</v>
      </c>
      <c r="E686" s="1" t="s">
        <v>46</v>
      </c>
      <c r="F686" s="1" t="s">
        <v>39</v>
      </c>
      <c r="G686" s="1" t="s">
        <v>36</v>
      </c>
      <c r="H686" s="1">
        <v>8660</v>
      </c>
      <c r="I686" s="1" t="s">
        <v>27</v>
      </c>
      <c r="J686" s="1"/>
      <c r="K686" s="1">
        <v>9000</v>
      </c>
      <c r="L686" s="2">
        <v>45304</v>
      </c>
    </row>
    <row r="687" spans="1:12" x14ac:dyDescent="0.35">
      <c r="A687" s="1" t="s">
        <v>918</v>
      </c>
      <c r="B687" s="1" t="s">
        <v>184</v>
      </c>
      <c r="C687" s="1" t="s">
        <v>14</v>
      </c>
      <c r="D687" s="1" t="s">
        <v>15</v>
      </c>
      <c r="E687" s="1" t="s">
        <v>32</v>
      </c>
      <c r="F687" s="1" t="s">
        <v>39</v>
      </c>
      <c r="G687" s="1" t="s">
        <v>36</v>
      </c>
      <c r="H687" s="1">
        <v>14974</v>
      </c>
      <c r="I687" s="1" t="s">
        <v>27</v>
      </c>
      <c r="J687" s="1"/>
      <c r="K687" s="1">
        <v>14000</v>
      </c>
      <c r="L687" s="2">
        <v>45350</v>
      </c>
    </row>
    <row r="688" spans="1:12" x14ac:dyDescent="0.35">
      <c r="A688" s="1" t="s">
        <v>919</v>
      </c>
      <c r="B688" s="1" t="s">
        <v>920</v>
      </c>
      <c r="C688" s="1" t="s">
        <v>30</v>
      </c>
      <c r="D688" s="1" t="s">
        <v>31</v>
      </c>
      <c r="E688" s="1" t="s">
        <v>46</v>
      </c>
      <c r="F688" s="1" t="s">
        <v>25</v>
      </c>
      <c r="G688" s="1" t="s">
        <v>26</v>
      </c>
      <c r="H688" s="1">
        <v>18944</v>
      </c>
      <c r="I688" s="1" t="s">
        <v>19</v>
      </c>
      <c r="J688" s="1">
        <v>0.2</v>
      </c>
      <c r="K688" s="1">
        <v>17000</v>
      </c>
      <c r="L688" s="2">
        <v>45321</v>
      </c>
    </row>
    <row r="689" spans="1:12" x14ac:dyDescent="0.35">
      <c r="A689" s="1" t="s">
        <v>921</v>
      </c>
      <c r="B689" s="1" t="s">
        <v>137</v>
      </c>
      <c r="C689" s="1" t="s">
        <v>14</v>
      </c>
      <c r="D689" s="1" t="s">
        <v>15</v>
      </c>
      <c r="E689" s="1" t="s">
        <v>46</v>
      </c>
      <c r="F689" s="1" t="s">
        <v>25</v>
      </c>
      <c r="G689" s="1" t="s">
        <v>36</v>
      </c>
      <c r="H689" s="1">
        <v>14073</v>
      </c>
      <c r="I689" s="1" t="s">
        <v>22</v>
      </c>
      <c r="J689" s="1">
        <v>0.1</v>
      </c>
      <c r="K689" s="1">
        <v>14000</v>
      </c>
      <c r="L689" s="2">
        <v>45327</v>
      </c>
    </row>
    <row r="690" spans="1:12" x14ac:dyDescent="0.35">
      <c r="A690" s="1" t="s">
        <v>922</v>
      </c>
      <c r="B690" s="1" t="s">
        <v>241</v>
      </c>
      <c r="C690" s="1" t="s">
        <v>30</v>
      </c>
      <c r="D690" s="1" t="s">
        <v>31</v>
      </c>
      <c r="E690" s="1" t="s">
        <v>46</v>
      </c>
      <c r="F690" s="1" t="s">
        <v>25</v>
      </c>
      <c r="G690" s="1" t="s">
        <v>26</v>
      </c>
      <c r="H690" s="1">
        <v>18918</v>
      </c>
      <c r="I690" s="1" t="s">
        <v>33</v>
      </c>
      <c r="J690" s="1">
        <v>0.3</v>
      </c>
      <c r="K690" s="1">
        <v>17000</v>
      </c>
      <c r="L690" s="2">
        <v>45348</v>
      </c>
    </row>
    <row r="691" spans="1:12" x14ac:dyDescent="0.35">
      <c r="A691" s="1" t="s">
        <v>923</v>
      </c>
      <c r="B691" s="1" t="s">
        <v>105</v>
      </c>
      <c r="C691" s="1" t="s">
        <v>30</v>
      </c>
      <c r="D691" s="1" t="s">
        <v>31</v>
      </c>
      <c r="E691" s="1" t="s">
        <v>16</v>
      </c>
      <c r="F691" s="1" t="s">
        <v>17</v>
      </c>
      <c r="G691" s="1" t="s">
        <v>36</v>
      </c>
      <c r="H691" s="1">
        <v>17306</v>
      </c>
      <c r="I691" s="1"/>
      <c r="J691" s="1"/>
      <c r="K691" s="1">
        <v>17000</v>
      </c>
      <c r="L691" s="2">
        <v>45341</v>
      </c>
    </row>
    <row r="692" spans="1:12" x14ac:dyDescent="0.35">
      <c r="A692" s="1" t="s">
        <v>924</v>
      </c>
      <c r="B692" s="1" t="s">
        <v>401</v>
      </c>
      <c r="C692" s="1" t="s">
        <v>30</v>
      </c>
      <c r="D692" s="1" t="s">
        <v>31</v>
      </c>
      <c r="E692" s="1" t="s">
        <v>46</v>
      </c>
      <c r="F692" s="1" t="s">
        <v>39</v>
      </c>
      <c r="G692" s="1" t="s">
        <v>36</v>
      </c>
      <c r="H692" s="1">
        <v>18672</v>
      </c>
      <c r="I692" s="1" t="s">
        <v>27</v>
      </c>
      <c r="J692" s="1"/>
      <c r="K692" s="1">
        <v>17000</v>
      </c>
      <c r="L692" s="2">
        <v>45347</v>
      </c>
    </row>
    <row r="693" spans="1:12" x14ac:dyDescent="0.35">
      <c r="A693" s="1" t="s">
        <v>925</v>
      </c>
      <c r="B693" s="1" t="s">
        <v>489</v>
      </c>
      <c r="C693" s="1" t="s">
        <v>14</v>
      </c>
      <c r="D693" s="1" t="s">
        <v>15</v>
      </c>
      <c r="E693" s="1" t="s">
        <v>46</v>
      </c>
      <c r="F693" s="1" t="s">
        <v>25</v>
      </c>
      <c r="G693" s="1" t="s">
        <v>36</v>
      </c>
      <c r="H693" s="1">
        <v>14595</v>
      </c>
      <c r="I693" s="1" t="s">
        <v>19</v>
      </c>
      <c r="J693" s="1">
        <v>0.2</v>
      </c>
      <c r="K693" s="1">
        <v>14000</v>
      </c>
      <c r="L693" s="2">
        <v>45335</v>
      </c>
    </row>
    <row r="694" spans="1:12" x14ac:dyDescent="0.35">
      <c r="A694" s="1" t="s">
        <v>926</v>
      </c>
      <c r="B694" s="1" t="s">
        <v>397</v>
      </c>
      <c r="C694" s="1" t="s">
        <v>30</v>
      </c>
      <c r="D694" s="1" t="s">
        <v>31</v>
      </c>
      <c r="E694" s="1" t="s">
        <v>46</v>
      </c>
      <c r="F694" s="1" t="s">
        <v>17</v>
      </c>
      <c r="G694" s="1" t="s">
        <v>26</v>
      </c>
      <c r="H694" s="1">
        <v>17194</v>
      </c>
      <c r="I694" s="1" t="s">
        <v>22</v>
      </c>
      <c r="J694" s="1">
        <v>0.1</v>
      </c>
      <c r="K694" s="1">
        <v>17000</v>
      </c>
      <c r="L694" s="2">
        <v>45336</v>
      </c>
    </row>
    <row r="695" spans="1:12" x14ac:dyDescent="0.35">
      <c r="A695" s="1" t="s">
        <v>927</v>
      </c>
      <c r="B695" s="1" t="s">
        <v>643</v>
      </c>
      <c r="C695" s="1" t="s">
        <v>44</v>
      </c>
      <c r="D695" s="1" t="s">
        <v>45</v>
      </c>
      <c r="E695" s="1" t="s">
        <v>46</v>
      </c>
      <c r="F695" s="1" t="s">
        <v>25</v>
      </c>
      <c r="G695" s="1" t="s">
        <v>36</v>
      </c>
      <c r="H695" s="1">
        <v>13759</v>
      </c>
      <c r="I695" s="1" t="s">
        <v>33</v>
      </c>
      <c r="J695" s="1">
        <v>0.3</v>
      </c>
      <c r="K695" s="1">
        <v>13000</v>
      </c>
      <c r="L695" s="2">
        <v>45296</v>
      </c>
    </row>
    <row r="696" spans="1:12" x14ac:dyDescent="0.35">
      <c r="A696" s="1" t="s">
        <v>928</v>
      </c>
      <c r="B696" s="1" t="s">
        <v>80</v>
      </c>
      <c r="C696" s="1" t="s">
        <v>61</v>
      </c>
      <c r="D696" s="1" t="s">
        <v>62</v>
      </c>
      <c r="E696" s="1" t="s">
        <v>46</v>
      </c>
      <c r="F696" s="1" t="s">
        <v>17</v>
      </c>
      <c r="G696" s="1" t="s">
        <v>18</v>
      </c>
      <c r="H696" s="1">
        <v>10663</v>
      </c>
      <c r="I696" s="1" t="s">
        <v>27</v>
      </c>
      <c r="J696" s="1"/>
      <c r="K696" s="1">
        <v>9000</v>
      </c>
      <c r="L696" s="2">
        <v>45309</v>
      </c>
    </row>
    <row r="697" spans="1:12" x14ac:dyDescent="0.35">
      <c r="A697" s="1" t="s">
        <v>929</v>
      </c>
      <c r="B697" s="1" t="s">
        <v>280</v>
      </c>
      <c r="C697" s="1" t="s">
        <v>44</v>
      </c>
      <c r="D697" s="1" t="s">
        <v>45</v>
      </c>
      <c r="E697" s="1" t="s">
        <v>46</v>
      </c>
      <c r="F697" s="1" t="s">
        <v>39</v>
      </c>
      <c r="G697" s="1" t="s">
        <v>18</v>
      </c>
      <c r="H697" s="1">
        <v>11961</v>
      </c>
      <c r="I697" s="1" t="s">
        <v>19</v>
      </c>
      <c r="J697" s="1">
        <v>0.2</v>
      </c>
      <c r="K697" s="1">
        <v>13000</v>
      </c>
      <c r="L697" s="2">
        <v>45347</v>
      </c>
    </row>
    <row r="698" spans="1:12" x14ac:dyDescent="0.35">
      <c r="A698" s="1" t="s">
        <v>930</v>
      </c>
      <c r="B698" s="1" t="s">
        <v>289</v>
      </c>
      <c r="C698" s="1" t="s">
        <v>44</v>
      </c>
      <c r="D698" s="1" t="s">
        <v>45</v>
      </c>
      <c r="E698" s="1" t="s">
        <v>32</v>
      </c>
      <c r="F698" s="1" t="s">
        <v>25</v>
      </c>
      <c r="G698" s="1" t="s">
        <v>26</v>
      </c>
      <c r="H698" s="1">
        <v>12458</v>
      </c>
      <c r="I698" s="1" t="s">
        <v>19</v>
      </c>
      <c r="J698" s="1">
        <v>0.2</v>
      </c>
      <c r="K698" s="1">
        <v>13000</v>
      </c>
      <c r="L698" s="2">
        <v>45341</v>
      </c>
    </row>
    <row r="699" spans="1:12" x14ac:dyDescent="0.35">
      <c r="A699" s="1" t="s">
        <v>931</v>
      </c>
      <c r="B699" s="1" t="s">
        <v>78</v>
      </c>
      <c r="C699" s="1" t="s">
        <v>14</v>
      </c>
      <c r="D699" s="1" t="s">
        <v>15</v>
      </c>
      <c r="E699" s="1" t="s">
        <v>16</v>
      </c>
      <c r="F699" s="1" t="s">
        <v>39</v>
      </c>
      <c r="G699" s="1" t="s">
        <v>36</v>
      </c>
      <c r="H699" s="1">
        <v>14514</v>
      </c>
      <c r="I699" s="1" t="s">
        <v>22</v>
      </c>
      <c r="J699" s="1">
        <v>0.1</v>
      </c>
      <c r="K699" s="1">
        <v>14000</v>
      </c>
      <c r="L699" s="2">
        <v>45340</v>
      </c>
    </row>
    <row r="700" spans="1:12" x14ac:dyDescent="0.35">
      <c r="A700" s="1" t="s">
        <v>932</v>
      </c>
      <c r="B700" s="1" t="s">
        <v>144</v>
      </c>
      <c r="C700" s="1" t="s">
        <v>14</v>
      </c>
      <c r="D700" s="1" t="s">
        <v>15</v>
      </c>
      <c r="E700" s="1" t="s">
        <v>46</v>
      </c>
      <c r="F700" s="1" t="s">
        <v>17</v>
      </c>
      <c r="G700" s="1" t="s">
        <v>26</v>
      </c>
      <c r="H700" s="1">
        <v>13291</v>
      </c>
      <c r="I700" s="1"/>
      <c r="J700" s="1"/>
      <c r="K700" s="1">
        <v>14000</v>
      </c>
      <c r="L700" s="2">
        <v>45349</v>
      </c>
    </row>
    <row r="701" spans="1:12" x14ac:dyDescent="0.35">
      <c r="A701" s="1" t="s">
        <v>933</v>
      </c>
      <c r="B701" s="1" t="s">
        <v>60</v>
      </c>
      <c r="C701" s="1" t="s">
        <v>30</v>
      </c>
      <c r="D701" s="1" t="s">
        <v>31</v>
      </c>
      <c r="E701" s="1" t="s">
        <v>46</v>
      </c>
      <c r="F701" s="1" t="s">
        <v>25</v>
      </c>
      <c r="G701" s="1" t="s">
        <v>26</v>
      </c>
      <c r="H701" s="1">
        <v>16147</v>
      </c>
      <c r="I701" s="1"/>
      <c r="J701" s="1"/>
      <c r="K701" s="1">
        <v>17000</v>
      </c>
      <c r="L701" s="2">
        <v>45306</v>
      </c>
    </row>
    <row r="702" spans="1:12" x14ac:dyDescent="0.35">
      <c r="A702" s="1" t="s">
        <v>934</v>
      </c>
      <c r="B702" s="1" t="s">
        <v>522</v>
      </c>
      <c r="C702" s="1" t="s">
        <v>44</v>
      </c>
      <c r="D702" s="1" t="s">
        <v>45</v>
      </c>
      <c r="E702" s="1" t="s">
        <v>32</v>
      </c>
      <c r="F702" s="1" t="s">
        <v>39</v>
      </c>
      <c r="G702" s="1" t="s">
        <v>36</v>
      </c>
      <c r="H702" s="1">
        <v>12959</v>
      </c>
      <c r="I702" s="1" t="s">
        <v>27</v>
      </c>
      <c r="J702" s="1"/>
      <c r="K702" s="1">
        <v>13000</v>
      </c>
      <c r="L702" s="2">
        <v>45294</v>
      </c>
    </row>
    <row r="703" spans="1:12" x14ac:dyDescent="0.35">
      <c r="A703" s="1" t="s">
        <v>935</v>
      </c>
      <c r="B703" s="1" t="s">
        <v>217</v>
      </c>
      <c r="C703" s="1" t="s">
        <v>61</v>
      </c>
      <c r="D703" s="1" t="s">
        <v>62</v>
      </c>
      <c r="E703" s="1" t="s">
        <v>16</v>
      </c>
      <c r="F703" s="1" t="s">
        <v>25</v>
      </c>
      <c r="G703" s="1" t="s">
        <v>36</v>
      </c>
      <c r="H703" s="1">
        <v>10999</v>
      </c>
      <c r="I703" s="1" t="s">
        <v>22</v>
      </c>
      <c r="J703" s="1">
        <v>0.1</v>
      </c>
      <c r="K703" s="1">
        <v>9000</v>
      </c>
      <c r="L703" s="2">
        <v>45336</v>
      </c>
    </row>
    <row r="704" spans="1:12" x14ac:dyDescent="0.35">
      <c r="A704" s="1" t="s">
        <v>936</v>
      </c>
      <c r="B704" s="1" t="s">
        <v>544</v>
      </c>
      <c r="C704" s="1" t="s">
        <v>30</v>
      </c>
      <c r="D704" s="1" t="s">
        <v>31</v>
      </c>
      <c r="E704" s="1" t="s">
        <v>16</v>
      </c>
      <c r="F704" s="1" t="s">
        <v>25</v>
      </c>
      <c r="G704" s="1" t="s">
        <v>18</v>
      </c>
      <c r="H704" s="1">
        <v>17761</v>
      </c>
      <c r="I704" s="1" t="s">
        <v>19</v>
      </c>
      <c r="J704" s="1">
        <v>0.2</v>
      </c>
      <c r="K704" s="1">
        <v>17000</v>
      </c>
      <c r="L704" s="2">
        <v>45316</v>
      </c>
    </row>
    <row r="705" spans="1:12" x14ac:dyDescent="0.35">
      <c r="A705" s="1" t="s">
        <v>937</v>
      </c>
      <c r="B705" s="1" t="s">
        <v>107</v>
      </c>
      <c r="C705" s="1" t="s">
        <v>30</v>
      </c>
      <c r="D705" s="1" t="s">
        <v>31</v>
      </c>
      <c r="E705" s="1" t="s">
        <v>46</v>
      </c>
      <c r="F705" s="1" t="s">
        <v>39</v>
      </c>
      <c r="G705" s="1" t="s">
        <v>36</v>
      </c>
      <c r="H705" s="1">
        <v>15766</v>
      </c>
      <c r="I705" s="1" t="s">
        <v>27</v>
      </c>
      <c r="J705" s="1"/>
      <c r="K705" s="1">
        <v>17000</v>
      </c>
      <c r="L705" s="2">
        <v>45308</v>
      </c>
    </row>
    <row r="706" spans="1:12" x14ac:dyDescent="0.35">
      <c r="A706" s="1" t="s">
        <v>938</v>
      </c>
      <c r="B706" s="1" t="s">
        <v>939</v>
      </c>
      <c r="C706" s="1" t="s">
        <v>61</v>
      </c>
      <c r="D706" s="1" t="s">
        <v>62</v>
      </c>
      <c r="E706" s="1" t="s">
        <v>16</v>
      </c>
      <c r="F706" s="1" t="s">
        <v>17</v>
      </c>
      <c r="G706" s="1" t="s">
        <v>36</v>
      </c>
      <c r="H706" s="1">
        <v>7753</v>
      </c>
      <c r="I706" s="1"/>
      <c r="J706" s="1"/>
      <c r="K706" s="1">
        <v>9000</v>
      </c>
      <c r="L706" s="2">
        <v>45319</v>
      </c>
    </row>
    <row r="707" spans="1:12" x14ac:dyDescent="0.35">
      <c r="A707" s="1" t="s">
        <v>940</v>
      </c>
      <c r="B707" s="1" t="s">
        <v>414</v>
      </c>
      <c r="C707" s="1" t="s">
        <v>30</v>
      </c>
      <c r="D707" s="1" t="s">
        <v>31</v>
      </c>
      <c r="E707" s="1" t="s">
        <v>46</v>
      </c>
      <c r="F707" s="1" t="s">
        <v>17</v>
      </c>
      <c r="G707" s="1" t="s">
        <v>36</v>
      </c>
      <c r="H707" s="1">
        <v>16846</v>
      </c>
      <c r="I707" s="1" t="s">
        <v>19</v>
      </c>
      <c r="J707" s="1">
        <v>0.2</v>
      </c>
      <c r="K707" s="1">
        <v>17000</v>
      </c>
      <c r="L707" s="2">
        <v>45328</v>
      </c>
    </row>
    <row r="708" spans="1:12" x14ac:dyDescent="0.35">
      <c r="A708" s="1" t="s">
        <v>941</v>
      </c>
      <c r="B708" s="1" t="s">
        <v>720</v>
      </c>
      <c r="C708" s="1" t="s">
        <v>44</v>
      </c>
      <c r="D708" s="1" t="s">
        <v>45</v>
      </c>
      <c r="E708" s="1" t="s">
        <v>32</v>
      </c>
      <c r="F708" s="1" t="s">
        <v>39</v>
      </c>
      <c r="G708" s="1" t="s">
        <v>36</v>
      </c>
      <c r="H708" s="1">
        <v>14293</v>
      </c>
      <c r="I708" s="1" t="s">
        <v>19</v>
      </c>
      <c r="J708" s="1">
        <v>0.2</v>
      </c>
      <c r="K708" s="1">
        <v>13000</v>
      </c>
      <c r="L708" s="2">
        <v>45327</v>
      </c>
    </row>
    <row r="709" spans="1:12" x14ac:dyDescent="0.35">
      <c r="A709" s="1" t="s">
        <v>942</v>
      </c>
      <c r="B709" s="1" t="s">
        <v>309</v>
      </c>
      <c r="C709" s="1" t="s">
        <v>61</v>
      </c>
      <c r="D709" s="1" t="s">
        <v>62</v>
      </c>
      <c r="E709" s="1" t="s">
        <v>32</v>
      </c>
      <c r="F709" s="1" t="s">
        <v>25</v>
      </c>
      <c r="G709" s="1" t="s">
        <v>26</v>
      </c>
      <c r="H709" s="1">
        <v>7612</v>
      </c>
      <c r="I709" s="1"/>
      <c r="J709" s="1"/>
      <c r="K709" s="1">
        <v>9000</v>
      </c>
      <c r="L709" s="2">
        <v>45343</v>
      </c>
    </row>
    <row r="710" spans="1:12" x14ac:dyDescent="0.35">
      <c r="A710" s="1" t="s">
        <v>943</v>
      </c>
      <c r="B710" s="1" t="s">
        <v>243</v>
      </c>
      <c r="C710" s="1" t="s">
        <v>61</v>
      </c>
      <c r="D710" s="1" t="s">
        <v>62</v>
      </c>
      <c r="E710" s="1" t="s">
        <v>46</v>
      </c>
      <c r="F710" s="1" t="s">
        <v>25</v>
      </c>
      <c r="G710" s="1" t="s">
        <v>26</v>
      </c>
      <c r="H710" s="1">
        <v>9117</v>
      </c>
      <c r="I710" s="1" t="s">
        <v>27</v>
      </c>
      <c r="J710" s="1"/>
      <c r="K710" s="1">
        <v>9000</v>
      </c>
      <c r="L710" s="2">
        <v>45338</v>
      </c>
    </row>
    <row r="711" spans="1:12" x14ac:dyDescent="0.35">
      <c r="A711" s="1" t="s">
        <v>944</v>
      </c>
      <c r="B711" s="1" t="s">
        <v>478</v>
      </c>
      <c r="C711" s="1" t="s">
        <v>61</v>
      </c>
      <c r="D711" s="1" t="s">
        <v>62</v>
      </c>
      <c r="E711" s="1" t="s">
        <v>46</v>
      </c>
      <c r="F711" s="1" t="s">
        <v>17</v>
      </c>
      <c r="G711" s="1" t="s">
        <v>26</v>
      </c>
      <c r="H711" s="1">
        <v>10516</v>
      </c>
      <c r="I711" s="1" t="s">
        <v>27</v>
      </c>
      <c r="J711" s="1"/>
      <c r="K711" s="1">
        <v>9000</v>
      </c>
      <c r="L711" s="2">
        <v>45295</v>
      </c>
    </row>
    <row r="712" spans="1:12" x14ac:dyDescent="0.35">
      <c r="A712" s="1" t="s">
        <v>945</v>
      </c>
      <c r="B712" s="1" t="s">
        <v>41</v>
      </c>
      <c r="C712" s="1" t="s">
        <v>44</v>
      </c>
      <c r="D712" s="1" t="s">
        <v>45</v>
      </c>
      <c r="E712" s="1" t="s">
        <v>32</v>
      </c>
      <c r="F712" s="1" t="s">
        <v>25</v>
      </c>
      <c r="G712" s="1" t="s">
        <v>36</v>
      </c>
      <c r="H712" s="1">
        <v>12951</v>
      </c>
      <c r="I712" s="1" t="s">
        <v>22</v>
      </c>
      <c r="J712" s="1">
        <v>0.1</v>
      </c>
      <c r="K712" s="1">
        <v>13000</v>
      </c>
      <c r="L712" s="2">
        <v>45320</v>
      </c>
    </row>
    <row r="713" spans="1:12" x14ac:dyDescent="0.35">
      <c r="A713" s="1" t="s">
        <v>946</v>
      </c>
      <c r="B713" s="1" t="s">
        <v>577</v>
      </c>
      <c r="C713" s="1" t="s">
        <v>30</v>
      </c>
      <c r="D713" s="1" t="s">
        <v>31</v>
      </c>
      <c r="E713" s="1" t="s">
        <v>46</v>
      </c>
      <c r="F713" s="1" t="s">
        <v>17</v>
      </c>
      <c r="G713" s="1" t="s">
        <v>26</v>
      </c>
      <c r="H713" s="1">
        <v>17283</v>
      </c>
      <c r="I713" s="1" t="s">
        <v>33</v>
      </c>
      <c r="J713" s="1">
        <v>0.3</v>
      </c>
      <c r="K713" s="1">
        <v>17000</v>
      </c>
      <c r="L713" s="2">
        <v>45314</v>
      </c>
    </row>
    <row r="714" spans="1:12" x14ac:dyDescent="0.35">
      <c r="A714" s="1" t="s">
        <v>947</v>
      </c>
      <c r="B714" s="1" t="s">
        <v>406</v>
      </c>
      <c r="C714" s="1" t="s">
        <v>14</v>
      </c>
      <c r="D714" s="1" t="s">
        <v>15</v>
      </c>
      <c r="E714" s="1" t="s">
        <v>46</v>
      </c>
      <c r="F714" s="1" t="s">
        <v>39</v>
      </c>
      <c r="G714" s="1" t="s">
        <v>26</v>
      </c>
      <c r="H714" s="1">
        <v>12814</v>
      </c>
      <c r="I714" s="1" t="s">
        <v>27</v>
      </c>
      <c r="J714" s="1"/>
      <c r="K714" s="1">
        <v>14000</v>
      </c>
      <c r="L714" s="2">
        <v>45328</v>
      </c>
    </row>
    <row r="715" spans="1:12" x14ac:dyDescent="0.35">
      <c r="A715" s="1" t="s">
        <v>948</v>
      </c>
      <c r="B715" s="1" t="s">
        <v>92</v>
      </c>
      <c r="C715" s="1" t="s">
        <v>44</v>
      </c>
      <c r="D715" s="1" t="s">
        <v>45</v>
      </c>
      <c r="E715" s="1" t="s">
        <v>46</v>
      </c>
      <c r="F715" s="1" t="s">
        <v>17</v>
      </c>
      <c r="G715" s="1" t="s">
        <v>36</v>
      </c>
      <c r="H715" s="1">
        <v>13757</v>
      </c>
      <c r="I715" s="1" t="s">
        <v>27</v>
      </c>
      <c r="J715" s="1"/>
      <c r="K715" s="1">
        <v>13000</v>
      </c>
      <c r="L715" s="2">
        <v>45323</v>
      </c>
    </row>
    <row r="716" spans="1:12" x14ac:dyDescent="0.35">
      <c r="A716" s="1" t="s">
        <v>949</v>
      </c>
      <c r="B716" s="1" t="s">
        <v>296</v>
      </c>
      <c r="C716" s="1" t="s">
        <v>61</v>
      </c>
      <c r="D716" s="1" t="s">
        <v>62</v>
      </c>
      <c r="E716" s="1" t="s">
        <v>32</v>
      </c>
      <c r="F716" s="1" t="s">
        <v>17</v>
      </c>
      <c r="G716" s="1" t="s">
        <v>26</v>
      </c>
      <c r="H716" s="1">
        <v>8173</v>
      </c>
      <c r="I716" s="1"/>
      <c r="J716" s="1"/>
      <c r="K716" s="1">
        <v>9000</v>
      </c>
      <c r="L716" s="2">
        <v>45332</v>
      </c>
    </row>
    <row r="717" spans="1:12" x14ac:dyDescent="0.35">
      <c r="A717" s="1" t="s">
        <v>950</v>
      </c>
      <c r="B717" s="1" t="s">
        <v>619</v>
      </c>
      <c r="C717" s="1" t="s">
        <v>44</v>
      </c>
      <c r="D717" s="1" t="s">
        <v>45</v>
      </c>
      <c r="E717" s="1" t="s">
        <v>16</v>
      </c>
      <c r="F717" s="1" t="s">
        <v>17</v>
      </c>
      <c r="G717" s="1" t="s">
        <v>36</v>
      </c>
      <c r="H717" s="1">
        <v>13585</v>
      </c>
      <c r="I717" s="1" t="s">
        <v>27</v>
      </c>
      <c r="J717" s="1"/>
      <c r="K717" s="1">
        <v>13000</v>
      </c>
      <c r="L717" s="2">
        <v>45328</v>
      </c>
    </row>
    <row r="718" spans="1:12" x14ac:dyDescent="0.35">
      <c r="A718" s="1" t="s">
        <v>951</v>
      </c>
      <c r="B718" s="1" t="s">
        <v>309</v>
      </c>
      <c r="C718" s="1" t="s">
        <v>14</v>
      </c>
      <c r="D718" s="1" t="s">
        <v>15</v>
      </c>
      <c r="E718" s="1" t="s">
        <v>32</v>
      </c>
      <c r="F718" s="1" t="s">
        <v>25</v>
      </c>
      <c r="G718" s="1" t="s">
        <v>36</v>
      </c>
      <c r="H718" s="1">
        <v>12934</v>
      </c>
      <c r="I718" s="1" t="s">
        <v>33</v>
      </c>
      <c r="J718" s="1">
        <v>0.3</v>
      </c>
      <c r="K718" s="1">
        <v>14000</v>
      </c>
      <c r="L718" s="2">
        <v>45312</v>
      </c>
    </row>
    <row r="719" spans="1:12" x14ac:dyDescent="0.35">
      <c r="A719" s="1" t="s">
        <v>952</v>
      </c>
      <c r="B719" s="1" t="s">
        <v>278</v>
      </c>
      <c r="C719" s="1" t="s">
        <v>30</v>
      </c>
      <c r="D719" s="1" t="s">
        <v>31</v>
      </c>
      <c r="E719" s="1" t="s">
        <v>16</v>
      </c>
      <c r="F719" s="1" t="s">
        <v>39</v>
      </c>
      <c r="G719" s="1" t="s">
        <v>36</v>
      </c>
      <c r="H719" s="1">
        <v>16111</v>
      </c>
      <c r="I719" s="1"/>
      <c r="J719" s="1"/>
      <c r="K719" s="1">
        <v>17000</v>
      </c>
      <c r="L719" s="2">
        <v>45341</v>
      </c>
    </row>
    <row r="720" spans="1:12" x14ac:dyDescent="0.35">
      <c r="A720" s="1" t="s">
        <v>953</v>
      </c>
      <c r="B720" s="1" t="s">
        <v>303</v>
      </c>
      <c r="C720" s="1" t="s">
        <v>61</v>
      </c>
      <c r="D720" s="1" t="s">
        <v>62</v>
      </c>
      <c r="E720" s="1" t="s">
        <v>46</v>
      </c>
      <c r="F720" s="1" t="s">
        <v>25</v>
      </c>
      <c r="G720" s="1" t="s">
        <v>18</v>
      </c>
      <c r="H720" s="1">
        <v>10498</v>
      </c>
      <c r="I720" s="1" t="s">
        <v>22</v>
      </c>
      <c r="J720" s="1">
        <v>0.1</v>
      </c>
      <c r="K720" s="1">
        <v>9000</v>
      </c>
      <c r="L720" s="2">
        <v>45300</v>
      </c>
    </row>
    <row r="721" spans="1:12" x14ac:dyDescent="0.35">
      <c r="A721" s="1" t="s">
        <v>954</v>
      </c>
      <c r="B721" s="1" t="s">
        <v>397</v>
      </c>
      <c r="C721" s="1" t="s">
        <v>30</v>
      </c>
      <c r="D721" s="1" t="s">
        <v>31</v>
      </c>
      <c r="E721" s="1" t="s">
        <v>16</v>
      </c>
      <c r="F721" s="1" t="s">
        <v>39</v>
      </c>
      <c r="G721" s="1" t="s">
        <v>26</v>
      </c>
      <c r="H721" s="1">
        <v>15327</v>
      </c>
      <c r="I721" s="1" t="s">
        <v>19</v>
      </c>
      <c r="J721" s="1">
        <v>0.2</v>
      </c>
      <c r="K721" s="1">
        <v>17000</v>
      </c>
      <c r="L721" s="2">
        <v>45302</v>
      </c>
    </row>
    <row r="722" spans="1:12" x14ac:dyDescent="0.35">
      <c r="A722" s="1" t="s">
        <v>955</v>
      </c>
      <c r="B722" s="1" t="s">
        <v>41</v>
      </c>
      <c r="C722" s="1" t="s">
        <v>14</v>
      </c>
      <c r="D722" s="1" t="s">
        <v>15</v>
      </c>
      <c r="E722" s="1" t="s">
        <v>32</v>
      </c>
      <c r="F722" s="1" t="s">
        <v>17</v>
      </c>
      <c r="G722" s="1" t="s">
        <v>26</v>
      </c>
      <c r="H722" s="1">
        <v>12220</v>
      </c>
      <c r="I722" s="1" t="s">
        <v>22</v>
      </c>
      <c r="J722" s="1">
        <v>0.1</v>
      </c>
      <c r="K722" s="1">
        <v>14000</v>
      </c>
      <c r="L722" s="2">
        <v>45341</v>
      </c>
    </row>
    <row r="723" spans="1:12" x14ac:dyDescent="0.35">
      <c r="A723" s="1" t="s">
        <v>956</v>
      </c>
      <c r="B723" s="1" t="s">
        <v>512</v>
      </c>
      <c r="C723" s="1" t="s">
        <v>14</v>
      </c>
      <c r="D723" s="1" t="s">
        <v>15</v>
      </c>
      <c r="E723" s="1" t="s">
        <v>32</v>
      </c>
      <c r="F723" s="1" t="s">
        <v>17</v>
      </c>
      <c r="G723" s="1" t="s">
        <v>26</v>
      </c>
      <c r="H723" s="1">
        <v>12636</v>
      </c>
      <c r="I723" s="1" t="s">
        <v>22</v>
      </c>
      <c r="J723" s="1">
        <v>0.1</v>
      </c>
      <c r="K723" s="1">
        <v>14000</v>
      </c>
      <c r="L723" s="2">
        <v>45333</v>
      </c>
    </row>
    <row r="724" spans="1:12" x14ac:dyDescent="0.35">
      <c r="A724" s="1" t="s">
        <v>957</v>
      </c>
      <c r="B724" s="1" t="s">
        <v>137</v>
      </c>
      <c r="C724" s="1" t="s">
        <v>30</v>
      </c>
      <c r="D724" s="1" t="s">
        <v>31</v>
      </c>
      <c r="E724" s="1" t="s">
        <v>32</v>
      </c>
      <c r="F724" s="1" t="s">
        <v>25</v>
      </c>
      <c r="G724" s="1" t="s">
        <v>26</v>
      </c>
      <c r="H724" s="1">
        <v>16163</v>
      </c>
      <c r="I724" s="1"/>
      <c r="J724" s="1"/>
      <c r="K724" s="1">
        <v>17000</v>
      </c>
      <c r="L724" s="2">
        <v>45332</v>
      </c>
    </row>
    <row r="725" spans="1:12" x14ac:dyDescent="0.35">
      <c r="A725" s="1" t="s">
        <v>958</v>
      </c>
      <c r="B725" s="1" t="s">
        <v>175</v>
      </c>
      <c r="C725" s="1" t="s">
        <v>44</v>
      </c>
      <c r="D725" s="1" t="s">
        <v>45</v>
      </c>
      <c r="E725" s="1" t="s">
        <v>32</v>
      </c>
      <c r="F725" s="1" t="s">
        <v>25</v>
      </c>
      <c r="G725" s="1" t="s">
        <v>26</v>
      </c>
      <c r="H725" s="1">
        <v>12461</v>
      </c>
      <c r="I725" s="1" t="s">
        <v>33</v>
      </c>
      <c r="J725" s="1">
        <v>0.3</v>
      </c>
      <c r="K725" s="1">
        <v>13000</v>
      </c>
      <c r="L725" s="2">
        <v>45347</v>
      </c>
    </row>
    <row r="726" spans="1:12" x14ac:dyDescent="0.35">
      <c r="A726" s="1" t="s">
        <v>959</v>
      </c>
      <c r="B726" s="1" t="s">
        <v>231</v>
      </c>
      <c r="C726" s="1" t="s">
        <v>30</v>
      </c>
      <c r="D726" s="1" t="s">
        <v>31</v>
      </c>
      <c r="E726" s="1" t="s">
        <v>16</v>
      </c>
      <c r="F726" s="1" t="s">
        <v>17</v>
      </c>
      <c r="G726" s="1" t="s">
        <v>18</v>
      </c>
      <c r="H726" s="1">
        <v>18971</v>
      </c>
      <c r="I726" s="1" t="s">
        <v>27</v>
      </c>
      <c r="J726" s="1"/>
      <c r="K726" s="1">
        <v>17000</v>
      </c>
      <c r="L726" s="2">
        <v>45303</v>
      </c>
    </row>
    <row r="727" spans="1:12" x14ac:dyDescent="0.35">
      <c r="A727" s="1" t="s">
        <v>960</v>
      </c>
      <c r="B727" s="1" t="s">
        <v>195</v>
      </c>
      <c r="C727" s="1" t="s">
        <v>61</v>
      </c>
      <c r="D727" s="1" t="s">
        <v>62</v>
      </c>
      <c r="E727" s="1" t="s">
        <v>16</v>
      </c>
      <c r="F727" s="1" t="s">
        <v>39</v>
      </c>
      <c r="G727" s="1" t="s">
        <v>26</v>
      </c>
      <c r="H727" s="1">
        <v>10593</v>
      </c>
      <c r="I727" s="1" t="s">
        <v>27</v>
      </c>
      <c r="J727" s="1"/>
      <c r="K727" s="1">
        <v>9000</v>
      </c>
      <c r="L727" s="2">
        <v>45319</v>
      </c>
    </row>
    <row r="728" spans="1:12" x14ac:dyDescent="0.35">
      <c r="A728" s="1" t="s">
        <v>961</v>
      </c>
      <c r="B728" s="1" t="s">
        <v>202</v>
      </c>
      <c r="C728" s="1" t="s">
        <v>30</v>
      </c>
      <c r="D728" s="1" t="s">
        <v>31</v>
      </c>
      <c r="E728" s="1" t="s">
        <v>46</v>
      </c>
      <c r="F728" s="1" t="s">
        <v>17</v>
      </c>
      <c r="G728" s="1" t="s">
        <v>26</v>
      </c>
      <c r="H728" s="1">
        <v>15930</v>
      </c>
      <c r="I728" s="1" t="s">
        <v>22</v>
      </c>
      <c r="J728" s="1">
        <v>0.1</v>
      </c>
      <c r="K728" s="1">
        <v>17000</v>
      </c>
      <c r="L728" s="2">
        <v>45320</v>
      </c>
    </row>
    <row r="729" spans="1:12" x14ac:dyDescent="0.35">
      <c r="A729" s="1" t="s">
        <v>962</v>
      </c>
      <c r="B729" s="1" t="s">
        <v>131</v>
      </c>
      <c r="C729" s="1" t="s">
        <v>61</v>
      </c>
      <c r="D729" s="1" t="s">
        <v>62</v>
      </c>
      <c r="E729" s="1" t="s">
        <v>46</v>
      </c>
      <c r="F729" s="1" t="s">
        <v>25</v>
      </c>
      <c r="G729" s="1" t="s">
        <v>36</v>
      </c>
      <c r="H729" s="1">
        <v>7043</v>
      </c>
      <c r="I729" s="1" t="s">
        <v>22</v>
      </c>
      <c r="J729" s="1">
        <v>0.1</v>
      </c>
      <c r="K729" s="1">
        <v>9000</v>
      </c>
      <c r="L729" s="2">
        <v>45325</v>
      </c>
    </row>
    <row r="730" spans="1:12" x14ac:dyDescent="0.35">
      <c r="A730" s="1" t="s">
        <v>963</v>
      </c>
      <c r="B730" s="1" t="s">
        <v>393</v>
      </c>
      <c r="C730" s="1" t="s">
        <v>44</v>
      </c>
      <c r="D730" s="1" t="s">
        <v>45</v>
      </c>
      <c r="E730" s="1" t="s">
        <v>46</v>
      </c>
      <c r="F730" s="1" t="s">
        <v>17</v>
      </c>
      <c r="G730" s="1" t="s">
        <v>36</v>
      </c>
      <c r="H730" s="1">
        <v>13191</v>
      </c>
      <c r="I730" s="1" t="s">
        <v>22</v>
      </c>
      <c r="J730" s="1">
        <v>0.1</v>
      </c>
      <c r="K730" s="1">
        <v>13000</v>
      </c>
      <c r="L730" s="2">
        <v>45336</v>
      </c>
    </row>
    <row r="731" spans="1:12" x14ac:dyDescent="0.35">
      <c r="A731" s="1" t="s">
        <v>964</v>
      </c>
      <c r="B731" s="1" t="s">
        <v>445</v>
      </c>
      <c r="C731" s="1" t="s">
        <v>61</v>
      </c>
      <c r="D731" s="1" t="s">
        <v>62</v>
      </c>
      <c r="E731" s="1" t="s">
        <v>46</v>
      </c>
      <c r="F731" s="1" t="s">
        <v>25</v>
      </c>
      <c r="G731" s="1" t="s">
        <v>36</v>
      </c>
      <c r="H731" s="1">
        <v>10268</v>
      </c>
      <c r="I731" s="1" t="s">
        <v>33</v>
      </c>
      <c r="J731" s="1">
        <v>0.3</v>
      </c>
      <c r="K731" s="1">
        <v>9000</v>
      </c>
      <c r="L731" s="2">
        <v>45330</v>
      </c>
    </row>
    <row r="732" spans="1:12" x14ac:dyDescent="0.35">
      <c r="A732" s="1" t="s">
        <v>965</v>
      </c>
      <c r="B732" s="1" t="s">
        <v>401</v>
      </c>
      <c r="C732" s="1" t="s">
        <v>14</v>
      </c>
      <c r="D732" s="1" t="s">
        <v>15</v>
      </c>
      <c r="E732" s="1" t="s">
        <v>16</v>
      </c>
      <c r="F732" s="1" t="s">
        <v>17</v>
      </c>
      <c r="G732" s="1" t="s">
        <v>18</v>
      </c>
      <c r="H732" s="1">
        <v>13686</v>
      </c>
      <c r="I732" s="1" t="s">
        <v>27</v>
      </c>
      <c r="J732" s="1"/>
      <c r="K732" s="1">
        <v>14000</v>
      </c>
      <c r="L732" s="2">
        <v>45319</v>
      </c>
    </row>
    <row r="733" spans="1:12" x14ac:dyDescent="0.35">
      <c r="A733" s="1" t="s">
        <v>966</v>
      </c>
      <c r="B733" s="1" t="s">
        <v>268</v>
      </c>
      <c r="C733" s="1" t="s">
        <v>44</v>
      </c>
      <c r="D733" s="1" t="s">
        <v>45</v>
      </c>
      <c r="E733" s="1" t="s">
        <v>16</v>
      </c>
      <c r="F733" s="1" t="s">
        <v>39</v>
      </c>
      <c r="G733" s="1" t="s">
        <v>26</v>
      </c>
      <c r="H733" s="1">
        <v>12596</v>
      </c>
      <c r="I733" s="1"/>
      <c r="J733" s="1"/>
      <c r="K733" s="1">
        <v>13000</v>
      </c>
      <c r="L733" s="2">
        <v>45306</v>
      </c>
    </row>
    <row r="734" spans="1:12" x14ac:dyDescent="0.35">
      <c r="A734" s="1" t="s">
        <v>967</v>
      </c>
      <c r="B734" s="1" t="s">
        <v>222</v>
      </c>
      <c r="C734" s="1" t="s">
        <v>61</v>
      </c>
      <c r="D734" s="1" t="s">
        <v>62</v>
      </c>
      <c r="E734" s="1" t="s">
        <v>16</v>
      </c>
      <c r="F734" s="1" t="s">
        <v>25</v>
      </c>
      <c r="G734" s="1" t="s">
        <v>26</v>
      </c>
      <c r="H734" s="1">
        <v>10131</v>
      </c>
      <c r="I734" s="1" t="s">
        <v>27</v>
      </c>
      <c r="J734" s="1"/>
      <c r="K734" s="1">
        <v>9000</v>
      </c>
      <c r="L734" s="2">
        <v>45343</v>
      </c>
    </row>
    <row r="735" spans="1:12" x14ac:dyDescent="0.35">
      <c r="A735" s="1" t="s">
        <v>968</v>
      </c>
      <c r="B735" s="1" t="s">
        <v>765</v>
      </c>
      <c r="C735" s="1" t="s">
        <v>30</v>
      </c>
      <c r="D735" s="1" t="s">
        <v>31</v>
      </c>
      <c r="E735" s="1" t="s">
        <v>46</v>
      </c>
      <c r="F735" s="1" t="s">
        <v>39</v>
      </c>
      <c r="G735" s="1" t="s">
        <v>26</v>
      </c>
      <c r="H735" s="1">
        <v>17178</v>
      </c>
      <c r="I735" s="1" t="s">
        <v>33</v>
      </c>
      <c r="J735" s="1">
        <v>0.3</v>
      </c>
      <c r="K735" s="1">
        <v>17000</v>
      </c>
      <c r="L735" s="2">
        <v>45318</v>
      </c>
    </row>
    <row r="736" spans="1:12" x14ac:dyDescent="0.35">
      <c r="A736" s="1" t="s">
        <v>969</v>
      </c>
      <c r="B736" s="1" t="s">
        <v>171</v>
      </c>
      <c r="C736" s="1" t="s">
        <v>14</v>
      </c>
      <c r="D736" s="1" t="s">
        <v>15</v>
      </c>
      <c r="E736" s="1" t="s">
        <v>32</v>
      </c>
      <c r="F736" s="1" t="s">
        <v>25</v>
      </c>
      <c r="G736" s="1" t="s">
        <v>36</v>
      </c>
      <c r="H736" s="1">
        <v>12452</v>
      </c>
      <c r="I736" s="1"/>
      <c r="J736" s="1"/>
      <c r="K736" s="1">
        <v>14000</v>
      </c>
      <c r="L736" s="2">
        <v>45331</v>
      </c>
    </row>
    <row r="737" spans="1:12" x14ac:dyDescent="0.35">
      <c r="A737" s="1" t="s">
        <v>970</v>
      </c>
      <c r="B737" s="1" t="s">
        <v>123</v>
      </c>
      <c r="C737" s="1" t="s">
        <v>61</v>
      </c>
      <c r="D737" s="1" t="s">
        <v>62</v>
      </c>
      <c r="E737" s="1" t="s">
        <v>32</v>
      </c>
      <c r="F737" s="1" t="s">
        <v>17</v>
      </c>
      <c r="G737" s="1" t="s">
        <v>18</v>
      </c>
      <c r="H737" s="1">
        <v>7623</v>
      </c>
      <c r="I737" s="1" t="s">
        <v>22</v>
      </c>
      <c r="J737" s="1">
        <v>0.1</v>
      </c>
      <c r="K737" s="1">
        <v>9000</v>
      </c>
      <c r="L737" s="2">
        <v>45326</v>
      </c>
    </row>
    <row r="738" spans="1:12" x14ac:dyDescent="0.35">
      <c r="A738" s="1" t="s">
        <v>971</v>
      </c>
      <c r="B738" s="1" t="s">
        <v>243</v>
      </c>
      <c r="C738" s="1" t="s">
        <v>14</v>
      </c>
      <c r="D738" s="1" t="s">
        <v>15</v>
      </c>
      <c r="E738" s="1" t="s">
        <v>46</v>
      </c>
      <c r="F738" s="1" t="s">
        <v>17</v>
      </c>
      <c r="G738" s="1" t="s">
        <v>18</v>
      </c>
      <c r="H738" s="1">
        <v>14929</v>
      </c>
      <c r="I738" s="1"/>
      <c r="J738" s="1"/>
      <c r="K738" s="1">
        <v>14000</v>
      </c>
      <c r="L738" s="2">
        <v>45338</v>
      </c>
    </row>
    <row r="739" spans="1:12" x14ac:dyDescent="0.35">
      <c r="A739" s="1" t="s">
        <v>972</v>
      </c>
      <c r="B739" s="1" t="s">
        <v>192</v>
      </c>
      <c r="C739" s="1" t="s">
        <v>14</v>
      </c>
      <c r="D739" s="1" t="s">
        <v>15</v>
      </c>
      <c r="E739" s="1" t="s">
        <v>32</v>
      </c>
      <c r="F739" s="1" t="s">
        <v>25</v>
      </c>
      <c r="G739" s="1" t="s">
        <v>36</v>
      </c>
      <c r="H739" s="1">
        <v>12889</v>
      </c>
      <c r="I739" s="1" t="s">
        <v>33</v>
      </c>
      <c r="J739" s="1">
        <v>0.3</v>
      </c>
      <c r="K739" s="1">
        <v>14000</v>
      </c>
      <c r="L739" s="2">
        <v>45318</v>
      </c>
    </row>
    <row r="740" spans="1:12" x14ac:dyDescent="0.35">
      <c r="A740" s="1" t="s">
        <v>973</v>
      </c>
      <c r="B740" s="1" t="s">
        <v>443</v>
      </c>
      <c r="C740" s="1" t="s">
        <v>61</v>
      </c>
      <c r="D740" s="1" t="s">
        <v>62</v>
      </c>
      <c r="E740" s="1" t="s">
        <v>46</v>
      </c>
      <c r="F740" s="1" t="s">
        <v>17</v>
      </c>
      <c r="G740" s="1" t="s">
        <v>26</v>
      </c>
      <c r="H740" s="1">
        <v>10241</v>
      </c>
      <c r="I740" s="1" t="s">
        <v>22</v>
      </c>
      <c r="J740" s="1">
        <v>0.1</v>
      </c>
      <c r="K740" s="1">
        <v>9000</v>
      </c>
      <c r="L740" s="2">
        <v>45313</v>
      </c>
    </row>
    <row r="741" spans="1:12" x14ac:dyDescent="0.35">
      <c r="A741" s="1" t="s">
        <v>974</v>
      </c>
      <c r="B741" s="1" t="s">
        <v>159</v>
      </c>
      <c r="C741" s="1" t="s">
        <v>44</v>
      </c>
      <c r="D741" s="1" t="s">
        <v>45</v>
      </c>
      <c r="E741" s="1" t="s">
        <v>32</v>
      </c>
      <c r="F741" s="1" t="s">
        <v>17</v>
      </c>
      <c r="G741" s="1" t="s">
        <v>36</v>
      </c>
      <c r="H741" s="1">
        <v>11292</v>
      </c>
      <c r="I741" s="1" t="s">
        <v>27</v>
      </c>
      <c r="J741" s="1"/>
      <c r="K741" s="1">
        <v>13000</v>
      </c>
      <c r="L741" s="2">
        <v>45322</v>
      </c>
    </row>
    <row r="742" spans="1:12" x14ac:dyDescent="0.35">
      <c r="A742" s="1" t="s">
        <v>975</v>
      </c>
      <c r="B742" s="1" t="s">
        <v>35</v>
      </c>
      <c r="C742" s="1" t="s">
        <v>30</v>
      </c>
      <c r="D742" s="1" t="s">
        <v>31</v>
      </c>
      <c r="E742" s="1" t="s">
        <v>46</v>
      </c>
      <c r="F742" s="1" t="s">
        <v>25</v>
      </c>
      <c r="G742" s="1" t="s">
        <v>18</v>
      </c>
      <c r="H742" s="1">
        <v>18991</v>
      </c>
      <c r="I742" s="1" t="s">
        <v>19</v>
      </c>
      <c r="J742" s="1">
        <v>0.2</v>
      </c>
      <c r="K742" s="1">
        <v>17000</v>
      </c>
      <c r="L742" s="2">
        <v>45316</v>
      </c>
    </row>
    <row r="743" spans="1:12" x14ac:dyDescent="0.35">
      <c r="A743" s="1" t="s">
        <v>976</v>
      </c>
      <c r="B743" s="1" t="s">
        <v>298</v>
      </c>
      <c r="C743" s="1" t="s">
        <v>44</v>
      </c>
      <c r="D743" s="1" t="s">
        <v>45</v>
      </c>
      <c r="E743" s="1" t="s">
        <v>16</v>
      </c>
      <c r="F743" s="1" t="s">
        <v>25</v>
      </c>
      <c r="G743" s="1" t="s">
        <v>18</v>
      </c>
      <c r="H743" s="1">
        <v>12887</v>
      </c>
      <c r="I743" s="1" t="s">
        <v>22</v>
      </c>
      <c r="J743" s="1">
        <v>0.1</v>
      </c>
      <c r="K743" s="1">
        <v>13000</v>
      </c>
      <c r="L743" s="2">
        <v>45325</v>
      </c>
    </row>
    <row r="744" spans="1:12" x14ac:dyDescent="0.35">
      <c r="A744" s="1" t="s">
        <v>977</v>
      </c>
      <c r="B744" s="1" t="s">
        <v>239</v>
      </c>
      <c r="C744" s="1" t="s">
        <v>61</v>
      </c>
      <c r="D744" s="1" t="s">
        <v>62</v>
      </c>
      <c r="E744" s="1" t="s">
        <v>46</v>
      </c>
      <c r="F744" s="1" t="s">
        <v>39</v>
      </c>
      <c r="G744" s="1" t="s">
        <v>36</v>
      </c>
      <c r="H744" s="1">
        <v>10834</v>
      </c>
      <c r="I744" s="1" t="s">
        <v>33</v>
      </c>
      <c r="J744" s="1">
        <v>0.3</v>
      </c>
      <c r="K744" s="1">
        <v>9000</v>
      </c>
      <c r="L744" s="2">
        <v>45302</v>
      </c>
    </row>
    <row r="745" spans="1:12" x14ac:dyDescent="0.35">
      <c r="A745" s="1" t="s">
        <v>978</v>
      </c>
      <c r="B745" s="1" t="s">
        <v>305</v>
      </c>
      <c r="C745" s="1" t="s">
        <v>14</v>
      </c>
      <c r="D745" s="1" t="s">
        <v>15</v>
      </c>
      <c r="E745" s="1" t="s">
        <v>16</v>
      </c>
      <c r="F745" s="1" t="s">
        <v>39</v>
      </c>
      <c r="G745" s="1" t="s">
        <v>26</v>
      </c>
      <c r="H745" s="1">
        <v>12500</v>
      </c>
      <c r="I745" s="1" t="s">
        <v>33</v>
      </c>
      <c r="J745" s="1">
        <v>0.3</v>
      </c>
      <c r="K745" s="1">
        <v>14000</v>
      </c>
      <c r="L745" s="2">
        <v>45322</v>
      </c>
    </row>
    <row r="746" spans="1:12" x14ac:dyDescent="0.35">
      <c r="A746" s="1" t="s">
        <v>979</v>
      </c>
      <c r="B746" s="1" t="s">
        <v>278</v>
      </c>
      <c r="C746" s="1" t="s">
        <v>44</v>
      </c>
      <c r="D746" s="1" t="s">
        <v>45</v>
      </c>
      <c r="E746" s="1" t="s">
        <v>46</v>
      </c>
      <c r="F746" s="1" t="s">
        <v>25</v>
      </c>
      <c r="G746" s="1" t="s">
        <v>26</v>
      </c>
      <c r="H746" s="1">
        <v>11892</v>
      </c>
      <c r="I746" s="1" t="s">
        <v>22</v>
      </c>
      <c r="J746" s="1">
        <v>0.1</v>
      </c>
      <c r="K746" s="1">
        <v>13000</v>
      </c>
      <c r="L746" s="2">
        <v>45307</v>
      </c>
    </row>
    <row r="747" spans="1:12" x14ac:dyDescent="0.35">
      <c r="A747" s="1" t="s">
        <v>980</v>
      </c>
      <c r="B747" s="1" t="s">
        <v>90</v>
      </c>
      <c r="C747" s="1" t="s">
        <v>30</v>
      </c>
      <c r="D747" s="1" t="s">
        <v>31</v>
      </c>
      <c r="E747" s="1" t="s">
        <v>32</v>
      </c>
      <c r="F747" s="1" t="s">
        <v>25</v>
      </c>
      <c r="G747" s="1" t="s">
        <v>36</v>
      </c>
      <c r="H747" s="1">
        <v>17394</v>
      </c>
      <c r="I747" s="1" t="s">
        <v>22</v>
      </c>
      <c r="J747" s="1">
        <v>0.1</v>
      </c>
      <c r="K747" s="1">
        <v>17000</v>
      </c>
      <c r="L747" s="2">
        <v>45317</v>
      </c>
    </row>
    <row r="748" spans="1:12" x14ac:dyDescent="0.35">
      <c r="A748" s="1" t="s">
        <v>981</v>
      </c>
      <c r="B748" s="1" t="s">
        <v>294</v>
      </c>
      <c r="C748" s="1" t="s">
        <v>14</v>
      </c>
      <c r="D748" s="1" t="s">
        <v>15</v>
      </c>
      <c r="E748" s="1" t="s">
        <v>32</v>
      </c>
      <c r="F748" s="1" t="s">
        <v>39</v>
      </c>
      <c r="G748" s="1" t="s">
        <v>26</v>
      </c>
      <c r="H748" s="1">
        <v>13946</v>
      </c>
      <c r="I748" s="1" t="s">
        <v>27</v>
      </c>
      <c r="J748" s="1"/>
      <c r="K748" s="1">
        <v>14000</v>
      </c>
      <c r="L748" s="2">
        <v>45301</v>
      </c>
    </row>
    <row r="749" spans="1:12" x14ac:dyDescent="0.35">
      <c r="A749" s="1" t="s">
        <v>982</v>
      </c>
      <c r="B749" s="1" t="s">
        <v>478</v>
      </c>
      <c r="C749" s="1" t="s">
        <v>14</v>
      </c>
      <c r="D749" s="1" t="s">
        <v>15</v>
      </c>
      <c r="E749" s="1" t="s">
        <v>32</v>
      </c>
      <c r="F749" s="1" t="s">
        <v>25</v>
      </c>
      <c r="G749" s="1" t="s">
        <v>36</v>
      </c>
      <c r="H749" s="1">
        <v>12374</v>
      </c>
      <c r="I749" s="1" t="s">
        <v>27</v>
      </c>
      <c r="J749" s="1"/>
      <c r="K749" s="1">
        <v>14000</v>
      </c>
      <c r="L749" s="2">
        <v>45313</v>
      </c>
    </row>
    <row r="750" spans="1:12" x14ac:dyDescent="0.35">
      <c r="A750" s="1" t="s">
        <v>983</v>
      </c>
      <c r="B750" s="1" t="s">
        <v>148</v>
      </c>
      <c r="C750" s="1" t="s">
        <v>14</v>
      </c>
      <c r="D750" s="1" t="s">
        <v>15</v>
      </c>
      <c r="E750" s="1" t="s">
        <v>32</v>
      </c>
      <c r="F750" s="1" t="s">
        <v>17</v>
      </c>
      <c r="G750" s="1" t="s">
        <v>26</v>
      </c>
      <c r="H750" s="1">
        <v>12630</v>
      </c>
      <c r="I750" s="1" t="s">
        <v>27</v>
      </c>
      <c r="J750" s="1"/>
      <c r="K750" s="1">
        <v>14000</v>
      </c>
      <c r="L750" s="2">
        <v>45342</v>
      </c>
    </row>
    <row r="751" spans="1:12" x14ac:dyDescent="0.35">
      <c r="A751" s="1" t="s">
        <v>984</v>
      </c>
      <c r="B751" s="1" t="s">
        <v>843</v>
      </c>
      <c r="C751" s="1" t="s">
        <v>61</v>
      </c>
      <c r="D751" s="1" t="s">
        <v>62</v>
      </c>
      <c r="E751" s="1" t="s">
        <v>32</v>
      </c>
      <c r="F751" s="1" t="s">
        <v>17</v>
      </c>
      <c r="G751" s="1" t="s">
        <v>26</v>
      </c>
      <c r="H751" s="1">
        <v>10229</v>
      </c>
      <c r="I751" s="1" t="s">
        <v>33</v>
      </c>
      <c r="J751" s="1">
        <v>0.3</v>
      </c>
      <c r="K751" s="1">
        <v>9000</v>
      </c>
      <c r="L751" s="2">
        <v>45343</v>
      </c>
    </row>
    <row r="752" spans="1:12" x14ac:dyDescent="0.35">
      <c r="A752" s="1" t="s">
        <v>985</v>
      </c>
      <c r="B752" s="1" t="s">
        <v>445</v>
      </c>
      <c r="C752" s="1" t="s">
        <v>44</v>
      </c>
      <c r="D752" s="1" t="s">
        <v>45</v>
      </c>
      <c r="E752" s="1" t="s">
        <v>32</v>
      </c>
      <c r="F752" s="1" t="s">
        <v>39</v>
      </c>
      <c r="G752" s="1" t="s">
        <v>36</v>
      </c>
      <c r="H752" s="1">
        <v>12467</v>
      </c>
      <c r="I752" s="1" t="s">
        <v>19</v>
      </c>
      <c r="J752" s="1">
        <v>0.2</v>
      </c>
      <c r="K752" s="1">
        <v>13000</v>
      </c>
      <c r="L752" s="2">
        <v>45308</v>
      </c>
    </row>
    <row r="753" spans="1:12" x14ac:dyDescent="0.35">
      <c r="A753" s="1" t="s">
        <v>986</v>
      </c>
      <c r="B753" s="1" t="s">
        <v>987</v>
      </c>
      <c r="C753" s="1" t="s">
        <v>61</v>
      </c>
      <c r="D753" s="1" t="s">
        <v>62</v>
      </c>
      <c r="E753" s="1" t="s">
        <v>16</v>
      </c>
      <c r="F753" s="1" t="s">
        <v>17</v>
      </c>
      <c r="G753" s="1" t="s">
        <v>26</v>
      </c>
      <c r="H753" s="1">
        <v>8207</v>
      </c>
      <c r="I753" s="1" t="s">
        <v>27</v>
      </c>
      <c r="J753" s="1"/>
      <c r="K753" s="1">
        <v>9000</v>
      </c>
      <c r="L753" s="2">
        <v>45336</v>
      </c>
    </row>
    <row r="754" spans="1:12" x14ac:dyDescent="0.35">
      <c r="A754" s="1" t="s">
        <v>988</v>
      </c>
      <c r="B754" s="1" t="s">
        <v>211</v>
      </c>
      <c r="C754" s="1" t="s">
        <v>44</v>
      </c>
      <c r="D754" s="1" t="s">
        <v>45</v>
      </c>
      <c r="E754" s="1" t="s">
        <v>16</v>
      </c>
      <c r="F754" s="1" t="s">
        <v>17</v>
      </c>
      <c r="G754" s="1" t="s">
        <v>36</v>
      </c>
      <c r="H754" s="1">
        <v>13999</v>
      </c>
      <c r="I754" s="1"/>
      <c r="J754" s="1"/>
      <c r="K754" s="1">
        <v>13000</v>
      </c>
      <c r="L754" s="2">
        <v>45309</v>
      </c>
    </row>
    <row r="755" spans="1:12" x14ac:dyDescent="0.35">
      <c r="A755" s="1" t="s">
        <v>989</v>
      </c>
      <c r="B755" s="1" t="s">
        <v>319</v>
      </c>
      <c r="C755" s="1" t="s">
        <v>44</v>
      </c>
      <c r="D755" s="1" t="s">
        <v>45</v>
      </c>
      <c r="E755" s="1" t="s">
        <v>32</v>
      </c>
      <c r="F755" s="1" t="s">
        <v>39</v>
      </c>
      <c r="G755" s="1" t="s">
        <v>18</v>
      </c>
      <c r="H755" s="1">
        <v>12840</v>
      </c>
      <c r="I755" s="1" t="s">
        <v>33</v>
      </c>
      <c r="J755" s="1">
        <v>0.3</v>
      </c>
      <c r="K755" s="1">
        <v>13000</v>
      </c>
      <c r="L755" s="2">
        <v>45344</v>
      </c>
    </row>
    <row r="756" spans="1:12" x14ac:dyDescent="0.35">
      <c r="A756" s="1" t="s">
        <v>990</v>
      </c>
      <c r="B756" s="1" t="s">
        <v>307</v>
      </c>
      <c r="C756" s="1" t="s">
        <v>30</v>
      </c>
      <c r="D756" s="1" t="s">
        <v>31</v>
      </c>
      <c r="E756" s="1" t="s">
        <v>46</v>
      </c>
      <c r="F756" s="1" t="s">
        <v>25</v>
      </c>
      <c r="G756" s="1" t="s">
        <v>26</v>
      </c>
      <c r="H756" s="1">
        <v>17072</v>
      </c>
      <c r="I756" s="1"/>
      <c r="J756" s="1"/>
      <c r="K756" s="1">
        <v>17000</v>
      </c>
      <c r="L756" s="2">
        <v>45338</v>
      </c>
    </row>
    <row r="757" spans="1:12" x14ac:dyDescent="0.35">
      <c r="A757" s="1" t="s">
        <v>991</v>
      </c>
      <c r="B757" s="1" t="s">
        <v>557</v>
      </c>
      <c r="C757" s="1" t="s">
        <v>30</v>
      </c>
      <c r="D757" s="1" t="s">
        <v>31</v>
      </c>
      <c r="E757" s="1" t="s">
        <v>16</v>
      </c>
      <c r="F757" s="1" t="s">
        <v>25</v>
      </c>
      <c r="G757" s="1" t="s">
        <v>36</v>
      </c>
      <c r="H757" s="1">
        <v>17953</v>
      </c>
      <c r="I757" s="1" t="s">
        <v>22</v>
      </c>
      <c r="J757" s="1">
        <v>0.1</v>
      </c>
      <c r="K757" s="1">
        <v>17000</v>
      </c>
      <c r="L757" s="2">
        <v>45334</v>
      </c>
    </row>
    <row r="758" spans="1:12" x14ac:dyDescent="0.35">
      <c r="A758" s="1" t="s">
        <v>992</v>
      </c>
      <c r="B758" s="1" t="s">
        <v>105</v>
      </c>
      <c r="C758" s="1" t="s">
        <v>61</v>
      </c>
      <c r="D758" s="1" t="s">
        <v>62</v>
      </c>
      <c r="E758" s="1" t="s">
        <v>32</v>
      </c>
      <c r="F758" s="1" t="s">
        <v>39</v>
      </c>
      <c r="G758" s="1" t="s">
        <v>26</v>
      </c>
      <c r="H758" s="1">
        <v>9037</v>
      </c>
      <c r="I758" s="1" t="s">
        <v>27</v>
      </c>
      <c r="J758" s="1"/>
      <c r="K758" s="1">
        <v>9000</v>
      </c>
      <c r="L758" s="2">
        <v>45301</v>
      </c>
    </row>
    <row r="759" spans="1:12" x14ac:dyDescent="0.35">
      <c r="A759" s="1" t="s">
        <v>993</v>
      </c>
      <c r="B759" s="1" t="s">
        <v>291</v>
      </c>
      <c r="C759" s="1" t="s">
        <v>30</v>
      </c>
      <c r="D759" s="1" t="s">
        <v>31</v>
      </c>
      <c r="E759" s="1" t="s">
        <v>46</v>
      </c>
      <c r="F759" s="1" t="s">
        <v>39</v>
      </c>
      <c r="G759" s="1" t="s">
        <v>36</v>
      </c>
      <c r="H759" s="1">
        <v>15452</v>
      </c>
      <c r="I759" s="1" t="s">
        <v>22</v>
      </c>
      <c r="J759" s="1">
        <v>0.1</v>
      </c>
      <c r="K759" s="1">
        <v>17000</v>
      </c>
      <c r="L759" s="2">
        <v>45325</v>
      </c>
    </row>
    <row r="760" spans="1:12" x14ac:dyDescent="0.35">
      <c r="A760" s="1" t="s">
        <v>994</v>
      </c>
      <c r="B760" s="1" t="s">
        <v>13</v>
      </c>
      <c r="C760" s="1" t="s">
        <v>14</v>
      </c>
      <c r="D760" s="1" t="s">
        <v>15</v>
      </c>
      <c r="E760" s="1" t="s">
        <v>32</v>
      </c>
      <c r="F760" s="1" t="s">
        <v>25</v>
      </c>
      <c r="G760" s="1" t="s">
        <v>18</v>
      </c>
      <c r="H760" s="1">
        <v>12827</v>
      </c>
      <c r="I760" s="1" t="s">
        <v>22</v>
      </c>
      <c r="J760" s="1">
        <v>0.1</v>
      </c>
      <c r="K760" s="1">
        <v>14000</v>
      </c>
      <c r="L760" s="2">
        <v>45323</v>
      </c>
    </row>
    <row r="761" spans="1:12" x14ac:dyDescent="0.35">
      <c r="A761" s="1" t="s">
        <v>995</v>
      </c>
      <c r="B761" s="1" t="s">
        <v>229</v>
      </c>
      <c r="C761" s="1" t="s">
        <v>14</v>
      </c>
      <c r="D761" s="1" t="s">
        <v>15</v>
      </c>
      <c r="E761" s="1" t="s">
        <v>16</v>
      </c>
      <c r="F761" s="1" t="s">
        <v>39</v>
      </c>
      <c r="G761" s="1" t="s">
        <v>36</v>
      </c>
      <c r="H761" s="1">
        <v>14694</v>
      </c>
      <c r="I761" s="1"/>
      <c r="J761" s="1"/>
      <c r="K761" s="1">
        <v>14000</v>
      </c>
      <c r="L761" s="2">
        <v>45325</v>
      </c>
    </row>
    <row r="762" spans="1:12" x14ac:dyDescent="0.35">
      <c r="A762" s="1" t="s">
        <v>996</v>
      </c>
      <c r="B762" s="1" t="s">
        <v>233</v>
      </c>
      <c r="C762" s="1" t="s">
        <v>30</v>
      </c>
      <c r="D762" s="1" t="s">
        <v>31</v>
      </c>
      <c r="E762" s="1" t="s">
        <v>32</v>
      </c>
      <c r="F762" s="1" t="s">
        <v>17</v>
      </c>
      <c r="G762" s="1" t="s">
        <v>18</v>
      </c>
      <c r="H762" s="1">
        <v>17481</v>
      </c>
      <c r="I762" s="1" t="s">
        <v>22</v>
      </c>
      <c r="J762" s="1">
        <v>0.1</v>
      </c>
      <c r="K762" s="1">
        <v>17000</v>
      </c>
      <c r="L762" s="2">
        <v>45292</v>
      </c>
    </row>
    <row r="763" spans="1:12" x14ac:dyDescent="0.35">
      <c r="A763" s="1" t="s">
        <v>997</v>
      </c>
      <c r="B763" s="1" t="s">
        <v>553</v>
      </c>
      <c r="C763" s="1" t="s">
        <v>61</v>
      </c>
      <c r="D763" s="1" t="s">
        <v>62</v>
      </c>
      <c r="E763" s="1" t="s">
        <v>32</v>
      </c>
      <c r="F763" s="1" t="s">
        <v>17</v>
      </c>
      <c r="G763" s="1" t="s">
        <v>26</v>
      </c>
      <c r="H763" s="1">
        <v>7248</v>
      </c>
      <c r="I763" s="1" t="s">
        <v>33</v>
      </c>
      <c r="J763" s="1">
        <v>0.3</v>
      </c>
      <c r="K763" s="1">
        <v>9000</v>
      </c>
      <c r="L763" s="2">
        <v>45327</v>
      </c>
    </row>
    <row r="764" spans="1:12" x14ac:dyDescent="0.35">
      <c r="A764" s="1" t="s">
        <v>998</v>
      </c>
      <c r="B764" s="1" t="s">
        <v>127</v>
      </c>
      <c r="C764" s="1" t="s">
        <v>30</v>
      </c>
      <c r="D764" s="1" t="s">
        <v>31</v>
      </c>
      <c r="E764" s="1" t="s">
        <v>16</v>
      </c>
      <c r="F764" s="1" t="s">
        <v>25</v>
      </c>
      <c r="G764" s="1" t="s">
        <v>26</v>
      </c>
      <c r="H764" s="1">
        <v>16088</v>
      </c>
      <c r="I764" s="1" t="s">
        <v>27</v>
      </c>
      <c r="J764" s="1"/>
      <c r="K764" s="1">
        <v>17000</v>
      </c>
      <c r="L764" s="2">
        <v>45294</v>
      </c>
    </row>
    <row r="765" spans="1:12" x14ac:dyDescent="0.35">
      <c r="A765" s="1" t="s">
        <v>999</v>
      </c>
      <c r="B765" s="1" t="s">
        <v>1000</v>
      </c>
      <c r="C765" s="1" t="s">
        <v>30</v>
      </c>
      <c r="D765" s="1" t="s">
        <v>31</v>
      </c>
      <c r="E765" s="1" t="s">
        <v>32</v>
      </c>
      <c r="F765" s="1" t="s">
        <v>25</v>
      </c>
      <c r="G765" s="1" t="s">
        <v>26</v>
      </c>
      <c r="H765" s="1">
        <v>15397</v>
      </c>
      <c r="I765" s="1" t="s">
        <v>22</v>
      </c>
      <c r="J765" s="1">
        <v>0.1</v>
      </c>
      <c r="K765" s="1">
        <v>17000</v>
      </c>
      <c r="L765" s="2">
        <v>45338</v>
      </c>
    </row>
    <row r="766" spans="1:12" x14ac:dyDescent="0.35">
      <c r="A766" s="1" t="s">
        <v>1001</v>
      </c>
      <c r="B766" s="1" t="s">
        <v>24</v>
      </c>
      <c r="C766" s="1" t="s">
        <v>61</v>
      </c>
      <c r="D766" s="1" t="s">
        <v>62</v>
      </c>
      <c r="E766" s="1" t="s">
        <v>32</v>
      </c>
      <c r="F766" s="1" t="s">
        <v>25</v>
      </c>
      <c r="G766" s="1" t="s">
        <v>26</v>
      </c>
      <c r="H766" s="1">
        <v>9690</v>
      </c>
      <c r="I766" s="1" t="s">
        <v>19</v>
      </c>
      <c r="J766" s="1">
        <v>0.2</v>
      </c>
      <c r="K766" s="1">
        <v>9000</v>
      </c>
      <c r="L766" s="2">
        <v>45328</v>
      </c>
    </row>
    <row r="767" spans="1:12" x14ac:dyDescent="0.35">
      <c r="A767" s="1" t="s">
        <v>1002</v>
      </c>
      <c r="B767" s="1" t="s">
        <v>422</v>
      </c>
      <c r="C767" s="1" t="s">
        <v>61</v>
      </c>
      <c r="D767" s="1" t="s">
        <v>62</v>
      </c>
      <c r="E767" s="1" t="s">
        <v>16</v>
      </c>
      <c r="F767" s="1" t="s">
        <v>25</v>
      </c>
      <c r="G767" s="1" t="s">
        <v>26</v>
      </c>
      <c r="H767" s="1">
        <v>9361</v>
      </c>
      <c r="I767" s="1" t="s">
        <v>33</v>
      </c>
      <c r="J767" s="1">
        <v>0.3</v>
      </c>
      <c r="K767" s="1">
        <v>9000</v>
      </c>
      <c r="L767" s="2">
        <v>45335</v>
      </c>
    </row>
    <row r="768" spans="1:12" x14ac:dyDescent="0.35">
      <c r="A768" s="1" t="s">
        <v>1003</v>
      </c>
      <c r="B768" s="1" t="s">
        <v>483</v>
      </c>
      <c r="C768" s="1" t="s">
        <v>61</v>
      </c>
      <c r="D768" s="1" t="s">
        <v>62</v>
      </c>
      <c r="E768" s="1" t="s">
        <v>32</v>
      </c>
      <c r="F768" s="1" t="s">
        <v>25</v>
      </c>
      <c r="G768" s="1" t="s">
        <v>18</v>
      </c>
      <c r="H768" s="1">
        <v>9252</v>
      </c>
      <c r="I768" s="1"/>
      <c r="J768" s="1"/>
      <c r="K768" s="1">
        <v>9000</v>
      </c>
      <c r="L768" s="2">
        <v>45324</v>
      </c>
    </row>
    <row r="769" spans="1:12" x14ac:dyDescent="0.35">
      <c r="A769" s="1" t="s">
        <v>1004</v>
      </c>
      <c r="B769" s="1" t="s">
        <v>150</v>
      </c>
      <c r="C769" s="1" t="s">
        <v>44</v>
      </c>
      <c r="D769" s="1" t="s">
        <v>45</v>
      </c>
      <c r="E769" s="1" t="s">
        <v>16</v>
      </c>
      <c r="F769" s="1" t="s">
        <v>39</v>
      </c>
      <c r="G769" s="1" t="s">
        <v>36</v>
      </c>
      <c r="H769" s="1">
        <v>14823</v>
      </c>
      <c r="I769" s="1" t="s">
        <v>33</v>
      </c>
      <c r="J769" s="1">
        <v>0.3</v>
      </c>
      <c r="K769" s="1">
        <v>13000</v>
      </c>
      <c r="L769" s="2">
        <v>45349</v>
      </c>
    </row>
    <row r="770" spans="1:12" x14ac:dyDescent="0.35">
      <c r="A770" s="1" t="s">
        <v>1005</v>
      </c>
      <c r="B770" s="1" t="s">
        <v>301</v>
      </c>
      <c r="C770" s="1" t="s">
        <v>30</v>
      </c>
      <c r="D770" s="1" t="s">
        <v>31</v>
      </c>
      <c r="E770" s="1" t="s">
        <v>46</v>
      </c>
      <c r="F770" s="1" t="s">
        <v>17</v>
      </c>
      <c r="G770" s="1" t="s">
        <v>26</v>
      </c>
      <c r="H770" s="1">
        <v>16763</v>
      </c>
      <c r="I770" s="1" t="s">
        <v>33</v>
      </c>
      <c r="J770" s="1">
        <v>0.3</v>
      </c>
      <c r="K770" s="1">
        <v>17000</v>
      </c>
      <c r="L770" s="2">
        <v>45330</v>
      </c>
    </row>
    <row r="771" spans="1:12" x14ac:dyDescent="0.35">
      <c r="A771" s="1" t="s">
        <v>1006</v>
      </c>
      <c r="B771" s="1" t="s">
        <v>56</v>
      </c>
      <c r="C771" s="1" t="s">
        <v>44</v>
      </c>
      <c r="D771" s="1" t="s">
        <v>45</v>
      </c>
      <c r="E771" s="1" t="s">
        <v>46</v>
      </c>
      <c r="F771" s="1" t="s">
        <v>39</v>
      </c>
      <c r="G771" s="1" t="s">
        <v>26</v>
      </c>
      <c r="H771" s="1">
        <v>12040</v>
      </c>
      <c r="I771" s="1" t="s">
        <v>33</v>
      </c>
      <c r="J771" s="1">
        <v>0.3</v>
      </c>
      <c r="K771" s="1">
        <v>13000</v>
      </c>
      <c r="L771" s="2">
        <v>45320</v>
      </c>
    </row>
    <row r="772" spans="1:12" x14ac:dyDescent="0.35">
      <c r="A772" s="1" t="s">
        <v>1007</v>
      </c>
      <c r="B772" s="1" t="s">
        <v>52</v>
      </c>
      <c r="C772" s="1" t="s">
        <v>14</v>
      </c>
      <c r="D772" s="1" t="s">
        <v>15</v>
      </c>
      <c r="E772" s="1" t="s">
        <v>16</v>
      </c>
      <c r="F772" s="1" t="s">
        <v>25</v>
      </c>
      <c r="G772" s="1" t="s">
        <v>36</v>
      </c>
      <c r="H772" s="1">
        <v>14440</v>
      </c>
      <c r="I772" s="1" t="s">
        <v>22</v>
      </c>
      <c r="J772" s="1">
        <v>0.1</v>
      </c>
      <c r="K772" s="1">
        <v>14000</v>
      </c>
      <c r="L772" s="2">
        <v>45325</v>
      </c>
    </row>
    <row r="773" spans="1:12" x14ac:dyDescent="0.35">
      <c r="A773" s="1" t="s">
        <v>1008</v>
      </c>
      <c r="B773" s="1" t="s">
        <v>256</v>
      </c>
      <c r="C773" s="1" t="s">
        <v>14</v>
      </c>
      <c r="D773" s="1" t="s">
        <v>15</v>
      </c>
      <c r="E773" s="1" t="s">
        <v>46</v>
      </c>
      <c r="F773" s="1" t="s">
        <v>25</v>
      </c>
      <c r="G773" s="1" t="s">
        <v>18</v>
      </c>
      <c r="H773" s="1">
        <v>15505</v>
      </c>
      <c r="I773" s="1" t="s">
        <v>33</v>
      </c>
      <c r="J773" s="1">
        <v>0.3</v>
      </c>
      <c r="K773" s="1">
        <v>14000</v>
      </c>
      <c r="L773" s="2">
        <v>45293</v>
      </c>
    </row>
    <row r="774" spans="1:12" x14ac:dyDescent="0.35">
      <c r="A774" s="1" t="s">
        <v>1009</v>
      </c>
      <c r="B774" s="1" t="s">
        <v>140</v>
      </c>
      <c r="C774" s="1" t="s">
        <v>30</v>
      </c>
      <c r="D774" s="1" t="s">
        <v>31</v>
      </c>
      <c r="E774" s="1" t="s">
        <v>16</v>
      </c>
      <c r="F774" s="1" t="s">
        <v>39</v>
      </c>
      <c r="G774" s="1" t="s">
        <v>26</v>
      </c>
      <c r="H774" s="1">
        <v>17337</v>
      </c>
      <c r="I774" s="1" t="s">
        <v>27</v>
      </c>
      <c r="J774" s="1"/>
      <c r="K774" s="1">
        <v>17000</v>
      </c>
      <c r="L774" s="2">
        <v>45301</v>
      </c>
    </row>
    <row r="775" spans="1:12" x14ac:dyDescent="0.35">
      <c r="A775" s="1" t="s">
        <v>1010</v>
      </c>
      <c r="B775" s="1" t="s">
        <v>43</v>
      </c>
      <c r="C775" s="1" t="s">
        <v>61</v>
      </c>
      <c r="D775" s="1" t="s">
        <v>62</v>
      </c>
      <c r="E775" s="1" t="s">
        <v>46</v>
      </c>
      <c r="F775" s="1" t="s">
        <v>25</v>
      </c>
      <c r="G775" s="1" t="s">
        <v>18</v>
      </c>
      <c r="H775" s="1">
        <v>8085</v>
      </c>
      <c r="I775" s="1" t="s">
        <v>33</v>
      </c>
      <c r="J775" s="1">
        <v>0.3</v>
      </c>
      <c r="K775" s="1">
        <v>9000</v>
      </c>
      <c r="L775" s="2">
        <v>45348</v>
      </c>
    </row>
    <row r="776" spans="1:12" x14ac:dyDescent="0.35">
      <c r="A776" s="1" t="s">
        <v>1011</v>
      </c>
      <c r="B776" s="1" t="s">
        <v>519</v>
      </c>
      <c r="C776" s="1" t="s">
        <v>44</v>
      </c>
      <c r="D776" s="1" t="s">
        <v>45</v>
      </c>
      <c r="E776" s="1" t="s">
        <v>46</v>
      </c>
      <c r="F776" s="1" t="s">
        <v>17</v>
      </c>
      <c r="G776" s="1" t="s">
        <v>18</v>
      </c>
      <c r="H776" s="1">
        <v>13336</v>
      </c>
      <c r="I776" s="1"/>
      <c r="J776" s="1"/>
      <c r="K776" s="1">
        <v>13000</v>
      </c>
      <c r="L776" s="2">
        <v>45328</v>
      </c>
    </row>
    <row r="777" spans="1:12" x14ac:dyDescent="0.35">
      <c r="A777" s="1" t="s">
        <v>1012</v>
      </c>
      <c r="B777" s="1" t="s">
        <v>553</v>
      </c>
      <c r="C777" s="1" t="s">
        <v>14</v>
      </c>
      <c r="D777" s="1" t="s">
        <v>15</v>
      </c>
      <c r="E777" s="1" t="s">
        <v>16</v>
      </c>
      <c r="F777" s="1" t="s">
        <v>17</v>
      </c>
      <c r="G777" s="1" t="s">
        <v>36</v>
      </c>
      <c r="H777" s="1">
        <v>12708</v>
      </c>
      <c r="I777" s="1"/>
      <c r="J777" s="1"/>
      <c r="K777" s="1">
        <v>14000</v>
      </c>
      <c r="L777" s="2">
        <v>45344</v>
      </c>
    </row>
    <row r="778" spans="1:12" x14ac:dyDescent="0.35">
      <c r="A778" s="1" t="s">
        <v>1013</v>
      </c>
      <c r="B778" s="1" t="s">
        <v>260</v>
      </c>
      <c r="C778" s="1" t="s">
        <v>14</v>
      </c>
      <c r="D778" s="1" t="s">
        <v>15</v>
      </c>
      <c r="E778" s="1" t="s">
        <v>16</v>
      </c>
      <c r="F778" s="1" t="s">
        <v>39</v>
      </c>
      <c r="G778" s="1" t="s">
        <v>36</v>
      </c>
      <c r="H778" s="1">
        <v>12153</v>
      </c>
      <c r="I778" s="1" t="s">
        <v>27</v>
      </c>
      <c r="J778" s="1"/>
      <c r="K778" s="1">
        <v>14000</v>
      </c>
      <c r="L778" s="2">
        <v>45316</v>
      </c>
    </row>
    <row r="779" spans="1:12" x14ac:dyDescent="0.35">
      <c r="A779" s="1" t="s">
        <v>1014</v>
      </c>
      <c r="B779" s="1" t="s">
        <v>200</v>
      </c>
      <c r="C779" s="1" t="s">
        <v>14</v>
      </c>
      <c r="D779" s="1" t="s">
        <v>15</v>
      </c>
      <c r="E779" s="1" t="s">
        <v>46</v>
      </c>
      <c r="F779" s="1" t="s">
        <v>17</v>
      </c>
      <c r="G779" s="1" t="s">
        <v>36</v>
      </c>
      <c r="H779" s="1">
        <v>13706</v>
      </c>
      <c r="I779" s="1" t="s">
        <v>22</v>
      </c>
      <c r="J779" s="1">
        <v>0.1</v>
      </c>
      <c r="K779" s="1">
        <v>14000</v>
      </c>
      <c r="L779" s="2">
        <v>45347</v>
      </c>
    </row>
    <row r="780" spans="1:12" x14ac:dyDescent="0.35">
      <c r="A780" s="1" t="s">
        <v>1015</v>
      </c>
      <c r="B780" s="1" t="s">
        <v>294</v>
      </c>
      <c r="C780" s="1" t="s">
        <v>14</v>
      </c>
      <c r="D780" s="1" t="s">
        <v>15</v>
      </c>
      <c r="E780" s="1" t="s">
        <v>16</v>
      </c>
      <c r="F780" s="1" t="s">
        <v>39</v>
      </c>
      <c r="G780" s="1" t="s">
        <v>36</v>
      </c>
      <c r="H780" s="1">
        <v>12221</v>
      </c>
      <c r="I780" s="1" t="s">
        <v>33</v>
      </c>
      <c r="J780" s="1">
        <v>0.3</v>
      </c>
      <c r="K780" s="1">
        <v>14000</v>
      </c>
      <c r="L780" s="2">
        <v>45325</v>
      </c>
    </row>
    <row r="781" spans="1:12" x14ac:dyDescent="0.35">
      <c r="A781" s="1" t="s">
        <v>1016</v>
      </c>
      <c r="B781" s="1" t="s">
        <v>125</v>
      </c>
      <c r="C781" s="1" t="s">
        <v>44</v>
      </c>
      <c r="D781" s="1" t="s">
        <v>45</v>
      </c>
      <c r="E781" s="1" t="s">
        <v>46</v>
      </c>
      <c r="F781" s="1" t="s">
        <v>39</v>
      </c>
      <c r="G781" s="1" t="s">
        <v>26</v>
      </c>
      <c r="H781" s="1">
        <v>11904</v>
      </c>
      <c r="I781" s="1" t="s">
        <v>19</v>
      </c>
      <c r="J781" s="1">
        <v>0.2</v>
      </c>
      <c r="K781" s="1">
        <v>13000</v>
      </c>
      <c r="L781" s="2">
        <v>45295</v>
      </c>
    </row>
    <row r="782" spans="1:12" x14ac:dyDescent="0.35">
      <c r="A782" s="1" t="s">
        <v>1017</v>
      </c>
      <c r="B782" s="1" t="s">
        <v>305</v>
      </c>
      <c r="C782" s="1" t="s">
        <v>61</v>
      </c>
      <c r="D782" s="1" t="s">
        <v>62</v>
      </c>
      <c r="E782" s="1" t="s">
        <v>46</v>
      </c>
      <c r="F782" s="1" t="s">
        <v>39</v>
      </c>
      <c r="G782" s="1" t="s">
        <v>26</v>
      </c>
      <c r="H782" s="1">
        <v>9067</v>
      </c>
      <c r="I782" s="1" t="s">
        <v>22</v>
      </c>
      <c r="J782" s="1">
        <v>0.1</v>
      </c>
      <c r="K782" s="1">
        <v>9000</v>
      </c>
      <c r="L782" s="2">
        <v>45306</v>
      </c>
    </row>
    <row r="783" spans="1:12" x14ac:dyDescent="0.35">
      <c r="A783" s="1" t="s">
        <v>1018</v>
      </c>
      <c r="B783" s="1" t="s">
        <v>435</v>
      </c>
      <c r="C783" s="1" t="s">
        <v>61</v>
      </c>
      <c r="D783" s="1" t="s">
        <v>62</v>
      </c>
      <c r="E783" s="1" t="s">
        <v>32</v>
      </c>
      <c r="F783" s="1" t="s">
        <v>25</v>
      </c>
      <c r="G783" s="1" t="s">
        <v>36</v>
      </c>
      <c r="H783" s="1">
        <v>7338</v>
      </c>
      <c r="I783" s="1"/>
      <c r="J783" s="1"/>
      <c r="K783" s="1">
        <v>9000</v>
      </c>
      <c r="L783" s="2">
        <v>45328</v>
      </c>
    </row>
    <row r="784" spans="1:12" x14ac:dyDescent="0.35">
      <c r="A784" s="1" t="s">
        <v>1019</v>
      </c>
      <c r="B784" s="1" t="s">
        <v>464</v>
      </c>
      <c r="C784" s="1" t="s">
        <v>61</v>
      </c>
      <c r="D784" s="1" t="s">
        <v>62</v>
      </c>
      <c r="E784" s="1" t="s">
        <v>46</v>
      </c>
      <c r="F784" s="1" t="s">
        <v>25</v>
      </c>
      <c r="G784" s="1" t="s">
        <v>36</v>
      </c>
      <c r="H784" s="1">
        <v>9055</v>
      </c>
      <c r="I784" s="1"/>
      <c r="J784" s="1"/>
      <c r="K784" s="1">
        <v>9000</v>
      </c>
      <c r="L784" s="2">
        <v>45341</v>
      </c>
    </row>
    <row r="785" spans="1:12" x14ac:dyDescent="0.35">
      <c r="A785" s="1" t="s">
        <v>1020</v>
      </c>
      <c r="B785" s="1" t="s">
        <v>153</v>
      </c>
      <c r="C785" s="1" t="s">
        <v>44</v>
      </c>
      <c r="D785" s="1" t="s">
        <v>45</v>
      </c>
      <c r="E785" s="1" t="s">
        <v>46</v>
      </c>
      <c r="F785" s="1" t="s">
        <v>39</v>
      </c>
      <c r="G785" s="1" t="s">
        <v>18</v>
      </c>
      <c r="H785" s="1">
        <v>12998</v>
      </c>
      <c r="I785" s="1"/>
      <c r="J785" s="1"/>
      <c r="K785" s="1">
        <v>13000</v>
      </c>
      <c r="L785" s="2">
        <v>45333</v>
      </c>
    </row>
    <row r="786" spans="1:12" x14ac:dyDescent="0.35">
      <c r="A786" s="1" t="s">
        <v>1021</v>
      </c>
      <c r="B786" s="1" t="s">
        <v>519</v>
      </c>
      <c r="C786" s="1" t="s">
        <v>44</v>
      </c>
      <c r="D786" s="1" t="s">
        <v>45</v>
      </c>
      <c r="E786" s="1" t="s">
        <v>32</v>
      </c>
      <c r="F786" s="1" t="s">
        <v>25</v>
      </c>
      <c r="G786" s="1" t="s">
        <v>36</v>
      </c>
      <c r="H786" s="1">
        <v>14181</v>
      </c>
      <c r="I786" s="1"/>
      <c r="J786" s="1"/>
      <c r="K786" s="1">
        <v>13000</v>
      </c>
      <c r="L786" s="2">
        <v>45312</v>
      </c>
    </row>
    <row r="787" spans="1:12" x14ac:dyDescent="0.35">
      <c r="A787" s="1" t="s">
        <v>1022</v>
      </c>
      <c r="B787" s="1" t="s">
        <v>163</v>
      </c>
      <c r="C787" s="1" t="s">
        <v>14</v>
      </c>
      <c r="D787" s="1" t="s">
        <v>15</v>
      </c>
      <c r="E787" s="1" t="s">
        <v>32</v>
      </c>
      <c r="F787" s="1" t="s">
        <v>39</v>
      </c>
      <c r="G787" s="1" t="s">
        <v>36</v>
      </c>
      <c r="H787" s="1">
        <v>13734</v>
      </c>
      <c r="I787" s="1" t="s">
        <v>33</v>
      </c>
      <c r="J787" s="1">
        <v>0.3</v>
      </c>
      <c r="K787" s="1">
        <v>14000</v>
      </c>
      <c r="L787" s="2">
        <v>45314</v>
      </c>
    </row>
    <row r="788" spans="1:12" x14ac:dyDescent="0.35">
      <c r="A788" s="1" t="s">
        <v>1023</v>
      </c>
      <c r="B788" s="1" t="s">
        <v>391</v>
      </c>
      <c r="C788" s="1" t="s">
        <v>30</v>
      </c>
      <c r="D788" s="1" t="s">
        <v>31</v>
      </c>
      <c r="E788" s="1" t="s">
        <v>16</v>
      </c>
      <c r="F788" s="1" t="s">
        <v>39</v>
      </c>
      <c r="G788" s="1" t="s">
        <v>18</v>
      </c>
      <c r="H788" s="1">
        <v>18152</v>
      </c>
      <c r="I788" s="1" t="s">
        <v>33</v>
      </c>
      <c r="J788" s="1">
        <v>0.3</v>
      </c>
      <c r="K788" s="1">
        <v>17000</v>
      </c>
      <c r="L788" s="2">
        <v>45302</v>
      </c>
    </row>
    <row r="789" spans="1:12" x14ac:dyDescent="0.35">
      <c r="A789" s="1" t="s">
        <v>1024</v>
      </c>
      <c r="B789" s="1" t="s">
        <v>38</v>
      </c>
      <c r="C789" s="1" t="s">
        <v>61</v>
      </c>
      <c r="D789" s="1" t="s">
        <v>62</v>
      </c>
      <c r="E789" s="1" t="s">
        <v>16</v>
      </c>
      <c r="F789" s="1" t="s">
        <v>25</v>
      </c>
      <c r="G789" s="1" t="s">
        <v>36</v>
      </c>
      <c r="H789" s="1">
        <v>7183</v>
      </c>
      <c r="I789" s="1" t="s">
        <v>19</v>
      </c>
      <c r="J789" s="1">
        <v>0.2</v>
      </c>
      <c r="K789" s="1">
        <v>9000</v>
      </c>
      <c r="L789" s="2">
        <v>45304</v>
      </c>
    </row>
    <row r="790" spans="1:12" x14ac:dyDescent="0.35">
      <c r="A790" s="1" t="s">
        <v>1025</v>
      </c>
      <c r="B790" s="1" t="s">
        <v>317</v>
      </c>
      <c r="C790" s="1" t="s">
        <v>44</v>
      </c>
      <c r="D790" s="1" t="s">
        <v>45</v>
      </c>
      <c r="E790" s="1" t="s">
        <v>16</v>
      </c>
      <c r="F790" s="1" t="s">
        <v>25</v>
      </c>
      <c r="G790" s="1" t="s">
        <v>18</v>
      </c>
      <c r="H790" s="1">
        <v>14029</v>
      </c>
      <c r="I790" s="1" t="s">
        <v>22</v>
      </c>
      <c r="J790" s="1">
        <v>0.1</v>
      </c>
      <c r="K790" s="1">
        <v>13000</v>
      </c>
      <c r="L790" s="2">
        <v>45307</v>
      </c>
    </row>
    <row r="791" spans="1:12" x14ac:dyDescent="0.35">
      <c r="A791" s="1" t="s">
        <v>1026</v>
      </c>
      <c r="B791" s="1" t="s">
        <v>373</v>
      </c>
      <c r="C791" s="1" t="s">
        <v>30</v>
      </c>
      <c r="D791" s="1" t="s">
        <v>31</v>
      </c>
      <c r="E791" s="1" t="s">
        <v>32</v>
      </c>
      <c r="F791" s="1" t="s">
        <v>17</v>
      </c>
      <c r="G791" s="1" t="s">
        <v>26</v>
      </c>
      <c r="H791" s="1">
        <v>18294</v>
      </c>
      <c r="I791" s="1" t="s">
        <v>22</v>
      </c>
      <c r="J791" s="1">
        <v>0.1</v>
      </c>
      <c r="K791" s="1">
        <v>17000</v>
      </c>
      <c r="L791" s="2">
        <v>45311</v>
      </c>
    </row>
    <row r="792" spans="1:12" x14ac:dyDescent="0.35">
      <c r="A792" s="1" t="s">
        <v>1027</v>
      </c>
      <c r="B792" s="1" t="s">
        <v>231</v>
      </c>
      <c r="C792" s="1" t="s">
        <v>14</v>
      </c>
      <c r="D792" s="1" t="s">
        <v>15</v>
      </c>
      <c r="E792" s="1" t="s">
        <v>46</v>
      </c>
      <c r="F792" s="1" t="s">
        <v>25</v>
      </c>
      <c r="G792" s="1" t="s">
        <v>26</v>
      </c>
      <c r="H792" s="1">
        <v>14203</v>
      </c>
      <c r="I792" s="1" t="s">
        <v>19</v>
      </c>
      <c r="J792" s="1">
        <v>0.2</v>
      </c>
      <c r="K792" s="1">
        <v>14000</v>
      </c>
      <c r="L792" s="2">
        <v>45305</v>
      </c>
    </row>
    <row r="793" spans="1:12" x14ac:dyDescent="0.35">
      <c r="A793" s="1" t="s">
        <v>1028</v>
      </c>
      <c r="B793" s="1" t="s">
        <v>168</v>
      </c>
      <c r="C793" s="1" t="s">
        <v>30</v>
      </c>
      <c r="D793" s="1" t="s">
        <v>31</v>
      </c>
      <c r="E793" s="1" t="s">
        <v>16</v>
      </c>
      <c r="F793" s="1" t="s">
        <v>17</v>
      </c>
      <c r="G793" s="1" t="s">
        <v>26</v>
      </c>
      <c r="H793" s="1">
        <v>17989</v>
      </c>
      <c r="I793" s="1" t="s">
        <v>19</v>
      </c>
      <c r="J793" s="1">
        <v>0.2</v>
      </c>
      <c r="K793" s="1">
        <v>17000</v>
      </c>
      <c r="L793" s="2">
        <v>45336</v>
      </c>
    </row>
    <row r="794" spans="1:12" x14ac:dyDescent="0.35">
      <c r="A794" s="1" t="s">
        <v>1029</v>
      </c>
      <c r="B794" s="1" t="s">
        <v>765</v>
      </c>
      <c r="C794" s="1" t="s">
        <v>14</v>
      </c>
      <c r="D794" s="1" t="s">
        <v>15</v>
      </c>
      <c r="E794" s="1" t="s">
        <v>46</v>
      </c>
      <c r="F794" s="1" t="s">
        <v>39</v>
      </c>
      <c r="G794" s="1" t="s">
        <v>26</v>
      </c>
      <c r="H794" s="1">
        <v>14157</v>
      </c>
      <c r="I794" s="1" t="s">
        <v>22</v>
      </c>
      <c r="J794" s="1">
        <v>0.1</v>
      </c>
      <c r="K794" s="1">
        <v>14000</v>
      </c>
      <c r="L794" s="2">
        <v>45308</v>
      </c>
    </row>
    <row r="795" spans="1:12" x14ac:dyDescent="0.35">
      <c r="A795" s="1" t="s">
        <v>1030</v>
      </c>
      <c r="B795" s="1" t="s">
        <v>557</v>
      </c>
      <c r="C795" s="1" t="s">
        <v>30</v>
      </c>
      <c r="D795" s="1" t="s">
        <v>31</v>
      </c>
      <c r="E795" s="1" t="s">
        <v>32</v>
      </c>
      <c r="F795" s="1" t="s">
        <v>39</v>
      </c>
      <c r="G795" s="1" t="s">
        <v>26</v>
      </c>
      <c r="H795" s="1">
        <v>16111</v>
      </c>
      <c r="I795" s="1" t="s">
        <v>22</v>
      </c>
      <c r="J795" s="1">
        <v>0.1</v>
      </c>
      <c r="K795" s="1">
        <v>17000</v>
      </c>
      <c r="L795" s="2">
        <v>45321</v>
      </c>
    </row>
    <row r="796" spans="1:12" x14ac:dyDescent="0.35">
      <c r="A796" s="1" t="s">
        <v>1031</v>
      </c>
      <c r="B796" s="1" t="s">
        <v>1032</v>
      </c>
      <c r="C796" s="1" t="s">
        <v>14</v>
      </c>
      <c r="D796" s="1" t="s">
        <v>15</v>
      </c>
      <c r="E796" s="1" t="s">
        <v>46</v>
      </c>
      <c r="F796" s="1" t="s">
        <v>39</v>
      </c>
      <c r="G796" s="1" t="s">
        <v>36</v>
      </c>
      <c r="H796" s="1">
        <v>14715</v>
      </c>
      <c r="I796" s="1" t="s">
        <v>33</v>
      </c>
      <c r="J796" s="1">
        <v>0.3</v>
      </c>
      <c r="K796" s="1">
        <v>14000</v>
      </c>
      <c r="L796" s="2">
        <v>45347</v>
      </c>
    </row>
    <row r="797" spans="1:12" x14ac:dyDescent="0.35">
      <c r="A797" s="1" t="s">
        <v>1033</v>
      </c>
      <c r="B797" s="1" t="s">
        <v>43</v>
      </c>
      <c r="C797" s="1" t="s">
        <v>30</v>
      </c>
      <c r="D797" s="1" t="s">
        <v>31</v>
      </c>
      <c r="E797" s="1" t="s">
        <v>16</v>
      </c>
      <c r="F797" s="1" t="s">
        <v>17</v>
      </c>
      <c r="G797" s="1" t="s">
        <v>18</v>
      </c>
      <c r="H797" s="1">
        <v>16559</v>
      </c>
      <c r="I797" s="1" t="s">
        <v>27</v>
      </c>
      <c r="J797" s="1"/>
      <c r="K797" s="1">
        <v>17000</v>
      </c>
      <c r="L797" s="2">
        <v>45337</v>
      </c>
    </row>
    <row r="798" spans="1:12" x14ac:dyDescent="0.35">
      <c r="A798" s="1" t="s">
        <v>1034</v>
      </c>
      <c r="B798" s="1" t="s">
        <v>432</v>
      </c>
      <c r="C798" s="1" t="s">
        <v>61</v>
      </c>
      <c r="D798" s="1" t="s">
        <v>62</v>
      </c>
      <c r="E798" s="1" t="s">
        <v>16</v>
      </c>
      <c r="F798" s="1" t="s">
        <v>39</v>
      </c>
      <c r="G798" s="1" t="s">
        <v>18</v>
      </c>
      <c r="H798" s="1">
        <v>7763</v>
      </c>
      <c r="I798" s="1" t="s">
        <v>19</v>
      </c>
      <c r="J798" s="1">
        <v>0.2</v>
      </c>
      <c r="K798" s="1">
        <v>9000</v>
      </c>
      <c r="L798" s="2">
        <v>45324</v>
      </c>
    </row>
    <row r="799" spans="1:12" x14ac:dyDescent="0.35">
      <c r="A799" s="1" t="s">
        <v>1035</v>
      </c>
      <c r="B799" s="1" t="s">
        <v>330</v>
      </c>
      <c r="C799" s="1" t="s">
        <v>14</v>
      </c>
      <c r="D799" s="1" t="s">
        <v>15</v>
      </c>
      <c r="E799" s="1" t="s">
        <v>32</v>
      </c>
      <c r="F799" s="1" t="s">
        <v>25</v>
      </c>
      <c r="G799" s="1" t="s">
        <v>26</v>
      </c>
      <c r="H799" s="1">
        <v>13248</v>
      </c>
      <c r="I799" s="1" t="s">
        <v>33</v>
      </c>
      <c r="J799" s="1">
        <v>0.3</v>
      </c>
      <c r="K799" s="1">
        <v>14000</v>
      </c>
      <c r="L799" s="2">
        <v>45323</v>
      </c>
    </row>
    <row r="800" spans="1:12" x14ac:dyDescent="0.35">
      <c r="A800" s="1" t="s">
        <v>1036</v>
      </c>
      <c r="B800" s="1" t="s">
        <v>101</v>
      </c>
      <c r="C800" s="1" t="s">
        <v>44</v>
      </c>
      <c r="D800" s="1" t="s">
        <v>45</v>
      </c>
      <c r="E800" s="1" t="s">
        <v>32</v>
      </c>
      <c r="F800" s="1" t="s">
        <v>17</v>
      </c>
      <c r="G800" s="1" t="s">
        <v>26</v>
      </c>
      <c r="H800" s="1">
        <v>12441</v>
      </c>
      <c r="I800" s="1" t="s">
        <v>33</v>
      </c>
      <c r="J800" s="1">
        <v>0.3</v>
      </c>
      <c r="K800" s="1">
        <v>13000</v>
      </c>
      <c r="L800" s="2">
        <v>45332</v>
      </c>
    </row>
    <row r="801" spans="1:12" x14ac:dyDescent="0.35">
      <c r="A801" s="1" t="s">
        <v>1037</v>
      </c>
      <c r="B801" s="1" t="s">
        <v>289</v>
      </c>
      <c r="C801" s="1" t="s">
        <v>30</v>
      </c>
      <c r="D801" s="1" t="s">
        <v>31</v>
      </c>
      <c r="E801" s="1" t="s">
        <v>32</v>
      </c>
      <c r="F801" s="1" t="s">
        <v>39</v>
      </c>
      <c r="G801" s="1" t="s">
        <v>36</v>
      </c>
      <c r="H801" s="1">
        <v>18599</v>
      </c>
      <c r="I801" s="1"/>
      <c r="J801" s="1"/>
      <c r="K801" s="1">
        <v>17000</v>
      </c>
      <c r="L801" s="2">
        <v>45348</v>
      </c>
    </row>
    <row r="802" spans="1:12" x14ac:dyDescent="0.35">
      <c r="A802" s="1" t="s">
        <v>1038</v>
      </c>
      <c r="B802" s="1" t="s">
        <v>676</v>
      </c>
      <c r="C802" s="1" t="s">
        <v>30</v>
      </c>
      <c r="D802" s="1" t="s">
        <v>31</v>
      </c>
      <c r="E802" s="1" t="s">
        <v>32</v>
      </c>
      <c r="F802" s="1" t="s">
        <v>25</v>
      </c>
      <c r="G802" s="1" t="s">
        <v>36</v>
      </c>
      <c r="H802" s="1">
        <v>18674</v>
      </c>
      <c r="I802" s="1"/>
      <c r="J802" s="1"/>
      <c r="K802" s="1">
        <v>17000</v>
      </c>
      <c r="L802" s="2">
        <v>45334</v>
      </c>
    </row>
    <row r="803" spans="1:12" x14ac:dyDescent="0.35">
      <c r="A803" s="1" t="s">
        <v>1039</v>
      </c>
      <c r="B803" s="1" t="s">
        <v>325</v>
      </c>
      <c r="C803" s="1" t="s">
        <v>61</v>
      </c>
      <c r="D803" s="1" t="s">
        <v>62</v>
      </c>
      <c r="E803" s="1" t="s">
        <v>16</v>
      </c>
      <c r="F803" s="1" t="s">
        <v>39</v>
      </c>
      <c r="G803" s="1" t="s">
        <v>26</v>
      </c>
      <c r="H803" s="1">
        <v>10574</v>
      </c>
      <c r="I803" s="1" t="s">
        <v>19</v>
      </c>
      <c r="J803" s="1">
        <v>0.2</v>
      </c>
      <c r="K803" s="1">
        <v>9000</v>
      </c>
      <c r="L803" s="2">
        <v>45318</v>
      </c>
    </row>
    <row r="804" spans="1:12" x14ac:dyDescent="0.35">
      <c r="A804" s="1" t="s">
        <v>1040</v>
      </c>
      <c r="B804" s="1" t="s">
        <v>56</v>
      </c>
      <c r="C804" s="1" t="s">
        <v>44</v>
      </c>
      <c r="D804" s="1" t="s">
        <v>45</v>
      </c>
      <c r="E804" s="1" t="s">
        <v>46</v>
      </c>
      <c r="F804" s="1" t="s">
        <v>17</v>
      </c>
      <c r="G804" s="1" t="s">
        <v>26</v>
      </c>
      <c r="H804" s="1">
        <v>12348</v>
      </c>
      <c r="I804" s="1"/>
      <c r="J804" s="1"/>
      <c r="K804" s="1">
        <v>13000</v>
      </c>
      <c r="L804" s="2">
        <v>45326</v>
      </c>
    </row>
    <row r="805" spans="1:12" x14ac:dyDescent="0.35">
      <c r="A805" s="1" t="s">
        <v>1041</v>
      </c>
      <c r="B805" s="1" t="s">
        <v>35</v>
      </c>
      <c r="C805" s="1" t="s">
        <v>44</v>
      </c>
      <c r="D805" s="1" t="s">
        <v>45</v>
      </c>
      <c r="E805" s="1" t="s">
        <v>16</v>
      </c>
      <c r="F805" s="1" t="s">
        <v>39</v>
      </c>
      <c r="G805" s="1" t="s">
        <v>26</v>
      </c>
      <c r="H805" s="1">
        <v>14277</v>
      </c>
      <c r="I805" s="1" t="s">
        <v>19</v>
      </c>
      <c r="J805" s="1">
        <v>0.2</v>
      </c>
      <c r="K805" s="1">
        <v>13000</v>
      </c>
      <c r="L805" s="2">
        <v>45347</v>
      </c>
    </row>
    <row r="806" spans="1:12" x14ac:dyDescent="0.35">
      <c r="A806" s="1" t="s">
        <v>1042</v>
      </c>
      <c r="B806" s="1" t="s">
        <v>256</v>
      </c>
      <c r="C806" s="1" t="s">
        <v>44</v>
      </c>
      <c r="D806" s="1" t="s">
        <v>45</v>
      </c>
      <c r="E806" s="1" t="s">
        <v>46</v>
      </c>
      <c r="F806" s="1" t="s">
        <v>25</v>
      </c>
      <c r="G806" s="1" t="s">
        <v>26</v>
      </c>
      <c r="H806" s="1">
        <v>14821</v>
      </c>
      <c r="I806" s="1" t="s">
        <v>27</v>
      </c>
      <c r="J806" s="1"/>
      <c r="K806" s="1">
        <v>13000</v>
      </c>
      <c r="L806" s="2">
        <v>45350</v>
      </c>
    </row>
    <row r="807" spans="1:12" x14ac:dyDescent="0.35">
      <c r="A807" s="1" t="s">
        <v>1043</v>
      </c>
      <c r="B807" s="1" t="s">
        <v>74</v>
      </c>
      <c r="C807" s="1" t="s">
        <v>14</v>
      </c>
      <c r="D807" s="1" t="s">
        <v>15</v>
      </c>
      <c r="E807" s="1" t="s">
        <v>16</v>
      </c>
      <c r="F807" s="1" t="s">
        <v>39</v>
      </c>
      <c r="G807" s="1" t="s">
        <v>26</v>
      </c>
      <c r="H807" s="1">
        <v>12484</v>
      </c>
      <c r="I807" s="1" t="s">
        <v>19</v>
      </c>
      <c r="J807" s="1">
        <v>0.2</v>
      </c>
      <c r="K807" s="1">
        <v>14000</v>
      </c>
      <c r="L807" s="2">
        <v>45312</v>
      </c>
    </row>
    <row r="808" spans="1:12" x14ac:dyDescent="0.35">
      <c r="A808" s="1" t="s">
        <v>1044</v>
      </c>
      <c r="B808" s="1" t="s">
        <v>412</v>
      </c>
      <c r="C808" s="1" t="s">
        <v>14</v>
      </c>
      <c r="D808" s="1" t="s">
        <v>15</v>
      </c>
      <c r="E808" s="1" t="s">
        <v>46</v>
      </c>
      <c r="F808" s="1" t="s">
        <v>17</v>
      </c>
      <c r="G808" s="1" t="s">
        <v>36</v>
      </c>
      <c r="H808" s="1">
        <v>13242</v>
      </c>
      <c r="I808" s="1"/>
      <c r="J808" s="1"/>
      <c r="K808" s="1">
        <v>14000</v>
      </c>
      <c r="L808" s="2">
        <v>45339</v>
      </c>
    </row>
    <row r="809" spans="1:12" x14ac:dyDescent="0.35">
      <c r="A809" s="1" t="s">
        <v>1045</v>
      </c>
      <c r="B809" s="1" t="s">
        <v>454</v>
      </c>
      <c r="C809" s="1" t="s">
        <v>30</v>
      </c>
      <c r="D809" s="1" t="s">
        <v>31</v>
      </c>
      <c r="E809" s="1" t="s">
        <v>32</v>
      </c>
      <c r="F809" s="1" t="s">
        <v>25</v>
      </c>
      <c r="G809" s="1" t="s">
        <v>18</v>
      </c>
      <c r="H809" s="1">
        <v>15538</v>
      </c>
      <c r="I809" s="1" t="s">
        <v>19</v>
      </c>
      <c r="J809" s="1">
        <v>0.2</v>
      </c>
      <c r="K809" s="1">
        <v>17000</v>
      </c>
      <c r="L809" s="2">
        <v>45293</v>
      </c>
    </row>
    <row r="810" spans="1:12" x14ac:dyDescent="0.35">
      <c r="A810" s="1" t="s">
        <v>1046</v>
      </c>
      <c r="B810" s="1" t="s">
        <v>522</v>
      </c>
      <c r="C810" s="1" t="s">
        <v>30</v>
      </c>
      <c r="D810" s="1" t="s">
        <v>31</v>
      </c>
      <c r="E810" s="1" t="s">
        <v>16</v>
      </c>
      <c r="F810" s="1" t="s">
        <v>39</v>
      </c>
      <c r="G810" s="1" t="s">
        <v>26</v>
      </c>
      <c r="H810" s="1">
        <v>15945</v>
      </c>
      <c r="I810" s="1" t="s">
        <v>27</v>
      </c>
      <c r="J810" s="1"/>
      <c r="K810" s="1">
        <v>17000</v>
      </c>
      <c r="L810" s="2">
        <v>45306</v>
      </c>
    </row>
    <row r="811" spans="1:12" x14ac:dyDescent="0.35">
      <c r="A811" s="1" t="s">
        <v>1047</v>
      </c>
      <c r="B811" s="1" t="s">
        <v>817</v>
      </c>
      <c r="C811" s="1" t="s">
        <v>14</v>
      </c>
      <c r="D811" s="1" t="s">
        <v>15</v>
      </c>
      <c r="E811" s="1" t="s">
        <v>46</v>
      </c>
      <c r="F811" s="1" t="s">
        <v>25</v>
      </c>
      <c r="G811" s="1" t="s">
        <v>26</v>
      </c>
      <c r="H811" s="1">
        <v>15194</v>
      </c>
      <c r="I811" s="1"/>
      <c r="J811" s="1"/>
      <c r="K811" s="1">
        <v>14000</v>
      </c>
      <c r="L811" s="2">
        <v>45300</v>
      </c>
    </row>
    <row r="812" spans="1:12" x14ac:dyDescent="0.35">
      <c r="A812" s="1" t="s">
        <v>1048</v>
      </c>
      <c r="B812" s="1" t="s">
        <v>105</v>
      </c>
      <c r="C812" s="1" t="s">
        <v>61</v>
      </c>
      <c r="D812" s="1" t="s">
        <v>62</v>
      </c>
      <c r="E812" s="1" t="s">
        <v>16</v>
      </c>
      <c r="F812" s="1" t="s">
        <v>39</v>
      </c>
      <c r="G812" s="1" t="s">
        <v>36</v>
      </c>
      <c r="H812" s="1">
        <v>7753</v>
      </c>
      <c r="I812" s="1"/>
      <c r="J812" s="1"/>
      <c r="K812" s="1">
        <v>9000</v>
      </c>
      <c r="L812" s="2">
        <v>45323</v>
      </c>
    </row>
    <row r="813" spans="1:12" x14ac:dyDescent="0.35">
      <c r="A813" s="1" t="s">
        <v>1049</v>
      </c>
      <c r="B813" s="1" t="s">
        <v>508</v>
      </c>
      <c r="C813" s="1" t="s">
        <v>44</v>
      </c>
      <c r="D813" s="1" t="s">
        <v>45</v>
      </c>
      <c r="E813" s="1" t="s">
        <v>32</v>
      </c>
      <c r="F813" s="1" t="s">
        <v>25</v>
      </c>
      <c r="G813" s="1" t="s">
        <v>18</v>
      </c>
      <c r="H813" s="1">
        <v>12673</v>
      </c>
      <c r="I813" s="1" t="s">
        <v>22</v>
      </c>
      <c r="J813" s="1">
        <v>0.1</v>
      </c>
      <c r="K813" s="1">
        <v>13000</v>
      </c>
      <c r="L813" s="2">
        <v>45351</v>
      </c>
    </row>
    <row r="814" spans="1:12" x14ac:dyDescent="0.35">
      <c r="A814" s="1" t="s">
        <v>1050</v>
      </c>
      <c r="B814" s="1" t="s">
        <v>70</v>
      </c>
      <c r="C814" s="1" t="s">
        <v>44</v>
      </c>
      <c r="D814" s="1" t="s">
        <v>45</v>
      </c>
      <c r="E814" s="1" t="s">
        <v>16</v>
      </c>
      <c r="F814" s="1" t="s">
        <v>39</v>
      </c>
      <c r="G814" s="1" t="s">
        <v>18</v>
      </c>
      <c r="H814" s="1">
        <v>14103</v>
      </c>
      <c r="I814" s="1" t="s">
        <v>19</v>
      </c>
      <c r="J814" s="1">
        <v>0.2</v>
      </c>
      <c r="K814" s="1">
        <v>13000</v>
      </c>
      <c r="L814" s="2">
        <v>45296</v>
      </c>
    </row>
    <row r="815" spans="1:12" x14ac:dyDescent="0.35">
      <c r="A815" s="1" t="s">
        <v>1051</v>
      </c>
      <c r="B815" s="1" t="s">
        <v>429</v>
      </c>
      <c r="C815" s="1" t="s">
        <v>61</v>
      </c>
      <c r="D815" s="1" t="s">
        <v>62</v>
      </c>
      <c r="E815" s="1" t="s">
        <v>16</v>
      </c>
      <c r="F815" s="1" t="s">
        <v>17</v>
      </c>
      <c r="G815" s="1" t="s">
        <v>36</v>
      </c>
      <c r="H815" s="1">
        <v>10635</v>
      </c>
      <c r="I815" s="1" t="s">
        <v>19</v>
      </c>
      <c r="J815" s="1">
        <v>0.2</v>
      </c>
      <c r="K815" s="1">
        <v>9000</v>
      </c>
      <c r="L815" s="2">
        <v>45319</v>
      </c>
    </row>
    <row r="816" spans="1:12" x14ac:dyDescent="0.35">
      <c r="A816" s="1" t="s">
        <v>1052</v>
      </c>
      <c r="B816" s="1" t="s">
        <v>155</v>
      </c>
      <c r="C816" s="1" t="s">
        <v>14</v>
      </c>
      <c r="D816" s="1" t="s">
        <v>15</v>
      </c>
      <c r="E816" s="1" t="s">
        <v>16</v>
      </c>
      <c r="F816" s="1" t="s">
        <v>39</v>
      </c>
      <c r="G816" s="1" t="s">
        <v>36</v>
      </c>
      <c r="H816" s="1">
        <v>14949</v>
      </c>
      <c r="I816" s="1" t="s">
        <v>33</v>
      </c>
      <c r="J816" s="1">
        <v>0.3</v>
      </c>
      <c r="K816" s="1">
        <v>14000</v>
      </c>
      <c r="L816" s="2">
        <v>45317</v>
      </c>
    </row>
    <row r="817" spans="1:12" x14ac:dyDescent="0.35">
      <c r="A817" s="1" t="s">
        <v>1053</v>
      </c>
      <c r="B817" s="1" t="s">
        <v>233</v>
      </c>
      <c r="C817" s="1" t="s">
        <v>14</v>
      </c>
      <c r="D817" s="1" t="s">
        <v>15</v>
      </c>
      <c r="E817" s="1" t="s">
        <v>16</v>
      </c>
      <c r="F817" s="1" t="s">
        <v>25</v>
      </c>
      <c r="G817" s="1" t="s">
        <v>36</v>
      </c>
      <c r="H817" s="1">
        <v>13871</v>
      </c>
      <c r="I817" s="1" t="s">
        <v>22</v>
      </c>
      <c r="J817" s="1">
        <v>0.1</v>
      </c>
      <c r="K817" s="1">
        <v>14000</v>
      </c>
      <c r="L817" s="2">
        <v>45348</v>
      </c>
    </row>
    <row r="818" spans="1:12" x14ac:dyDescent="0.35">
      <c r="A818" s="1" t="s">
        <v>1054</v>
      </c>
      <c r="B818" s="1" t="s">
        <v>24</v>
      </c>
      <c r="C818" s="1" t="s">
        <v>61</v>
      </c>
      <c r="D818" s="1" t="s">
        <v>62</v>
      </c>
      <c r="E818" s="1" t="s">
        <v>16</v>
      </c>
      <c r="F818" s="1" t="s">
        <v>25</v>
      </c>
      <c r="G818" s="1" t="s">
        <v>26</v>
      </c>
      <c r="H818" s="1">
        <v>8586</v>
      </c>
      <c r="I818" s="1" t="s">
        <v>27</v>
      </c>
      <c r="J818" s="1"/>
      <c r="K818" s="1">
        <v>9000</v>
      </c>
      <c r="L818" s="2">
        <v>45340</v>
      </c>
    </row>
    <row r="819" spans="1:12" x14ac:dyDescent="0.35">
      <c r="A819" s="1" t="s">
        <v>1055</v>
      </c>
      <c r="B819" s="1" t="s">
        <v>1032</v>
      </c>
      <c r="C819" s="1" t="s">
        <v>44</v>
      </c>
      <c r="D819" s="1" t="s">
        <v>45</v>
      </c>
      <c r="E819" s="1" t="s">
        <v>46</v>
      </c>
      <c r="F819" s="1" t="s">
        <v>17</v>
      </c>
      <c r="G819" s="1" t="s">
        <v>36</v>
      </c>
      <c r="H819" s="1">
        <v>14622</v>
      </c>
      <c r="I819" s="1" t="s">
        <v>33</v>
      </c>
      <c r="J819" s="1">
        <v>0.3</v>
      </c>
      <c r="K819" s="1">
        <v>13000</v>
      </c>
      <c r="L819" s="2">
        <v>45341</v>
      </c>
    </row>
    <row r="820" spans="1:12" x14ac:dyDescent="0.35">
      <c r="A820" s="1" t="s">
        <v>1056</v>
      </c>
      <c r="B820" s="1" t="s">
        <v>643</v>
      </c>
      <c r="C820" s="1" t="s">
        <v>61</v>
      </c>
      <c r="D820" s="1" t="s">
        <v>62</v>
      </c>
      <c r="E820" s="1" t="s">
        <v>32</v>
      </c>
      <c r="F820" s="1" t="s">
        <v>17</v>
      </c>
      <c r="G820" s="1" t="s">
        <v>36</v>
      </c>
      <c r="H820" s="1">
        <v>9511</v>
      </c>
      <c r="I820" s="1" t="s">
        <v>22</v>
      </c>
      <c r="J820" s="1">
        <v>0.1</v>
      </c>
      <c r="K820" s="1">
        <v>9000</v>
      </c>
      <c r="L820" s="2">
        <v>45336</v>
      </c>
    </row>
    <row r="821" spans="1:12" x14ac:dyDescent="0.35">
      <c r="A821" s="1" t="s">
        <v>1057</v>
      </c>
      <c r="B821" s="1" t="s">
        <v>80</v>
      </c>
      <c r="C821" s="1" t="s">
        <v>61</v>
      </c>
      <c r="D821" s="1" t="s">
        <v>62</v>
      </c>
      <c r="E821" s="1" t="s">
        <v>16</v>
      </c>
      <c r="F821" s="1" t="s">
        <v>17</v>
      </c>
      <c r="G821" s="1" t="s">
        <v>18</v>
      </c>
      <c r="H821" s="1">
        <v>9959</v>
      </c>
      <c r="I821" s="1" t="s">
        <v>27</v>
      </c>
      <c r="J821" s="1"/>
      <c r="K821" s="1">
        <v>9000</v>
      </c>
      <c r="L821" s="2">
        <v>45299</v>
      </c>
    </row>
    <row r="822" spans="1:12" x14ac:dyDescent="0.35">
      <c r="A822" s="1" t="s">
        <v>1058</v>
      </c>
      <c r="B822" s="1" t="s">
        <v>135</v>
      </c>
      <c r="C822" s="1" t="s">
        <v>44</v>
      </c>
      <c r="D822" s="1" t="s">
        <v>45</v>
      </c>
      <c r="E822" s="1" t="s">
        <v>46</v>
      </c>
      <c r="F822" s="1" t="s">
        <v>17</v>
      </c>
      <c r="G822" s="1" t="s">
        <v>36</v>
      </c>
      <c r="H822" s="1">
        <v>12846</v>
      </c>
      <c r="I822" s="1" t="s">
        <v>22</v>
      </c>
      <c r="J822" s="1">
        <v>0.1</v>
      </c>
      <c r="K822" s="1">
        <v>13000</v>
      </c>
      <c r="L822" s="2">
        <v>45303</v>
      </c>
    </row>
    <row r="823" spans="1:12" x14ac:dyDescent="0.35">
      <c r="A823" s="1" t="s">
        <v>1059</v>
      </c>
      <c r="B823" s="1" t="s">
        <v>600</v>
      </c>
      <c r="C823" s="1" t="s">
        <v>44</v>
      </c>
      <c r="D823" s="1" t="s">
        <v>45</v>
      </c>
      <c r="E823" s="1" t="s">
        <v>46</v>
      </c>
      <c r="F823" s="1" t="s">
        <v>25</v>
      </c>
      <c r="G823" s="1" t="s">
        <v>36</v>
      </c>
      <c r="H823" s="1">
        <v>12327</v>
      </c>
      <c r="I823" s="1" t="s">
        <v>19</v>
      </c>
      <c r="J823" s="1">
        <v>0.2</v>
      </c>
      <c r="K823" s="1">
        <v>13000</v>
      </c>
      <c r="L823" s="2">
        <v>45337</v>
      </c>
    </row>
    <row r="824" spans="1:12" x14ac:dyDescent="0.35">
      <c r="A824" s="1" t="s">
        <v>1060</v>
      </c>
      <c r="B824" s="1" t="s">
        <v>1000</v>
      </c>
      <c r="C824" s="1" t="s">
        <v>14</v>
      </c>
      <c r="D824" s="1" t="s">
        <v>15</v>
      </c>
      <c r="E824" s="1" t="s">
        <v>32</v>
      </c>
      <c r="F824" s="1" t="s">
        <v>39</v>
      </c>
      <c r="G824" s="1" t="s">
        <v>36</v>
      </c>
      <c r="H824" s="1">
        <v>14597</v>
      </c>
      <c r="I824" s="1" t="s">
        <v>33</v>
      </c>
      <c r="J824" s="1">
        <v>0.3</v>
      </c>
      <c r="K824" s="1">
        <v>14000</v>
      </c>
      <c r="L824" s="2">
        <v>45297</v>
      </c>
    </row>
    <row r="825" spans="1:12" x14ac:dyDescent="0.35">
      <c r="A825" s="1" t="s">
        <v>1061</v>
      </c>
      <c r="B825" s="1" t="s">
        <v>548</v>
      </c>
      <c r="C825" s="1" t="s">
        <v>61</v>
      </c>
      <c r="D825" s="1" t="s">
        <v>62</v>
      </c>
      <c r="E825" s="1" t="s">
        <v>16</v>
      </c>
      <c r="F825" s="1" t="s">
        <v>39</v>
      </c>
      <c r="G825" s="1" t="s">
        <v>26</v>
      </c>
      <c r="H825" s="1">
        <v>10890</v>
      </c>
      <c r="I825" s="1" t="s">
        <v>19</v>
      </c>
      <c r="J825" s="1">
        <v>0.2</v>
      </c>
      <c r="K825" s="1">
        <v>9000</v>
      </c>
      <c r="L825" s="2">
        <v>45316</v>
      </c>
    </row>
    <row r="826" spans="1:12" x14ac:dyDescent="0.35">
      <c r="A826" s="1" t="s">
        <v>1062</v>
      </c>
      <c r="B826" s="1" t="s">
        <v>388</v>
      </c>
      <c r="C826" s="1" t="s">
        <v>14</v>
      </c>
      <c r="D826" s="1" t="s">
        <v>15</v>
      </c>
      <c r="E826" s="1" t="s">
        <v>32</v>
      </c>
      <c r="F826" s="1" t="s">
        <v>17</v>
      </c>
      <c r="G826" s="1" t="s">
        <v>26</v>
      </c>
      <c r="H826" s="1">
        <v>15568</v>
      </c>
      <c r="I826" s="1" t="s">
        <v>19</v>
      </c>
      <c r="J826" s="1">
        <v>0.2</v>
      </c>
      <c r="K826" s="1">
        <v>14000</v>
      </c>
      <c r="L826" s="2">
        <v>45302</v>
      </c>
    </row>
    <row r="827" spans="1:12" x14ac:dyDescent="0.35">
      <c r="A827" s="1" t="s">
        <v>1063</v>
      </c>
      <c r="B827" s="1" t="s">
        <v>412</v>
      </c>
      <c r="C827" s="1" t="s">
        <v>44</v>
      </c>
      <c r="D827" s="1" t="s">
        <v>45</v>
      </c>
      <c r="E827" s="1" t="s">
        <v>16</v>
      </c>
      <c r="F827" s="1" t="s">
        <v>25</v>
      </c>
      <c r="G827" s="1" t="s">
        <v>36</v>
      </c>
      <c r="H827" s="1">
        <v>12261</v>
      </c>
      <c r="I827" s="1" t="s">
        <v>33</v>
      </c>
      <c r="J827" s="1">
        <v>0.3</v>
      </c>
      <c r="K827" s="1">
        <v>13000</v>
      </c>
      <c r="L827" s="2">
        <v>45338</v>
      </c>
    </row>
    <row r="828" spans="1:12" x14ac:dyDescent="0.35">
      <c r="A828" s="1" t="s">
        <v>1064</v>
      </c>
      <c r="B828" s="1" t="s">
        <v>298</v>
      </c>
      <c r="C828" s="1" t="s">
        <v>30</v>
      </c>
      <c r="D828" s="1" t="s">
        <v>31</v>
      </c>
      <c r="E828" s="1" t="s">
        <v>16</v>
      </c>
      <c r="F828" s="1" t="s">
        <v>25</v>
      </c>
      <c r="G828" s="1" t="s">
        <v>18</v>
      </c>
      <c r="H828" s="1">
        <v>18680</v>
      </c>
      <c r="I828" s="1" t="s">
        <v>19</v>
      </c>
      <c r="J828" s="1">
        <v>0.2</v>
      </c>
      <c r="K828" s="1">
        <v>17000</v>
      </c>
      <c r="L828" s="2">
        <v>45304</v>
      </c>
    </row>
    <row r="829" spans="1:12" x14ac:dyDescent="0.35">
      <c r="A829" s="1" t="s">
        <v>1065</v>
      </c>
      <c r="B829" s="1" t="s">
        <v>109</v>
      </c>
      <c r="C829" s="1" t="s">
        <v>30</v>
      </c>
      <c r="D829" s="1" t="s">
        <v>31</v>
      </c>
      <c r="E829" s="1" t="s">
        <v>32</v>
      </c>
      <c r="F829" s="1" t="s">
        <v>17</v>
      </c>
      <c r="G829" s="1" t="s">
        <v>36</v>
      </c>
      <c r="H829" s="1">
        <v>18503</v>
      </c>
      <c r="I829" s="1"/>
      <c r="J829" s="1"/>
      <c r="K829" s="1">
        <v>17000</v>
      </c>
      <c r="L829" s="2">
        <v>45326</v>
      </c>
    </row>
    <row r="830" spans="1:12" x14ac:dyDescent="0.35">
      <c r="A830" s="1" t="s">
        <v>1066</v>
      </c>
      <c r="B830" s="1" t="s">
        <v>64</v>
      </c>
      <c r="C830" s="1" t="s">
        <v>61</v>
      </c>
      <c r="D830" s="1" t="s">
        <v>62</v>
      </c>
      <c r="E830" s="1" t="s">
        <v>32</v>
      </c>
      <c r="F830" s="1" t="s">
        <v>25</v>
      </c>
      <c r="G830" s="1" t="s">
        <v>26</v>
      </c>
      <c r="H830" s="1">
        <v>9701</v>
      </c>
      <c r="I830" s="1"/>
      <c r="J830" s="1"/>
      <c r="K830" s="1">
        <v>9000</v>
      </c>
      <c r="L830" s="2">
        <v>45321</v>
      </c>
    </row>
    <row r="831" spans="1:12" x14ac:dyDescent="0.35">
      <c r="A831" s="1" t="s">
        <v>1067</v>
      </c>
      <c r="B831" s="1" t="s">
        <v>527</v>
      </c>
      <c r="C831" s="1" t="s">
        <v>14</v>
      </c>
      <c r="D831" s="1" t="s">
        <v>15</v>
      </c>
      <c r="E831" s="1" t="s">
        <v>16</v>
      </c>
      <c r="F831" s="1" t="s">
        <v>39</v>
      </c>
      <c r="G831" s="1" t="s">
        <v>18</v>
      </c>
      <c r="H831" s="1">
        <v>13002</v>
      </c>
      <c r="I831" s="1" t="s">
        <v>27</v>
      </c>
      <c r="J831" s="1"/>
      <c r="K831" s="1">
        <v>14000</v>
      </c>
      <c r="L831" s="2">
        <v>45309</v>
      </c>
    </row>
    <row r="832" spans="1:12" x14ac:dyDescent="0.35">
      <c r="A832" s="1" t="s">
        <v>1068</v>
      </c>
      <c r="B832" s="1" t="s">
        <v>209</v>
      </c>
      <c r="C832" s="1" t="s">
        <v>44</v>
      </c>
      <c r="D832" s="1" t="s">
        <v>45</v>
      </c>
      <c r="E832" s="1" t="s">
        <v>32</v>
      </c>
      <c r="F832" s="1" t="s">
        <v>25</v>
      </c>
      <c r="G832" s="1" t="s">
        <v>18</v>
      </c>
      <c r="H832" s="1">
        <v>11225</v>
      </c>
      <c r="I832" s="1" t="s">
        <v>33</v>
      </c>
      <c r="J832" s="1">
        <v>0.3</v>
      </c>
      <c r="K832" s="1">
        <v>13000</v>
      </c>
      <c r="L832" s="2">
        <v>45294</v>
      </c>
    </row>
    <row r="833" spans="1:12" x14ac:dyDescent="0.35">
      <c r="A833" s="1" t="s">
        <v>1069</v>
      </c>
      <c r="B833" s="1" t="s">
        <v>619</v>
      </c>
      <c r="C833" s="1" t="s">
        <v>14</v>
      </c>
      <c r="D833" s="1" t="s">
        <v>15</v>
      </c>
      <c r="E833" s="1" t="s">
        <v>16</v>
      </c>
      <c r="F833" s="1" t="s">
        <v>39</v>
      </c>
      <c r="G833" s="1" t="s">
        <v>26</v>
      </c>
      <c r="H833" s="1">
        <v>13222</v>
      </c>
      <c r="I833" s="1" t="s">
        <v>33</v>
      </c>
      <c r="J833" s="1">
        <v>0.3</v>
      </c>
      <c r="K833" s="1">
        <v>14000</v>
      </c>
      <c r="L833" s="2">
        <v>45350</v>
      </c>
    </row>
    <row r="834" spans="1:12" x14ac:dyDescent="0.35">
      <c r="A834" s="1" t="s">
        <v>1070</v>
      </c>
      <c r="B834" s="1" t="s">
        <v>43</v>
      </c>
      <c r="C834" s="1" t="s">
        <v>14</v>
      </c>
      <c r="D834" s="1" t="s">
        <v>15</v>
      </c>
      <c r="E834" s="1" t="s">
        <v>46</v>
      </c>
      <c r="F834" s="1" t="s">
        <v>25</v>
      </c>
      <c r="G834" s="1" t="s">
        <v>18</v>
      </c>
      <c r="H834" s="1">
        <v>14752</v>
      </c>
      <c r="I834" s="1" t="s">
        <v>33</v>
      </c>
      <c r="J834" s="1">
        <v>0.3</v>
      </c>
      <c r="K834" s="1">
        <v>14000</v>
      </c>
      <c r="L834" s="2">
        <v>45331</v>
      </c>
    </row>
    <row r="835" spans="1:12" x14ac:dyDescent="0.35">
      <c r="A835" s="1" t="s">
        <v>1071</v>
      </c>
      <c r="B835" s="1" t="s">
        <v>305</v>
      </c>
      <c r="C835" s="1" t="s">
        <v>44</v>
      </c>
      <c r="D835" s="1" t="s">
        <v>45</v>
      </c>
      <c r="E835" s="1" t="s">
        <v>46</v>
      </c>
      <c r="F835" s="1" t="s">
        <v>39</v>
      </c>
      <c r="G835" s="1" t="s">
        <v>26</v>
      </c>
      <c r="H835" s="1">
        <v>12475</v>
      </c>
      <c r="I835" s="1" t="s">
        <v>22</v>
      </c>
      <c r="J835" s="1">
        <v>0.1</v>
      </c>
      <c r="K835" s="1">
        <v>13000</v>
      </c>
      <c r="L835" s="2">
        <v>45297</v>
      </c>
    </row>
    <row r="836" spans="1:12" x14ac:dyDescent="0.35">
      <c r="A836" s="1" t="s">
        <v>1072</v>
      </c>
      <c r="B836" s="1" t="s">
        <v>1073</v>
      </c>
      <c r="C836" s="1" t="s">
        <v>30</v>
      </c>
      <c r="D836" s="1" t="s">
        <v>31</v>
      </c>
      <c r="E836" s="1" t="s">
        <v>46</v>
      </c>
      <c r="F836" s="1" t="s">
        <v>17</v>
      </c>
      <c r="G836" s="1" t="s">
        <v>18</v>
      </c>
      <c r="H836" s="1">
        <v>18106</v>
      </c>
      <c r="I836" s="1"/>
      <c r="J836" s="1"/>
      <c r="K836" s="1">
        <v>17000</v>
      </c>
      <c r="L836" s="2">
        <v>45345</v>
      </c>
    </row>
    <row r="837" spans="1:12" x14ac:dyDescent="0.35">
      <c r="A837" s="1" t="s">
        <v>1074</v>
      </c>
      <c r="B837" s="1" t="s">
        <v>905</v>
      </c>
      <c r="C837" s="1" t="s">
        <v>30</v>
      </c>
      <c r="D837" s="1" t="s">
        <v>31</v>
      </c>
      <c r="E837" s="1" t="s">
        <v>46</v>
      </c>
      <c r="F837" s="1" t="s">
        <v>25</v>
      </c>
      <c r="G837" s="1" t="s">
        <v>18</v>
      </c>
      <c r="H837" s="1">
        <v>17845</v>
      </c>
      <c r="I837" s="1" t="s">
        <v>33</v>
      </c>
      <c r="J837" s="1">
        <v>0.3</v>
      </c>
      <c r="K837" s="1">
        <v>17000</v>
      </c>
      <c r="L837" s="2">
        <v>45313</v>
      </c>
    </row>
    <row r="838" spans="1:12" x14ac:dyDescent="0.35">
      <c r="A838" s="1" t="s">
        <v>1075</v>
      </c>
      <c r="B838" s="1" t="s">
        <v>388</v>
      </c>
      <c r="C838" s="1" t="s">
        <v>44</v>
      </c>
      <c r="D838" s="1" t="s">
        <v>45</v>
      </c>
      <c r="E838" s="1" t="s">
        <v>16</v>
      </c>
      <c r="F838" s="1" t="s">
        <v>25</v>
      </c>
      <c r="G838" s="1" t="s">
        <v>26</v>
      </c>
      <c r="H838" s="1">
        <v>11238</v>
      </c>
      <c r="I838" s="1" t="s">
        <v>22</v>
      </c>
      <c r="J838" s="1">
        <v>0.1</v>
      </c>
      <c r="K838" s="1">
        <v>13000</v>
      </c>
      <c r="L838" s="2">
        <v>45328</v>
      </c>
    </row>
    <row r="839" spans="1:12" x14ac:dyDescent="0.35">
      <c r="A839" s="1" t="s">
        <v>1076</v>
      </c>
      <c r="B839" s="1" t="s">
        <v>765</v>
      </c>
      <c r="C839" s="1" t="s">
        <v>14</v>
      </c>
      <c r="D839" s="1" t="s">
        <v>15</v>
      </c>
      <c r="E839" s="1" t="s">
        <v>46</v>
      </c>
      <c r="F839" s="1" t="s">
        <v>39</v>
      </c>
      <c r="G839" s="1" t="s">
        <v>26</v>
      </c>
      <c r="H839" s="1">
        <v>14477</v>
      </c>
      <c r="I839" s="1" t="s">
        <v>33</v>
      </c>
      <c r="J839" s="1">
        <v>0.3</v>
      </c>
      <c r="K839" s="1">
        <v>14000</v>
      </c>
      <c r="L839" s="2">
        <v>45319</v>
      </c>
    </row>
    <row r="840" spans="1:12" x14ac:dyDescent="0.35">
      <c r="A840" s="1" t="s">
        <v>1077</v>
      </c>
      <c r="B840" s="1" t="s">
        <v>837</v>
      </c>
      <c r="C840" s="1" t="s">
        <v>30</v>
      </c>
      <c r="D840" s="1" t="s">
        <v>31</v>
      </c>
      <c r="E840" s="1" t="s">
        <v>46</v>
      </c>
      <c r="F840" s="1" t="s">
        <v>39</v>
      </c>
      <c r="G840" s="1" t="s">
        <v>26</v>
      </c>
      <c r="H840" s="1">
        <v>17552</v>
      </c>
      <c r="I840" s="1" t="s">
        <v>33</v>
      </c>
      <c r="J840" s="1">
        <v>0.3</v>
      </c>
      <c r="K840" s="1">
        <v>17000</v>
      </c>
      <c r="L840" s="2">
        <v>45351</v>
      </c>
    </row>
    <row r="841" spans="1:12" x14ac:dyDescent="0.35">
      <c r="A841" s="1" t="s">
        <v>1078</v>
      </c>
      <c r="B841" s="1" t="s">
        <v>720</v>
      </c>
      <c r="C841" s="1" t="s">
        <v>61</v>
      </c>
      <c r="D841" s="1" t="s">
        <v>62</v>
      </c>
      <c r="E841" s="1" t="s">
        <v>16</v>
      </c>
      <c r="F841" s="1" t="s">
        <v>39</v>
      </c>
      <c r="G841" s="1" t="s">
        <v>26</v>
      </c>
      <c r="H841" s="1">
        <v>9038</v>
      </c>
      <c r="I841" s="1"/>
      <c r="J841" s="1"/>
      <c r="K841" s="1">
        <v>9000</v>
      </c>
      <c r="L841" s="2">
        <v>45343</v>
      </c>
    </row>
    <row r="842" spans="1:12" x14ac:dyDescent="0.35">
      <c r="A842" s="1" t="s">
        <v>1079</v>
      </c>
      <c r="B842" s="1" t="s">
        <v>720</v>
      </c>
      <c r="C842" s="1" t="s">
        <v>44</v>
      </c>
      <c r="D842" s="1" t="s">
        <v>45</v>
      </c>
      <c r="E842" s="1" t="s">
        <v>16</v>
      </c>
      <c r="F842" s="1" t="s">
        <v>17</v>
      </c>
      <c r="G842" s="1" t="s">
        <v>18</v>
      </c>
      <c r="H842" s="1">
        <v>11006</v>
      </c>
      <c r="I842" s="1" t="s">
        <v>22</v>
      </c>
      <c r="J842" s="1">
        <v>0.1</v>
      </c>
      <c r="K842" s="1">
        <v>13000</v>
      </c>
      <c r="L842" s="2">
        <v>45293</v>
      </c>
    </row>
    <row r="843" spans="1:12" x14ac:dyDescent="0.35">
      <c r="A843" s="1" t="s">
        <v>1080</v>
      </c>
      <c r="B843" s="1" t="s">
        <v>332</v>
      </c>
      <c r="C843" s="1" t="s">
        <v>14</v>
      </c>
      <c r="D843" s="1" t="s">
        <v>15</v>
      </c>
      <c r="E843" s="1" t="s">
        <v>16</v>
      </c>
      <c r="F843" s="1" t="s">
        <v>25</v>
      </c>
      <c r="G843" s="1" t="s">
        <v>26</v>
      </c>
      <c r="H843" s="1">
        <v>13698</v>
      </c>
      <c r="I843" s="1"/>
      <c r="J843" s="1"/>
      <c r="K843" s="1">
        <v>14000</v>
      </c>
      <c r="L843" s="2">
        <v>45294</v>
      </c>
    </row>
    <row r="844" spans="1:12" x14ac:dyDescent="0.35">
      <c r="A844" s="1" t="s">
        <v>1081</v>
      </c>
      <c r="B844" s="1" t="s">
        <v>282</v>
      </c>
      <c r="C844" s="1" t="s">
        <v>44</v>
      </c>
      <c r="D844" s="1" t="s">
        <v>45</v>
      </c>
      <c r="E844" s="1" t="s">
        <v>32</v>
      </c>
      <c r="F844" s="1" t="s">
        <v>39</v>
      </c>
      <c r="G844" s="1" t="s">
        <v>18</v>
      </c>
      <c r="H844" s="1">
        <v>13826</v>
      </c>
      <c r="I844" s="1" t="s">
        <v>33</v>
      </c>
      <c r="J844" s="1">
        <v>0.3</v>
      </c>
      <c r="K844" s="1">
        <v>13000</v>
      </c>
      <c r="L844" s="2">
        <v>45308</v>
      </c>
    </row>
    <row r="845" spans="1:12" x14ac:dyDescent="0.35">
      <c r="A845" s="1" t="s">
        <v>1082</v>
      </c>
      <c r="B845" s="1" t="s">
        <v>652</v>
      </c>
      <c r="C845" s="1" t="s">
        <v>30</v>
      </c>
      <c r="D845" s="1" t="s">
        <v>31</v>
      </c>
      <c r="E845" s="1" t="s">
        <v>46</v>
      </c>
      <c r="F845" s="1" t="s">
        <v>39</v>
      </c>
      <c r="G845" s="1" t="s">
        <v>26</v>
      </c>
      <c r="H845" s="1">
        <v>16326</v>
      </c>
      <c r="I845" s="1" t="s">
        <v>22</v>
      </c>
      <c r="J845" s="1">
        <v>0.1</v>
      </c>
      <c r="K845" s="1">
        <v>17000</v>
      </c>
      <c r="L845" s="2">
        <v>45299</v>
      </c>
    </row>
    <row r="846" spans="1:12" x14ac:dyDescent="0.35">
      <c r="A846" s="1" t="s">
        <v>1083</v>
      </c>
      <c r="B846" s="1" t="s">
        <v>317</v>
      </c>
      <c r="C846" s="1" t="s">
        <v>30</v>
      </c>
      <c r="D846" s="1" t="s">
        <v>31</v>
      </c>
      <c r="E846" s="1" t="s">
        <v>46</v>
      </c>
      <c r="F846" s="1" t="s">
        <v>39</v>
      </c>
      <c r="G846" s="1" t="s">
        <v>26</v>
      </c>
      <c r="H846" s="1">
        <v>17523</v>
      </c>
      <c r="I846" s="1" t="s">
        <v>22</v>
      </c>
      <c r="J846" s="1">
        <v>0.1</v>
      </c>
      <c r="K846" s="1">
        <v>17000</v>
      </c>
      <c r="L846" s="2">
        <v>45345</v>
      </c>
    </row>
    <row r="847" spans="1:12" x14ac:dyDescent="0.35">
      <c r="A847" s="1" t="s">
        <v>1084</v>
      </c>
      <c r="B847" s="1" t="s">
        <v>35</v>
      </c>
      <c r="C847" s="1" t="s">
        <v>30</v>
      </c>
      <c r="D847" s="1" t="s">
        <v>31</v>
      </c>
      <c r="E847" s="1" t="s">
        <v>46</v>
      </c>
      <c r="F847" s="1" t="s">
        <v>39</v>
      </c>
      <c r="G847" s="1" t="s">
        <v>36</v>
      </c>
      <c r="H847" s="1">
        <v>18752</v>
      </c>
      <c r="I847" s="1"/>
      <c r="J847" s="1"/>
      <c r="K847" s="1">
        <v>17000</v>
      </c>
      <c r="L847" s="2">
        <v>45343</v>
      </c>
    </row>
    <row r="848" spans="1:12" x14ac:dyDescent="0.35">
      <c r="A848" s="1" t="s">
        <v>1085</v>
      </c>
      <c r="B848" s="1" t="s">
        <v>68</v>
      </c>
      <c r="C848" s="1" t="s">
        <v>44</v>
      </c>
      <c r="D848" s="1" t="s">
        <v>45</v>
      </c>
      <c r="E848" s="1" t="s">
        <v>46</v>
      </c>
      <c r="F848" s="1" t="s">
        <v>25</v>
      </c>
      <c r="G848" s="1" t="s">
        <v>26</v>
      </c>
      <c r="H848" s="1">
        <v>12886</v>
      </c>
      <c r="I848" s="1" t="s">
        <v>27</v>
      </c>
      <c r="J848" s="1"/>
      <c r="K848" s="1">
        <v>13000</v>
      </c>
      <c r="L848" s="2">
        <v>45349</v>
      </c>
    </row>
    <row r="849" spans="1:12" x14ac:dyDescent="0.35">
      <c r="A849" s="1" t="s">
        <v>1086</v>
      </c>
      <c r="B849" s="1" t="s">
        <v>802</v>
      </c>
      <c r="C849" s="1" t="s">
        <v>61</v>
      </c>
      <c r="D849" s="1" t="s">
        <v>62</v>
      </c>
      <c r="E849" s="1" t="s">
        <v>16</v>
      </c>
      <c r="F849" s="1" t="s">
        <v>25</v>
      </c>
      <c r="G849" s="1" t="s">
        <v>26</v>
      </c>
      <c r="H849" s="1">
        <v>8226</v>
      </c>
      <c r="I849" s="1" t="s">
        <v>27</v>
      </c>
      <c r="J849" s="1"/>
      <c r="K849" s="1">
        <v>9000</v>
      </c>
      <c r="L849" s="2">
        <v>45338</v>
      </c>
    </row>
    <row r="850" spans="1:12" x14ac:dyDescent="0.35">
      <c r="A850" s="1" t="s">
        <v>1087</v>
      </c>
      <c r="B850" s="1" t="s">
        <v>317</v>
      </c>
      <c r="C850" s="1" t="s">
        <v>14</v>
      </c>
      <c r="D850" s="1" t="s">
        <v>15</v>
      </c>
      <c r="E850" s="1" t="s">
        <v>32</v>
      </c>
      <c r="F850" s="1" t="s">
        <v>39</v>
      </c>
      <c r="G850" s="1" t="s">
        <v>26</v>
      </c>
      <c r="H850" s="1">
        <v>13358</v>
      </c>
      <c r="I850" s="1" t="s">
        <v>33</v>
      </c>
      <c r="J850" s="1">
        <v>0.3</v>
      </c>
      <c r="K850" s="1">
        <v>14000</v>
      </c>
      <c r="L850" s="2">
        <v>45296</v>
      </c>
    </row>
    <row r="851" spans="1:12" x14ac:dyDescent="0.35">
      <c r="A851" s="1" t="s">
        <v>1088</v>
      </c>
      <c r="B851" s="1" t="s">
        <v>256</v>
      </c>
      <c r="C851" s="1" t="s">
        <v>14</v>
      </c>
      <c r="D851" s="1" t="s">
        <v>15</v>
      </c>
      <c r="E851" s="1" t="s">
        <v>46</v>
      </c>
      <c r="F851" s="1" t="s">
        <v>17</v>
      </c>
      <c r="G851" s="1" t="s">
        <v>26</v>
      </c>
      <c r="H851" s="1">
        <v>14188</v>
      </c>
      <c r="I851" s="1" t="s">
        <v>19</v>
      </c>
      <c r="J851" s="1">
        <v>0.2</v>
      </c>
      <c r="K851" s="1">
        <v>14000</v>
      </c>
      <c r="L851" s="2">
        <v>45328</v>
      </c>
    </row>
    <row r="852" spans="1:12" x14ac:dyDescent="0.35">
      <c r="A852" s="1" t="s">
        <v>1089</v>
      </c>
      <c r="B852" s="1" t="s">
        <v>337</v>
      </c>
      <c r="C852" s="1" t="s">
        <v>44</v>
      </c>
      <c r="D852" s="1" t="s">
        <v>45</v>
      </c>
      <c r="E852" s="1" t="s">
        <v>16</v>
      </c>
      <c r="F852" s="1" t="s">
        <v>25</v>
      </c>
      <c r="G852" s="1" t="s">
        <v>36</v>
      </c>
      <c r="H852" s="1">
        <v>13888</v>
      </c>
      <c r="I852" s="1" t="s">
        <v>33</v>
      </c>
      <c r="J852" s="1">
        <v>0.3</v>
      </c>
      <c r="K852" s="1">
        <v>13000</v>
      </c>
      <c r="L852" s="2">
        <v>45337</v>
      </c>
    </row>
    <row r="853" spans="1:12" x14ac:dyDescent="0.35">
      <c r="A853" s="1" t="s">
        <v>1090</v>
      </c>
      <c r="B853" s="1" t="s">
        <v>584</v>
      </c>
      <c r="C853" s="1" t="s">
        <v>61</v>
      </c>
      <c r="D853" s="1" t="s">
        <v>62</v>
      </c>
      <c r="E853" s="1" t="s">
        <v>32</v>
      </c>
      <c r="F853" s="1" t="s">
        <v>17</v>
      </c>
      <c r="G853" s="1" t="s">
        <v>18</v>
      </c>
      <c r="H853" s="1">
        <v>8522</v>
      </c>
      <c r="I853" s="1"/>
      <c r="J853" s="1"/>
      <c r="K853" s="1">
        <v>9000</v>
      </c>
      <c r="L853" s="2">
        <v>45345</v>
      </c>
    </row>
    <row r="854" spans="1:12" x14ac:dyDescent="0.35">
      <c r="A854" s="1" t="s">
        <v>1091</v>
      </c>
      <c r="B854" s="1" t="s">
        <v>289</v>
      </c>
      <c r="C854" s="1" t="s">
        <v>30</v>
      </c>
      <c r="D854" s="1" t="s">
        <v>31</v>
      </c>
      <c r="E854" s="1" t="s">
        <v>32</v>
      </c>
      <c r="F854" s="1" t="s">
        <v>25</v>
      </c>
      <c r="G854" s="1" t="s">
        <v>36</v>
      </c>
      <c r="H854" s="1">
        <v>18215</v>
      </c>
      <c r="I854" s="1" t="s">
        <v>22</v>
      </c>
      <c r="J854" s="1">
        <v>0.1</v>
      </c>
      <c r="K854" s="1">
        <v>17000</v>
      </c>
      <c r="L854" s="2">
        <v>45341</v>
      </c>
    </row>
    <row r="855" spans="1:12" x14ac:dyDescent="0.35">
      <c r="A855" s="1" t="s">
        <v>1092</v>
      </c>
      <c r="B855" s="1" t="s">
        <v>229</v>
      </c>
      <c r="C855" s="1" t="s">
        <v>61</v>
      </c>
      <c r="D855" s="1" t="s">
        <v>62</v>
      </c>
      <c r="E855" s="1" t="s">
        <v>16</v>
      </c>
      <c r="F855" s="1" t="s">
        <v>25</v>
      </c>
      <c r="G855" s="1" t="s">
        <v>36</v>
      </c>
      <c r="H855" s="1">
        <v>10706</v>
      </c>
      <c r="I855" s="1" t="s">
        <v>27</v>
      </c>
      <c r="J855" s="1"/>
      <c r="K855" s="1">
        <v>9000</v>
      </c>
      <c r="L855" s="2">
        <v>45301</v>
      </c>
    </row>
    <row r="856" spans="1:12" x14ac:dyDescent="0.35">
      <c r="A856" s="1" t="s">
        <v>1093</v>
      </c>
      <c r="B856" s="1" t="s">
        <v>391</v>
      </c>
      <c r="C856" s="1" t="s">
        <v>61</v>
      </c>
      <c r="D856" s="1" t="s">
        <v>62</v>
      </c>
      <c r="E856" s="1" t="s">
        <v>16</v>
      </c>
      <c r="F856" s="1" t="s">
        <v>39</v>
      </c>
      <c r="G856" s="1" t="s">
        <v>36</v>
      </c>
      <c r="H856" s="1">
        <v>10176</v>
      </c>
      <c r="I856" s="1" t="s">
        <v>33</v>
      </c>
      <c r="J856" s="1">
        <v>0.3</v>
      </c>
      <c r="K856" s="1">
        <v>9000</v>
      </c>
      <c r="L856" s="2">
        <v>45301</v>
      </c>
    </row>
    <row r="857" spans="1:12" x14ac:dyDescent="0.35">
      <c r="A857" s="1" t="s">
        <v>1094</v>
      </c>
      <c r="B857" s="1" t="s">
        <v>140</v>
      </c>
      <c r="C857" s="1" t="s">
        <v>14</v>
      </c>
      <c r="D857" s="1" t="s">
        <v>15</v>
      </c>
      <c r="E857" s="1" t="s">
        <v>16</v>
      </c>
      <c r="F857" s="1" t="s">
        <v>39</v>
      </c>
      <c r="G857" s="1" t="s">
        <v>18</v>
      </c>
      <c r="H857" s="1">
        <v>12840</v>
      </c>
      <c r="I857" s="1" t="s">
        <v>22</v>
      </c>
      <c r="J857" s="1">
        <v>0.1</v>
      </c>
      <c r="K857" s="1">
        <v>14000</v>
      </c>
      <c r="L857" s="2">
        <v>45321</v>
      </c>
    </row>
    <row r="858" spans="1:12" x14ac:dyDescent="0.35">
      <c r="A858" s="1" t="s">
        <v>1095</v>
      </c>
      <c r="B858" s="1" t="s">
        <v>101</v>
      </c>
      <c r="C858" s="1" t="s">
        <v>14</v>
      </c>
      <c r="D858" s="1" t="s">
        <v>15</v>
      </c>
      <c r="E858" s="1" t="s">
        <v>32</v>
      </c>
      <c r="F858" s="1" t="s">
        <v>17</v>
      </c>
      <c r="G858" s="1" t="s">
        <v>18</v>
      </c>
      <c r="H858" s="1">
        <v>14814</v>
      </c>
      <c r="I858" s="1" t="s">
        <v>27</v>
      </c>
      <c r="J858" s="1"/>
      <c r="K858" s="1">
        <v>14000</v>
      </c>
      <c r="L858" s="2">
        <v>45347</v>
      </c>
    </row>
    <row r="859" spans="1:12" x14ac:dyDescent="0.35">
      <c r="A859" s="1" t="s">
        <v>1096</v>
      </c>
      <c r="B859" s="1" t="s">
        <v>432</v>
      </c>
      <c r="C859" s="1" t="s">
        <v>61</v>
      </c>
      <c r="D859" s="1" t="s">
        <v>62</v>
      </c>
      <c r="E859" s="1" t="s">
        <v>32</v>
      </c>
      <c r="F859" s="1" t="s">
        <v>25</v>
      </c>
      <c r="G859" s="1" t="s">
        <v>26</v>
      </c>
      <c r="H859" s="1">
        <v>10138</v>
      </c>
      <c r="I859" s="1" t="s">
        <v>33</v>
      </c>
      <c r="J859" s="1">
        <v>0.3</v>
      </c>
      <c r="K859" s="1">
        <v>9000</v>
      </c>
      <c r="L859" s="2">
        <v>45293</v>
      </c>
    </row>
    <row r="860" spans="1:12" x14ac:dyDescent="0.35">
      <c r="A860" s="1" t="s">
        <v>1097</v>
      </c>
      <c r="B860" s="1" t="s">
        <v>579</v>
      </c>
      <c r="C860" s="1" t="s">
        <v>30</v>
      </c>
      <c r="D860" s="1" t="s">
        <v>31</v>
      </c>
      <c r="E860" s="1" t="s">
        <v>16</v>
      </c>
      <c r="F860" s="1" t="s">
        <v>25</v>
      </c>
      <c r="G860" s="1" t="s">
        <v>36</v>
      </c>
      <c r="H860" s="1">
        <v>15821</v>
      </c>
      <c r="I860" s="1" t="s">
        <v>19</v>
      </c>
      <c r="J860" s="1">
        <v>0.2</v>
      </c>
      <c r="K860" s="1">
        <v>17000</v>
      </c>
      <c r="L860" s="2">
        <v>45310</v>
      </c>
    </row>
    <row r="861" spans="1:12" x14ac:dyDescent="0.35">
      <c r="A861" s="1" t="s">
        <v>1098</v>
      </c>
      <c r="B861" s="1" t="s">
        <v>307</v>
      </c>
      <c r="C861" s="1" t="s">
        <v>30</v>
      </c>
      <c r="D861" s="1" t="s">
        <v>31</v>
      </c>
      <c r="E861" s="1" t="s">
        <v>46</v>
      </c>
      <c r="F861" s="1" t="s">
        <v>39</v>
      </c>
      <c r="G861" s="1" t="s">
        <v>18</v>
      </c>
      <c r="H861" s="1">
        <v>16116</v>
      </c>
      <c r="I861" s="1" t="s">
        <v>19</v>
      </c>
      <c r="J861" s="1">
        <v>0.2</v>
      </c>
      <c r="K861" s="1">
        <v>17000</v>
      </c>
      <c r="L861" s="2">
        <v>45302</v>
      </c>
    </row>
    <row r="862" spans="1:12" x14ac:dyDescent="0.35">
      <c r="A862" s="1" t="s">
        <v>1099</v>
      </c>
      <c r="B862" s="1" t="s">
        <v>222</v>
      </c>
      <c r="C862" s="1" t="s">
        <v>14</v>
      </c>
      <c r="D862" s="1" t="s">
        <v>15</v>
      </c>
      <c r="E862" s="1" t="s">
        <v>16</v>
      </c>
      <c r="F862" s="1" t="s">
        <v>39</v>
      </c>
      <c r="G862" s="1" t="s">
        <v>26</v>
      </c>
      <c r="H862" s="1">
        <v>12419</v>
      </c>
      <c r="I862" s="1" t="s">
        <v>19</v>
      </c>
      <c r="J862" s="1">
        <v>0.2</v>
      </c>
      <c r="K862" s="1">
        <v>14000</v>
      </c>
      <c r="L862" s="2">
        <v>45326</v>
      </c>
    </row>
    <row r="863" spans="1:12" x14ac:dyDescent="0.35">
      <c r="A863" s="1" t="s">
        <v>1100</v>
      </c>
      <c r="B863" s="1" t="s">
        <v>301</v>
      </c>
      <c r="C863" s="1" t="s">
        <v>30</v>
      </c>
      <c r="D863" s="1" t="s">
        <v>31</v>
      </c>
      <c r="E863" s="1" t="s">
        <v>46</v>
      </c>
      <c r="F863" s="1" t="s">
        <v>25</v>
      </c>
      <c r="G863" s="1" t="s">
        <v>26</v>
      </c>
      <c r="H863" s="1">
        <v>18293</v>
      </c>
      <c r="I863" s="1" t="s">
        <v>33</v>
      </c>
      <c r="J863" s="1">
        <v>0.3</v>
      </c>
      <c r="K863" s="1">
        <v>17000</v>
      </c>
      <c r="L863" s="2">
        <v>45328</v>
      </c>
    </row>
    <row r="864" spans="1:12" x14ac:dyDescent="0.35">
      <c r="A864" s="1" t="s">
        <v>1101</v>
      </c>
      <c r="B864" s="1" t="s">
        <v>235</v>
      </c>
      <c r="C864" s="1" t="s">
        <v>14</v>
      </c>
      <c r="D864" s="1" t="s">
        <v>15</v>
      </c>
      <c r="E864" s="1" t="s">
        <v>46</v>
      </c>
      <c r="F864" s="1" t="s">
        <v>39</v>
      </c>
      <c r="G864" s="1" t="s">
        <v>36</v>
      </c>
      <c r="H864" s="1">
        <v>14214</v>
      </c>
      <c r="I864" s="1"/>
      <c r="J864" s="1"/>
      <c r="K864" s="1">
        <v>14000</v>
      </c>
      <c r="L864" s="2">
        <v>45295</v>
      </c>
    </row>
    <row r="865" spans="1:12" x14ac:dyDescent="0.35">
      <c r="A865" s="1" t="s">
        <v>1102</v>
      </c>
      <c r="B865" s="1" t="s">
        <v>557</v>
      </c>
      <c r="C865" s="1" t="s">
        <v>61</v>
      </c>
      <c r="D865" s="1" t="s">
        <v>62</v>
      </c>
      <c r="E865" s="1" t="s">
        <v>16</v>
      </c>
      <c r="F865" s="1" t="s">
        <v>25</v>
      </c>
      <c r="G865" s="1" t="s">
        <v>18</v>
      </c>
      <c r="H865" s="1">
        <v>8571</v>
      </c>
      <c r="I865" s="1" t="s">
        <v>22</v>
      </c>
      <c r="J865" s="1">
        <v>0.1</v>
      </c>
      <c r="K865" s="1">
        <v>9000</v>
      </c>
      <c r="L865" s="2">
        <v>45297</v>
      </c>
    </row>
    <row r="866" spans="1:12" x14ac:dyDescent="0.35">
      <c r="A866" s="1" t="s">
        <v>1103</v>
      </c>
      <c r="B866" s="1" t="s">
        <v>177</v>
      </c>
      <c r="C866" s="1" t="s">
        <v>44</v>
      </c>
      <c r="D866" s="1" t="s">
        <v>45</v>
      </c>
      <c r="E866" s="1" t="s">
        <v>16</v>
      </c>
      <c r="F866" s="1" t="s">
        <v>39</v>
      </c>
      <c r="G866" s="1" t="s">
        <v>26</v>
      </c>
      <c r="H866" s="1">
        <v>13578</v>
      </c>
      <c r="I866" s="1"/>
      <c r="J866" s="1"/>
      <c r="K866" s="1">
        <v>13000</v>
      </c>
      <c r="L866" s="2">
        <v>45331</v>
      </c>
    </row>
    <row r="867" spans="1:12" x14ac:dyDescent="0.35">
      <c r="A867" s="1" t="s">
        <v>1104</v>
      </c>
      <c r="B867" s="1" t="s">
        <v>1105</v>
      </c>
      <c r="C867" s="1" t="s">
        <v>30</v>
      </c>
      <c r="D867" s="1" t="s">
        <v>31</v>
      </c>
      <c r="E867" s="1" t="s">
        <v>32</v>
      </c>
      <c r="F867" s="1" t="s">
        <v>39</v>
      </c>
      <c r="G867" s="1" t="s">
        <v>26</v>
      </c>
      <c r="H867" s="1">
        <v>18314</v>
      </c>
      <c r="I867" s="1" t="s">
        <v>27</v>
      </c>
      <c r="J867" s="1"/>
      <c r="K867" s="1">
        <v>17000</v>
      </c>
      <c r="L867" s="2">
        <v>45297</v>
      </c>
    </row>
    <row r="868" spans="1:12" x14ac:dyDescent="0.35">
      <c r="A868" s="1" t="s">
        <v>1106</v>
      </c>
      <c r="B868" s="1" t="s">
        <v>148</v>
      </c>
      <c r="C868" s="1" t="s">
        <v>61</v>
      </c>
      <c r="D868" s="1" t="s">
        <v>62</v>
      </c>
      <c r="E868" s="1" t="s">
        <v>16</v>
      </c>
      <c r="F868" s="1" t="s">
        <v>25</v>
      </c>
      <c r="G868" s="1" t="s">
        <v>18</v>
      </c>
      <c r="H868" s="1">
        <v>10329</v>
      </c>
      <c r="I868" s="1"/>
      <c r="J868" s="1"/>
      <c r="K868" s="1">
        <v>9000</v>
      </c>
      <c r="L868" s="2">
        <v>45298</v>
      </c>
    </row>
    <row r="869" spans="1:12" x14ac:dyDescent="0.35">
      <c r="A869" s="1" t="s">
        <v>1107</v>
      </c>
      <c r="B869" s="1" t="s">
        <v>123</v>
      </c>
      <c r="C869" s="1" t="s">
        <v>61</v>
      </c>
      <c r="D869" s="1" t="s">
        <v>62</v>
      </c>
      <c r="E869" s="1" t="s">
        <v>46</v>
      </c>
      <c r="F869" s="1" t="s">
        <v>25</v>
      </c>
      <c r="G869" s="1" t="s">
        <v>18</v>
      </c>
      <c r="H869" s="1">
        <v>7588</v>
      </c>
      <c r="I869" s="1" t="s">
        <v>27</v>
      </c>
      <c r="J869" s="1"/>
      <c r="K869" s="1">
        <v>9000</v>
      </c>
      <c r="L869" s="2">
        <v>45308</v>
      </c>
    </row>
    <row r="870" spans="1:12" x14ac:dyDescent="0.35">
      <c r="A870" s="1" t="s">
        <v>1108</v>
      </c>
      <c r="B870" s="1" t="s">
        <v>827</v>
      </c>
      <c r="C870" s="1" t="s">
        <v>61</v>
      </c>
      <c r="D870" s="1" t="s">
        <v>62</v>
      </c>
      <c r="E870" s="1" t="s">
        <v>32</v>
      </c>
      <c r="F870" s="1" t="s">
        <v>39</v>
      </c>
      <c r="G870" s="1" t="s">
        <v>26</v>
      </c>
      <c r="H870" s="1">
        <v>8353</v>
      </c>
      <c r="I870" s="1" t="s">
        <v>33</v>
      </c>
      <c r="J870" s="1">
        <v>0.3</v>
      </c>
      <c r="K870" s="1">
        <v>9000</v>
      </c>
      <c r="L870" s="2">
        <v>45321</v>
      </c>
    </row>
    <row r="871" spans="1:12" x14ac:dyDescent="0.35">
      <c r="A871" s="1" t="s">
        <v>1109</v>
      </c>
      <c r="B871" s="1" t="s">
        <v>711</v>
      </c>
      <c r="C871" s="1" t="s">
        <v>14</v>
      </c>
      <c r="D871" s="1" t="s">
        <v>15</v>
      </c>
      <c r="E871" s="1" t="s">
        <v>46</v>
      </c>
      <c r="F871" s="1" t="s">
        <v>25</v>
      </c>
      <c r="G871" s="1" t="s">
        <v>36</v>
      </c>
      <c r="H871" s="1">
        <v>13960</v>
      </c>
      <c r="I871" s="1"/>
      <c r="J871" s="1"/>
      <c r="K871" s="1">
        <v>14000</v>
      </c>
      <c r="L871" s="2">
        <v>45346</v>
      </c>
    </row>
    <row r="872" spans="1:12" x14ac:dyDescent="0.35">
      <c r="A872" s="1" t="s">
        <v>1110</v>
      </c>
      <c r="B872" s="1" t="s">
        <v>256</v>
      </c>
      <c r="C872" s="1" t="s">
        <v>30</v>
      </c>
      <c r="D872" s="1" t="s">
        <v>31</v>
      </c>
      <c r="E872" s="1" t="s">
        <v>16</v>
      </c>
      <c r="F872" s="1" t="s">
        <v>39</v>
      </c>
      <c r="G872" s="1" t="s">
        <v>18</v>
      </c>
      <c r="H872" s="1">
        <v>17080</v>
      </c>
      <c r="I872" s="1" t="s">
        <v>22</v>
      </c>
      <c r="J872" s="1">
        <v>0.1</v>
      </c>
      <c r="K872" s="1">
        <v>17000</v>
      </c>
      <c r="L872" s="2">
        <v>45317</v>
      </c>
    </row>
    <row r="873" spans="1:12" x14ac:dyDescent="0.35">
      <c r="A873" s="1" t="s">
        <v>1111</v>
      </c>
      <c r="B873" s="1" t="s">
        <v>1112</v>
      </c>
      <c r="C873" s="1" t="s">
        <v>14</v>
      </c>
      <c r="D873" s="1" t="s">
        <v>15</v>
      </c>
      <c r="E873" s="1" t="s">
        <v>46</v>
      </c>
      <c r="F873" s="1" t="s">
        <v>39</v>
      </c>
      <c r="G873" s="1" t="s">
        <v>26</v>
      </c>
      <c r="H873" s="1">
        <v>12290</v>
      </c>
      <c r="I873" s="1" t="s">
        <v>33</v>
      </c>
      <c r="J873" s="1">
        <v>0.3</v>
      </c>
      <c r="K873" s="1">
        <v>14000</v>
      </c>
      <c r="L873" s="2">
        <v>45326</v>
      </c>
    </row>
    <row r="874" spans="1:12" x14ac:dyDescent="0.35">
      <c r="A874" s="1" t="s">
        <v>1113</v>
      </c>
      <c r="B874" s="1" t="s">
        <v>52</v>
      </c>
      <c r="C874" s="1" t="s">
        <v>61</v>
      </c>
      <c r="D874" s="1" t="s">
        <v>62</v>
      </c>
      <c r="E874" s="1" t="s">
        <v>32</v>
      </c>
      <c r="F874" s="1" t="s">
        <v>39</v>
      </c>
      <c r="G874" s="1" t="s">
        <v>18</v>
      </c>
      <c r="H874" s="1">
        <v>9244</v>
      </c>
      <c r="I874" s="1" t="s">
        <v>19</v>
      </c>
      <c r="J874" s="1">
        <v>0.2</v>
      </c>
      <c r="K874" s="1">
        <v>9000</v>
      </c>
      <c r="L874" s="2">
        <v>45322</v>
      </c>
    </row>
    <row r="875" spans="1:12" x14ac:dyDescent="0.35">
      <c r="A875" s="1" t="s">
        <v>1114</v>
      </c>
      <c r="B875" s="1" t="s">
        <v>41</v>
      </c>
      <c r="C875" s="1" t="s">
        <v>30</v>
      </c>
      <c r="D875" s="1" t="s">
        <v>31</v>
      </c>
      <c r="E875" s="1" t="s">
        <v>32</v>
      </c>
      <c r="F875" s="1" t="s">
        <v>39</v>
      </c>
      <c r="G875" s="1" t="s">
        <v>26</v>
      </c>
      <c r="H875" s="1">
        <v>16765</v>
      </c>
      <c r="I875" s="1"/>
      <c r="J875" s="1"/>
      <c r="K875" s="1">
        <v>17000</v>
      </c>
      <c r="L875" s="2">
        <v>45328</v>
      </c>
    </row>
    <row r="876" spans="1:12" x14ac:dyDescent="0.35">
      <c r="A876" s="1" t="s">
        <v>1115</v>
      </c>
      <c r="B876" s="1" t="s">
        <v>602</v>
      </c>
      <c r="C876" s="1" t="s">
        <v>44</v>
      </c>
      <c r="D876" s="1" t="s">
        <v>45</v>
      </c>
      <c r="E876" s="1" t="s">
        <v>32</v>
      </c>
      <c r="F876" s="1" t="s">
        <v>39</v>
      </c>
      <c r="G876" s="1" t="s">
        <v>26</v>
      </c>
      <c r="H876" s="1">
        <v>11319</v>
      </c>
      <c r="I876" s="1" t="s">
        <v>27</v>
      </c>
      <c r="J876" s="1"/>
      <c r="K876" s="1">
        <v>13000</v>
      </c>
      <c r="L876" s="2">
        <v>45345</v>
      </c>
    </row>
    <row r="877" spans="1:12" x14ac:dyDescent="0.35">
      <c r="A877" s="1" t="s">
        <v>1116</v>
      </c>
      <c r="B877" s="1" t="s">
        <v>227</v>
      </c>
      <c r="C877" s="1" t="s">
        <v>61</v>
      </c>
      <c r="D877" s="1" t="s">
        <v>62</v>
      </c>
      <c r="E877" s="1" t="s">
        <v>46</v>
      </c>
      <c r="F877" s="1" t="s">
        <v>39</v>
      </c>
      <c r="G877" s="1" t="s">
        <v>18</v>
      </c>
      <c r="H877" s="1">
        <v>10367</v>
      </c>
      <c r="I877" s="1"/>
      <c r="J877" s="1"/>
      <c r="K877" s="1">
        <v>9000</v>
      </c>
      <c r="L877" s="2">
        <v>45303</v>
      </c>
    </row>
    <row r="878" spans="1:12" x14ac:dyDescent="0.35">
      <c r="A878" s="1" t="s">
        <v>1117</v>
      </c>
      <c r="B878" s="1" t="s">
        <v>70</v>
      </c>
      <c r="C878" s="1" t="s">
        <v>14</v>
      </c>
      <c r="D878" s="1" t="s">
        <v>15</v>
      </c>
      <c r="E878" s="1" t="s">
        <v>16</v>
      </c>
      <c r="F878" s="1" t="s">
        <v>25</v>
      </c>
      <c r="G878" s="1" t="s">
        <v>26</v>
      </c>
      <c r="H878" s="1">
        <v>15334</v>
      </c>
      <c r="I878" s="1" t="s">
        <v>27</v>
      </c>
      <c r="J878" s="1"/>
      <c r="K878" s="1">
        <v>14000</v>
      </c>
      <c r="L878" s="2">
        <v>45341</v>
      </c>
    </row>
    <row r="879" spans="1:12" x14ac:dyDescent="0.35">
      <c r="A879" s="1" t="s">
        <v>1118</v>
      </c>
      <c r="B879" s="1" t="s">
        <v>487</v>
      </c>
      <c r="C879" s="1" t="s">
        <v>30</v>
      </c>
      <c r="D879" s="1" t="s">
        <v>31</v>
      </c>
      <c r="E879" s="1" t="s">
        <v>46</v>
      </c>
      <c r="F879" s="1" t="s">
        <v>39</v>
      </c>
      <c r="G879" s="1" t="s">
        <v>26</v>
      </c>
      <c r="H879" s="1">
        <v>15251</v>
      </c>
      <c r="I879" s="1" t="s">
        <v>22</v>
      </c>
      <c r="J879" s="1">
        <v>0.1</v>
      </c>
      <c r="K879" s="1">
        <v>17000</v>
      </c>
      <c r="L879" s="2">
        <v>45305</v>
      </c>
    </row>
    <row r="880" spans="1:12" x14ac:dyDescent="0.35">
      <c r="A880" s="1" t="s">
        <v>1119</v>
      </c>
      <c r="B880" s="1" t="s">
        <v>412</v>
      </c>
      <c r="C880" s="1" t="s">
        <v>14</v>
      </c>
      <c r="D880" s="1" t="s">
        <v>15</v>
      </c>
      <c r="E880" s="1" t="s">
        <v>32</v>
      </c>
      <c r="F880" s="1" t="s">
        <v>39</v>
      </c>
      <c r="G880" s="1" t="s">
        <v>18</v>
      </c>
      <c r="H880" s="1">
        <v>13855</v>
      </c>
      <c r="I880" s="1" t="s">
        <v>27</v>
      </c>
      <c r="J880" s="1"/>
      <c r="K880" s="1">
        <v>14000</v>
      </c>
      <c r="L880" s="2">
        <v>45310</v>
      </c>
    </row>
    <row r="881" spans="1:12" x14ac:dyDescent="0.35">
      <c r="A881" s="1" t="s">
        <v>1120</v>
      </c>
      <c r="B881" s="1" t="s">
        <v>617</v>
      </c>
      <c r="C881" s="1" t="s">
        <v>61</v>
      </c>
      <c r="D881" s="1" t="s">
        <v>62</v>
      </c>
      <c r="E881" s="1" t="s">
        <v>32</v>
      </c>
      <c r="F881" s="1" t="s">
        <v>25</v>
      </c>
      <c r="G881" s="1" t="s">
        <v>26</v>
      </c>
      <c r="H881" s="1">
        <v>10593</v>
      </c>
      <c r="I881" s="1" t="s">
        <v>33</v>
      </c>
      <c r="J881" s="1">
        <v>0.3</v>
      </c>
      <c r="K881" s="1">
        <v>9000</v>
      </c>
      <c r="L881" s="2">
        <v>45311</v>
      </c>
    </row>
    <row r="882" spans="1:12" x14ac:dyDescent="0.35">
      <c r="A882" s="1" t="s">
        <v>1121</v>
      </c>
      <c r="B882" s="1" t="s">
        <v>579</v>
      </c>
      <c r="C882" s="1" t="s">
        <v>30</v>
      </c>
      <c r="D882" s="1" t="s">
        <v>31</v>
      </c>
      <c r="E882" s="1" t="s">
        <v>46</v>
      </c>
      <c r="F882" s="1" t="s">
        <v>39</v>
      </c>
      <c r="G882" s="1" t="s">
        <v>36</v>
      </c>
      <c r="H882" s="1">
        <v>15365</v>
      </c>
      <c r="I882" s="1" t="s">
        <v>27</v>
      </c>
      <c r="J882" s="1"/>
      <c r="K882" s="1">
        <v>17000</v>
      </c>
      <c r="L882" s="2">
        <v>45292</v>
      </c>
    </row>
    <row r="883" spans="1:12" x14ac:dyDescent="0.35">
      <c r="A883" s="1" t="s">
        <v>1122</v>
      </c>
      <c r="B883" s="1" t="s">
        <v>86</v>
      </c>
      <c r="C883" s="1" t="s">
        <v>61</v>
      </c>
      <c r="D883" s="1" t="s">
        <v>62</v>
      </c>
      <c r="E883" s="1" t="s">
        <v>32</v>
      </c>
      <c r="F883" s="1" t="s">
        <v>17</v>
      </c>
      <c r="G883" s="1" t="s">
        <v>18</v>
      </c>
      <c r="H883" s="1">
        <v>8512</v>
      </c>
      <c r="I883" s="1" t="s">
        <v>27</v>
      </c>
      <c r="J883" s="1"/>
      <c r="K883" s="1">
        <v>9000</v>
      </c>
      <c r="L883" s="2">
        <v>45295</v>
      </c>
    </row>
    <row r="884" spans="1:12" x14ac:dyDescent="0.35">
      <c r="A884" s="1" t="s">
        <v>1123</v>
      </c>
      <c r="B884" s="1" t="s">
        <v>190</v>
      </c>
      <c r="C884" s="1" t="s">
        <v>30</v>
      </c>
      <c r="D884" s="1" t="s">
        <v>31</v>
      </c>
      <c r="E884" s="1" t="s">
        <v>32</v>
      </c>
      <c r="F884" s="1" t="s">
        <v>17</v>
      </c>
      <c r="G884" s="1" t="s">
        <v>18</v>
      </c>
      <c r="H884" s="1">
        <v>15963</v>
      </c>
      <c r="I884" s="1"/>
      <c r="J884" s="1"/>
      <c r="K884" s="1">
        <v>17000</v>
      </c>
      <c r="L884" s="2">
        <v>45336</v>
      </c>
    </row>
    <row r="885" spans="1:12" x14ac:dyDescent="0.35">
      <c r="A885" s="1" t="s">
        <v>1124</v>
      </c>
      <c r="B885" s="1" t="s">
        <v>337</v>
      </c>
      <c r="C885" s="1" t="s">
        <v>30</v>
      </c>
      <c r="D885" s="1" t="s">
        <v>31</v>
      </c>
      <c r="E885" s="1" t="s">
        <v>16</v>
      </c>
      <c r="F885" s="1" t="s">
        <v>17</v>
      </c>
      <c r="G885" s="1" t="s">
        <v>36</v>
      </c>
      <c r="H885" s="1">
        <v>16562</v>
      </c>
      <c r="I885" s="1"/>
      <c r="J885" s="1"/>
      <c r="K885" s="1">
        <v>17000</v>
      </c>
      <c r="L885" s="2">
        <v>45326</v>
      </c>
    </row>
    <row r="886" spans="1:12" x14ac:dyDescent="0.35">
      <c r="A886" s="1" t="s">
        <v>1125</v>
      </c>
      <c r="B886" s="1" t="s">
        <v>817</v>
      </c>
      <c r="C886" s="1" t="s">
        <v>44</v>
      </c>
      <c r="D886" s="1" t="s">
        <v>45</v>
      </c>
      <c r="E886" s="1" t="s">
        <v>46</v>
      </c>
      <c r="F886" s="1" t="s">
        <v>25</v>
      </c>
      <c r="G886" s="1" t="s">
        <v>18</v>
      </c>
      <c r="H886" s="1">
        <v>13275</v>
      </c>
      <c r="I886" s="1"/>
      <c r="J886" s="1"/>
      <c r="K886" s="1">
        <v>13000</v>
      </c>
      <c r="L886" s="2">
        <v>45345</v>
      </c>
    </row>
    <row r="887" spans="1:12" x14ac:dyDescent="0.35">
      <c r="A887" s="1" t="s">
        <v>1126</v>
      </c>
      <c r="B887" s="1" t="s">
        <v>827</v>
      </c>
      <c r="C887" s="1" t="s">
        <v>61</v>
      </c>
      <c r="D887" s="1" t="s">
        <v>62</v>
      </c>
      <c r="E887" s="1" t="s">
        <v>32</v>
      </c>
      <c r="F887" s="1" t="s">
        <v>17</v>
      </c>
      <c r="G887" s="1" t="s">
        <v>26</v>
      </c>
      <c r="H887" s="1">
        <v>7514</v>
      </c>
      <c r="I887" s="1" t="s">
        <v>19</v>
      </c>
      <c r="J887" s="1">
        <v>0.2</v>
      </c>
      <c r="K887" s="1">
        <v>9000</v>
      </c>
      <c r="L887" s="2">
        <v>45292</v>
      </c>
    </row>
    <row r="888" spans="1:12" x14ac:dyDescent="0.35">
      <c r="A888" s="1" t="s">
        <v>1127</v>
      </c>
      <c r="B888" s="1" t="s">
        <v>21</v>
      </c>
      <c r="C888" s="1" t="s">
        <v>14</v>
      </c>
      <c r="D888" s="1" t="s">
        <v>15</v>
      </c>
      <c r="E888" s="1" t="s">
        <v>32</v>
      </c>
      <c r="F888" s="1" t="s">
        <v>39</v>
      </c>
      <c r="G888" s="1" t="s">
        <v>36</v>
      </c>
      <c r="H888" s="1">
        <v>14694</v>
      </c>
      <c r="I888" s="1"/>
      <c r="J888" s="1"/>
      <c r="K888" s="1">
        <v>14000</v>
      </c>
      <c r="L888" s="2">
        <v>45300</v>
      </c>
    </row>
    <row r="889" spans="1:12" x14ac:dyDescent="0.35">
      <c r="A889" s="1" t="s">
        <v>1128</v>
      </c>
      <c r="B889" s="1" t="s">
        <v>843</v>
      </c>
      <c r="C889" s="1" t="s">
        <v>61</v>
      </c>
      <c r="D889" s="1" t="s">
        <v>62</v>
      </c>
      <c r="E889" s="1" t="s">
        <v>46</v>
      </c>
      <c r="F889" s="1" t="s">
        <v>39</v>
      </c>
      <c r="G889" s="1" t="s">
        <v>26</v>
      </c>
      <c r="H889" s="1">
        <v>10810</v>
      </c>
      <c r="I889" s="1"/>
      <c r="J889" s="1"/>
      <c r="K889" s="1">
        <v>9000</v>
      </c>
      <c r="L889" s="2">
        <v>45331</v>
      </c>
    </row>
    <row r="890" spans="1:12" x14ac:dyDescent="0.35">
      <c r="A890" s="1" t="s">
        <v>1129</v>
      </c>
      <c r="B890" s="1" t="s">
        <v>429</v>
      </c>
      <c r="C890" s="1" t="s">
        <v>61</v>
      </c>
      <c r="D890" s="1" t="s">
        <v>62</v>
      </c>
      <c r="E890" s="1" t="s">
        <v>16</v>
      </c>
      <c r="F890" s="1" t="s">
        <v>17</v>
      </c>
      <c r="G890" s="1" t="s">
        <v>36</v>
      </c>
      <c r="H890" s="1">
        <v>8455</v>
      </c>
      <c r="I890" s="1" t="s">
        <v>19</v>
      </c>
      <c r="J890" s="1">
        <v>0.2</v>
      </c>
      <c r="K890" s="1">
        <v>9000</v>
      </c>
      <c r="L890" s="2">
        <v>45303</v>
      </c>
    </row>
    <row r="891" spans="1:12" x14ac:dyDescent="0.35">
      <c r="A891" s="1" t="s">
        <v>1130</v>
      </c>
      <c r="B891" s="1" t="s">
        <v>617</v>
      </c>
      <c r="C891" s="1" t="s">
        <v>14</v>
      </c>
      <c r="D891" s="1" t="s">
        <v>15</v>
      </c>
      <c r="E891" s="1" t="s">
        <v>16</v>
      </c>
      <c r="F891" s="1" t="s">
        <v>17</v>
      </c>
      <c r="G891" s="1" t="s">
        <v>26</v>
      </c>
      <c r="H891" s="1">
        <v>12969</v>
      </c>
      <c r="I891" s="1" t="s">
        <v>27</v>
      </c>
      <c r="J891" s="1"/>
      <c r="K891" s="1">
        <v>14000</v>
      </c>
      <c r="L891" s="2">
        <v>45309</v>
      </c>
    </row>
    <row r="892" spans="1:12" x14ac:dyDescent="0.35">
      <c r="A892" s="1" t="s">
        <v>1131</v>
      </c>
      <c r="B892" s="1" t="s">
        <v>512</v>
      </c>
      <c r="C892" s="1" t="s">
        <v>30</v>
      </c>
      <c r="D892" s="1" t="s">
        <v>31</v>
      </c>
      <c r="E892" s="1" t="s">
        <v>32</v>
      </c>
      <c r="F892" s="1" t="s">
        <v>25</v>
      </c>
      <c r="G892" s="1" t="s">
        <v>26</v>
      </c>
      <c r="H892" s="1">
        <v>16979</v>
      </c>
      <c r="I892" s="1" t="s">
        <v>33</v>
      </c>
      <c r="J892" s="1">
        <v>0.3</v>
      </c>
      <c r="K892" s="1">
        <v>17000</v>
      </c>
      <c r="L892" s="2">
        <v>45299</v>
      </c>
    </row>
    <row r="893" spans="1:12" x14ac:dyDescent="0.35">
      <c r="A893" s="1" t="s">
        <v>1132</v>
      </c>
      <c r="B893" s="1" t="s">
        <v>356</v>
      </c>
      <c r="C893" s="1" t="s">
        <v>14</v>
      </c>
      <c r="D893" s="1" t="s">
        <v>15</v>
      </c>
      <c r="E893" s="1" t="s">
        <v>32</v>
      </c>
      <c r="F893" s="1" t="s">
        <v>39</v>
      </c>
      <c r="G893" s="1" t="s">
        <v>26</v>
      </c>
      <c r="H893" s="1">
        <v>14156</v>
      </c>
      <c r="I893" s="1" t="s">
        <v>33</v>
      </c>
      <c r="J893" s="1">
        <v>0.3</v>
      </c>
      <c r="K893" s="1">
        <v>14000</v>
      </c>
      <c r="L893" s="2">
        <v>45321</v>
      </c>
    </row>
    <row r="894" spans="1:12" x14ac:dyDescent="0.35">
      <c r="A894" s="1" t="s">
        <v>1133</v>
      </c>
      <c r="B894" s="1" t="s">
        <v>905</v>
      </c>
      <c r="C894" s="1" t="s">
        <v>14</v>
      </c>
      <c r="D894" s="1" t="s">
        <v>15</v>
      </c>
      <c r="E894" s="1" t="s">
        <v>32</v>
      </c>
      <c r="F894" s="1" t="s">
        <v>17</v>
      </c>
      <c r="G894" s="1" t="s">
        <v>26</v>
      </c>
      <c r="H894" s="1">
        <v>15037</v>
      </c>
      <c r="I894" s="1" t="s">
        <v>22</v>
      </c>
      <c r="J894" s="1">
        <v>0.1</v>
      </c>
      <c r="K894" s="1">
        <v>14000</v>
      </c>
      <c r="L894" s="2">
        <v>45335</v>
      </c>
    </row>
    <row r="895" spans="1:12" x14ac:dyDescent="0.35">
      <c r="A895" s="1" t="s">
        <v>1134</v>
      </c>
      <c r="B895" s="1" t="s">
        <v>416</v>
      </c>
      <c r="C895" s="1" t="s">
        <v>30</v>
      </c>
      <c r="D895" s="1" t="s">
        <v>31</v>
      </c>
      <c r="E895" s="1" t="s">
        <v>16</v>
      </c>
      <c r="F895" s="1" t="s">
        <v>25</v>
      </c>
      <c r="G895" s="1" t="s">
        <v>36</v>
      </c>
      <c r="H895" s="1">
        <v>17191</v>
      </c>
      <c r="I895" s="1" t="s">
        <v>22</v>
      </c>
      <c r="J895" s="1">
        <v>0.1</v>
      </c>
      <c r="K895" s="1">
        <v>17000</v>
      </c>
      <c r="L895" s="2">
        <v>45322</v>
      </c>
    </row>
    <row r="896" spans="1:12" x14ac:dyDescent="0.35">
      <c r="A896" s="1" t="s">
        <v>1135</v>
      </c>
      <c r="B896" s="1" t="s">
        <v>330</v>
      </c>
      <c r="C896" s="1" t="s">
        <v>61</v>
      </c>
      <c r="D896" s="1" t="s">
        <v>62</v>
      </c>
      <c r="E896" s="1" t="s">
        <v>16</v>
      </c>
      <c r="F896" s="1" t="s">
        <v>39</v>
      </c>
      <c r="G896" s="1" t="s">
        <v>36</v>
      </c>
      <c r="H896" s="1">
        <v>8724</v>
      </c>
      <c r="I896" s="1" t="s">
        <v>33</v>
      </c>
      <c r="J896" s="1">
        <v>0.3</v>
      </c>
      <c r="K896" s="1">
        <v>9000</v>
      </c>
      <c r="L896" s="2">
        <v>45343</v>
      </c>
    </row>
    <row r="897" spans="1:12" x14ac:dyDescent="0.35">
      <c r="A897" s="1" t="s">
        <v>1136</v>
      </c>
      <c r="B897" s="1" t="s">
        <v>361</v>
      </c>
      <c r="C897" s="1" t="s">
        <v>44</v>
      </c>
      <c r="D897" s="1" t="s">
        <v>45</v>
      </c>
      <c r="E897" s="1" t="s">
        <v>32</v>
      </c>
      <c r="F897" s="1" t="s">
        <v>39</v>
      </c>
      <c r="G897" s="1" t="s">
        <v>26</v>
      </c>
      <c r="H897" s="1">
        <v>14069</v>
      </c>
      <c r="I897" s="1" t="s">
        <v>33</v>
      </c>
      <c r="J897" s="1">
        <v>0.3</v>
      </c>
      <c r="K897" s="1">
        <v>13000</v>
      </c>
      <c r="L897" s="2">
        <v>45338</v>
      </c>
    </row>
    <row r="898" spans="1:12" x14ac:dyDescent="0.35">
      <c r="A898" s="1" t="s">
        <v>1137</v>
      </c>
      <c r="B898" s="1" t="s">
        <v>522</v>
      </c>
      <c r="C898" s="1" t="s">
        <v>30</v>
      </c>
      <c r="D898" s="1" t="s">
        <v>31</v>
      </c>
      <c r="E898" s="1" t="s">
        <v>32</v>
      </c>
      <c r="F898" s="1" t="s">
        <v>39</v>
      </c>
      <c r="G898" s="1" t="s">
        <v>36</v>
      </c>
      <c r="H898" s="1">
        <v>17368</v>
      </c>
      <c r="I898" s="1" t="s">
        <v>19</v>
      </c>
      <c r="J898" s="1">
        <v>0.2</v>
      </c>
      <c r="K898" s="1">
        <v>17000</v>
      </c>
      <c r="L898" s="2">
        <v>45328</v>
      </c>
    </row>
    <row r="899" spans="1:12" x14ac:dyDescent="0.35">
      <c r="A899" s="1" t="s">
        <v>1138</v>
      </c>
      <c r="B899" s="1" t="s">
        <v>68</v>
      </c>
      <c r="C899" s="1" t="s">
        <v>30</v>
      </c>
      <c r="D899" s="1" t="s">
        <v>31</v>
      </c>
      <c r="E899" s="1" t="s">
        <v>16</v>
      </c>
      <c r="F899" s="1" t="s">
        <v>39</v>
      </c>
      <c r="G899" s="1" t="s">
        <v>18</v>
      </c>
      <c r="H899" s="1">
        <v>16174</v>
      </c>
      <c r="I899" s="1"/>
      <c r="J899" s="1"/>
      <c r="K899" s="1">
        <v>17000</v>
      </c>
      <c r="L899" s="2">
        <v>45297</v>
      </c>
    </row>
    <row r="900" spans="1:12" x14ac:dyDescent="0.35">
      <c r="A900" s="1" t="s">
        <v>1139</v>
      </c>
      <c r="B900" s="1" t="s">
        <v>440</v>
      </c>
      <c r="C900" s="1" t="s">
        <v>14</v>
      </c>
      <c r="D900" s="1" t="s">
        <v>15</v>
      </c>
      <c r="E900" s="1" t="s">
        <v>46</v>
      </c>
      <c r="F900" s="1" t="s">
        <v>17</v>
      </c>
      <c r="G900" s="1" t="s">
        <v>18</v>
      </c>
      <c r="H900" s="1">
        <v>14522</v>
      </c>
      <c r="I900" s="1" t="s">
        <v>33</v>
      </c>
      <c r="J900" s="1">
        <v>0.3</v>
      </c>
      <c r="K900" s="1">
        <v>14000</v>
      </c>
      <c r="L900" s="2">
        <v>45309</v>
      </c>
    </row>
    <row r="901" spans="1:12" x14ac:dyDescent="0.35">
      <c r="A901" s="1" t="s">
        <v>1140</v>
      </c>
      <c r="B901" s="1" t="s">
        <v>643</v>
      </c>
      <c r="C901" s="1" t="s">
        <v>14</v>
      </c>
      <c r="D901" s="1" t="s">
        <v>15</v>
      </c>
      <c r="E901" s="1" t="s">
        <v>16</v>
      </c>
      <c r="F901" s="1" t="s">
        <v>25</v>
      </c>
      <c r="G901" s="1" t="s">
        <v>26</v>
      </c>
      <c r="H901" s="1">
        <v>12715</v>
      </c>
      <c r="I901" s="1" t="s">
        <v>27</v>
      </c>
      <c r="J901" s="1"/>
      <c r="K901" s="1">
        <v>14000</v>
      </c>
      <c r="L901" s="2">
        <v>45339</v>
      </c>
    </row>
    <row r="902" spans="1:12" x14ac:dyDescent="0.35">
      <c r="A902" s="1" t="s">
        <v>1141</v>
      </c>
      <c r="B902" s="1" t="s">
        <v>113</v>
      </c>
      <c r="C902" s="1" t="s">
        <v>61</v>
      </c>
      <c r="D902" s="1" t="s">
        <v>62</v>
      </c>
      <c r="E902" s="1" t="s">
        <v>46</v>
      </c>
      <c r="F902" s="1" t="s">
        <v>25</v>
      </c>
      <c r="G902" s="1" t="s">
        <v>36</v>
      </c>
      <c r="H902" s="1">
        <v>10205</v>
      </c>
      <c r="I902" s="1" t="s">
        <v>19</v>
      </c>
      <c r="J902" s="1">
        <v>0.2</v>
      </c>
      <c r="K902" s="1">
        <v>9000</v>
      </c>
      <c r="L902" s="2">
        <v>45323</v>
      </c>
    </row>
    <row r="903" spans="1:12" x14ac:dyDescent="0.35">
      <c r="A903" s="1" t="s">
        <v>1142</v>
      </c>
      <c r="B903" s="1" t="s">
        <v>135</v>
      </c>
      <c r="C903" s="1" t="s">
        <v>14</v>
      </c>
      <c r="D903" s="1" t="s">
        <v>15</v>
      </c>
      <c r="E903" s="1" t="s">
        <v>46</v>
      </c>
      <c r="F903" s="1" t="s">
        <v>25</v>
      </c>
      <c r="G903" s="1" t="s">
        <v>18</v>
      </c>
      <c r="H903" s="1">
        <v>14439</v>
      </c>
      <c r="I903" s="1" t="s">
        <v>19</v>
      </c>
      <c r="J903" s="1">
        <v>0.2</v>
      </c>
      <c r="K903" s="1">
        <v>14000</v>
      </c>
      <c r="L903" s="2">
        <v>45345</v>
      </c>
    </row>
    <row r="904" spans="1:12" x14ac:dyDescent="0.35">
      <c r="A904" s="1" t="s">
        <v>1143</v>
      </c>
      <c r="B904" s="1" t="s">
        <v>157</v>
      </c>
      <c r="C904" s="1" t="s">
        <v>61</v>
      </c>
      <c r="D904" s="1" t="s">
        <v>62</v>
      </c>
      <c r="E904" s="1" t="s">
        <v>46</v>
      </c>
      <c r="F904" s="1" t="s">
        <v>25</v>
      </c>
      <c r="G904" s="1" t="s">
        <v>26</v>
      </c>
      <c r="H904" s="1">
        <v>8802</v>
      </c>
      <c r="I904" s="1" t="s">
        <v>19</v>
      </c>
      <c r="J904" s="1">
        <v>0.2</v>
      </c>
      <c r="K904" s="1">
        <v>9000</v>
      </c>
      <c r="L904" s="2">
        <v>45305</v>
      </c>
    </row>
    <row r="905" spans="1:12" x14ac:dyDescent="0.35">
      <c r="A905" s="1" t="s">
        <v>1144</v>
      </c>
      <c r="B905" s="1" t="s">
        <v>233</v>
      </c>
      <c r="C905" s="1" t="s">
        <v>30</v>
      </c>
      <c r="D905" s="1" t="s">
        <v>31</v>
      </c>
      <c r="E905" s="1" t="s">
        <v>32</v>
      </c>
      <c r="F905" s="1" t="s">
        <v>39</v>
      </c>
      <c r="G905" s="1" t="s">
        <v>36</v>
      </c>
      <c r="H905" s="1">
        <v>18094</v>
      </c>
      <c r="I905" s="1" t="s">
        <v>22</v>
      </c>
      <c r="J905" s="1">
        <v>0.1</v>
      </c>
      <c r="K905" s="1">
        <v>17000</v>
      </c>
      <c r="L905" s="2">
        <v>45295</v>
      </c>
    </row>
    <row r="906" spans="1:12" x14ac:dyDescent="0.35">
      <c r="A906" s="1" t="s">
        <v>1145</v>
      </c>
      <c r="B906" s="1" t="s">
        <v>429</v>
      </c>
      <c r="C906" s="1" t="s">
        <v>61</v>
      </c>
      <c r="D906" s="1" t="s">
        <v>62</v>
      </c>
      <c r="E906" s="1" t="s">
        <v>46</v>
      </c>
      <c r="F906" s="1" t="s">
        <v>17</v>
      </c>
      <c r="G906" s="1" t="s">
        <v>36</v>
      </c>
      <c r="H906" s="1">
        <v>10056</v>
      </c>
      <c r="I906" s="1" t="s">
        <v>27</v>
      </c>
      <c r="J906" s="1"/>
      <c r="K906" s="1">
        <v>9000</v>
      </c>
      <c r="L906" s="2">
        <v>45306</v>
      </c>
    </row>
    <row r="907" spans="1:12" x14ac:dyDescent="0.35">
      <c r="A907" s="1" t="s">
        <v>1146</v>
      </c>
      <c r="B907" s="1" t="s">
        <v>274</v>
      </c>
      <c r="C907" s="1" t="s">
        <v>61</v>
      </c>
      <c r="D907" s="1" t="s">
        <v>62</v>
      </c>
      <c r="E907" s="1" t="s">
        <v>46</v>
      </c>
      <c r="F907" s="1" t="s">
        <v>17</v>
      </c>
      <c r="G907" s="1" t="s">
        <v>18</v>
      </c>
      <c r="H907" s="1">
        <v>9172</v>
      </c>
      <c r="I907" s="1"/>
      <c r="J907" s="1"/>
      <c r="K907" s="1">
        <v>9000</v>
      </c>
      <c r="L907" s="2">
        <v>45292</v>
      </c>
    </row>
    <row r="908" spans="1:12" x14ac:dyDescent="0.35">
      <c r="A908" s="1" t="s">
        <v>1147</v>
      </c>
      <c r="B908" s="1" t="s">
        <v>443</v>
      </c>
      <c r="C908" s="1" t="s">
        <v>61</v>
      </c>
      <c r="D908" s="1" t="s">
        <v>62</v>
      </c>
      <c r="E908" s="1" t="s">
        <v>46</v>
      </c>
      <c r="F908" s="1" t="s">
        <v>39</v>
      </c>
      <c r="G908" s="1" t="s">
        <v>36</v>
      </c>
      <c r="H908" s="1">
        <v>10939</v>
      </c>
      <c r="I908" s="1" t="s">
        <v>27</v>
      </c>
      <c r="J908" s="1"/>
      <c r="K908" s="1">
        <v>9000</v>
      </c>
      <c r="L908" s="2">
        <v>45335</v>
      </c>
    </row>
    <row r="909" spans="1:12" x14ac:dyDescent="0.35">
      <c r="A909" s="1" t="s">
        <v>1148</v>
      </c>
      <c r="B909" s="1" t="s">
        <v>76</v>
      </c>
      <c r="C909" s="1" t="s">
        <v>30</v>
      </c>
      <c r="D909" s="1" t="s">
        <v>31</v>
      </c>
      <c r="E909" s="1" t="s">
        <v>46</v>
      </c>
      <c r="F909" s="1" t="s">
        <v>39</v>
      </c>
      <c r="G909" s="1" t="s">
        <v>26</v>
      </c>
      <c r="H909" s="1">
        <v>18515</v>
      </c>
      <c r="I909" s="1" t="s">
        <v>33</v>
      </c>
      <c r="J909" s="1">
        <v>0.3</v>
      </c>
      <c r="K909" s="1">
        <v>17000</v>
      </c>
      <c r="L909" s="2">
        <v>45313</v>
      </c>
    </row>
    <row r="910" spans="1:12" x14ac:dyDescent="0.35">
      <c r="A910" s="1" t="s">
        <v>1149</v>
      </c>
      <c r="B910" s="1" t="s">
        <v>361</v>
      </c>
      <c r="C910" s="1" t="s">
        <v>14</v>
      </c>
      <c r="D910" s="1" t="s">
        <v>15</v>
      </c>
      <c r="E910" s="1" t="s">
        <v>46</v>
      </c>
      <c r="F910" s="1" t="s">
        <v>39</v>
      </c>
      <c r="G910" s="1" t="s">
        <v>26</v>
      </c>
      <c r="H910" s="1">
        <v>13602</v>
      </c>
      <c r="I910" s="1"/>
      <c r="J910" s="1"/>
      <c r="K910" s="1">
        <v>14000</v>
      </c>
      <c r="L910" s="2">
        <v>45341</v>
      </c>
    </row>
    <row r="911" spans="1:12" x14ac:dyDescent="0.35">
      <c r="A911" s="1" t="s">
        <v>1150</v>
      </c>
      <c r="B911" s="1" t="s">
        <v>305</v>
      </c>
      <c r="C911" s="1" t="s">
        <v>44</v>
      </c>
      <c r="D911" s="1" t="s">
        <v>45</v>
      </c>
      <c r="E911" s="1" t="s">
        <v>16</v>
      </c>
      <c r="F911" s="1" t="s">
        <v>39</v>
      </c>
      <c r="G911" s="1" t="s">
        <v>26</v>
      </c>
      <c r="H911" s="1">
        <v>14155</v>
      </c>
      <c r="I911" s="1" t="s">
        <v>19</v>
      </c>
      <c r="J911" s="1">
        <v>0.2</v>
      </c>
      <c r="K911" s="1">
        <v>13000</v>
      </c>
      <c r="L911" s="2">
        <v>45325</v>
      </c>
    </row>
    <row r="912" spans="1:12" x14ac:dyDescent="0.35">
      <c r="A912" s="1" t="s">
        <v>1151</v>
      </c>
      <c r="B912" s="1" t="s">
        <v>150</v>
      </c>
      <c r="C912" s="1" t="s">
        <v>44</v>
      </c>
      <c r="D912" s="1" t="s">
        <v>45</v>
      </c>
      <c r="E912" s="1" t="s">
        <v>46</v>
      </c>
      <c r="F912" s="1" t="s">
        <v>39</v>
      </c>
      <c r="G912" s="1" t="s">
        <v>18</v>
      </c>
      <c r="H912" s="1">
        <v>13755</v>
      </c>
      <c r="I912" s="1" t="s">
        <v>22</v>
      </c>
      <c r="J912" s="1">
        <v>0.1</v>
      </c>
      <c r="K912" s="1">
        <v>13000</v>
      </c>
      <c r="L912" s="2">
        <v>45345</v>
      </c>
    </row>
    <row r="913" spans="1:12" x14ac:dyDescent="0.35">
      <c r="A913" s="1" t="s">
        <v>1152</v>
      </c>
      <c r="B913" s="1" t="s">
        <v>43</v>
      </c>
      <c r="C913" s="1" t="s">
        <v>61</v>
      </c>
      <c r="D913" s="1" t="s">
        <v>62</v>
      </c>
      <c r="E913" s="1" t="s">
        <v>32</v>
      </c>
      <c r="F913" s="1" t="s">
        <v>39</v>
      </c>
      <c r="G913" s="1" t="s">
        <v>18</v>
      </c>
      <c r="H913" s="1">
        <v>9807</v>
      </c>
      <c r="I913" s="1"/>
      <c r="J913" s="1"/>
      <c r="K913" s="1">
        <v>9000</v>
      </c>
      <c r="L913" s="2">
        <v>45314</v>
      </c>
    </row>
    <row r="914" spans="1:12" x14ac:dyDescent="0.35">
      <c r="A914" s="1" t="s">
        <v>1153</v>
      </c>
      <c r="B914" s="1" t="s">
        <v>220</v>
      </c>
      <c r="C914" s="1" t="s">
        <v>30</v>
      </c>
      <c r="D914" s="1" t="s">
        <v>31</v>
      </c>
      <c r="E914" s="1" t="s">
        <v>46</v>
      </c>
      <c r="F914" s="1" t="s">
        <v>25</v>
      </c>
      <c r="G914" s="1" t="s">
        <v>18</v>
      </c>
      <c r="H914" s="1">
        <v>15097</v>
      </c>
      <c r="I914" s="1" t="s">
        <v>27</v>
      </c>
      <c r="J914" s="1"/>
      <c r="K914" s="1">
        <v>17000</v>
      </c>
      <c r="L914" s="2">
        <v>45297</v>
      </c>
    </row>
    <row r="915" spans="1:12" x14ac:dyDescent="0.35">
      <c r="A915" s="1" t="s">
        <v>1154</v>
      </c>
      <c r="B915" s="1" t="s">
        <v>109</v>
      </c>
      <c r="C915" s="1" t="s">
        <v>44</v>
      </c>
      <c r="D915" s="1" t="s">
        <v>45</v>
      </c>
      <c r="E915" s="1" t="s">
        <v>16</v>
      </c>
      <c r="F915" s="1" t="s">
        <v>39</v>
      </c>
      <c r="G915" s="1" t="s">
        <v>18</v>
      </c>
      <c r="H915" s="1">
        <v>13900</v>
      </c>
      <c r="I915" s="1" t="s">
        <v>22</v>
      </c>
      <c r="J915" s="1">
        <v>0.1</v>
      </c>
      <c r="K915" s="1">
        <v>13000</v>
      </c>
      <c r="L915" s="2">
        <v>45297</v>
      </c>
    </row>
    <row r="916" spans="1:12" x14ac:dyDescent="0.35">
      <c r="A916" s="1" t="s">
        <v>1155</v>
      </c>
      <c r="B916" s="1" t="s">
        <v>460</v>
      </c>
      <c r="C916" s="1" t="s">
        <v>44</v>
      </c>
      <c r="D916" s="1" t="s">
        <v>45</v>
      </c>
      <c r="E916" s="1" t="s">
        <v>46</v>
      </c>
      <c r="F916" s="1" t="s">
        <v>39</v>
      </c>
      <c r="G916" s="1" t="s">
        <v>26</v>
      </c>
      <c r="H916" s="1">
        <v>13318</v>
      </c>
      <c r="I916" s="1" t="s">
        <v>19</v>
      </c>
      <c r="J916" s="1">
        <v>0.2</v>
      </c>
      <c r="K916" s="1">
        <v>13000</v>
      </c>
      <c r="L916" s="2">
        <v>45349</v>
      </c>
    </row>
    <row r="917" spans="1:12" x14ac:dyDescent="0.35">
      <c r="A917" s="1" t="s">
        <v>1156</v>
      </c>
      <c r="B917" s="1" t="s">
        <v>173</v>
      </c>
      <c r="C917" s="1" t="s">
        <v>44</v>
      </c>
      <c r="D917" s="1" t="s">
        <v>45</v>
      </c>
      <c r="E917" s="1" t="s">
        <v>46</v>
      </c>
      <c r="F917" s="1" t="s">
        <v>17</v>
      </c>
      <c r="G917" s="1" t="s">
        <v>36</v>
      </c>
      <c r="H917" s="1">
        <v>13705</v>
      </c>
      <c r="I917" s="1" t="s">
        <v>22</v>
      </c>
      <c r="J917" s="1">
        <v>0.1</v>
      </c>
      <c r="K917" s="1">
        <v>13000</v>
      </c>
      <c r="L917" s="2">
        <v>45332</v>
      </c>
    </row>
    <row r="918" spans="1:12" x14ac:dyDescent="0.35">
      <c r="A918" s="1" t="s">
        <v>1157</v>
      </c>
      <c r="B918" s="1" t="s">
        <v>123</v>
      </c>
      <c r="C918" s="1" t="s">
        <v>61</v>
      </c>
      <c r="D918" s="1" t="s">
        <v>62</v>
      </c>
      <c r="E918" s="1" t="s">
        <v>16</v>
      </c>
      <c r="F918" s="1" t="s">
        <v>39</v>
      </c>
      <c r="G918" s="1" t="s">
        <v>36</v>
      </c>
      <c r="H918" s="1">
        <v>8054</v>
      </c>
      <c r="I918" s="1" t="s">
        <v>19</v>
      </c>
      <c r="J918" s="1">
        <v>0.2</v>
      </c>
      <c r="K918" s="1">
        <v>9000</v>
      </c>
      <c r="L918" s="2">
        <v>45341</v>
      </c>
    </row>
    <row r="919" spans="1:12" x14ac:dyDescent="0.35">
      <c r="A919" s="1" t="s">
        <v>1158</v>
      </c>
      <c r="B919" s="1" t="s">
        <v>263</v>
      </c>
      <c r="C919" s="1" t="s">
        <v>14</v>
      </c>
      <c r="D919" s="1" t="s">
        <v>15</v>
      </c>
      <c r="E919" s="1" t="s">
        <v>46</v>
      </c>
      <c r="F919" s="1" t="s">
        <v>17</v>
      </c>
      <c r="G919" s="1" t="s">
        <v>36</v>
      </c>
      <c r="H919" s="1">
        <v>12246</v>
      </c>
      <c r="I919" s="1" t="s">
        <v>33</v>
      </c>
      <c r="J919" s="1">
        <v>0.3</v>
      </c>
      <c r="K919" s="1">
        <v>14000</v>
      </c>
      <c r="L919" s="2">
        <v>45344</v>
      </c>
    </row>
    <row r="920" spans="1:12" x14ac:dyDescent="0.35">
      <c r="A920" s="1" t="s">
        <v>1159</v>
      </c>
      <c r="B920" s="1" t="s">
        <v>58</v>
      </c>
      <c r="C920" s="1" t="s">
        <v>61</v>
      </c>
      <c r="D920" s="1" t="s">
        <v>62</v>
      </c>
      <c r="E920" s="1" t="s">
        <v>32</v>
      </c>
      <c r="F920" s="1" t="s">
        <v>17</v>
      </c>
      <c r="G920" s="1" t="s">
        <v>18</v>
      </c>
      <c r="H920" s="1">
        <v>9499</v>
      </c>
      <c r="I920" s="1"/>
      <c r="J920" s="1"/>
      <c r="K920" s="1">
        <v>9000</v>
      </c>
      <c r="L920" s="2">
        <v>45303</v>
      </c>
    </row>
    <row r="921" spans="1:12" x14ac:dyDescent="0.35">
      <c r="A921" s="1" t="s">
        <v>1160</v>
      </c>
      <c r="B921" s="1" t="s">
        <v>591</v>
      </c>
      <c r="C921" s="1" t="s">
        <v>14</v>
      </c>
      <c r="D921" s="1" t="s">
        <v>15</v>
      </c>
      <c r="E921" s="1" t="s">
        <v>32</v>
      </c>
      <c r="F921" s="1" t="s">
        <v>39</v>
      </c>
      <c r="G921" s="1" t="s">
        <v>36</v>
      </c>
      <c r="H921" s="1">
        <v>12894</v>
      </c>
      <c r="I921" s="1" t="s">
        <v>27</v>
      </c>
      <c r="J921" s="1"/>
      <c r="K921" s="1">
        <v>14000</v>
      </c>
      <c r="L921" s="2">
        <v>45333</v>
      </c>
    </row>
    <row r="922" spans="1:12" x14ac:dyDescent="0.35">
      <c r="A922" s="1" t="s">
        <v>1161</v>
      </c>
      <c r="B922" s="1" t="s">
        <v>245</v>
      </c>
      <c r="C922" s="1" t="s">
        <v>30</v>
      </c>
      <c r="D922" s="1" t="s">
        <v>31</v>
      </c>
      <c r="E922" s="1" t="s">
        <v>32</v>
      </c>
      <c r="F922" s="1" t="s">
        <v>25</v>
      </c>
      <c r="G922" s="1" t="s">
        <v>18</v>
      </c>
      <c r="H922" s="1">
        <v>15288</v>
      </c>
      <c r="I922" s="1" t="s">
        <v>27</v>
      </c>
      <c r="J922" s="1"/>
      <c r="K922" s="1">
        <v>17000</v>
      </c>
      <c r="L922" s="2">
        <v>45338</v>
      </c>
    </row>
    <row r="923" spans="1:12" x14ac:dyDescent="0.35">
      <c r="A923" s="1" t="s">
        <v>1162</v>
      </c>
      <c r="B923" s="1" t="s">
        <v>443</v>
      </c>
      <c r="C923" s="1" t="s">
        <v>61</v>
      </c>
      <c r="D923" s="1" t="s">
        <v>62</v>
      </c>
      <c r="E923" s="1" t="s">
        <v>32</v>
      </c>
      <c r="F923" s="1" t="s">
        <v>17</v>
      </c>
      <c r="G923" s="1" t="s">
        <v>18</v>
      </c>
      <c r="H923" s="1">
        <v>9674</v>
      </c>
      <c r="I923" s="1" t="s">
        <v>22</v>
      </c>
      <c r="J923" s="1">
        <v>0.1</v>
      </c>
      <c r="K923" s="1">
        <v>9000</v>
      </c>
      <c r="L923" s="2">
        <v>45351</v>
      </c>
    </row>
    <row r="924" spans="1:12" x14ac:dyDescent="0.35">
      <c r="A924" s="1" t="s">
        <v>1163</v>
      </c>
      <c r="B924" s="1" t="s">
        <v>68</v>
      </c>
      <c r="C924" s="1" t="s">
        <v>61</v>
      </c>
      <c r="D924" s="1" t="s">
        <v>62</v>
      </c>
      <c r="E924" s="1" t="s">
        <v>46</v>
      </c>
      <c r="F924" s="1" t="s">
        <v>25</v>
      </c>
      <c r="G924" s="1" t="s">
        <v>26</v>
      </c>
      <c r="H924" s="1">
        <v>8350</v>
      </c>
      <c r="I924" s="1"/>
      <c r="J924" s="1"/>
      <c r="K924" s="1">
        <v>9000</v>
      </c>
      <c r="L924" s="2">
        <v>45328</v>
      </c>
    </row>
    <row r="925" spans="1:12" x14ac:dyDescent="0.35">
      <c r="A925" s="1" t="s">
        <v>1164</v>
      </c>
      <c r="B925" s="1" t="s">
        <v>166</v>
      </c>
      <c r="C925" s="1" t="s">
        <v>61</v>
      </c>
      <c r="D925" s="1" t="s">
        <v>62</v>
      </c>
      <c r="E925" s="1" t="s">
        <v>46</v>
      </c>
      <c r="F925" s="1" t="s">
        <v>17</v>
      </c>
      <c r="G925" s="1" t="s">
        <v>36</v>
      </c>
      <c r="H925" s="1">
        <v>10457</v>
      </c>
      <c r="I925" s="1" t="s">
        <v>22</v>
      </c>
      <c r="J925" s="1">
        <v>0.1</v>
      </c>
      <c r="K925" s="1">
        <v>9000</v>
      </c>
      <c r="L925" s="2">
        <v>45326</v>
      </c>
    </row>
    <row r="926" spans="1:12" x14ac:dyDescent="0.35">
      <c r="A926" s="1" t="s">
        <v>1165</v>
      </c>
      <c r="B926" s="1" t="s">
        <v>500</v>
      </c>
      <c r="C926" s="1" t="s">
        <v>61</v>
      </c>
      <c r="D926" s="1" t="s">
        <v>62</v>
      </c>
      <c r="E926" s="1" t="s">
        <v>16</v>
      </c>
      <c r="F926" s="1" t="s">
        <v>17</v>
      </c>
      <c r="G926" s="1" t="s">
        <v>18</v>
      </c>
      <c r="H926" s="1">
        <v>9323</v>
      </c>
      <c r="I926" s="1" t="s">
        <v>27</v>
      </c>
      <c r="J926" s="1"/>
      <c r="K926" s="1">
        <v>9000</v>
      </c>
      <c r="L926" s="2">
        <v>45351</v>
      </c>
    </row>
    <row r="927" spans="1:12" x14ac:dyDescent="0.35">
      <c r="A927" s="1" t="s">
        <v>1166</v>
      </c>
      <c r="B927" s="1" t="s">
        <v>282</v>
      </c>
      <c r="C927" s="1" t="s">
        <v>30</v>
      </c>
      <c r="D927" s="1" t="s">
        <v>31</v>
      </c>
      <c r="E927" s="1" t="s">
        <v>46</v>
      </c>
      <c r="F927" s="1" t="s">
        <v>25</v>
      </c>
      <c r="G927" s="1" t="s">
        <v>26</v>
      </c>
      <c r="H927" s="1">
        <v>18927</v>
      </c>
      <c r="I927" s="1" t="s">
        <v>22</v>
      </c>
      <c r="J927" s="1">
        <v>0.1</v>
      </c>
      <c r="K927" s="1">
        <v>17000</v>
      </c>
      <c r="L927" s="2">
        <v>45315</v>
      </c>
    </row>
    <row r="928" spans="1:12" x14ac:dyDescent="0.35">
      <c r="A928" s="1" t="s">
        <v>1167</v>
      </c>
      <c r="B928" s="1" t="s">
        <v>105</v>
      </c>
      <c r="C928" s="1" t="s">
        <v>30</v>
      </c>
      <c r="D928" s="1" t="s">
        <v>31</v>
      </c>
      <c r="E928" s="1" t="s">
        <v>32</v>
      </c>
      <c r="F928" s="1" t="s">
        <v>17</v>
      </c>
      <c r="G928" s="1" t="s">
        <v>36</v>
      </c>
      <c r="H928" s="1">
        <v>17653</v>
      </c>
      <c r="I928" s="1" t="s">
        <v>19</v>
      </c>
      <c r="J928" s="1">
        <v>0.2</v>
      </c>
      <c r="K928" s="1">
        <v>17000</v>
      </c>
      <c r="L928" s="2">
        <v>45303</v>
      </c>
    </row>
    <row r="929" spans="1:12" x14ac:dyDescent="0.35">
      <c r="A929" s="1" t="s">
        <v>1168</v>
      </c>
      <c r="B929" s="1" t="s">
        <v>184</v>
      </c>
      <c r="C929" s="1" t="s">
        <v>61</v>
      </c>
      <c r="D929" s="1" t="s">
        <v>62</v>
      </c>
      <c r="E929" s="1" t="s">
        <v>16</v>
      </c>
      <c r="F929" s="1" t="s">
        <v>25</v>
      </c>
      <c r="G929" s="1" t="s">
        <v>36</v>
      </c>
      <c r="H929" s="1">
        <v>9850</v>
      </c>
      <c r="I929" s="1"/>
      <c r="J929" s="1"/>
      <c r="K929" s="1">
        <v>9000</v>
      </c>
      <c r="L929" s="2">
        <v>45349</v>
      </c>
    </row>
    <row r="930" spans="1:12" x14ac:dyDescent="0.35">
      <c r="A930" s="1" t="s">
        <v>1169</v>
      </c>
      <c r="B930" s="1" t="s">
        <v>21</v>
      </c>
      <c r="C930" s="1" t="s">
        <v>30</v>
      </c>
      <c r="D930" s="1" t="s">
        <v>31</v>
      </c>
      <c r="E930" s="1" t="s">
        <v>46</v>
      </c>
      <c r="F930" s="1" t="s">
        <v>25</v>
      </c>
      <c r="G930" s="1" t="s">
        <v>26</v>
      </c>
      <c r="H930" s="1">
        <v>16793</v>
      </c>
      <c r="I930" s="1" t="s">
        <v>19</v>
      </c>
      <c r="J930" s="1">
        <v>0.2</v>
      </c>
      <c r="K930" s="1">
        <v>17000</v>
      </c>
      <c r="L930" s="2">
        <v>45300</v>
      </c>
    </row>
    <row r="931" spans="1:12" x14ac:dyDescent="0.35">
      <c r="A931" s="1" t="s">
        <v>1170</v>
      </c>
      <c r="B931" s="1" t="s">
        <v>192</v>
      </c>
      <c r="C931" s="1" t="s">
        <v>14</v>
      </c>
      <c r="D931" s="1" t="s">
        <v>15</v>
      </c>
      <c r="E931" s="1" t="s">
        <v>16</v>
      </c>
      <c r="F931" s="1" t="s">
        <v>39</v>
      </c>
      <c r="G931" s="1" t="s">
        <v>18</v>
      </c>
      <c r="H931" s="1">
        <v>14003</v>
      </c>
      <c r="I931" s="1"/>
      <c r="J931" s="1"/>
      <c r="K931" s="1">
        <v>14000</v>
      </c>
      <c r="L931" s="2">
        <v>45296</v>
      </c>
    </row>
    <row r="932" spans="1:12" x14ac:dyDescent="0.35">
      <c r="A932" s="1" t="s">
        <v>1171</v>
      </c>
      <c r="B932" s="1" t="s">
        <v>133</v>
      </c>
      <c r="C932" s="1" t="s">
        <v>30</v>
      </c>
      <c r="D932" s="1" t="s">
        <v>31</v>
      </c>
      <c r="E932" s="1" t="s">
        <v>46</v>
      </c>
      <c r="F932" s="1" t="s">
        <v>39</v>
      </c>
      <c r="G932" s="1" t="s">
        <v>36</v>
      </c>
      <c r="H932" s="1">
        <v>18959</v>
      </c>
      <c r="I932" s="1" t="s">
        <v>22</v>
      </c>
      <c r="J932" s="1">
        <v>0.1</v>
      </c>
      <c r="K932" s="1">
        <v>17000</v>
      </c>
      <c r="L932" s="2">
        <v>45294</v>
      </c>
    </row>
    <row r="933" spans="1:12" x14ac:dyDescent="0.35">
      <c r="A933" s="1" t="s">
        <v>1172</v>
      </c>
      <c r="B933" s="1" t="s">
        <v>327</v>
      </c>
      <c r="C933" s="1" t="s">
        <v>30</v>
      </c>
      <c r="D933" s="1" t="s">
        <v>31</v>
      </c>
      <c r="E933" s="1" t="s">
        <v>16</v>
      </c>
      <c r="F933" s="1" t="s">
        <v>25</v>
      </c>
      <c r="G933" s="1" t="s">
        <v>36</v>
      </c>
      <c r="H933" s="1">
        <v>15484</v>
      </c>
      <c r="I933" s="1" t="s">
        <v>19</v>
      </c>
      <c r="J933" s="1">
        <v>0.2</v>
      </c>
      <c r="K933" s="1">
        <v>17000</v>
      </c>
      <c r="L933" s="2">
        <v>45343</v>
      </c>
    </row>
    <row r="934" spans="1:12" x14ac:dyDescent="0.35">
      <c r="A934" s="1" t="s">
        <v>1173</v>
      </c>
      <c r="B934" s="1" t="s">
        <v>92</v>
      </c>
      <c r="C934" s="1" t="s">
        <v>61</v>
      </c>
      <c r="D934" s="1" t="s">
        <v>62</v>
      </c>
      <c r="E934" s="1" t="s">
        <v>16</v>
      </c>
      <c r="F934" s="1" t="s">
        <v>39</v>
      </c>
      <c r="G934" s="1" t="s">
        <v>18</v>
      </c>
      <c r="H934" s="1">
        <v>10035</v>
      </c>
      <c r="I934" s="1" t="s">
        <v>27</v>
      </c>
      <c r="J934" s="1"/>
      <c r="K934" s="1">
        <v>9000</v>
      </c>
      <c r="L934" s="2">
        <v>45306</v>
      </c>
    </row>
    <row r="935" spans="1:12" x14ac:dyDescent="0.35">
      <c r="A935" s="1" t="s">
        <v>1174</v>
      </c>
      <c r="B935" s="1" t="s">
        <v>403</v>
      </c>
      <c r="C935" s="1" t="s">
        <v>14</v>
      </c>
      <c r="D935" s="1" t="s">
        <v>15</v>
      </c>
      <c r="E935" s="1" t="s">
        <v>16</v>
      </c>
      <c r="F935" s="1" t="s">
        <v>25</v>
      </c>
      <c r="G935" s="1" t="s">
        <v>36</v>
      </c>
      <c r="H935" s="1">
        <v>14678</v>
      </c>
      <c r="I935" s="1" t="s">
        <v>22</v>
      </c>
      <c r="J935" s="1">
        <v>0.1</v>
      </c>
      <c r="K935" s="1">
        <v>14000</v>
      </c>
      <c r="L935" s="2">
        <v>45322</v>
      </c>
    </row>
    <row r="936" spans="1:12" x14ac:dyDescent="0.35">
      <c r="A936" s="1" t="s">
        <v>1175</v>
      </c>
      <c r="B936" s="1" t="s">
        <v>60</v>
      </c>
      <c r="C936" s="1" t="s">
        <v>14</v>
      </c>
      <c r="D936" s="1" t="s">
        <v>15</v>
      </c>
      <c r="E936" s="1" t="s">
        <v>32</v>
      </c>
      <c r="F936" s="1" t="s">
        <v>39</v>
      </c>
      <c r="G936" s="1" t="s">
        <v>26</v>
      </c>
      <c r="H936" s="1">
        <v>12534</v>
      </c>
      <c r="I936" s="1" t="s">
        <v>22</v>
      </c>
      <c r="J936" s="1">
        <v>0.1</v>
      </c>
      <c r="K936" s="1">
        <v>14000</v>
      </c>
      <c r="L936" s="2">
        <v>45303</v>
      </c>
    </row>
    <row r="937" spans="1:12" x14ac:dyDescent="0.35">
      <c r="A937" s="1" t="s">
        <v>1176</v>
      </c>
      <c r="B937" s="1" t="s">
        <v>1032</v>
      </c>
      <c r="C937" s="1" t="s">
        <v>30</v>
      </c>
      <c r="D937" s="1" t="s">
        <v>31</v>
      </c>
      <c r="E937" s="1" t="s">
        <v>32</v>
      </c>
      <c r="F937" s="1" t="s">
        <v>17</v>
      </c>
      <c r="G937" s="1" t="s">
        <v>26</v>
      </c>
      <c r="H937" s="1">
        <v>15699</v>
      </c>
      <c r="I937" s="1" t="s">
        <v>27</v>
      </c>
      <c r="J937" s="1"/>
      <c r="K937" s="1">
        <v>17000</v>
      </c>
      <c r="L937" s="2">
        <v>45296</v>
      </c>
    </row>
    <row r="938" spans="1:12" x14ac:dyDescent="0.35">
      <c r="A938" s="1" t="s">
        <v>1177</v>
      </c>
      <c r="B938" s="1" t="s">
        <v>319</v>
      </c>
      <c r="C938" s="1" t="s">
        <v>14</v>
      </c>
      <c r="D938" s="1" t="s">
        <v>15</v>
      </c>
      <c r="E938" s="1" t="s">
        <v>32</v>
      </c>
      <c r="F938" s="1" t="s">
        <v>17</v>
      </c>
      <c r="G938" s="1" t="s">
        <v>26</v>
      </c>
      <c r="H938" s="1">
        <v>15273</v>
      </c>
      <c r="I938" s="1" t="s">
        <v>27</v>
      </c>
      <c r="J938" s="1"/>
      <c r="K938" s="1">
        <v>14000</v>
      </c>
      <c r="L938" s="2">
        <v>45306</v>
      </c>
    </row>
    <row r="939" spans="1:12" x14ac:dyDescent="0.35">
      <c r="A939" s="1" t="s">
        <v>1178</v>
      </c>
      <c r="B939" s="1" t="s">
        <v>200</v>
      </c>
      <c r="C939" s="1" t="s">
        <v>44</v>
      </c>
      <c r="D939" s="1" t="s">
        <v>45</v>
      </c>
      <c r="E939" s="1" t="s">
        <v>46</v>
      </c>
      <c r="F939" s="1" t="s">
        <v>17</v>
      </c>
      <c r="G939" s="1" t="s">
        <v>26</v>
      </c>
      <c r="H939" s="1">
        <v>13778</v>
      </c>
      <c r="I939" s="1"/>
      <c r="J939" s="1"/>
      <c r="K939" s="1">
        <v>13000</v>
      </c>
      <c r="L939" s="2">
        <v>45312</v>
      </c>
    </row>
    <row r="940" spans="1:12" x14ac:dyDescent="0.35">
      <c r="A940" s="1" t="s">
        <v>1179</v>
      </c>
      <c r="B940" s="1" t="s">
        <v>21</v>
      </c>
      <c r="C940" s="1" t="s">
        <v>44</v>
      </c>
      <c r="D940" s="1" t="s">
        <v>45</v>
      </c>
      <c r="E940" s="1" t="s">
        <v>46</v>
      </c>
      <c r="F940" s="1" t="s">
        <v>25</v>
      </c>
      <c r="G940" s="1" t="s">
        <v>18</v>
      </c>
      <c r="H940" s="1">
        <v>13429</v>
      </c>
      <c r="I940" s="1" t="s">
        <v>19</v>
      </c>
      <c r="J940" s="1">
        <v>0.2</v>
      </c>
      <c r="K940" s="1">
        <v>13000</v>
      </c>
      <c r="L940" s="2">
        <v>45313</v>
      </c>
    </row>
    <row r="941" spans="1:12" x14ac:dyDescent="0.35">
      <c r="A941" s="1" t="s">
        <v>1180</v>
      </c>
      <c r="B941" s="1" t="s">
        <v>78</v>
      </c>
      <c r="C941" s="1" t="s">
        <v>30</v>
      </c>
      <c r="D941" s="1" t="s">
        <v>31</v>
      </c>
      <c r="E941" s="1" t="s">
        <v>32</v>
      </c>
      <c r="F941" s="1" t="s">
        <v>17</v>
      </c>
      <c r="G941" s="1" t="s">
        <v>18</v>
      </c>
      <c r="H941" s="1">
        <v>17852</v>
      </c>
      <c r="I941" s="1" t="s">
        <v>33</v>
      </c>
      <c r="J941" s="1">
        <v>0.3</v>
      </c>
      <c r="K941" s="1">
        <v>17000</v>
      </c>
      <c r="L941" s="2">
        <v>45327</v>
      </c>
    </row>
    <row r="942" spans="1:12" x14ac:dyDescent="0.35">
      <c r="A942" s="1" t="s">
        <v>1181</v>
      </c>
      <c r="B942" s="1" t="s">
        <v>429</v>
      </c>
      <c r="C942" s="1" t="s">
        <v>44</v>
      </c>
      <c r="D942" s="1" t="s">
        <v>45</v>
      </c>
      <c r="E942" s="1" t="s">
        <v>16</v>
      </c>
      <c r="F942" s="1" t="s">
        <v>25</v>
      </c>
      <c r="G942" s="1" t="s">
        <v>18</v>
      </c>
      <c r="H942" s="1">
        <v>11409</v>
      </c>
      <c r="I942" s="1" t="s">
        <v>27</v>
      </c>
      <c r="J942" s="1"/>
      <c r="K942" s="1">
        <v>13000</v>
      </c>
      <c r="L942" s="2">
        <v>45316</v>
      </c>
    </row>
    <row r="943" spans="1:12" x14ac:dyDescent="0.35">
      <c r="A943" s="1" t="s">
        <v>1182</v>
      </c>
      <c r="B943" s="1" t="s">
        <v>72</v>
      </c>
      <c r="C943" s="1" t="s">
        <v>14</v>
      </c>
      <c r="D943" s="1" t="s">
        <v>15</v>
      </c>
      <c r="E943" s="1" t="s">
        <v>46</v>
      </c>
      <c r="F943" s="1" t="s">
        <v>25</v>
      </c>
      <c r="G943" s="1" t="s">
        <v>18</v>
      </c>
      <c r="H943" s="1">
        <v>12029</v>
      </c>
      <c r="I943" s="1" t="s">
        <v>19</v>
      </c>
      <c r="J943" s="1">
        <v>0.2</v>
      </c>
      <c r="K943" s="1">
        <v>14000</v>
      </c>
      <c r="L943" s="2">
        <v>45351</v>
      </c>
    </row>
    <row r="944" spans="1:12" x14ac:dyDescent="0.35">
      <c r="A944" s="1" t="s">
        <v>1183</v>
      </c>
      <c r="B944" s="1" t="s">
        <v>173</v>
      </c>
      <c r="C944" s="1" t="s">
        <v>30</v>
      </c>
      <c r="D944" s="1" t="s">
        <v>31</v>
      </c>
      <c r="E944" s="1" t="s">
        <v>46</v>
      </c>
      <c r="F944" s="1" t="s">
        <v>39</v>
      </c>
      <c r="G944" s="1" t="s">
        <v>36</v>
      </c>
      <c r="H944" s="1">
        <v>17835</v>
      </c>
      <c r="I944" s="1" t="s">
        <v>19</v>
      </c>
      <c r="J944" s="1">
        <v>0.2</v>
      </c>
      <c r="K944" s="1">
        <v>17000</v>
      </c>
      <c r="L944" s="2">
        <v>45305</v>
      </c>
    </row>
    <row r="945" spans="1:12" x14ac:dyDescent="0.35">
      <c r="A945" s="1" t="s">
        <v>1184</v>
      </c>
      <c r="B945" s="1" t="s">
        <v>113</v>
      </c>
      <c r="C945" s="1" t="s">
        <v>30</v>
      </c>
      <c r="D945" s="1" t="s">
        <v>31</v>
      </c>
      <c r="E945" s="1" t="s">
        <v>16</v>
      </c>
      <c r="F945" s="1" t="s">
        <v>17</v>
      </c>
      <c r="G945" s="1" t="s">
        <v>36</v>
      </c>
      <c r="H945" s="1">
        <v>15979</v>
      </c>
      <c r="I945" s="1" t="s">
        <v>19</v>
      </c>
      <c r="J945" s="1">
        <v>0.2</v>
      </c>
      <c r="K945" s="1">
        <v>17000</v>
      </c>
      <c r="L945" s="2">
        <v>45331</v>
      </c>
    </row>
    <row r="946" spans="1:12" x14ac:dyDescent="0.35">
      <c r="A946" s="1" t="s">
        <v>1185</v>
      </c>
      <c r="B946" s="1" t="s">
        <v>464</v>
      </c>
      <c r="C946" s="1" t="s">
        <v>44</v>
      </c>
      <c r="D946" s="1" t="s">
        <v>45</v>
      </c>
      <c r="E946" s="1" t="s">
        <v>16</v>
      </c>
      <c r="F946" s="1" t="s">
        <v>17</v>
      </c>
      <c r="G946" s="1" t="s">
        <v>26</v>
      </c>
      <c r="H946" s="1">
        <v>14892</v>
      </c>
      <c r="I946" s="1" t="s">
        <v>22</v>
      </c>
      <c r="J946" s="1">
        <v>0.1</v>
      </c>
      <c r="K946" s="1">
        <v>13000</v>
      </c>
      <c r="L946" s="2">
        <v>45332</v>
      </c>
    </row>
    <row r="947" spans="1:12" x14ac:dyDescent="0.35">
      <c r="A947" s="1" t="s">
        <v>1186</v>
      </c>
      <c r="B947" s="1" t="s">
        <v>393</v>
      </c>
      <c r="C947" s="1" t="s">
        <v>30</v>
      </c>
      <c r="D947" s="1" t="s">
        <v>31</v>
      </c>
      <c r="E947" s="1" t="s">
        <v>46</v>
      </c>
      <c r="F947" s="1" t="s">
        <v>17</v>
      </c>
      <c r="G947" s="1" t="s">
        <v>18</v>
      </c>
      <c r="H947" s="1">
        <v>17284</v>
      </c>
      <c r="I947" s="1" t="s">
        <v>19</v>
      </c>
      <c r="J947" s="1">
        <v>0.2</v>
      </c>
      <c r="K947" s="1">
        <v>17000</v>
      </c>
      <c r="L947" s="2">
        <v>45304</v>
      </c>
    </row>
    <row r="948" spans="1:12" x14ac:dyDescent="0.35">
      <c r="A948" s="1" t="s">
        <v>1187</v>
      </c>
      <c r="B948" s="1" t="s">
        <v>241</v>
      </c>
      <c r="C948" s="1" t="s">
        <v>14</v>
      </c>
      <c r="D948" s="1" t="s">
        <v>15</v>
      </c>
      <c r="E948" s="1" t="s">
        <v>16</v>
      </c>
      <c r="F948" s="1" t="s">
        <v>17</v>
      </c>
      <c r="G948" s="1" t="s">
        <v>26</v>
      </c>
      <c r="H948" s="1">
        <v>14078</v>
      </c>
      <c r="I948" s="1" t="s">
        <v>19</v>
      </c>
      <c r="J948" s="1">
        <v>0.2</v>
      </c>
      <c r="K948" s="1">
        <v>14000</v>
      </c>
      <c r="L948" s="2">
        <v>45321</v>
      </c>
    </row>
    <row r="949" spans="1:12" x14ac:dyDescent="0.35">
      <c r="A949" s="1" t="s">
        <v>1188</v>
      </c>
      <c r="B949" s="1" t="s">
        <v>426</v>
      </c>
      <c r="C949" s="1" t="s">
        <v>44</v>
      </c>
      <c r="D949" s="1" t="s">
        <v>45</v>
      </c>
      <c r="E949" s="1" t="s">
        <v>46</v>
      </c>
      <c r="F949" s="1" t="s">
        <v>25</v>
      </c>
      <c r="G949" s="1" t="s">
        <v>18</v>
      </c>
      <c r="H949" s="1">
        <v>11461</v>
      </c>
      <c r="I949" s="1" t="s">
        <v>19</v>
      </c>
      <c r="J949" s="1">
        <v>0.2</v>
      </c>
      <c r="K949" s="1">
        <v>13000</v>
      </c>
      <c r="L949" s="2">
        <v>45335</v>
      </c>
    </row>
    <row r="950" spans="1:12" x14ac:dyDescent="0.35">
      <c r="A950" s="1" t="s">
        <v>1189</v>
      </c>
      <c r="B950" s="1" t="s">
        <v>1190</v>
      </c>
      <c r="C950" s="1" t="s">
        <v>61</v>
      </c>
      <c r="D950" s="1" t="s">
        <v>62</v>
      </c>
      <c r="E950" s="1" t="s">
        <v>32</v>
      </c>
      <c r="F950" s="1" t="s">
        <v>25</v>
      </c>
      <c r="G950" s="1" t="s">
        <v>26</v>
      </c>
      <c r="H950" s="1">
        <v>10779</v>
      </c>
      <c r="I950" s="1" t="s">
        <v>22</v>
      </c>
      <c r="J950" s="1">
        <v>0.1</v>
      </c>
      <c r="K950" s="1">
        <v>9000</v>
      </c>
      <c r="L950" s="2">
        <v>45295</v>
      </c>
    </row>
    <row r="951" spans="1:12" x14ac:dyDescent="0.35">
      <c r="A951" s="1" t="s">
        <v>1191</v>
      </c>
      <c r="B951" s="1" t="s">
        <v>317</v>
      </c>
      <c r="C951" s="1" t="s">
        <v>30</v>
      </c>
      <c r="D951" s="1" t="s">
        <v>31</v>
      </c>
      <c r="E951" s="1" t="s">
        <v>32</v>
      </c>
      <c r="F951" s="1" t="s">
        <v>17</v>
      </c>
      <c r="G951" s="1" t="s">
        <v>36</v>
      </c>
      <c r="H951" s="1">
        <v>16369</v>
      </c>
      <c r="I951" s="1" t="s">
        <v>27</v>
      </c>
      <c r="J951" s="1"/>
      <c r="K951" s="1">
        <v>17000</v>
      </c>
      <c r="L951" s="2">
        <v>45343</v>
      </c>
    </row>
    <row r="952" spans="1:12" x14ac:dyDescent="0.35">
      <c r="A952" s="1" t="s">
        <v>1192</v>
      </c>
      <c r="B952" s="1" t="s">
        <v>148</v>
      </c>
      <c r="C952" s="1" t="s">
        <v>61</v>
      </c>
      <c r="D952" s="1" t="s">
        <v>62</v>
      </c>
      <c r="E952" s="1" t="s">
        <v>32</v>
      </c>
      <c r="F952" s="1" t="s">
        <v>25</v>
      </c>
      <c r="G952" s="1" t="s">
        <v>26</v>
      </c>
      <c r="H952" s="1">
        <v>7214</v>
      </c>
      <c r="I952" s="1" t="s">
        <v>27</v>
      </c>
      <c r="J952" s="1"/>
      <c r="K952" s="1">
        <v>9000</v>
      </c>
      <c r="L952" s="2">
        <v>45303</v>
      </c>
    </row>
    <row r="953" spans="1:12" x14ac:dyDescent="0.35">
      <c r="A953" s="1" t="s">
        <v>1193</v>
      </c>
      <c r="B953" s="1" t="s">
        <v>135</v>
      </c>
      <c r="C953" s="1" t="s">
        <v>14</v>
      </c>
      <c r="D953" s="1" t="s">
        <v>15</v>
      </c>
      <c r="E953" s="1" t="s">
        <v>46</v>
      </c>
      <c r="F953" s="1" t="s">
        <v>39</v>
      </c>
      <c r="G953" s="1" t="s">
        <v>18</v>
      </c>
      <c r="H953" s="1">
        <v>12290</v>
      </c>
      <c r="I953" s="1" t="s">
        <v>19</v>
      </c>
      <c r="J953" s="1">
        <v>0.2</v>
      </c>
      <c r="K953" s="1">
        <v>14000</v>
      </c>
      <c r="L953" s="2">
        <v>45338</v>
      </c>
    </row>
    <row r="954" spans="1:12" x14ac:dyDescent="0.35">
      <c r="A954" s="1" t="s">
        <v>1194</v>
      </c>
      <c r="B954" s="1" t="s">
        <v>600</v>
      </c>
      <c r="C954" s="1" t="s">
        <v>30</v>
      </c>
      <c r="D954" s="1" t="s">
        <v>31</v>
      </c>
      <c r="E954" s="1" t="s">
        <v>46</v>
      </c>
      <c r="F954" s="1" t="s">
        <v>25</v>
      </c>
      <c r="G954" s="1" t="s">
        <v>26</v>
      </c>
      <c r="H954" s="1">
        <v>17772</v>
      </c>
      <c r="I954" s="1" t="s">
        <v>33</v>
      </c>
      <c r="J954" s="1">
        <v>0.3</v>
      </c>
      <c r="K954" s="1">
        <v>17000</v>
      </c>
      <c r="L954" s="2">
        <v>45306</v>
      </c>
    </row>
    <row r="955" spans="1:12" x14ac:dyDescent="0.35">
      <c r="A955" s="1" t="s">
        <v>1195</v>
      </c>
      <c r="B955" s="1" t="s">
        <v>652</v>
      </c>
      <c r="C955" s="1" t="s">
        <v>30</v>
      </c>
      <c r="D955" s="1" t="s">
        <v>31</v>
      </c>
      <c r="E955" s="1" t="s">
        <v>32</v>
      </c>
      <c r="F955" s="1" t="s">
        <v>25</v>
      </c>
      <c r="G955" s="1" t="s">
        <v>18</v>
      </c>
      <c r="H955" s="1">
        <v>18021</v>
      </c>
      <c r="I955" s="1"/>
      <c r="J955" s="1"/>
      <c r="K955" s="1">
        <v>17000</v>
      </c>
      <c r="L955" s="2">
        <v>45347</v>
      </c>
    </row>
    <row r="956" spans="1:12" x14ac:dyDescent="0.35">
      <c r="A956" s="1" t="s">
        <v>1196</v>
      </c>
      <c r="B956" s="1" t="s">
        <v>414</v>
      </c>
      <c r="C956" s="1" t="s">
        <v>44</v>
      </c>
      <c r="D956" s="1" t="s">
        <v>45</v>
      </c>
      <c r="E956" s="1" t="s">
        <v>32</v>
      </c>
      <c r="F956" s="1" t="s">
        <v>17</v>
      </c>
      <c r="G956" s="1" t="s">
        <v>26</v>
      </c>
      <c r="H956" s="1">
        <v>12984</v>
      </c>
      <c r="I956" s="1" t="s">
        <v>22</v>
      </c>
      <c r="J956" s="1">
        <v>0.1</v>
      </c>
      <c r="K956" s="1">
        <v>13000</v>
      </c>
      <c r="L956" s="2">
        <v>45348</v>
      </c>
    </row>
    <row r="957" spans="1:12" x14ac:dyDescent="0.35">
      <c r="A957" s="1" t="s">
        <v>1197</v>
      </c>
      <c r="B957" s="1" t="s">
        <v>186</v>
      </c>
      <c r="C957" s="1" t="s">
        <v>44</v>
      </c>
      <c r="D957" s="1" t="s">
        <v>45</v>
      </c>
      <c r="E957" s="1" t="s">
        <v>16</v>
      </c>
      <c r="F957" s="1" t="s">
        <v>17</v>
      </c>
      <c r="G957" s="1" t="s">
        <v>18</v>
      </c>
      <c r="H957" s="1">
        <v>12586</v>
      </c>
      <c r="I957" s="1" t="s">
        <v>33</v>
      </c>
      <c r="J957" s="1">
        <v>0.3</v>
      </c>
      <c r="K957" s="1">
        <v>13000</v>
      </c>
      <c r="L957" s="2">
        <v>45300</v>
      </c>
    </row>
    <row r="958" spans="1:12" x14ac:dyDescent="0.35">
      <c r="A958" s="1" t="s">
        <v>1198</v>
      </c>
      <c r="B958" s="1" t="s">
        <v>483</v>
      </c>
      <c r="C958" s="1" t="s">
        <v>44</v>
      </c>
      <c r="D958" s="1" t="s">
        <v>45</v>
      </c>
      <c r="E958" s="1" t="s">
        <v>16</v>
      </c>
      <c r="F958" s="1" t="s">
        <v>17</v>
      </c>
      <c r="G958" s="1" t="s">
        <v>36</v>
      </c>
      <c r="H958" s="1">
        <v>11828</v>
      </c>
      <c r="I958" s="1" t="s">
        <v>33</v>
      </c>
      <c r="J958" s="1">
        <v>0.3</v>
      </c>
      <c r="K958" s="1">
        <v>13000</v>
      </c>
      <c r="L958" s="2">
        <v>45300</v>
      </c>
    </row>
    <row r="959" spans="1:12" x14ac:dyDescent="0.35">
      <c r="A959" s="1" t="s">
        <v>1199</v>
      </c>
      <c r="B959" s="1" t="s">
        <v>190</v>
      </c>
      <c r="C959" s="1" t="s">
        <v>14</v>
      </c>
      <c r="D959" s="1" t="s">
        <v>15</v>
      </c>
      <c r="E959" s="1" t="s">
        <v>46</v>
      </c>
      <c r="F959" s="1" t="s">
        <v>25</v>
      </c>
      <c r="G959" s="1" t="s">
        <v>18</v>
      </c>
      <c r="H959" s="1">
        <v>15488</v>
      </c>
      <c r="I959" s="1"/>
      <c r="J959" s="1"/>
      <c r="K959" s="1">
        <v>14000</v>
      </c>
      <c r="L959" s="2">
        <v>45321</v>
      </c>
    </row>
    <row r="960" spans="1:12" x14ac:dyDescent="0.35">
      <c r="A960" s="1" t="s">
        <v>1200</v>
      </c>
      <c r="B960" s="1" t="s">
        <v>186</v>
      </c>
      <c r="C960" s="1" t="s">
        <v>30</v>
      </c>
      <c r="D960" s="1" t="s">
        <v>31</v>
      </c>
      <c r="E960" s="1" t="s">
        <v>32</v>
      </c>
      <c r="F960" s="1" t="s">
        <v>17</v>
      </c>
      <c r="G960" s="1" t="s">
        <v>26</v>
      </c>
      <c r="H960" s="1">
        <v>15642</v>
      </c>
      <c r="I960" s="1" t="s">
        <v>27</v>
      </c>
      <c r="J960" s="1"/>
      <c r="K960" s="1">
        <v>17000</v>
      </c>
      <c r="L960" s="2">
        <v>45349</v>
      </c>
    </row>
    <row r="961" spans="1:12" x14ac:dyDescent="0.35">
      <c r="A961" s="1" t="s">
        <v>1201</v>
      </c>
      <c r="B961" s="1" t="s">
        <v>720</v>
      </c>
      <c r="C961" s="1" t="s">
        <v>44</v>
      </c>
      <c r="D961" s="1" t="s">
        <v>45</v>
      </c>
      <c r="E961" s="1" t="s">
        <v>32</v>
      </c>
      <c r="F961" s="1" t="s">
        <v>17</v>
      </c>
      <c r="G961" s="1" t="s">
        <v>26</v>
      </c>
      <c r="H961" s="1">
        <v>13003</v>
      </c>
      <c r="I961" s="1" t="s">
        <v>19</v>
      </c>
      <c r="J961" s="1">
        <v>0.2</v>
      </c>
      <c r="K961" s="1">
        <v>13000</v>
      </c>
      <c r="L961" s="2">
        <v>45329</v>
      </c>
    </row>
    <row r="962" spans="1:12" x14ac:dyDescent="0.35">
      <c r="A962" s="1" t="s">
        <v>1202</v>
      </c>
      <c r="B962" s="1" t="s">
        <v>752</v>
      </c>
      <c r="C962" s="1" t="s">
        <v>61</v>
      </c>
      <c r="D962" s="1" t="s">
        <v>62</v>
      </c>
      <c r="E962" s="1" t="s">
        <v>46</v>
      </c>
      <c r="F962" s="1" t="s">
        <v>25</v>
      </c>
      <c r="G962" s="1" t="s">
        <v>26</v>
      </c>
      <c r="H962" s="1">
        <v>8753</v>
      </c>
      <c r="I962" s="1" t="s">
        <v>19</v>
      </c>
      <c r="J962" s="1">
        <v>0.2</v>
      </c>
      <c r="K962" s="1">
        <v>9000</v>
      </c>
      <c r="L962" s="2">
        <v>45307</v>
      </c>
    </row>
    <row r="963" spans="1:12" x14ac:dyDescent="0.35">
      <c r="A963" s="1" t="s">
        <v>1203</v>
      </c>
      <c r="B963" s="1" t="s">
        <v>666</v>
      </c>
      <c r="C963" s="1" t="s">
        <v>44</v>
      </c>
      <c r="D963" s="1" t="s">
        <v>45</v>
      </c>
      <c r="E963" s="1" t="s">
        <v>16</v>
      </c>
      <c r="F963" s="1" t="s">
        <v>25</v>
      </c>
      <c r="G963" s="1" t="s">
        <v>26</v>
      </c>
      <c r="H963" s="1">
        <v>14679</v>
      </c>
      <c r="I963" s="1" t="s">
        <v>22</v>
      </c>
      <c r="J963" s="1">
        <v>0.1</v>
      </c>
      <c r="K963" s="1">
        <v>13000</v>
      </c>
      <c r="L963" s="2">
        <v>45318</v>
      </c>
    </row>
    <row r="964" spans="1:12" x14ac:dyDescent="0.35">
      <c r="A964" s="1" t="s">
        <v>1204</v>
      </c>
      <c r="B964" s="1" t="s">
        <v>161</v>
      </c>
      <c r="C964" s="1" t="s">
        <v>61</v>
      </c>
      <c r="D964" s="1" t="s">
        <v>62</v>
      </c>
      <c r="E964" s="1" t="s">
        <v>16</v>
      </c>
      <c r="F964" s="1" t="s">
        <v>39</v>
      </c>
      <c r="G964" s="1" t="s">
        <v>18</v>
      </c>
      <c r="H964" s="1">
        <v>8743</v>
      </c>
      <c r="I964" s="1" t="s">
        <v>27</v>
      </c>
      <c r="J964" s="1"/>
      <c r="K964" s="1">
        <v>9000</v>
      </c>
      <c r="L964" s="2">
        <v>45317</v>
      </c>
    </row>
    <row r="965" spans="1:12" x14ac:dyDescent="0.35">
      <c r="A965" s="1" t="s">
        <v>1205</v>
      </c>
      <c r="B965" s="1" t="s">
        <v>157</v>
      </c>
      <c r="C965" s="1" t="s">
        <v>14</v>
      </c>
      <c r="D965" s="1" t="s">
        <v>15</v>
      </c>
      <c r="E965" s="1" t="s">
        <v>46</v>
      </c>
      <c r="F965" s="1" t="s">
        <v>17</v>
      </c>
      <c r="G965" s="1" t="s">
        <v>18</v>
      </c>
      <c r="H965" s="1">
        <v>12340</v>
      </c>
      <c r="I965" s="1" t="s">
        <v>27</v>
      </c>
      <c r="J965" s="1"/>
      <c r="K965" s="1">
        <v>14000</v>
      </c>
      <c r="L965" s="2">
        <v>45340</v>
      </c>
    </row>
    <row r="966" spans="1:12" x14ac:dyDescent="0.35">
      <c r="A966" s="1" t="s">
        <v>1206</v>
      </c>
      <c r="B966" s="1" t="s">
        <v>190</v>
      </c>
      <c r="C966" s="1" t="s">
        <v>61</v>
      </c>
      <c r="D966" s="1" t="s">
        <v>62</v>
      </c>
      <c r="E966" s="1" t="s">
        <v>32</v>
      </c>
      <c r="F966" s="1" t="s">
        <v>25</v>
      </c>
      <c r="G966" s="1" t="s">
        <v>36</v>
      </c>
      <c r="H966" s="1">
        <v>8211</v>
      </c>
      <c r="I966" s="1" t="s">
        <v>19</v>
      </c>
      <c r="J966" s="1">
        <v>0.2</v>
      </c>
      <c r="K966" s="1">
        <v>9000</v>
      </c>
      <c r="L966" s="2">
        <v>45333</v>
      </c>
    </row>
    <row r="967" spans="1:12" x14ac:dyDescent="0.35">
      <c r="A967" s="1" t="s">
        <v>1207</v>
      </c>
      <c r="B967" s="1" t="s">
        <v>43</v>
      </c>
      <c r="C967" s="1" t="s">
        <v>61</v>
      </c>
      <c r="D967" s="1" t="s">
        <v>62</v>
      </c>
      <c r="E967" s="1" t="s">
        <v>16</v>
      </c>
      <c r="F967" s="1" t="s">
        <v>17</v>
      </c>
      <c r="G967" s="1" t="s">
        <v>18</v>
      </c>
      <c r="H967" s="1">
        <v>9880</v>
      </c>
      <c r="I967" s="1"/>
      <c r="J967" s="1"/>
      <c r="K967" s="1">
        <v>9000</v>
      </c>
      <c r="L967" s="2">
        <v>45346</v>
      </c>
    </row>
    <row r="968" spans="1:12" x14ac:dyDescent="0.35">
      <c r="A968" s="1" t="s">
        <v>1208</v>
      </c>
      <c r="B968" s="1" t="s">
        <v>233</v>
      </c>
      <c r="C968" s="1" t="s">
        <v>14</v>
      </c>
      <c r="D968" s="1" t="s">
        <v>15</v>
      </c>
      <c r="E968" s="1" t="s">
        <v>46</v>
      </c>
      <c r="F968" s="1" t="s">
        <v>17</v>
      </c>
      <c r="G968" s="1" t="s">
        <v>18</v>
      </c>
      <c r="H968" s="1">
        <v>15580</v>
      </c>
      <c r="I968" s="1"/>
      <c r="J968" s="1"/>
      <c r="K968" s="1">
        <v>14000</v>
      </c>
      <c r="L968" s="2">
        <v>45303</v>
      </c>
    </row>
    <row r="969" spans="1:12" x14ac:dyDescent="0.35">
      <c r="A969" s="1" t="s">
        <v>1209</v>
      </c>
      <c r="B969" s="1" t="s">
        <v>140</v>
      </c>
      <c r="C969" s="1" t="s">
        <v>30</v>
      </c>
      <c r="D969" s="1" t="s">
        <v>31</v>
      </c>
      <c r="E969" s="1" t="s">
        <v>16</v>
      </c>
      <c r="F969" s="1" t="s">
        <v>17</v>
      </c>
      <c r="G969" s="1" t="s">
        <v>26</v>
      </c>
      <c r="H969" s="1">
        <v>17594</v>
      </c>
      <c r="I969" s="1" t="s">
        <v>22</v>
      </c>
      <c r="J969" s="1">
        <v>0.1</v>
      </c>
      <c r="K969" s="1">
        <v>17000</v>
      </c>
      <c r="L969" s="2">
        <v>45347</v>
      </c>
    </row>
    <row r="970" spans="1:12" x14ac:dyDescent="0.35">
      <c r="A970" s="1" t="s">
        <v>1210</v>
      </c>
      <c r="B970" s="1" t="s">
        <v>13</v>
      </c>
      <c r="C970" s="1" t="s">
        <v>61</v>
      </c>
      <c r="D970" s="1" t="s">
        <v>62</v>
      </c>
      <c r="E970" s="1" t="s">
        <v>16</v>
      </c>
      <c r="F970" s="1" t="s">
        <v>17</v>
      </c>
      <c r="G970" s="1" t="s">
        <v>26</v>
      </c>
      <c r="H970" s="1">
        <v>7133</v>
      </c>
      <c r="I970" s="1" t="s">
        <v>33</v>
      </c>
      <c r="J970" s="1">
        <v>0.3</v>
      </c>
      <c r="K970" s="1">
        <v>9000</v>
      </c>
      <c r="L970" s="2">
        <v>45319</v>
      </c>
    </row>
    <row r="971" spans="1:12" x14ac:dyDescent="0.35">
      <c r="A971" s="1" t="s">
        <v>1211</v>
      </c>
      <c r="B971" s="1" t="s">
        <v>1073</v>
      </c>
      <c r="C971" s="1" t="s">
        <v>44</v>
      </c>
      <c r="D971" s="1" t="s">
        <v>45</v>
      </c>
      <c r="E971" s="1" t="s">
        <v>16</v>
      </c>
      <c r="F971" s="1" t="s">
        <v>25</v>
      </c>
      <c r="G971" s="1" t="s">
        <v>26</v>
      </c>
      <c r="H971" s="1">
        <v>14607</v>
      </c>
      <c r="I971" s="1" t="s">
        <v>33</v>
      </c>
      <c r="J971" s="1">
        <v>0.3</v>
      </c>
      <c r="K971" s="1">
        <v>13000</v>
      </c>
      <c r="L971" s="2">
        <v>45339</v>
      </c>
    </row>
    <row r="972" spans="1:12" x14ac:dyDescent="0.35">
      <c r="A972" s="1" t="s">
        <v>1212</v>
      </c>
      <c r="B972" s="1" t="s">
        <v>987</v>
      </c>
      <c r="C972" s="1" t="s">
        <v>30</v>
      </c>
      <c r="D972" s="1" t="s">
        <v>31</v>
      </c>
      <c r="E972" s="1" t="s">
        <v>32</v>
      </c>
      <c r="F972" s="1" t="s">
        <v>25</v>
      </c>
      <c r="G972" s="1" t="s">
        <v>36</v>
      </c>
      <c r="H972" s="1">
        <v>16497</v>
      </c>
      <c r="I972" s="1"/>
      <c r="J972" s="1"/>
      <c r="K972" s="1">
        <v>17000</v>
      </c>
      <c r="L972" s="2">
        <v>45331</v>
      </c>
    </row>
    <row r="973" spans="1:12" x14ac:dyDescent="0.35">
      <c r="A973" s="1" t="s">
        <v>1213</v>
      </c>
      <c r="B973" s="1" t="s">
        <v>125</v>
      </c>
      <c r="C973" s="1" t="s">
        <v>30</v>
      </c>
      <c r="D973" s="1" t="s">
        <v>31</v>
      </c>
      <c r="E973" s="1" t="s">
        <v>32</v>
      </c>
      <c r="F973" s="1" t="s">
        <v>39</v>
      </c>
      <c r="G973" s="1" t="s">
        <v>26</v>
      </c>
      <c r="H973" s="1">
        <v>17887</v>
      </c>
      <c r="I973" s="1" t="s">
        <v>22</v>
      </c>
      <c r="J973" s="1">
        <v>0.1</v>
      </c>
      <c r="K973" s="1">
        <v>17000</v>
      </c>
      <c r="L973" s="2">
        <v>45327</v>
      </c>
    </row>
    <row r="974" spans="1:12" x14ac:dyDescent="0.35">
      <c r="A974" s="1" t="s">
        <v>1214</v>
      </c>
      <c r="B974" s="1" t="s">
        <v>276</v>
      </c>
      <c r="C974" s="1" t="s">
        <v>44</v>
      </c>
      <c r="D974" s="1" t="s">
        <v>45</v>
      </c>
      <c r="E974" s="1" t="s">
        <v>32</v>
      </c>
      <c r="F974" s="1" t="s">
        <v>17</v>
      </c>
      <c r="G974" s="1" t="s">
        <v>18</v>
      </c>
      <c r="H974" s="1">
        <v>13210</v>
      </c>
      <c r="I974" s="1" t="s">
        <v>22</v>
      </c>
      <c r="J974" s="1">
        <v>0.1</v>
      </c>
      <c r="K974" s="1">
        <v>13000</v>
      </c>
      <c r="L974" s="2">
        <v>45333</v>
      </c>
    </row>
    <row r="975" spans="1:12" x14ac:dyDescent="0.35">
      <c r="A975" s="1" t="s">
        <v>1215</v>
      </c>
      <c r="B975" s="1" t="s">
        <v>483</v>
      </c>
      <c r="C975" s="1" t="s">
        <v>44</v>
      </c>
      <c r="D975" s="1" t="s">
        <v>45</v>
      </c>
      <c r="E975" s="1" t="s">
        <v>16</v>
      </c>
      <c r="F975" s="1" t="s">
        <v>25</v>
      </c>
      <c r="G975" s="1" t="s">
        <v>36</v>
      </c>
      <c r="H975" s="1">
        <v>12444</v>
      </c>
      <c r="I975" s="1" t="s">
        <v>33</v>
      </c>
      <c r="J975" s="1">
        <v>0.3</v>
      </c>
      <c r="K975" s="1">
        <v>13000</v>
      </c>
      <c r="L975" s="2">
        <v>45324</v>
      </c>
    </row>
    <row r="976" spans="1:12" x14ac:dyDescent="0.35">
      <c r="A976" s="1" t="s">
        <v>1216</v>
      </c>
      <c r="B976" s="1" t="s">
        <v>90</v>
      </c>
      <c r="C976" s="1" t="s">
        <v>30</v>
      </c>
      <c r="D976" s="1" t="s">
        <v>31</v>
      </c>
      <c r="E976" s="1" t="s">
        <v>32</v>
      </c>
      <c r="F976" s="1" t="s">
        <v>25</v>
      </c>
      <c r="G976" s="1" t="s">
        <v>36</v>
      </c>
      <c r="H976" s="1">
        <v>16414</v>
      </c>
      <c r="I976" s="1"/>
      <c r="J976" s="1"/>
      <c r="K976" s="1">
        <v>17000</v>
      </c>
      <c r="L976" s="2">
        <v>45323</v>
      </c>
    </row>
    <row r="977" spans="1:12" x14ac:dyDescent="0.35">
      <c r="A977" s="1" t="s">
        <v>1217</v>
      </c>
      <c r="B977" s="1" t="s">
        <v>168</v>
      </c>
      <c r="C977" s="1" t="s">
        <v>14</v>
      </c>
      <c r="D977" s="1" t="s">
        <v>15</v>
      </c>
      <c r="E977" s="1" t="s">
        <v>46</v>
      </c>
      <c r="F977" s="1" t="s">
        <v>39</v>
      </c>
      <c r="G977" s="1" t="s">
        <v>26</v>
      </c>
      <c r="H977" s="1">
        <v>14778</v>
      </c>
      <c r="I977" s="1" t="s">
        <v>27</v>
      </c>
      <c r="J977" s="1"/>
      <c r="K977" s="1">
        <v>14000</v>
      </c>
      <c r="L977" s="2">
        <v>45349</v>
      </c>
    </row>
    <row r="978" spans="1:12" x14ac:dyDescent="0.35">
      <c r="A978" s="1" t="s">
        <v>1218</v>
      </c>
      <c r="B978" s="1" t="s">
        <v>48</v>
      </c>
      <c r="C978" s="1" t="s">
        <v>30</v>
      </c>
      <c r="D978" s="1" t="s">
        <v>31</v>
      </c>
      <c r="E978" s="1" t="s">
        <v>16</v>
      </c>
      <c r="F978" s="1" t="s">
        <v>39</v>
      </c>
      <c r="G978" s="1" t="s">
        <v>18</v>
      </c>
      <c r="H978" s="1">
        <v>15771</v>
      </c>
      <c r="I978" s="1"/>
      <c r="J978" s="1"/>
      <c r="K978" s="1">
        <v>17000</v>
      </c>
      <c r="L978" s="2">
        <v>45297</v>
      </c>
    </row>
    <row r="979" spans="1:12" x14ac:dyDescent="0.35">
      <c r="A979" s="1" t="s">
        <v>1219</v>
      </c>
      <c r="B979" s="1" t="s">
        <v>66</v>
      </c>
      <c r="C979" s="1" t="s">
        <v>44</v>
      </c>
      <c r="D979" s="1" t="s">
        <v>45</v>
      </c>
      <c r="E979" s="1" t="s">
        <v>46</v>
      </c>
      <c r="F979" s="1" t="s">
        <v>25</v>
      </c>
      <c r="G979" s="1" t="s">
        <v>18</v>
      </c>
      <c r="H979" s="1">
        <v>11674</v>
      </c>
      <c r="I979" s="1" t="s">
        <v>33</v>
      </c>
      <c r="J979" s="1">
        <v>0.3</v>
      </c>
      <c r="K979" s="1">
        <v>13000</v>
      </c>
      <c r="L979" s="2">
        <v>45299</v>
      </c>
    </row>
    <row r="980" spans="1:12" x14ac:dyDescent="0.35">
      <c r="A980" s="1" t="s">
        <v>1220</v>
      </c>
      <c r="B980" s="1" t="s">
        <v>153</v>
      </c>
      <c r="C980" s="1" t="s">
        <v>61</v>
      </c>
      <c r="D980" s="1" t="s">
        <v>62</v>
      </c>
      <c r="E980" s="1" t="s">
        <v>32</v>
      </c>
      <c r="F980" s="1" t="s">
        <v>25</v>
      </c>
      <c r="G980" s="1" t="s">
        <v>26</v>
      </c>
      <c r="H980" s="1">
        <v>10899</v>
      </c>
      <c r="I980" s="1" t="s">
        <v>22</v>
      </c>
      <c r="J980" s="1">
        <v>0.1</v>
      </c>
      <c r="K980" s="1">
        <v>9000</v>
      </c>
      <c r="L980" s="2">
        <v>45310</v>
      </c>
    </row>
    <row r="981" spans="1:12" x14ac:dyDescent="0.35">
      <c r="A981" s="1" t="s">
        <v>1221</v>
      </c>
      <c r="B981" s="1" t="s">
        <v>274</v>
      </c>
      <c r="C981" s="1" t="s">
        <v>44</v>
      </c>
      <c r="D981" s="1" t="s">
        <v>45</v>
      </c>
      <c r="E981" s="1" t="s">
        <v>46</v>
      </c>
      <c r="F981" s="1" t="s">
        <v>17</v>
      </c>
      <c r="G981" s="1" t="s">
        <v>36</v>
      </c>
      <c r="H981" s="1">
        <v>12818</v>
      </c>
      <c r="I981" s="1" t="s">
        <v>22</v>
      </c>
      <c r="J981" s="1">
        <v>0.1</v>
      </c>
      <c r="K981" s="1">
        <v>13000</v>
      </c>
      <c r="L981" s="2">
        <v>45310</v>
      </c>
    </row>
    <row r="982" spans="1:12" x14ac:dyDescent="0.35">
      <c r="A982" s="1" t="s">
        <v>1222</v>
      </c>
      <c r="B982" s="1" t="s">
        <v>229</v>
      </c>
      <c r="C982" s="1" t="s">
        <v>14</v>
      </c>
      <c r="D982" s="1" t="s">
        <v>15</v>
      </c>
      <c r="E982" s="1" t="s">
        <v>32</v>
      </c>
      <c r="F982" s="1" t="s">
        <v>39</v>
      </c>
      <c r="G982" s="1" t="s">
        <v>26</v>
      </c>
      <c r="H982" s="1">
        <v>13375</v>
      </c>
      <c r="I982" s="1"/>
      <c r="J982" s="1"/>
      <c r="K982" s="1">
        <v>14000</v>
      </c>
      <c r="L982" s="2">
        <v>45329</v>
      </c>
    </row>
    <row r="983" spans="1:12" x14ac:dyDescent="0.35">
      <c r="A983" s="1" t="s">
        <v>1223</v>
      </c>
      <c r="B983" s="1" t="s">
        <v>150</v>
      </c>
      <c r="C983" s="1" t="s">
        <v>30</v>
      </c>
      <c r="D983" s="1" t="s">
        <v>31</v>
      </c>
      <c r="E983" s="1" t="s">
        <v>46</v>
      </c>
      <c r="F983" s="1" t="s">
        <v>39</v>
      </c>
      <c r="G983" s="1" t="s">
        <v>26</v>
      </c>
      <c r="H983" s="1">
        <v>17854</v>
      </c>
      <c r="I983" s="1" t="s">
        <v>27</v>
      </c>
      <c r="J983" s="1"/>
      <c r="K983" s="1">
        <v>17000</v>
      </c>
      <c r="L983" s="2">
        <v>45345</v>
      </c>
    </row>
    <row r="984" spans="1:12" x14ac:dyDescent="0.35">
      <c r="A984" s="1" t="s">
        <v>1224</v>
      </c>
      <c r="B984" s="1" t="s">
        <v>544</v>
      </c>
      <c r="C984" s="1" t="s">
        <v>61</v>
      </c>
      <c r="D984" s="1" t="s">
        <v>62</v>
      </c>
      <c r="E984" s="1" t="s">
        <v>46</v>
      </c>
      <c r="F984" s="1" t="s">
        <v>39</v>
      </c>
      <c r="G984" s="1" t="s">
        <v>18</v>
      </c>
      <c r="H984" s="1">
        <v>10679</v>
      </c>
      <c r="I984" s="1" t="s">
        <v>33</v>
      </c>
      <c r="J984" s="1">
        <v>0.3</v>
      </c>
      <c r="K984" s="1">
        <v>9000</v>
      </c>
      <c r="L984" s="2">
        <v>45302</v>
      </c>
    </row>
    <row r="985" spans="1:12" x14ac:dyDescent="0.35">
      <c r="A985" s="1" t="s">
        <v>1225</v>
      </c>
      <c r="B985" s="1" t="s">
        <v>1073</v>
      </c>
      <c r="C985" s="1" t="s">
        <v>44</v>
      </c>
      <c r="D985" s="1" t="s">
        <v>45</v>
      </c>
      <c r="E985" s="1" t="s">
        <v>46</v>
      </c>
      <c r="F985" s="1" t="s">
        <v>17</v>
      </c>
      <c r="G985" s="1" t="s">
        <v>36</v>
      </c>
      <c r="H985" s="1">
        <v>14152</v>
      </c>
      <c r="I985" s="1" t="s">
        <v>22</v>
      </c>
      <c r="J985" s="1">
        <v>0.1</v>
      </c>
      <c r="K985" s="1">
        <v>13000</v>
      </c>
      <c r="L985" s="2">
        <v>45301</v>
      </c>
    </row>
    <row r="986" spans="1:12" x14ac:dyDescent="0.35">
      <c r="A986" s="1" t="s">
        <v>1226</v>
      </c>
      <c r="B986" s="1" t="s">
        <v>1105</v>
      </c>
      <c r="C986" s="1" t="s">
        <v>61</v>
      </c>
      <c r="D986" s="1" t="s">
        <v>62</v>
      </c>
      <c r="E986" s="1" t="s">
        <v>32</v>
      </c>
      <c r="F986" s="1" t="s">
        <v>39</v>
      </c>
      <c r="G986" s="1" t="s">
        <v>18</v>
      </c>
      <c r="H986" s="1">
        <v>9915</v>
      </c>
      <c r="I986" s="1" t="s">
        <v>27</v>
      </c>
      <c r="J986" s="1"/>
      <c r="K986" s="1">
        <v>9000</v>
      </c>
      <c r="L986" s="2">
        <v>45310</v>
      </c>
    </row>
    <row r="987" spans="1:12" x14ac:dyDescent="0.35">
      <c r="A987" s="1" t="s">
        <v>1227</v>
      </c>
      <c r="B987" s="1" t="s">
        <v>175</v>
      </c>
      <c r="C987" s="1" t="s">
        <v>44</v>
      </c>
      <c r="D987" s="1" t="s">
        <v>45</v>
      </c>
      <c r="E987" s="1" t="s">
        <v>32</v>
      </c>
      <c r="F987" s="1" t="s">
        <v>25</v>
      </c>
      <c r="G987" s="1" t="s">
        <v>18</v>
      </c>
      <c r="H987" s="1">
        <v>11168</v>
      </c>
      <c r="I987" s="1" t="s">
        <v>33</v>
      </c>
      <c r="J987" s="1">
        <v>0.3</v>
      </c>
      <c r="K987" s="1">
        <v>13000</v>
      </c>
      <c r="L987" s="2">
        <v>45328</v>
      </c>
    </row>
    <row r="988" spans="1:12" x14ac:dyDescent="0.35">
      <c r="A988" s="1" t="s">
        <v>1228</v>
      </c>
      <c r="B988" s="1" t="s">
        <v>429</v>
      </c>
      <c r="C988" s="1" t="s">
        <v>30</v>
      </c>
      <c r="D988" s="1" t="s">
        <v>31</v>
      </c>
      <c r="E988" s="1" t="s">
        <v>46</v>
      </c>
      <c r="F988" s="1" t="s">
        <v>25</v>
      </c>
      <c r="G988" s="1" t="s">
        <v>18</v>
      </c>
      <c r="H988" s="1">
        <v>17303</v>
      </c>
      <c r="I988" s="1" t="s">
        <v>22</v>
      </c>
      <c r="J988" s="1">
        <v>0.1</v>
      </c>
      <c r="K988" s="1">
        <v>17000</v>
      </c>
      <c r="L988" s="2">
        <v>45334</v>
      </c>
    </row>
    <row r="989" spans="1:12" x14ac:dyDescent="0.35">
      <c r="A989" s="1" t="s">
        <v>1229</v>
      </c>
      <c r="B989" s="1" t="s">
        <v>282</v>
      </c>
      <c r="C989" s="1" t="s">
        <v>44</v>
      </c>
      <c r="D989" s="1" t="s">
        <v>45</v>
      </c>
      <c r="E989" s="1" t="s">
        <v>46</v>
      </c>
      <c r="F989" s="1" t="s">
        <v>17</v>
      </c>
      <c r="G989" s="1" t="s">
        <v>26</v>
      </c>
      <c r="H989" s="1">
        <v>14995</v>
      </c>
      <c r="I989" s="1" t="s">
        <v>19</v>
      </c>
      <c r="J989" s="1">
        <v>0.2</v>
      </c>
      <c r="K989" s="1">
        <v>13000</v>
      </c>
      <c r="L989" s="2">
        <v>45326</v>
      </c>
    </row>
    <row r="990" spans="1:12" x14ac:dyDescent="0.35">
      <c r="A990" s="1" t="s">
        <v>1230</v>
      </c>
      <c r="B990" s="1" t="s">
        <v>222</v>
      </c>
      <c r="C990" s="1" t="s">
        <v>14</v>
      </c>
      <c r="D990" s="1" t="s">
        <v>15</v>
      </c>
      <c r="E990" s="1" t="s">
        <v>46</v>
      </c>
      <c r="F990" s="1" t="s">
        <v>17</v>
      </c>
      <c r="G990" s="1" t="s">
        <v>18</v>
      </c>
      <c r="H990" s="1">
        <v>15882</v>
      </c>
      <c r="I990" s="1"/>
      <c r="J990" s="1"/>
      <c r="K990" s="1">
        <v>14000</v>
      </c>
      <c r="L990" s="2">
        <v>45351</v>
      </c>
    </row>
    <row r="991" spans="1:12" x14ac:dyDescent="0.35">
      <c r="A991" s="1" t="s">
        <v>1231</v>
      </c>
      <c r="B991" s="1" t="s">
        <v>728</v>
      </c>
      <c r="C991" s="1" t="s">
        <v>14</v>
      </c>
      <c r="D991" s="1" t="s">
        <v>15</v>
      </c>
      <c r="E991" s="1" t="s">
        <v>16</v>
      </c>
      <c r="F991" s="1" t="s">
        <v>39</v>
      </c>
      <c r="G991" s="1" t="s">
        <v>26</v>
      </c>
      <c r="H991" s="1">
        <v>13356</v>
      </c>
      <c r="I991" s="1" t="s">
        <v>33</v>
      </c>
      <c r="J991" s="1">
        <v>0.3</v>
      </c>
      <c r="K991" s="1">
        <v>14000</v>
      </c>
      <c r="L991" s="2">
        <v>45322</v>
      </c>
    </row>
    <row r="992" spans="1:12" x14ac:dyDescent="0.35">
      <c r="A992" s="1" t="s">
        <v>1232</v>
      </c>
      <c r="B992" s="1" t="s">
        <v>111</v>
      </c>
      <c r="C992" s="1" t="s">
        <v>44</v>
      </c>
      <c r="D992" s="1" t="s">
        <v>45</v>
      </c>
      <c r="E992" s="1" t="s">
        <v>16</v>
      </c>
      <c r="F992" s="1" t="s">
        <v>39</v>
      </c>
      <c r="G992" s="1" t="s">
        <v>36</v>
      </c>
      <c r="H992" s="1">
        <v>12387</v>
      </c>
      <c r="I992" s="1" t="s">
        <v>22</v>
      </c>
      <c r="J992" s="1">
        <v>0.1</v>
      </c>
      <c r="K992" s="1">
        <v>13000</v>
      </c>
      <c r="L992" s="2">
        <v>45338</v>
      </c>
    </row>
    <row r="993" spans="1:12" x14ac:dyDescent="0.35">
      <c r="A993" s="1" t="s">
        <v>1233</v>
      </c>
      <c r="B993" s="1" t="s">
        <v>711</v>
      </c>
      <c r="C993" s="1" t="s">
        <v>44</v>
      </c>
      <c r="D993" s="1" t="s">
        <v>45</v>
      </c>
      <c r="E993" s="1" t="s">
        <v>16</v>
      </c>
      <c r="F993" s="1" t="s">
        <v>39</v>
      </c>
      <c r="G993" s="1" t="s">
        <v>18</v>
      </c>
      <c r="H993" s="1">
        <v>12261</v>
      </c>
      <c r="I993" s="1" t="s">
        <v>22</v>
      </c>
      <c r="J993" s="1">
        <v>0.1</v>
      </c>
      <c r="K993" s="1">
        <v>13000</v>
      </c>
      <c r="L993" s="2">
        <v>45317</v>
      </c>
    </row>
    <row r="994" spans="1:12" x14ac:dyDescent="0.35">
      <c r="A994" s="1" t="s">
        <v>1234</v>
      </c>
      <c r="B994" s="1" t="s">
        <v>837</v>
      </c>
      <c r="C994" s="1" t="s">
        <v>44</v>
      </c>
      <c r="D994" s="1" t="s">
        <v>45</v>
      </c>
      <c r="E994" s="1" t="s">
        <v>46</v>
      </c>
      <c r="F994" s="1" t="s">
        <v>17</v>
      </c>
      <c r="G994" s="1" t="s">
        <v>18</v>
      </c>
      <c r="H994" s="1">
        <v>12336</v>
      </c>
      <c r="I994" s="1" t="s">
        <v>22</v>
      </c>
      <c r="J994" s="1">
        <v>0.1</v>
      </c>
      <c r="K994" s="1">
        <v>13000</v>
      </c>
      <c r="L994" s="2">
        <v>45330</v>
      </c>
    </row>
    <row r="995" spans="1:12" x14ac:dyDescent="0.35">
      <c r="A995" s="1" t="s">
        <v>1235</v>
      </c>
      <c r="B995" s="1" t="s">
        <v>239</v>
      </c>
      <c r="C995" s="1" t="s">
        <v>44</v>
      </c>
      <c r="D995" s="1" t="s">
        <v>45</v>
      </c>
      <c r="E995" s="1" t="s">
        <v>46</v>
      </c>
      <c r="F995" s="1" t="s">
        <v>25</v>
      </c>
      <c r="G995" s="1" t="s">
        <v>18</v>
      </c>
      <c r="H995" s="1">
        <v>11342</v>
      </c>
      <c r="I995" s="1" t="s">
        <v>27</v>
      </c>
      <c r="J995" s="1"/>
      <c r="K995" s="1">
        <v>13000</v>
      </c>
      <c r="L995" s="2">
        <v>45346</v>
      </c>
    </row>
    <row r="996" spans="1:12" x14ac:dyDescent="0.35">
      <c r="A996" s="1" t="s">
        <v>1236</v>
      </c>
      <c r="B996" s="1" t="s">
        <v>332</v>
      </c>
      <c r="C996" s="1" t="s">
        <v>14</v>
      </c>
      <c r="D996" s="1" t="s">
        <v>15</v>
      </c>
      <c r="E996" s="1" t="s">
        <v>16</v>
      </c>
      <c r="F996" s="1" t="s">
        <v>17</v>
      </c>
      <c r="G996" s="1" t="s">
        <v>18</v>
      </c>
      <c r="H996" s="1">
        <v>14008</v>
      </c>
      <c r="I996" s="1" t="s">
        <v>33</v>
      </c>
      <c r="J996" s="1">
        <v>0.3</v>
      </c>
      <c r="K996" s="1">
        <v>14000</v>
      </c>
      <c r="L996" s="2">
        <v>45330</v>
      </c>
    </row>
    <row r="997" spans="1:12" x14ac:dyDescent="0.35">
      <c r="A997" s="1" t="s">
        <v>1237</v>
      </c>
      <c r="B997" s="1" t="s">
        <v>86</v>
      </c>
      <c r="C997" s="1" t="s">
        <v>14</v>
      </c>
      <c r="D997" s="1" t="s">
        <v>15</v>
      </c>
      <c r="E997" s="1" t="s">
        <v>16</v>
      </c>
      <c r="F997" s="1" t="s">
        <v>17</v>
      </c>
      <c r="G997" s="1" t="s">
        <v>36</v>
      </c>
      <c r="H997" s="1">
        <v>12605</v>
      </c>
      <c r="I997" s="1"/>
      <c r="J997" s="1"/>
      <c r="K997" s="1">
        <v>14000</v>
      </c>
      <c r="L997" s="2">
        <v>45315</v>
      </c>
    </row>
    <row r="998" spans="1:12" x14ac:dyDescent="0.35">
      <c r="A998" s="1" t="s">
        <v>1238</v>
      </c>
      <c r="B998" s="1" t="s">
        <v>474</v>
      </c>
      <c r="C998" s="1" t="s">
        <v>14</v>
      </c>
      <c r="D998" s="1" t="s">
        <v>15</v>
      </c>
      <c r="E998" s="1" t="s">
        <v>46</v>
      </c>
      <c r="F998" s="1" t="s">
        <v>17</v>
      </c>
      <c r="G998" s="1" t="s">
        <v>36</v>
      </c>
      <c r="H998" s="1">
        <v>13261</v>
      </c>
      <c r="I998" s="1"/>
      <c r="J998" s="1"/>
      <c r="K998" s="1">
        <v>14000</v>
      </c>
      <c r="L998" s="2">
        <v>45347</v>
      </c>
    </row>
    <row r="999" spans="1:12" x14ac:dyDescent="0.35">
      <c r="A999" s="1" t="s">
        <v>1239</v>
      </c>
      <c r="B999" s="1" t="s">
        <v>905</v>
      </c>
      <c r="C999" s="1" t="s">
        <v>44</v>
      </c>
      <c r="D999" s="1" t="s">
        <v>45</v>
      </c>
      <c r="E999" s="1" t="s">
        <v>16</v>
      </c>
      <c r="F999" s="1" t="s">
        <v>17</v>
      </c>
      <c r="G999" s="1" t="s">
        <v>26</v>
      </c>
      <c r="H999" s="1">
        <v>12702</v>
      </c>
      <c r="I999" s="1"/>
      <c r="J999" s="1"/>
      <c r="K999" s="1">
        <v>13000</v>
      </c>
      <c r="L999" s="2">
        <v>45310</v>
      </c>
    </row>
    <row r="1000" spans="1:12" x14ac:dyDescent="0.35">
      <c r="A1000" s="1" t="s">
        <v>1240</v>
      </c>
      <c r="B1000" s="1" t="s">
        <v>135</v>
      </c>
      <c r="C1000" s="1" t="s">
        <v>61</v>
      </c>
      <c r="D1000" s="1" t="s">
        <v>62</v>
      </c>
      <c r="E1000" s="1" t="s">
        <v>16</v>
      </c>
      <c r="F1000" s="1" t="s">
        <v>17</v>
      </c>
      <c r="G1000" s="1" t="s">
        <v>18</v>
      </c>
      <c r="H1000" s="1">
        <v>10422</v>
      </c>
      <c r="I1000" s="1" t="s">
        <v>27</v>
      </c>
      <c r="J1000" s="1"/>
      <c r="K1000" s="1">
        <v>9000</v>
      </c>
      <c r="L1000" s="2">
        <v>45330</v>
      </c>
    </row>
    <row r="1001" spans="1:12"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CD85A-D799-4E21-866B-5B87F81DF10A}">
  <dimension ref="A1:B5"/>
  <sheetViews>
    <sheetView workbookViewId="0">
      <selection activeCell="E3" sqref="E3"/>
    </sheetView>
  </sheetViews>
  <sheetFormatPr defaultRowHeight="14.5" x14ac:dyDescent="0.35"/>
  <cols>
    <col min="2" max="2" width="12.26953125" customWidth="1"/>
  </cols>
  <sheetData>
    <row r="1" spans="1:2" x14ac:dyDescent="0.35">
      <c r="A1" s="4" t="s">
        <v>2</v>
      </c>
      <c r="B1" s="4" t="s">
        <v>3</v>
      </c>
    </row>
    <row r="2" spans="1:2" x14ac:dyDescent="0.35">
      <c r="A2" s="3" t="s">
        <v>14</v>
      </c>
      <c r="B2" s="3" t="s">
        <v>15</v>
      </c>
    </row>
    <row r="3" spans="1:2" x14ac:dyDescent="0.35">
      <c r="A3" s="3" t="s">
        <v>30</v>
      </c>
      <c r="B3" s="3" t="s">
        <v>31</v>
      </c>
    </row>
    <row r="4" spans="1:2" x14ac:dyDescent="0.35">
      <c r="A4" s="3" t="s">
        <v>44</v>
      </c>
      <c r="B4" s="3" t="s">
        <v>45</v>
      </c>
    </row>
    <row r="5" spans="1:2" x14ac:dyDescent="0.35">
      <c r="A5" s="3" t="s">
        <v>61</v>
      </c>
      <c r="B5" s="3"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84A6-AABE-427F-A961-675BA29347F0}">
  <dimension ref="A1:B2"/>
  <sheetViews>
    <sheetView workbookViewId="0">
      <selection activeCell="B2" sqref="B2"/>
    </sheetView>
  </sheetViews>
  <sheetFormatPr defaultRowHeight="14.5" x14ac:dyDescent="0.35"/>
  <cols>
    <col min="1" max="1" width="8.36328125" customWidth="1"/>
    <col min="2" max="2" width="18.81640625" customWidth="1"/>
  </cols>
  <sheetData>
    <row r="1" spans="1:2" x14ac:dyDescent="0.35">
      <c r="A1" s="7" t="s">
        <v>6</v>
      </c>
      <c r="B1" s="7" t="s">
        <v>1242</v>
      </c>
    </row>
    <row r="2" spans="1:2" x14ac:dyDescent="0.35">
      <c r="A2" s="5" t="s">
        <v>36</v>
      </c>
      <c r="B2" s="5">
        <f>COUNTIF(Dataset!$A$1:$L$1001,'Q2'!A2)</f>
        <v>321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21B6-CED1-41C4-A823-D6A60B2A87CB}">
  <dimension ref="A1:B2"/>
  <sheetViews>
    <sheetView workbookViewId="0">
      <selection activeCell="B9" sqref="B9"/>
    </sheetView>
  </sheetViews>
  <sheetFormatPr defaultRowHeight="14.5" x14ac:dyDescent="0.35"/>
  <cols>
    <col min="1" max="1" width="12.36328125" customWidth="1"/>
    <col min="2" max="2" width="19.36328125" customWidth="1"/>
  </cols>
  <sheetData>
    <row r="1" spans="1:2" x14ac:dyDescent="0.35">
      <c r="A1" s="8" t="s">
        <v>1243</v>
      </c>
      <c r="B1" s="8" t="s">
        <v>1244</v>
      </c>
    </row>
    <row r="2" spans="1:2" x14ac:dyDescent="0.35">
      <c r="A2" s="3" t="s">
        <v>15</v>
      </c>
      <c r="B2" s="5">
        <f>SUMIF(Dataset!$D$1:$D$1001,'Q3'!A2,Dataset!$H$1:$H$1001)</f>
        <v>3507731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7EF85-C7F8-4EE3-9056-D6DDB14250C7}">
  <dimension ref="A1:B3"/>
  <sheetViews>
    <sheetView workbookViewId="0">
      <selection activeCell="A13" sqref="A13"/>
    </sheetView>
  </sheetViews>
  <sheetFormatPr defaultRowHeight="14.5" x14ac:dyDescent="0.35"/>
  <cols>
    <col min="2" max="2" width="13.08984375" customWidth="1"/>
  </cols>
  <sheetData>
    <row r="1" spans="1:2" x14ac:dyDescent="0.35">
      <c r="A1" s="9" t="s">
        <v>1245</v>
      </c>
      <c r="B1" s="9" t="s">
        <v>1246</v>
      </c>
    </row>
    <row r="2" spans="1:2" x14ac:dyDescent="0.35">
      <c r="A2" s="5" t="s">
        <v>12</v>
      </c>
      <c r="B2" s="5" t="str">
        <f>VLOOKUP(A2,Dataset!$A$1:$L$1001,6,0)</f>
        <v>Priya</v>
      </c>
    </row>
    <row r="3" spans="1:2" x14ac:dyDescent="0.35">
      <c r="A3" s="5" t="s">
        <v>1247</v>
      </c>
      <c r="B3" s="5" t="str">
        <f>VLOOKUP(A3,Dataset!$A$1:$L$1001,6,0)</f>
        <v>Saurabh</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92DB-6F1C-4B7F-9E49-C513E93A80AD}">
  <dimension ref="A1:N1001"/>
  <sheetViews>
    <sheetView topLeftCell="B1" workbookViewId="0">
      <selection activeCell="M2" sqref="M2"/>
    </sheetView>
  </sheetViews>
  <sheetFormatPr defaultRowHeight="14.5" x14ac:dyDescent="0.35"/>
  <cols>
    <col min="1" max="1" width="8.81640625" bestFit="1" customWidth="1"/>
    <col min="2" max="2" width="13.54296875" bestFit="1" customWidth="1"/>
    <col min="3" max="3" width="8.36328125" bestFit="1" customWidth="1"/>
    <col min="4" max="4" width="12.453125" bestFit="1" customWidth="1"/>
    <col min="5" max="5" width="7.26953125" bestFit="1" customWidth="1"/>
    <col min="6" max="6" width="11.36328125" bestFit="1" customWidth="1"/>
    <col min="7" max="7" width="7.7265625" bestFit="1" customWidth="1"/>
    <col min="8" max="8" width="14.26953125" bestFit="1" customWidth="1"/>
    <col min="9" max="9" width="12.36328125" bestFit="1" customWidth="1"/>
    <col min="10" max="10" width="14.54296875" bestFit="1" customWidth="1"/>
    <col min="11" max="11" width="12.90625" bestFit="1" customWidth="1"/>
    <col min="12" max="12" width="11.81640625" bestFit="1" customWidth="1"/>
    <col min="13" max="13" width="19.81640625" customWidth="1"/>
    <col min="14" max="14" width="19.906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4" t="s">
        <v>1248</v>
      </c>
      <c r="N1" s="4" t="s">
        <v>1249</v>
      </c>
    </row>
    <row r="2" spans="1:14" x14ac:dyDescent="0.35">
      <c r="A2" s="1" t="s">
        <v>12</v>
      </c>
      <c r="B2" s="1" t="s">
        <v>13</v>
      </c>
      <c r="C2" s="1" t="s">
        <v>14</v>
      </c>
      <c r="D2" s="1" t="s">
        <v>15</v>
      </c>
      <c r="E2" s="1" t="s">
        <v>16</v>
      </c>
      <c r="F2" s="1" t="s">
        <v>17</v>
      </c>
      <c r="G2" s="1" t="s">
        <v>18</v>
      </c>
      <c r="H2" s="1">
        <v>12914</v>
      </c>
      <c r="I2" s="1" t="s">
        <v>19</v>
      </c>
      <c r="J2" s="1">
        <v>0.2</v>
      </c>
      <c r="K2" s="1">
        <v>14000</v>
      </c>
      <c r="L2" s="2">
        <v>45339</v>
      </c>
      <c r="M2" s="10" t="str">
        <f>IF(H2&gt;=K2,"Target Achieved","Below Target")</f>
        <v>Below Target</v>
      </c>
      <c r="N2" s="5">
        <f>COUNTIF($M$2:$M$1001,"Target Achieved")/COUNTA($M$2:$M$1001)*100</f>
        <v>51.6</v>
      </c>
    </row>
    <row r="3" spans="1:14" x14ac:dyDescent="0.35">
      <c r="A3" s="1" t="s">
        <v>20</v>
      </c>
      <c r="B3" s="1" t="s">
        <v>21</v>
      </c>
      <c r="C3" s="1" t="s">
        <v>14</v>
      </c>
      <c r="D3" s="1" t="s">
        <v>15</v>
      </c>
      <c r="E3" s="1" t="s">
        <v>16</v>
      </c>
      <c r="F3" s="1" t="s">
        <v>17</v>
      </c>
      <c r="G3" s="1" t="s">
        <v>18</v>
      </c>
      <c r="H3" s="1">
        <v>12122</v>
      </c>
      <c r="I3" s="1" t="s">
        <v>22</v>
      </c>
      <c r="J3" s="1">
        <v>0.1</v>
      </c>
      <c r="K3" s="1">
        <v>14000</v>
      </c>
      <c r="L3" s="2">
        <v>45305</v>
      </c>
      <c r="M3" s="10" t="str">
        <f t="shared" ref="M2:M66" si="0">IF(H3&gt;=K3,"Target Achieved","Below Target")</f>
        <v>Below Target</v>
      </c>
    </row>
    <row r="4" spans="1:14" x14ac:dyDescent="0.35">
      <c r="A4" s="1" t="s">
        <v>23</v>
      </c>
      <c r="B4" s="1" t="s">
        <v>24</v>
      </c>
      <c r="C4" s="1" t="s">
        <v>14</v>
      </c>
      <c r="D4" s="1" t="s">
        <v>15</v>
      </c>
      <c r="E4" s="1" t="s">
        <v>16</v>
      </c>
      <c r="F4" s="1" t="s">
        <v>25</v>
      </c>
      <c r="G4" s="1" t="s">
        <v>26</v>
      </c>
      <c r="H4" s="1">
        <v>14661</v>
      </c>
      <c r="I4" s="1" t="s">
        <v>27</v>
      </c>
      <c r="J4" s="1"/>
      <c r="K4" s="1">
        <v>14000</v>
      </c>
      <c r="L4" s="2">
        <v>45318</v>
      </c>
      <c r="M4" s="10" t="str">
        <f t="shared" si="0"/>
        <v>Target Achieved</v>
      </c>
    </row>
    <row r="5" spans="1:14" x14ac:dyDescent="0.35">
      <c r="A5" s="1" t="s">
        <v>28</v>
      </c>
      <c r="B5" s="1" t="s">
        <v>29</v>
      </c>
      <c r="C5" s="1" t="s">
        <v>30</v>
      </c>
      <c r="D5" s="1" t="s">
        <v>31</v>
      </c>
      <c r="E5" s="1" t="s">
        <v>32</v>
      </c>
      <c r="F5" s="1" t="s">
        <v>25</v>
      </c>
      <c r="G5" s="1" t="s">
        <v>26</v>
      </c>
      <c r="H5" s="1">
        <v>16731</v>
      </c>
      <c r="I5" s="1" t="s">
        <v>33</v>
      </c>
      <c r="J5" s="1">
        <v>0.3</v>
      </c>
      <c r="K5" s="1">
        <v>17000</v>
      </c>
      <c r="L5" s="2">
        <v>45309</v>
      </c>
      <c r="M5" s="10" t="str">
        <f t="shared" si="0"/>
        <v>Below Target</v>
      </c>
    </row>
    <row r="6" spans="1:14" x14ac:dyDescent="0.35">
      <c r="A6" s="1" t="s">
        <v>34</v>
      </c>
      <c r="B6" s="1" t="s">
        <v>35</v>
      </c>
      <c r="C6" s="1" t="s">
        <v>30</v>
      </c>
      <c r="D6" s="1" t="s">
        <v>31</v>
      </c>
      <c r="E6" s="1" t="s">
        <v>32</v>
      </c>
      <c r="F6" s="1" t="s">
        <v>25</v>
      </c>
      <c r="G6" s="1" t="s">
        <v>36</v>
      </c>
      <c r="H6" s="1">
        <v>15396</v>
      </c>
      <c r="I6" s="1" t="s">
        <v>33</v>
      </c>
      <c r="J6" s="1">
        <v>0.3</v>
      </c>
      <c r="K6" s="1">
        <v>17000</v>
      </c>
      <c r="L6" s="2">
        <v>45346</v>
      </c>
      <c r="M6" s="10" t="str">
        <f t="shared" si="0"/>
        <v>Below Target</v>
      </c>
    </row>
    <row r="7" spans="1:14" x14ac:dyDescent="0.35">
      <c r="A7" s="1" t="s">
        <v>37</v>
      </c>
      <c r="B7" s="1" t="s">
        <v>38</v>
      </c>
      <c r="C7" s="1" t="s">
        <v>30</v>
      </c>
      <c r="D7" s="1" t="s">
        <v>31</v>
      </c>
      <c r="E7" s="1" t="s">
        <v>32</v>
      </c>
      <c r="F7" s="1" t="s">
        <v>39</v>
      </c>
      <c r="G7" s="1" t="s">
        <v>36</v>
      </c>
      <c r="H7" s="1">
        <v>17196</v>
      </c>
      <c r="I7" s="1" t="s">
        <v>22</v>
      </c>
      <c r="J7" s="1">
        <v>0.1</v>
      </c>
      <c r="K7" s="1">
        <v>17000</v>
      </c>
      <c r="L7" s="2">
        <v>45351</v>
      </c>
      <c r="M7" s="10" t="str">
        <f t="shared" si="0"/>
        <v>Target Achieved</v>
      </c>
    </row>
    <row r="8" spans="1:14" x14ac:dyDescent="0.35">
      <c r="A8" s="1" t="s">
        <v>40</v>
      </c>
      <c r="B8" s="1" t="s">
        <v>41</v>
      </c>
      <c r="C8" s="1" t="s">
        <v>30</v>
      </c>
      <c r="D8" s="1" t="s">
        <v>31</v>
      </c>
      <c r="E8" s="1" t="s">
        <v>16</v>
      </c>
      <c r="F8" s="1" t="s">
        <v>39</v>
      </c>
      <c r="G8" s="1" t="s">
        <v>36</v>
      </c>
      <c r="H8" s="1">
        <v>17364</v>
      </c>
      <c r="I8" s="1" t="s">
        <v>19</v>
      </c>
      <c r="J8" s="1">
        <v>0.2</v>
      </c>
      <c r="K8" s="1">
        <v>17000</v>
      </c>
      <c r="L8" s="2">
        <v>45337</v>
      </c>
      <c r="M8" s="10" t="str">
        <f t="shared" si="0"/>
        <v>Target Achieved</v>
      </c>
    </row>
    <row r="9" spans="1:14" x14ac:dyDescent="0.35">
      <c r="A9" s="1" t="s">
        <v>42</v>
      </c>
      <c r="B9" s="1" t="s">
        <v>43</v>
      </c>
      <c r="C9" s="1" t="s">
        <v>44</v>
      </c>
      <c r="D9" s="1" t="s">
        <v>45</v>
      </c>
      <c r="E9" s="1" t="s">
        <v>46</v>
      </c>
      <c r="F9" s="1" t="s">
        <v>25</v>
      </c>
      <c r="G9" s="1" t="s">
        <v>18</v>
      </c>
      <c r="H9" s="1">
        <v>14549</v>
      </c>
      <c r="I9" s="1" t="s">
        <v>22</v>
      </c>
      <c r="J9" s="1">
        <v>0.1</v>
      </c>
      <c r="K9" s="1">
        <v>13000</v>
      </c>
      <c r="L9" s="2">
        <v>45316</v>
      </c>
      <c r="M9" s="10" t="str">
        <f t="shared" si="0"/>
        <v>Target Achieved</v>
      </c>
    </row>
    <row r="10" spans="1:14" x14ac:dyDescent="0.35">
      <c r="A10" s="1" t="s">
        <v>47</v>
      </c>
      <c r="B10" s="1" t="s">
        <v>48</v>
      </c>
      <c r="C10" s="1" t="s">
        <v>30</v>
      </c>
      <c r="D10" s="1" t="s">
        <v>31</v>
      </c>
      <c r="E10" s="1" t="s">
        <v>32</v>
      </c>
      <c r="F10" s="1" t="s">
        <v>17</v>
      </c>
      <c r="G10" s="1" t="s">
        <v>36</v>
      </c>
      <c r="H10" s="1">
        <v>15858</v>
      </c>
      <c r="I10" s="1" t="s">
        <v>33</v>
      </c>
      <c r="J10" s="1">
        <v>0.3</v>
      </c>
      <c r="K10" s="1">
        <v>17000</v>
      </c>
      <c r="L10" s="2">
        <v>45336</v>
      </c>
      <c r="M10" s="10" t="str">
        <f t="shared" si="0"/>
        <v>Below Target</v>
      </c>
    </row>
    <row r="11" spans="1:14" x14ac:dyDescent="0.35">
      <c r="A11" s="1" t="s">
        <v>49</v>
      </c>
      <c r="B11" s="1" t="s">
        <v>50</v>
      </c>
      <c r="C11" s="1" t="s">
        <v>14</v>
      </c>
      <c r="D11" s="1" t="s">
        <v>15</v>
      </c>
      <c r="E11" s="1" t="s">
        <v>16</v>
      </c>
      <c r="F11" s="1" t="s">
        <v>39</v>
      </c>
      <c r="G11" s="1" t="s">
        <v>18</v>
      </c>
      <c r="H11" s="1">
        <v>14187</v>
      </c>
      <c r="I11" s="1" t="s">
        <v>19</v>
      </c>
      <c r="J11" s="1">
        <v>0.2</v>
      </c>
      <c r="K11" s="1">
        <v>14000</v>
      </c>
      <c r="L11" s="2">
        <v>45302</v>
      </c>
      <c r="M11" s="10" t="str">
        <f t="shared" si="0"/>
        <v>Target Achieved</v>
      </c>
    </row>
    <row r="12" spans="1:14" x14ac:dyDescent="0.35">
      <c r="A12" s="1" t="s">
        <v>51</v>
      </c>
      <c r="B12" s="1" t="s">
        <v>52</v>
      </c>
      <c r="C12" s="1" t="s">
        <v>30</v>
      </c>
      <c r="D12" s="1" t="s">
        <v>31</v>
      </c>
      <c r="E12" s="1" t="s">
        <v>16</v>
      </c>
      <c r="F12" s="1" t="s">
        <v>39</v>
      </c>
      <c r="G12" s="1" t="s">
        <v>26</v>
      </c>
      <c r="H12" s="1">
        <v>15899</v>
      </c>
      <c r="I12" s="1" t="s">
        <v>33</v>
      </c>
      <c r="J12" s="1">
        <v>0.3</v>
      </c>
      <c r="K12" s="1">
        <v>17000</v>
      </c>
      <c r="L12" s="2">
        <v>45345</v>
      </c>
      <c r="M12" s="10" t="str">
        <f t="shared" si="0"/>
        <v>Below Target</v>
      </c>
    </row>
    <row r="13" spans="1:14" x14ac:dyDescent="0.35">
      <c r="A13" s="1" t="s">
        <v>53</v>
      </c>
      <c r="B13" s="1" t="s">
        <v>54</v>
      </c>
      <c r="C13" s="1" t="s">
        <v>14</v>
      </c>
      <c r="D13" s="1" t="s">
        <v>15</v>
      </c>
      <c r="E13" s="1" t="s">
        <v>32</v>
      </c>
      <c r="F13" s="1" t="s">
        <v>25</v>
      </c>
      <c r="G13" s="1" t="s">
        <v>36</v>
      </c>
      <c r="H13" s="1">
        <v>13643</v>
      </c>
      <c r="I13" s="1" t="s">
        <v>33</v>
      </c>
      <c r="J13" s="1">
        <v>0.3</v>
      </c>
      <c r="K13" s="1">
        <v>14000</v>
      </c>
      <c r="L13" s="2">
        <v>45296</v>
      </c>
      <c r="M13" s="10" t="str">
        <f t="shared" si="0"/>
        <v>Below Target</v>
      </c>
    </row>
    <row r="14" spans="1:14" x14ac:dyDescent="0.35">
      <c r="A14" s="1" t="s">
        <v>55</v>
      </c>
      <c r="B14" s="1" t="s">
        <v>56</v>
      </c>
      <c r="C14" s="1" t="s">
        <v>30</v>
      </c>
      <c r="D14" s="1" t="s">
        <v>31</v>
      </c>
      <c r="E14" s="1" t="s">
        <v>32</v>
      </c>
      <c r="F14" s="1" t="s">
        <v>39</v>
      </c>
      <c r="G14" s="1" t="s">
        <v>36</v>
      </c>
      <c r="H14" s="1">
        <v>16620</v>
      </c>
      <c r="I14" s="1"/>
      <c r="J14" s="1"/>
      <c r="K14" s="1">
        <v>17000</v>
      </c>
      <c r="L14" s="2">
        <v>45301</v>
      </c>
      <c r="M14" s="10" t="str">
        <f t="shared" si="0"/>
        <v>Below Target</v>
      </c>
    </row>
    <row r="15" spans="1:14" x14ac:dyDescent="0.35">
      <c r="A15" s="1" t="s">
        <v>57</v>
      </c>
      <c r="B15" s="1" t="s">
        <v>58</v>
      </c>
      <c r="C15" s="1" t="s">
        <v>44</v>
      </c>
      <c r="D15" s="1" t="s">
        <v>45</v>
      </c>
      <c r="E15" s="1" t="s">
        <v>16</v>
      </c>
      <c r="F15" s="1" t="s">
        <v>39</v>
      </c>
      <c r="G15" s="1" t="s">
        <v>26</v>
      </c>
      <c r="H15" s="1">
        <v>12076</v>
      </c>
      <c r="I15" s="1" t="s">
        <v>27</v>
      </c>
      <c r="J15" s="1"/>
      <c r="K15" s="1">
        <v>13000</v>
      </c>
      <c r="L15" s="2">
        <v>45319</v>
      </c>
      <c r="M15" s="10" t="str">
        <f t="shared" si="0"/>
        <v>Below Target</v>
      </c>
    </row>
    <row r="16" spans="1:14" x14ac:dyDescent="0.35">
      <c r="A16" s="1" t="s">
        <v>59</v>
      </c>
      <c r="B16" s="1" t="s">
        <v>60</v>
      </c>
      <c r="C16" s="1" t="s">
        <v>61</v>
      </c>
      <c r="D16" s="1" t="s">
        <v>62</v>
      </c>
      <c r="E16" s="1" t="s">
        <v>46</v>
      </c>
      <c r="F16" s="1" t="s">
        <v>25</v>
      </c>
      <c r="G16" s="1" t="s">
        <v>18</v>
      </c>
      <c r="H16" s="1">
        <v>9087</v>
      </c>
      <c r="I16" s="1"/>
      <c r="J16" s="1"/>
      <c r="K16" s="1">
        <v>9000</v>
      </c>
      <c r="L16" s="2">
        <v>45297</v>
      </c>
      <c r="M16" s="10" t="str">
        <f t="shared" si="0"/>
        <v>Target Achieved</v>
      </c>
    </row>
    <row r="17" spans="1:13" x14ac:dyDescent="0.35">
      <c r="A17" s="1" t="s">
        <v>63</v>
      </c>
      <c r="B17" s="1" t="s">
        <v>64</v>
      </c>
      <c r="C17" s="1" t="s">
        <v>14</v>
      </c>
      <c r="D17" s="1" t="s">
        <v>15</v>
      </c>
      <c r="E17" s="1" t="s">
        <v>32</v>
      </c>
      <c r="F17" s="1" t="s">
        <v>39</v>
      </c>
      <c r="G17" s="1" t="s">
        <v>18</v>
      </c>
      <c r="H17" s="1">
        <v>15244</v>
      </c>
      <c r="I17" s="1"/>
      <c r="J17" s="1"/>
      <c r="K17" s="1">
        <v>14000</v>
      </c>
      <c r="L17" s="2">
        <v>45330</v>
      </c>
      <c r="M17" s="10" t="str">
        <f t="shared" si="0"/>
        <v>Target Achieved</v>
      </c>
    </row>
    <row r="18" spans="1:13" x14ac:dyDescent="0.35">
      <c r="A18" s="1" t="s">
        <v>65</v>
      </c>
      <c r="B18" s="1" t="s">
        <v>66</v>
      </c>
      <c r="C18" s="1" t="s">
        <v>61</v>
      </c>
      <c r="D18" s="1" t="s">
        <v>62</v>
      </c>
      <c r="E18" s="1" t="s">
        <v>16</v>
      </c>
      <c r="F18" s="1" t="s">
        <v>17</v>
      </c>
      <c r="G18" s="1" t="s">
        <v>26</v>
      </c>
      <c r="H18" s="1">
        <v>8029</v>
      </c>
      <c r="I18" s="1" t="s">
        <v>27</v>
      </c>
      <c r="J18" s="1"/>
      <c r="K18" s="1">
        <v>9000</v>
      </c>
      <c r="L18" s="2">
        <v>45347</v>
      </c>
      <c r="M18" s="10" t="str">
        <f t="shared" si="0"/>
        <v>Below Target</v>
      </c>
    </row>
    <row r="19" spans="1:13" x14ac:dyDescent="0.35">
      <c r="A19" s="1" t="s">
        <v>67</v>
      </c>
      <c r="B19" s="1" t="s">
        <v>68</v>
      </c>
      <c r="C19" s="1" t="s">
        <v>14</v>
      </c>
      <c r="D19" s="1" t="s">
        <v>15</v>
      </c>
      <c r="E19" s="1" t="s">
        <v>16</v>
      </c>
      <c r="F19" s="1" t="s">
        <v>39</v>
      </c>
      <c r="G19" s="1" t="s">
        <v>36</v>
      </c>
      <c r="H19" s="1">
        <v>15148</v>
      </c>
      <c r="I19" s="1" t="s">
        <v>33</v>
      </c>
      <c r="J19" s="1">
        <v>0.3</v>
      </c>
      <c r="K19" s="1">
        <v>14000</v>
      </c>
      <c r="L19" s="2">
        <v>45299</v>
      </c>
      <c r="M19" s="10" t="str">
        <f t="shared" si="0"/>
        <v>Target Achieved</v>
      </c>
    </row>
    <row r="20" spans="1:13" x14ac:dyDescent="0.35">
      <c r="A20" s="1" t="s">
        <v>69</v>
      </c>
      <c r="B20" s="1" t="s">
        <v>70</v>
      </c>
      <c r="C20" s="1" t="s">
        <v>44</v>
      </c>
      <c r="D20" s="1" t="s">
        <v>45</v>
      </c>
      <c r="E20" s="1" t="s">
        <v>46</v>
      </c>
      <c r="F20" s="1" t="s">
        <v>25</v>
      </c>
      <c r="G20" s="1" t="s">
        <v>26</v>
      </c>
      <c r="H20" s="1">
        <v>14587</v>
      </c>
      <c r="I20" s="1" t="s">
        <v>33</v>
      </c>
      <c r="J20" s="1">
        <v>0.3</v>
      </c>
      <c r="K20" s="1">
        <v>13000</v>
      </c>
      <c r="L20" s="2">
        <v>45324</v>
      </c>
      <c r="M20" s="10" t="str">
        <f t="shared" si="0"/>
        <v>Target Achieved</v>
      </c>
    </row>
    <row r="21" spans="1:13" x14ac:dyDescent="0.35">
      <c r="A21" s="1" t="s">
        <v>71</v>
      </c>
      <c r="B21" s="1" t="s">
        <v>72</v>
      </c>
      <c r="C21" s="1" t="s">
        <v>14</v>
      </c>
      <c r="D21" s="1" t="s">
        <v>15</v>
      </c>
      <c r="E21" s="1" t="s">
        <v>16</v>
      </c>
      <c r="F21" s="1" t="s">
        <v>17</v>
      </c>
      <c r="G21" s="1" t="s">
        <v>26</v>
      </c>
      <c r="H21" s="1">
        <v>14079</v>
      </c>
      <c r="I21" s="1" t="s">
        <v>27</v>
      </c>
      <c r="J21" s="1"/>
      <c r="K21" s="1">
        <v>14000</v>
      </c>
      <c r="L21" s="2">
        <v>45304</v>
      </c>
      <c r="M21" s="10" t="str">
        <f t="shared" si="0"/>
        <v>Target Achieved</v>
      </c>
    </row>
    <row r="22" spans="1:13" x14ac:dyDescent="0.35">
      <c r="A22" s="1" t="s">
        <v>73</v>
      </c>
      <c r="B22" s="1" t="s">
        <v>74</v>
      </c>
      <c r="C22" s="1" t="s">
        <v>44</v>
      </c>
      <c r="D22" s="1" t="s">
        <v>45</v>
      </c>
      <c r="E22" s="1" t="s">
        <v>16</v>
      </c>
      <c r="F22" s="1" t="s">
        <v>39</v>
      </c>
      <c r="G22" s="1" t="s">
        <v>18</v>
      </c>
      <c r="H22" s="1">
        <v>13453</v>
      </c>
      <c r="I22" s="1" t="s">
        <v>33</v>
      </c>
      <c r="J22" s="1">
        <v>0.3</v>
      </c>
      <c r="K22" s="1">
        <v>13000</v>
      </c>
      <c r="L22" s="2">
        <v>45323</v>
      </c>
      <c r="M22" s="10" t="str">
        <f t="shared" si="0"/>
        <v>Target Achieved</v>
      </c>
    </row>
    <row r="23" spans="1:13" x14ac:dyDescent="0.35">
      <c r="A23" s="1" t="s">
        <v>75</v>
      </c>
      <c r="B23" s="1" t="s">
        <v>76</v>
      </c>
      <c r="C23" s="1" t="s">
        <v>30</v>
      </c>
      <c r="D23" s="1" t="s">
        <v>31</v>
      </c>
      <c r="E23" s="1" t="s">
        <v>46</v>
      </c>
      <c r="F23" s="1" t="s">
        <v>25</v>
      </c>
      <c r="G23" s="1" t="s">
        <v>18</v>
      </c>
      <c r="H23" s="1">
        <v>15986</v>
      </c>
      <c r="I23" s="1" t="s">
        <v>27</v>
      </c>
      <c r="J23" s="1"/>
      <c r="K23" s="1">
        <v>17000</v>
      </c>
      <c r="L23" s="2">
        <v>45352</v>
      </c>
      <c r="M23" s="10" t="str">
        <f t="shared" si="0"/>
        <v>Below Target</v>
      </c>
    </row>
    <row r="24" spans="1:13" x14ac:dyDescent="0.35">
      <c r="A24" s="1" t="s">
        <v>77</v>
      </c>
      <c r="B24" s="1" t="s">
        <v>78</v>
      </c>
      <c r="C24" s="1" t="s">
        <v>61</v>
      </c>
      <c r="D24" s="1" t="s">
        <v>62</v>
      </c>
      <c r="E24" s="1" t="s">
        <v>32</v>
      </c>
      <c r="F24" s="1" t="s">
        <v>39</v>
      </c>
      <c r="G24" s="1" t="s">
        <v>18</v>
      </c>
      <c r="H24" s="1">
        <v>7525</v>
      </c>
      <c r="I24" s="1"/>
      <c r="J24" s="1"/>
      <c r="K24" s="1">
        <v>9000</v>
      </c>
      <c r="L24" s="2">
        <v>45352</v>
      </c>
      <c r="M24" s="10" t="str">
        <f t="shared" si="0"/>
        <v>Below Target</v>
      </c>
    </row>
    <row r="25" spans="1:13" x14ac:dyDescent="0.35">
      <c r="A25" s="1" t="s">
        <v>79</v>
      </c>
      <c r="B25" s="1" t="s">
        <v>80</v>
      </c>
      <c r="C25" s="1" t="s">
        <v>30</v>
      </c>
      <c r="D25" s="1" t="s">
        <v>31</v>
      </c>
      <c r="E25" s="1" t="s">
        <v>16</v>
      </c>
      <c r="F25" s="1" t="s">
        <v>39</v>
      </c>
      <c r="G25" s="1" t="s">
        <v>36</v>
      </c>
      <c r="H25" s="1">
        <v>18950</v>
      </c>
      <c r="I25" s="1" t="s">
        <v>19</v>
      </c>
      <c r="J25" s="1">
        <v>0.2</v>
      </c>
      <c r="K25" s="1">
        <v>17000</v>
      </c>
      <c r="L25" s="2">
        <v>45351</v>
      </c>
      <c r="M25" s="10" t="str">
        <f t="shared" si="0"/>
        <v>Target Achieved</v>
      </c>
    </row>
    <row r="26" spans="1:13" x14ac:dyDescent="0.35">
      <c r="A26" s="1" t="s">
        <v>81</v>
      </c>
      <c r="B26" s="1" t="s">
        <v>82</v>
      </c>
      <c r="C26" s="1" t="s">
        <v>44</v>
      </c>
      <c r="D26" s="1" t="s">
        <v>45</v>
      </c>
      <c r="E26" s="1" t="s">
        <v>16</v>
      </c>
      <c r="F26" s="1" t="s">
        <v>17</v>
      </c>
      <c r="G26" s="1" t="s">
        <v>36</v>
      </c>
      <c r="H26" s="1">
        <v>13751</v>
      </c>
      <c r="I26" s="1" t="s">
        <v>33</v>
      </c>
      <c r="J26" s="1">
        <v>0.3</v>
      </c>
      <c r="K26" s="1">
        <v>13000</v>
      </c>
      <c r="L26" s="2">
        <v>45320</v>
      </c>
      <c r="M26" s="10" t="str">
        <f t="shared" si="0"/>
        <v>Target Achieved</v>
      </c>
    </row>
    <row r="27" spans="1:13" x14ac:dyDescent="0.35">
      <c r="A27" s="1" t="s">
        <v>83</v>
      </c>
      <c r="B27" s="1" t="s">
        <v>84</v>
      </c>
      <c r="C27" s="1" t="s">
        <v>61</v>
      </c>
      <c r="D27" s="1" t="s">
        <v>62</v>
      </c>
      <c r="E27" s="1" t="s">
        <v>32</v>
      </c>
      <c r="F27" s="1" t="s">
        <v>25</v>
      </c>
      <c r="G27" s="1" t="s">
        <v>18</v>
      </c>
      <c r="H27" s="1">
        <v>7262</v>
      </c>
      <c r="I27" s="1" t="s">
        <v>33</v>
      </c>
      <c r="J27" s="1">
        <v>0.3</v>
      </c>
      <c r="K27" s="1">
        <v>9000</v>
      </c>
      <c r="L27" s="2">
        <v>45293</v>
      </c>
      <c r="M27" s="10" t="str">
        <f t="shared" si="0"/>
        <v>Below Target</v>
      </c>
    </row>
    <row r="28" spans="1:13" x14ac:dyDescent="0.35">
      <c r="A28" s="1" t="s">
        <v>85</v>
      </c>
      <c r="B28" s="1" t="s">
        <v>86</v>
      </c>
      <c r="C28" s="1" t="s">
        <v>44</v>
      </c>
      <c r="D28" s="1" t="s">
        <v>45</v>
      </c>
      <c r="E28" s="1" t="s">
        <v>16</v>
      </c>
      <c r="F28" s="1" t="s">
        <v>25</v>
      </c>
      <c r="G28" s="1" t="s">
        <v>18</v>
      </c>
      <c r="H28" s="1">
        <v>11290</v>
      </c>
      <c r="I28" s="1" t="s">
        <v>22</v>
      </c>
      <c r="J28" s="1">
        <v>0.1</v>
      </c>
      <c r="K28" s="1">
        <v>13000</v>
      </c>
      <c r="L28" s="2">
        <v>45306</v>
      </c>
      <c r="M28" s="10" t="str">
        <f t="shared" si="0"/>
        <v>Below Target</v>
      </c>
    </row>
    <row r="29" spans="1:13" x14ac:dyDescent="0.35">
      <c r="A29" s="1" t="s">
        <v>87</v>
      </c>
      <c r="B29" s="1" t="s">
        <v>43</v>
      </c>
      <c r="C29" s="1" t="s">
        <v>30</v>
      </c>
      <c r="D29" s="1" t="s">
        <v>31</v>
      </c>
      <c r="E29" s="1" t="s">
        <v>32</v>
      </c>
      <c r="F29" s="1" t="s">
        <v>39</v>
      </c>
      <c r="G29" s="1" t="s">
        <v>18</v>
      </c>
      <c r="H29" s="1">
        <v>16140</v>
      </c>
      <c r="I29" s="1"/>
      <c r="J29" s="1"/>
      <c r="K29" s="1">
        <v>17000</v>
      </c>
      <c r="L29" s="2">
        <v>45305</v>
      </c>
      <c r="M29" s="10" t="str">
        <f t="shared" si="0"/>
        <v>Below Target</v>
      </c>
    </row>
    <row r="30" spans="1:13" x14ac:dyDescent="0.35">
      <c r="A30" s="1" t="s">
        <v>88</v>
      </c>
      <c r="B30" s="1" t="s">
        <v>80</v>
      </c>
      <c r="C30" s="1" t="s">
        <v>61</v>
      </c>
      <c r="D30" s="1" t="s">
        <v>62</v>
      </c>
      <c r="E30" s="1" t="s">
        <v>32</v>
      </c>
      <c r="F30" s="1" t="s">
        <v>17</v>
      </c>
      <c r="G30" s="1" t="s">
        <v>36</v>
      </c>
      <c r="H30" s="1">
        <v>7779</v>
      </c>
      <c r="I30" s="1" t="s">
        <v>22</v>
      </c>
      <c r="J30" s="1">
        <v>0.1</v>
      </c>
      <c r="K30" s="1">
        <v>9000</v>
      </c>
      <c r="L30" s="2">
        <v>45298</v>
      </c>
      <c r="M30" s="10" t="str">
        <f t="shared" si="0"/>
        <v>Below Target</v>
      </c>
    </row>
    <row r="31" spans="1:13" x14ac:dyDescent="0.35">
      <c r="A31" s="1" t="s">
        <v>89</v>
      </c>
      <c r="B31" s="1" t="s">
        <v>90</v>
      </c>
      <c r="C31" s="1" t="s">
        <v>30</v>
      </c>
      <c r="D31" s="1" t="s">
        <v>31</v>
      </c>
      <c r="E31" s="1" t="s">
        <v>46</v>
      </c>
      <c r="F31" s="1" t="s">
        <v>17</v>
      </c>
      <c r="G31" s="1" t="s">
        <v>36</v>
      </c>
      <c r="H31" s="1">
        <v>18538</v>
      </c>
      <c r="I31" s="1" t="s">
        <v>22</v>
      </c>
      <c r="J31" s="1">
        <v>0.1</v>
      </c>
      <c r="K31" s="1">
        <v>17000</v>
      </c>
      <c r="L31" s="2">
        <v>45335</v>
      </c>
      <c r="M31" s="10" t="str">
        <f t="shared" si="0"/>
        <v>Target Achieved</v>
      </c>
    </row>
    <row r="32" spans="1:13" x14ac:dyDescent="0.35">
      <c r="A32" s="1" t="s">
        <v>91</v>
      </c>
      <c r="B32" s="1" t="s">
        <v>92</v>
      </c>
      <c r="C32" s="1" t="s">
        <v>14</v>
      </c>
      <c r="D32" s="1" t="s">
        <v>15</v>
      </c>
      <c r="E32" s="1" t="s">
        <v>32</v>
      </c>
      <c r="F32" s="1" t="s">
        <v>17</v>
      </c>
      <c r="G32" s="1" t="s">
        <v>26</v>
      </c>
      <c r="H32" s="1">
        <v>13389</v>
      </c>
      <c r="I32" s="1" t="s">
        <v>22</v>
      </c>
      <c r="J32" s="1">
        <v>0.1</v>
      </c>
      <c r="K32" s="1">
        <v>14000</v>
      </c>
      <c r="L32" s="2">
        <v>45307</v>
      </c>
      <c r="M32" s="10" t="str">
        <f t="shared" si="0"/>
        <v>Below Target</v>
      </c>
    </row>
    <row r="33" spans="1:13" x14ac:dyDescent="0.35">
      <c r="A33" s="1" t="s">
        <v>93</v>
      </c>
      <c r="B33" s="1" t="s">
        <v>94</v>
      </c>
      <c r="C33" s="1" t="s">
        <v>61</v>
      </c>
      <c r="D33" s="1" t="s">
        <v>62</v>
      </c>
      <c r="E33" s="1" t="s">
        <v>32</v>
      </c>
      <c r="F33" s="1" t="s">
        <v>17</v>
      </c>
      <c r="G33" s="1" t="s">
        <v>18</v>
      </c>
      <c r="H33" s="1">
        <v>8140</v>
      </c>
      <c r="I33" s="1"/>
      <c r="J33" s="1"/>
      <c r="K33" s="1">
        <v>9000</v>
      </c>
      <c r="L33" s="2">
        <v>45307</v>
      </c>
      <c r="M33" s="10" t="str">
        <f t="shared" si="0"/>
        <v>Below Target</v>
      </c>
    </row>
    <row r="34" spans="1:13" x14ac:dyDescent="0.35">
      <c r="A34" s="1" t="s">
        <v>95</v>
      </c>
      <c r="B34" s="1" t="s">
        <v>96</v>
      </c>
      <c r="C34" s="1" t="s">
        <v>61</v>
      </c>
      <c r="D34" s="1" t="s">
        <v>62</v>
      </c>
      <c r="E34" s="1" t="s">
        <v>16</v>
      </c>
      <c r="F34" s="1" t="s">
        <v>25</v>
      </c>
      <c r="G34" s="1" t="s">
        <v>18</v>
      </c>
      <c r="H34" s="1">
        <v>9671</v>
      </c>
      <c r="I34" s="1" t="s">
        <v>27</v>
      </c>
      <c r="J34" s="1"/>
      <c r="K34" s="1">
        <v>9000</v>
      </c>
      <c r="L34" s="2">
        <v>45345</v>
      </c>
      <c r="M34" s="10" t="str">
        <f t="shared" si="0"/>
        <v>Target Achieved</v>
      </c>
    </row>
    <row r="35" spans="1:13" x14ac:dyDescent="0.35">
      <c r="A35" s="1" t="s">
        <v>97</v>
      </c>
      <c r="B35" s="1" t="s">
        <v>76</v>
      </c>
      <c r="C35" s="1" t="s">
        <v>44</v>
      </c>
      <c r="D35" s="1" t="s">
        <v>45</v>
      </c>
      <c r="E35" s="1" t="s">
        <v>32</v>
      </c>
      <c r="F35" s="1" t="s">
        <v>17</v>
      </c>
      <c r="G35" s="1" t="s">
        <v>36</v>
      </c>
      <c r="H35" s="1">
        <v>12971</v>
      </c>
      <c r="I35" s="1" t="s">
        <v>19</v>
      </c>
      <c r="J35" s="1">
        <v>0.2</v>
      </c>
      <c r="K35" s="1">
        <v>13000</v>
      </c>
      <c r="L35" s="2">
        <v>45347</v>
      </c>
      <c r="M35" s="10" t="str">
        <f t="shared" si="0"/>
        <v>Below Target</v>
      </c>
    </row>
    <row r="36" spans="1:13" x14ac:dyDescent="0.35">
      <c r="A36" s="1" t="s">
        <v>98</v>
      </c>
      <c r="B36" s="1" t="s">
        <v>99</v>
      </c>
      <c r="C36" s="1" t="s">
        <v>44</v>
      </c>
      <c r="D36" s="1" t="s">
        <v>45</v>
      </c>
      <c r="E36" s="1" t="s">
        <v>46</v>
      </c>
      <c r="F36" s="1" t="s">
        <v>25</v>
      </c>
      <c r="G36" s="1" t="s">
        <v>36</v>
      </c>
      <c r="H36" s="1">
        <v>12086</v>
      </c>
      <c r="I36" s="1"/>
      <c r="J36" s="1"/>
      <c r="K36" s="1">
        <v>13000</v>
      </c>
      <c r="L36" s="2">
        <v>45310</v>
      </c>
      <c r="M36" s="10" t="str">
        <f t="shared" si="0"/>
        <v>Below Target</v>
      </c>
    </row>
    <row r="37" spans="1:13" x14ac:dyDescent="0.35">
      <c r="A37" s="1" t="s">
        <v>100</v>
      </c>
      <c r="B37" s="1" t="s">
        <v>101</v>
      </c>
      <c r="C37" s="1" t="s">
        <v>61</v>
      </c>
      <c r="D37" s="1" t="s">
        <v>62</v>
      </c>
      <c r="E37" s="1" t="s">
        <v>32</v>
      </c>
      <c r="F37" s="1" t="s">
        <v>25</v>
      </c>
      <c r="G37" s="1" t="s">
        <v>36</v>
      </c>
      <c r="H37" s="1">
        <v>7891</v>
      </c>
      <c r="I37" s="1" t="s">
        <v>22</v>
      </c>
      <c r="J37" s="1">
        <v>0.1</v>
      </c>
      <c r="K37" s="1">
        <v>9000</v>
      </c>
      <c r="L37" s="2">
        <v>45329</v>
      </c>
      <c r="M37" s="10" t="str">
        <f t="shared" si="0"/>
        <v>Below Target</v>
      </c>
    </row>
    <row r="38" spans="1:13" x14ac:dyDescent="0.35">
      <c r="A38" s="1" t="s">
        <v>102</v>
      </c>
      <c r="B38" s="1" t="s">
        <v>103</v>
      </c>
      <c r="C38" s="1" t="s">
        <v>14</v>
      </c>
      <c r="D38" s="1" t="s">
        <v>15</v>
      </c>
      <c r="E38" s="1" t="s">
        <v>16</v>
      </c>
      <c r="F38" s="1" t="s">
        <v>17</v>
      </c>
      <c r="G38" s="1" t="s">
        <v>18</v>
      </c>
      <c r="H38" s="1">
        <v>12205</v>
      </c>
      <c r="I38" s="1" t="s">
        <v>27</v>
      </c>
      <c r="J38" s="1"/>
      <c r="K38" s="1">
        <v>14000</v>
      </c>
      <c r="L38" s="2">
        <v>45322</v>
      </c>
      <c r="M38" s="10" t="str">
        <f t="shared" si="0"/>
        <v>Below Target</v>
      </c>
    </row>
    <row r="39" spans="1:13" x14ac:dyDescent="0.35">
      <c r="A39" s="1" t="s">
        <v>104</v>
      </c>
      <c r="B39" s="1" t="s">
        <v>105</v>
      </c>
      <c r="C39" s="1" t="s">
        <v>44</v>
      </c>
      <c r="D39" s="1" t="s">
        <v>45</v>
      </c>
      <c r="E39" s="1" t="s">
        <v>32</v>
      </c>
      <c r="F39" s="1" t="s">
        <v>39</v>
      </c>
      <c r="G39" s="1" t="s">
        <v>18</v>
      </c>
      <c r="H39" s="1">
        <v>14487</v>
      </c>
      <c r="I39" s="1" t="s">
        <v>19</v>
      </c>
      <c r="J39" s="1">
        <v>0.2</v>
      </c>
      <c r="K39" s="1">
        <v>13000</v>
      </c>
      <c r="L39" s="2">
        <v>45296</v>
      </c>
      <c r="M39" s="10" t="str">
        <f t="shared" si="0"/>
        <v>Target Achieved</v>
      </c>
    </row>
    <row r="40" spans="1:13" x14ac:dyDescent="0.35">
      <c r="A40" s="1" t="s">
        <v>106</v>
      </c>
      <c r="B40" s="1" t="s">
        <v>107</v>
      </c>
      <c r="C40" s="1" t="s">
        <v>44</v>
      </c>
      <c r="D40" s="1" t="s">
        <v>45</v>
      </c>
      <c r="E40" s="1" t="s">
        <v>46</v>
      </c>
      <c r="F40" s="1" t="s">
        <v>25</v>
      </c>
      <c r="G40" s="1" t="s">
        <v>26</v>
      </c>
      <c r="H40" s="1">
        <v>12008</v>
      </c>
      <c r="I40" s="1" t="s">
        <v>27</v>
      </c>
      <c r="J40" s="1"/>
      <c r="K40" s="1">
        <v>13000</v>
      </c>
      <c r="L40" s="2">
        <v>45330</v>
      </c>
      <c r="M40" s="10" t="str">
        <f t="shared" si="0"/>
        <v>Below Target</v>
      </c>
    </row>
    <row r="41" spans="1:13" x14ac:dyDescent="0.35">
      <c r="A41" s="1" t="s">
        <v>108</v>
      </c>
      <c r="B41" s="1" t="s">
        <v>109</v>
      </c>
      <c r="C41" s="1" t="s">
        <v>14</v>
      </c>
      <c r="D41" s="1" t="s">
        <v>15</v>
      </c>
      <c r="E41" s="1" t="s">
        <v>46</v>
      </c>
      <c r="F41" s="1" t="s">
        <v>39</v>
      </c>
      <c r="G41" s="1" t="s">
        <v>26</v>
      </c>
      <c r="H41" s="1">
        <v>14315</v>
      </c>
      <c r="I41" s="1" t="s">
        <v>27</v>
      </c>
      <c r="J41" s="1"/>
      <c r="K41" s="1">
        <v>14000</v>
      </c>
      <c r="L41" s="2">
        <v>45312</v>
      </c>
      <c r="M41" s="10" t="str">
        <f t="shared" si="0"/>
        <v>Target Achieved</v>
      </c>
    </row>
    <row r="42" spans="1:13" x14ac:dyDescent="0.35">
      <c r="A42" s="1" t="s">
        <v>110</v>
      </c>
      <c r="B42" s="1" t="s">
        <v>111</v>
      </c>
      <c r="C42" s="1" t="s">
        <v>44</v>
      </c>
      <c r="D42" s="1" t="s">
        <v>45</v>
      </c>
      <c r="E42" s="1" t="s">
        <v>16</v>
      </c>
      <c r="F42" s="1" t="s">
        <v>39</v>
      </c>
      <c r="G42" s="1" t="s">
        <v>36</v>
      </c>
      <c r="H42" s="1">
        <v>11977</v>
      </c>
      <c r="I42" s="1" t="s">
        <v>33</v>
      </c>
      <c r="J42" s="1">
        <v>0.3</v>
      </c>
      <c r="K42" s="1">
        <v>13000</v>
      </c>
      <c r="L42" s="2">
        <v>45317</v>
      </c>
      <c r="M42" s="10" t="str">
        <f t="shared" si="0"/>
        <v>Below Target</v>
      </c>
    </row>
    <row r="43" spans="1:13" x14ac:dyDescent="0.35">
      <c r="A43" s="1" t="s">
        <v>112</v>
      </c>
      <c r="B43" s="1" t="s">
        <v>113</v>
      </c>
      <c r="C43" s="1" t="s">
        <v>30</v>
      </c>
      <c r="D43" s="1" t="s">
        <v>31</v>
      </c>
      <c r="E43" s="1" t="s">
        <v>46</v>
      </c>
      <c r="F43" s="1" t="s">
        <v>17</v>
      </c>
      <c r="G43" s="1" t="s">
        <v>18</v>
      </c>
      <c r="H43" s="1">
        <v>15038</v>
      </c>
      <c r="I43" s="1"/>
      <c r="J43" s="1"/>
      <c r="K43" s="1">
        <v>17000</v>
      </c>
      <c r="L43" s="2">
        <v>45331</v>
      </c>
      <c r="M43" s="10" t="str">
        <f t="shared" si="0"/>
        <v>Below Target</v>
      </c>
    </row>
    <row r="44" spans="1:13" x14ac:dyDescent="0.35">
      <c r="A44" s="1" t="s">
        <v>114</v>
      </c>
      <c r="B44" s="1" t="s">
        <v>107</v>
      </c>
      <c r="C44" s="1" t="s">
        <v>14</v>
      </c>
      <c r="D44" s="1" t="s">
        <v>15</v>
      </c>
      <c r="E44" s="1" t="s">
        <v>16</v>
      </c>
      <c r="F44" s="1" t="s">
        <v>25</v>
      </c>
      <c r="G44" s="1" t="s">
        <v>26</v>
      </c>
      <c r="H44" s="1">
        <v>13086</v>
      </c>
      <c r="I44" s="1" t="s">
        <v>19</v>
      </c>
      <c r="J44" s="1">
        <v>0.2</v>
      </c>
      <c r="K44" s="1">
        <v>14000</v>
      </c>
      <c r="L44" s="2">
        <v>45351</v>
      </c>
      <c r="M44" s="10" t="str">
        <f t="shared" si="0"/>
        <v>Below Target</v>
      </c>
    </row>
    <row r="45" spans="1:13" x14ac:dyDescent="0.35">
      <c r="A45" s="1" t="s">
        <v>115</v>
      </c>
      <c r="B45" s="1" t="s">
        <v>116</v>
      </c>
      <c r="C45" s="1" t="s">
        <v>44</v>
      </c>
      <c r="D45" s="1" t="s">
        <v>45</v>
      </c>
      <c r="E45" s="1" t="s">
        <v>46</v>
      </c>
      <c r="F45" s="1" t="s">
        <v>17</v>
      </c>
      <c r="G45" s="1" t="s">
        <v>18</v>
      </c>
      <c r="H45" s="1">
        <v>12794</v>
      </c>
      <c r="I45" s="1" t="s">
        <v>27</v>
      </c>
      <c r="J45" s="1"/>
      <c r="K45" s="1">
        <v>13000</v>
      </c>
      <c r="L45" s="2">
        <v>45337</v>
      </c>
      <c r="M45" s="10" t="str">
        <f t="shared" si="0"/>
        <v>Below Target</v>
      </c>
    </row>
    <row r="46" spans="1:13" x14ac:dyDescent="0.35">
      <c r="A46" s="1" t="s">
        <v>117</v>
      </c>
      <c r="B46" s="1" t="s">
        <v>118</v>
      </c>
      <c r="C46" s="1" t="s">
        <v>14</v>
      </c>
      <c r="D46" s="1" t="s">
        <v>15</v>
      </c>
      <c r="E46" s="1" t="s">
        <v>16</v>
      </c>
      <c r="F46" s="1" t="s">
        <v>39</v>
      </c>
      <c r="G46" s="1" t="s">
        <v>36</v>
      </c>
      <c r="H46" s="1">
        <v>15816</v>
      </c>
      <c r="I46" s="1" t="s">
        <v>22</v>
      </c>
      <c r="J46" s="1">
        <v>0.1</v>
      </c>
      <c r="K46" s="1">
        <v>14000</v>
      </c>
      <c r="L46" s="2">
        <v>45352</v>
      </c>
      <c r="M46" s="10" t="str">
        <f t="shared" si="0"/>
        <v>Target Achieved</v>
      </c>
    </row>
    <row r="47" spans="1:13" x14ac:dyDescent="0.35">
      <c r="A47" s="1" t="s">
        <v>119</v>
      </c>
      <c r="B47" s="1" t="s">
        <v>120</v>
      </c>
      <c r="C47" s="1" t="s">
        <v>30</v>
      </c>
      <c r="D47" s="1" t="s">
        <v>31</v>
      </c>
      <c r="E47" s="1" t="s">
        <v>32</v>
      </c>
      <c r="F47" s="1" t="s">
        <v>25</v>
      </c>
      <c r="G47" s="1" t="s">
        <v>26</v>
      </c>
      <c r="H47" s="1">
        <v>17266</v>
      </c>
      <c r="I47" s="1" t="s">
        <v>19</v>
      </c>
      <c r="J47" s="1">
        <v>0.2</v>
      </c>
      <c r="K47" s="1">
        <v>17000</v>
      </c>
      <c r="L47" s="2">
        <v>45309</v>
      </c>
      <c r="M47" s="10" t="str">
        <f t="shared" si="0"/>
        <v>Target Achieved</v>
      </c>
    </row>
    <row r="48" spans="1:13" x14ac:dyDescent="0.35">
      <c r="A48" s="1" t="s">
        <v>121</v>
      </c>
      <c r="B48" s="1" t="s">
        <v>118</v>
      </c>
      <c r="C48" s="1" t="s">
        <v>44</v>
      </c>
      <c r="D48" s="1" t="s">
        <v>45</v>
      </c>
      <c r="E48" s="1" t="s">
        <v>16</v>
      </c>
      <c r="F48" s="1" t="s">
        <v>17</v>
      </c>
      <c r="G48" s="1" t="s">
        <v>18</v>
      </c>
      <c r="H48" s="1">
        <v>13815</v>
      </c>
      <c r="I48" s="1" t="s">
        <v>33</v>
      </c>
      <c r="J48" s="1">
        <v>0.3</v>
      </c>
      <c r="K48" s="1">
        <v>13000</v>
      </c>
      <c r="L48" s="2">
        <v>45324</v>
      </c>
      <c r="M48" s="10" t="str">
        <f t="shared" si="0"/>
        <v>Target Achieved</v>
      </c>
    </row>
    <row r="49" spans="1:13" x14ac:dyDescent="0.35">
      <c r="A49" s="1" t="s">
        <v>122</v>
      </c>
      <c r="B49" s="1" t="s">
        <v>123</v>
      </c>
      <c r="C49" s="1" t="s">
        <v>14</v>
      </c>
      <c r="D49" s="1" t="s">
        <v>15</v>
      </c>
      <c r="E49" s="1" t="s">
        <v>32</v>
      </c>
      <c r="F49" s="1" t="s">
        <v>39</v>
      </c>
      <c r="G49" s="1" t="s">
        <v>36</v>
      </c>
      <c r="H49" s="1">
        <v>15397</v>
      </c>
      <c r="I49" s="1" t="s">
        <v>33</v>
      </c>
      <c r="J49" s="1">
        <v>0.3</v>
      </c>
      <c r="K49" s="1">
        <v>14000</v>
      </c>
      <c r="L49" s="2">
        <v>45294</v>
      </c>
      <c r="M49" s="10" t="str">
        <f t="shared" si="0"/>
        <v>Target Achieved</v>
      </c>
    </row>
    <row r="50" spans="1:13" x14ac:dyDescent="0.35">
      <c r="A50" s="1" t="s">
        <v>124</v>
      </c>
      <c r="B50" s="1" t="s">
        <v>125</v>
      </c>
      <c r="C50" s="1" t="s">
        <v>44</v>
      </c>
      <c r="D50" s="1" t="s">
        <v>45</v>
      </c>
      <c r="E50" s="1" t="s">
        <v>16</v>
      </c>
      <c r="F50" s="1" t="s">
        <v>17</v>
      </c>
      <c r="G50" s="1" t="s">
        <v>18</v>
      </c>
      <c r="H50" s="1">
        <v>14036</v>
      </c>
      <c r="I50" s="1"/>
      <c r="J50" s="1"/>
      <c r="K50" s="1">
        <v>13000</v>
      </c>
      <c r="L50" s="2">
        <v>45327</v>
      </c>
      <c r="M50" s="10" t="str">
        <f t="shared" si="0"/>
        <v>Target Achieved</v>
      </c>
    </row>
    <row r="51" spans="1:13" x14ac:dyDescent="0.35">
      <c r="A51" s="1" t="s">
        <v>126</v>
      </c>
      <c r="B51" s="1" t="s">
        <v>127</v>
      </c>
      <c r="C51" s="1" t="s">
        <v>14</v>
      </c>
      <c r="D51" s="1" t="s">
        <v>15</v>
      </c>
      <c r="E51" s="1" t="s">
        <v>32</v>
      </c>
      <c r="F51" s="1" t="s">
        <v>25</v>
      </c>
      <c r="G51" s="1" t="s">
        <v>26</v>
      </c>
      <c r="H51" s="1">
        <v>15702</v>
      </c>
      <c r="I51" s="1" t="s">
        <v>19</v>
      </c>
      <c r="J51" s="1">
        <v>0.2</v>
      </c>
      <c r="K51" s="1">
        <v>14000</v>
      </c>
      <c r="L51" s="2">
        <v>45326</v>
      </c>
      <c r="M51" s="10" t="str">
        <f t="shared" si="0"/>
        <v>Target Achieved</v>
      </c>
    </row>
    <row r="52" spans="1:13" x14ac:dyDescent="0.35">
      <c r="A52" s="1" t="s">
        <v>128</v>
      </c>
      <c r="B52" s="1" t="s">
        <v>129</v>
      </c>
      <c r="C52" s="1" t="s">
        <v>30</v>
      </c>
      <c r="D52" s="1" t="s">
        <v>31</v>
      </c>
      <c r="E52" s="1" t="s">
        <v>16</v>
      </c>
      <c r="F52" s="1" t="s">
        <v>39</v>
      </c>
      <c r="G52" s="1" t="s">
        <v>18</v>
      </c>
      <c r="H52" s="1">
        <v>16760</v>
      </c>
      <c r="I52" s="1" t="s">
        <v>19</v>
      </c>
      <c r="J52" s="1">
        <v>0.2</v>
      </c>
      <c r="K52" s="1">
        <v>17000</v>
      </c>
      <c r="L52" s="2">
        <v>45294</v>
      </c>
      <c r="M52" s="10" t="str">
        <f t="shared" si="0"/>
        <v>Below Target</v>
      </c>
    </row>
    <row r="53" spans="1:13" x14ac:dyDescent="0.35">
      <c r="A53" s="1" t="s">
        <v>130</v>
      </c>
      <c r="B53" s="1" t="s">
        <v>131</v>
      </c>
      <c r="C53" s="1" t="s">
        <v>14</v>
      </c>
      <c r="D53" s="1" t="s">
        <v>15</v>
      </c>
      <c r="E53" s="1" t="s">
        <v>46</v>
      </c>
      <c r="F53" s="1" t="s">
        <v>25</v>
      </c>
      <c r="G53" s="1" t="s">
        <v>26</v>
      </c>
      <c r="H53" s="1">
        <v>13022</v>
      </c>
      <c r="I53" s="1" t="s">
        <v>22</v>
      </c>
      <c r="J53" s="1">
        <v>0.1</v>
      </c>
      <c r="K53" s="1">
        <v>14000</v>
      </c>
      <c r="L53" s="2">
        <v>45314</v>
      </c>
      <c r="M53" s="10" t="str">
        <f t="shared" si="0"/>
        <v>Below Target</v>
      </c>
    </row>
    <row r="54" spans="1:13" x14ac:dyDescent="0.35">
      <c r="A54" s="1" t="s">
        <v>132</v>
      </c>
      <c r="B54" s="1" t="s">
        <v>133</v>
      </c>
      <c r="C54" s="1" t="s">
        <v>61</v>
      </c>
      <c r="D54" s="1" t="s">
        <v>62</v>
      </c>
      <c r="E54" s="1" t="s">
        <v>16</v>
      </c>
      <c r="F54" s="1" t="s">
        <v>39</v>
      </c>
      <c r="G54" s="1" t="s">
        <v>18</v>
      </c>
      <c r="H54" s="1">
        <v>10791</v>
      </c>
      <c r="I54" s="1" t="s">
        <v>19</v>
      </c>
      <c r="J54" s="1">
        <v>0.2</v>
      </c>
      <c r="K54" s="1">
        <v>9000</v>
      </c>
      <c r="L54" s="2">
        <v>45347</v>
      </c>
      <c r="M54" s="10" t="str">
        <f t="shared" si="0"/>
        <v>Target Achieved</v>
      </c>
    </row>
    <row r="55" spans="1:13" x14ac:dyDescent="0.35">
      <c r="A55" s="1" t="s">
        <v>134</v>
      </c>
      <c r="B55" s="1" t="s">
        <v>135</v>
      </c>
      <c r="C55" s="1" t="s">
        <v>44</v>
      </c>
      <c r="D55" s="1" t="s">
        <v>45</v>
      </c>
      <c r="E55" s="1" t="s">
        <v>46</v>
      </c>
      <c r="F55" s="1" t="s">
        <v>25</v>
      </c>
      <c r="G55" s="1" t="s">
        <v>18</v>
      </c>
      <c r="H55" s="1">
        <v>14016</v>
      </c>
      <c r="I55" s="1" t="s">
        <v>33</v>
      </c>
      <c r="J55" s="1">
        <v>0.3</v>
      </c>
      <c r="K55" s="1">
        <v>13000</v>
      </c>
      <c r="L55" s="2">
        <v>45342</v>
      </c>
      <c r="M55" s="10" t="str">
        <f t="shared" si="0"/>
        <v>Target Achieved</v>
      </c>
    </row>
    <row r="56" spans="1:13" x14ac:dyDescent="0.35">
      <c r="A56" s="1" t="s">
        <v>136</v>
      </c>
      <c r="B56" s="1" t="s">
        <v>137</v>
      </c>
      <c r="C56" s="1" t="s">
        <v>44</v>
      </c>
      <c r="D56" s="1" t="s">
        <v>45</v>
      </c>
      <c r="E56" s="1" t="s">
        <v>46</v>
      </c>
      <c r="F56" s="1" t="s">
        <v>25</v>
      </c>
      <c r="G56" s="1" t="s">
        <v>26</v>
      </c>
      <c r="H56" s="1">
        <v>11442</v>
      </c>
      <c r="I56" s="1"/>
      <c r="J56" s="1"/>
      <c r="K56" s="1">
        <v>13000</v>
      </c>
      <c r="L56" s="2">
        <v>45347</v>
      </c>
      <c r="M56" s="10" t="str">
        <f t="shared" si="0"/>
        <v>Below Target</v>
      </c>
    </row>
    <row r="57" spans="1:13" x14ac:dyDescent="0.35">
      <c r="A57" s="1" t="s">
        <v>138</v>
      </c>
      <c r="B57" s="1" t="s">
        <v>129</v>
      </c>
      <c r="C57" s="1" t="s">
        <v>61</v>
      </c>
      <c r="D57" s="1" t="s">
        <v>62</v>
      </c>
      <c r="E57" s="1" t="s">
        <v>32</v>
      </c>
      <c r="F57" s="1" t="s">
        <v>25</v>
      </c>
      <c r="G57" s="1" t="s">
        <v>36</v>
      </c>
      <c r="H57" s="1">
        <v>8432</v>
      </c>
      <c r="I57" s="1" t="s">
        <v>33</v>
      </c>
      <c r="J57" s="1">
        <v>0.3</v>
      </c>
      <c r="K57" s="1">
        <v>9000</v>
      </c>
      <c r="L57" s="2">
        <v>45344</v>
      </c>
      <c r="M57" s="10" t="str">
        <f t="shared" si="0"/>
        <v>Below Target</v>
      </c>
    </row>
    <row r="58" spans="1:13" x14ac:dyDescent="0.35">
      <c r="A58" s="1" t="s">
        <v>139</v>
      </c>
      <c r="B58" s="1" t="s">
        <v>140</v>
      </c>
      <c r="C58" s="1" t="s">
        <v>44</v>
      </c>
      <c r="D58" s="1" t="s">
        <v>45</v>
      </c>
      <c r="E58" s="1" t="s">
        <v>32</v>
      </c>
      <c r="F58" s="1" t="s">
        <v>25</v>
      </c>
      <c r="G58" s="1" t="s">
        <v>26</v>
      </c>
      <c r="H58" s="1">
        <v>11791</v>
      </c>
      <c r="I58" s="1"/>
      <c r="J58" s="1"/>
      <c r="K58" s="1">
        <v>13000</v>
      </c>
      <c r="L58" s="2">
        <v>45313</v>
      </c>
      <c r="M58" s="10" t="str">
        <f t="shared" si="0"/>
        <v>Below Target</v>
      </c>
    </row>
    <row r="59" spans="1:13" x14ac:dyDescent="0.35">
      <c r="A59" s="1" t="s">
        <v>141</v>
      </c>
      <c r="B59" s="1" t="s">
        <v>142</v>
      </c>
      <c r="C59" s="1" t="s">
        <v>14</v>
      </c>
      <c r="D59" s="1" t="s">
        <v>15</v>
      </c>
      <c r="E59" s="1" t="s">
        <v>46</v>
      </c>
      <c r="F59" s="1" t="s">
        <v>17</v>
      </c>
      <c r="G59" s="1" t="s">
        <v>26</v>
      </c>
      <c r="H59" s="1">
        <v>14086</v>
      </c>
      <c r="I59" s="1"/>
      <c r="J59" s="1"/>
      <c r="K59" s="1">
        <v>14000</v>
      </c>
      <c r="L59" s="2">
        <v>45335</v>
      </c>
      <c r="M59" s="10" t="str">
        <f t="shared" si="0"/>
        <v>Target Achieved</v>
      </c>
    </row>
    <row r="60" spans="1:13" x14ac:dyDescent="0.35">
      <c r="A60" s="1" t="s">
        <v>143</v>
      </c>
      <c r="B60" s="1" t="s">
        <v>144</v>
      </c>
      <c r="C60" s="1" t="s">
        <v>30</v>
      </c>
      <c r="D60" s="1" t="s">
        <v>31</v>
      </c>
      <c r="E60" s="1" t="s">
        <v>32</v>
      </c>
      <c r="F60" s="1" t="s">
        <v>25</v>
      </c>
      <c r="G60" s="1" t="s">
        <v>36</v>
      </c>
      <c r="H60" s="1">
        <v>15731</v>
      </c>
      <c r="I60" s="1" t="s">
        <v>27</v>
      </c>
      <c r="J60" s="1"/>
      <c r="K60" s="1">
        <v>17000</v>
      </c>
      <c r="L60" s="2">
        <v>45308</v>
      </c>
      <c r="M60" s="10" t="str">
        <f t="shared" si="0"/>
        <v>Below Target</v>
      </c>
    </row>
    <row r="61" spans="1:13" x14ac:dyDescent="0.35">
      <c r="A61" s="1" t="s">
        <v>145</v>
      </c>
      <c r="B61" s="1" t="s">
        <v>76</v>
      </c>
      <c r="C61" s="1" t="s">
        <v>61</v>
      </c>
      <c r="D61" s="1" t="s">
        <v>62</v>
      </c>
      <c r="E61" s="1" t="s">
        <v>46</v>
      </c>
      <c r="F61" s="1" t="s">
        <v>39</v>
      </c>
      <c r="G61" s="1" t="s">
        <v>36</v>
      </c>
      <c r="H61" s="1">
        <v>8787</v>
      </c>
      <c r="I61" s="1" t="s">
        <v>27</v>
      </c>
      <c r="J61" s="1"/>
      <c r="K61" s="1">
        <v>9000</v>
      </c>
      <c r="L61" s="2">
        <v>45324</v>
      </c>
      <c r="M61" s="10" t="str">
        <f t="shared" si="0"/>
        <v>Below Target</v>
      </c>
    </row>
    <row r="62" spans="1:13" x14ac:dyDescent="0.35">
      <c r="A62" s="1" t="s">
        <v>146</v>
      </c>
      <c r="B62" s="1" t="s">
        <v>66</v>
      </c>
      <c r="C62" s="1" t="s">
        <v>44</v>
      </c>
      <c r="D62" s="1" t="s">
        <v>45</v>
      </c>
      <c r="E62" s="1" t="s">
        <v>46</v>
      </c>
      <c r="F62" s="1" t="s">
        <v>25</v>
      </c>
      <c r="G62" s="1" t="s">
        <v>26</v>
      </c>
      <c r="H62" s="1">
        <v>12786</v>
      </c>
      <c r="I62" s="1" t="s">
        <v>22</v>
      </c>
      <c r="J62" s="1">
        <v>0.1</v>
      </c>
      <c r="K62" s="1">
        <v>13000</v>
      </c>
      <c r="L62" s="2">
        <v>45325</v>
      </c>
      <c r="M62" s="10" t="str">
        <f t="shared" si="0"/>
        <v>Below Target</v>
      </c>
    </row>
    <row r="63" spans="1:13" x14ac:dyDescent="0.35">
      <c r="A63" s="1" t="s">
        <v>147</v>
      </c>
      <c r="B63" s="1" t="s">
        <v>148</v>
      </c>
      <c r="C63" s="1" t="s">
        <v>44</v>
      </c>
      <c r="D63" s="1" t="s">
        <v>45</v>
      </c>
      <c r="E63" s="1" t="s">
        <v>46</v>
      </c>
      <c r="F63" s="1" t="s">
        <v>17</v>
      </c>
      <c r="G63" s="1" t="s">
        <v>18</v>
      </c>
      <c r="H63" s="1">
        <v>14886</v>
      </c>
      <c r="I63" s="1" t="s">
        <v>33</v>
      </c>
      <c r="J63" s="1">
        <v>0.3</v>
      </c>
      <c r="K63" s="1">
        <v>13000</v>
      </c>
      <c r="L63" s="2">
        <v>45331</v>
      </c>
      <c r="M63" s="10" t="str">
        <f t="shared" si="0"/>
        <v>Target Achieved</v>
      </c>
    </row>
    <row r="64" spans="1:13" x14ac:dyDescent="0.35">
      <c r="A64" s="1" t="s">
        <v>149</v>
      </c>
      <c r="B64" s="1" t="s">
        <v>150</v>
      </c>
      <c r="C64" s="1" t="s">
        <v>14</v>
      </c>
      <c r="D64" s="1" t="s">
        <v>15</v>
      </c>
      <c r="E64" s="1" t="s">
        <v>16</v>
      </c>
      <c r="F64" s="1" t="s">
        <v>17</v>
      </c>
      <c r="G64" s="1" t="s">
        <v>26</v>
      </c>
      <c r="H64" s="1">
        <v>13266</v>
      </c>
      <c r="I64" s="1"/>
      <c r="J64" s="1"/>
      <c r="K64" s="1">
        <v>14000</v>
      </c>
      <c r="L64" s="2">
        <v>45312</v>
      </c>
      <c r="M64" s="10" t="str">
        <f t="shared" si="0"/>
        <v>Below Target</v>
      </c>
    </row>
    <row r="65" spans="1:13" x14ac:dyDescent="0.35">
      <c r="A65" s="1" t="s">
        <v>151</v>
      </c>
      <c r="B65" s="1" t="s">
        <v>101</v>
      </c>
      <c r="C65" s="1" t="s">
        <v>30</v>
      </c>
      <c r="D65" s="1" t="s">
        <v>31</v>
      </c>
      <c r="E65" s="1" t="s">
        <v>16</v>
      </c>
      <c r="F65" s="1" t="s">
        <v>25</v>
      </c>
      <c r="G65" s="1" t="s">
        <v>18</v>
      </c>
      <c r="H65" s="1">
        <v>16722</v>
      </c>
      <c r="I65" s="1"/>
      <c r="J65" s="1"/>
      <c r="K65" s="1">
        <v>17000</v>
      </c>
      <c r="L65" s="2">
        <v>45335</v>
      </c>
      <c r="M65" s="10" t="str">
        <f t="shared" si="0"/>
        <v>Below Target</v>
      </c>
    </row>
    <row r="66" spans="1:13" x14ac:dyDescent="0.35">
      <c r="A66" s="1" t="s">
        <v>152</v>
      </c>
      <c r="B66" s="1" t="s">
        <v>153</v>
      </c>
      <c r="C66" s="1" t="s">
        <v>30</v>
      </c>
      <c r="D66" s="1" t="s">
        <v>31</v>
      </c>
      <c r="E66" s="1" t="s">
        <v>46</v>
      </c>
      <c r="F66" s="1" t="s">
        <v>39</v>
      </c>
      <c r="G66" s="1" t="s">
        <v>18</v>
      </c>
      <c r="H66" s="1">
        <v>16244</v>
      </c>
      <c r="I66" s="1" t="s">
        <v>33</v>
      </c>
      <c r="J66" s="1">
        <v>0.3</v>
      </c>
      <c r="K66" s="1">
        <v>17000</v>
      </c>
      <c r="L66" s="2">
        <v>45305</v>
      </c>
      <c r="M66" s="10" t="str">
        <f t="shared" si="0"/>
        <v>Below Target</v>
      </c>
    </row>
    <row r="67" spans="1:13" x14ac:dyDescent="0.35">
      <c r="A67" s="1" t="s">
        <v>154</v>
      </c>
      <c r="B67" s="1" t="s">
        <v>155</v>
      </c>
      <c r="C67" s="1" t="s">
        <v>30</v>
      </c>
      <c r="D67" s="1" t="s">
        <v>31</v>
      </c>
      <c r="E67" s="1" t="s">
        <v>46</v>
      </c>
      <c r="F67" s="1" t="s">
        <v>17</v>
      </c>
      <c r="G67" s="1" t="s">
        <v>36</v>
      </c>
      <c r="H67" s="1">
        <v>17767</v>
      </c>
      <c r="I67" s="1" t="s">
        <v>19</v>
      </c>
      <c r="J67" s="1">
        <v>0.2</v>
      </c>
      <c r="K67" s="1">
        <v>17000</v>
      </c>
      <c r="L67" s="2">
        <v>45324</v>
      </c>
      <c r="M67" s="10" t="str">
        <f t="shared" ref="M67:M130" si="1">IF(H67&gt;=K67,"Target Achieved","Below Target")</f>
        <v>Target Achieved</v>
      </c>
    </row>
    <row r="68" spans="1:13" x14ac:dyDescent="0.35">
      <c r="A68" s="1" t="s">
        <v>156</v>
      </c>
      <c r="B68" s="1" t="s">
        <v>157</v>
      </c>
      <c r="C68" s="1" t="s">
        <v>44</v>
      </c>
      <c r="D68" s="1" t="s">
        <v>45</v>
      </c>
      <c r="E68" s="1" t="s">
        <v>16</v>
      </c>
      <c r="F68" s="1" t="s">
        <v>25</v>
      </c>
      <c r="G68" s="1" t="s">
        <v>36</v>
      </c>
      <c r="H68" s="1">
        <v>13111</v>
      </c>
      <c r="I68" s="1" t="s">
        <v>27</v>
      </c>
      <c r="J68" s="1"/>
      <c r="K68" s="1">
        <v>13000</v>
      </c>
      <c r="L68" s="2">
        <v>45313</v>
      </c>
      <c r="M68" s="10" t="str">
        <f t="shared" si="1"/>
        <v>Target Achieved</v>
      </c>
    </row>
    <row r="69" spans="1:13" x14ac:dyDescent="0.35">
      <c r="A69" s="1" t="s">
        <v>158</v>
      </c>
      <c r="B69" s="1" t="s">
        <v>159</v>
      </c>
      <c r="C69" s="1" t="s">
        <v>44</v>
      </c>
      <c r="D69" s="1" t="s">
        <v>45</v>
      </c>
      <c r="E69" s="1" t="s">
        <v>16</v>
      </c>
      <c r="F69" s="1" t="s">
        <v>17</v>
      </c>
      <c r="G69" s="1" t="s">
        <v>18</v>
      </c>
      <c r="H69" s="1">
        <v>14303</v>
      </c>
      <c r="I69" s="1" t="s">
        <v>19</v>
      </c>
      <c r="J69" s="1">
        <v>0.2</v>
      </c>
      <c r="K69" s="1">
        <v>13000</v>
      </c>
      <c r="L69" s="2">
        <v>45301</v>
      </c>
      <c r="M69" s="10" t="str">
        <f t="shared" si="1"/>
        <v>Target Achieved</v>
      </c>
    </row>
    <row r="70" spans="1:13" x14ac:dyDescent="0.35">
      <c r="A70" s="1" t="s">
        <v>160</v>
      </c>
      <c r="B70" s="1" t="s">
        <v>161</v>
      </c>
      <c r="C70" s="1" t="s">
        <v>44</v>
      </c>
      <c r="D70" s="1" t="s">
        <v>45</v>
      </c>
      <c r="E70" s="1" t="s">
        <v>46</v>
      </c>
      <c r="F70" s="1" t="s">
        <v>39</v>
      </c>
      <c r="G70" s="1" t="s">
        <v>18</v>
      </c>
      <c r="H70" s="1">
        <v>12865</v>
      </c>
      <c r="I70" s="1"/>
      <c r="J70" s="1"/>
      <c r="K70" s="1">
        <v>13000</v>
      </c>
      <c r="L70" s="2">
        <v>45348</v>
      </c>
      <c r="M70" s="10" t="str">
        <f t="shared" si="1"/>
        <v>Below Target</v>
      </c>
    </row>
    <row r="71" spans="1:13" x14ac:dyDescent="0.35">
      <c r="A71" s="1" t="s">
        <v>162</v>
      </c>
      <c r="B71" s="1" t="s">
        <v>163</v>
      </c>
      <c r="C71" s="1" t="s">
        <v>44</v>
      </c>
      <c r="D71" s="1" t="s">
        <v>45</v>
      </c>
      <c r="E71" s="1" t="s">
        <v>16</v>
      </c>
      <c r="F71" s="1" t="s">
        <v>39</v>
      </c>
      <c r="G71" s="1" t="s">
        <v>36</v>
      </c>
      <c r="H71" s="1">
        <v>13024</v>
      </c>
      <c r="I71" s="1"/>
      <c r="J71" s="1"/>
      <c r="K71" s="1">
        <v>13000</v>
      </c>
      <c r="L71" s="2">
        <v>45307</v>
      </c>
      <c r="M71" s="10" t="str">
        <f t="shared" si="1"/>
        <v>Target Achieved</v>
      </c>
    </row>
    <row r="72" spans="1:13" x14ac:dyDescent="0.35">
      <c r="A72" s="1" t="s">
        <v>164</v>
      </c>
      <c r="B72" s="1" t="s">
        <v>113</v>
      </c>
      <c r="C72" s="1" t="s">
        <v>14</v>
      </c>
      <c r="D72" s="1" t="s">
        <v>15</v>
      </c>
      <c r="E72" s="1" t="s">
        <v>32</v>
      </c>
      <c r="F72" s="1" t="s">
        <v>17</v>
      </c>
      <c r="G72" s="1" t="s">
        <v>18</v>
      </c>
      <c r="H72" s="1">
        <v>12720</v>
      </c>
      <c r="I72" s="1" t="s">
        <v>27</v>
      </c>
      <c r="J72" s="1"/>
      <c r="K72" s="1">
        <v>14000</v>
      </c>
      <c r="L72" s="2">
        <v>45321</v>
      </c>
      <c r="M72" s="10" t="str">
        <f t="shared" si="1"/>
        <v>Below Target</v>
      </c>
    </row>
    <row r="73" spans="1:13" x14ac:dyDescent="0.35">
      <c r="A73" s="1" t="s">
        <v>165</v>
      </c>
      <c r="B73" s="1" t="s">
        <v>166</v>
      </c>
      <c r="C73" s="1" t="s">
        <v>44</v>
      </c>
      <c r="D73" s="1" t="s">
        <v>45</v>
      </c>
      <c r="E73" s="1" t="s">
        <v>32</v>
      </c>
      <c r="F73" s="1" t="s">
        <v>17</v>
      </c>
      <c r="G73" s="1" t="s">
        <v>18</v>
      </c>
      <c r="H73" s="1">
        <v>14282</v>
      </c>
      <c r="I73" s="1"/>
      <c r="J73" s="1"/>
      <c r="K73" s="1">
        <v>13000</v>
      </c>
      <c r="L73" s="2">
        <v>45334</v>
      </c>
      <c r="M73" s="10" t="str">
        <f t="shared" si="1"/>
        <v>Target Achieved</v>
      </c>
    </row>
    <row r="74" spans="1:13" x14ac:dyDescent="0.35">
      <c r="A74" s="1" t="s">
        <v>167</v>
      </c>
      <c r="B74" s="1" t="s">
        <v>168</v>
      </c>
      <c r="C74" s="1" t="s">
        <v>30</v>
      </c>
      <c r="D74" s="1" t="s">
        <v>31</v>
      </c>
      <c r="E74" s="1" t="s">
        <v>46</v>
      </c>
      <c r="F74" s="1" t="s">
        <v>39</v>
      </c>
      <c r="G74" s="1" t="s">
        <v>26</v>
      </c>
      <c r="H74" s="1">
        <v>18653</v>
      </c>
      <c r="I74" s="1" t="s">
        <v>27</v>
      </c>
      <c r="J74" s="1"/>
      <c r="K74" s="1">
        <v>17000</v>
      </c>
      <c r="L74" s="2">
        <v>45319</v>
      </c>
      <c r="M74" s="10" t="str">
        <f t="shared" si="1"/>
        <v>Target Achieved</v>
      </c>
    </row>
    <row r="75" spans="1:13" x14ac:dyDescent="0.35">
      <c r="A75" s="1" t="s">
        <v>169</v>
      </c>
      <c r="B75" s="1" t="s">
        <v>144</v>
      </c>
      <c r="C75" s="1" t="s">
        <v>61</v>
      </c>
      <c r="D75" s="1" t="s">
        <v>62</v>
      </c>
      <c r="E75" s="1" t="s">
        <v>32</v>
      </c>
      <c r="F75" s="1" t="s">
        <v>39</v>
      </c>
      <c r="G75" s="1" t="s">
        <v>36</v>
      </c>
      <c r="H75" s="1">
        <v>8843</v>
      </c>
      <c r="I75" s="1" t="s">
        <v>33</v>
      </c>
      <c r="J75" s="1">
        <v>0.3</v>
      </c>
      <c r="K75" s="1">
        <v>9000</v>
      </c>
      <c r="L75" s="2">
        <v>45340</v>
      </c>
      <c r="M75" s="10" t="str">
        <f t="shared" si="1"/>
        <v>Below Target</v>
      </c>
    </row>
    <row r="76" spans="1:13" x14ac:dyDescent="0.35">
      <c r="A76" s="1" t="s">
        <v>170</v>
      </c>
      <c r="B76" s="1" t="s">
        <v>171</v>
      </c>
      <c r="C76" s="1" t="s">
        <v>30</v>
      </c>
      <c r="D76" s="1" t="s">
        <v>31</v>
      </c>
      <c r="E76" s="1" t="s">
        <v>16</v>
      </c>
      <c r="F76" s="1" t="s">
        <v>17</v>
      </c>
      <c r="G76" s="1" t="s">
        <v>26</v>
      </c>
      <c r="H76" s="1">
        <v>15979</v>
      </c>
      <c r="I76" s="1" t="s">
        <v>33</v>
      </c>
      <c r="J76" s="1">
        <v>0.3</v>
      </c>
      <c r="K76" s="1">
        <v>17000</v>
      </c>
      <c r="L76" s="2">
        <v>45320</v>
      </c>
      <c r="M76" s="10" t="str">
        <f t="shared" si="1"/>
        <v>Below Target</v>
      </c>
    </row>
    <row r="77" spans="1:13" x14ac:dyDescent="0.35">
      <c r="A77" s="1" t="s">
        <v>172</v>
      </c>
      <c r="B77" s="1" t="s">
        <v>173</v>
      </c>
      <c r="C77" s="1" t="s">
        <v>30</v>
      </c>
      <c r="D77" s="1" t="s">
        <v>31</v>
      </c>
      <c r="E77" s="1" t="s">
        <v>32</v>
      </c>
      <c r="F77" s="1" t="s">
        <v>17</v>
      </c>
      <c r="G77" s="1" t="s">
        <v>36</v>
      </c>
      <c r="H77" s="1">
        <v>16309</v>
      </c>
      <c r="I77" s="1" t="s">
        <v>27</v>
      </c>
      <c r="J77" s="1"/>
      <c r="K77" s="1">
        <v>17000</v>
      </c>
      <c r="L77" s="2">
        <v>45297</v>
      </c>
      <c r="M77" s="10" t="str">
        <f t="shared" si="1"/>
        <v>Below Target</v>
      </c>
    </row>
    <row r="78" spans="1:13" x14ac:dyDescent="0.35">
      <c r="A78" s="1" t="s">
        <v>174</v>
      </c>
      <c r="B78" s="1" t="s">
        <v>175</v>
      </c>
      <c r="C78" s="1" t="s">
        <v>44</v>
      </c>
      <c r="D78" s="1" t="s">
        <v>45</v>
      </c>
      <c r="E78" s="1" t="s">
        <v>46</v>
      </c>
      <c r="F78" s="1" t="s">
        <v>39</v>
      </c>
      <c r="G78" s="1" t="s">
        <v>18</v>
      </c>
      <c r="H78" s="1">
        <v>13893</v>
      </c>
      <c r="I78" s="1" t="s">
        <v>19</v>
      </c>
      <c r="J78" s="1">
        <v>0.2</v>
      </c>
      <c r="K78" s="1">
        <v>13000</v>
      </c>
      <c r="L78" s="2">
        <v>45296</v>
      </c>
      <c r="M78" s="10" t="str">
        <f t="shared" si="1"/>
        <v>Target Achieved</v>
      </c>
    </row>
    <row r="79" spans="1:13" x14ac:dyDescent="0.35">
      <c r="A79" s="1" t="s">
        <v>176</v>
      </c>
      <c r="B79" s="1" t="s">
        <v>177</v>
      </c>
      <c r="C79" s="1" t="s">
        <v>30</v>
      </c>
      <c r="D79" s="1" t="s">
        <v>31</v>
      </c>
      <c r="E79" s="1" t="s">
        <v>16</v>
      </c>
      <c r="F79" s="1" t="s">
        <v>17</v>
      </c>
      <c r="G79" s="1" t="s">
        <v>36</v>
      </c>
      <c r="H79" s="1">
        <v>15255</v>
      </c>
      <c r="I79" s="1" t="s">
        <v>19</v>
      </c>
      <c r="J79" s="1">
        <v>0.2</v>
      </c>
      <c r="K79" s="1">
        <v>17000</v>
      </c>
      <c r="L79" s="2">
        <v>45345</v>
      </c>
      <c r="M79" s="10" t="str">
        <f t="shared" si="1"/>
        <v>Below Target</v>
      </c>
    </row>
    <row r="80" spans="1:13" x14ac:dyDescent="0.35">
      <c r="A80" s="1" t="s">
        <v>178</v>
      </c>
      <c r="B80" s="1" t="s">
        <v>177</v>
      </c>
      <c r="C80" s="1" t="s">
        <v>14</v>
      </c>
      <c r="D80" s="1" t="s">
        <v>15</v>
      </c>
      <c r="E80" s="1" t="s">
        <v>16</v>
      </c>
      <c r="F80" s="1" t="s">
        <v>17</v>
      </c>
      <c r="G80" s="1" t="s">
        <v>36</v>
      </c>
      <c r="H80" s="1">
        <v>12024</v>
      </c>
      <c r="I80" s="1" t="s">
        <v>33</v>
      </c>
      <c r="J80" s="1">
        <v>0.3</v>
      </c>
      <c r="K80" s="1">
        <v>14000</v>
      </c>
      <c r="L80" s="2">
        <v>45311</v>
      </c>
      <c r="M80" s="10" t="str">
        <f t="shared" si="1"/>
        <v>Below Target</v>
      </c>
    </row>
    <row r="81" spans="1:13" x14ac:dyDescent="0.35">
      <c r="A81" s="1" t="s">
        <v>179</v>
      </c>
      <c r="B81" s="1" t="s">
        <v>180</v>
      </c>
      <c r="C81" s="1" t="s">
        <v>61</v>
      </c>
      <c r="D81" s="1" t="s">
        <v>62</v>
      </c>
      <c r="E81" s="1" t="s">
        <v>16</v>
      </c>
      <c r="F81" s="1" t="s">
        <v>39</v>
      </c>
      <c r="G81" s="1" t="s">
        <v>26</v>
      </c>
      <c r="H81" s="1">
        <v>9236</v>
      </c>
      <c r="I81" s="1" t="s">
        <v>27</v>
      </c>
      <c r="J81" s="1"/>
      <c r="K81" s="1">
        <v>9000</v>
      </c>
      <c r="L81" s="2">
        <v>45349</v>
      </c>
      <c r="M81" s="10" t="str">
        <f t="shared" si="1"/>
        <v>Target Achieved</v>
      </c>
    </row>
    <row r="82" spans="1:13" x14ac:dyDescent="0.35">
      <c r="A82" s="1" t="s">
        <v>181</v>
      </c>
      <c r="B82" s="1" t="s">
        <v>29</v>
      </c>
      <c r="C82" s="1" t="s">
        <v>44</v>
      </c>
      <c r="D82" s="1" t="s">
        <v>45</v>
      </c>
      <c r="E82" s="1" t="s">
        <v>46</v>
      </c>
      <c r="F82" s="1" t="s">
        <v>17</v>
      </c>
      <c r="G82" s="1" t="s">
        <v>36</v>
      </c>
      <c r="H82" s="1">
        <v>11118</v>
      </c>
      <c r="I82" s="1"/>
      <c r="J82" s="1"/>
      <c r="K82" s="1">
        <v>13000</v>
      </c>
      <c r="L82" s="2">
        <v>45313</v>
      </c>
      <c r="M82" s="10" t="str">
        <f t="shared" si="1"/>
        <v>Below Target</v>
      </c>
    </row>
    <row r="83" spans="1:13" x14ac:dyDescent="0.35">
      <c r="A83" s="1" t="s">
        <v>182</v>
      </c>
      <c r="B83" s="1" t="s">
        <v>92</v>
      </c>
      <c r="C83" s="1" t="s">
        <v>61</v>
      </c>
      <c r="D83" s="1" t="s">
        <v>62</v>
      </c>
      <c r="E83" s="1" t="s">
        <v>16</v>
      </c>
      <c r="F83" s="1" t="s">
        <v>25</v>
      </c>
      <c r="G83" s="1" t="s">
        <v>36</v>
      </c>
      <c r="H83" s="1">
        <v>10766</v>
      </c>
      <c r="I83" s="1" t="s">
        <v>19</v>
      </c>
      <c r="J83" s="1">
        <v>0.2</v>
      </c>
      <c r="K83" s="1">
        <v>9000</v>
      </c>
      <c r="L83" s="2">
        <v>45331</v>
      </c>
      <c r="M83" s="10" t="str">
        <f t="shared" si="1"/>
        <v>Target Achieved</v>
      </c>
    </row>
    <row r="84" spans="1:13" x14ac:dyDescent="0.35">
      <c r="A84" s="1" t="s">
        <v>183</v>
      </c>
      <c r="B84" s="1" t="s">
        <v>184</v>
      </c>
      <c r="C84" s="1" t="s">
        <v>61</v>
      </c>
      <c r="D84" s="1" t="s">
        <v>62</v>
      </c>
      <c r="E84" s="1" t="s">
        <v>16</v>
      </c>
      <c r="F84" s="1" t="s">
        <v>39</v>
      </c>
      <c r="G84" s="1" t="s">
        <v>26</v>
      </c>
      <c r="H84" s="1">
        <v>7111</v>
      </c>
      <c r="I84" s="1" t="s">
        <v>22</v>
      </c>
      <c r="J84" s="1">
        <v>0.1</v>
      </c>
      <c r="K84" s="1">
        <v>9000</v>
      </c>
      <c r="L84" s="2">
        <v>45333</v>
      </c>
      <c r="M84" s="10" t="str">
        <f t="shared" si="1"/>
        <v>Below Target</v>
      </c>
    </row>
    <row r="85" spans="1:13" x14ac:dyDescent="0.35">
      <c r="A85" s="1" t="s">
        <v>185</v>
      </c>
      <c r="B85" s="1" t="s">
        <v>186</v>
      </c>
      <c r="C85" s="1" t="s">
        <v>61</v>
      </c>
      <c r="D85" s="1" t="s">
        <v>62</v>
      </c>
      <c r="E85" s="1" t="s">
        <v>32</v>
      </c>
      <c r="F85" s="1" t="s">
        <v>25</v>
      </c>
      <c r="G85" s="1" t="s">
        <v>36</v>
      </c>
      <c r="H85" s="1">
        <v>8552</v>
      </c>
      <c r="I85" s="1" t="s">
        <v>33</v>
      </c>
      <c r="J85" s="1">
        <v>0.3</v>
      </c>
      <c r="K85" s="1">
        <v>9000</v>
      </c>
      <c r="L85" s="2">
        <v>45305</v>
      </c>
      <c r="M85" s="10" t="str">
        <f t="shared" si="1"/>
        <v>Below Target</v>
      </c>
    </row>
    <row r="86" spans="1:13" x14ac:dyDescent="0.35">
      <c r="A86" s="1" t="s">
        <v>187</v>
      </c>
      <c r="B86" s="1" t="s">
        <v>188</v>
      </c>
      <c r="C86" s="1" t="s">
        <v>30</v>
      </c>
      <c r="D86" s="1" t="s">
        <v>31</v>
      </c>
      <c r="E86" s="1" t="s">
        <v>46</v>
      </c>
      <c r="F86" s="1" t="s">
        <v>17</v>
      </c>
      <c r="G86" s="1" t="s">
        <v>36</v>
      </c>
      <c r="H86" s="1">
        <v>16033</v>
      </c>
      <c r="I86" s="1" t="s">
        <v>22</v>
      </c>
      <c r="J86" s="1">
        <v>0.1</v>
      </c>
      <c r="K86" s="1">
        <v>17000</v>
      </c>
      <c r="L86" s="2">
        <v>45322</v>
      </c>
      <c r="M86" s="10" t="str">
        <f t="shared" si="1"/>
        <v>Below Target</v>
      </c>
    </row>
    <row r="87" spans="1:13" x14ac:dyDescent="0.35">
      <c r="A87" s="1" t="s">
        <v>189</v>
      </c>
      <c r="B87" s="1" t="s">
        <v>190</v>
      </c>
      <c r="C87" s="1" t="s">
        <v>14</v>
      </c>
      <c r="D87" s="1" t="s">
        <v>15</v>
      </c>
      <c r="E87" s="1" t="s">
        <v>46</v>
      </c>
      <c r="F87" s="1" t="s">
        <v>25</v>
      </c>
      <c r="G87" s="1" t="s">
        <v>26</v>
      </c>
      <c r="H87" s="1">
        <v>12281</v>
      </c>
      <c r="I87" s="1" t="s">
        <v>22</v>
      </c>
      <c r="J87" s="1">
        <v>0.1</v>
      </c>
      <c r="K87" s="1">
        <v>14000</v>
      </c>
      <c r="L87" s="2">
        <v>45340</v>
      </c>
      <c r="M87" s="10" t="str">
        <f t="shared" si="1"/>
        <v>Below Target</v>
      </c>
    </row>
    <row r="88" spans="1:13" x14ac:dyDescent="0.35">
      <c r="A88" s="1" t="s">
        <v>191</v>
      </c>
      <c r="B88" s="1" t="s">
        <v>192</v>
      </c>
      <c r="C88" s="1" t="s">
        <v>44</v>
      </c>
      <c r="D88" s="1" t="s">
        <v>45</v>
      </c>
      <c r="E88" s="1" t="s">
        <v>32</v>
      </c>
      <c r="F88" s="1" t="s">
        <v>39</v>
      </c>
      <c r="G88" s="1" t="s">
        <v>18</v>
      </c>
      <c r="H88" s="1">
        <v>11977</v>
      </c>
      <c r="I88" s="1" t="s">
        <v>19</v>
      </c>
      <c r="J88" s="1">
        <v>0.2</v>
      </c>
      <c r="K88" s="1">
        <v>13000</v>
      </c>
      <c r="L88" s="2">
        <v>45322</v>
      </c>
      <c r="M88" s="10" t="str">
        <f t="shared" si="1"/>
        <v>Below Target</v>
      </c>
    </row>
    <row r="89" spans="1:13" x14ac:dyDescent="0.35">
      <c r="A89" s="1" t="s">
        <v>193</v>
      </c>
      <c r="B89" s="1" t="s">
        <v>13</v>
      </c>
      <c r="C89" s="1" t="s">
        <v>44</v>
      </c>
      <c r="D89" s="1" t="s">
        <v>45</v>
      </c>
      <c r="E89" s="1" t="s">
        <v>46</v>
      </c>
      <c r="F89" s="1" t="s">
        <v>39</v>
      </c>
      <c r="G89" s="1" t="s">
        <v>36</v>
      </c>
      <c r="H89" s="1">
        <v>14141</v>
      </c>
      <c r="I89" s="1" t="s">
        <v>33</v>
      </c>
      <c r="J89" s="1">
        <v>0.3</v>
      </c>
      <c r="K89" s="1">
        <v>13000</v>
      </c>
      <c r="L89" s="2">
        <v>45302</v>
      </c>
      <c r="M89" s="10" t="str">
        <f t="shared" si="1"/>
        <v>Target Achieved</v>
      </c>
    </row>
    <row r="90" spans="1:13" x14ac:dyDescent="0.35">
      <c r="A90" s="1" t="s">
        <v>194</v>
      </c>
      <c r="B90" s="1" t="s">
        <v>195</v>
      </c>
      <c r="C90" s="1" t="s">
        <v>14</v>
      </c>
      <c r="D90" s="1" t="s">
        <v>15</v>
      </c>
      <c r="E90" s="1" t="s">
        <v>32</v>
      </c>
      <c r="F90" s="1" t="s">
        <v>17</v>
      </c>
      <c r="G90" s="1" t="s">
        <v>18</v>
      </c>
      <c r="H90" s="1">
        <v>14370</v>
      </c>
      <c r="I90" s="1" t="s">
        <v>22</v>
      </c>
      <c r="J90" s="1">
        <v>0.1</v>
      </c>
      <c r="K90" s="1">
        <v>14000</v>
      </c>
      <c r="L90" s="2">
        <v>45351</v>
      </c>
      <c r="M90" s="10" t="str">
        <f t="shared" si="1"/>
        <v>Target Achieved</v>
      </c>
    </row>
    <row r="91" spans="1:13" x14ac:dyDescent="0.35">
      <c r="A91" s="1" t="s">
        <v>196</v>
      </c>
      <c r="B91" s="1" t="s">
        <v>118</v>
      </c>
      <c r="C91" s="1" t="s">
        <v>61</v>
      </c>
      <c r="D91" s="1" t="s">
        <v>62</v>
      </c>
      <c r="E91" s="1" t="s">
        <v>46</v>
      </c>
      <c r="F91" s="1" t="s">
        <v>39</v>
      </c>
      <c r="G91" s="1" t="s">
        <v>18</v>
      </c>
      <c r="H91" s="1">
        <v>7311</v>
      </c>
      <c r="I91" s="1" t="s">
        <v>27</v>
      </c>
      <c r="J91" s="1"/>
      <c r="K91" s="1">
        <v>9000</v>
      </c>
      <c r="L91" s="2">
        <v>45336</v>
      </c>
      <c r="M91" s="10" t="str">
        <f t="shared" si="1"/>
        <v>Below Target</v>
      </c>
    </row>
    <row r="92" spans="1:13" x14ac:dyDescent="0.35">
      <c r="A92" s="1" t="s">
        <v>197</v>
      </c>
      <c r="B92" s="1" t="s">
        <v>198</v>
      </c>
      <c r="C92" s="1" t="s">
        <v>44</v>
      </c>
      <c r="D92" s="1" t="s">
        <v>45</v>
      </c>
      <c r="E92" s="1" t="s">
        <v>32</v>
      </c>
      <c r="F92" s="1" t="s">
        <v>39</v>
      </c>
      <c r="G92" s="1" t="s">
        <v>36</v>
      </c>
      <c r="H92" s="1">
        <v>14482</v>
      </c>
      <c r="I92" s="1" t="s">
        <v>27</v>
      </c>
      <c r="J92" s="1"/>
      <c r="K92" s="1">
        <v>13000</v>
      </c>
      <c r="L92" s="2">
        <v>45343</v>
      </c>
      <c r="M92" s="10" t="str">
        <f t="shared" si="1"/>
        <v>Target Achieved</v>
      </c>
    </row>
    <row r="93" spans="1:13" x14ac:dyDescent="0.35">
      <c r="A93" s="1" t="s">
        <v>199</v>
      </c>
      <c r="B93" s="1" t="s">
        <v>200</v>
      </c>
      <c r="C93" s="1" t="s">
        <v>14</v>
      </c>
      <c r="D93" s="1" t="s">
        <v>15</v>
      </c>
      <c r="E93" s="1" t="s">
        <v>46</v>
      </c>
      <c r="F93" s="1" t="s">
        <v>39</v>
      </c>
      <c r="G93" s="1" t="s">
        <v>36</v>
      </c>
      <c r="H93" s="1">
        <v>14709</v>
      </c>
      <c r="I93" s="1" t="s">
        <v>33</v>
      </c>
      <c r="J93" s="1">
        <v>0.3</v>
      </c>
      <c r="K93" s="1">
        <v>14000</v>
      </c>
      <c r="L93" s="2">
        <v>45296</v>
      </c>
      <c r="M93" s="10" t="str">
        <f t="shared" si="1"/>
        <v>Target Achieved</v>
      </c>
    </row>
    <row r="94" spans="1:13" x14ac:dyDescent="0.35">
      <c r="A94" s="1" t="s">
        <v>201</v>
      </c>
      <c r="B94" s="1" t="s">
        <v>202</v>
      </c>
      <c r="C94" s="1" t="s">
        <v>30</v>
      </c>
      <c r="D94" s="1" t="s">
        <v>31</v>
      </c>
      <c r="E94" s="1" t="s">
        <v>32</v>
      </c>
      <c r="F94" s="1" t="s">
        <v>17</v>
      </c>
      <c r="G94" s="1" t="s">
        <v>36</v>
      </c>
      <c r="H94" s="1">
        <v>15432</v>
      </c>
      <c r="I94" s="1"/>
      <c r="J94" s="1"/>
      <c r="K94" s="1">
        <v>17000</v>
      </c>
      <c r="L94" s="2">
        <v>45315</v>
      </c>
      <c r="M94" s="10" t="str">
        <f t="shared" si="1"/>
        <v>Below Target</v>
      </c>
    </row>
    <row r="95" spans="1:13" x14ac:dyDescent="0.35">
      <c r="A95" s="1" t="s">
        <v>203</v>
      </c>
      <c r="B95" s="1" t="s">
        <v>204</v>
      </c>
      <c r="C95" s="1" t="s">
        <v>61</v>
      </c>
      <c r="D95" s="1" t="s">
        <v>62</v>
      </c>
      <c r="E95" s="1" t="s">
        <v>16</v>
      </c>
      <c r="F95" s="1" t="s">
        <v>25</v>
      </c>
      <c r="G95" s="1" t="s">
        <v>36</v>
      </c>
      <c r="H95" s="1">
        <v>7721</v>
      </c>
      <c r="I95" s="1" t="s">
        <v>27</v>
      </c>
      <c r="J95" s="1"/>
      <c r="K95" s="1">
        <v>9000</v>
      </c>
      <c r="L95" s="2">
        <v>45333</v>
      </c>
      <c r="M95" s="10" t="str">
        <f t="shared" si="1"/>
        <v>Below Target</v>
      </c>
    </row>
    <row r="96" spans="1:13" x14ac:dyDescent="0.35">
      <c r="A96" s="1" t="s">
        <v>205</v>
      </c>
      <c r="B96" s="1" t="s">
        <v>118</v>
      </c>
      <c r="C96" s="1" t="s">
        <v>61</v>
      </c>
      <c r="D96" s="1" t="s">
        <v>62</v>
      </c>
      <c r="E96" s="1" t="s">
        <v>46</v>
      </c>
      <c r="F96" s="1" t="s">
        <v>17</v>
      </c>
      <c r="G96" s="1" t="s">
        <v>26</v>
      </c>
      <c r="H96" s="1">
        <v>9426</v>
      </c>
      <c r="I96" s="1" t="s">
        <v>33</v>
      </c>
      <c r="J96" s="1">
        <v>0.3</v>
      </c>
      <c r="K96" s="1">
        <v>9000</v>
      </c>
      <c r="L96" s="2">
        <v>45312</v>
      </c>
      <c r="M96" s="10" t="str">
        <f t="shared" si="1"/>
        <v>Target Achieved</v>
      </c>
    </row>
    <row r="97" spans="1:13" x14ac:dyDescent="0.35">
      <c r="A97" s="1" t="s">
        <v>206</v>
      </c>
      <c r="B97" s="1" t="s">
        <v>207</v>
      </c>
      <c r="C97" s="1" t="s">
        <v>14</v>
      </c>
      <c r="D97" s="1" t="s">
        <v>15</v>
      </c>
      <c r="E97" s="1" t="s">
        <v>46</v>
      </c>
      <c r="F97" s="1" t="s">
        <v>17</v>
      </c>
      <c r="G97" s="1" t="s">
        <v>18</v>
      </c>
      <c r="H97" s="1">
        <v>15073</v>
      </c>
      <c r="I97" s="1"/>
      <c r="J97" s="1"/>
      <c r="K97" s="1">
        <v>14000</v>
      </c>
      <c r="L97" s="2">
        <v>45328</v>
      </c>
      <c r="M97" s="10" t="str">
        <f t="shared" si="1"/>
        <v>Target Achieved</v>
      </c>
    </row>
    <row r="98" spans="1:13" x14ac:dyDescent="0.35">
      <c r="A98" s="1" t="s">
        <v>208</v>
      </c>
      <c r="B98" s="1" t="s">
        <v>209</v>
      </c>
      <c r="C98" s="1" t="s">
        <v>61</v>
      </c>
      <c r="D98" s="1" t="s">
        <v>62</v>
      </c>
      <c r="E98" s="1" t="s">
        <v>46</v>
      </c>
      <c r="F98" s="1" t="s">
        <v>25</v>
      </c>
      <c r="G98" s="1" t="s">
        <v>36</v>
      </c>
      <c r="H98" s="1">
        <v>10485</v>
      </c>
      <c r="I98" s="1" t="s">
        <v>33</v>
      </c>
      <c r="J98" s="1">
        <v>0.3</v>
      </c>
      <c r="K98" s="1">
        <v>9000</v>
      </c>
      <c r="L98" s="2">
        <v>45303</v>
      </c>
      <c r="M98" s="10" t="str">
        <f t="shared" si="1"/>
        <v>Target Achieved</v>
      </c>
    </row>
    <row r="99" spans="1:13" x14ac:dyDescent="0.35">
      <c r="A99" s="1" t="s">
        <v>210</v>
      </c>
      <c r="B99" s="1" t="s">
        <v>211</v>
      </c>
      <c r="C99" s="1" t="s">
        <v>30</v>
      </c>
      <c r="D99" s="1" t="s">
        <v>31</v>
      </c>
      <c r="E99" s="1" t="s">
        <v>46</v>
      </c>
      <c r="F99" s="1" t="s">
        <v>17</v>
      </c>
      <c r="G99" s="1" t="s">
        <v>36</v>
      </c>
      <c r="H99" s="1">
        <v>18605</v>
      </c>
      <c r="I99" s="1" t="s">
        <v>27</v>
      </c>
      <c r="J99" s="1"/>
      <c r="K99" s="1">
        <v>17000</v>
      </c>
      <c r="L99" s="2">
        <v>45336</v>
      </c>
      <c r="M99" s="10" t="str">
        <f t="shared" si="1"/>
        <v>Target Achieved</v>
      </c>
    </row>
    <row r="100" spans="1:13" x14ac:dyDescent="0.35">
      <c r="A100" s="1" t="s">
        <v>212</v>
      </c>
      <c r="B100" s="1" t="s">
        <v>111</v>
      </c>
      <c r="C100" s="1" t="s">
        <v>14</v>
      </c>
      <c r="D100" s="1" t="s">
        <v>15</v>
      </c>
      <c r="E100" s="1" t="s">
        <v>16</v>
      </c>
      <c r="F100" s="1" t="s">
        <v>25</v>
      </c>
      <c r="G100" s="1" t="s">
        <v>18</v>
      </c>
      <c r="H100" s="1">
        <v>12988</v>
      </c>
      <c r="I100" s="1"/>
      <c r="J100" s="1"/>
      <c r="K100" s="1">
        <v>14000</v>
      </c>
      <c r="L100" s="2">
        <v>45323</v>
      </c>
      <c r="M100" s="10" t="str">
        <f t="shared" si="1"/>
        <v>Below Target</v>
      </c>
    </row>
    <row r="101" spans="1:13" x14ac:dyDescent="0.35">
      <c r="A101" s="1" t="s">
        <v>213</v>
      </c>
      <c r="B101" s="1" t="s">
        <v>82</v>
      </c>
      <c r="C101" s="1" t="s">
        <v>44</v>
      </c>
      <c r="D101" s="1" t="s">
        <v>45</v>
      </c>
      <c r="E101" s="1" t="s">
        <v>16</v>
      </c>
      <c r="F101" s="1" t="s">
        <v>17</v>
      </c>
      <c r="G101" s="1" t="s">
        <v>26</v>
      </c>
      <c r="H101" s="1">
        <v>13915</v>
      </c>
      <c r="I101" s="1"/>
      <c r="J101" s="1"/>
      <c r="K101" s="1">
        <v>13000</v>
      </c>
      <c r="L101" s="2">
        <v>45320</v>
      </c>
      <c r="M101" s="10" t="str">
        <f t="shared" si="1"/>
        <v>Target Achieved</v>
      </c>
    </row>
    <row r="102" spans="1:13" x14ac:dyDescent="0.35">
      <c r="A102" s="1" t="s">
        <v>214</v>
      </c>
      <c r="B102" s="1" t="s">
        <v>64</v>
      </c>
      <c r="C102" s="1" t="s">
        <v>14</v>
      </c>
      <c r="D102" s="1" t="s">
        <v>15</v>
      </c>
      <c r="E102" s="1" t="s">
        <v>46</v>
      </c>
      <c r="F102" s="1" t="s">
        <v>25</v>
      </c>
      <c r="G102" s="1" t="s">
        <v>36</v>
      </c>
      <c r="H102" s="1">
        <v>14833</v>
      </c>
      <c r="I102" s="1" t="s">
        <v>19</v>
      </c>
      <c r="J102" s="1">
        <v>0.2</v>
      </c>
      <c r="K102" s="1">
        <v>14000</v>
      </c>
      <c r="L102" s="2">
        <v>45311</v>
      </c>
      <c r="M102" s="10" t="str">
        <f t="shared" si="1"/>
        <v>Target Achieved</v>
      </c>
    </row>
    <row r="103" spans="1:13" x14ac:dyDescent="0.35">
      <c r="A103" s="1" t="s">
        <v>215</v>
      </c>
      <c r="B103" s="1" t="s">
        <v>163</v>
      </c>
      <c r="C103" s="1" t="s">
        <v>30</v>
      </c>
      <c r="D103" s="1" t="s">
        <v>31</v>
      </c>
      <c r="E103" s="1" t="s">
        <v>46</v>
      </c>
      <c r="F103" s="1" t="s">
        <v>39</v>
      </c>
      <c r="G103" s="1" t="s">
        <v>26</v>
      </c>
      <c r="H103" s="1">
        <v>16408</v>
      </c>
      <c r="I103" s="1"/>
      <c r="J103" s="1"/>
      <c r="K103" s="1">
        <v>17000</v>
      </c>
      <c r="L103" s="2">
        <v>45339</v>
      </c>
      <c r="M103" s="10" t="str">
        <f t="shared" si="1"/>
        <v>Below Target</v>
      </c>
    </row>
    <row r="104" spans="1:13" x14ac:dyDescent="0.35">
      <c r="A104" s="1" t="s">
        <v>216</v>
      </c>
      <c r="B104" s="1" t="s">
        <v>217</v>
      </c>
      <c r="C104" s="1" t="s">
        <v>30</v>
      </c>
      <c r="D104" s="1" t="s">
        <v>31</v>
      </c>
      <c r="E104" s="1" t="s">
        <v>16</v>
      </c>
      <c r="F104" s="1" t="s">
        <v>17</v>
      </c>
      <c r="G104" s="1" t="s">
        <v>36</v>
      </c>
      <c r="H104" s="1">
        <v>16255</v>
      </c>
      <c r="I104" s="1" t="s">
        <v>33</v>
      </c>
      <c r="J104" s="1">
        <v>0.3</v>
      </c>
      <c r="K104" s="1">
        <v>17000</v>
      </c>
      <c r="L104" s="2">
        <v>45306</v>
      </c>
      <c r="M104" s="10" t="str">
        <f t="shared" si="1"/>
        <v>Below Target</v>
      </c>
    </row>
    <row r="105" spans="1:13" x14ac:dyDescent="0.35">
      <c r="A105" s="1" t="s">
        <v>218</v>
      </c>
      <c r="B105" s="1" t="s">
        <v>173</v>
      </c>
      <c r="C105" s="1" t="s">
        <v>44</v>
      </c>
      <c r="D105" s="1" t="s">
        <v>45</v>
      </c>
      <c r="E105" s="1" t="s">
        <v>46</v>
      </c>
      <c r="F105" s="1" t="s">
        <v>25</v>
      </c>
      <c r="G105" s="1" t="s">
        <v>26</v>
      </c>
      <c r="H105" s="1">
        <v>13194</v>
      </c>
      <c r="I105" s="1" t="s">
        <v>19</v>
      </c>
      <c r="J105" s="1">
        <v>0.2</v>
      </c>
      <c r="K105" s="1">
        <v>13000</v>
      </c>
      <c r="L105" s="2">
        <v>45304</v>
      </c>
      <c r="M105" s="10" t="str">
        <f t="shared" si="1"/>
        <v>Target Achieved</v>
      </c>
    </row>
    <row r="106" spans="1:13" x14ac:dyDescent="0.35">
      <c r="A106" s="1" t="s">
        <v>219</v>
      </c>
      <c r="B106" s="1" t="s">
        <v>220</v>
      </c>
      <c r="C106" s="1" t="s">
        <v>61</v>
      </c>
      <c r="D106" s="1" t="s">
        <v>62</v>
      </c>
      <c r="E106" s="1" t="s">
        <v>46</v>
      </c>
      <c r="F106" s="1" t="s">
        <v>39</v>
      </c>
      <c r="G106" s="1" t="s">
        <v>26</v>
      </c>
      <c r="H106" s="1">
        <v>11000</v>
      </c>
      <c r="I106" s="1" t="s">
        <v>27</v>
      </c>
      <c r="J106" s="1"/>
      <c r="K106" s="1">
        <v>9000</v>
      </c>
      <c r="L106" s="2">
        <v>45330</v>
      </c>
      <c r="M106" s="10" t="str">
        <f t="shared" si="1"/>
        <v>Target Achieved</v>
      </c>
    </row>
    <row r="107" spans="1:13" x14ac:dyDescent="0.35">
      <c r="A107" s="1" t="s">
        <v>221</v>
      </c>
      <c r="B107" s="1" t="s">
        <v>222</v>
      </c>
      <c r="C107" s="1" t="s">
        <v>44</v>
      </c>
      <c r="D107" s="1" t="s">
        <v>45</v>
      </c>
      <c r="E107" s="1" t="s">
        <v>46</v>
      </c>
      <c r="F107" s="1" t="s">
        <v>25</v>
      </c>
      <c r="G107" s="1" t="s">
        <v>36</v>
      </c>
      <c r="H107" s="1">
        <v>11734</v>
      </c>
      <c r="I107" s="1" t="s">
        <v>33</v>
      </c>
      <c r="J107" s="1">
        <v>0.3</v>
      </c>
      <c r="K107" s="1">
        <v>13000</v>
      </c>
      <c r="L107" s="2">
        <v>45292</v>
      </c>
      <c r="M107" s="10" t="str">
        <f t="shared" si="1"/>
        <v>Below Target</v>
      </c>
    </row>
    <row r="108" spans="1:13" x14ac:dyDescent="0.35">
      <c r="A108" s="1" t="s">
        <v>223</v>
      </c>
      <c r="B108" s="1" t="s">
        <v>103</v>
      </c>
      <c r="C108" s="1" t="s">
        <v>44</v>
      </c>
      <c r="D108" s="1" t="s">
        <v>45</v>
      </c>
      <c r="E108" s="1" t="s">
        <v>46</v>
      </c>
      <c r="F108" s="1" t="s">
        <v>25</v>
      </c>
      <c r="G108" s="1" t="s">
        <v>18</v>
      </c>
      <c r="H108" s="1">
        <v>13266</v>
      </c>
      <c r="I108" s="1" t="s">
        <v>33</v>
      </c>
      <c r="J108" s="1">
        <v>0.3</v>
      </c>
      <c r="K108" s="1">
        <v>13000</v>
      </c>
      <c r="L108" s="2">
        <v>45336</v>
      </c>
      <c r="M108" s="10" t="str">
        <f t="shared" si="1"/>
        <v>Target Achieved</v>
      </c>
    </row>
    <row r="109" spans="1:13" x14ac:dyDescent="0.35">
      <c r="A109" s="1" t="s">
        <v>224</v>
      </c>
      <c r="B109" s="1" t="s">
        <v>113</v>
      </c>
      <c r="C109" s="1" t="s">
        <v>61</v>
      </c>
      <c r="D109" s="1" t="s">
        <v>62</v>
      </c>
      <c r="E109" s="1" t="s">
        <v>32</v>
      </c>
      <c r="F109" s="1" t="s">
        <v>25</v>
      </c>
      <c r="G109" s="1" t="s">
        <v>26</v>
      </c>
      <c r="H109" s="1">
        <v>8164</v>
      </c>
      <c r="I109" s="1"/>
      <c r="J109" s="1"/>
      <c r="K109" s="1">
        <v>9000</v>
      </c>
      <c r="L109" s="2">
        <v>45322</v>
      </c>
      <c r="M109" s="10" t="str">
        <f t="shared" si="1"/>
        <v>Below Target</v>
      </c>
    </row>
    <row r="110" spans="1:13" x14ac:dyDescent="0.35">
      <c r="A110" s="1" t="s">
        <v>225</v>
      </c>
      <c r="B110" s="1" t="s">
        <v>188</v>
      </c>
      <c r="C110" s="1" t="s">
        <v>44</v>
      </c>
      <c r="D110" s="1" t="s">
        <v>45</v>
      </c>
      <c r="E110" s="1" t="s">
        <v>32</v>
      </c>
      <c r="F110" s="1" t="s">
        <v>17</v>
      </c>
      <c r="G110" s="1" t="s">
        <v>36</v>
      </c>
      <c r="H110" s="1">
        <v>11467</v>
      </c>
      <c r="I110" s="1" t="s">
        <v>22</v>
      </c>
      <c r="J110" s="1">
        <v>0.1</v>
      </c>
      <c r="K110" s="1">
        <v>13000</v>
      </c>
      <c r="L110" s="2">
        <v>45317</v>
      </c>
      <c r="M110" s="10" t="str">
        <f t="shared" si="1"/>
        <v>Below Target</v>
      </c>
    </row>
    <row r="111" spans="1:13" x14ac:dyDescent="0.35">
      <c r="A111" s="1" t="s">
        <v>226</v>
      </c>
      <c r="B111" s="1" t="s">
        <v>227</v>
      </c>
      <c r="C111" s="1" t="s">
        <v>14</v>
      </c>
      <c r="D111" s="1" t="s">
        <v>15</v>
      </c>
      <c r="E111" s="1" t="s">
        <v>32</v>
      </c>
      <c r="F111" s="1" t="s">
        <v>25</v>
      </c>
      <c r="G111" s="1" t="s">
        <v>26</v>
      </c>
      <c r="H111" s="1">
        <v>15887</v>
      </c>
      <c r="I111" s="1" t="s">
        <v>33</v>
      </c>
      <c r="J111" s="1">
        <v>0.3</v>
      </c>
      <c r="K111" s="1">
        <v>14000</v>
      </c>
      <c r="L111" s="2">
        <v>45297</v>
      </c>
      <c r="M111" s="10" t="str">
        <f t="shared" si="1"/>
        <v>Target Achieved</v>
      </c>
    </row>
    <row r="112" spans="1:13" x14ac:dyDescent="0.35">
      <c r="A112" s="1" t="s">
        <v>228</v>
      </c>
      <c r="B112" s="1" t="s">
        <v>229</v>
      </c>
      <c r="C112" s="1" t="s">
        <v>61</v>
      </c>
      <c r="D112" s="1" t="s">
        <v>62</v>
      </c>
      <c r="E112" s="1" t="s">
        <v>16</v>
      </c>
      <c r="F112" s="1" t="s">
        <v>39</v>
      </c>
      <c r="G112" s="1" t="s">
        <v>26</v>
      </c>
      <c r="H112" s="1">
        <v>7924</v>
      </c>
      <c r="I112" s="1" t="s">
        <v>27</v>
      </c>
      <c r="J112" s="1"/>
      <c r="K112" s="1">
        <v>9000</v>
      </c>
      <c r="L112" s="2">
        <v>45316</v>
      </c>
      <c r="M112" s="10" t="str">
        <f t="shared" si="1"/>
        <v>Below Target</v>
      </c>
    </row>
    <row r="113" spans="1:13" x14ac:dyDescent="0.35">
      <c r="A113" s="1" t="s">
        <v>230</v>
      </c>
      <c r="B113" s="1" t="s">
        <v>231</v>
      </c>
      <c r="C113" s="1" t="s">
        <v>30</v>
      </c>
      <c r="D113" s="1" t="s">
        <v>31</v>
      </c>
      <c r="E113" s="1" t="s">
        <v>16</v>
      </c>
      <c r="F113" s="1" t="s">
        <v>17</v>
      </c>
      <c r="G113" s="1" t="s">
        <v>36</v>
      </c>
      <c r="H113" s="1">
        <v>17329</v>
      </c>
      <c r="I113" s="1" t="s">
        <v>27</v>
      </c>
      <c r="J113" s="1"/>
      <c r="K113" s="1">
        <v>17000</v>
      </c>
      <c r="L113" s="2">
        <v>45295</v>
      </c>
      <c r="M113" s="10" t="str">
        <f t="shared" si="1"/>
        <v>Target Achieved</v>
      </c>
    </row>
    <row r="114" spans="1:13" x14ac:dyDescent="0.35">
      <c r="A114" s="1" t="s">
        <v>232</v>
      </c>
      <c r="B114" s="1" t="s">
        <v>233</v>
      </c>
      <c r="C114" s="1" t="s">
        <v>14</v>
      </c>
      <c r="D114" s="1" t="s">
        <v>15</v>
      </c>
      <c r="E114" s="1" t="s">
        <v>32</v>
      </c>
      <c r="F114" s="1" t="s">
        <v>39</v>
      </c>
      <c r="G114" s="1" t="s">
        <v>18</v>
      </c>
      <c r="H114" s="1">
        <v>13083</v>
      </c>
      <c r="I114" s="1" t="s">
        <v>22</v>
      </c>
      <c r="J114" s="1">
        <v>0.1</v>
      </c>
      <c r="K114" s="1">
        <v>14000</v>
      </c>
      <c r="L114" s="2">
        <v>45302</v>
      </c>
      <c r="M114" s="10" t="str">
        <f t="shared" si="1"/>
        <v>Below Target</v>
      </c>
    </row>
    <row r="115" spans="1:13" x14ac:dyDescent="0.35">
      <c r="A115" s="1" t="s">
        <v>234</v>
      </c>
      <c r="B115" s="1" t="s">
        <v>235</v>
      </c>
      <c r="C115" s="1" t="s">
        <v>14</v>
      </c>
      <c r="D115" s="1" t="s">
        <v>15</v>
      </c>
      <c r="E115" s="1" t="s">
        <v>32</v>
      </c>
      <c r="F115" s="1" t="s">
        <v>25</v>
      </c>
      <c r="G115" s="1" t="s">
        <v>36</v>
      </c>
      <c r="H115" s="1">
        <v>13845</v>
      </c>
      <c r="I115" s="1" t="s">
        <v>27</v>
      </c>
      <c r="J115" s="1"/>
      <c r="K115" s="1">
        <v>14000</v>
      </c>
      <c r="L115" s="2">
        <v>45322</v>
      </c>
      <c r="M115" s="10" t="str">
        <f t="shared" si="1"/>
        <v>Below Target</v>
      </c>
    </row>
    <row r="116" spans="1:13" x14ac:dyDescent="0.35">
      <c r="A116" s="1" t="s">
        <v>236</v>
      </c>
      <c r="B116" s="1" t="s">
        <v>237</v>
      </c>
      <c r="C116" s="1" t="s">
        <v>44</v>
      </c>
      <c r="D116" s="1" t="s">
        <v>45</v>
      </c>
      <c r="E116" s="1" t="s">
        <v>46</v>
      </c>
      <c r="F116" s="1" t="s">
        <v>39</v>
      </c>
      <c r="G116" s="1" t="s">
        <v>36</v>
      </c>
      <c r="H116" s="1">
        <v>13879</v>
      </c>
      <c r="I116" s="1"/>
      <c r="J116" s="1"/>
      <c r="K116" s="1">
        <v>13000</v>
      </c>
      <c r="L116" s="2">
        <v>45296</v>
      </c>
      <c r="M116" s="10" t="str">
        <f t="shared" si="1"/>
        <v>Target Achieved</v>
      </c>
    </row>
    <row r="117" spans="1:13" x14ac:dyDescent="0.35">
      <c r="A117" s="1" t="s">
        <v>238</v>
      </c>
      <c r="B117" s="1" t="s">
        <v>239</v>
      </c>
      <c r="C117" s="1" t="s">
        <v>30</v>
      </c>
      <c r="D117" s="1" t="s">
        <v>31</v>
      </c>
      <c r="E117" s="1" t="s">
        <v>16</v>
      </c>
      <c r="F117" s="1" t="s">
        <v>39</v>
      </c>
      <c r="G117" s="1" t="s">
        <v>26</v>
      </c>
      <c r="H117" s="1">
        <v>18292</v>
      </c>
      <c r="I117" s="1" t="s">
        <v>19</v>
      </c>
      <c r="J117" s="1">
        <v>0.2</v>
      </c>
      <c r="K117" s="1">
        <v>17000</v>
      </c>
      <c r="L117" s="2">
        <v>45319</v>
      </c>
      <c r="M117" s="10" t="str">
        <f t="shared" si="1"/>
        <v>Target Achieved</v>
      </c>
    </row>
    <row r="118" spans="1:13" x14ac:dyDescent="0.35">
      <c r="A118" s="1" t="s">
        <v>240</v>
      </c>
      <c r="B118" s="1" t="s">
        <v>241</v>
      </c>
      <c r="C118" s="1" t="s">
        <v>44</v>
      </c>
      <c r="D118" s="1" t="s">
        <v>45</v>
      </c>
      <c r="E118" s="1" t="s">
        <v>16</v>
      </c>
      <c r="F118" s="1" t="s">
        <v>25</v>
      </c>
      <c r="G118" s="1" t="s">
        <v>36</v>
      </c>
      <c r="H118" s="1">
        <v>14385</v>
      </c>
      <c r="I118" s="1" t="s">
        <v>19</v>
      </c>
      <c r="J118" s="1">
        <v>0.2</v>
      </c>
      <c r="K118" s="1">
        <v>13000</v>
      </c>
      <c r="L118" s="2">
        <v>45296</v>
      </c>
      <c r="M118" s="10" t="str">
        <f t="shared" si="1"/>
        <v>Target Achieved</v>
      </c>
    </row>
    <row r="119" spans="1:13" x14ac:dyDescent="0.35">
      <c r="A119" s="1" t="s">
        <v>242</v>
      </c>
      <c r="B119" s="1" t="s">
        <v>243</v>
      </c>
      <c r="C119" s="1" t="s">
        <v>30</v>
      </c>
      <c r="D119" s="1" t="s">
        <v>31</v>
      </c>
      <c r="E119" s="1" t="s">
        <v>16</v>
      </c>
      <c r="F119" s="1" t="s">
        <v>39</v>
      </c>
      <c r="G119" s="1" t="s">
        <v>26</v>
      </c>
      <c r="H119" s="1">
        <v>18773</v>
      </c>
      <c r="I119" s="1" t="s">
        <v>33</v>
      </c>
      <c r="J119" s="1">
        <v>0.3</v>
      </c>
      <c r="K119" s="1">
        <v>17000</v>
      </c>
      <c r="L119" s="2">
        <v>45320</v>
      </c>
      <c r="M119" s="10" t="str">
        <f t="shared" si="1"/>
        <v>Target Achieved</v>
      </c>
    </row>
    <row r="120" spans="1:13" x14ac:dyDescent="0.35">
      <c r="A120" s="1" t="s">
        <v>244</v>
      </c>
      <c r="B120" s="1" t="s">
        <v>245</v>
      </c>
      <c r="C120" s="1" t="s">
        <v>30</v>
      </c>
      <c r="D120" s="1" t="s">
        <v>31</v>
      </c>
      <c r="E120" s="1" t="s">
        <v>16</v>
      </c>
      <c r="F120" s="1" t="s">
        <v>17</v>
      </c>
      <c r="G120" s="1" t="s">
        <v>36</v>
      </c>
      <c r="H120" s="1">
        <v>17049</v>
      </c>
      <c r="I120" s="1" t="s">
        <v>27</v>
      </c>
      <c r="J120" s="1"/>
      <c r="K120" s="1">
        <v>17000</v>
      </c>
      <c r="L120" s="2">
        <v>45323</v>
      </c>
      <c r="M120" s="10" t="str">
        <f t="shared" si="1"/>
        <v>Target Achieved</v>
      </c>
    </row>
    <row r="121" spans="1:13" x14ac:dyDescent="0.35">
      <c r="A121" s="1" t="s">
        <v>246</v>
      </c>
      <c r="B121" s="1" t="s">
        <v>227</v>
      </c>
      <c r="C121" s="1" t="s">
        <v>14</v>
      </c>
      <c r="D121" s="1" t="s">
        <v>15</v>
      </c>
      <c r="E121" s="1" t="s">
        <v>46</v>
      </c>
      <c r="F121" s="1" t="s">
        <v>39</v>
      </c>
      <c r="G121" s="1" t="s">
        <v>36</v>
      </c>
      <c r="H121" s="1">
        <v>14472</v>
      </c>
      <c r="I121" s="1" t="s">
        <v>33</v>
      </c>
      <c r="J121" s="1">
        <v>0.3</v>
      </c>
      <c r="K121" s="1">
        <v>14000</v>
      </c>
      <c r="L121" s="2">
        <v>45293</v>
      </c>
      <c r="M121" s="10" t="str">
        <f t="shared" si="1"/>
        <v>Target Achieved</v>
      </c>
    </row>
    <row r="122" spans="1:13" x14ac:dyDescent="0.35">
      <c r="A122" s="1" t="s">
        <v>247</v>
      </c>
      <c r="B122" s="1" t="s">
        <v>248</v>
      </c>
      <c r="C122" s="1" t="s">
        <v>14</v>
      </c>
      <c r="D122" s="1" t="s">
        <v>15</v>
      </c>
      <c r="E122" s="1" t="s">
        <v>16</v>
      </c>
      <c r="F122" s="1" t="s">
        <v>17</v>
      </c>
      <c r="G122" s="1" t="s">
        <v>26</v>
      </c>
      <c r="H122" s="1">
        <v>12164</v>
      </c>
      <c r="I122" s="1" t="s">
        <v>19</v>
      </c>
      <c r="J122" s="1">
        <v>0.2</v>
      </c>
      <c r="K122" s="1">
        <v>14000</v>
      </c>
      <c r="L122" s="2">
        <v>45322</v>
      </c>
      <c r="M122" s="10" t="str">
        <f t="shared" si="1"/>
        <v>Below Target</v>
      </c>
    </row>
    <row r="123" spans="1:13" x14ac:dyDescent="0.35">
      <c r="A123" s="1" t="s">
        <v>249</v>
      </c>
      <c r="B123" s="1" t="s">
        <v>202</v>
      </c>
      <c r="C123" s="1" t="s">
        <v>61</v>
      </c>
      <c r="D123" s="1" t="s">
        <v>62</v>
      </c>
      <c r="E123" s="1" t="s">
        <v>46</v>
      </c>
      <c r="F123" s="1" t="s">
        <v>25</v>
      </c>
      <c r="G123" s="1" t="s">
        <v>26</v>
      </c>
      <c r="H123" s="1">
        <v>8785</v>
      </c>
      <c r="I123" s="1"/>
      <c r="J123" s="1"/>
      <c r="K123" s="1">
        <v>9000</v>
      </c>
      <c r="L123" s="2">
        <v>45297</v>
      </c>
      <c r="M123" s="10" t="str">
        <f t="shared" si="1"/>
        <v>Below Target</v>
      </c>
    </row>
    <row r="124" spans="1:13" x14ac:dyDescent="0.35">
      <c r="A124" s="1" t="s">
        <v>250</v>
      </c>
      <c r="B124" s="1" t="s">
        <v>188</v>
      </c>
      <c r="C124" s="1" t="s">
        <v>61</v>
      </c>
      <c r="D124" s="1" t="s">
        <v>62</v>
      </c>
      <c r="E124" s="1" t="s">
        <v>46</v>
      </c>
      <c r="F124" s="1" t="s">
        <v>17</v>
      </c>
      <c r="G124" s="1" t="s">
        <v>26</v>
      </c>
      <c r="H124" s="1">
        <v>7428</v>
      </c>
      <c r="I124" s="1" t="s">
        <v>19</v>
      </c>
      <c r="J124" s="1">
        <v>0.2</v>
      </c>
      <c r="K124" s="1">
        <v>9000</v>
      </c>
      <c r="L124" s="2">
        <v>45313</v>
      </c>
      <c r="M124" s="10" t="str">
        <f t="shared" si="1"/>
        <v>Below Target</v>
      </c>
    </row>
    <row r="125" spans="1:13" x14ac:dyDescent="0.35">
      <c r="A125" s="1" t="s">
        <v>251</v>
      </c>
      <c r="B125" s="1" t="s">
        <v>101</v>
      </c>
      <c r="C125" s="1" t="s">
        <v>61</v>
      </c>
      <c r="D125" s="1" t="s">
        <v>62</v>
      </c>
      <c r="E125" s="1" t="s">
        <v>46</v>
      </c>
      <c r="F125" s="1" t="s">
        <v>39</v>
      </c>
      <c r="G125" s="1" t="s">
        <v>36</v>
      </c>
      <c r="H125" s="1">
        <v>10332</v>
      </c>
      <c r="I125" s="1" t="s">
        <v>27</v>
      </c>
      <c r="J125" s="1"/>
      <c r="K125" s="1">
        <v>9000</v>
      </c>
      <c r="L125" s="2">
        <v>45294</v>
      </c>
      <c r="M125" s="10" t="str">
        <f t="shared" si="1"/>
        <v>Target Achieved</v>
      </c>
    </row>
    <row r="126" spans="1:13" x14ac:dyDescent="0.35">
      <c r="A126" s="1" t="s">
        <v>252</v>
      </c>
      <c r="B126" s="1" t="s">
        <v>227</v>
      </c>
      <c r="C126" s="1" t="s">
        <v>30</v>
      </c>
      <c r="D126" s="1" t="s">
        <v>31</v>
      </c>
      <c r="E126" s="1" t="s">
        <v>46</v>
      </c>
      <c r="F126" s="1" t="s">
        <v>17</v>
      </c>
      <c r="G126" s="1" t="s">
        <v>18</v>
      </c>
      <c r="H126" s="1">
        <v>18973</v>
      </c>
      <c r="I126" s="1"/>
      <c r="J126" s="1"/>
      <c r="K126" s="1">
        <v>17000</v>
      </c>
      <c r="L126" s="2">
        <v>45347</v>
      </c>
      <c r="M126" s="10" t="str">
        <f t="shared" si="1"/>
        <v>Target Achieved</v>
      </c>
    </row>
    <row r="127" spans="1:13" x14ac:dyDescent="0.35">
      <c r="A127" s="1" t="s">
        <v>253</v>
      </c>
      <c r="B127" s="1" t="s">
        <v>105</v>
      </c>
      <c r="C127" s="1" t="s">
        <v>14</v>
      </c>
      <c r="D127" s="1" t="s">
        <v>15</v>
      </c>
      <c r="E127" s="1" t="s">
        <v>16</v>
      </c>
      <c r="F127" s="1" t="s">
        <v>39</v>
      </c>
      <c r="G127" s="1" t="s">
        <v>36</v>
      </c>
      <c r="H127" s="1">
        <v>13692</v>
      </c>
      <c r="I127" s="1" t="s">
        <v>22</v>
      </c>
      <c r="J127" s="1">
        <v>0.1</v>
      </c>
      <c r="K127" s="1">
        <v>14000</v>
      </c>
      <c r="L127" s="2">
        <v>45304</v>
      </c>
      <c r="M127" s="10" t="str">
        <f t="shared" si="1"/>
        <v>Below Target</v>
      </c>
    </row>
    <row r="128" spans="1:13" x14ac:dyDescent="0.35">
      <c r="A128" s="1" t="s">
        <v>254</v>
      </c>
      <c r="B128" s="1" t="s">
        <v>217</v>
      </c>
      <c r="C128" s="1" t="s">
        <v>61</v>
      </c>
      <c r="D128" s="1" t="s">
        <v>62</v>
      </c>
      <c r="E128" s="1" t="s">
        <v>16</v>
      </c>
      <c r="F128" s="1" t="s">
        <v>17</v>
      </c>
      <c r="G128" s="1" t="s">
        <v>18</v>
      </c>
      <c r="H128" s="1">
        <v>7833</v>
      </c>
      <c r="I128" s="1" t="s">
        <v>33</v>
      </c>
      <c r="J128" s="1">
        <v>0.3</v>
      </c>
      <c r="K128" s="1">
        <v>9000</v>
      </c>
      <c r="L128" s="2">
        <v>45327</v>
      </c>
      <c r="M128" s="10" t="str">
        <f t="shared" si="1"/>
        <v>Below Target</v>
      </c>
    </row>
    <row r="129" spans="1:13" x14ac:dyDescent="0.35">
      <c r="A129" s="1" t="s">
        <v>255</v>
      </c>
      <c r="B129" s="1" t="s">
        <v>256</v>
      </c>
      <c r="C129" s="1" t="s">
        <v>61</v>
      </c>
      <c r="D129" s="1" t="s">
        <v>62</v>
      </c>
      <c r="E129" s="1" t="s">
        <v>16</v>
      </c>
      <c r="F129" s="1" t="s">
        <v>17</v>
      </c>
      <c r="G129" s="1" t="s">
        <v>18</v>
      </c>
      <c r="H129" s="1">
        <v>7118</v>
      </c>
      <c r="I129" s="1" t="s">
        <v>27</v>
      </c>
      <c r="J129" s="1"/>
      <c r="K129" s="1">
        <v>9000</v>
      </c>
      <c r="L129" s="2">
        <v>45343</v>
      </c>
      <c r="M129" s="10" t="str">
        <f t="shared" si="1"/>
        <v>Below Target</v>
      </c>
    </row>
    <row r="130" spans="1:13" x14ac:dyDescent="0.35">
      <c r="A130" s="1" t="s">
        <v>257</v>
      </c>
      <c r="B130" s="1" t="s">
        <v>220</v>
      </c>
      <c r="C130" s="1" t="s">
        <v>44</v>
      </c>
      <c r="D130" s="1" t="s">
        <v>45</v>
      </c>
      <c r="E130" s="1" t="s">
        <v>46</v>
      </c>
      <c r="F130" s="1" t="s">
        <v>39</v>
      </c>
      <c r="G130" s="1" t="s">
        <v>18</v>
      </c>
      <c r="H130" s="1">
        <v>13262</v>
      </c>
      <c r="I130" s="1"/>
      <c r="J130" s="1"/>
      <c r="K130" s="1">
        <v>13000</v>
      </c>
      <c r="L130" s="2">
        <v>45297</v>
      </c>
      <c r="M130" s="10" t="str">
        <f t="shared" si="1"/>
        <v>Target Achieved</v>
      </c>
    </row>
    <row r="131" spans="1:13" x14ac:dyDescent="0.35">
      <c r="A131" s="1" t="s">
        <v>258</v>
      </c>
      <c r="B131" s="1" t="s">
        <v>171</v>
      </c>
      <c r="C131" s="1" t="s">
        <v>14</v>
      </c>
      <c r="D131" s="1" t="s">
        <v>15</v>
      </c>
      <c r="E131" s="1" t="s">
        <v>46</v>
      </c>
      <c r="F131" s="1" t="s">
        <v>25</v>
      </c>
      <c r="G131" s="1" t="s">
        <v>26</v>
      </c>
      <c r="H131" s="1">
        <v>15408</v>
      </c>
      <c r="I131" s="1" t="s">
        <v>19</v>
      </c>
      <c r="J131" s="1">
        <v>0.2</v>
      </c>
      <c r="K131" s="1">
        <v>14000</v>
      </c>
      <c r="L131" s="2">
        <v>45323</v>
      </c>
      <c r="M131" s="10" t="str">
        <f t="shared" ref="M131:M194" si="2">IF(H131&gt;=K131,"Target Achieved","Below Target")</f>
        <v>Target Achieved</v>
      </c>
    </row>
    <row r="132" spans="1:13" x14ac:dyDescent="0.35">
      <c r="A132" s="1" t="s">
        <v>259</v>
      </c>
      <c r="B132" s="1" t="s">
        <v>260</v>
      </c>
      <c r="C132" s="1" t="s">
        <v>30</v>
      </c>
      <c r="D132" s="1" t="s">
        <v>31</v>
      </c>
      <c r="E132" s="1" t="s">
        <v>16</v>
      </c>
      <c r="F132" s="1" t="s">
        <v>39</v>
      </c>
      <c r="G132" s="1" t="s">
        <v>36</v>
      </c>
      <c r="H132" s="1">
        <v>16701</v>
      </c>
      <c r="I132" s="1"/>
      <c r="J132" s="1"/>
      <c r="K132" s="1">
        <v>17000</v>
      </c>
      <c r="L132" s="2">
        <v>45322</v>
      </c>
      <c r="M132" s="10" t="str">
        <f t="shared" si="2"/>
        <v>Below Target</v>
      </c>
    </row>
    <row r="133" spans="1:13" x14ac:dyDescent="0.35">
      <c r="A133" s="1" t="s">
        <v>261</v>
      </c>
      <c r="B133" s="1" t="s">
        <v>29</v>
      </c>
      <c r="C133" s="1" t="s">
        <v>44</v>
      </c>
      <c r="D133" s="1" t="s">
        <v>45</v>
      </c>
      <c r="E133" s="1" t="s">
        <v>46</v>
      </c>
      <c r="F133" s="1" t="s">
        <v>25</v>
      </c>
      <c r="G133" s="1" t="s">
        <v>26</v>
      </c>
      <c r="H133" s="1">
        <v>13081</v>
      </c>
      <c r="I133" s="1" t="s">
        <v>19</v>
      </c>
      <c r="J133" s="1">
        <v>0.2</v>
      </c>
      <c r="K133" s="1">
        <v>13000</v>
      </c>
      <c r="L133" s="2">
        <v>45347</v>
      </c>
      <c r="M133" s="10" t="str">
        <f t="shared" si="2"/>
        <v>Target Achieved</v>
      </c>
    </row>
    <row r="134" spans="1:13" x14ac:dyDescent="0.35">
      <c r="A134" s="1" t="s">
        <v>262</v>
      </c>
      <c r="B134" s="1" t="s">
        <v>263</v>
      </c>
      <c r="C134" s="1" t="s">
        <v>61</v>
      </c>
      <c r="D134" s="1" t="s">
        <v>62</v>
      </c>
      <c r="E134" s="1" t="s">
        <v>46</v>
      </c>
      <c r="F134" s="1" t="s">
        <v>39</v>
      </c>
      <c r="G134" s="1" t="s">
        <v>36</v>
      </c>
      <c r="H134" s="1">
        <v>10360</v>
      </c>
      <c r="I134" s="1" t="s">
        <v>22</v>
      </c>
      <c r="J134" s="1">
        <v>0.1</v>
      </c>
      <c r="K134" s="1">
        <v>9000</v>
      </c>
      <c r="L134" s="2">
        <v>45310</v>
      </c>
      <c r="M134" s="10" t="str">
        <f t="shared" si="2"/>
        <v>Target Achieved</v>
      </c>
    </row>
    <row r="135" spans="1:13" x14ac:dyDescent="0.35">
      <c r="A135" s="1" t="s">
        <v>264</v>
      </c>
      <c r="B135" s="1" t="s">
        <v>265</v>
      </c>
      <c r="C135" s="1" t="s">
        <v>61</v>
      </c>
      <c r="D135" s="1" t="s">
        <v>62</v>
      </c>
      <c r="E135" s="1" t="s">
        <v>32</v>
      </c>
      <c r="F135" s="1" t="s">
        <v>17</v>
      </c>
      <c r="G135" s="1" t="s">
        <v>26</v>
      </c>
      <c r="H135" s="1">
        <v>8983</v>
      </c>
      <c r="I135" s="1" t="s">
        <v>33</v>
      </c>
      <c r="J135" s="1">
        <v>0.3</v>
      </c>
      <c r="K135" s="1">
        <v>9000</v>
      </c>
      <c r="L135" s="2">
        <v>45313</v>
      </c>
      <c r="M135" s="10" t="str">
        <f t="shared" si="2"/>
        <v>Below Target</v>
      </c>
    </row>
    <row r="136" spans="1:13" x14ac:dyDescent="0.35">
      <c r="A136" s="1" t="s">
        <v>266</v>
      </c>
      <c r="B136" s="1" t="s">
        <v>82</v>
      </c>
      <c r="C136" s="1" t="s">
        <v>61</v>
      </c>
      <c r="D136" s="1" t="s">
        <v>62</v>
      </c>
      <c r="E136" s="1" t="s">
        <v>46</v>
      </c>
      <c r="F136" s="1" t="s">
        <v>17</v>
      </c>
      <c r="G136" s="1" t="s">
        <v>18</v>
      </c>
      <c r="H136" s="1">
        <v>9856</v>
      </c>
      <c r="I136" s="1" t="s">
        <v>19</v>
      </c>
      <c r="J136" s="1">
        <v>0.2</v>
      </c>
      <c r="K136" s="1">
        <v>9000</v>
      </c>
      <c r="L136" s="2">
        <v>45328</v>
      </c>
      <c r="M136" s="10" t="str">
        <f t="shared" si="2"/>
        <v>Target Achieved</v>
      </c>
    </row>
    <row r="137" spans="1:13" x14ac:dyDescent="0.35">
      <c r="A137" s="1" t="s">
        <v>267</v>
      </c>
      <c r="B137" s="1" t="s">
        <v>268</v>
      </c>
      <c r="C137" s="1" t="s">
        <v>61</v>
      </c>
      <c r="D137" s="1" t="s">
        <v>62</v>
      </c>
      <c r="E137" s="1" t="s">
        <v>32</v>
      </c>
      <c r="F137" s="1" t="s">
        <v>17</v>
      </c>
      <c r="G137" s="1" t="s">
        <v>26</v>
      </c>
      <c r="H137" s="1">
        <v>8937</v>
      </c>
      <c r="I137" s="1"/>
      <c r="J137" s="1"/>
      <c r="K137" s="1">
        <v>9000</v>
      </c>
      <c r="L137" s="2">
        <v>45316</v>
      </c>
      <c r="M137" s="10" t="str">
        <f t="shared" si="2"/>
        <v>Below Target</v>
      </c>
    </row>
    <row r="138" spans="1:13" x14ac:dyDescent="0.35">
      <c r="A138" s="1" t="s">
        <v>269</v>
      </c>
      <c r="B138" s="1" t="s">
        <v>270</v>
      </c>
      <c r="C138" s="1" t="s">
        <v>44</v>
      </c>
      <c r="D138" s="1" t="s">
        <v>45</v>
      </c>
      <c r="E138" s="1" t="s">
        <v>46</v>
      </c>
      <c r="F138" s="1" t="s">
        <v>25</v>
      </c>
      <c r="G138" s="1" t="s">
        <v>18</v>
      </c>
      <c r="H138" s="1">
        <v>13057</v>
      </c>
      <c r="I138" s="1" t="s">
        <v>27</v>
      </c>
      <c r="J138" s="1"/>
      <c r="K138" s="1">
        <v>13000</v>
      </c>
      <c r="L138" s="2">
        <v>45313</v>
      </c>
      <c r="M138" s="10" t="str">
        <f t="shared" si="2"/>
        <v>Target Achieved</v>
      </c>
    </row>
    <row r="139" spans="1:13" x14ac:dyDescent="0.35">
      <c r="A139" s="1" t="s">
        <v>271</v>
      </c>
      <c r="B139" s="1" t="s">
        <v>96</v>
      </c>
      <c r="C139" s="1" t="s">
        <v>61</v>
      </c>
      <c r="D139" s="1" t="s">
        <v>62</v>
      </c>
      <c r="E139" s="1" t="s">
        <v>32</v>
      </c>
      <c r="F139" s="1" t="s">
        <v>39</v>
      </c>
      <c r="G139" s="1" t="s">
        <v>36</v>
      </c>
      <c r="H139" s="1">
        <v>7062</v>
      </c>
      <c r="I139" s="1" t="s">
        <v>19</v>
      </c>
      <c r="J139" s="1">
        <v>0.2</v>
      </c>
      <c r="K139" s="1">
        <v>9000</v>
      </c>
      <c r="L139" s="2">
        <v>45318</v>
      </c>
      <c r="M139" s="10" t="str">
        <f t="shared" si="2"/>
        <v>Below Target</v>
      </c>
    </row>
    <row r="140" spans="1:13" x14ac:dyDescent="0.35">
      <c r="A140" s="1" t="s">
        <v>272</v>
      </c>
      <c r="B140" s="1" t="s">
        <v>198</v>
      </c>
      <c r="C140" s="1" t="s">
        <v>44</v>
      </c>
      <c r="D140" s="1" t="s">
        <v>45</v>
      </c>
      <c r="E140" s="1" t="s">
        <v>32</v>
      </c>
      <c r="F140" s="1" t="s">
        <v>17</v>
      </c>
      <c r="G140" s="1" t="s">
        <v>36</v>
      </c>
      <c r="H140" s="1">
        <v>12386</v>
      </c>
      <c r="I140" s="1" t="s">
        <v>27</v>
      </c>
      <c r="J140" s="1"/>
      <c r="K140" s="1">
        <v>13000</v>
      </c>
      <c r="L140" s="2">
        <v>45336</v>
      </c>
      <c r="M140" s="10" t="str">
        <f t="shared" si="2"/>
        <v>Below Target</v>
      </c>
    </row>
    <row r="141" spans="1:13" x14ac:dyDescent="0.35">
      <c r="A141" s="1" t="s">
        <v>273</v>
      </c>
      <c r="B141" s="1" t="s">
        <v>274</v>
      </c>
      <c r="C141" s="1" t="s">
        <v>14</v>
      </c>
      <c r="D141" s="1" t="s">
        <v>15</v>
      </c>
      <c r="E141" s="1" t="s">
        <v>46</v>
      </c>
      <c r="F141" s="1" t="s">
        <v>39</v>
      </c>
      <c r="G141" s="1" t="s">
        <v>26</v>
      </c>
      <c r="H141" s="1">
        <v>13556</v>
      </c>
      <c r="I141" s="1" t="s">
        <v>33</v>
      </c>
      <c r="J141" s="1">
        <v>0.3</v>
      </c>
      <c r="K141" s="1">
        <v>14000</v>
      </c>
      <c r="L141" s="2">
        <v>45332</v>
      </c>
      <c r="M141" s="10" t="str">
        <f t="shared" si="2"/>
        <v>Below Target</v>
      </c>
    </row>
    <row r="142" spans="1:13" x14ac:dyDescent="0.35">
      <c r="A142" s="1" t="s">
        <v>275</v>
      </c>
      <c r="B142" s="1" t="s">
        <v>276</v>
      </c>
      <c r="C142" s="1" t="s">
        <v>61</v>
      </c>
      <c r="D142" s="1" t="s">
        <v>62</v>
      </c>
      <c r="E142" s="1" t="s">
        <v>16</v>
      </c>
      <c r="F142" s="1" t="s">
        <v>25</v>
      </c>
      <c r="G142" s="1" t="s">
        <v>26</v>
      </c>
      <c r="H142" s="1">
        <v>7280</v>
      </c>
      <c r="I142" s="1" t="s">
        <v>19</v>
      </c>
      <c r="J142" s="1">
        <v>0.2</v>
      </c>
      <c r="K142" s="1">
        <v>9000</v>
      </c>
      <c r="L142" s="2">
        <v>45332</v>
      </c>
      <c r="M142" s="10" t="str">
        <f t="shared" si="2"/>
        <v>Below Target</v>
      </c>
    </row>
    <row r="143" spans="1:13" x14ac:dyDescent="0.35">
      <c r="A143" s="1" t="s">
        <v>277</v>
      </c>
      <c r="B143" s="1" t="s">
        <v>278</v>
      </c>
      <c r="C143" s="1" t="s">
        <v>44</v>
      </c>
      <c r="D143" s="1" t="s">
        <v>45</v>
      </c>
      <c r="E143" s="1" t="s">
        <v>16</v>
      </c>
      <c r="F143" s="1" t="s">
        <v>25</v>
      </c>
      <c r="G143" s="1" t="s">
        <v>36</v>
      </c>
      <c r="H143" s="1">
        <v>11403</v>
      </c>
      <c r="I143" s="1" t="s">
        <v>22</v>
      </c>
      <c r="J143" s="1">
        <v>0.1</v>
      </c>
      <c r="K143" s="1">
        <v>13000</v>
      </c>
      <c r="L143" s="2">
        <v>45320</v>
      </c>
      <c r="M143" s="10" t="str">
        <f t="shared" si="2"/>
        <v>Below Target</v>
      </c>
    </row>
    <row r="144" spans="1:13" x14ac:dyDescent="0.35">
      <c r="A144" s="1" t="s">
        <v>279</v>
      </c>
      <c r="B144" s="1" t="s">
        <v>280</v>
      </c>
      <c r="C144" s="1" t="s">
        <v>30</v>
      </c>
      <c r="D144" s="1" t="s">
        <v>31</v>
      </c>
      <c r="E144" s="1" t="s">
        <v>32</v>
      </c>
      <c r="F144" s="1" t="s">
        <v>25</v>
      </c>
      <c r="G144" s="1" t="s">
        <v>36</v>
      </c>
      <c r="H144" s="1">
        <v>18261</v>
      </c>
      <c r="I144" s="1" t="s">
        <v>22</v>
      </c>
      <c r="J144" s="1">
        <v>0.1</v>
      </c>
      <c r="K144" s="1">
        <v>17000</v>
      </c>
      <c r="L144" s="2">
        <v>45310</v>
      </c>
      <c r="M144" s="10" t="str">
        <f t="shared" si="2"/>
        <v>Target Achieved</v>
      </c>
    </row>
    <row r="145" spans="1:13" x14ac:dyDescent="0.35">
      <c r="A145" s="1" t="s">
        <v>281</v>
      </c>
      <c r="B145" s="1" t="s">
        <v>282</v>
      </c>
      <c r="C145" s="1" t="s">
        <v>61</v>
      </c>
      <c r="D145" s="1" t="s">
        <v>62</v>
      </c>
      <c r="E145" s="1" t="s">
        <v>32</v>
      </c>
      <c r="F145" s="1" t="s">
        <v>25</v>
      </c>
      <c r="G145" s="1" t="s">
        <v>26</v>
      </c>
      <c r="H145" s="1">
        <v>8687</v>
      </c>
      <c r="I145" s="1" t="s">
        <v>27</v>
      </c>
      <c r="J145" s="1"/>
      <c r="K145" s="1">
        <v>9000</v>
      </c>
      <c r="L145" s="2">
        <v>45335</v>
      </c>
      <c r="M145" s="10" t="str">
        <f t="shared" si="2"/>
        <v>Below Target</v>
      </c>
    </row>
    <row r="146" spans="1:13" x14ac:dyDescent="0.35">
      <c r="A146" s="1" t="s">
        <v>283</v>
      </c>
      <c r="B146" s="1" t="s">
        <v>72</v>
      </c>
      <c r="C146" s="1" t="s">
        <v>44</v>
      </c>
      <c r="D146" s="1" t="s">
        <v>45</v>
      </c>
      <c r="E146" s="1" t="s">
        <v>32</v>
      </c>
      <c r="F146" s="1" t="s">
        <v>25</v>
      </c>
      <c r="G146" s="1" t="s">
        <v>26</v>
      </c>
      <c r="H146" s="1">
        <v>14566</v>
      </c>
      <c r="I146" s="1"/>
      <c r="J146" s="1"/>
      <c r="K146" s="1">
        <v>13000</v>
      </c>
      <c r="L146" s="2">
        <v>45331</v>
      </c>
      <c r="M146" s="10" t="str">
        <f t="shared" si="2"/>
        <v>Target Achieved</v>
      </c>
    </row>
    <row r="147" spans="1:13" x14ac:dyDescent="0.35">
      <c r="A147" s="1" t="s">
        <v>284</v>
      </c>
      <c r="B147" s="1" t="s">
        <v>239</v>
      </c>
      <c r="C147" s="1" t="s">
        <v>61</v>
      </c>
      <c r="D147" s="1" t="s">
        <v>62</v>
      </c>
      <c r="E147" s="1" t="s">
        <v>16</v>
      </c>
      <c r="F147" s="1" t="s">
        <v>25</v>
      </c>
      <c r="G147" s="1" t="s">
        <v>18</v>
      </c>
      <c r="H147" s="1">
        <v>8888</v>
      </c>
      <c r="I147" s="1" t="s">
        <v>33</v>
      </c>
      <c r="J147" s="1">
        <v>0.3</v>
      </c>
      <c r="K147" s="1">
        <v>9000</v>
      </c>
      <c r="L147" s="2">
        <v>45321</v>
      </c>
      <c r="M147" s="10" t="str">
        <f t="shared" si="2"/>
        <v>Below Target</v>
      </c>
    </row>
    <row r="148" spans="1:13" x14ac:dyDescent="0.35">
      <c r="A148" s="1" t="s">
        <v>285</v>
      </c>
      <c r="B148" s="1" t="s">
        <v>286</v>
      </c>
      <c r="C148" s="1" t="s">
        <v>14</v>
      </c>
      <c r="D148" s="1" t="s">
        <v>15</v>
      </c>
      <c r="E148" s="1" t="s">
        <v>46</v>
      </c>
      <c r="F148" s="1" t="s">
        <v>17</v>
      </c>
      <c r="G148" s="1" t="s">
        <v>26</v>
      </c>
      <c r="H148" s="1">
        <v>14238</v>
      </c>
      <c r="I148" s="1" t="s">
        <v>19</v>
      </c>
      <c r="J148" s="1">
        <v>0.2</v>
      </c>
      <c r="K148" s="1">
        <v>14000</v>
      </c>
      <c r="L148" s="2">
        <v>45296</v>
      </c>
      <c r="M148" s="10" t="str">
        <f t="shared" si="2"/>
        <v>Target Achieved</v>
      </c>
    </row>
    <row r="149" spans="1:13" x14ac:dyDescent="0.35">
      <c r="A149" s="1" t="s">
        <v>287</v>
      </c>
      <c r="B149" s="1" t="s">
        <v>188</v>
      </c>
      <c r="C149" s="1" t="s">
        <v>30</v>
      </c>
      <c r="D149" s="1" t="s">
        <v>31</v>
      </c>
      <c r="E149" s="1" t="s">
        <v>16</v>
      </c>
      <c r="F149" s="1" t="s">
        <v>17</v>
      </c>
      <c r="G149" s="1" t="s">
        <v>26</v>
      </c>
      <c r="H149" s="1">
        <v>16024</v>
      </c>
      <c r="I149" s="1"/>
      <c r="J149" s="1"/>
      <c r="K149" s="1">
        <v>17000</v>
      </c>
      <c r="L149" s="2">
        <v>45346</v>
      </c>
      <c r="M149" s="10" t="str">
        <f t="shared" si="2"/>
        <v>Below Target</v>
      </c>
    </row>
    <row r="150" spans="1:13" x14ac:dyDescent="0.35">
      <c r="A150" s="1" t="s">
        <v>288</v>
      </c>
      <c r="B150" s="1" t="s">
        <v>289</v>
      </c>
      <c r="C150" s="1" t="s">
        <v>61</v>
      </c>
      <c r="D150" s="1" t="s">
        <v>62</v>
      </c>
      <c r="E150" s="1" t="s">
        <v>46</v>
      </c>
      <c r="F150" s="1" t="s">
        <v>25</v>
      </c>
      <c r="G150" s="1" t="s">
        <v>18</v>
      </c>
      <c r="H150" s="1">
        <v>8562</v>
      </c>
      <c r="I150" s="1" t="s">
        <v>27</v>
      </c>
      <c r="J150" s="1"/>
      <c r="K150" s="1">
        <v>9000</v>
      </c>
      <c r="L150" s="2">
        <v>45314</v>
      </c>
      <c r="M150" s="10" t="str">
        <f t="shared" si="2"/>
        <v>Below Target</v>
      </c>
    </row>
    <row r="151" spans="1:13" x14ac:dyDescent="0.35">
      <c r="A151" s="1" t="s">
        <v>290</v>
      </c>
      <c r="B151" s="1" t="s">
        <v>291</v>
      </c>
      <c r="C151" s="1" t="s">
        <v>30</v>
      </c>
      <c r="D151" s="1" t="s">
        <v>31</v>
      </c>
      <c r="E151" s="1" t="s">
        <v>32</v>
      </c>
      <c r="F151" s="1" t="s">
        <v>39</v>
      </c>
      <c r="G151" s="1" t="s">
        <v>36</v>
      </c>
      <c r="H151" s="1">
        <v>16124</v>
      </c>
      <c r="I151" s="1" t="s">
        <v>22</v>
      </c>
      <c r="J151" s="1">
        <v>0.1</v>
      </c>
      <c r="K151" s="1">
        <v>17000</v>
      </c>
      <c r="L151" s="2">
        <v>45328</v>
      </c>
      <c r="M151" s="10" t="str">
        <f t="shared" si="2"/>
        <v>Below Target</v>
      </c>
    </row>
    <row r="152" spans="1:13" x14ac:dyDescent="0.35">
      <c r="A152" s="1" t="s">
        <v>292</v>
      </c>
      <c r="B152" s="1" t="s">
        <v>198</v>
      </c>
      <c r="C152" s="1" t="s">
        <v>14</v>
      </c>
      <c r="D152" s="1" t="s">
        <v>15</v>
      </c>
      <c r="E152" s="1" t="s">
        <v>16</v>
      </c>
      <c r="F152" s="1" t="s">
        <v>39</v>
      </c>
      <c r="G152" s="1" t="s">
        <v>36</v>
      </c>
      <c r="H152" s="1">
        <v>15411</v>
      </c>
      <c r="I152" s="1" t="s">
        <v>33</v>
      </c>
      <c r="J152" s="1">
        <v>0.3</v>
      </c>
      <c r="K152" s="1">
        <v>14000</v>
      </c>
      <c r="L152" s="2">
        <v>45341</v>
      </c>
      <c r="M152" s="10" t="str">
        <f t="shared" si="2"/>
        <v>Target Achieved</v>
      </c>
    </row>
    <row r="153" spans="1:13" x14ac:dyDescent="0.35">
      <c r="A153" s="1" t="s">
        <v>293</v>
      </c>
      <c r="B153" s="1" t="s">
        <v>294</v>
      </c>
      <c r="C153" s="1" t="s">
        <v>30</v>
      </c>
      <c r="D153" s="1" t="s">
        <v>31</v>
      </c>
      <c r="E153" s="1" t="s">
        <v>32</v>
      </c>
      <c r="F153" s="1" t="s">
        <v>39</v>
      </c>
      <c r="G153" s="1" t="s">
        <v>18</v>
      </c>
      <c r="H153" s="1">
        <v>17543</v>
      </c>
      <c r="I153" s="1" t="s">
        <v>33</v>
      </c>
      <c r="J153" s="1">
        <v>0.3</v>
      </c>
      <c r="K153" s="1">
        <v>17000</v>
      </c>
      <c r="L153" s="2">
        <v>45335</v>
      </c>
      <c r="M153" s="10" t="str">
        <f t="shared" si="2"/>
        <v>Target Achieved</v>
      </c>
    </row>
    <row r="154" spans="1:13" x14ac:dyDescent="0.35">
      <c r="A154" s="1" t="s">
        <v>295</v>
      </c>
      <c r="B154" s="1" t="s">
        <v>296</v>
      </c>
      <c r="C154" s="1" t="s">
        <v>44</v>
      </c>
      <c r="D154" s="1" t="s">
        <v>45</v>
      </c>
      <c r="E154" s="1" t="s">
        <v>16</v>
      </c>
      <c r="F154" s="1" t="s">
        <v>25</v>
      </c>
      <c r="G154" s="1" t="s">
        <v>26</v>
      </c>
      <c r="H154" s="1">
        <v>13647</v>
      </c>
      <c r="I154" s="1" t="s">
        <v>22</v>
      </c>
      <c r="J154" s="1">
        <v>0.1</v>
      </c>
      <c r="K154" s="1">
        <v>13000</v>
      </c>
      <c r="L154" s="2">
        <v>45311</v>
      </c>
      <c r="M154" s="10" t="str">
        <f t="shared" si="2"/>
        <v>Target Achieved</v>
      </c>
    </row>
    <row r="155" spans="1:13" x14ac:dyDescent="0.35">
      <c r="A155" s="1" t="s">
        <v>297</v>
      </c>
      <c r="B155" s="1" t="s">
        <v>298</v>
      </c>
      <c r="C155" s="1" t="s">
        <v>14</v>
      </c>
      <c r="D155" s="1" t="s">
        <v>15</v>
      </c>
      <c r="E155" s="1" t="s">
        <v>16</v>
      </c>
      <c r="F155" s="1" t="s">
        <v>17</v>
      </c>
      <c r="G155" s="1" t="s">
        <v>26</v>
      </c>
      <c r="H155" s="1">
        <v>12538</v>
      </c>
      <c r="I155" s="1" t="s">
        <v>22</v>
      </c>
      <c r="J155" s="1">
        <v>0.1</v>
      </c>
      <c r="K155" s="1">
        <v>14000</v>
      </c>
      <c r="L155" s="2">
        <v>45350</v>
      </c>
      <c r="M155" s="10" t="str">
        <f t="shared" si="2"/>
        <v>Below Target</v>
      </c>
    </row>
    <row r="156" spans="1:13" x14ac:dyDescent="0.35">
      <c r="A156" s="1" t="s">
        <v>299</v>
      </c>
      <c r="B156" s="1" t="s">
        <v>131</v>
      </c>
      <c r="C156" s="1" t="s">
        <v>61</v>
      </c>
      <c r="D156" s="1" t="s">
        <v>62</v>
      </c>
      <c r="E156" s="1" t="s">
        <v>32</v>
      </c>
      <c r="F156" s="1" t="s">
        <v>25</v>
      </c>
      <c r="G156" s="1" t="s">
        <v>18</v>
      </c>
      <c r="H156" s="1">
        <v>10221</v>
      </c>
      <c r="I156" s="1" t="s">
        <v>27</v>
      </c>
      <c r="J156" s="1"/>
      <c r="K156" s="1">
        <v>9000</v>
      </c>
      <c r="L156" s="2">
        <v>45348</v>
      </c>
      <c r="M156" s="10" t="str">
        <f t="shared" si="2"/>
        <v>Target Achieved</v>
      </c>
    </row>
    <row r="157" spans="1:13" x14ac:dyDescent="0.35">
      <c r="A157" s="1" t="s">
        <v>300</v>
      </c>
      <c r="B157" s="1" t="s">
        <v>301</v>
      </c>
      <c r="C157" s="1" t="s">
        <v>30</v>
      </c>
      <c r="D157" s="1" t="s">
        <v>31</v>
      </c>
      <c r="E157" s="1" t="s">
        <v>32</v>
      </c>
      <c r="F157" s="1" t="s">
        <v>17</v>
      </c>
      <c r="G157" s="1" t="s">
        <v>36</v>
      </c>
      <c r="H157" s="1">
        <v>18962</v>
      </c>
      <c r="I157" s="1" t="s">
        <v>33</v>
      </c>
      <c r="J157" s="1">
        <v>0.3</v>
      </c>
      <c r="K157" s="1">
        <v>17000</v>
      </c>
      <c r="L157" s="2">
        <v>45339</v>
      </c>
      <c r="M157" s="10" t="str">
        <f t="shared" si="2"/>
        <v>Target Achieved</v>
      </c>
    </row>
    <row r="158" spans="1:13" x14ac:dyDescent="0.35">
      <c r="A158" s="1" t="s">
        <v>302</v>
      </c>
      <c r="B158" s="1" t="s">
        <v>303</v>
      </c>
      <c r="C158" s="1" t="s">
        <v>14</v>
      </c>
      <c r="D158" s="1" t="s">
        <v>15</v>
      </c>
      <c r="E158" s="1" t="s">
        <v>46</v>
      </c>
      <c r="F158" s="1" t="s">
        <v>25</v>
      </c>
      <c r="G158" s="1" t="s">
        <v>18</v>
      </c>
      <c r="H158" s="1">
        <v>15089</v>
      </c>
      <c r="I158" s="1" t="s">
        <v>19</v>
      </c>
      <c r="J158" s="1">
        <v>0.2</v>
      </c>
      <c r="K158" s="1">
        <v>14000</v>
      </c>
      <c r="L158" s="2">
        <v>45347</v>
      </c>
      <c r="M158" s="10" t="str">
        <f t="shared" si="2"/>
        <v>Target Achieved</v>
      </c>
    </row>
    <row r="159" spans="1:13" x14ac:dyDescent="0.35">
      <c r="A159" s="1" t="s">
        <v>304</v>
      </c>
      <c r="B159" s="1" t="s">
        <v>305</v>
      </c>
      <c r="C159" s="1" t="s">
        <v>61</v>
      </c>
      <c r="D159" s="1" t="s">
        <v>62</v>
      </c>
      <c r="E159" s="1" t="s">
        <v>16</v>
      </c>
      <c r="F159" s="1" t="s">
        <v>17</v>
      </c>
      <c r="G159" s="1" t="s">
        <v>18</v>
      </c>
      <c r="H159" s="1">
        <v>10238</v>
      </c>
      <c r="I159" s="1"/>
      <c r="J159" s="1"/>
      <c r="K159" s="1">
        <v>9000</v>
      </c>
      <c r="L159" s="2">
        <v>45292</v>
      </c>
      <c r="M159" s="10" t="str">
        <f t="shared" si="2"/>
        <v>Target Achieved</v>
      </c>
    </row>
    <row r="160" spans="1:13" x14ac:dyDescent="0.35">
      <c r="A160" s="1" t="s">
        <v>306</v>
      </c>
      <c r="B160" s="1" t="s">
        <v>307</v>
      </c>
      <c r="C160" s="1" t="s">
        <v>14</v>
      </c>
      <c r="D160" s="1" t="s">
        <v>15</v>
      </c>
      <c r="E160" s="1" t="s">
        <v>46</v>
      </c>
      <c r="F160" s="1" t="s">
        <v>17</v>
      </c>
      <c r="G160" s="1" t="s">
        <v>26</v>
      </c>
      <c r="H160" s="1">
        <v>15067</v>
      </c>
      <c r="I160" s="1" t="s">
        <v>33</v>
      </c>
      <c r="J160" s="1">
        <v>0.3</v>
      </c>
      <c r="K160" s="1">
        <v>14000</v>
      </c>
      <c r="L160" s="2">
        <v>45329</v>
      </c>
      <c r="M160" s="10" t="str">
        <f t="shared" si="2"/>
        <v>Target Achieved</v>
      </c>
    </row>
    <row r="161" spans="1:13" x14ac:dyDescent="0.35">
      <c r="A161" s="1" t="s">
        <v>308</v>
      </c>
      <c r="B161" s="1" t="s">
        <v>309</v>
      </c>
      <c r="C161" s="1" t="s">
        <v>30</v>
      </c>
      <c r="D161" s="1" t="s">
        <v>31</v>
      </c>
      <c r="E161" s="1" t="s">
        <v>32</v>
      </c>
      <c r="F161" s="1" t="s">
        <v>39</v>
      </c>
      <c r="G161" s="1" t="s">
        <v>18</v>
      </c>
      <c r="H161" s="1">
        <v>16931</v>
      </c>
      <c r="I161" s="1" t="s">
        <v>22</v>
      </c>
      <c r="J161" s="1">
        <v>0.1</v>
      </c>
      <c r="K161" s="1">
        <v>17000</v>
      </c>
      <c r="L161" s="2">
        <v>45331</v>
      </c>
      <c r="M161" s="10" t="str">
        <f t="shared" si="2"/>
        <v>Below Target</v>
      </c>
    </row>
    <row r="162" spans="1:13" x14ac:dyDescent="0.35">
      <c r="A162" s="1" t="s">
        <v>310</v>
      </c>
      <c r="B162" s="1" t="s">
        <v>84</v>
      </c>
      <c r="C162" s="1" t="s">
        <v>30</v>
      </c>
      <c r="D162" s="1" t="s">
        <v>31</v>
      </c>
      <c r="E162" s="1" t="s">
        <v>16</v>
      </c>
      <c r="F162" s="1" t="s">
        <v>25</v>
      </c>
      <c r="G162" s="1" t="s">
        <v>26</v>
      </c>
      <c r="H162" s="1">
        <v>15258</v>
      </c>
      <c r="I162" s="1"/>
      <c r="J162" s="1"/>
      <c r="K162" s="1">
        <v>17000</v>
      </c>
      <c r="L162" s="2">
        <v>45350</v>
      </c>
      <c r="M162" s="10" t="str">
        <f t="shared" si="2"/>
        <v>Below Target</v>
      </c>
    </row>
    <row r="163" spans="1:13" x14ac:dyDescent="0.35">
      <c r="A163" s="1" t="s">
        <v>311</v>
      </c>
      <c r="B163" s="1" t="s">
        <v>265</v>
      </c>
      <c r="C163" s="1" t="s">
        <v>61</v>
      </c>
      <c r="D163" s="1" t="s">
        <v>62</v>
      </c>
      <c r="E163" s="1" t="s">
        <v>32</v>
      </c>
      <c r="F163" s="1" t="s">
        <v>25</v>
      </c>
      <c r="G163" s="1" t="s">
        <v>18</v>
      </c>
      <c r="H163" s="1">
        <v>10875</v>
      </c>
      <c r="I163" s="1" t="s">
        <v>22</v>
      </c>
      <c r="J163" s="1">
        <v>0.1</v>
      </c>
      <c r="K163" s="1">
        <v>9000</v>
      </c>
      <c r="L163" s="2">
        <v>45311</v>
      </c>
      <c r="M163" s="10" t="str">
        <f t="shared" si="2"/>
        <v>Target Achieved</v>
      </c>
    </row>
    <row r="164" spans="1:13" x14ac:dyDescent="0.35">
      <c r="A164" s="1" t="s">
        <v>312</v>
      </c>
      <c r="B164" s="1" t="s">
        <v>227</v>
      </c>
      <c r="C164" s="1" t="s">
        <v>14</v>
      </c>
      <c r="D164" s="1" t="s">
        <v>15</v>
      </c>
      <c r="E164" s="1" t="s">
        <v>32</v>
      </c>
      <c r="F164" s="1" t="s">
        <v>39</v>
      </c>
      <c r="G164" s="1" t="s">
        <v>18</v>
      </c>
      <c r="H164" s="1">
        <v>13591</v>
      </c>
      <c r="I164" s="1"/>
      <c r="J164" s="1"/>
      <c r="K164" s="1">
        <v>14000</v>
      </c>
      <c r="L164" s="2">
        <v>45315</v>
      </c>
      <c r="M164" s="10" t="str">
        <f t="shared" si="2"/>
        <v>Below Target</v>
      </c>
    </row>
    <row r="165" spans="1:13" x14ac:dyDescent="0.35">
      <c r="A165" s="1" t="s">
        <v>313</v>
      </c>
      <c r="B165" s="1" t="s">
        <v>305</v>
      </c>
      <c r="C165" s="1" t="s">
        <v>61</v>
      </c>
      <c r="D165" s="1" t="s">
        <v>62</v>
      </c>
      <c r="E165" s="1" t="s">
        <v>16</v>
      </c>
      <c r="F165" s="1" t="s">
        <v>39</v>
      </c>
      <c r="G165" s="1" t="s">
        <v>26</v>
      </c>
      <c r="H165" s="1">
        <v>7632</v>
      </c>
      <c r="I165" s="1"/>
      <c r="J165" s="1"/>
      <c r="K165" s="1">
        <v>9000</v>
      </c>
      <c r="L165" s="2">
        <v>45333</v>
      </c>
      <c r="M165" s="10" t="str">
        <f t="shared" si="2"/>
        <v>Below Target</v>
      </c>
    </row>
    <row r="166" spans="1:13" x14ac:dyDescent="0.35">
      <c r="A166" s="1" t="s">
        <v>314</v>
      </c>
      <c r="B166" s="1" t="s">
        <v>159</v>
      </c>
      <c r="C166" s="1" t="s">
        <v>61</v>
      </c>
      <c r="D166" s="1" t="s">
        <v>62</v>
      </c>
      <c r="E166" s="1" t="s">
        <v>16</v>
      </c>
      <c r="F166" s="1" t="s">
        <v>17</v>
      </c>
      <c r="G166" s="1" t="s">
        <v>36</v>
      </c>
      <c r="H166" s="1">
        <v>7134</v>
      </c>
      <c r="I166" s="1" t="s">
        <v>33</v>
      </c>
      <c r="J166" s="1">
        <v>0.3</v>
      </c>
      <c r="K166" s="1">
        <v>9000</v>
      </c>
      <c r="L166" s="2">
        <v>45305</v>
      </c>
      <c r="M166" s="10" t="str">
        <f t="shared" si="2"/>
        <v>Below Target</v>
      </c>
    </row>
    <row r="167" spans="1:13" x14ac:dyDescent="0.35">
      <c r="A167" s="1" t="s">
        <v>315</v>
      </c>
      <c r="B167" s="1" t="s">
        <v>231</v>
      </c>
      <c r="C167" s="1" t="s">
        <v>44</v>
      </c>
      <c r="D167" s="1" t="s">
        <v>45</v>
      </c>
      <c r="E167" s="1" t="s">
        <v>46</v>
      </c>
      <c r="F167" s="1" t="s">
        <v>25</v>
      </c>
      <c r="G167" s="1" t="s">
        <v>26</v>
      </c>
      <c r="H167" s="1">
        <v>12504</v>
      </c>
      <c r="I167" s="1" t="s">
        <v>27</v>
      </c>
      <c r="J167" s="1"/>
      <c r="K167" s="1">
        <v>13000</v>
      </c>
      <c r="L167" s="2">
        <v>45349</v>
      </c>
      <c r="M167" s="10" t="str">
        <f t="shared" si="2"/>
        <v>Below Target</v>
      </c>
    </row>
    <row r="168" spans="1:13" x14ac:dyDescent="0.35">
      <c r="A168" s="1" t="s">
        <v>316</v>
      </c>
      <c r="B168" s="1" t="s">
        <v>317</v>
      </c>
      <c r="C168" s="1" t="s">
        <v>14</v>
      </c>
      <c r="D168" s="1" t="s">
        <v>15</v>
      </c>
      <c r="E168" s="1" t="s">
        <v>46</v>
      </c>
      <c r="F168" s="1" t="s">
        <v>17</v>
      </c>
      <c r="G168" s="1" t="s">
        <v>18</v>
      </c>
      <c r="H168" s="1">
        <v>15965</v>
      </c>
      <c r="I168" s="1" t="s">
        <v>22</v>
      </c>
      <c r="J168" s="1">
        <v>0.1</v>
      </c>
      <c r="K168" s="1">
        <v>14000</v>
      </c>
      <c r="L168" s="2">
        <v>45352</v>
      </c>
      <c r="M168" s="10" t="str">
        <f t="shared" si="2"/>
        <v>Target Achieved</v>
      </c>
    </row>
    <row r="169" spans="1:13" x14ac:dyDescent="0.35">
      <c r="A169" s="1" t="s">
        <v>318</v>
      </c>
      <c r="B169" s="1" t="s">
        <v>319</v>
      </c>
      <c r="C169" s="1" t="s">
        <v>61</v>
      </c>
      <c r="D169" s="1" t="s">
        <v>62</v>
      </c>
      <c r="E169" s="1" t="s">
        <v>32</v>
      </c>
      <c r="F169" s="1" t="s">
        <v>39</v>
      </c>
      <c r="G169" s="1" t="s">
        <v>18</v>
      </c>
      <c r="H169" s="1">
        <v>9628</v>
      </c>
      <c r="I169" s="1" t="s">
        <v>27</v>
      </c>
      <c r="J169" s="1"/>
      <c r="K169" s="1">
        <v>9000</v>
      </c>
      <c r="L169" s="2">
        <v>45293</v>
      </c>
      <c r="M169" s="10" t="str">
        <f t="shared" si="2"/>
        <v>Target Achieved</v>
      </c>
    </row>
    <row r="170" spans="1:13" x14ac:dyDescent="0.35">
      <c r="A170" s="1" t="s">
        <v>320</v>
      </c>
      <c r="B170" s="1" t="s">
        <v>321</v>
      </c>
      <c r="C170" s="1" t="s">
        <v>30</v>
      </c>
      <c r="D170" s="1" t="s">
        <v>31</v>
      </c>
      <c r="E170" s="1" t="s">
        <v>32</v>
      </c>
      <c r="F170" s="1" t="s">
        <v>25</v>
      </c>
      <c r="G170" s="1" t="s">
        <v>26</v>
      </c>
      <c r="H170" s="1">
        <v>15840</v>
      </c>
      <c r="I170" s="1" t="s">
        <v>22</v>
      </c>
      <c r="J170" s="1">
        <v>0.1</v>
      </c>
      <c r="K170" s="1">
        <v>17000</v>
      </c>
      <c r="L170" s="2">
        <v>45345</v>
      </c>
      <c r="M170" s="10" t="str">
        <f t="shared" si="2"/>
        <v>Below Target</v>
      </c>
    </row>
    <row r="171" spans="1:13" x14ac:dyDescent="0.35">
      <c r="A171" s="1" t="s">
        <v>322</v>
      </c>
      <c r="B171" s="1" t="s">
        <v>133</v>
      </c>
      <c r="C171" s="1" t="s">
        <v>44</v>
      </c>
      <c r="D171" s="1" t="s">
        <v>45</v>
      </c>
      <c r="E171" s="1" t="s">
        <v>16</v>
      </c>
      <c r="F171" s="1" t="s">
        <v>25</v>
      </c>
      <c r="G171" s="1" t="s">
        <v>18</v>
      </c>
      <c r="H171" s="1">
        <v>12345</v>
      </c>
      <c r="I171" s="1" t="s">
        <v>19</v>
      </c>
      <c r="J171" s="1">
        <v>0.2</v>
      </c>
      <c r="K171" s="1">
        <v>13000</v>
      </c>
      <c r="L171" s="2">
        <v>45342</v>
      </c>
      <c r="M171" s="10" t="str">
        <f t="shared" si="2"/>
        <v>Below Target</v>
      </c>
    </row>
    <row r="172" spans="1:13" x14ac:dyDescent="0.35">
      <c r="A172" s="1" t="s">
        <v>323</v>
      </c>
      <c r="B172" s="1" t="s">
        <v>60</v>
      </c>
      <c r="C172" s="1" t="s">
        <v>14</v>
      </c>
      <c r="D172" s="1" t="s">
        <v>15</v>
      </c>
      <c r="E172" s="1" t="s">
        <v>46</v>
      </c>
      <c r="F172" s="1" t="s">
        <v>25</v>
      </c>
      <c r="G172" s="1" t="s">
        <v>18</v>
      </c>
      <c r="H172" s="1">
        <v>14212</v>
      </c>
      <c r="I172" s="1" t="s">
        <v>33</v>
      </c>
      <c r="J172" s="1">
        <v>0.3</v>
      </c>
      <c r="K172" s="1">
        <v>14000</v>
      </c>
      <c r="L172" s="2">
        <v>45343</v>
      </c>
      <c r="M172" s="10" t="str">
        <f t="shared" si="2"/>
        <v>Target Achieved</v>
      </c>
    </row>
    <row r="173" spans="1:13" x14ac:dyDescent="0.35">
      <c r="A173" s="1" t="s">
        <v>324</v>
      </c>
      <c r="B173" s="1" t="s">
        <v>325</v>
      </c>
      <c r="C173" s="1" t="s">
        <v>14</v>
      </c>
      <c r="D173" s="1" t="s">
        <v>15</v>
      </c>
      <c r="E173" s="1" t="s">
        <v>32</v>
      </c>
      <c r="F173" s="1" t="s">
        <v>25</v>
      </c>
      <c r="G173" s="1" t="s">
        <v>36</v>
      </c>
      <c r="H173" s="1">
        <v>15235</v>
      </c>
      <c r="I173" s="1" t="s">
        <v>19</v>
      </c>
      <c r="J173" s="1">
        <v>0.2</v>
      </c>
      <c r="K173" s="1">
        <v>14000</v>
      </c>
      <c r="L173" s="2">
        <v>45329</v>
      </c>
      <c r="M173" s="10" t="str">
        <f t="shared" si="2"/>
        <v>Target Achieved</v>
      </c>
    </row>
    <row r="174" spans="1:13" x14ac:dyDescent="0.35">
      <c r="A174" s="1" t="s">
        <v>326</v>
      </c>
      <c r="B174" s="1" t="s">
        <v>327</v>
      </c>
      <c r="C174" s="1" t="s">
        <v>44</v>
      </c>
      <c r="D174" s="1" t="s">
        <v>45</v>
      </c>
      <c r="E174" s="1" t="s">
        <v>46</v>
      </c>
      <c r="F174" s="1" t="s">
        <v>25</v>
      </c>
      <c r="G174" s="1" t="s">
        <v>18</v>
      </c>
      <c r="H174" s="1">
        <v>14038</v>
      </c>
      <c r="I174" s="1"/>
      <c r="J174" s="1"/>
      <c r="K174" s="1">
        <v>13000</v>
      </c>
      <c r="L174" s="2">
        <v>45325</v>
      </c>
      <c r="M174" s="10" t="str">
        <f t="shared" si="2"/>
        <v>Target Achieved</v>
      </c>
    </row>
    <row r="175" spans="1:13" x14ac:dyDescent="0.35">
      <c r="A175" s="1" t="s">
        <v>328</v>
      </c>
      <c r="B175" s="1" t="s">
        <v>173</v>
      </c>
      <c r="C175" s="1" t="s">
        <v>14</v>
      </c>
      <c r="D175" s="1" t="s">
        <v>15</v>
      </c>
      <c r="E175" s="1" t="s">
        <v>46</v>
      </c>
      <c r="F175" s="1" t="s">
        <v>17</v>
      </c>
      <c r="G175" s="1" t="s">
        <v>36</v>
      </c>
      <c r="H175" s="1">
        <v>14102</v>
      </c>
      <c r="I175" s="1" t="s">
        <v>27</v>
      </c>
      <c r="J175" s="1"/>
      <c r="K175" s="1">
        <v>14000</v>
      </c>
      <c r="L175" s="2">
        <v>45298</v>
      </c>
      <c r="M175" s="10" t="str">
        <f t="shared" si="2"/>
        <v>Target Achieved</v>
      </c>
    </row>
    <row r="176" spans="1:13" x14ac:dyDescent="0.35">
      <c r="A176" s="1" t="s">
        <v>329</v>
      </c>
      <c r="B176" s="1" t="s">
        <v>330</v>
      </c>
      <c r="C176" s="1" t="s">
        <v>44</v>
      </c>
      <c r="D176" s="1" t="s">
        <v>45</v>
      </c>
      <c r="E176" s="1" t="s">
        <v>16</v>
      </c>
      <c r="F176" s="1" t="s">
        <v>25</v>
      </c>
      <c r="G176" s="1" t="s">
        <v>26</v>
      </c>
      <c r="H176" s="1">
        <v>14208</v>
      </c>
      <c r="I176" s="1" t="s">
        <v>27</v>
      </c>
      <c r="J176" s="1"/>
      <c r="K176" s="1">
        <v>13000</v>
      </c>
      <c r="L176" s="2">
        <v>45311</v>
      </c>
      <c r="M176" s="10" t="str">
        <f t="shared" si="2"/>
        <v>Target Achieved</v>
      </c>
    </row>
    <row r="177" spans="1:13" x14ac:dyDescent="0.35">
      <c r="A177" s="1" t="s">
        <v>331</v>
      </c>
      <c r="B177" s="1" t="s">
        <v>332</v>
      </c>
      <c r="C177" s="1" t="s">
        <v>14</v>
      </c>
      <c r="D177" s="1" t="s">
        <v>15</v>
      </c>
      <c r="E177" s="1" t="s">
        <v>32</v>
      </c>
      <c r="F177" s="1" t="s">
        <v>17</v>
      </c>
      <c r="G177" s="1" t="s">
        <v>36</v>
      </c>
      <c r="H177" s="1">
        <v>13746</v>
      </c>
      <c r="I177" s="1" t="s">
        <v>22</v>
      </c>
      <c r="J177" s="1">
        <v>0.1</v>
      </c>
      <c r="K177" s="1">
        <v>14000</v>
      </c>
      <c r="L177" s="2">
        <v>45323</v>
      </c>
      <c r="M177" s="10" t="str">
        <f t="shared" si="2"/>
        <v>Below Target</v>
      </c>
    </row>
    <row r="178" spans="1:13" x14ac:dyDescent="0.35">
      <c r="A178" s="1" t="s">
        <v>333</v>
      </c>
      <c r="B178" s="1" t="s">
        <v>334</v>
      </c>
      <c r="C178" s="1" t="s">
        <v>14</v>
      </c>
      <c r="D178" s="1" t="s">
        <v>15</v>
      </c>
      <c r="E178" s="1" t="s">
        <v>32</v>
      </c>
      <c r="F178" s="1" t="s">
        <v>17</v>
      </c>
      <c r="G178" s="1" t="s">
        <v>26</v>
      </c>
      <c r="H178" s="1">
        <v>12607</v>
      </c>
      <c r="I178" s="1" t="s">
        <v>22</v>
      </c>
      <c r="J178" s="1">
        <v>0.1</v>
      </c>
      <c r="K178" s="1">
        <v>14000</v>
      </c>
      <c r="L178" s="2">
        <v>45300</v>
      </c>
      <c r="M178" s="10" t="str">
        <f t="shared" si="2"/>
        <v>Below Target</v>
      </c>
    </row>
    <row r="179" spans="1:13" x14ac:dyDescent="0.35">
      <c r="A179" s="1" t="s">
        <v>335</v>
      </c>
      <c r="B179" s="1" t="s">
        <v>118</v>
      </c>
      <c r="C179" s="1" t="s">
        <v>30</v>
      </c>
      <c r="D179" s="1" t="s">
        <v>31</v>
      </c>
      <c r="E179" s="1" t="s">
        <v>46</v>
      </c>
      <c r="F179" s="1" t="s">
        <v>39</v>
      </c>
      <c r="G179" s="1" t="s">
        <v>26</v>
      </c>
      <c r="H179" s="1">
        <v>16207</v>
      </c>
      <c r="I179" s="1"/>
      <c r="J179" s="1"/>
      <c r="K179" s="1">
        <v>17000</v>
      </c>
      <c r="L179" s="2">
        <v>45324</v>
      </c>
      <c r="M179" s="10" t="str">
        <f t="shared" si="2"/>
        <v>Below Target</v>
      </c>
    </row>
    <row r="180" spans="1:13" x14ac:dyDescent="0.35">
      <c r="A180" s="1" t="s">
        <v>336</v>
      </c>
      <c r="B180" s="1" t="s">
        <v>337</v>
      </c>
      <c r="C180" s="1" t="s">
        <v>14</v>
      </c>
      <c r="D180" s="1" t="s">
        <v>15</v>
      </c>
      <c r="E180" s="1" t="s">
        <v>16</v>
      </c>
      <c r="F180" s="1" t="s">
        <v>25</v>
      </c>
      <c r="G180" s="1" t="s">
        <v>26</v>
      </c>
      <c r="H180" s="1">
        <v>14666</v>
      </c>
      <c r="I180" s="1" t="s">
        <v>27</v>
      </c>
      <c r="J180" s="1"/>
      <c r="K180" s="1">
        <v>14000</v>
      </c>
      <c r="L180" s="2">
        <v>45338</v>
      </c>
      <c r="M180" s="10" t="str">
        <f t="shared" si="2"/>
        <v>Target Achieved</v>
      </c>
    </row>
    <row r="181" spans="1:13" x14ac:dyDescent="0.35">
      <c r="A181" s="1" t="s">
        <v>338</v>
      </c>
      <c r="B181" s="1" t="s">
        <v>207</v>
      </c>
      <c r="C181" s="1" t="s">
        <v>61</v>
      </c>
      <c r="D181" s="1" t="s">
        <v>62</v>
      </c>
      <c r="E181" s="1" t="s">
        <v>46</v>
      </c>
      <c r="F181" s="1" t="s">
        <v>25</v>
      </c>
      <c r="G181" s="1" t="s">
        <v>36</v>
      </c>
      <c r="H181" s="1">
        <v>8388</v>
      </c>
      <c r="I181" s="1"/>
      <c r="J181" s="1"/>
      <c r="K181" s="1">
        <v>9000</v>
      </c>
      <c r="L181" s="2">
        <v>45317</v>
      </c>
      <c r="M181" s="10" t="str">
        <f t="shared" si="2"/>
        <v>Below Target</v>
      </c>
    </row>
    <row r="182" spans="1:13" x14ac:dyDescent="0.35">
      <c r="A182" s="1" t="s">
        <v>339</v>
      </c>
      <c r="B182" s="1" t="s">
        <v>101</v>
      </c>
      <c r="C182" s="1" t="s">
        <v>14</v>
      </c>
      <c r="D182" s="1" t="s">
        <v>15</v>
      </c>
      <c r="E182" s="1" t="s">
        <v>46</v>
      </c>
      <c r="F182" s="1" t="s">
        <v>17</v>
      </c>
      <c r="G182" s="1" t="s">
        <v>36</v>
      </c>
      <c r="H182" s="1">
        <v>14724</v>
      </c>
      <c r="I182" s="1" t="s">
        <v>33</v>
      </c>
      <c r="J182" s="1">
        <v>0.3</v>
      </c>
      <c r="K182" s="1">
        <v>14000</v>
      </c>
      <c r="L182" s="2">
        <v>45315</v>
      </c>
      <c r="M182" s="10" t="str">
        <f t="shared" si="2"/>
        <v>Target Achieved</v>
      </c>
    </row>
    <row r="183" spans="1:13" x14ac:dyDescent="0.35">
      <c r="A183" s="1" t="s">
        <v>340</v>
      </c>
      <c r="B183" s="1" t="s">
        <v>113</v>
      </c>
      <c r="C183" s="1" t="s">
        <v>61</v>
      </c>
      <c r="D183" s="1" t="s">
        <v>62</v>
      </c>
      <c r="E183" s="1" t="s">
        <v>32</v>
      </c>
      <c r="F183" s="1" t="s">
        <v>25</v>
      </c>
      <c r="G183" s="1" t="s">
        <v>18</v>
      </c>
      <c r="H183" s="1">
        <v>7381</v>
      </c>
      <c r="I183" s="1"/>
      <c r="J183" s="1"/>
      <c r="K183" s="1">
        <v>9000</v>
      </c>
      <c r="L183" s="2">
        <v>45298</v>
      </c>
      <c r="M183" s="10" t="str">
        <f t="shared" si="2"/>
        <v>Below Target</v>
      </c>
    </row>
    <row r="184" spans="1:13" x14ac:dyDescent="0.35">
      <c r="A184" s="1" t="s">
        <v>341</v>
      </c>
      <c r="B184" s="1" t="s">
        <v>342</v>
      </c>
      <c r="C184" s="1" t="s">
        <v>30</v>
      </c>
      <c r="D184" s="1" t="s">
        <v>31</v>
      </c>
      <c r="E184" s="1" t="s">
        <v>32</v>
      </c>
      <c r="F184" s="1" t="s">
        <v>39</v>
      </c>
      <c r="G184" s="1" t="s">
        <v>18</v>
      </c>
      <c r="H184" s="1">
        <v>17402</v>
      </c>
      <c r="I184" s="1" t="s">
        <v>27</v>
      </c>
      <c r="J184" s="1"/>
      <c r="K184" s="1">
        <v>17000</v>
      </c>
      <c r="L184" s="2">
        <v>45327</v>
      </c>
      <c r="M184" s="10" t="str">
        <f t="shared" si="2"/>
        <v>Target Achieved</v>
      </c>
    </row>
    <row r="185" spans="1:13" x14ac:dyDescent="0.35">
      <c r="A185" s="1" t="s">
        <v>343</v>
      </c>
      <c r="B185" s="1" t="s">
        <v>150</v>
      </c>
      <c r="C185" s="1" t="s">
        <v>14</v>
      </c>
      <c r="D185" s="1" t="s">
        <v>15</v>
      </c>
      <c r="E185" s="1" t="s">
        <v>46</v>
      </c>
      <c r="F185" s="1" t="s">
        <v>17</v>
      </c>
      <c r="G185" s="1" t="s">
        <v>26</v>
      </c>
      <c r="H185" s="1">
        <v>15854</v>
      </c>
      <c r="I185" s="1"/>
      <c r="J185" s="1"/>
      <c r="K185" s="1">
        <v>14000</v>
      </c>
      <c r="L185" s="2">
        <v>45347</v>
      </c>
      <c r="M185" s="10" t="str">
        <f t="shared" si="2"/>
        <v>Target Achieved</v>
      </c>
    </row>
    <row r="186" spans="1:13" x14ac:dyDescent="0.35">
      <c r="A186" s="1" t="s">
        <v>344</v>
      </c>
      <c r="B186" s="1" t="s">
        <v>260</v>
      </c>
      <c r="C186" s="1" t="s">
        <v>14</v>
      </c>
      <c r="D186" s="1" t="s">
        <v>15</v>
      </c>
      <c r="E186" s="1" t="s">
        <v>46</v>
      </c>
      <c r="F186" s="1" t="s">
        <v>39</v>
      </c>
      <c r="G186" s="1" t="s">
        <v>36</v>
      </c>
      <c r="H186" s="1">
        <v>13440</v>
      </c>
      <c r="I186" s="1" t="s">
        <v>22</v>
      </c>
      <c r="J186" s="1">
        <v>0.1</v>
      </c>
      <c r="K186" s="1">
        <v>14000</v>
      </c>
      <c r="L186" s="2">
        <v>45328</v>
      </c>
      <c r="M186" s="10" t="str">
        <f t="shared" si="2"/>
        <v>Below Target</v>
      </c>
    </row>
    <row r="187" spans="1:13" x14ac:dyDescent="0.35">
      <c r="A187" s="1" t="s">
        <v>345</v>
      </c>
      <c r="B187" s="1" t="s">
        <v>346</v>
      </c>
      <c r="C187" s="1" t="s">
        <v>44</v>
      </c>
      <c r="D187" s="1" t="s">
        <v>45</v>
      </c>
      <c r="E187" s="1" t="s">
        <v>16</v>
      </c>
      <c r="F187" s="1" t="s">
        <v>17</v>
      </c>
      <c r="G187" s="1" t="s">
        <v>18</v>
      </c>
      <c r="H187" s="1">
        <v>14470</v>
      </c>
      <c r="I187" s="1" t="s">
        <v>22</v>
      </c>
      <c r="J187" s="1">
        <v>0.1</v>
      </c>
      <c r="K187" s="1">
        <v>13000</v>
      </c>
      <c r="L187" s="2">
        <v>45314</v>
      </c>
      <c r="M187" s="10" t="str">
        <f t="shared" si="2"/>
        <v>Target Achieved</v>
      </c>
    </row>
    <row r="188" spans="1:13" x14ac:dyDescent="0.35">
      <c r="A188" s="1" t="s">
        <v>347</v>
      </c>
      <c r="B188" s="1" t="s">
        <v>144</v>
      </c>
      <c r="C188" s="1" t="s">
        <v>30</v>
      </c>
      <c r="D188" s="1" t="s">
        <v>31</v>
      </c>
      <c r="E188" s="1" t="s">
        <v>32</v>
      </c>
      <c r="F188" s="1" t="s">
        <v>17</v>
      </c>
      <c r="G188" s="1" t="s">
        <v>26</v>
      </c>
      <c r="H188" s="1">
        <v>15926</v>
      </c>
      <c r="I188" s="1"/>
      <c r="J188" s="1"/>
      <c r="K188" s="1">
        <v>17000</v>
      </c>
      <c r="L188" s="2">
        <v>45346</v>
      </c>
      <c r="M188" s="10" t="str">
        <f t="shared" si="2"/>
        <v>Below Target</v>
      </c>
    </row>
    <row r="189" spans="1:13" x14ac:dyDescent="0.35">
      <c r="A189" s="1" t="s">
        <v>348</v>
      </c>
      <c r="B189" s="1" t="s">
        <v>82</v>
      </c>
      <c r="C189" s="1" t="s">
        <v>14</v>
      </c>
      <c r="D189" s="1" t="s">
        <v>15</v>
      </c>
      <c r="E189" s="1" t="s">
        <v>16</v>
      </c>
      <c r="F189" s="1" t="s">
        <v>39</v>
      </c>
      <c r="G189" s="1" t="s">
        <v>26</v>
      </c>
      <c r="H189" s="1">
        <v>13095</v>
      </c>
      <c r="I189" s="1" t="s">
        <v>22</v>
      </c>
      <c r="J189" s="1">
        <v>0.1</v>
      </c>
      <c r="K189" s="1">
        <v>14000</v>
      </c>
      <c r="L189" s="2">
        <v>45303</v>
      </c>
      <c r="M189" s="10" t="str">
        <f t="shared" si="2"/>
        <v>Below Target</v>
      </c>
    </row>
    <row r="190" spans="1:13" x14ac:dyDescent="0.35">
      <c r="A190" s="1" t="s">
        <v>349</v>
      </c>
      <c r="B190" s="1" t="s">
        <v>350</v>
      </c>
      <c r="C190" s="1" t="s">
        <v>30</v>
      </c>
      <c r="D190" s="1" t="s">
        <v>31</v>
      </c>
      <c r="E190" s="1" t="s">
        <v>46</v>
      </c>
      <c r="F190" s="1" t="s">
        <v>17</v>
      </c>
      <c r="G190" s="1" t="s">
        <v>18</v>
      </c>
      <c r="H190" s="1">
        <v>15743</v>
      </c>
      <c r="I190" s="1" t="s">
        <v>19</v>
      </c>
      <c r="J190" s="1">
        <v>0.2</v>
      </c>
      <c r="K190" s="1">
        <v>17000</v>
      </c>
      <c r="L190" s="2">
        <v>45328</v>
      </c>
      <c r="M190" s="10" t="str">
        <f t="shared" si="2"/>
        <v>Below Target</v>
      </c>
    </row>
    <row r="191" spans="1:13" x14ac:dyDescent="0.35">
      <c r="A191" s="1" t="s">
        <v>351</v>
      </c>
      <c r="B191" s="1" t="s">
        <v>90</v>
      </c>
      <c r="C191" s="1" t="s">
        <v>14</v>
      </c>
      <c r="D191" s="1" t="s">
        <v>15</v>
      </c>
      <c r="E191" s="1" t="s">
        <v>32</v>
      </c>
      <c r="F191" s="1" t="s">
        <v>39</v>
      </c>
      <c r="G191" s="1" t="s">
        <v>26</v>
      </c>
      <c r="H191" s="1">
        <v>15980</v>
      </c>
      <c r="I191" s="1" t="s">
        <v>22</v>
      </c>
      <c r="J191" s="1">
        <v>0.1</v>
      </c>
      <c r="K191" s="1">
        <v>14000</v>
      </c>
      <c r="L191" s="2">
        <v>45297</v>
      </c>
      <c r="M191" s="10" t="str">
        <f t="shared" si="2"/>
        <v>Target Achieved</v>
      </c>
    </row>
    <row r="192" spans="1:13" x14ac:dyDescent="0.35">
      <c r="A192" s="1" t="s">
        <v>352</v>
      </c>
      <c r="B192" s="1" t="s">
        <v>103</v>
      </c>
      <c r="C192" s="1" t="s">
        <v>44</v>
      </c>
      <c r="D192" s="1" t="s">
        <v>45</v>
      </c>
      <c r="E192" s="1" t="s">
        <v>46</v>
      </c>
      <c r="F192" s="1" t="s">
        <v>17</v>
      </c>
      <c r="G192" s="1" t="s">
        <v>36</v>
      </c>
      <c r="H192" s="1">
        <v>12396</v>
      </c>
      <c r="I192" s="1" t="s">
        <v>19</v>
      </c>
      <c r="J192" s="1">
        <v>0.2</v>
      </c>
      <c r="K192" s="1">
        <v>13000</v>
      </c>
      <c r="L192" s="2">
        <v>45315</v>
      </c>
      <c r="M192" s="10" t="str">
        <f t="shared" si="2"/>
        <v>Below Target</v>
      </c>
    </row>
    <row r="193" spans="1:13" x14ac:dyDescent="0.35">
      <c r="A193" s="1" t="s">
        <v>353</v>
      </c>
      <c r="B193" s="1" t="s">
        <v>350</v>
      </c>
      <c r="C193" s="1" t="s">
        <v>30</v>
      </c>
      <c r="D193" s="1" t="s">
        <v>31</v>
      </c>
      <c r="E193" s="1" t="s">
        <v>16</v>
      </c>
      <c r="F193" s="1" t="s">
        <v>39</v>
      </c>
      <c r="G193" s="1" t="s">
        <v>18</v>
      </c>
      <c r="H193" s="1">
        <v>18618</v>
      </c>
      <c r="I193" s="1" t="s">
        <v>22</v>
      </c>
      <c r="J193" s="1">
        <v>0.1</v>
      </c>
      <c r="K193" s="1">
        <v>17000</v>
      </c>
      <c r="L193" s="2">
        <v>45301</v>
      </c>
      <c r="M193" s="10" t="str">
        <f t="shared" si="2"/>
        <v>Target Achieved</v>
      </c>
    </row>
    <row r="194" spans="1:13" x14ac:dyDescent="0.35">
      <c r="A194" s="1" t="s">
        <v>354</v>
      </c>
      <c r="B194" s="1" t="s">
        <v>135</v>
      </c>
      <c r="C194" s="1" t="s">
        <v>14</v>
      </c>
      <c r="D194" s="1" t="s">
        <v>15</v>
      </c>
      <c r="E194" s="1" t="s">
        <v>16</v>
      </c>
      <c r="F194" s="1" t="s">
        <v>25</v>
      </c>
      <c r="G194" s="1" t="s">
        <v>36</v>
      </c>
      <c r="H194" s="1">
        <v>13814</v>
      </c>
      <c r="I194" s="1"/>
      <c r="J194" s="1"/>
      <c r="K194" s="1">
        <v>14000</v>
      </c>
      <c r="L194" s="2">
        <v>45323</v>
      </c>
      <c r="M194" s="10" t="str">
        <f t="shared" si="2"/>
        <v>Below Target</v>
      </c>
    </row>
    <row r="195" spans="1:13" x14ac:dyDescent="0.35">
      <c r="A195" s="1" t="s">
        <v>355</v>
      </c>
      <c r="B195" s="1" t="s">
        <v>356</v>
      </c>
      <c r="C195" s="1" t="s">
        <v>61</v>
      </c>
      <c r="D195" s="1" t="s">
        <v>62</v>
      </c>
      <c r="E195" s="1" t="s">
        <v>46</v>
      </c>
      <c r="F195" s="1" t="s">
        <v>25</v>
      </c>
      <c r="G195" s="1" t="s">
        <v>26</v>
      </c>
      <c r="H195" s="1">
        <v>7466</v>
      </c>
      <c r="I195" s="1" t="s">
        <v>33</v>
      </c>
      <c r="J195" s="1">
        <v>0.3</v>
      </c>
      <c r="K195" s="1">
        <v>9000</v>
      </c>
      <c r="L195" s="2">
        <v>45319</v>
      </c>
      <c r="M195" s="10" t="str">
        <f t="shared" ref="M195:M258" si="3">IF(H195&gt;=K195,"Target Achieved","Below Target")</f>
        <v>Below Target</v>
      </c>
    </row>
    <row r="196" spans="1:13" x14ac:dyDescent="0.35">
      <c r="A196" s="1" t="s">
        <v>357</v>
      </c>
      <c r="B196" s="1" t="s">
        <v>263</v>
      </c>
      <c r="C196" s="1" t="s">
        <v>61</v>
      </c>
      <c r="D196" s="1" t="s">
        <v>62</v>
      </c>
      <c r="E196" s="1" t="s">
        <v>16</v>
      </c>
      <c r="F196" s="1" t="s">
        <v>39</v>
      </c>
      <c r="G196" s="1" t="s">
        <v>36</v>
      </c>
      <c r="H196" s="1">
        <v>7186</v>
      </c>
      <c r="I196" s="1" t="s">
        <v>19</v>
      </c>
      <c r="J196" s="1">
        <v>0.2</v>
      </c>
      <c r="K196" s="1">
        <v>9000</v>
      </c>
      <c r="L196" s="2">
        <v>45317</v>
      </c>
      <c r="M196" s="10" t="str">
        <f t="shared" si="3"/>
        <v>Below Target</v>
      </c>
    </row>
    <row r="197" spans="1:13" x14ac:dyDescent="0.35">
      <c r="A197" s="1" t="s">
        <v>358</v>
      </c>
      <c r="B197" s="1" t="s">
        <v>359</v>
      </c>
      <c r="C197" s="1" t="s">
        <v>14</v>
      </c>
      <c r="D197" s="1" t="s">
        <v>15</v>
      </c>
      <c r="E197" s="1" t="s">
        <v>32</v>
      </c>
      <c r="F197" s="1" t="s">
        <v>17</v>
      </c>
      <c r="G197" s="1" t="s">
        <v>18</v>
      </c>
      <c r="H197" s="1">
        <v>15143</v>
      </c>
      <c r="I197" s="1" t="s">
        <v>19</v>
      </c>
      <c r="J197" s="1">
        <v>0.2</v>
      </c>
      <c r="K197" s="1">
        <v>14000</v>
      </c>
      <c r="L197" s="2">
        <v>45340</v>
      </c>
      <c r="M197" s="10" t="str">
        <f t="shared" si="3"/>
        <v>Target Achieved</v>
      </c>
    </row>
    <row r="198" spans="1:13" x14ac:dyDescent="0.35">
      <c r="A198" s="1" t="s">
        <v>360</v>
      </c>
      <c r="B198" s="1" t="s">
        <v>361</v>
      </c>
      <c r="C198" s="1" t="s">
        <v>30</v>
      </c>
      <c r="D198" s="1" t="s">
        <v>31</v>
      </c>
      <c r="E198" s="1" t="s">
        <v>32</v>
      </c>
      <c r="F198" s="1" t="s">
        <v>25</v>
      </c>
      <c r="G198" s="1" t="s">
        <v>36</v>
      </c>
      <c r="H198" s="1">
        <v>18059</v>
      </c>
      <c r="I198" s="1"/>
      <c r="J198" s="1"/>
      <c r="K198" s="1">
        <v>17000</v>
      </c>
      <c r="L198" s="2">
        <v>45303</v>
      </c>
      <c r="M198" s="10" t="str">
        <f t="shared" si="3"/>
        <v>Target Achieved</v>
      </c>
    </row>
    <row r="199" spans="1:13" x14ac:dyDescent="0.35">
      <c r="A199" s="1" t="s">
        <v>362</v>
      </c>
      <c r="B199" s="1" t="s">
        <v>363</v>
      </c>
      <c r="C199" s="1" t="s">
        <v>44</v>
      </c>
      <c r="D199" s="1" t="s">
        <v>45</v>
      </c>
      <c r="E199" s="1" t="s">
        <v>16</v>
      </c>
      <c r="F199" s="1" t="s">
        <v>39</v>
      </c>
      <c r="G199" s="1" t="s">
        <v>26</v>
      </c>
      <c r="H199" s="1">
        <v>14302</v>
      </c>
      <c r="I199" s="1" t="s">
        <v>33</v>
      </c>
      <c r="J199" s="1">
        <v>0.3</v>
      </c>
      <c r="K199" s="1">
        <v>13000</v>
      </c>
      <c r="L199" s="2">
        <v>45296</v>
      </c>
      <c r="M199" s="10" t="str">
        <f t="shared" si="3"/>
        <v>Target Achieved</v>
      </c>
    </row>
    <row r="200" spans="1:13" x14ac:dyDescent="0.35">
      <c r="A200" s="1" t="s">
        <v>364</v>
      </c>
      <c r="B200" s="1" t="s">
        <v>309</v>
      </c>
      <c r="C200" s="1" t="s">
        <v>14</v>
      </c>
      <c r="D200" s="1" t="s">
        <v>15</v>
      </c>
      <c r="E200" s="1" t="s">
        <v>46</v>
      </c>
      <c r="F200" s="1" t="s">
        <v>25</v>
      </c>
      <c r="G200" s="1" t="s">
        <v>36</v>
      </c>
      <c r="H200" s="1">
        <v>15773</v>
      </c>
      <c r="I200" s="1" t="s">
        <v>22</v>
      </c>
      <c r="J200" s="1">
        <v>0.1</v>
      </c>
      <c r="K200" s="1">
        <v>14000</v>
      </c>
      <c r="L200" s="2">
        <v>45347</v>
      </c>
      <c r="M200" s="10" t="str">
        <f t="shared" si="3"/>
        <v>Target Achieved</v>
      </c>
    </row>
    <row r="201" spans="1:13" x14ac:dyDescent="0.35">
      <c r="A201" s="1" t="s">
        <v>365</v>
      </c>
      <c r="B201" s="1" t="s">
        <v>38</v>
      </c>
      <c r="C201" s="1" t="s">
        <v>61</v>
      </c>
      <c r="D201" s="1" t="s">
        <v>62</v>
      </c>
      <c r="E201" s="1" t="s">
        <v>16</v>
      </c>
      <c r="F201" s="1" t="s">
        <v>17</v>
      </c>
      <c r="G201" s="1" t="s">
        <v>26</v>
      </c>
      <c r="H201" s="1">
        <v>9622</v>
      </c>
      <c r="I201" s="1"/>
      <c r="J201" s="1"/>
      <c r="K201" s="1">
        <v>9000</v>
      </c>
      <c r="L201" s="2">
        <v>45310</v>
      </c>
      <c r="M201" s="10" t="str">
        <f t="shared" si="3"/>
        <v>Target Achieved</v>
      </c>
    </row>
    <row r="202" spans="1:13" x14ac:dyDescent="0.35">
      <c r="A202" s="1" t="s">
        <v>366</v>
      </c>
      <c r="B202" s="1" t="s">
        <v>66</v>
      </c>
      <c r="C202" s="1" t="s">
        <v>14</v>
      </c>
      <c r="D202" s="1" t="s">
        <v>15</v>
      </c>
      <c r="E202" s="1" t="s">
        <v>46</v>
      </c>
      <c r="F202" s="1" t="s">
        <v>25</v>
      </c>
      <c r="G202" s="1" t="s">
        <v>26</v>
      </c>
      <c r="H202" s="1">
        <v>13884</v>
      </c>
      <c r="I202" s="1" t="s">
        <v>33</v>
      </c>
      <c r="J202" s="1">
        <v>0.3</v>
      </c>
      <c r="K202" s="1">
        <v>14000</v>
      </c>
      <c r="L202" s="2">
        <v>45297</v>
      </c>
      <c r="M202" s="10" t="str">
        <f t="shared" si="3"/>
        <v>Below Target</v>
      </c>
    </row>
    <row r="203" spans="1:13" x14ac:dyDescent="0.35">
      <c r="A203" s="1" t="s">
        <v>367</v>
      </c>
      <c r="B203" s="1" t="s">
        <v>309</v>
      </c>
      <c r="C203" s="1" t="s">
        <v>14</v>
      </c>
      <c r="D203" s="1" t="s">
        <v>15</v>
      </c>
      <c r="E203" s="1" t="s">
        <v>32</v>
      </c>
      <c r="F203" s="1" t="s">
        <v>17</v>
      </c>
      <c r="G203" s="1" t="s">
        <v>26</v>
      </c>
      <c r="H203" s="1">
        <v>13640</v>
      </c>
      <c r="I203" s="1" t="s">
        <v>27</v>
      </c>
      <c r="J203" s="1"/>
      <c r="K203" s="1">
        <v>14000</v>
      </c>
      <c r="L203" s="2">
        <v>45297</v>
      </c>
      <c r="M203" s="10" t="str">
        <f t="shared" si="3"/>
        <v>Below Target</v>
      </c>
    </row>
    <row r="204" spans="1:13" x14ac:dyDescent="0.35">
      <c r="A204" s="1" t="s">
        <v>368</v>
      </c>
      <c r="B204" s="1" t="s">
        <v>309</v>
      </c>
      <c r="C204" s="1" t="s">
        <v>30</v>
      </c>
      <c r="D204" s="1" t="s">
        <v>31</v>
      </c>
      <c r="E204" s="1" t="s">
        <v>16</v>
      </c>
      <c r="F204" s="1" t="s">
        <v>17</v>
      </c>
      <c r="G204" s="1" t="s">
        <v>18</v>
      </c>
      <c r="H204" s="1">
        <v>16364</v>
      </c>
      <c r="I204" s="1" t="s">
        <v>19</v>
      </c>
      <c r="J204" s="1">
        <v>0.2</v>
      </c>
      <c r="K204" s="1">
        <v>17000</v>
      </c>
      <c r="L204" s="2">
        <v>45296</v>
      </c>
      <c r="M204" s="10" t="str">
        <f t="shared" si="3"/>
        <v>Below Target</v>
      </c>
    </row>
    <row r="205" spans="1:13" x14ac:dyDescent="0.35">
      <c r="A205" s="1" t="s">
        <v>369</v>
      </c>
      <c r="B205" s="1" t="s">
        <v>202</v>
      </c>
      <c r="C205" s="1" t="s">
        <v>14</v>
      </c>
      <c r="D205" s="1" t="s">
        <v>15</v>
      </c>
      <c r="E205" s="1" t="s">
        <v>16</v>
      </c>
      <c r="F205" s="1" t="s">
        <v>39</v>
      </c>
      <c r="G205" s="1" t="s">
        <v>18</v>
      </c>
      <c r="H205" s="1">
        <v>15710</v>
      </c>
      <c r="I205" s="1" t="s">
        <v>33</v>
      </c>
      <c r="J205" s="1">
        <v>0.3</v>
      </c>
      <c r="K205" s="1">
        <v>14000</v>
      </c>
      <c r="L205" s="2">
        <v>45314</v>
      </c>
      <c r="M205" s="10" t="str">
        <f t="shared" si="3"/>
        <v>Target Achieved</v>
      </c>
    </row>
    <row r="206" spans="1:13" x14ac:dyDescent="0.35">
      <c r="A206" s="1" t="s">
        <v>370</v>
      </c>
      <c r="B206" s="1" t="s">
        <v>371</v>
      </c>
      <c r="C206" s="1" t="s">
        <v>44</v>
      </c>
      <c r="D206" s="1" t="s">
        <v>45</v>
      </c>
      <c r="E206" s="1" t="s">
        <v>32</v>
      </c>
      <c r="F206" s="1" t="s">
        <v>25</v>
      </c>
      <c r="G206" s="1" t="s">
        <v>18</v>
      </c>
      <c r="H206" s="1">
        <v>12048</v>
      </c>
      <c r="I206" s="1" t="s">
        <v>19</v>
      </c>
      <c r="J206" s="1">
        <v>0.2</v>
      </c>
      <c r="K206" s="1">
        <v>13000</v>
      </c>
      <c r="L206" s="2">
        <v>45303</v>
      </c>
      <c r="M206" s="10" t="str">
        <f t="shared" si="3"/>
        <v>Below Target</v>
      </c>
    </row>
    <row r="207" spans="1:13" x14ac:dyDescent="0.35">
      <c r="A207" s="1" t="s">
        <v>372</v>
      </c>
      <c r="B207" s="1" t="s">
        <v>373</v>
      </c>
      <c r="C207" s="1" t="s">
        <v>14</v>
      </c>
      <c r="D207" s="1" t="s">
        <v>15</v>
      </c>
      <c r="E207" s="1" t="s">
        <v>32</v>
      </c>
      <c r="F207" s="1" t="s">
        <v>39</v>
      </c>
      <c r="G207" s="1" t="s">
        <v>36</v>
      </c>
      <c r="H207" s="1">
        <v>13900</v>
      </c>
      <c r="I207" s="1" t="s">
        <v>27</v>
      </c>
      <c r="J207" s="1"/>
      <c r="K207" s="1">
        <v>14000</v>
      </c>
      <c r="L207" s="2">
        <v>45340</v>
      </c>
      <c r="M207" s="10" t="str">
        <f t="shared" si="3"/>
        <v>Below Target</v>
      </c>
    </row>
    <row r="208" spans="1:13" x14ac:dyDescent="0.35">
      <c r="A208" s="1" t="s">
        <v>374</v>
      </c>
      <c r="B208" s="1" t="s">
        <v>356</v>
      </c>
      <c r="C208" s="1" t="s">
        <v>30</v>
      </c>
      <c r="D208" s="1" t="s">
        <v>31</v>
      </c>
      <c r="E208" s="1" t="s">
        <v>16</v>
      </c>
      <c r="F208" s="1" t="s">
        <v>17</v>
      </c>
      <c r="G208" s="1" t="s">
        <v>18</v>
      </c>
      <c r="H208" s="1">
        <v>16801</v>
      </c>
      <c r="I208" s="1" t="s">
        <v>22</v>
      </c>
      <c r="J208" s="1">
        <v>0.1</v>
      </c>
      <c r="K208" s="1">
        <v>17000</v>
      </c>
      <c r="L208" s="2">
        <v>45322</v>
      </c>
      <c r="M208" s="10" t="str">
        <f t="shared" si="3"/>
        <v>Below Target</v>
      </c>
    </row>
    <row r="209" spans="1:13" x14ac:dyDescent="0.35">
      <c r="A209" s="1" t="s">
        <v>375</v>
      </c>
      <c r="B209" s="1" t="s">
        <v>332</v>
      </c>
      <c r="C209" s="1" t="s">
        <v>30</v>
      </c>
      <c r="D209" s="1" t="s">
        <v>31</v>
      </c>
      <c r="E209" s="1" t="s">
        <v>46</v>
      </c>
      <c r="F209" s="1" t="s">
        <v>39</v>
      </c>
      <c r="G209" s="1" t="s">
        <v>18</v>
      </c>
      <c r="H209" s="1">
        <v>16441</v>
      </c>
      <c r="I209" s="1" t="s">
        <v>27</v>
      </c>
      <c r="J209" s="1"/>
      <c r="K209" s="1">
        <v>17000</v>
      </c>
      <c r="L209" s="2">
        <v>45296</v>
      </c>
      <c r="M209" s="10" t="str">
        <f t="shared" si="3"/>
        <v>Below Target</v>
      </c>
    </row>
    <row r="210" spans="1:13" x14ac:dyDescent="0.35">
      <c r="A210" s="1" t="s">
        <v>376</v>
      </c>
      <c r="B210" s="1" t="s">
        <v>48</v>
      </c>
      <c r="C210" s="1" t="s">
        <v>61</v>
      </c>
      <c r="D210" s="1" t="s">
        <v>62</v>
      </c>
      <c r="E210" s="1" t="s">
        <v>32</v>
      </c>
      <c r="F210" s="1" t="s">
        <v>25</v>
      </c>
      <c r="G210" s="1" t="s">
        <v>36</v>
      </c>
      <c r="H210" s="1">
        <v>10406</v>
      </c>
      <c r="I210" s="1" t="s">
        <v>33</v>
      </c>
      <c r="J210" s="1">
        <v>0.3</v>
      </c>
      <c r="K210" s="1">
        <v>9000</v>
      </c>
      <c r="L210" s="2">
        <v>45296</v>
      </c>
      <c r="M210" s="10" t="str">
        <f t="shared" si="3"/>
        <v>Target Achieved</v>
      </c>
    </row>
    <row r="211" spans="1:13" x14ac:dyDescent="0.35">
      <c r="A211" s="1" t="s">
        <v>377</v>
      </c>
      <c r="B211" s="1" t="s">
        <v>204</v>
      </c>
      <c r="C211" s="1" t="s">
        <v>14</v>
      </c>
      <c r="D211" s="1" t="s">
        <v>15</v>
      </c>
      <c r="E211" s="1" t="s">
        <v>16</v>
      </c>
      <c r="F211" s="1" t="s">
        <v>39</v>
      </c>
      <c r="G211" s="1" t="s">
        <v>26</v>
      </c>
      <c r="H211" s="1">
        <v>13574</v>
      </c>
      <c r="I211" s="1"/>
      <c r="J211" s="1"/>
      <c r="K211" s="1">
        <v>14000</v>
      </c>
      <c r="L211" s="2">
        <v>45329</v>
      </c>
      <c r="M211" s="10" t="str">
        <f t="shared" si="3"/>
        <v>Below Target</v>
      </c>
    </row>
    <row r="212" spans="1:13" x14ac:dyDescent="0.35">
      <c r="A212" s="1" t="s">
        <v>378</v>
      </c>
      <c r="B212" s="1" t="s">
        <v>82</v>
      </c>
      <c r="C212" s="1" t="s">
        <v>14</v>
      </c>
      <c r="D212" s="1" t="s">
        <v>15</v>
      </c>
      <c r="E212" s="1" t="s">
        <v>46</v>
      </c>
      <c r="F212" s="1" t="s">
        <v>39</v>
      </c>
      <c r="G212" s="1" t="s">
        <v>26</v>
      </c>
      <c r="H212" s="1">
        <v>12771</v>
      </c>
      <c r="I212" s="1" t="s">
        <v>33</v>
      </c>
      <c r="J212" s="1">
        <v>0.3</v>
      </c>
      <c r="K212" s="1">
        <v>14000</v>
      </c>
      <c r="L212" s="2">
        <v>45330</v>
      </c>
      <c r="M212" s="10" t="str">
        <f t="shared" si="3"/>
        <v>Below Target</v>
      </c>
    </row>
    <row r="213" spans="1:13" x14ac:dyDescent="0.35">
      <c r="A213" s="1" t="s">
        <v>379</v>
      </c>
      <c r="B213" s="1" t="s">
        <v>330</v>
      </c>
      <c r="C213" s="1" t="s">
        <v>44</v>
      </c>
      <c r="D213" s="1" t="s">
        <v>45</v>
      </c>
      <c r="E213" s="1" t="s">
        <v>32</v>
      </c>
      <c r="F213" s="1" t="s">
        <v>17</v>
      </c>
      <c r="G213" s="1" t="s">
        <v>18</v>
      </c>
      <c r="H213" s="1">
        <v>14321</v>
      </c>
      <c r="I213" s="1" t="s">
        <v>33</v>
      </c>
      <c r="J213" s="1">
        <v>0.3</v>
      </c>
      <c r="K213" s="1">
        <v>13000</v>
      </c>
      <c r="L213" s="2">
        <v>45337</v>
      </c>
      <c r="M213" s="10" t="str">
        <f t="shared" si="3"/>
        <v>Target Achieved</v>
      </c>
    </row>
    <row r="214" spans="1:13" x14ac:dyDescent="0.35">
      <c r="A214" s="1" t="s">
        <v>380</v>
      </c>
      <c r="B214" s="1" t="s">
        <v>241</v>
      </c>
      <c r="C214" s="1" t="s">
        <v>44</v>
      </c>
      <c r="D214" s="1" t="s">
        <v>45</v>
      </c>
      <c r="E214" s="1" t="s">
        <v>32</v>
      </c>
      <c r="F214" s="1" t="s">
        <v>25</v>
      </c>
      <c r="G214" s="1" t="s">
        <v>26</v>
      </c>
      <c r="H214" s="1">
        <v>12793</v>
      </c>
      <c r="I214" s="1"/>
      <c r="J214" s="1"/>
      <c r="K214" s="1">
        <v>13000</v>
      </c>
      <c r="L214" s="2">
        <v>45325</v>
      </c>
      <c r="M214" s="10" t="str">
        <f t="shared" si="3"/>
        <v>Below Target</v>
      </c>
    </row>
    <row r="215" spans="1:13" x14ac:dyDescent="0.35">
      <c r="A215" s="1" t="s">
        <v>381</v>
      </c>
      <c r="B215" s="1" t="s">
        <v>382</v>
      </c>
      <c r="C215" s="1" t="s">
        <v>44</v>
      </c>
      <c r="D215" s="1" t="s">
        <v>45</v>
      </c>
      <c r="E215" s="1" t="s">
        <v>46</v>
      </c>
      <c r="F215" s="1" t="s">
        <v>17</v>
      </c>
      <c r="G215" s="1" t="s">
        <v>36</v>
      </c>
      <c r="H215" s="1">
        <v>12586</v>
      </c>
      <c r="I215" s="1"/>
      <c r="J215" s="1"/>
      <c r="K215" s="1">
        <v>13000</v>
      </c>
      <c r="L215" s="2">
        <v>45341</v>
      </c>
      <c r="M215" s="10" t="str">
        <f t="shared" si="3"/>
        <v>Below Target</v>
      </c>
    </row>
    <row r="216" spans="1:13" x14ac:dyDescent="0.35">
      <c r="A216" s="1" t="s">
        <v>383</v>
      </c>
      <c r="B216" s="1" t="s">
        <v>150</v>
      </c>
      <c r="C216" s="1" t="s">
        <v>14</v>
      </c>
      <c r="D216" s="1" t="s">
        <v>15</v>
      </c>
      <c r="E216" s="1" t="s">
        <v>16</v>
      </c>
      <c r="F216" s="1" t="s">
        <v>39</v>
      </c>
      <c r="G216" s="1" t="s">
        <v>36</v>
      </c>
      <c r="H216" s="1">
        <v>12269</v>
      </c>
      <c r="I216" s="1" t="s">
        <v>33</v>
      </c>
      <c r="J216" s="1">
        <v>0.3</v>
      </c>
      <c r="K216" s="1">
        <v>14000</v>
      </c>
      <c r="L216" s="2">
        <v>45298</v>
      </c>
      <c r="M216" s="10" t="str">
        <f t="shared" si="3"/>
        <v>Below Target</v>
      </c>
    </row>
    <row r="217" spans="1:13" x14ac:dyDescent="0.35">
      <c r="A217" s="1" t="s">
        <v>384</v>
      </c>
      <c r="B217" s="1" t="s">
        <v>202</v>
      </c>
      <c r="C217" s="1" t="s">
        <v>61</v>
      </c>
      <c r="D217" s="1" t="s">
        <v>62</v>
      </c>
      <c r="E217" s="1" t="s">
        <v>46</v>
      </c>
      <c r="F217" s="1" t="s">
        <v>17</v>
      </c>
      <c r="G217" s="1" t="s">
        <v>26</v>
      </c>
      <c r="H217" s="1">
        <v>10488</v>
      </c>
      <c r="I217" s="1" t="s">
        <v>27</v>
      </c>
      <c r="J217" s="1"/>
      <c r="K217" s="1">
        <v>9000</v>
      </c>
      <c r="L217" s="2">
        <v>45347</v>
      </c>
      <c r="M217" s="10" t="str">
        <f t="shared" si="3"/>
        <v>Target Achieved</v>
      </c>
    </row>
    <row r="218" spans="1:13" x14ac:dyDescent="0.35">
      <c r="A218" s="1" t="s">
        <v>385</v>
      </c>
      <c r="B218" s="1" t="s">
        <v>74</v>
      </c>
      <c r="C218" s="1" t="s">
        <v>14</v>
      </c>
      <c r="D218" s="1" t="s">
        <v>15</v>
      </c>
      <c r="E218" s="1" t="s">
        <v>16</v>
      </c>
      <c r="F218" s="1" t="s">
        <v>39</v>
      </c>
      <c r="G218" s="1" t="s">
        <v>18</v>
      </c>
      <c r="H218" s="1">
        <v>15754</v>
      </c>
      <c r="I218" s="1" t="s">
        <v>33</v>
      </c>
      <c r="J218" s="1">
        <v>0.3</v>
      </c>
      <c r="K218" s="1">
        <v>14000</v>
      </c>
      <c r="L218" s="2">
        <v>45311</v>
      </c>
      <c r="M218" s="10" t="str">
        <f t="shared" si="3"/>
        <v>Target Achieved</v>
      </c>
    </row>
    <row r="219" spans="1:13" x14ac:dyDescent="0.35">
      <c r="A219" s="1" t="s">
        <v>386</v>
      </c>
      <c r="B219" s="1" t="s">
        <v>305</v>
      </c>
      <c r="C219" s="1" t="s">
        <v>61</v>
      </c>
      <c r="D219" s="1" t="s">
        <v>62</v>
      </c>
      <c r="E219" s="1" t="s">
        <v>32</v>
      </c>
      <c r="F219" s="1" t="s">
        <v>39</v>
      </c>
      <c r="G219" s="1" t="s">
        <v>26</v>
      </c>
      <c r="H219" s="1">
        <v>10842</v>
      </c>
      <c r="I219" s="1" t="s">
        <v>22</v>
      </c>
      <c r="J219" s="1">
        <v>0.1</v>
      </c>
      <c r="K219" s="1">
        <v>9000</v>
      </c>
      <c r="L219" s="2">
        <v>45311</v>
      </c>
      <c r="M219" s="10" t="str">
        <f t="shared" si="3"/>
        <v>Target Achieved</v>
      </c>
    </row>
    <row r="220" spans="1:13" x14ac:dyDescent="0.35">
      <c r="A220" s="1" t="s">
        <v>387</v>
      </c>
      <c r="B220" s="1" t="s">
        <v>388</v>
      </c>
      <c r="C220" s="1" t="s">
        <v>30</v>
      </c>
      <c r="D220" s="1" t="s">
        <v>31</v>
      </c>
      <c r="E220" s="1" t="s">
        <v>32</v>
      </c>
      <c r="F220" s="1" t="s">
        <v>39</v>
      </c>
      <c r="G220" s="1" t="s">
        <v>26</v>
      </c>
      <c r="H220" s="1">
        <v>18395</v>
      </c>
      <c r="I220" s="1" t="s">
        <v>27</v>
      </c>
      <c r="J220" s="1"/>
      <c r="K220" s="1">
        <v>17000</v>
      </c>
      <c r="L220" s="2">
        <v>45297</v>
      </c>
      <c r="M220" s="10" t="str">
        <f t="shared" si="3"/>
        <v>Target Achieved</v>
      </c>
    </row>
    <row r="221" spans="1:13" x14ac:dyDescent="0.35">
      <c r="A221" s="1" t="s">
        <v>389</v>
      </c>
      <c r="B221" s="1" t="s">
        <v>92</v>
      </c>
      <c r="C221" s="1" t="s">
        <v>61</v>
      </c>
      <c r="D221" s="1" t="s">
        <v>62</v>
      </c>
      <c r="E221" s="1" t="s">
        <v>16</v>
      </c>
      <c r="F221" s="1" t="s">
        <v>17</v>
      </c>
      <c r="G221" s="1" t="s">
        <v>18</v>
      </c>
      <c r="H221" s="1">
        <v>8485</v>
      </c>
      <c r="I221" s="1" t="s">
        <v>33</v>
      </c>
      <c r="J221" s="1">
        <v>0.3</v>
      </c>
      <c r="K221" s="1">
        <v>9000</v>
      </c>
      <c r="L221" s="2">
        <v>45303</v>
      </c>
      <c r="M221" s="10" t="str">
        <f t="shared" si="3"/>
        <v>Below Target</v>
      </c>
    </row>
    <row r="222" spans="1:13" x14ac:dyDescent="0.35">
      <c r="A222" s="1" t="s">
        <v>390</v>
      </c>
      <c r="B222" s="1" t="s">
        <v>391</v>
      </c>
      <c r="C222" s="1" t="s">
        <v>61</v>
      </c>
      <c r="D222" s="1" t="s">
        <v>62</v>
      </c>
      <c r="E222" s="1" t="s">
        <v>32</v>
      </c>
      <c r="F222" s="1" t="s">
        <v>25</v>
      </c>
      <c r="G222" s="1" t="s">
        <v>18</v>
      </c>
      <c r="H222" s="1">
        <v>7634</v>
      </c>
      <c r="I222" s="1" t="s">
        <v>22</v>
      </c>
      <c r="J222" s="1">
        <v>0.1</v>
      </c>
      <c r="K222" s="1">
        <v>9000</v>
      </c>
      <c r="L222" s="2">
        <v>45310</v>
      </c>
      <c r="M222" s="10" t="str">
        <f t="shared" si="3"/>
        <v>Below Target</v>
      </c>
    </row>
    <row r="223" spans="1:13" x14ac:dyDescent="0.35">
      <c r="A223" s="1" t="s">
        <v>392</v>
      </c>
      <c r="B223" s="1" t="s">
        <v>393</v>
      </c>
      <c r="C223" s="1" t="s">
        <v>14</v>
      </c>
      <c r="D223" s="1" t="s">
        <v>15</v>
      </c>
      <c r="E223" s="1" t="s">
        <v>16</v>
      </c>
      <c r="F223" s="1" t="s">
        <v>39</v>
      </c>
      <c r="G223" s="1" t="s">
        <v>26</v>
      </c>
      <c r="H223" s="1">
        <v>15619</v>
      </c>
      <c r="I223" s="1" t="s">
        <v>27</v>
      </c>
      <c r="J223" s="1"/>
      <c r="K223" s="1">
        <v>14000</v>
      </c>
      <c r="L223" s="2">
        <v>45294</v>
      </c>
      <c r="M223" s="10" t="str">
        <f t="shared" si="3"/>
        <v>Target Achieved</v>
      </c>
    </row>
    <row r="224" spans="1:13" x14ac:dyDescent="0.35">
      <c r="A224" s="1" t="s">
        <v>394</v>
      </c>
      <c r="B224" s="1" t="s">
        <v>317</v>
      </c>
      <c r="C224" s="1" t="s">
        <v>44</v>
      </c>
      <c r="D224" s="1" t="s">
        <v>45</v>
      </c>
      <c r="E224" s="1" t="s">
        <v>16</v>
      </c>
      <c r="F224" s="1" t="s">
        <v>17</v>
      </c>
      <c r="G224" s="1" t="s">
        <v>18</v>
      </c>
      <c r="H224" s="1">
        <v>11664</v>
      </c>
      <c r="I224" s="1" t="s">
        <v>19</v>
      </c>
      <c r="J224" s="1">
        <v>0.2</v>
      </c>
      <c r="K224" s="1">
        <v>13000</v>
      </c>
      <c r="L224" s="2">
        <v>45345</v>
      </c>
      <c r="M224" s="10" t="str">
        <f t="shared" si="3"/>
        <v>Below Target</v>
      </c>
    </row>
    <row r="225" spans="1:13" x14ac:dyDescent="0.35">
      <c r="A225" s="1" t="s">
        <v>395</v>
      </c>
      <c r="B225" s="1" t="s">
        <v>276</v>
      </c>
      <c r="C225" s="1" t="s">
        <v>44</v>
      </c>
      <c r="D225" s="1" t="s">
        <v>45</v>
      </c>
      <c r="E225" s="1" t="s">
        <v>16</v>
      </c>
      <c r="F225" s="1" t="s">
        <v>17</v>
      </c>
      <c r="G225" s="1" t="s">
        <v>18</v>
      </c>
      <c r="H225" s="1">
        <v>12682</v>
      </c>
      <c r="I225" s="1" t="s">
        <v>33</v>
      </c>
      <c r="J225" s="1">
        <v>0.3</v>
      </c>
      <c r="K225" s="1">
        <v>13000</v>
      </c>
      <c r="L225" s="2">
        <v>45335</v>
      </c>
      <c r="M225" s="10" t="str">
        <f t="shared" si="3"/>
        <v>Below Target</v>
      </c>
    </row>
    <row r="226" spans="1:13" x14ac:dyDescent="0.35">
      <c r="A226" s="1" t="s">
        <v>396</v>
      </c>
      <c r="B226" s="1" t="s">
        <v>397</v>
      </c>
      <c r="C226" s="1" t="s">
        <v>61</v>
      </c>
      <c r="D226" s="1" t="s">
        <v>62</v>
      </c>
      <c r="E226" s="1" t="s">
        <v>16</v>
      </c>
      <c r="F226" s="1" t="s">
        <v>17</v>
      </c>
      <c r="G226" s="1" t="s">
        <v>26</v>
      </c>
      <c r="H226" s="1">
        <v>10210</v>
      </c>
      <c r="I226" s="1"/>
      <c r="J226" s="1"/>
      <c r="K226" s="1">
        <v>9000</v>
      </c>
      <c r="L226" s="2">
        <v>45306</v>
      </c>
      <c r="M226" s="10" t="str">
        <f t="shared" si="3"/>
        <v>Target Achieved</v>
      </c>
    </row>
    <row r="227" spans="1:13" x14ac:dyDescent="0.35">
      <c r="A227" s="1" t="s">
        <v>398</v>
      </c>
      <c r="B227" s="1" t="s">
        <v>346</v>
      </c>
      <c r="C227" s="1" t="s">
        <v>30</v>
      </c>
      <c r="D227" s="1" t="s">
        <v>31</v>
      </c>
      <c r="E227" s="1" t="s">
        <v>46</v>
      </c>
      <c r="F227" s="1" t="s">
        <v>25</v>
      </c>
      <c r="G227" s="1" t="s">
        <v>36</v>
      </c>
      <c r="H227" s="1">
        <v>17778</v>
      </c>
      <c r="I227" s="1" t="s">
        <v>27</v>
      </c>
      <c r="J227" s="1"/>
      <c r="K227" s="1">
        <v>17000</v>
      </c>
      <c r="L227" s="2">
        <v>45320</v>
      </c>
      <c r="M227" s="10" t="str">
        <f t="shared" si="3"/>
        <v>Target Achieved</v>
      </c>
    </row>
    <row r="228" spans="1:13" x14ac:dyDescent="0.35">
      <c r="A228" s="1" t="s">
        <v>399</v>
      </c>
      <c r="B228" s="1" t="s">
        <v>157</v>
      </c>
      <c r="C228" s="1" t="s">
        <v>30</v>
      </c>
      <c r="D228" s="1" t="s">
        <v>31</v>
      </c>
      <c r="E228" s="1" t="s">
        <v>46</v>
      </c>
      <c r="F228" s="1" t="s">
        <v>39</v>
      </c>
      <c r="G228" s="1" t="s">
        <v>26</v>
      </c>
      <c r="H228" s="1">
        <v>16714</v>
      </c>
      <c r="I228" s="1" t="s">
        <v>19</v>
      </c>
      <c r="J228" s="1">
        <v>0.2</v>
      </c>
      <c r="K228" s="1">
        <v>17000</v>
      </c>
      <c r="L228" s="2">
        <v>45344</v>
      </c>
      <c r="M228" s="10" t="str">
        <f t="shared" si="3"/>
        <v>Below Target</v>
      </c>
    </row>
    <row r="229" spans="1:13" x14ac:dyDescent="0.35">
      <c r="A229" s="1" t="s">
        <v>400</v>
      </c>
      <c r="B229" s="1" t="s">
        <v>401</v>
      </c>
      <c r="C229" s="1" t="s">
        <v>44</v>
      </c>
      <c r="D229" s="1" t="s">
        <v>45</v>
      </c>
      <c r="E229" s="1" t="s">
        <v>46</v>
      </c>
      <c r="F229" s="1" t="s">
        <v>25</v>
      </c>
      <c r="G229" s="1" t="s">
        <v>26</v>
      </c>
      <c r="H229" s="1">
        <v>12968</v>
      </c>
      <c r="I229" s="1" t="s">
        <v>33</v>
      </c>
      <c r="J229" s="1">
        <v>0.3</v>
      </c>
      <c r="K229" s="1">
        <v>13000</v>
      </c>
      <c r="L229" s="2">
        <v>45327</v>
      </c>
      <c r="M229" s="10" t="str">
        <f t="shared" si="3"/>
        <v>Below Target</v>
      </c>
    </row>
    <row r="230" spans="1:13" x14ac:dyDescent="0.35">
      <c r="A230" s="1" t="s">
        <v>402</v>
      </c>
      <c r="B230" s="1" t="s">
        <v>403</v>
      </c>
      <c r="C230" s="1" t="s">
        <v>14</v>
      </c>
      <c r="D230" s="1" t="s">
        <v>15</v>
      </c>
      <c r="E230" s="1" t="s">
        <v>46</v>
      </c>
      <c r="F230" s="1" t="s">
        <v>25</v>
      </c>
      <c r="G230" s="1" t="s">
        <v>18</v>
      </c>
      <c r="H230" s="1">
        <v>13117</v>
      </c>
      <c r="I230" s="1"/>
      <c r="J230" s="1"/>
      <c r="K230" s="1">
        <v>14000</v>
      </c>
      <c r="L230" s="2">
        <v>45349</v>
      </c>
      <c r="M230" s="10" t="str">
        <f t="shared" si="3"/>
        <v>Below Target</v>
      </c>
    </row>
    <row r="231" spans="1:13" x14ac:dyDescent="0.35">
      <c r="A231" s="1" t="s">
        <v>404</v>
      </c>
      <c r="B231" s="1" t="s">
        <v>80</v>
      </c>
      <c r="C231" s="1" t="s">
        <v>61</v>
      </c>
      <c r="D231" s="1" t="s">
        <v>62</v>
      </c>
      <c r="E231" s="1" t="s">
        <v>32</v>
      </c>
      <c r="F231" s="1" t="s">
        <v>25</v>
      </c>
      <c r="G231" s="1" t="s">
        <v>36</v>
      </c>
      <c r="H231" s="1">
        <v>10623</v>
      </c>
      <c r="I231" s="1" t="s">
        <v>33</v>
      </c>
      <c r="J231" s="1">
        <v>0.3</v>
      </c>
      <c r="K231" s="1">
        <v>9000</v>
      </c>
      <c r="L231" s="2">
        <v>45351</v>
      </c>
      <c r="M231" s="10" t="str">
        <f t="shared" si="3"/>
        <v>Target Achieved</v>
      </c>
    </row>
    <row r="232" spans="1:13" x14ac:dyDescent="0.35">
      <c r="A232" s="1" t="s">
        <v>405</v>
      </c>
      <c r="B232" s="1" t="s">
        <v>406</v>
      </c>
      <c r="C232" s="1" t="s">
        <v>14</v>
      </c>
      <c r="D232" s="1" t="s">
        <v>15</v>
      </c>
      <c r="E232" s="1" t="s">
        <v>46</v>
      </c>
      <c r="F232" s="1" t="s">
        <v>39</v>
      </c>
      <c r="G232" s="1" t="s">
        <v>36</v>
      </c>
      <c r="H232" s="1">
        <v>12965</v>
      </c>
      <c r="I232" s="1"/>
      <c r="J232" s="1"/>
      <c r="K232" s="1">
        <v>14000</v>
      </c>
      <c r="L232" s="2">
        <v>45297</v>
      </c>
      <c r="M232" s="10" t="str">
        <f t="shared" si="3"/>
        <v>Below Target</v>
      </c>
    </row>
    <row r="233" spans="1:13" x14ac:dyDescent="0.35">
      <c r="A233" s="1" t="s">
        <v>407</v>
      </c>
      <c r="B233" s="1" t="s">
        <v>408</v>
      </c>
      <c r="C233" s="1" t="s">
        <v>14</v>
      </c>
      <c r="D233" s="1" t="s">
        <v>15</v>
      </c>
      <c r="E233" s="1" t="s">
        <v>46</v>
      </c>
      <c r="F233" s="1" t="s">
        <v>25</v>
      </c>
      <c r="G233" s="1" t="s">
        <v>26</v>
      </c>
      <c r="H233" s="1">
        <v>14662</v>
      </c>
      <c r="I233" s="1" t="s">
        <v>33</v>
      </c>
      <c r="J233" s="1">
        <v>0.3</v>
      </c>
      <c r="K233" s="1">
        <v>14000</v>
      </c>
      <c r="L233" s="2">
        <v>45342</v>
      </c>
      <c r="M233" s="10" t="str">
        <f t="shared" si="3"/>
        <v>Target Achieved</v>
      </c>
    </row>
    <row r="234" spans="1:13" x14ac:dyDescent="0.35">
      <c r="A234" s="1" t="s">
        <v>409</v>
      </c>
      <c r="B234" s="1" t="s">
        <v>175</v>
      </c>
      <c r="C234" s="1" t="s">
        <v>14</v>
      </c>
      <c r="D234" s="1" t="s">
        <v>15</v>
      </c>
      <c r="E234" s="1" t="s">
        <v>46</v>
      </c>
      <c r="F234" s="1" t="s">
        <v>17</v>
      </c>
      <c r="G234" s="1" t="s">
        <v>26</v>
      </c>
      <c r="H234" s="1">
        <v>15404</v>
      </c>
      <c r="I234" s="1" t="s">
        <v>19</v>
      </c>
      <c r="J234" s="1">
        <v>0.2</v>
      </c>
      <c r="K234" s="1">
        <v>14000</v>
      </c>
      <c r="L234" s="2">
        <v>45340</v>
      </c>
      <c r="M234" s="10" t="str">
        <f t="shared" si="3"/>
        <v>Target Achieved</v>
      </c>
    </row>
    <row r="235" spans="1:13" x14ac:dyDescent="0.35">
      <c r="A235" s="1" t="s">
        <v>410</v>
      </c>
      <c r="B235" s="1" t="s">
        <v>334</v>
      </c>
      <c r="C235" s="1" t="s">
        <v>61</v>
      </c>
      <c r="D235" s="1" t="s">
        <v>62</v>
      </c>
      <c r="E235" s="1" t="s">
        <v>16</v>
      </c>
      <c r="F235" s="1" t="s">
        <v>25</v>
      </c>
      <c r="G235" s="1" t="s">
        <v>18</v>
      </c>
      <c r="H235" s="1">
        <v>7077</v>
      </c>
      <c r="I235" s="1" t="s">
        <v>33</v>
      </c>
      <c r="J235" s="1">
        <v>0.3</v>
      </c>
      <c r="K235" s="1">
        <v>9000</v>
      </c>
      <c r="L235" s="2">
        <v>45305</v>
      </c>
      <c r="M235" s="10" t="str">
        <f t="shared" si="3"/>
        <v>Below Target</v>
      </c>
    </row>
    <row r="236" spans="1:13" x14ac:dyDescent="0.35">
      <c r="A236" s="1" t="s">
        <v>411</v>
      </c>
      <c r="B236" s="1" t="s">
        <v>412</v>
      </c>
      <c r="C236" s="1" t="s">
        <v>61</v>
      </c>
      <c r="D236" s="1" t="s">
        <v>62</v>
      </c>
      <c r="E236" s="1" t="s">
        <v>32</v>
      </c>
      <c r="F236" s="1" t="s">
        <v>17</v>
      </c>
      <c r="G236" s="1" t="s">
        <v>18</v>
      </c>
      <c r="H236" s="1">
        <v>8233</v>
      </c>
      <c r="I236" s="1" t="s">
        <v>22</v>
      </c>
      <c r="J236" s="1">
        <v>0.1</v>
      </c>
      <c r="K236" s="1">
        <v>9000</v>
      </c>
      <c r="L236" s="2">
        <v>45295</v>
      </c>
      <c r="M236" s="10" t="str">
        <f t="shared" si="3"/>
        <v>Below Target</v>
      </c>
    </row>
    <row r="237" spans="1:13" x14ac:dyDescent="0.35">
      <c r="A237" s="1" t="s">
        <v>413</v>
      </c>
      <c r="B237" s="1" t="s">
        <v>414</v>
      </c>
      <c r="C237" s="1" t="s">
        <v>61</v>
      </c>
      <c r="D237" s="1" t="s">
        <v>62</v>
      </c>
      <c r="E237" s="1" t="s">
        <v>32</v>
      </c>
      <c r="F237" s="1" t="s">
        <v>25</v>
      </c>
      <c r="G237" s="1" t="s">
        <v>36</v>
      </c>
      <c r="H237" s="1">
        <v>9444</v>
      </c>
      <c r="I237" s="1" t="s">
        <v>27</v>
      </c>
      <c r="J237" s="1"/>
      <c r="K237" s="1">
        <v>9000</v>
      </c>
      <c r="L237" s="2">
        <v>45293</v>
      </c>
      <c r="M237" s="10" t="str">
        <f t="shared" si="3"/>
        <v>Target Achieved</v>
      </c>
    </row>
    <row r="238" spans="1:13" x14ac:dyDescent="0.35">
      <c r="A238" s="1" t="s">
        <v>415</v>
      </c>
      <c r="B238" s="1" t="s">
        <v>416</v>
      </c>
      <c r="C238" s="1" t="s">
        <v>44</v>
      </c>
      <c r="D238" s="1" t="s">
        <v>45</v>
      </c>
      <c r="E238" s="1" t="s">
        <v>16</v>
      </c>
      <c r="F238" s="1" t="s">
        <v>25</v>
      </c>
      <c r="G238" s="1" t="s">
        <v>36</v>
      </c>
      <c r="H238" s="1">
        <v>12758</v>
      </c>
      <c r="I238" s="1" t="s">
        <v>22</v>
      </c>
      <c r="J238" s="1">
        <v>0.1</v>
      </c>
      <c r="K238" s="1">
        <v>13000</v>
      </c>
      <c r="L238" s="2">
        <v>45331</v>
      </c>
      <c r="M238" s="10" t="str">
        <f t="shared" si="3"/>
        <v>Below Target</v>
      </c>
    </row>
    <row r="239" spans="1:13" x14ac:dyDescent="0.35">
      <c r="A239" s="1" t="s">
        <v>417</v>
      </c>
      <c r="B239" s="1" t="s">
        <v>408</v>
      </c>
      <c r="C239" s="1" t="s">
        <v>61</v>
      </c>
      <c r="D239" s="1" t="s">
        <v>62</v>
      </c>
      <c r="E239" s="1" t="s">
        <v>32</v>
      </c>
      <c r="F239" s="1" t="s">
        <v>39</v>
      </c>
      <c r="G239" s="1" t="s">
        <v>26</v>
      </c>
      <c r="H239" s="1">
        <v>7350</v>
      </c>
      <c r="I239" s="1" t="s">
        <v>27</v>
      </c>
      <c r="J239" s="1"/>
      <c r="K239" s="1">
        <v>9000</v>
      </c>
      <c r="L239" s="2">
        <v>45315</v>
      </c>
      <c r="M239" s="10" t="str">
        <f t="shared" si="3"/>
        <v>Below Target</v>
      </c>
    </row>
    <row r="240" spans="1:13" x14ac:dyDescent="0.35">
      <c r="A240" s="1" t="s">
        <v>418</v>
      </c>
      <c r="B240" s="1" t="s">
        <v>241</v>
      </c>
      <c r="C240" s="1" t="s">
        <v>14</v>
      </c>
      <c r="D240" s="1" t="s">
        <v>15</v>
      </c>
      <c r="E240" s="1" t="s">
        <v>46</v>
      </c>
      <c r="F240" s="1" t="s">
        <v>17</v>
      </c>
      <c r="G240" s="1" t="s">
        <v>18</v>
      </c>
      <c r="H240" s="1">
        <v>14603</v>
      </c>
      <c r="I240" s="1"/>
      <c r="J240" s="1"/>
      <c r="K240" s="1">
        <v>14000</v>
      </c>
      <c r="L240" s="2">
        <v>45315</v>
      </c>
      <c r="M240" s="10" t="str">
        <f t="shared" si="3"/>
        <v>Target Achieved</v>
      </c>
    </row>
    <row r="241" spans="1:13" x14ac:dyDescent="0.35">
      <c r="A241" s="1" t="s">
        <v>419</v>
      </c>
      <c r="B241" s="1" t="s">
        <v>350</v>
      </c>
      <c r="C241" s="1" t="s">
        <v>14</v>
      </c>
      <c r="D241" s="1" t="s">
        <v>15</v>
      </c>
      <c r="E241" s="1" t="s">
        <v>46</v>
      </c>
      <c r="F241" s="1" t="s">
        <v>25</v>
      </c>
      <c r="G241" s="1" t="s">
        <v>36</v>
      </c>
      <c r="H241" s="1">
        <v>12987</v>
      </c>
      <c r="I241" s="1" t="s">
        <v>22</v>
      </c>
      <c r="J241" s="1">
        <v>0.1</v>
      </c>
      <c r="K241" s="1">
        <v>14000</v>
      </c>
      <c r="L241" s="2">
        <v>45341</v>
      </c>
      <c r="M241" s="10" t="str">
        <f t="shared" si="3"/>
        <v>Below Target</v>
      </c>
    </row>
    <row r="242" spans="1:13" x14ac:dyDescent="0.35">
      <c r="A242" s="1" t="s">
        <v>420</v>
      </c>
      <c r="B242" s="1" t="s">
        <v>233</v>
      </c>
      <c r="C242" s="1" t="s">
        <v>30</v>
      </c>
      <c r="D242" s="1" t="s">
        <v>31</v>
      </c>
      <c r="E242" s="1" t="s">
        <v>32</v>
      </c>
      <c r="F242" s="1" t="s">
        <v>25</v>
      </c>
      <c r="G242" s="1" t="s">
        <v>36</v>
      </c>
      <c r="H242" s="1">
        <v>17236</v>
      </c>
      <c r="I242" s="1" t="s">
        <v>33</v>
      </c>
      <c r="J242" s="1">
        <v>0.3</v>
      </c>
      <c r="K242" s="1">
        <v>17000</v>
      </c>
      <c r="L242" s="2">
        <v>45344</v>
      </c>
      <c r="M242" s="10" t="str">
        <f t="shared" si="3"/>
        <v>Target Achieved</v>
      </c>
    </row>
    <row r="243" spans="1:13" x14ac:dyDescent="0.35">
      <c r="A243" s="1" t="s">
        <v>421</v>
      </c>
      <c r="B243" s="1" t="s">
        <v>422</v>
      </c>
      <c r="C243" s="1" t="s">
        <v>61</v>
      </c>
      <c r="D243" s="1" t="s">
        <v>62</v>
      </c>
      <c r="E243" s="1" t="s">
        <v>16</v>
      </c>
      <c r="F243" s="1" t="s">
        <v>17</v>
      </c>
      <c r="G243" s="1" t="s">
        <v>26</v>
      </c>
      <c r="H243" s="1">
        <v>7746</v>
      </c>
      <c r="I243" s="1" t="s">
        <v>19</v>
      </c>
      <c r="J243" s="1">
        <v>0.2</v>
      </c>
      <c r="K243" s="1">
        <v>9000</v>
      </c>
      <c r="L243" s="2">
        <v>45296</v>
      </c>
      <c r="M243" s="10" t="str">
        <f t="shared" si="3"/>
        <v>Below Target</v>
      </c>
    </row>
    <row r="244" spans="1:13" x14ac:dyDescent="0.35">
      <c r="A244" s="1" t="s">
        <v>423</v>
      </c>
      <c r="B244" s="1" t="s">
        <v>276</v>
      </c>
      <c r="C244" s="1" t="s">
        <v>61</v>
      </c>
      <c r="D244" s="1" t="s">
        <v>62</v>
      </c>
      <c r="E244" s="1" t="s">
        <v>32</v>
      </c>
      <c r="F244" s="1" t="s">
        <v>17</v>
      </c>
      <c r="G244" s="1" t="s">
        <v>18</v>
      </c>
      <c r="H244" s="1">
        <v>7179</v>
      </c>
      <c r="I244" s="1" t="s">
        <v>19</v>
      </c>
      <c r="J244" s="1">
        <v>0.2</v>
      </c>
      <c r="K244" s="1">
        <v>9000</v>
      </c>
      <c r="L244" s="2">
        <v>45348</v>
      </c>
      <c r="M244" s="10" t="str">
        <f t="shared" si="3"/>
        <v>Below Target</v>
      </c>
    </row>
    <row r="245" spans="1:13" x14ac:dyDescent="0.35">
      <c r="A245" s="1" t="s">
        <v>424</v>
      </c>
      <c r="B245" s="1" t="s">
        <v>125</v>
      </c>
      <c r="C245" s="1" t="s">
        <v>30</v>
      </c>
      <c r="D245" s="1" t="s">
        <v>31</v>
      </c>
      <c r="E245" s="1" t="s">
        <v>16</v>
      </c>
      <c r="F245" s="1" t="s">
        <v>17</v>
      </c>
      <c r="G245" s="1" t="s">
        <v>26</v>
      </c>
      <c r="H245" s="1">
        <v>16939</v>
      </c>
      <c r="I245" s="1" t="s">
        <v>33</v>
      </c>
      <c r="J245" s="1">
        <v>0.3</v>
      </c>
      <c r="K245" s="1">
        <v>17000</v>
      </c>
      <c r="L245" s="2">
        <v>45294</v>
      </c>
      <c r="M245" s="10" t="str">
        <f t="shared" si="3"/>
        <v>Below Target</v>
      </c>
    </row>
    <row r="246" spans="1:13" x14ac:dyDescent="0.35">
      <c r="A246" s="1" t="s">
        <v>425</v>
      </c>
      <c r="B246" s="1" t="s">
        <v>426</v>
      </c>
      <c r="C246" s="1" t="s">
        <v>44</v>
      </c>
      <c r="D246" s="1" t="s">
        <v>45</v>
      </c>
      <c r="E246" s="1" t="s">
        <v>46</v>
      </c>
      <c r="F246" s="1" t="s">
        <v>17</v>
      </c>
      <c r="G246" s="1" t="s">
        <v>18</v>
      </c>
      <c r="H246" s="1">
        <v>14546</v>
      </c>
      <c r="I246" s="1" t="s">
        <v>33</v>
      </c>
      <c r="J246" s="1">
        <v>0.3</v>
      </c>
      <c r="K246" s="1">
        <v>13000</v>
      </c>
      <c r="L246" s="2">
        <v>45309</v>
      </c>
      <c r="M246" s="10" t="str">
        <f t="shared" si="3"/>
        <v>Target Achieved</v>
      </c>
    </row>
    <row r="247" spans="1:13" x14ac:dyDescent="0.35">
      <c r="A247" s="1" t="s">
        <v>427</v>
      </c>
      <c r="B247" s="1" t="s">
        <v>200</v>
      </c>
      <c r="C247" s="1" t="s">
        <v>30</v>
      </c>
      <c r="D247" s="1" t="s">
        <v>31</v>
      </c>
      <c r="E247" s="1" t="s">
        <v>46</v>
      </c>
      <c r="F247" s="1" t="s">
        <v>17</v>
      </c>
      <c r="G247" s="1" t="s">
        <v>26</v>
      </c>
      <c r="H247" s="1">
        <v>16801</v>
      </c>
      <c r="I247" s="1"/>
      <c r="J247" s="1"/>
      <c r="K247" s="1">
        <v>17000</v>
      </c>
      <c r="L247" s="2">
        <v>45313</v>
      </c>
      <c r="M247" s="10" t="str">
        <f t="shared" si="3"/>
        <v>Below Target</v>
      </c>
    </row>
    <row r="248" spans="1:13" x14ac:dyDescent="0.35">
      <c r="A248" s="1" t="s">
        <v>428</v>
      </c>
      <c r="B248" s="1" t="s">
        <v>429</v>
      </c>
      <c r="C248" s="1" t="s">
        <v>61</v>
      </c>
      <c r="D248" s="1" t="s">
        <v>62</v>
      </c>
      <c r="E248" s="1" t="s">
        <v>46</v>
      </c>
      <c r="F248" s="1" t="s">
        <v>39</v>
      </c>
      <c r="G248" s="1" t="s">
        <v>36</v>
      </c>
      <c r="H248" s="1">
        <v>10281</v>
      </c>
      <c r="I248" s="1" t="s">
        <v>22</v>
      </c>
      <c r="J248" s="1">
        <v>0.1</v>
      </c>
      <c r="K248" s="1">
        <v>9000</v>
      </c>
      <c r="L248" s="2">
        <v>45338</v>
      </c>
      <c r="M248" s="10" t="str">
        <f t="shared" si="3"/>
        <v>Target Achieved</v>
      </c>
    </row>
    <row r="249" spans="1:13" x14ac:dyDescent="0.35">
      <c r="A249" s="1" t="s">
        <v>430</v>
      </c>
      <c r="B249" s="1" t="s">
        <v>41</v>
      </c>
      <c r="C249" s="1" t="s">
        <v>61</v>
      </c>
      <c r="D249" s="1" t="s">
        <v>62</v>
      </c>
      <c r="E249" s="1" t="s">
        <v>16</v>
      </c>
      <c r="F249" s="1" t="s">
        <v>25</v>
      </c>
      <c r="G249" s="1" t="s">
        <v>26</v>
      </c>
      <c r="H249" s="1">
        <v>8203</v>
      </c>
      <c r="I249" s="1" t="s">
        <v>33</v>
      </c>
      <c r="J249" s="1">
        <v>0.3</v>
      </c>
      <c r="K249" s="1">
        <v>9000</v>
      </c>
      <c r="L249" s="2">
        <v>45298</v>
      </c>
      <c r="M249" s="10" t="str">
        <f t="shared" si="3"/>
        <v>Below Target</v>
      </c>
    </row>
    <row r="250" spans="1:13" x14ac:dyDescent="0.35">
      <c r="A250" s="1" t="s">
        <v>431</v>
      </c>
      <c r="B250" s="1" t="s">
        <v>432</v>
      </c>
      <c r="C250" s="1" t="s">
        <v>30</v>
      </c>
      <c r="D250" s="1" t="s">
        <v>31</v>
      </c>
      <c r="E250" s="1" t="s">
        <v>46</v>
      </c>
      <c r="F250" s="1" t="s">
        <v>17</v>
      </c>
      <c r="G250" s="1" t="s">
        <v>26</v>
      </c>
      <c r="H250" s="1">
        <v>17939</v>
      </c>
      <c r="I250" s="1"/>
      <c r="J250" s="1"/>
      <c r="K250" s="1">
        <v>17000</v>
      </c>
      <c r="L250" s="2">
        <v>45302</v>
      </c>
      <c r="M250" s="10" t="str">
        <f t="shared" si="3"/>
        <v>Target Achieved</v>
      </c>
    </row>
    <row r="251" spans="1:13" x14ac:dyDescent="0.35">
      <c r="A251" s="1" t="s">
        <v>433</v>
      </c>
      <c r="B251" s="1" t="s">
        <v>334</v>
      </c>
      <c r="C251" s="1" t="s">
        <v>30</v>
      </c>
      <c r="D251" s="1" t="s">
        <v>31</v>
      </c>
      <c r="E251" s="1" t="s">
        <v>46</v>
      </c>
      <c r="F251" s="1" t="s">
        <v>25</v>
      </c>
      <c r="G251" s="1" t="s">
        <v>26</v>
      </c>
      <c r="H251" s="1">
        <v>18563</v>
      </c>
      <c r="I251" s="1" t="s">
        <v>33</v>
      </c>
      <c r="J251" s="1">
        <v>0.3</v>
      </c>
      <c r="K251" s="1">
        <v>17000</v>
      </c>
      <c r="L251" s="2">
        <v>45331</v>
      </c>
      <c r="M251" s="10" t="str">
        <f t="shared" si="3"/>
        <v>Target Achieved</v>
      </c>
    </row>
    <row r="252" spans="1:13" x14ac:dyDescent="0.35">
      <c r="A252" s="1" t="s">
        <v>434</v>
      </c>
      <c r="B252" s="1" t="s">
        <v>435</v>
      </c>
      <c r="C252" s="1" t="s">
        <v>14</v>
      </c>
      <c r="D252" s="1" t="s">
        <v>15</v>
      </c>
      <c r="E252" s="1" t="s">
        <v>32</v>
      </c>
      <c r="F252" s="1" t="s">
        <v>39</v>
      </c>
      <c r="G252" s="1" t="s">
        <v>26</v>
      </c>
      <c r="H252" s="1">
        <v>13663</v>
      </c>
      <c r="I252" s="1" t="s">
        <v>33</v>
      </c>
      <c r="J252" s="1">
        <v>0.3</v>
      </c>
      <c r="K252" s="1">
        <v>14000</v>
      </c>
      <c r="L252" s="2">
        <v>45324</v>
      </c>
      <c r="M252" s="10" t="str">
        <f t="shared" si="3"/>
        <v>Below Target</v>
      </c>
    </row>
    <row r="253" spans="1:13" x14ac:dyDescent="0.35">
      <c r="A253" s="1" t="s">
        <v>436</v>
      </c>
      <c r="B253" s="1" t="s">
        <v>296</v>
      </c>
      <c r="C253" s="1" t="s">
        <v>44</v>
      </c>
      <c r="D253" s="1" t="s">
        <v>45</v>
      </c>
      <c r="E253" s="1" t="s">
        <v>32</v>
      </c>
      <c r="F253" s="1" t="s">
        <v>25</v>
      </c>
      <c r="G253" s="1" t="s">
        <v>26</v>
      </c>
      <c r="H253" s="1">
        <v>13777</v>
      </c>
      <c r="I253" s="1"/>
      <c r="J253" s="1"/>
      <c r="K253" s="1">
        <v>13000</v>
      </c>
      <c r="L253" s="2">
        <v>45294</v>
      </c>
      <c r="M253" s="10" t="str">
        <f t="shared" si="3"/>
        <v>Target Achieved</v>
      </c>
    </row>
    <row r="254" spans="1:13" x14ac:dyDescent="0.35">
      <c r="A254" s="1" t="s">
        <v>437</v>
      </c>
      <c r="B254" s="1" t="s">
        <v>325</v>
      </c>
      <c r="C254" s="1" t="s">
        <v>44</v>
      </c>
      <c r="D254" s="1" t="s">
        <v>45</v>
      </c>
      <c r="E254" s="1" t="s">
        <v>16</v>
      </c>
      <c r="F254" s="1" t="s">
        <v>17</v>
      </c>
      <c r="G254" s="1" t="s">
        <v>36</v>
      </c>
      <c r="H254" s="1">
        <v>12568</v>
      </c>
      <c r="I254" s="1" t="s">
        <v>27</v>
      </c>
      <c r="J254" s="1"/>
      <c r="K254" s="1">
        <v>13000</v>
      </c>
      <c r="L254" s="2">
        <v>45294</v>
      </c>
      <c r="M254" s="10" t="str">
        <f t="shared" si="3"/>
        <v>Below Target</v>
      </c>
    </row>
    <row r="255" spans="1:13" x14ac:dyDescent="0.35">
      <c r="A255" s="1" t="s">
        <v>438</v>
      </c>
      <c r="B255" s="1" t="s">
        <v>373</v>
      </c>
      <c r="C255" s="1" t="s">
        <v>61</v>
      </c>
      <c r="D255" s="1" t="s">
        <v>62</v>
      </c>
      <c r="E255" s="1" t="s">
        <v>46</v>
      </c>
      <c r="F255" s="1" t="s">
        <v>17</v>
      </c>
      <c r="G255" s="1" t="s">
        <v>36</v>
      </c>
      <c r="H255" s="1">
        <v>10125</v>
      </c>
      <c r="I255" s="1" t="s">
        <v>22</v>
      </c>
      <c r="J255" s="1">
        <v>0.1</v>
      </c>
      <c r="K255" s="1">
        <v>9000</v>
      </c>
      <c r="L255" s="2">
        <v>45328</v>
      </c>
      <c r="M255" s="10" t="str">
        <f t="shared" si="3"/>
        <v>Target Achieved</v>
      </c>
    </row>
    <row r="256" spans="1:13" x14ac:dyDescent="0.35">
      <c r="A256" s="1" t="s">
        <v>439</v>
      </c>
      <c r="B256" s="1" t="s">
        <v>440</v>
      </c>
      <c r="C256" s="1" t="s">
        <v>30</v>
      </c>
      <c r="D256" s="1" t="s">
        <v>31</v>
      </c>
      <c r="E256" s="1" t="s">
        <v>46</v>
      </c>
      <c r="F256" s="1" t="s">
        <v>17</v>
      </c>
      <c r="G256" s="1" t="s">
        <v>26</v>
      </c>
      <c r="H256" s="1">
        <v>16141</v>
      </c>
      <c r="I256" s="1" t="s">
        <v>19</v>
      </c>
      <c r="J256" s="1">
        <v>0.2</v>
      </c>
      <c r="K256" s="1">
        <v>17000</v>
      </c>
      <c r="L256" s="2">
        <v>45299</v>
      </c>
      <c r="M256" s="10" t="str">
        <f t="shared" si="3"/>
        <v>Below Target</v>
      </c>
    </row>
    <row r="257" spans="1:13" x14ac:dyDescent="0.35">
      <c r="A257" s="1" t="s">
        <v>441</v>
      </c>
      <c r="B257" s="1" t="s">
        <v>190</v>
      </c>
      <c r="C257" s="1" t="s">
        <v>44</v>
      </c>
      <c r="D257" s="1" t="s">
        <v>45</v>
      </c>
      <c r="E257" s="1" t="s">
        <v>46</v>
      </c>
      <c r="F257" s="1" t="s">
        <v>39</v>
      </c>
      <c r="G257" s="1" t="s">
        <v>36</v>
      </c>
      <c r="H257" s="1">
        <v>14741</v>
      </c>
      <c r="I257" s="1" t="s">
        <v>27</v>
      </c>
      <c r="J257" s="1"/>
      <c r="K257" s="1">
        <v>13000</v>
      </c>
      <c r="L257" s="2">
        <v>45299</v>
      </c>
      <c r="M257" s="10" t="str">
        <f t="shared" si="3"/>
        <v>Target Achieved</v>
      </c>
    </row>
    <row r="258" spans="1:13" x14ac:dyDescent="0.35">
      <c r="A258" s="1" t="s">
        <v>442</v>
      </c>
      <c r="B258" s="1" t="s">
        <v>443</v>
      </c>
      <c r="C258" s="1" t="s">
        <v>30</v>
      </c>
      <c r="D258" s="1" t="s">
        <v>31</v>
      </c>
      <c r="E258" s="1" t="s">
        <v>16</v>
      </c>
      <c r="F258" s="1" t="s">
        <v>17</v>
      </c>
      <c r="G258" s="1" t="s">
        <v>18</v>
      </c>
      <c r="H258" s="1">
        <v>17506</v>
      </c>
      <c r="I258" s="1" t="s">
        <v>33</v>
      </c>
      <c r="J258" s="1">
        <v>0.3</v>
      </c>
      <c r="K258" s="1">
        <v>17000</v>
      </c>
      <c r="L258" s="2">
        <v>45336</v>
      </c>
      <c r="M258" s="10" t="str">
        <f t="shared" si="3"/>
        <v>Target Achieved</v>
      </c>
    </row>
    <row r="259" spans="1:13" x14ac:dyDescent="0.35">
      <c r="A259" s="1" t="s">
        <v>444</v>
      </c>
      <c r="B259" s="1" t="s">
        <v>445</v>
      </c>
      <c r="C259" s="1" t="s">
        <v>44</v>
      </c>
      <c r="D259" s="1" t="s">
        <v>45</v>
      </c>
      <c r="E259" s="1" t="s">
        <v>32</v>
      </c>
      <c r="F259" s="1" t="s">
        <v>25</v>
      </c>
      <c r="G259" s="1" t="s">
        <v>18</v>
      </c>
      <c r="H259" s="1">
        <v>12851</v>
      </c>
      <c r="I259" s="1" t="s">
        <v>19</v>
      </c>
      <c r="J259" s="1">
        <v>0.2</v>
      </c>
      <c r="K259" s="1">
        <v>13000</v>
      </c>
      <c r="L259" s="2">
        <v>45349</v>
      </c>
      <c r="M259" s="10" t="str">
        <f t="shared" ref="M259:M322" si="4">IF(H259&gt;=K259,"Target Achieved","Below Target")</f>
        <v>Below Target</v>
      </c>
    </row>
    <row r="260" spans="1:13" x14ac:dyDescent="0.35">
      <c r="A260" s="1" t="s">
        <v>446</v>
      </c>
      <c r="B260" s="1" t="s">
        <v>334</v>
      </c>
      <c r="C260" s="1" t="s">
        <v>14</v>
      </c>
      <c r="D260" s="1" t="s">
        <v>15</v>
      </c>
      <c r="E260" s="1" t="s">
        <v>16</v>
      </c>
      <c r="F260" s="1" t="s">
        <v>17</v>
      </c>
      <c r="G260" s="1" t="s">
        <v>26</v>
      </c>
      <c r="H260" s="1">
        <v>13423</v>
      </c>
      <c r="I260" s="1" t="s">
        <v>22</v>
      </c>
      <c r="J260" s="1">
        <v>0.1</v>
      </c>
      <c r="K260" s="1">
        <v>14000</v>
      </c>
      <c r="L260" s="2">
        <v>45327</v>
      </c>
      <c r="M260" s="10" t="str">
        <f t="shared" si="4"/>
        <v>Below Target</v>
      </c>
    </row>
    <row r="261" spans="1:13" x14ac:dyDescent="0.35">
      <c r="A261" s="1" t="s">
        <v>447</v>
      </c>
      <c r="B261" s="1" t="s">
        <v>448</v>
      </c>
      <c r="C261" s="1" t="s">
        <v>30</v>
      </c>
      <c r="D261" s="1" t="s">
        <v>31</v>
      </c>
      <c r="E261" s="1" t="s">
        <v>32</v>
      </c>
      <c r="F261" s="1" t="s">
        <v>39</v>
      </c>
      <c r="G261" s="1" t="s">
        <v>26</v>
      </c>
      <c r="H261" s="1">
        <v>18798</v>
      </c>
      <c r="I261" s="1" t="s">
        <v>19</v>
      </c>
      <c r="J261" s="1">
        <v>0.2</v>
      </c>
      <c r="K261" s="1">
        <v>17000</v>
      </c>
      <c r="L261" s="2">
        <v>45342</v>
      </c>
      <c r="M261" s="10" t="str">
        <f t="shared" si="4"/>
        <v>Target Achieved</v>
      </c>
    </row>
    <row r="262" spans="1:13" x14ac:dyDescent="0.35">
      <c r="A262" s="1" t="s">
        <v>449</v>
      </c>
      <c r="B262" s="1" t="s">
        <v>301</v>
      </c>
      <c r="C262" s="1" t="s">
        <v>44</v>
      </c>
      <c r="D262" s="1" t="s">
        <v>45</v>
      </c>
      <c r="E262" s="1" t="s">
        <v>32</v>
      </c>
      <c r="F262" s="1" t="s">
        <v>25</v>
      </c>
      <c r="G262" s="1" t="s">
        <v>18</v>
      </c>
      <c r="H262" s="1">
        <v>11969</v>
      </c>
      <c r="I262" s="1"/>
      <c r="J262" s="1"/>
      <c r="K262" s="1">
        <v>13000</v>
      </c>
      <c r="L262" s="2">
        <v>45293</v>
      </c>
      <c r="M262" s="10" t="str">
        <f t="shared" si="4"/>
        <v>Below Target</v>
      </c>
    </row>
    <row r="263" spans="1:13" x14ac:dyDescent="0.35">
      <c r="A263" s="1" t="s">
        <v>450</v>
      </c>
      <c r="B263" s="1" t="s">
        <v>301</v>
      </c>
      <c r="C263" s="1" t="s">
        <v>30</v>
      </c>
      <c r="D263" s="1" t="s">
        <v>31</v>
      </c>
      <c r="E263" s="1" t="s">
        <v>46</v>
      </c>
      <c r="F263" s="1" t="s">
        <v>39</v>
      </c>
      <c r="G263" s="1" t="s">
        <v>18</v>
      </c>
      <c r="H263" s="1">
        <v>17506</v>
      </c>
      <c r="I263" s="1" t="s">
        <v>22</v>
      </c>
      <c r="J263" s="1">
        <v>0.1</v>
      </c>
      <c r="K263" s="1">
        <v>17000</v>
      </c>
      <c r="L263" s="2">
        <v>45296</v>
      </c>
      <c r="M263" s="10" t="str">
        <f t="shared" si="4"/>
        <v>Target Achieved</v>
      </c>
    </row>
    <row r="264" spans="1:13" x14ac:dyDescent="0.35">
      <c r="A264" s="1" t="s">
        <v>451</v>
      </c>
      <c r="B264" s="1" t="s">
        <v>70</v>
      </c>
      <c r="C264" s="1" t="s">
        <v>61</v>
      </c>
      <c r="D264" s="1" t="s">
        <v>62</v>
      </c>
      <c r="E264" s="1" t="s">
        <v>16</v>
      </c>
      <c r="F264" s="1" t="s">
        <v>17</v>
      </c>
      <c r="G264" s="1" t="s">
        <v>36</v>
      </c>
      <c r="H264" s="1">
        <v>10372</v>
      </c>
      <c r="I264" s="1" t="s">
        <v>27</v>
      </c>
      <c r="J264" s="1"/>
      <c r="K264" s="1">
        <v>9000</v>
      </c>
      <c r="L264" s="2">
        <v>45296</v>
      </c>
      <c r="M264" s="10" t="str">
        <f t="shared" si="4"/>
        <v>Target Achieved</v>
      </c>
    </row>
    <row r="265" spans="1:13" x14ac:dyDescent="0.35">
      <c r="A265" s="1" t="s">
        <v>452</v>
      </c>
      <c r="B265" s="1" t="s">
        <v>74</v>
      </c>
      <c r="C265" s="1" t="s">
        <v>14</v>
      </c>
      <c r="D265" s="1" t="s">
        <v>15</v>
      </c>
      <c r="E265" s="1" t="s">
        <v>46</v>
      </c>
      <c r="F265" s="1" t="s">
        <v>17</v>
      </c>
      <c r="G265" s="1" t="s">
        <v>26</v>
      </c>
      <c r="H265" s="1">
        <v>14119</v>
      </c>
      <c r="I265" s="1" t="s">
        <v>33</v>
      </c>
      <c r="J265" s="1">
        <v>0.3</v>
      </c>
      <c r="K265" s="1">
        <v>14000</v>
      </c>
      <c r="L265" s="2">
        <v>45300</v>
      </c>
      <c r="M265" s="10" t="str">
        <f t="shared" si="4"/>
        <v>Target Achieved</v>
      </c>
    </row>
    <row r="266" spans="1:13" x14ac:dyDescent="0.35">
      <c r="A266" s="1" t="s">
        <v>453</v>
      </c>
      <c r="B266" s="1" t="s">
        <v>454</v>
      </c>
      <c r="C266" s="1" t="s">
        <v>44</v>
      </c>
      <c r="D266" s="1" t="s">
        <v>45</v>
      </c>
      <c r="E266" s="1" t="s">
        <v>32</v>
      </c>
      <c r="F266" s="1" t="s">
        <v>17</v>
      </c>
      <c r="G266" s="1" t="s">
        <v>26</v>
      </c>
      <c r="H266" s="1">
        <v>14730</v>
      </c>
      <c r="I266" s="1" t="s">
        <v>22</v>
      </c>
      <c r="J266" s="1">
        <v>0.1</v>
      </c>
      <c r="K266" s="1">
        <v>13000</v>
      </c>
      <c r="L266" s="2">
        <v>45345</v>
      </c>
      <c r="M266" s="10" t="str">
        <f t="shared" si="4"/>
        <v>Target Achieved</v>
      </c>
    </row>
    <row r="267" spans="1:13" x14ac:dyDescent="0.35">
      <c r="A267" s="1" t="s">
        <v>455</v>
      </c>
      <c r="B267" s="1" t="s">
        <v>241</v>
      </c>
      <c r="C267" s="1" t="s">
        <v>44</v>
      </c>
      <c r="D267" s="1" t="s">
        <v>45</v>
      </c>
      <c r="E267" s="1" t="s">
        <v>46</v>
      </c>
      <c r="F267" s="1" t="s">
        <v>25</v>
      </c>
      <c r="G267" s="1" t="s">
        <v>18</v>
      </c>
      <c r="H267" s="1">
        <v>12321</v>
      </c>
      <c r="I267" s="1" t="s">
        <v>19</v>
      </c>
      <c r="J267" s="1">
        <v>0.2</v>
      </c>
      <c r="K267" s="1">
        <v>13000</v>
      </c>
      <c r="L267" s="2">
        <v>45314</v>
      </c>
      <c r="M267" s="10" t="str">
        <f t="shared" si="4"/>
        <v>Below Target</v>
      </c>
    </row>
    <row r="268" spans="1:13" x14ac:dyDescent="0.35">
      <c r="A268" s="1" t="s">
        <v>456</v>
      </c>
      <c r="B268" s="1" t="s">
        <v>448</v>
      </c>
      <c r="C268" s="1" t="s">
        <v>14</v>
      </c>
      <c r="D268" s="1" t="s">
        <v>15</v>
      </c>
      <c r="E268" s="1" t="s">
        <v>46</v>
      </c>
      <c r="F268" s="1" t="s">
        <v>25</v>
      </c>
      <c r="G268" s="1" t="s">
        <v>26</v>
      </c>
      <c r="H268" s="1">
        <v>15917</v>
      </c>
      <c r="I268" s="1" t="s">
        <v>27</v>
      </c>
      <c r="J268" s="1"/>
      <c r="K268" s="1">
        <v>14000</v>
      </c>
      <c r="L268" s="2">
        <v>45309</v>
      </c>
      <c r="M268" s="10" t="str">
        <f t="shared" si="4"/>
        <v>Target Achieved</v>
      </c>
    </row>
    <row r="269" spans="1:13" x14ac:dyDescent="0.35">
      <c r="A269" s="1" t="s">
        <v>457</v>
      </c>
      <c r="B269" s="1" t="s">
        <v>113</v>
      </c>
      <c r="C269" s="1" t="s">
        <v>30</v>
      </c>
      <c r="D269" s="1" t="s">
        <v>31</v>
      </c>
      <c r="E269" s="1" t="s">
        <v>16</v>
      </c>
      <c r="F269" s="1" t="s">
        <v>39</v>
      </c>
      <c r="G269" s="1" t="s">
        <v>18</v>
      </c>
      <c r="H269" s="1">
        <v>17058</v>
      </c>
      <c r="I269" s="1" t="s">
        <v>19</v>
      </c>
      <c r="J269" s="1">
        <v>0.2</v>
      </c>
      <c r="K269" s="1">
        <v>17000</v>
      </c>
      <c r="L269" s="2">
        <v>45329</v>
      </c>
      <c r="M269" s="10" t="str">
        <f t="shared" si="4"/>
        <v>Target Achieved</v>
      </c>
    </row>
    <row r="270" spans="1:13" x14ac:dyDescent="0.35">
      <c r="A270" s="1" t="s">
        <v>458</v>
      </c>
      <c r="B270" s="1" t="s">
        <v>373</v>
      </c>
      <c r="C270" s="1" t="s">
        <v>44</v>
      </c>
      <c r="D270" s="1" t="s">
        <v>45</v>
      </c>
      <c r="E270" s="1" t="s">
        <v>16</v>
      </c>
      <c r="F270" s="1" t="s">
        <v>39</v>
      </c>
      <c r="G270" s="1" t="s">
        <v>26</v>
      </c>
      <c r="H270" s="1">
        <v>14694</v>
      </c>
      <c r="I270" s="1" t="s">
        <v>27</v>
      </c>
      <c r="J270" s="1"/>
      <c r="K270" s="1">
        <v>13000</v>
      </c>
      <c r="L270" s="2">
        <v>45313</v>
      </c>
      <c r="M270" s="10" t="str">
        <f t="shared" si="4"/>
        <v>Target Achieved</v>
      </c>
    </row>
    <row r="271" spans="1:13" x14ac:dyDescent="0.35">
      <c r="A271" s="1" t="s">
        <v>459</v>
      </c>
      <c r="B271" s="1" t="s">
        <v>460</v>
      </c>
      <c r="C271" s="1" t="s">
        <v>14</v>
      </c>
      <c r="D271" s="1" t="s">
        <v>15</v>
      </c>
      <c r="E271" s="1" t="s">
        <v>32</v>
      </c>
      <c r="F271" s="1" t="s">
        <v>25</v>
      </c>
      <c r="G271" s="1" t="s">
        <v>18</v>
      </c>
      <c r="H271" s="1">
        <v>15885</v>
      </c>
      <c r="I271" s="1" t="s">
        <v>27</v>
      </c>
      <c r="J271" s="1"/>
      <c r="K271" s="1">
        <v>14000</v>
      </c>
      <c r="L271" s="2">
        <v>45308</v>
      </c>
      <c r="M271" s="10" t="str">
        <f t="shared" si="4"/>
        <v>Target Achieved</v>
      </c>
    </row>
    <row r="272" spans="1:13" x14ac:dyDescent="0.35">
      <c r="A272" s="1" t="s">
        <v>461</v>
      </c>
      <c r="B272" s="1" t="s">
        <v>239</v>
      </c>
      <c r="C272" s="1" t="s">
        <v>61</v>
      </c>
      <c r="D272" s="1" t="s">
        <v>62</v>
      </c>
      <c r="E272" s="1" t="s">
        <v>16</v>
      </c>
      <c r="F272" s="1" t="s">
        <v>39</v>
      </c>
      <c r="G272" s="1" t="s">
        <v>18</v>
      </c>
      <c r="H272" s="1">
        <v>9039</v>
      </c>
      <c r="I272" s="1" t="s">
        <v>27</v>
      </c>
      <c r="J272" s="1"/>
      <c r="K272" s="1">
        <v>9000</v>
      </c>
      <c r="L272" s="2">
        <v>45310</v>
      </c>
      <c r="M272" s="10" t="str">
        <f t="shared" si="4"/>
        <v>Target Achieved</v>
      </c>
    </row>
    <row r="273" spans="1:13" x14ac:dyDescent="0.35">
      <c r="A273" s="1" t="s">
        <v>462</v>
      </c>
      <c r="B273" s="1" t="s">
        <v>278</v>
      </c>
      <c r="C273" s="1" t="s">
        <v>61</v>
      </c>
      <c r="D273" s="1" t="s">
        <v>62</v>
      </c>
      <c r="E273" s="1" t="s">
        <v>32</v>
      </c>
      <c r="F273" s="1" t="s">
        <v>39</v>
      </c>
      <c r="G273" s="1" t="s">
        <v>36</v>
      </c>
      <c r="H273" s="1">
        <v>8218</v>
      </c>
      <c r="I273" s="1"/>
      <c r="J273" s="1"/>
      <c r="K273" s="1">
        <v>9000</v>
      </c>
      <c r="L273" s="2">
        <v>45296</v>
      </c>
      <c r="M273" s="10" t="str">
        <f t="shared" si="4"/>
        <v>Below Target</v>
      </c>
    </row>
    <row r="274" spans="1:13" x14ac:dyDescent="0.35">
      <c r="A274" s="1" t="s">
        <v>463</v>
      </c>
      <c r="B274" s="1" t="s">
        <v>464</v>
      </c>
      <c r="C274" s="1" t="s">
        <v>44</v>
      </c>
      <c r="D274" s="1" t="s">
        <v>45</v>
      </c>
      <c r="E274" s="1" t="s">
        <v>46</v>
      </c>
      <c r="F274" s="1" t="s">
        <v>17</v>
      </c>
      <c r="G274" s="1" t="s">
        <v>36</v>
      </c>
      <c r="H274" s="1">
        <v>12902</v>
      </c>
      <c r="I274" s="1" t="s">
        <v>19</v>
      </c>
      <c r="J274" s="1">
        <v>0.2</v>
      </c>
      <c r="K274" s="1">
        <v>13000</v>
      </c>
      <c r="L274" s="2">
        <v>45313</v>
      </c>
      <c r="M274" s="10" t="str">
        <f t="shared" si="4"/>
        <v>Below Target</v>
      </c>
    </row>
    <row r="275" spans="1:13" x14ac:dyDescent="0.35">
      <c r="A275" s="1" t="s">
        <v>465</v>
      </c>
      <c r="B275" s="1" t="s">
        <v>373</v>
      </c>
      <c r="C275" s="1" t="s">
        <v>30</v>
      </c>
      <c r="D275" s="1" t="s">
        <v>31</v>
      </c>
      <c r="E275" s="1" t="s">
        <v>16</v>
      </c>
      <c r="F275" s="1" t="s">
        <v>17</v>
      </c>
      <c r="G275" s="1" t="s">
        <v>26</v>
      </c>
      <c r="H275" s="1">
        <v>18525</v>
      </c>
      <c r="I275" s="1" t="s">
        <v>33</v>
      </c>
      <c r="J275" s="1">
        <v>0.3</v>
      </c>
      <c r="K275" s="1">
        <v>17000</v>
      </c>
      <c r="L275" s="2">
        <v>45317</v>
      </c>
      <c r="M275" s="10" t="str">
        <f t="shared" si="4"/>
        <v>Target Achieved</v>
      </c>
    </row>
    <row r="276" spans="1:13" x14ac:dyDescent="0.35">
      <c r="A276" s="1" t="s">
        <v>466</v>
      </c>
      <c r="B276" s="1" t="s">
        <v>135</v>
      </c>
      <c r="C276" s="1" t="s">
        <v>30</v>
      </c>
      <c r="D276" s="1" t="s">
        <v>31</v>
      </c>
      <c r="E276" s="1" t="s">
        <v>16</v>
      </c>
      <c r="F276" s="1" t="s">
        <v>39</v>
      </c>
      <c r="G276" s="1" t="s">
        <v>18</v>
      </c>
      <c r="H276" s="1">
        <v>16307</v>
      </c>
      <c r="I276" s="1" t="s">
        <v>19</v>
      </c>
      <c r="J276" s="1">
        <v>0.2</v>
      </c>
      <c r="K276" s="1">
        <v>17000</v>
      </c>
      <c r="L276" s="2">
        <v>45321</v>
      </c>
      <c r="M276" s="10" t="str">
        <f t="shared" si="4"/>
        <v>Below Target</v>
      </c>
    </row>
    <row r="277" spans="1:13" x14ac:dyDescent="0.35">
      <c r="A277" s="1" t="s">
        <v>467</v>
      </c>
      <c r="B277" s="1" t="s">
        <v>263</v>
      </c>
      <c r="C277" s="1" t="s">
        <v>61</v>
      </c>
      <c r="D277" s="1" t="s">
        <v>62</v>
      </c>
      <c r="E277" s="1" t="s">
        <v>32</v>
      </c>
      <c r="F277" s="1" t="s">
        <v>25</v>
      </c>
      <c r="G277" s="1" t="s">
        <v>18</v>
      </c>
      <c r="H277" s="1">
        <v>7207</v>
      </c>
      <c r="I277" s="1" t="s">
        <v>33</v>
      </c>
      <c r="J277" s="1">
        <v>0.3</v>
      </c>
      <c r="K277" s="1">
        <v>9000</v>
      </c>
      <c r="L277" s="2">
        <v>45352</v>
      </c>
      <c r="M277" s="10" t="str">
        <f t="shared" si="4"/>
        <v>Below Target</v>
      </c>
    </row>
    <row r="278" spans="1:13" x14ac:dyDescent="0.35">
      <c r="A278" s="1" t="s">
        <v>468</v>
      </c>
      <c r="B278" s="1" t="s">
        <v>309</v>
      </c>
      <c r="C278" s="1" t="s">
        <v>61</v>
      </c>
      <c r="D278" s="1" t="s">
        <v>62</v>
      </c>
      <c r="E278" s="1" t="s">
        <v>32</v>
      </c>
      <c r="F278" s="1" t="s">
        <v>25</v>
      </c>
      <c r="G278" s="1" t="s">
        <v>36</v>
      </c>
      <c r="H278" s="1">
        <v>10824</v>
      </c>
      <c r="I278" s="1" t="s">
        <v>27</v>
      </c>
      <c r="J278" s="1"/>
      <c r="K278" s="1">
        <v>9000</v>
      </c>
      <c r="L278" s="2">
        <v>45338</v>
      </c>
      <c r="M278" s="10" t="str">
        <f t="shared" si="4"/>
        <v>Target Achieved</v>
      </c>
    </row>
    <row r="279" spans="1:13" x14ac:dyDescent="0.35">
      <c r="A279" s="1" t="s">
        <v>469</v>
      </c>
      <c r="B279" s="1" t="s">
        <v>408</v>
      </c>
      <c r="C279" s="1" t="s">
        <v>44</v>
      </c>
      <c r="D279" s="1" t="s">
        <v>45</v>
      </c>
      <c r="E279" s="1" t="s">
        <v>46</v>
      </c>
      <c r="F279" s="1" t="s">
        <v>39</v>
      </c>
      <c r="G279" s="1" t="s">
        <v>36</v>
      </c>
      <c r="H279" s="1">
        <v>13042</v>
      </c>
      <c r="I279" s="1" t="s">
        <v>33</v>
      </c>
      <c r="J279" s="1">
        <v>0.3</v>
      </c>
      <c r="K279" s="1">
        <v>13000</v>
      </c>
      <c r="L279" s="2">
        <v>45323</v>
      </c>
      <c r="M279" s="10" t="str">
        <f t="shared" si="4"/>
        <v>Target Achieved</v>
      </c>
    </row>
    <row r="280" spans="1:13" x14ac:dyDescent="0.35">
      <c r="A280" s="1" t="s">
        <v>470</v>
      </c>
      <c r="B280" s="1" t="s">
        <v>76</v>
      </c>
      <c r="C280" s="1" t="s">
        <v>61</v>
      </c>
      <c r="D280" s="1" t="s">
        <v>62</v>
      </c>
      <c r="E280" s="1" t="s">
        <v>16</v>
      </c>
      <c r="F280" s="1" t="s">
        <v>17</v>
      </c>
      <c r="G280" s="1" t="s">
        <v>18</v>
      </c>
      <c r="H280" s="1">
        <v>7881</v>
      </c>
      <c r="I280" s="1" t="s">
        <v>27</v>
      </c>
      <c r="J280" s="1"/>
      <c r="K280" s="1">
        <v>9000</v>
      </c>
      <c r="L280" s="2">
        <v>45314</v>
      </c>
      <c r="M280" s="10" t="str">
        <f t="shared" si="4"/>
        <v>Below Target</v>
      </c>
    </row>
    <row r="281" spans="1:13" x14ac:dyDescent="0.35">
      <c r="A281" s="1" t="s">
        <v>471</v>
      </c>
      <c r="B281" s="1" t="s">
        <v>161</v>
      </c>
      <c r="C281" s="1" t="s">
        <v>30</v>
      </c>
      <c r="D281" s="1" t="s">
        <v>31</v>
      </c>
      <c r="E281" s="1" t="s">
        <v>46</v>
      </c>
      <c r="F281" s="1" t="s">
        <v>39</v>
      </c>
      <c r="G281" s="1" t="s">
        <v>26</v>
      </c>
      <c r="H281" s="1">
        <v>17754</v>
      </c>
      <c r="I281" s="1"/>
      <c r="J281" s="1"/>
      <c r="K281" s="1">
        <v>17000</v>
      </c>
      <c r="L281" s="2">
        <v>45310</v>
      </c>
      <c r="M281" s="10" t="str">
        <f t="shared" si="4"/>
        <v>Target Achieved</v>
      </c>
    </row>
    <row r="282" spans="1:13" x14ac:dyDescent="0.35">
      <c r="A282" s="1" t="s">
        <v>472</v>
      </c>
      <c r="B282" s="1" t="s">
        <v>184</v>
      </c>
      <c r="C282" s="1" t="s">
        <v>14</v>
      </c>
      <c r="D282" s="1" t="s">
        <v>15</v>
      </c>
      <c r="E282" s="1" t="s">
        <v>46</v>
      </c>
      <c r="F282" s="1" t="s">
        <v>25</v>
      </c>
      <c r="G282" s="1" t="s">
        <v>36</v>
      </c>
      <c r="H282" s="1">
        <v>14979</v>
      </c>
      <c r="I282" s="1" t="s">
        <v>33</v>
      </c>
      <c r="J282" s="1">
        <v>0.3</v>
      </c>
      <c r="K282" s="1">
        <v>14000</v>
      </c>
      <c r="L282" s="2">
        <v>45340</v>
      </c>
      <c r="M282" s="10" t="str">
        <f t="shared" si="4"/>
        <v>Target Achieved</v>
      </c>
    </row>
    <row r="283" spans="1:13" x14ac:dyDescent="0.35">
      <c r="A283" s="1" t="s">
        <v>473</v>
      </c>
      <c r="B283" s="1" t="s">
        <v>474</v>
      </c>
      <c r="C283" s="1" t="s">
        <v>14</v>
      </c>
      <c r="D283" s="1" t="s">
        <v>15</v>
      </c>
      <c r="E283" s="1" t="s">
        <v>46</v>
      </c>
      <c r="F283" s="1" t="s">
        <v>25</v>
      </c>
      <c r="G283" s="1" t="s">
        <v>26</v>
      </c>
      <c r="H283" s="1">
        <v>14301</v>
      </c>
      <c r="I283" s="1" t="s">
        <v>19</v>
      </c>
      <c r="J283" s="1">
        <v>0.2</v>
      </c>
      <c r="K283" s="1">
        <v>14000</v>
      </c>
      <c r="L283" s="2">
        <v>45315</v>
      </c>
      <c r="M283" s="10" t="str">
        <f t="shared" si="4"/>
        <v>Target Achieved</v>
      </c>
    </row>
    <row r="284" spans="1:13" x14ac:dyDescent="0.35">
      <c r="A284" s="1" t="s">
        <v>475</v>
      </c>
      <c r="B284" s="1" t="s">
        <v>448</v>
      </c>
      <c r="C284" s="1" t="s">
        <v>14</v>
      </c>
      <c r="D284" s="1" t="s">
        <v>15</v>
      </c>
      <c r="E284" s="1" t="s">
        <v>46</v>
      </c>
      <c r="F284" s="1" t="s">
        <v>39</v>
      </c>
      <c r="G284" s="1" t="s">
        <v>36</v>
      </c>
      <c r="H284" s="1">
        <v>15130</v>
      </c>
      <c r="I284" s="1" t="s">
        <v>27</v>
      </c>
      <c r="J284" s="1"/>
      <c r="K284" s="1">
        <v>14000</v>
      </c>
      <c r="L284" s="2">
        <v>45309</v>
      </c>
      <c r="M284" s="10" t="str">
        <f t="shared" si="4"/>
        <v>Target Achieved</v>
      </c>
    </row>
    <row r="285" spans="1:13" x14ac:dyDescent="0.35">
      <c r="A285" s="1" t="s">
        <v>476</v>
      </c>
      <c r="B285" s="1" t="s">
        <v>460</v>
      </c>
      <c r="C285" s="1" t="s">
        <v>14</v>
      </c>
      <c r="D285" s="1" t="s">
        <v>15</v>
      </c>
      <c r="E285" s="1" t="s">
        <v>32</v>
      </c>
      <c r="F285" s="1" t="s">
        <v>25</v>
      </c>
      <c r="G285" s="1" t="s">
        <v>36</v>
      </c>
      <c r="H285" s="1">
        <v>13528</v>
      </c>
      <c r="I285" s="1" t="s">
        <v>33</v>
      </c>
      <c r="J285" s="1">
        <v>0.3</v>
      </c>
      <c r="K285" s="1">
        <v>14000</v>
      </c>
      <c r="L285" s="2">
        <v>45327</v>
      </c>
      <c r="M285" s="10" t="str">
        <f t="shared" si="4"/>
        <v>Below Target</v>
      </c>
    </row>
    <row r="286" spans="1:13" x14ac:dyDescent="0.35">
      <c r="A286" s="1" t="s">
        <v>477</v>
      </c>
      <c r="B286" s="1" t="s">
        <v>478</v>
      </c>
      <c r="C286" s="1" t="s">
        <v>44</v>
      </c>
      <c r="D286" s="1" t="s">
        <v>45</v>
      </c>
      <c r="E286" s="1" t="s">
        <v>32</v>
      </c>
      <c r="F286" s="1" t="s">
        <v>39</v>
      </c>
      <c r="G286" s="1" t="s">
        <v>26</v>
      </c>
      <c r="H286" s="1">
        <v>12644</v>
      </c>
      <c r="I286" s="1" t="s">
        <v>27</v>
      </c>
      <c r="J286" s="1"/>
      <c r="K286" s="1">
        <v>13000</v>
      </c>
      <c r="L286" s="2">
        <v>45294</v>
      </c>
      <c r="M286" s="10" t="str">
        <f t="shared" si="4"/>
        <v>Below Target</v>
      </c>
    </row>
    <row r="287" spans="1:13" x14ac:dyDescent="0.35">
      <c r="A287" s="1" t="s">
        <v>479</v>
      </c>
      <c r="B287" s="1" t="s">
        <v>161</v>
      </c>
      <c r="C287" s="1" t="s">
        <v>44</v>
      </c>
      <c r="D287" s="1" t="s">
        <v>45</v>
      </c>
      <c r="E287" s="1" t="s">
        <v>16</v>
      </c>
      <c r="F287" s="1" t="s">
        <v>17</v>
      </c>
      <c r="G287" s="1" t="s">
        <v>36</v>
      </c>
      <c r="H287" s="1">
        <v>13127</v>
      </c>
      <c r="I287" s="1"/>
      <c r="J287" s="1"/>
      <c r="K287" s="1">
        <v>13000</v>
      </c>
      <c r="L287" s="2">
        <v>45301</v>
      </c>
      <c r="M287" s="10" t="str">
        <f t="shared" si="4"/>
        <v>Target Achieved</v>
      </c>
    </row>
    <row r="288" spans="1:13" x14ac:dyDescent="0.35">
      <c r="A288" s="1" t="s">
        <v>480</v>
      </c>
      <c r="B288" s="1" t="s">
        <v>86</v>
      </c>
      <c r="C288" s="1" t="s">
        <v>44</v>
      </c>
      <c r="D288" s="1" t="s">
        <v>45</v>
      </c>
      <c r="E288" s="1" t="s">
        <v>46</v>
      </c>
      <c r="F288" s="1" t="s">
        <v>39</v>
      </c>
      <c r="G288" s="1" t="s">
        <v>36</v>
      </c>
      <c r="H288" s="1">
        <v>11665</v>
      </c>
      <c r="I288" s="1"/>
      <c r="J288" s="1"/>
      <c r="K288" s="1">
        <v>13000</v>
      </c>
      <c r="L288" s="2">
        <v>45331</v>
      </c>
      <c r="M288" s="10" t="str">
        <f t="shared" si="4"/>
        <v>Below Target</v>
      </c>
    </row>
    <row r="289" spans="1:13" x14ac:dyDescent="0.35">
      <c r="A289" s="1" t="s">
        <v>481</v>
      </c>
      <c r="B289" s="1" t="s">
        <v>371</v>
      </c>
      <c r="C289" s="1" t="s">
        <v>30</v>
      </c>
      <c r="D289" s="1" t="s">
        <v>31</v>
      </c>
      <c r="E289" s="1" t="s">
        <v>16</v>
      </c>
      <c r="F289" s="1" t="s">
        <v>17</v>
      </c>
      <c r="G289" s="1" t="s">
        <v>26</v>
      </c>
      <c r="H289" s="1">
        <v>18392</v>
      </c>
      <c r="I289" s="1" t="s">
        <v>27</v>
      </c>
      <c r="J289" s="1"/>
      <c r="K289" s="1">
        <v>17000</v>
      </c>
      <c r="L289" s="2">
        <v>45326</v>
      </c>
      <c r="M289" s="10" t="str">
        <f t="shared" si="4"/>
        <v>Target Achieved</v>
      </c>
    </row>
    <row r="290" spans="1:13" x14ac:dyDescent="0.35">
      <c r="A290" s="1" t="s">
        <v>482</v>
      </c>
      <c r="B290" s="1" t="s">
        <v>483</v>
      </c>
      <c r="C290" s="1" t="s">
        <v>30</v>
      </c>
      <c r="D290" s="1" t="s">
        <v>31</v>
      </c>
      <c r="E290" s="1" t="s">
        <v>46</v>
      </c>
      <c r="F290" s="1" t="s">
        <v>25</v>
      </c>
      <c r="G290" s="1" t="s">
        <v>36</v>
      </c>
      <c r="H290" s="1">
        <v>16356</v>
      </c>
      <c r="I290" s="1" t="s">
        <v>22</v>
      </c>
      <c r="J290" s="1">
        <v>0.1</v>
      </c>
      <c r="K290" s="1">
        <v>17000</v>
      </c>
      <c r="L290" s="2">
        <v>45318</v>
      </c>
      <c r="M290" s="10" t="str">
        <f t="shared" si="4"/>
        <v>Below Target</v>
      </c>
    </row>
    <row r="291" spans="1:13" x14ac:dyDescent="0.35">
      <c r="A291" s="1" t="s">
        <v>484</v>
      </c>
      <c r="B291" s="1" t="s">
        <v>291</v>
      </c>
      <c r="C291" s="1" t="s">
        <v>14</v>
      </c>
      <c r="D291" s="1" t="s">
        <v>15</v>
      </c>
      <c r="E291" s="1" t="s">
        <v>16</v>
      </c>
      <c r="F291" s="1" t="s">
        <v>17</v>
      </c>
      <c r="G291" s="1" t="s">
        <v>36</v>
      </c>
      <c r="H291" s="1">
        <v>15961</v>
      </c>
      <c r="I291" s="1" t="s">
        <v>27</v>
      </c>
      <c r="J291" s="1"/>
      <c r="K291" s="1">
        <v>14000</v>
      </c>
      <c r="L291" s="2">
        <v>45328</v>
      </c>
      <c r="M291" s="10" t="str">
        <f t="shared" si="4"/>
        <v>Target Achieved</v>
      </c>
    </row>
    <row r="292" spans="1:13" x14ac:dyDescent="0.35">
      <c r="A292" s="1" t="s">
        <v>485</v>
      </c>
      <c r="B292" s="1" t="s">
        <v>220</v>
      </c>
      <c r="C292" s="1" t="s">
        <v>14</v>
      </c>
      <c r="D292" s="1" t="s">
        <v>15</v>
      </c>
      <c r="E292" s="1" t="s">
        <v>16</v>
      </c>
      <c r="F292" s="1" t="s">
        <v>17</v>
      </c>
      <c r="G292" s="1" t="s">
        <v>18</v>
      </c>
      <c r="H292" s="1">
        <v>14147</v>
      </c>
      <c r="I292" s="1" t="s">
        <v>27</v>
      </c>
      <c r="J292" s="1"/>
      <c r="K292" s="1">
        <v>14000</v>
      </c>
      <c r="L292" s="2">
        <v>45341</v>
      </c>
      <c r="M292" s="10" t="str">
        <f t="shared" si="4"/>
        <v>Target Achieved</v>
      </c>
    </row>
    <row r="293" spans="1:13" x14ac:dyDescent="0.35">
      <c r="A293" s="1" t="s">
        <v>486</v>
      </c>
      <c r="B293" s="1" t="s">
        <v>487</v>
      </c>
      <c r="C293" s="1" t="s">
        <v>44</v>
      </c>
      <c r="D293" s="1" t="s">
        <v>45</v>
      </c>
      <c r="E293" s="1" t="s">
        <v>16</v>
      </c>
      <c r="F293" s="1" t="s">
        <v>25</v>
      </c>
      <c r="G293" s="1" t="s">
        <v>18</v>
      </c>
      <c r="H293" s="1">
        <v>13345</v>
      </c>
      <c r="I293" s="1" t="s">
        <v>22</v>
      </c>
      <c r="J293" s="1">
        <v>0.1</v>
      </c>
      <c r="K293" s="1">
        <v>13000</v>
      </c>
      <c r="L293" s="2">
        <v>45304</v>
      </c>
      <c r="M293" s="10" t="str">
        <f t="shared" si="4"/>
        <v>Target Achieved</v>
      </c>
    </row>
    <row r="294" spans="1:13" x14ac:dyDescent="0.35">
      <c r="A294" s="1" t="s">
        <v>488</v>
      </c>
      <c r="B294" s="1" t="s">
        <v>489</v>
      </c>
      <c r="C294" s="1" t="s">
        <v>30</v>
      </c>
      <c r="D294" s="1" t="s">
        <v>31</v>
      </c>
      <c r="E294" s="1" t="s">
        <v>46</v>
      </c>
      <c r="F294" s="1" t="s">
        <v>25</v>
      </c>
      <c r="G294" s="1" t="s">
        <v>36</v>
      </c>
      <c r="H294" s="1">
        <v>17828</v>
      </c>
      <c r="I294" s="1" t="s">
        <v>19</v>
      </c>
      <c r="J294" s="1">
        <v>0.2</v>
      </c>
      <c r="K294" s="1">
        <v>17000</v>
      </c>
      <c r="L294" s="2">
        <v>45318</v>
      </c>
      <c r="M294" s="10" t="str">
        <f t="shared" si="4"/>
        <v>Target Achieved</v>
      </c>
    </row>
    <row r="295" spans="1:13" x14ac:dyDescent="0.35">
      <c r="A295" s="1" t="s">
        <v>490</v>
      </c>
      <c r="B295" s="1" t="s">
        <v>82</v>
      </c>
      <c r="C295" s="1" t="s">
        <v>61</v>
      </c>
      <c r="D295" s="1" t="s">
        <v>62</v>
      </c>
      <c r="E295" s="1" t="s">
        <v>16</v>
      </c>
      <c r="F295" s="1" t="s">
        <v>39</v>
      </c>
      <c r="G295" s="1" t="s">
        <v>18</v>
      </c>
      <c r="H295" s="1">
        <v>9890</v>
      </c>
      <c r="I295" s="1" t="s">
        <v>19</v>
      </c>
      <c r="J295" s="1">
        <v>0.2</v>
      </c>
      <c r="K295" s="1">
        <v>9000</v>
      </c>
      <c r="L295" s="2">
        <v>45325</v>
      </c>
      <c r="M295" s="10" t="str">
        <f t="shared" si="4"/>
        <v>Target Achieved</v>
      </c>
    </row>
    <row r="296" spans="1:13" x14ac:dyDescent="0.35">
      <c r="A296" s="1" t="s">
        <v>491</v>
      </c>
      <c r="B296" s="1" t="s">
        <v>24</v>
      </c>
      <c r="C296" s="1" t="s">
        <v>30</v>
      </c>
      <c r="D296" s="1" t="s">
        <v>31</v>
      </c>
      <c r="E296" s="1" t="s">
        <v>16</v>
      </c>
      <c r="F296" s="1" t="s">
        <v>17</v>
      </c>
      <c r="G296" s="1" t="s">
        <v>26</v>
      </c>
      <c r="H296" s="1">
        <v>16543</v>
      </c>
      <c r="I296" s="1" t="s">
        <v>33</v>
      </c>
      <c r="J296" s="1">
        <v>0.3</v>
      </c>
      <c r="K296" s="1">
        <v>17000</v>
      </c>
      <c r="L296" s="2">
        <v>45303</v>
      </c>
      <c r="M296" s="10" t="str">
        <f t="shared" si="4"/>
        <v>Below Target</v>
      </c>
    </row>
    <row r="297" spans="1:13" x14ac:dyDescent="0.35">
      <c r="A297" s="1" t="s">
        <v>492</v>
      </c>
      <c r="B297" s="1" t="s">
        <v>330</v>
      </c>
      <c r="C297" s="1" t="s">
        <v>30</v>
      </c>
      <c r="D297" s="1" t="s">
        <v>31</v>
      </c>
      <c r="E297" s="1" t="s">
        <v>16</v>
      </c>
      <c r="F297" s="1" t="s">
        <v>17</v>
      </c>
      <c r="G297" s="1" t="s">
        <v>26</v>
      </c>
      <c r="H297" s="1">
        <v>18162</v>
      </c>
      <c r="I297" s="1" t="s">
        <v>33</v>
      </c>
      <c r="J297" s="1">
        <v>0.3</v>
      </c>
      <c r="K297" s="1">
        <v>17000</v>
      </c>
      <c r="L297" s="2">
        <v>45331</v>
      </c>
      <c r="M297" s="10" t="str">
        <f t="shared" si="4"/>
        <v>Target Achieved</v>
      </c>
    </row>
    <row r="298" spans="1:13" x14ac:dyDescent="0.35">
      <c r="A298" s="1" t="s">
        <v>493</v>
      </c>
      <c r="B298" s="1" t="s">
        <v>211</v>
      </c>
      <c r="C298" s="1" t="s">
        <v>44</v>
      </c>
      <c r="D298" s="1" t="s">
        <v>45</v>
      </c>
      <c r="E298" s="1" t="s">
        <v>46</v>
      </c>
      <c r="F298" s="1" t="s">
        <v>39</v>
      </c>
      <c r="G298" s="1" t="s">
        <v>36</v>
      </c>
      <c r="H298" s="1">
        <v>11921</v>
      </c>
      <c r="I298" s="1" t="s">
        <v>33</v>
      </c>
      <c r="J298" s="1">
        <v>0.3</v>
      </c>
      <c r="K298" s="1">
        <v>13000</v>
      </c>
      <c r="L298" s="2">
        <v>45341</v>
      </c>
      <c r="M298" s="10" t="str">
        <f t="shared" si="4"/>
        <v>Below Target</v>
      </c>
    </row>
    <row r="299" spans="1:13" x14ac:dyDescent="0.35">
      <c r="A299" s="1" t="s">
        <v>494</v>
      </c>
      <c r="B299" s="1" t="s">
        <v>350</v>
      </c>
      <c r="C299" s="1" t="s">
        <v>44</v>
      </c>
      <c r="D299" s="1" t="s">
        <v>45</v>
      </c>
      <c r="E299" s="1" t="s">
        <v>16</v>
      </c>
      <c r="F299" s="1" t="s">
        <v>39</v>
      </c>
      <c r="G299" s="1" t="s">
        <v>36</v>
      </c>
      <c r="H299" s="1">
        <v>12298</v>
      </c>
      <c r="I299" s="1"/>
      <c r="J299" s="1"/>
      <c r="K299" s="1">
        <v>13000</v>
      </c>
      <c r="L299" s="2">
        <v>45314</v>
      </c>
      <c r="M299" s="10" t="str">
        <f t="shared" si="4"/>
        <v>Below Target</v>
      </c>
    </row>
    <row r="300" spans="1:13" x14ac:dyDescent="0.35">
      <c r="A300" s="1" t="s">
        <v>495</v>
      </c>
      <c r="B300" s="1" t="s">
        <v>82</v>
      </c>
      <c r="C300" s="1" t="s">
        <v>30</v>
      </c>
      <c r="D300" s="1" t="s">
        <v>31</v>
      </c>
      <c r="E300" s="1" t="s">
        <v>46</v>
      </c>
      <c r="F300" s="1" t="s">
        <v>25</v>
      </c>
      <c r="G300" s="1" t="s">
        <v>26</v>
      </c>
      <c r="H300" s="1">
        <v>17771</v>
      </c>
      <c r="I300" s="1" t="s">
        <v>27</v>
      </c>
      <c r="J300" s="1"/>
      <c r="K300" s="1">
        <v>17000</v>
      </c>
      <c r="L300" s="2">
        <v>45316</v>
      </c>
      <c r="M300" s="10" t="str">
        <f t="shared" si="4"/>
        <v>Target Achieved</v>
      </c>
    </row>
    <row r="301" spans="1:13" x14ac:dyDescent="0.35">
      <c r="A301" s="1" t="s">
        <v>496</v>
      </c>
      <c r="B301" s="1" t="s">
        <v>137</v>
      </c>
      <c r="C301" s="1" t="s">
        <v>30</v>
      </c>
      <c r="D301" s="1" t="s">
        <v>31</v>
      </c>
      <c r="E301" s="1" t="s">
        <v>32</v>
      </c>
      <c r="F301" s="1" t="s">
        <v>17</v>
      </c>
      <c r="G301" s="1" t="s">
        <v>18</v>
      </c>
      <c r="H301" s="1">
        <v>16178</v>
      </c>
      <c r="I301" s="1" t="s">
        <v>22</v>
      </c>
      <c r="J301" s="1">
        <v>0.1</v>
      </c>
      <c r="K301" s="1">
        <v>17000</v>
      </c>
      <c r="L301" s="2">
        <v>45314</v>
      </c>
      <c r="M301" s="10" t="str">
        <f t="shared" si="4"/>
        <v>Below Target</v>
      </c>
    </row>
    <row r="302" spans="1:13" x14ac:dyDescent="0.35">
      <c r="A302" s="1" t="s">
        <v>497</v>
      </c>
      <c r="B302" s="1" t="s">
        <v>445</v>
      </c>
      <c r="C302" s="1" t="s">
        <v>30</v>
      </c>
      <c r="D302" s="1" t="s">
        <v>31</v>
      </c>
      <c r="E302" s="1" t="s">
        <v>16</v>
      </c>
      <c r="F302" s="1" t="s">
        <v>17</v>
      </c>
      <c r="G302" s="1" t="s">
        <v>18</v>
      </c>
      <c r="H302" s="1">
        <v>15827</v>
      </c>
      <c r="I302" s="1" t="s">
        <v>27</v>
      </c>
      <c r="J302" s="1"/>
      <c r="K302" s="1">
        <v>17000</v>
      </c>
      <c r="L302" s="2">
        <v>45309</v>
      </c>
      <c r="M302" s="10" t="str">
        <f t="shared" si="4"/>
        <v>Below Target</v>
      </c>
    </row>
    <row r="303" spans="1:13" x14ac:dyDescent="0.35">
      <c r="A303" s="1" t="s">
        <v>498</v>
      </c>
      <c r="B303" s="1" t="s">
        <v>84</v>
      </c>
      <c r="C303" s="1" t="s">
        <v>30</v>
      </c>
      <c r="D303" s="1" t="s">
        <v>31</v>
      </c>
      <c r="E303" s="1" t="s">
        <v>32</v>
      </c>
      <c r="F303" s="1" t="s">
        <v>25</v>
      </c>
      <c r="G303" s="1" t="s">
        <v>26</v>
      </c>
      <c r="H303" s="1">
        <v>18034</v>
      </c>
      <c r="I303" s="1" t="s">
        <v>27</v>
      </c>
      <c r="J303" s="1"/>
      <c r="K303" s="1">
        <v>17000</v>
      </c>
      <c r="L303" s="2">
        <v>45307</v>
      </c>
      <c r="M303" s="10" t="str">
        <f t="shared" si="4"/>
        <v>Target Achieved</v>
      </c>
    </row>
    <row r="304" spans="1:13" x14ac:dyDescent="0.35">
      <c r="A304" s="1" t="s">
        <v>499</v>
      </c>
      <c r="B304" s="1" t="s">
        <v>500</v>
      </c>
      <c r="C304" s="1" t="s">
        <v>44</v>
      </c>
      <c r="D304" s="1" t="s">
        <v>45</v>
      </c>
      <c r="E304" s="1" t="s">
        <v>16</v>
      </c>
      <c r="F304" s="1" t="s">
        <v>25</v>
      </c>
      <c r="G304" s="1" t="s">
        <v>18</v>
      </c>
      <c r="H304" s="1">
        <v>11410</v>
      </c>
      <c r="I304" s="1"/>
      <c r="J304" s="1"/>
      <c r="K304" s="1">
        <v>13000</v>
      </c>
      <c r="L304" s="2">
        <v>45313</v>
      </c>
      <c r="M304" s="10" t="str">
        <f t="shared" si="4"/>
        <v>Below Target</v>
      </c>
    </row>
    <row r="305" spans="1:13" x14ac:dyDescent="0.35">
      <c r="A305" s="1" t="s">
        <v>501</v>
      </c>
      <c r="B305" s="1" t="s">
        <v>334</v>
      </c>
      <c r="C305" s="1" t="s">
        <v>14</v>
      </c>
      <c r="D305" s="1" t="s">
        <v>15</v>
      </c>
      <c r="E305" s="1" t="s">
        <v>16</v>
      </c>
      <c r="F305" s="1" t="s">
        <v>25</v>
      </c>
      <c r="G305" s="1" t="s">
        <v>18</v>
      </c>
      <c r="H305" s="1">
        <v>15950</v>
      </c>
      <c r="I305" s="1" t="s">
        <v>27</v>
      </c>
      <c r="J305" s="1"/>
      <c r="K305" s="1">
        <v>14000</v>
      </c>
      <c r="L305" s="2">
        <v>45351</v>
      </c>
      <c r="M305" s="10" t="str">
        <f t="shared" si="4"/>
        <v>Target Achieved</v>
      </c>
    </row>
    <row r="306" spans="1:13" x14ac:dyDescent="0.35">
      <c r="A306" s="1" t="s">
        <v>502</v>
      </c>
      <c r="B306" s="1" t="s">
        <v>363</v>
      </c>
      <c r="C306" s="1" t="s">
        <v>61</v>
      </c>
      <c r="D306" s="1" t="s">
        <v>62</v>
      </c>
      <c r="E306" s="1" t="s">
        <v>46</v>
      </c>
      <c r="F306" s="1" t="s">
        <v>39</v>
      </c>
      <c r="G306" s="1" t="s">
        <v>18</v>
      </c>
      <c r="H306" s="1">
        <v>10096</v>
      </c>
      <c r="I306" s="1" t="s">
        <v>33</v>
      </c>
      <c r="J306" s="1">
        <v>0.3</v>
      </c>
      <c r="K306" s="1">
        <v>9000</v>
      </c>
      <c r="L306" s="2">
        <v>45312</v>
      </c>
      <c r="M306" s="10" t="str">
        <f t="shared" si="4"/>
        <v>Target Achieved</v>
      </c>
    </row>
    <row r="307" spans="1:13" x14ac:dyDescent="0.35">
      <c r="A307" s="1" t="s">
        <v>503</v>
      </c>
      <c r="B307" s="1" t="s">
        <v>286</v>
      </c>
      <c r="C307" s="1" t="s">
        <v>14</v>
      </c>
      <c r="D307" s="1" t="s">
        <v>15</v>
      </c>
      <c r="E307" s="1" t="s">
        <v>32</v>
      </c>
      <c r="F307" s="1" t="s">
        <v>39</v>
      </c>
      <c r="G307" s="1" t="s">
        <v>26</v>
      </c>
      <c r="H307" s="1">
        <v>12951</v>
      </c>
      <c r="I307" s="1" t="s">
        <v>27</v>
      </c>
      <c r="J307" s="1"/>
      <c r="K307" s="1">
        <v>14000</v>
      </c>
      <c r="L307" s="2">
        <v>45339</v>
      </c>
      <c r="M307" s="10" t="str">
        <f t="shared" si="4"/>
        <v>Below Target</v>
      </c>
    </row>
    <row r="308" spans="1:13" x14ac:dyDescent="0.35">
      <c r="A308" s="1" t="s">
        <v>504</v>
      </c>
      <c r="B308" s="1" t="s">
        <v>371</v>
      </c>
      <c r="C308" s="1" t="s">
        <v>14</v>
      </c>
      <c r="D308" s="1" t="s">
        <v>15</v>
      </c>
      <c r="E308" s="1" t="s">
        <v>32</v>
      </c>
      <c r="F308" s="1" t="s">
        <v>17</v>
      </c>
      <c r="G308" s="1" t="s">
        <v>18</v>
      </c>
      <c r="H308" s="1">
        <v>15825</v>
      </c>
      <c r="I308" s="1" t="s">
        <v>22</v>
      </c>
      <c r="J308" s="1">
        <v>0.1</v>
      </c>
      <c r="K308" s="1">
        <v>14000</v>
      </c>
      <c r="L308" s="2">
        <v>45345</v>
      </c>
      <c r="M308" s="10" t="str">
        <f t="shared" si="4"/>
        <v>Target Achieved</v>
      </c>
    </row>
    <row r="309" spans="1:13" x14ac:dyDescent="0.35">
      <c r="A309" s="1" t="s">
        <v>505</v>
      </c>
      <c r="B309" s="1" t="s">
        <v>155</v>
      </c>
      <c r="C309" s="1" t="s">
        <v>61</v>
      </c>
      <c r="D309" s="1" t="s">
        <v>62</v>
      </c>
      <c r="E309" s="1" t="s">
        <v>32</v>
      </c>
      <c r="F309" s="1" t="s">
        <v>39</v>
      </c>
      <c r="G309" s="1" t="s">
        <v>36</v>
      </c>
      <c r="H309" s="1">
        <v>10591</v>
      </c>
      <c r="I309" s="1" t="s">
        <v>22</v>
      </c>
      <c r="J309" s="1">
        <v>0.1</v>
      </c>
      <c r="K309" s="1">
        <v>9000</v>
      </c>
      <c r="L309" s="2">
        <v>45292</v>
      </c>
      <c r="M309" s="10" t="str">
        <f t="shared" si="4"/>
        <v>Target Achieved</v>
      </c>
    </row>
    <row r="310" spans="1:13" x14ac:dyDescent="0.35">
      <c r="A310" s="1" t="s">
        <v>506</v>
      </c>
      <c r="B310" s="1" t="s">
        <v>118</v>
      </c>
      <c r="C310" s="1" t="s">
        <v>14</v>
      </c>
      <c r="D310" s="1" t="s">
        <v>15</v>
      </c>
      <c r="E310" s="1" t="s">
        <v>46</v>
      </c>
      <c r="F310" s="1" t="s">
        <v>17</v>
      </c>
      <c r="G310" s="1" t="s">
        <v>36</v>
      </c>
      <c r="H310" s="1">
        <v>14626</v>
      </c>
      <c r="I310" s="1" t="s">
        <v>27</v>
      </c>
      <c r="J310" s="1"/>
      <c r="K310" s="1">
        <v>14000</v>
      </c>
      <c r="L310" s="2">
        <v>45325</v>
      </c>
      <c r="M310" s="10" t="str">
        <f t="shared" si="4"/>
        <v>Target Achieved</v>
      </c>
    </row>
    <row r="311" spans="1:13" x14ac:dyDescent="0.35">
      <c r="A311" s="1" t="s">
        <v>507</v>
      </c>
      <c r="B311" s="1" t="s">
        <v>508</v>
      </c>
      <c r="C311" s="1" t="s">
        <v>61</v>
      </c>
      <c r="D311" s="1" t="s">
        <v>62</v>
      </c>
      <c r="E311" s="1" t="s">
        <v>46</v>
      </c>
      <c r="F311" s="1" t="s">
        <v>25</v>
      </c>
      <c r="G311" s="1" t="s">
        <v>18</v>
      </c>
      <c r="H311" s="1">
        <v>8354</v>
      </c>
      <c r="I311" s="1" t="s">
        <v>19</v>
      </c>
      <c r="J311" s="1">
        <v>0.2</v>
      </c>
      <c r="K311" s="1">
        <v>9000</v>
      </c>
      <c r="L311" s="2">
        <v>45338</v>
      </c>
      <c r="M311" s="10" t="str">
        <f t="shared" si="4"/>
        <v>Below Target</v>
      </c>
    </row>
    <row r="312" spans="1:13" x14ac:dyDescent="0.35">
      <c r="A312" s="1" t="s">
        <v>509</v>
      </c>
      <c r="B312" s="1" t="s">
        <v>332</v>
      </c>
      <c r="C312" s="1" t="s">
        <v>30</v>
      </c>
      <c r="D312" s="1" t="s">
        <v>31</v>
      </c>
      <c r="E312" s="1" t="s">
        <v>16</v>
      </c>
      <c r="F312" s="1" t="s">
        <v>25</v>
      </c>
      <c r="G312" s="1" t="s">
        <v>18</v>
      </c>
      <c r="H312" s="1">
        <v>18017</v>
      </c>
      <c r="I312" s="1" t="s">
        <v>33</v>
      </c>
      <c r="J312" s="1">
        <v>0.3</v>
      </c>
      <c r="K312" s="1">
        <v>17000</v>
      </c>
      <c r="L312" s="2">
        <v>45342</v>
      </c>
      <c r="M312" s="10" t="str">
        <f t="shared" si="4"/>
        <v>Target Achieved</v>
      </c>
    </row>
    <row r="313" spans="1:13" x14ac:dyDescent="0.35">
      <c r="A313" s="1" t="s">
        <v>510</v>
      </c>
      <c r="B313" s="1" t="s">
        <v>118</v>
      </c>
      <c r="C313" s="1" t="s">
        <v>44</v>
      </c>
      <c r="D313" s="1" t="s">
        <v>45</v>
      </c>
      <c r="E313" s="1" t="s">
        <v>32</v>
      </c>
      <c r="F313" s="1" t="s">
        <v>39</v>
      </c>
      <c r="G313" s="1" t="s">
        <v>26</v>
      </c>
      <c r="H313" s="1">
        <v>14674</v>
      </c>
      <c r="I313" s="1"/>
      <c r="J313" s="1"/>
      <c r="K313" s="1">
        <v>13000</v>
      </c>
      <c r="L313" s="2">
        <v>45344</v>
      </c>
      <c r="M313" s="10" t="str">
        <f t="shared" si="4"/>
        <v>Target Achieved</v>
      </c>
    </row>
    <row r="314" spans="1:13" x14ac:dyDescent="0.35">
      <c r="A314" s="1" t="s">
        <v>511</v>
      </c>
      <c r="B314" s="1" t="s">
        <v>512</v>
      </c>
      <c r="C314" s="1" t="s">
        <v>30</v>
      </c>
      <c r="D314" s="1" t="s">
        <v>31</v>
      </c>
      <c r="E314" s="1" t="s">
        <v>32</v>
      </c>
      <c r="F314" s="1" t="s">
        <v>17</v>
      </c>
      <c r="G314" s="1" t="s">
        <v>26</v>
      </c>
      <c r="H314" s="1">
        <v>15390</v>
      </c>
      <c r="I314" s="1" t="s">
        <v>19</v>
      </c>
      <c r="J314" s="1">
        <v>0.2</v>
      </c>
      <c r="K314" s="1">
        <v>17000</v>
      </c>
      <c r="L314" s="2">
        <v>45300</v>
      </c>
      <c r="M314" s="10" t="str">
        <f t="shared" si="4"/>
        <v>Below Target</v>
      </c>
    </row>
    <row r="315" spans="1:13" x14ac:dyDescent="0.35">
      <c r="A315" s="1" t="s">
        <v>513</v>
      </c>
      <c r="B315" s="1" t="s">
        <v>188</v>
      </c>
      <c r="C315" s="1" t="s">
        <v>44</v>
      </c>
      <c r="D315" s="1" t="s">
        <v>45</v>
      </c>
      <c r="E315" s="1" t="s">
        <v>32</v>
      </c>
      <c r="F315" s="1" t="s">
        <v>17</v>
      </c>
      <c r="G315" s="1" t="s">
        <v>36</v>
      </c>
      <c r="H315" s="1">
        <v>11964</v>
      </c>
      <c r="I315" s="1"/>
      <c r="J315" s="1"/>
      <c r="K315" s="1">
        <v>13000</v>
      </c>
      <c r="L315" s="2">
        <v>45340</v>
      </c>
      <c r="M315" s="10" t="str">
        <f t="shared" si="4"/>
        <v>Below Target</v>
      </c>
    </row>
    <row r="316" spans="1:13" x14ac:dyDescent="0.35">
      <c r="A316" s="1" t="s">
        <v>514</v>
      </c>
      <c r="B316" s="1" t="s">
        <v>131</v>
      </c>
      <c r="C316" s="1" t="s">
        <v>30</v>
      </c>
      <c r="D316" s="1" t="s">
        <v>31</v>
      </c>
      <c r="E316" s="1" t="s">
        <v>16</v>
      </c>
      <c r="F316" s="1" t="s">
        <v>39</v>
      </c>
      <c r="G316" s="1" t="s">
        <v>26</v>
      </c>
      <c r="H316" s="1">
        <v>15046</v>
      </c>
      <c r="I316" s="1" t="s">
        <v>33</v>
      </c>
      <c r="J316" s="1">
        <v>0.3</v>
      </c>
      <c r="K316" s="1">
        <v>17000</v>
      </c>
      <c r="L316" s="2">
        <v>45333</v>
      </c>
      <c r="M316" s="10" t="str">
        <f t="shared" si="4"/>
        <v>Below Target</v>
      </c>
    </row>
    <row r="317" spans="1:13" x14ac:dyDescent="0.35">
      <c r="A317" s="1" t="s">
        <v>515</v>
      </c>
      <c r="B317" s="1" t="s">
        <v>516</v>
      </c>
      <c r="C317" s="1" t="s">
        <v>44</v>
      </c>
      <c r="D317" s="1" t="s">
        <v>45</v>
      </c>
      <c r="E317" s="1" t="s">
        <v>32</v>
      </c>
      <c r="F317" s="1" t="s">
        <v>39</v>
      </c>
      <c r="G317" s="1" t="s">
        <v>18</v>
      </c>
      <c r="H317" s="1">
        <v>12906</v>
      </c>
      <c r="I317" s="1" t="s">
        <v>33</v>
      </c>
      <c r="J317" s="1">
        <v>0.3</v>
      </c>
      <c r="K317" s="1">
        <v>13000</v>
      </c>
      <c r="L317" s="2">
        <v>45302</v>
      </c>
      <c r="M317" s="10" t="str">
        <f t="shared" si="4"/>
        <v>Below Target</v>
      </c>
    </row>
    <row r="318" spans="1:13" x14ac:dyDescent="0.35">
      <c r="A318" s="1" t="s">
        <v>517</v>
      </c>
      <c r="B318" s="1" t="s">
        <v>274</v>
      </c>
      <c r="C318" s="1" t="s">
        <v>30</v>
      </c>
      <c r="D318" s="1" t="s">
        <v>31</v>
      </c>
      <c r="E318" s="1" t="s">
        <v>16</v>
      </c>
      <c r="F318" s="1" t="s">
        <v>25</v>
      </c>
      <c r="G318" s="1" t="s">
        <v>26</v>
      </c>
      <c r="H318" s="1">
        <v>18752</v>
      </c>
      <c r="I318" s="1" t="s">
        <v>33</v>
      </c>
      <c r="J318" s="1">
        <v>0.3</v>
      </c>
      <c r="K318" s="1">
        <v>17000</v>
      </c>
      <c r="L318" s="2">
        <v>45315</v>
      </c>
      <c r="M318" s="10" t="str">
        <f t="shared" si="4"/>
        <v>Target Achieved</v>
      </c>
    </row>
    <row r="319" spans="1:13" x14ac:dyDescent="0.35">
      <c r="A319" s="1" t="s">
        <v>518</v>
      </c>
      <c r="B319" s="1" t="s">
        <v>519</v>
      </c>
      <c r="C319" s="1" t="s">
        <v>44</v>
      </c>
      <c r="D319" s="1" t="s">
        <v>45</v>
      </c>
      <c r="E319" s="1" t="s">
        <v>32</v>
      </c>
      <c r="F319" s="1" t="s">
        <v>17</v>
      </c>
      <c r="G319" s="1" t="s">
        <v>18</v>
      </c>
      <c r="H319" s="1">
        <v>12863</v>
      </c>
      <c r="I319" s="1" t="s">
        <v>27</v>
      </c>
      <c r="J319" s="1"/>
      <c r="K319" s="1">
        <v>13000</v>
      </c>
      <c r="L319" s="2">
        <v>45315</v>
      </c>
      <c r="M319" s="10" t="str">
        <f t="shared" si="4"/>
        <v>Below Target</v>
      </c>
    </row>
    <row r="320" spans="1:13" x14ac:dyDescent="0.35">
      <c r="A320" s="1" t="s">
        <v>520</v>
      </c>
      <c r="B320" s="1" t="s">
        <v>101</v>
      </c>
      <c r="C320" s="1" t="s">
        <v>61</v>
      </c>
      <c r="D320" s="1" t="s">
        <v>62</v>
      </c>
      <c r="E320" s="1" t="s">
        <v>16</v>
      </c>
      <c r="F320" s="1" t="s">
        <v>39</v>
      </c>
      <c r="G320" s="1" t="s">
        <v>18</v>
      </c>
      <c r="H320" s="1">
        <v>10120</v>
      </c>
      <c r="I320" s="1" t="s">
        <v>19</v>
      </c>
      <c r="J320" s="1">
        <v>0.2</v>
      </c>
      <c r="K320" s="1">
        <v>9000</v>
      </c>
      <c r="L320" s="2">
        <v>45335</v>
      </c>
      <c r="M320" s="10" t="str">
        <f t="shared" si="4"/>
        <v>Target Achieved</v>
      </c>
    </row>
    <row r="321" spans="1:13" x14ac:dyDescent="0.35">
      <c r="A321" s="1" t="s">
        <v>521</v>
      </c>
      <c r="B321" s="1" t="s">
        <v>522</v>
      </c>
      <c r="C321" s="1" t="s">
        <v>14</v>
      </c>
      <c r="D321" s="1" t="s">
        <v>15</v>
      </c>
      <c r="E321" s="1" t="s">
        <v>16</v>
      </c>
      <c r="F321" s="1" t="s">
        <v>17</v>
      </c>
      <c r="G321" s="1" t="s">
        <v>26</v>
      </c>
      <c r="H321" s="1">
        <v>14882</v>
      </c>
      <c r="I321" s="1" t="s">
        <v>33</v>
      </c>
      <c r="J321" s="1">
        <v>0.3</v>
      </c>
      <c r="K321" s="1">
        <v>14000</v>
      </c>
      <c r="L321" s="2">
        <v>45296</v>
      </c>
      <c r="M321" s="10" t="str">
        <f t="shared" si="4"/>
        <v>Target Achieved</v>
      </c>
    </row>
    <row r="322" spans="1:13" x14ac:dyDescent="0.35">
      <c r="A322" s="1" t="s">
        <v>523</v>
      </c>
      <c r="B322" s="1" t="s">
        <v>60</v>
      </c>
      <c r="C322" s="1" t="s">
        <v>14</v>
      </c>
      <c r="D322" s="1" t="s">
        <v>15</v>
      </c>
      <c r="E322" s="1" t="s">
        <v>32</v>
      </c>
      <c r="F322" s="1" t="s">
        <v>39</v>
      </c>
      <c r="G322" s="1" t="s">
        <v>26</v>
      </c>
      <c r="H322" s="1">
        <v>12828</v>
      </c>
      <c r="I322" s="1" t="s">
        <v>27</v>
      </c>
      <c r="J322" s="1"/>
      <c r="K322" s="1">
        <v>14000</v>
      </c>
      <c r="L322" s="2">
        <v>45326</v>
      </c>
      <c r="M322" s="10" t="str">
        <f t="shared" si="4"/>
        <v>Below Target</v>
      </c>
    </row>
    <row r="323" spans="1:13" x14ac:dyDescent="0.35">
      <c r="A323" s="1" t="s">
        <v>524</v>
      </c>
      <c r="B323" s="1" t="s">
        <v>175</v>
      </c>
      <c r="C323" s="1" t="s">
        <v>30</v>
      </c>
      <c r="D323" s="1" t="s">
        <v>31</v>
      </c>
      <c r="E323" s="1" t="s">
        <v>16</v>
      </c>
      <c r="F323" s="1" t="s">
        <v>17</v>
      </c>
      <c r="G323" s="1" t="s">
        <v>18</v>
      </c>
      <c r="H323" s="1">
        <v>17786</v>
      </c>
      <c r="I323" s="1" t="s">
        <v>19</v>
      </c>
      <c r="J323" s="1">
        <v>0.2</v>
      </c>
      <c r="K323" s="1">
        <v>17000</v>
      </c>
      <c r="L323" s="2">
        <v>45337</v>
      </c>
      <c r="M323" s="10" t="str">
        <f t="shared" ref="M323:M386" si="5">IF(H323&gt;=K323,"Target Achieved","Below Target")</f>
        <v>Target Achieved</v>
      </c>
    </row>
    <row r="324" spans="1:13" x14ac:dyDescent="0.35">
      <c r="A324" s="1" t="s">
        <v>525</v>
      </c>
      <c r="B324" s="1" t="s">
        <v>356</v>
      </c>
      <c r="C324" s="1" t="s">
        <v>14</v>
      </c>
      <c r="D324" s="1" t="s">
        <v>15</v>
      </c>
      <c r="E324" s="1" t="s">
        <v>16</v>
      </c>
      <c r="F324" s="1" t="s">
        <v>17</v>
      </c>
      <c r="G324" s="1" t="s">
        <v>18</v>
      </c>
      <c r="H324" s="1">
        <v>13857</v>
      </c>
      <c r="I324" s="1" t="s">
        <v>19</v>
      </c>
      <c r="J324" s="1">
        <v>0.2</v>
      </c>
      <c r="K324" s="1">
        <v>14000</v>
      </c>
      <c r="L324" s="2">
        <v>45324</v>
      </c>
      <c r="M324" s="10" t="str">
        <f t="shared" si="5"/>
        <v>Below Target</v>
      </c>
    </row>
    <row r="325" spans="1:13" x14ac:dyDescent="0.35">
      <c r="A325" s="1" t="s">
        <v>526</v>
      </c>
      <c r="B325" s="1" t="s">
        <v>527</v>
      </c>
      <c r="C325" s="1" t="s">
        <v>14</v>
      </c>
      <c r="D325" s="1" t="s">
        <v>15</v>
      </c>
      <c r="E325" s="1" t="s">
        <v>16</v>
      </c>
      <c r="F325" s="1" t="s">
        <v>17</v>
      </c>
      <c r="G325" s="1" t="s">
        <v>26</v>
      </c>
      <c r="H325" s="1">
        <v>15305</v>
      </c>
      <c r="I325" s="1" t="s">
        <v>33</v>
      </c>
      <c r="J325" s="1">
        <v>0.3</v>
      </c>
      <c r="K325" s="1">
        <v>14000</v>
      </c>
      <c r="L325" s="2">
        <v>45338</v>
      </c>
      <c r="M325" s="10" t="str">
        <f t="shared" si="5"/>
        <v>Target Achieved</v>
      </c>
    </row>
    <row r="326" spans="1:13" x14ac:dyDescent="0.35">
      <c r="A326" s="1" t="s">
        <v>528</v>
      </c>
      <c r="B326" s="1" t="s">
        <v>406</v>
      </c>
      <c r="C326" s="1" t="s">
        <v>30</v>
      </c>
      <c r="D326" s="1" t="s">
        <v>31</v>
      </c>
      <c r="E326" s="1" t="s">
        <v>32</v>
      </c>
      <c r="F326" s="1" t="s">
        <v>39</v>
      </c>
      <c r="G326" s="1" t="s">
        <v>18</v>
      </c>
      <c r="H326" s="1">
        <v>17368</v>
      </c>
      <c r="I326" s="1" t="s">
        <v>22</v>
      </c>
      <c r="J326" s="1">
        <v>0.1</v>
      </c>
      <c r="K326" s="1">
        <v>17000</v>
      </c>
      <c r="L326" s="2">
        <v>45294</v>
      </c>
      <c r="M326" s="10" t="str">
        <f t="shared" si="5"/>
        <v>Target Achieved</v>
      </c>
    </row>
    <row r="327" spans="1:13" x14ac:dyDescent="0.35">
      <c r="A327" s="1" t="s">
        <v>529</v>
      </c>
      <c r="B327" s="1" t="s">
        <v>474</v>
      </c>
      <c r="C327" s="1" t="s">
        <v>14</v>
      </c>
      <c r="D327" s="1" t="s">
        <v>15</v>
      </c>
      <c r="E327" s="1" t="s">
        <v>16</v>
      </c>
      <c r="F327" s="1" t="s">
        <v>25</v>
      </c>
      <c r="G327" s="1" t="s">
        <v>18</v>
      </c>
      <c r="H327" s="1">
        <v>15824</v>
      </c>
      <c r="I327" s="1"/>
      <c r="J327" s="1"/>
      <c r="K327" s="1">
        <v>14000</v>
      </c>
      <c r="L327" s="2">
        <v>45294</v>
      </c>
      <c r="M327" s="10" t="str">
        <f t="shared" si="5"/>
        <v>Target Achieved</v>
      </c>
    </row>
    <row r="328" spans="1:13" x14ac:dyDescent="0.35">
      <c r="A328" s="1" t="s">
        <v>530</v>
      </c>
      <c r="B328" s="1" t="s">
        <v>70</v>
      </c>
      <c r="C328" s="1" t="s">
        <v>44</v>
      </c>
      <c r="D328" s="1" t="s">
        <v>45</v>
      </c>
      <c r="E328" s="1" t="s">
        <v>32</v>
      </c>
      <c r="F328" s="1" t="s">
        <v>39</v>
      </c>
      <c r="G328" s="1" t="s">
        <v>26</v>
      </c>
      <c r="H328" s="1">
        <v>13645</v>
      </c>
      <c r="I328" s="1"/>
      <c r="J328" s="1"/>
      <c r="K328" s="1">
        <v>13000</v>
      </c>
      <c r="L328" s="2">
        <v>45315</v>
      </c>
      <c r="M328" s="10" t="str">
        <f t="shared" si="5"/>
        <v>Target Achieved</v>
      </c>
    </row>
    <row r="329" spans="1:13" x14ac:dyDescent="0.35">
      <c r="A329" s="1" t="s">
        <v>531</v>
      </c>
      <c r="B329" s="1" t="s">
        <v>137</v>
      </c>
      <c r="C329" s="1" t="s">
        <v>61</v>
      </c>
      <c r="D329" s="1" t="s">
        <v>62</v>
      </c>
      <c r="E329" s="1" t="s">
        <v>46</v>
      </c>
      <c r="F329" s="1" t="s">
        <v>17</v>
      </c>
      <c r="G329" s="1" t="s">
        <v>18</v>
      </c>
      <c r="H329" s="1">
        <v>9796</v>
      </c>
      <c r="I329" s="1" t="s">
        <v>27</v>
      </c>
      <c r="J329" s="1"/>
      <c r="K329" s="1">
        <v>9000</v>
      </c>
      <c r="L329" s="2">
        <v>45300</v>
      </c>
      <c r="M329" s="10" t="str">
        <f t="shared" si="5"/>
        <v>Target Achieved</v>
      </c>
    </row>
    <row r="330" spans="1:13" x14ac:dyDescent="0.35">
      <c r="A330" s="1" t="s">
        <v>532</v>
      </c>
      <c r="B330" s="1" t="s">
        <v>204</v>
      </c>
      <c r="C330" s="1" t="s">
        <v>30</v>
      </c>
      <c r="D330" s="1" t="s">
        <v>31</v>
      </c>
      <c r="E330" s="1" t="s">
        <v>32</v>
      </c>
      <c r="F330" s="1" t="s">
        <v>25</v>
      </c>
      <c r="G330" s="1" t="s">
        <v>26</v>
      </c>
      <c r="H330" s="1">
        <v>16609</v>
      </c>
      <c r="I330" s="1" t="s">
        <v>27</v>
      </c>
      <c r="J330" s="1"/>
      <c r="K330" s="1">
        <v>17000</v>
      </c>
      <c r="L330" s="2">
        <v>45300</v>
      </c>
      <c r="M330" s="10" t="str">
        <f t="shared" si="5"/>
        <v>Below Target</v>
      </c>
    </row>
    <row r="331" spans="1:13" x14ac:dyDescent="0.35">
      <c r="A331" s="1" t="s">
        <v>533</v>
      </c>
      <c r="B331" s="1" t="s">
        <v>397</v>
      </c>
      <c r="C331" s="1" t="s">
        <v>14</v>
      </c>
      <c r="D331" s="1" t="s">
        <v>15</v>
      </c>
      <c r="E331" s="1" t="s">
        <v>32</v>
      </c>
      <c r="F331" s="1" t="s">
        <v>17</v>
      </c>
      <c r="G331" s="1" t="s">
        <v>36</v>
      </c>
      <c r="H331" s="1">
        <v>14758</v>
      </c>
      <c r="I331" s="1" t="s">
        <v>27</v>
      </c>
      <c r="J331" s="1"/>
      <c r="K331" s="1">
        <v>14000</v>
      </c>
      <c r="L331" s="2">
        <v>45319</v>
      </c>
      <c r="M331" s="10" t="str">
        <f t="shared" si="5"/>
        <v>Target Achieved</v>
      </c>
    </row>
    <row r="332" spans="1:13" x14ac:dyDescent="0.35">
      <c r="A332" s="1" t="s">
        <v>534</v>
      </c>
      <c r="B332" s="1" t="s">
        <v>388</v>
      </c>
      <c r="C332" s="1" t="s">
        <v>44</v>
      </c>
      <c r="D332" s="1" t="s">
        <v>45</v>
      </c>
      <c r="E332" s="1" t="s">
        <v>32</v>
      </c>
      <c r="F332" s="1" t="s">
        <v>17</v>
      </c>
      <c r="G332" s="1" t="s">
        <v>36</v>
      </c>
      <c r="H332" s="1">
        <v>11635</v>
      </c>
      <c r="I332" s="1" t="s">
        <v>33</v>
      </c>
      <c r="J332" s="1">
        <v>0.3</v>
      </c>
      <c r="K332" s="1">
        <v>13000</v>
      </c>
      <c r="L332" s="2">
        <v>45304</v>
      </c>
      <c r="M332" s="10" t="str">
        <f t="shared" si="5"/>
        <v>Below Target</v>
      </c>
    </row>
    <row r="333" spans="1:13" x14ac:dyDescent="0.35">
      <c r="A333" s="1" t="s">
        <v>535</v>
      </c>
      <c r="B333" s="1" t="s">
        <v>260</v>
      </c>
      <c r="C333" s="1" t="s">
        <v>14</v>
      </c>
      <c r="D333" s="1" t="s">
        <v>15</v>
      </c>
      <c r="E333" s="1" t="s">
        <v>32</v>
      </c>
      <c r="F333" s="1" t="s">
        <v>39</v>
      </c>
      <c r="G333" s="1" t="s">
        <v>36</v>
      </c>
      <c r="H333" s="1">
        <v>14518</v>
      </c>
      <c r="I333" s="1" t="s">
        <v>22</v>
      </c>
      <c r="J333" s="1">
        <v>0.1</v>
      </c>
      <c r="K333" s="1">
        <v>14000</v>
      </c>
      <c r="L333" s="2">
        <v>45307</v>
      </c>
      <c r="M333" s="10" t="str">
        <f t="shared" si="5"/>
        <v>Target Achieved</v>
      </c>
    </row>
    <row r="334" spans="1:13" x14ac:dyDescent="0.35">
      <c r="A334" s="1" t="s">
        <v>536</v>
      </c>
      <c r="B334" s="1" t="s">
        <v>229</v>
      </c>
      <c r="C334" s="1" t="s">
        <v>14</v>
      </c>
      <c r="D334" s="1" t="s">
        <v>15</v>
      </c>
      <c r="E334" s="1" t="s">
        <v>16</v>
      </c>
      <c r="F334" s="1" t="s">
        <v>25</v>
      </c>
      <c r="G334" s="1" t="s">
        <v>36</v>
      </c>
      <c r="H334" s="1">
        <v>14448</v>
      </c>
      <c r="I334" s="1" t="s">
        <v>22</v>
      </c>
      <c r="J334" s="1">
        <v>0.1</v>
      </c>
      <c r="K334" s="1">
        <v>14000</v>
      </c>
      <c r="L334" s="2">
        <v>45307</v>
      </c>
      <c r="M334" s="10" t="str">
        <f t="shared" si="5"/>
        <v>Target Achieved</v>
      </c>
    </row>
    <row r="335" spans="1:13" x14ac:dyDescent="0.35">
      <c r="A335" s="1" t="s">
        <v>537</v>
      </c>
      <c r="B335" s="1" t="s">
        <v>464</v>
      </c>
      <c r="C335" s="1" t="s">
        <v>61</v>
      </c>
      <c r="D335" s="1" t="s">
        <v>62</v>
      </c>
      <c r="E335" s="1" t="s">
        <v>46</v>
      </c>
      <c r="F335" s="1" t="s">
        <v>25</v>
      </c>
      <c r="G335" s="1" t="s">
        <v>26</v>
      </c>
      <c r="H335" s="1">
        <v>7889</v>
      </c>
      <c r="I335" s="1" t="s">
        <v>22</v>
      </c>
      <c r="J335" s="1">
        <v>0.1</v>
      </c>
      <c r="K335" s="1">
        <v>9000</v>
      </c>
      <c r="L335" s="2">
        <v>45300</v>
      </c>
      <c r="M335" s="10" t="str">
        <f t="shared" si="5"/>
        <v>Below Target</v>
      </c>
    </row>
    <row r="336" spans="1:13" x14ac:dyDescent="0.35">
      <c r="A336" s="1" t="s">
        <v>538</v>
      </c>
      <c r="B336" s="1" t="s">
        <v>448</v>
      </c>
      <c r="C336" s="1" t="s">
        <v>44</v>
      </c>
      <c r="D336" s="1" t="s">
        <v>45</v>
      </c>
      <c r="E336" s="1" t="s">
        <v>16</v>
      </c>
      <c r="F336" s="1" t="s">
        <v>39</v>
      </c>
      <c r="G336" s="1" t="s">
        <v>36</v>
      </c>
      <c r="H336" s="1">
        <v>13365</v>
      </c>
      <c r="I336" s="1" t="s">
        <v>27</v>
      </c>
      <c r="J336" s="1"/>
      <c r="K336" s="1">
        <v>13000</v>
      </c>
      <c r="L336" s="2">
        <v>45341</v>
      </c>
      <c r="M336" s="10" t="str">
        <f t="shared" si="5"/>
        <v>Target Achieved</v>
      </c>
    </row>
    <row r="337" spans="1:13" x14ac:dyDescent="0.35">
      <c r="A337" s="1" t="s">
        <v>539</v>
      </c>
      <c r="B337" s="1" t="s">
        <v>204</v>
      </c>
      <c r="C337" s="1" t="s">
        <v>30</v>
      </c>
      <c r="D337" s="1" t="s">
        <v>31</v>
      </c>
      <c r="E337" s="1" t="s">
        <v>32</v>
      </c>
      <c r="F337" s="1" t="s">
        <v>17</v>
      </c>
      <c r="G337" s="1" t="s">
        <v>18</v>
      </c>
      <c r="H337" s="1">
        <v>17704</v>
      </c>
      <c r="I337" s="1" t="s">
        <v>27</v>
      </c>
      <c r="J337" s="1"/>
      <c r="K337" s="1">
        <v>17000</v>
      </c>
      <c r="L337" s="2">
        <v>45306</v>
      </c>
      <c r="M337" s="10" t="str">
        <f t="shared" si="5"/>
        <v>Target Achieved</v>
      </c>
    </row>
    <row r="338" spans="1:13" x14ac:dyDescent="0.35">
      <c r="A338" s="1" t="s">
        <v>540</v>
      </c>
      <c r="B338" s="1" t="s">
        <v>435</v>
      </c>
      <c r="C338" s="1" t="s">
        <v>30</v>
      </c>
      <c r="D338" s="1" t="s">
        <v>31</v>
      </c>
      <c r="E338" s="1" t="s">
        <v>32</v>
      </c>
      <c r="F338" s="1" t="s">
        <v>39</v>
      </c>
      <c r="G338" s="1" t="s">
        <v>26</v>
      </c>
      <c r="H338" s="1">
        <v>18603</v>
      </c>
      <c r="I338" s="1" t="s">
        <v>19</v>
      </c>
      <c r="J338" s="1">
        <v>0.2</v>
      </c>
      <c r="K338" s="1">
        <v>17000</v>
      </c>
      <c r="L338" s="2">
        <v>45332</v>
      </c>
      <c r="M338" s="10" t="str">
        <f t="shared" si="5"/>
        <v>Target Achieved</v>
      </c>
    </row>
    <row r="339" spans="1:13" x14ac:dyDescent="0.35">
      <c r="A339" s="1" t="s">
        <v>541</v>
      </c>
      <c r="B339" s="1" t="s">
        <v>90</v>
      </c>
      <c r="C339" s="1" t="s">
        <v>61</v>
      </c>
      <c r="D339" s="1" t="s">
        <v>62</v>
      </c>
      <c r="E339" s="1" t="s">
        <v>32</v>
      </c>
      <c r="F339" s="1" t="s">
        <v>17</v>
      </c>
      <c r="G339" s="1" t="s">
        <v>26</v>
      </c>
      <c r="H339" s="1">
        <v>9749</v>
      </c>
      <c r="I339" s="1"/>
      <c r="J339" s="1"/>
      <c r="K339" s="1">
        <v>9000</v>
      </c>
      <c r="L339" s="2">
        <v>45342</v>
      </c>
      <c r="M339" s="10" t="str">
        <f t="shared" si="5"/>
        <v>Target Achieved</v>
      </c>
    </row>
    <row r="340" spans="1:13" x14ac:dyDescent="0.35">
      <c r="A340" s="1" t="s">
        <v>542</v>
      </c>
      <c r="B340" s="1" t="s">
        <v>217</v>
      </c>
      <c r="C340" s="1" t="s">
        <v>61</v>
      </c>
      <c r="D340" s="1" t="s">
        <v>62</v>
      </c>
      <c r="E340" s="1" t="s">
        <v>46</v>
      </c>
      <c r="F340" s="1" t="s">
        <v>25</v>
      </c>
      <c r="G340" s="1" t="s">
        <v>36</v>
      </c>
      <c r="H340" s="1">
        <v>8541</v>
      </c>
      <c r="I340" s="1" t="s">
        <v>19</v>
      </c>
      <c r="J340" s="1">
        <v>0.2</v>
      </c>
      <c r="K340" s="1">
        <v>9000</v>
      </c>
      <c r="L340" s="2">
        <v>45340</v>
      </c>
      <c r="M340" s="10" t="str">
        <f t="shared" si="5"/>
        <v>Below Target</v>
      </c>
    </row>
    <row r="341" spans="1:13" x14ac:dyDescent="0.35">
      <c r="A341" s="1" t="s">
        <v>543</v>
      </c>
      <c r="B341" s="1" t="s">
        <v>544</v>
      </c>
      <c r="C341" s="1" t="s">
        <v>44</v>
      </c>
      <c r="D341" s="1" t="s">
        <v>45</v>
      </c>
      <c r="E341" s="1" t="s">
        <v>32</v>
      </c>
      <c r="F341" s="1" t="s">
        <v>17</v>
      </c>
      <c r="G341" s="1" t="s">
        <v>26</v>
      </c>
      <c r="H341" s="1">
        <v>11591</v>
      </c>
      <c r="I341" s="1"/>
      <c r="J341" s="1"/>
      <c r="K341" s="1">
        <v>13000</v>
      </c>
      <c r="L341" s="2">
        <v>45350</v>
      </c>
      <c r="M341" s="10" t="str">
        <f t="shared" si="5"/>
        <v>Below Target</v>
      </c>
    </row>
    <row r="342" spans="1:13" x14ac:dyDescent="0.35">
      <c r="A342" s="1" t="s">
        <v>545</v>
      </c>
      <c r="B342" s="1" t="s">
        <v>166</v>
      </c>
      <c r="C342" s="1" t="s">
        <v>61</v>
      </c>
      <c r="D342" s="1" t="s">
        <v>62</v>
      </c>
      <c r="E342" s="1" t="s">
        <v>46</v>
      </c>
      <c r="F342" s="1" t="s">
        <v>39</v>
      </c>
      <c r="G342" s="1" t="s">
        <v>26</v>
      </c>
      <c r="H342" s="1">
        <v>7549</v>
      </c>
      <c r="I342" s="1"/>
      <c r="J342" s="1"/>
      <c r="K342" s="1">
        <v>9000</v>
      </c>
      <c r="L342" s="2">
        <v>45307</v>
      </c>
      <c r="M342" s="10" t="str">
        <f t="shared" si="5"/>
        <v>Below Target</v>
      </c>
    </row>
    <row r="343" spans="1:13" x14ac:dyDescent="0.35">
      <c r="A343" s="1" t="s">
        <v>546</v>
      </c>
      <c r="B343" s="1" t="s">
        <v>289</v>
      </c>
      <c r="C343" s="1" t="s">
        <v>30</v>
      </c>
      <c r="D343" s="1" t="s">
        <v>31</v>
      </c>
      <c r="E343" s="1" t="s">
        <v>16</v>
      </c>
      <c r="F343" s="1" t="s">
        <v>25</v>
      </c>
      <c r="G343" s="1" t="s">
        <v>36</v>
      </c>
      <c r="H343" s="1">
        <v>18469</v>
      </c>
      <c r="I343" s="1" t="s">
        <v>33</v>
      </c>
      <c r="J343" s="1">
        <v>0.3</v>
      </c>
      <c r="K343" s="1">
        <v>17000</v>
      </c>
      <c r="L343" s="2">
        <v>45297</v>
      </c>
      <c r="M343" s="10" t="str">
        <f t="shared" si="5"/>
        <v>Target Achieved</v>
      </c>
    </row>
    <row r="344" spans="1:13" x14ac:dyDescent="0.35">
      <c r="A344" s="1" t="s">
        <v>547</v>
      </c>
      <c r="B344" s="1" t="s">
        <v>548</v>
      </c>
      <c r="C344" s="1" t="s">
        <v>44</v>
      </c>
      <c r="D344" s="1" t="s">
        <v>45</v>
      </c>
      <c r="E344" s="1" t="s">
        <v>32</v>
      </c>
      <c r="F344" s="1" t="s">
        <v>17</v>
      </c>
      <c r="G344" s="1" t="s">
        <v>36</v>
      </c>
      <c r="H344" s="1">
        <v>13759</v>
      </c>
      <c r="I344" s="1" t="s">
        <v>27</v>
      </c>
      <c r="J344" s="1"/>
      <c r="K344" s="1">
        <v>13000</v>
      </c>
      <c r="L344" s="2">
        <v>45330</v>
      </c>
      <c r="M344" s="10" t="str">
        <f t="shared" si="5"/>
        <v>Target Achieved</v>
      </c>
    </row>
    <row r="345" spans="1:13" x14ac:dyDescent="0.35">
      <c r="A345" s="1" t="s">
        <v>549</v>
      </c>
      <c r="B345" s="1" t="s">
        <v>129</v>
      </c>
      <c r="C345" s="1" t="s">
        <v>14</v>
      </c>
      <c r="D345" s="1" t="s">
        <v>15</v>
      </c>
      <c r="E345" s="1" t="s">
        <v>32</v>
      </c>
      <c r="F345" s="1" t="s">
        <v>39</v>
      </c>
      <c r="G345" s="1" t="s">
        <v>26</v>
      </c>
      <c r="H345" s="1">
        <v>14750</v>
      </c>
      <c r="I345" s="1" t="s">
        <v>27</v>
      </c>
      <c r="J345" s="1"/>
      <c r="K345" s="1">
        <v>14000</v>
      </c>
      <c r="L345" s="2">
        <v>45305</v>
      </c>
      <c r="M345" s="10" t="str">
        <f t="shared" si="5"/>
        <v>Target Achieved</v>
      </c>
    </row>
    <row r="346" spans="1:13" x14ac:dyDescent="0.35">
      <c r="A346" s="1" t="s">
        <v>550</v>
      </c>
      <c r="B346" s="1" t="s">
        <v>211</v>
      </c>
      <c r="C346" s="1" t="s">
        <v>30</v>
      </c>
      <c r="D346" s="1" t="s">
        <v>31</v>
      </c>
      <c r="E346" s="1" t="s">
        <v>46</v>
      </c>
      <c r="F346" s="1" t="s">
        <v>25</v>
      </c>
      <c r="G346" s="1" t="s">
        <v>18</v>
      </c>
      <c r="H346" s="1">
        <v>18838</v>
      </c>
      <c r="I346" s="1" t="s">
        <v>19</v>
      </c>
      <c r="J346" s="1">
        <v>0.2</v>
      </c>
      <c r="K346" s="1">
        <v>17000</v>
      </c>
      <c r="L346" s="2">
        <v>45339</v>
      </c>
      <c r="M346" s="10" t="str">
        <f t="shared" si="5"/>
        <v>Target Achieved</v>
      </c>
    </row>
    <row r="347" spans="1:13" x14ac:dyDescent="0.35">
      <c r="A347" s="1" t="s">
        <v>551</v>
      </c>
      <c r="B347" s="1" t="s">
        <v>173</v>
      </c>
      <c r="C347" s="1" t="s">
        <v>61</v>
      </c>
      <c r="D347" s="1" t="s">
        <v>62</v>
      </c>
      <c r="E347" s="1" t="s">
        <v>32</v>
      </c>
      <c r="F347" s="1" t="s">
        <v>39</v>
      </c>
      <c r="G347" s="1" t="s">
        <v>26</v>
      </c>
      <c r="H347" s="1">
        <v>9882</v>
      </c>
      <c r="I347" s="1" t="s">
        <v>19</v>
      </c>
      <c r="J347" s="1">
        <v>0.2</v>
      </c>
      <c r="K347" s="1">
        <v>9000</v>
      </c>
      <c r="L347" s="2">
        <v>45317</v>
      </c>
      <c r="M347" s="10" t="str">
        <f t="shared" si="5"/>
        <v>Target Achieved</v>
      </c>
    </row>
    <row r="348" spans="1:13" x14ac:dyDescent="0.35">
      <c r="A348" s="1" t="s">
        <v>552</v>
      </c>
      <c r="B348" s="1" t="s">
        <v>553</v>
      </c>
      <c r="C348" s="1" t="s">
        <v>30</v>
      </c>
      <c r="D348" s="1" t="s">
        <v>31</v>
      </c>
      <c r="E348" s="1" t="s">
        <v>46</v>
      </c>
      <c r="F348" s="1" t="s">
        <v>17</v>
      </c>
      <c r="G348" s="1" t="s">
        <v>36</v>
      </c>
      <c r="H348" s="1">
        <v>17185</v>
      </c>
      <c r="I348" s="1" t="s">
        <v>33</v>
      </c>
      <c r="J348" s="1">
        <v>0.3</v>
      </c>
      <c r="K348" s="1">
        <v>17000</v>
      </c>
      <c r="L348" s="2">
        <v>45311</v>
      </c>
      <c r="M348" s="10" t="str">
        <f t="shared" si="5"/>
        <v>Target Achieved</v>
      </c>
    </row>
    <row r="349" spans="1:13" x14ac:dyDescent="0.35">
      <c r="A349" s="1" t="s">
        <v>554</v>
      </c>
      <c r="B349" s="1" t="s">
        <v>131</v>
      </c>
      <c r="C349" s="1" t="s">
        <v>61</v>
      </c>
      <c r="D349" s="1" t="s">
        <v>62</v>
      </c>
      <c r="E349" s="1" t="s">
        <v>46</v>
      </c>
      <c r="F349" s="1" t="s">
        <v>25</v>
      </c>
      <c r="G349" s="1" t="s">
        <v>26</v>
      </c>
      <c r="H349" s="1">
        <v>8923</v>
      </c>
      <c r="I349" s="1" t="s">
        <v>33</v>
      </c>
      <c r="J349" s="1">
        <v>0.3</v>
      </c>
      <c r="K349" s="1">
        <v>9000</v>
      </c>
      <c r="L349" s="2">
        <v>45350</v>
      </c>
      <c r="M349" s="10" t="str">
        <f t="shared" si="5"/>
        <v>Below Target</v>
      </c>
    </row>
    <row r="350" spans="1:13" x14ac:dyDescent="0.35">
      <c r="A350" s="1" t="s">
        <v>555</v>
      </c>
      <c r="B350" s="1" t="s">
        <v>391</v>
      </c>
      <c r="C350" s="1" t="s">
        <v>30</v>
      </c>
      <c r="D350" s="1" t="s">
        <v>31</v>
      </c>
      <c r="E350" s="1" t="s">
        <v>46</v>
      </c>
      <c r="F350" s="1" t="s">
        <v>25</v>
      </c>
      <c r="G350" s="1" t="s">
        <v>26</v>
      </c>
      <c r="H350" s="1">
        <v>18539</v>
      </c>
      <c r="I350" s="1" t="s">
        <v>19</v>
      </c>
      <c r="J350" s="1">
        <v>0.2</v>
      </c>
      <c r="K350" s="1">
        <v>17000</v>
      </c>
      <c r="L350" s="2">
        <v>45339</v>
      </c>
      <c r="M350" s="10" t="str">
        <f t="shared" si="5"/>
        <v>Target Achieved</v>
      </c>
    </row>
    <row r="351" spans="1:13" x14ac:dyDescent="0.35">
      <c r="A351" s="1" t="s">
        <v>556</v>
      </c>
      <c r="B351" s="1" t="s">
        <v>557</v>
      </c>
      <c r="C351" s="1" t="s">
        <v>30</v>
      </c>
      <c r="D351" s="1" t="s">
        <v>31</v>
      </c>
      <c r="E351" s="1" t="s">
        <v>16</v>
      </c>
      <c r="F351" s="1" t="s">
        <v>39</v>
      </c>
      <c r="G351" s="1" t="s">
        <v>26</v>
      </c>
      <c r="H351" s="1">
        <v>17949</v>
      </c>
      <c r="I351" s="1"/>
      <c r="J351" s="1"/>
      <c r="K351" s="1">
        <v>17000</v>
      </c>
      <c r="L351" s="2">
        <v>45310</v>
      </c>
      <c r="M351" s="10" t="str">
        <f t="shared" si="5"/>
        <v>Target Achieved</v>
      </c>
    </row>
    <row r="352" spans="1:13" x14ac:dyDescent="0.35">
      <c r="A352" s="1" t="s">
        <v>558</v>
      </c>
      <c r="B352" s="1" t="s">
        <v>35</v>
      </c>
      <c r="C352" s="1" t="s">
        <v>30</v>
      </c>
      <c r="D352" s="1" t="s">
        <v>31</v>
      </c>
      <c r="E352" s="1" t="s">
        <v>32</v>
      </c>
      <c r="F352" s="1" t="s">
        <v>17</v>
      </c>
      <c r="G352" s="1" t="s">
        <v>26</v>
      </c>
      <c r="H352" s="1">
        <v>18413</v>
      </c>
      <c r="I352" s="1" t="s">
        <v>19</v>
      </c>
      <c r="J352" s="1">
        <v>0.2</v>
      </c>
      <c r="K352" s="1">
        <v>17000</v>
      </c>
      <c r="L352" s="2">
        <v>45323</v>
      </c>
      <c r="M352" s="10" t="str">
        <f t="shared" si="5"/>
        <v>Target Achieved</v>
      </c>
    </row>
    <row r="353" spans="1:13" x14ac:dyDescent="0.35">
      <c r="A353" s="1" t="s">
        <v>559</v>
      </c>
      <c r="B353" s="1" t="s">
        <v>202</v>
      </c>
      <c r="C353" s="1" t="s">
        <v>30</v>
      </c>
      <c r="D353" s="1" t="s">
        <v>31</v>
      </c>
      <c r="E353" s="1" t="s">
        <v>46</v>
      </c>
      <c r="F353" s="1" t="s">
        <v>17</v>
      </c>
      <c r="G353" s="1" t="s">
        <v>26</v>
      </c>
      <c r="H353" s="1">
        <v>17628</v>
      </c>
      <c r="I353" s="1"/>
      <c r="J353" s="1"/>
      <c r="K353" s="1">
        <v>17000</v>
      </c>
      <c r="L353" s="2">
        <v>45321</v>
      </c>
      <c r="M353" s="10" t="str">
        <f t="shared" si="5"/>
        <v>Target Achieved</v>
      </c>
    </row>
    <row r="354" spans="1:13" x14ac:dyDescent="0.35">
      <c r="A354" s="1" t="s">
        <v>560</v>
      </c>
      <c r="B354" s="1" t="s">
        <v>280</v>
      </c>
      <c r="C354" s="1" t="s">
        <v>30</v>
      </c>
      <c r="D354" s="1" t="s">
        <v>31</v>
      </c>
      <c r="E354" s="1" t="s">
        <v>32</v>
      </c>
      <c r="F354" s="1" t="s">
        <v>25</v>
      </c>
      <c r="G354" s="1" t="s">
        <v>26</v>
      </c>
      <c r="H354" s="1">
        <v>17238</v>
      </c>
      <c r="I354" s="1"/>
      <c r="J354" s="1"/>
      <c r="K354" s="1">
        <v>17000</v>
      </c>
      <c r="L354" s="2">
        <v>45303</v>
      </c>
      <c r="M354" s="10" t="str">
        <f t="shared" si="5"/>
        <v>Target Achieved</v>
      </c>
    </row>
    <row r="355" spans="1:13" x14ac:dyDescent="0.35">
      <c r="A355" s="1" t="s">
        <v>561</v>
      </c>
      <c r="B355" s="1" t="s">
        <v>84</v>
      </c>
      <c r="C355" s="1" t="s">
        <v>14</v>
      </c>
      <c r="D355" s="1" t="s">
        <v>15</v>
      </c>
      <c r="E355" s="1" t="s">
        <v>16</v>
      </c>
      <c r="F355" s="1" t="s">
        <v>25</v>
      </c>
      <c r="G355" s="1" t="s">
        <v>18</v>
      </c>
      <c r="H355" s="1">
        <v>15871</v>
      </c>
      <c r="I355" s="1" t="s">
        <v>22</v>
      </c>
      <c r="J355" s="1">
        <v>0.1</v>
      </c>
      <c r="K355" s="1">
        <v>14000</v>
      </c>
      <c r="L355" s="2">
        <v>45340</v>
      </c>
      <c r="M355" s="10" t="str">
        <f t="shared" si="5"/>
        <v>Target Achieved</v>
      </c>
    </row>
    <row r="356" spans="1:13" x14ac:dyDescent="0.35">
      <c r="A356" s="1" t="s">
        <v>562</v>
      </c>
      <c r="B356" s="1" t="s">
        <v>406</v>
      </c>
      <c r="C356" s="1" t="s">
        <v>44</v>
      </c>
      <c r="D356" s="1" t="s">
        <v>45</v>
      </c>
      <c r="E356" s="1" t="s">
        <v>16</v>
      </c>
      <c r="F356" s="1" t="s">
        <v>25</v>
      </c>
      <c r="G356" s="1" t="s">
        <v>18</v>
      </c>
      <c r="H356" s="1">
        <v>13896</v>
      </c>
      <c r="I356" s="1" t="s">
        <v>19</v>
      </c>
      <c r="J356" s="1">
        <v>0.2</v>
      </c>
      <c r="K356" s="1">
        <v>13000</v>
      </c>
      <c r="L356" s="2">
        <v>45292</v>
      </c>
      <c r="M356" s="10" t="str">
        <f t="shared" si="5"/>
        <v>Target Achieved</v>
      </c>
    </row>
    <row r="357" spans="1:13" x14ac:dyDescent="0.35">
      <c r="A357" s="1" t="s">
        <v>563</v>
      </c>
      <c r="B357" s="1" t="s">
        <v>24</v>
      </c>
      <c r="C357" s="1" t="s">
        <v>61</v>
      </c>
      <c r="D357" s="1" t="s">
        <v>62</v>
      </c>
      <c r="E357" s="1" t="s">
        <v>46</v>
      </c>
      <c r="F357" s="1" t="s">
        <v>25</v>
      </c>
      <c r="G357" s="1" t="s">
        <v>26</v>
      </c>
      <c r="H357" s="1">
        <v>9612</v>
      </c>
      <c r="I357" s="1" t="s">
        <v>27</v>
      </c>
      <c r="J357" s="1"/>
      <c r="K357" s="1">
        <v>9000</v>
      </c>
      <c r="L357" s="2">
        <v>45350</v>
      </c>
      <c r="M357" s="10" t="str">
        <f t="shared" si="5"/>
        <v>Target Achieved</v>
      </c>
    </row>
    <row r="358" spans="1:13" x14ac:dyDescent="0.35">
      <c r="A358" s="1" t="s">
        <v>564</v>
      </c>
      <c r="B358" s="1" t="s">
        <v>332</v>
      </c>
      <c r="C358" s="1" t="s">
        <v>61</v>
      </c>
      <c r="D358" s="1" t="s">
        <v>62</v>
      </c>
      <c r="E358" s="1" t="s">
        <v>32</v>
      </c>
      <c r="F358" s="1" t="s">
        <v>25</v>
      </c>
      <c r="G358" s="1" t="s">
        <v>26</v>
      </c>
      <c r="H358" s="1">
        <v>9259</v>
      </c>
      <c r="I358" s="1"/>
      <c r="J358" s="1"/>
      <c r="K358" s="1">
        <v>9000</v>
      </c>
      <c r="L358" s="2">
        <v>45292</v>
      </c>
      <c r="M358" s="10" t="str">
        <f t="shared" si="5"/>
        <v>Target Achieved</v>
      </c>
    </row>
    <row r="359" spans="1:13" x14ac:dyDescent="0.35">
      <c r="A359" s="1" t="s">
        <v>565</v>
      </c>
      <c r="B359" s="1" t="s">
        <v>166</v>
      </c>
      <c r="C359" s="1" t="s">
        <v>30</v>
      </c>
      <c r="D359" s="1" t="s">
        <v>31</v>
      </c>
      <c r="E359" s="1" t="s">
        <v>16</v>
      </c>
      <c r="F359" s="1" t="s">
        <v>17</v>
      </c>
      <c r="G359" s="1" t="s">
        <v>18</v>
      </c>
      <c r="H359" s="1">
        <v>17057</v>
      </c>
      <c r="I359" s="1"/>
      <c r="J359" s="1"/>
      <c r="K359" s="1">
        <v>17000</v>
      </c>
      <c r="L359" s="2">
        <v>45343</v>
      </c>
      <c r="M359" s="10" t="str">
        <f t="shared" si="5"/>
        <v>Target Achieved</v>
      </c>
    </row>
    <row r="360" spans="1:13" x14ac:dyDescent="0.35">
      <c r="A360" s="1" t="s">
        <v>566</v>
      </c>
      <c r="B360" s="1" t="s">
        <v>120</v>
      </c>
      <c r="C360" s="1" t="s">
        <v>14</v>
      </c>
      <c r="D360" s="1" t="s">
        <v>15</v>
      </c>
      <c r="E360" s="1" t="s">
        <v>32</v>
      </c>
      <c r="F360" s="1" t="s">
        <v>39</v>
      </c>
      <c r="G360" s="1" t="s">
        <v>18</v>
      </c>
      <c r="H360" s="1">
        <v>12987</v>
      </c>
      <c r="I360" s="1" t="s">
        <v>19</v>
      </c>
      <c r="J360" s="1">
        <v>0.2</v>
      </c>
      <c r="K360" s="1">
        <v>14000</v>
      </c>
      <c r="L360" s="2">
        <v>45331</v>
      </c>
      <c r="M360" s="10" t="str">
        <f t="shared" si="5"/>
        <v>Below Target</v>
      </c>
    </row>
    <row r="361" spans="1:13" x14ac:dyDescent="0.35">
      <c r="A361" s="1" t="s">
        <v>567</v>
      </c>
      <c r="B361" s="1" t="s">
        <v>448</v>
      </c>
      <c r="C361" s="1" t="s">
        <v>30</v>
      </c>
      <c r="D361" s="1" t="s">
        <v>31</v>
      </c>
      <c r="E361" s="1" t="s">
        <v>46</v>
      </c>
      <c r="F361" s="1" t="s">
        <v>17</v>
      </c>
      <c r="G361" s="1" t="s">
        <v>18</v>
      </c>
      <c r="H361" s="1">
        <v>16528</v>
      </c>
      <c r="I361" s="1"/>
      <c r="J361" s="1"/>
      <c r="K361" s="1">
        <v>17000</v>
      </c>
      <c r="L361" s="2">
        <v>45321</v>
      </c>
      <c r="M361" s="10" t="str">
        <f t="shared" si="5"/>
        <v>Below Target</v>
      </c>
    </row>
    <row r="362" spans="1:13" x14ac:dyDescent="0.35">
      <c r="A362" s="1" t="s">
        <v>568</v>
      </c>
      <c r="B362" s="1" t="s">
        <v>519</v>
      </c>
      <c r="C362" s="1" t="s">
        <v>44</v>
      </c>
      <c r="D362" s="1" t="s">
        <v>45</v>
      </c>
      <c r="E362" s="1" t="s">
        <v>46</v>
      </c>
      <c r="F362" s="1" t="s">
        <v>39</v>
      </c>
      <c r="G362" s="1" t="s">
        <v>18</v>
      </c>
      <c r="H362" s="1">
        <v>13677</v>
      </c>
      <c r="I362" s="1" t="s">
        <v>22</v>
      </c>
      <c r="J362" s="1">
        <v>0.1</v>
      </c>
      <c r="K362" s="1">
        <v>13000</v>
      </c>
      <c r="L362" s="2">
        <v>45297</v>
      </c>
      <c r="M362" s="10" t="str">
        <f t="shared" si="5"/>
        <v>Target Achieved</v>
      </c>
    </row>
    <row r="363" spans="1:13" x14ac:dyDescent="0.35">
      <c r="A363" s="1" t="s">
        <v>569</v>
      </c>
      <c r="B363" s="1" t="s">
        <v>177</v>
      </c>
      <c r="C363" s="1" t="s">
        <v>61</v>
      </c>
      <c r="D363" s="1" t="s">
        <v>62</v>
      </c>
      <c r="E363" s="1" t="s">
        <v>16</v>
      </c>
      <c r="F363" s="1" t="s">
        <v>17</v>
      </c>
      <c r="G363" s="1" t="s">
        <v>18</v>
      </c>
      <c r="H363" s="1">
        <v>9608</v>
      </c>
      <c r="I363" s="1" t="s">
        <v>22</v>
      </c>
      <c r="J363" s="1">
        <v>0.1</v>
      </c>
      <c r="K363" s="1">
        <v>9000</v>
      </c>
      <c r="L363" s="2">
        <v>45336</v>
      </c>
      <c r="M363" s="10" t="str">
        <f t="shared" si="5"/>
        <v>Target Achieved</v>
      </c>
    </row>
    <row r="364" spans="1:13" x14ac:dyDescent="0.35">
      <c r="A364" s="1" t="s">
        <v>570</v>
      </c>
      <c r="B364" s="1" t="s">
        <v>325</v>
      </c>
      <c r="C364" s="1" t="s">
        <v>61</v>
      </c>
      <c r="D364" s="1" t="s">
        <v>62</v>
      </c>
      <c r="E364" s="1" t="s">
        <v>46</v>
      </c>
      <c r="F364" s="1" t="s">
        <v>39</v>
      </c>
      <c r="G364" s="1" t="s">
        <v>36</v>
      </c>
      <c r="H364" s="1">
        <v>9317</v>
      </c>
      <c r="I364" s="1" t="s">
        <v>22</v>
      </c>
      <c r="J364" s="1">
        <v>0.1</v>
      </c>
      <c r="K364" s="1">
        <v>9000</v>
      </c>
      <c r="L364" s="2">
        <v>45349</v>
      </c>
      <c r="M364" s="10" t="str">
        <f t="shared" si="5"/>
        <v>Target Achieved</v>
      </c>
    </row>
    <row r="365" spans="1:13" x14ac:dyDescent="0.35">
      <c r="A365" s="1" t="s">
        <v>571</v>
      </c>
      <c r="B365" s="1" t="s">
        <v>184</v>
      </c>
      <c r="C365" s="1" t="s">
        <v>44</v>
      </c>
      <c r="D365" s="1" t="s">
        <v>45</v>
      </c>
      <c r="E365" s="1" t="s">
        <v>32</v>
      </c>
      <c r="F365" s="1" t="s">
        <v>39</v>
      </c>
      <c r="G365" s="1" t="s">
        <v>26</v>
      </c>
      <c r="H365" s="1">
        <v>12947</v>
      </c>
      <c r="I365" s="1" t="s">
        <v>33</v>
      </c>
      <c r="J365" s="1">
        <v>0.3</v>
      </c>
      <c r="K365" s="1">
        <v>13000</v>
      </c>
      <c r="L365" s="2">
        <v>45294</v>
      </c>
      <c r="M365" s="10" t="str">
        <f t="shared" si="5"/>
        <v>Below Target</v>
      </c>
    </row>
    <row r="366" spans="1:13" x14ac:dyDescent="0.35">
      <c r="A366" s="1" t="s">
        <v>572</v>
      </c>
      <c r="B366" s="1" t="s">
        <v>403</v>
      </c>
      <c r="C366" s="1" t="s">
        <v>30</v>
      </c>
      <c r="D366" s="1" t="s">
        <v>31</v>
      </c>
      <c r="E366" s="1" t="s">
        <v>16</v>
      </c>
      <c r="F366" s="1" t="s">
        <v>39</v>
      </c>
      <c r="G366" s="1" t="s">
        <v>26</v>
      </c>
      <c r="H366" s="1">
        <v>15134</v>
      </c>
      <c r="I366" s="1" t="s">
        <v>19</v>
      </c>
      <c r="J366" s="1">
        <v>0.2</v>
      </c>
      <c r="K366" s="1">
        <v>17000</v>
      </c>
      <c r="L366" s="2">
        <v>45351</v>
      </c>
      <c r="M366" s="10" t="str">
        <f t="shared" si="5"/>
        <v>Below Target</v>
      </c>
    </row>
    <row r="367" spans="1:13" x14ac:dyDescent="0.35">
      <c r="A367" s="1" t="s">
        <v>573</v>
      </c>
      <c r="B367" s="1" t="s">
        <v>303</v>
      </c>
      <c r="C367" s="1" t="s">
        <v>14</v>
      </c>
      <c r="D367" s="1" t="s">
        <v>15</v>
      </c>
      <c r="E367" s="1" t="s">
        <v>32</v>
      </c>
      <c r="F367" s="1" t="s">
        <v>39</v>
      </c>
      <c r="G367" s="1" t="s">
        <v>18</v>
      </c>
      <c r="H367" s="1">
        <v>15081</v>
      </c>
      <c r="I367" s="1"/>
      <c r="J367" s="1"/>
      <c r="K367" s="1">
        <v>14000</v>
      </c>
      <c r="L367" s="2">
        <v>45351</v>
      </c>
      <c r="M367" s="10" t="str">
        <f t="shared" si="5"/>
        <v>Target Achieved</v>
      </c>
    </row>
    <row r="368" spans="1:13" x14ac:dyDescent="0.35">
      <c r="A368" s="1" t="s">
        <v>574</v>
      </c>
      <c r="B368" s="1" t="s">
        <v>263</v>
      </c>
      <c r="C368" s="1" t="s">
        <v>44</v>
      </c>
      <c r="D368" s="1" t="s">
        <v>45</v>
      </c>
      <c r="E368" s="1" t="s">
        <v>16</v>
      </c>
      <c r="F368" s="1" t="s">
        <v>25</v>
      </c>
      <c r="G368" s="1" t="s">
        <v>26</v>
      </c>
      <c r="H368" s="1">
        <v>14418</v>
      </c>
      <c r="I368" s="1"/>
      <c r="J368" s="1"/>
      <c r="K368" s="1">
        <v>13000</v>
      </c>
      <c r="L368" s="2">
        <v>45335</v>
      </c>
      <c r="M368" s="10" t="str">
        <f t="shared" si="5"/>
        <v>Target Achieved</v>
      </c>
    </row>
    <row r="369" spans="1:13" x14ac:dyDescent="0.35">
      <c r="A369" s="1" t="s">
        <v>575</v>
      </c>
      <c r="B369" s="1" t="s">
        <v>84</v>
      </c>
      <c r="C369" s="1" t="s">
        <v>30</v>
      </c>
      <c r="D369" s="1" t="s">
        <v>31</v>
      </c>
      <c r="E369" s="1" t="s">
        <v>46</v>
      </c>
      <c r="F369" s="1" t="s">
        <v>39</v>
      </c>
      <c r="G369" s="1" t="s">
        <v>18</v>
      </c>
      <c r="H369" s="1">
        <v>18237</v>
      </c>
      <c r="I369" s="1" t="s">
        <v>22</v>
      </c>
      <c r="J369" s="1">
        <v>0.1</v>
      </c>
      <c r="K369" s="1">
        <v>17000</v>
      </c>
      <c r="L369" s="2">
        <v>45324</v>
      </c>
      <c r="M369" s="10" t="str">
        <f t="shared" si="5"/>
        <v>Target Achieved</v>
      </c>
    </row>
    <row r="370" spans="1:13" x14ac:dyDescent="0.35">
      <c r="A370" s="1" t="s">
        <v>576</v>
      </c>
      <c r="B370" s="1" t="s">
        <v>577</v>
      </c>
      <c r="C370" s="1" t="s">
        <v>14</v>
      </c>
      <c r="D370" s="1" t="s">
        <v>15</v>
      </c>
      <c r="E370" s="1" t="s">
        <v>32</v>
      </c>
      <c r="F370" s="1" t="s">
        <v>17</v>
      </c>
      <c r="G370" s="1" t="s">
        <v>18</v>
      </c>
      <c r="H370" s="1">
        <v>15435</v>
      </c>
      <c r="I370" s="1" t="s">
        <v>22</v>
      </c>
      <c r="J370" s="1">
        <v>0.1</v>
      </c>
      <c r="K370" s="1">
        <v>14000</v>
      </c>
      <c r="L370" s="2">
        <v>45313</v>
      </c>
      <c r="M370" s="10" t="str">
        <f t="shared" si="5"/>
        <v>Target Achieved</v>
      </c>
    </row>
    <row r="371" spans="1:13" x14ac:dyDescent="0.35">
      <c r="A371" s="1" t="s">
        <v>578</v>
      </c>
      <c r="B371" s="1" t="s">
        <v>579</v>
      </c>
      <c r="C371" s="1" t="s">
        <v>61</v>
      </c>
      <c r="D371" s="1" t="s">
        <v>62</v>
      </c>
      <c r="E371" s="1" t="s">
        <v>46</v>
      </c>
      <c r="F371" s="1" t="s">
        <v>25</v>
      </c>
      <c r="G371" s="1" t="s">
        <v>26</v>
      </c>
      <c r="H371" s="1">
        <v>8119</v>
      </c>
      <c r="I371" s="1"/>
      <c r="J371" s="1"/>
      <c r="K371" s="1">
        <v>9000</v>
      </c>
      <c r="L371" s="2">
        <v>45323</v>
      </c>
      <c r="M371" s="10" t="str">
        <f t="shared" si="5"/>
        <v>Below Target</v>
      </c>
    </row>
    <row r="372" spans="1:13" x14ac:dyDescent="0.35">
      <c r="A372" s="1" t="s">
        <v>580</v>
      </c>
      <c r="B372" s="1" t="s">
        <v>391</v>
      </c>
      <c r="C372" s="1" t="s">
        <v>61</v>
      </c>
      <c r="D372" s="1" t="s">
        <v>62</v>
      </c>
      <c r="E372" s="1" t="s">
        <v>46</v>
      </c>
      <c r="F372" s="1" t="s">
        <v>25</v>
      </c>
      <c r="G372" s="1" t="s">
        <v>26</v>
      </c>
      <c r="H372" s="1">
        <v>9399</v>
      </c>
      <c r="I372" s="1"/>
      <c r="J372" s="1"/>
      <c r="K372" s="1">
        <v>9000</v>
      </c>
      <c r="L372" s="2">
        <v>45297</v>
      </c>
      <c r="M372" s="10" t="str">
        <f t="shared" si="5"/>
        <v>Target Achieved</v>
      </c>
    </row>
    <row r="373" spans="1:13" x14ac:dyDescent="0.35">
      <c r="A373" s="1" t="s">
        <v>581</v>
      </c>
      <c r="B373" s="1" t="s">
        <v>522</v>
      </c>
      <c r="C373" s="1" t="s">
        <v>30</v>
      </c>
      <c r="D373" s="1" t="s">
        <v>31</v>
      </c>
      <c r="E373" s="1" t="s">
        <v>32</v>
      </c>
      <c r="F373" s="1" t="s">
        <v>39</v>
      </c>
      <c r="G373" s="1" t="s">
        <v>18</v>
      </c>
      <c r="H373" s="1">
        <v>15336</v>
      </c>
      <c r="I373" s="1" t="s">
        <v>33</v>
      </c>
      <c r="J373" s="1">
        <v>0.3</v>
      </c>
      <c r="K373" s="1">
        <v>17000</v>
      </c>
      <c r="L373" s="2">
        <v>45301</v>
      </c>
      <c r="M373" s="10" t="str">
        <f t="shared" si="5"/>
        <v>Below Target</v>
      </c>
    </row>
    <row r="374" spans="1:13" x14ac:dyDescent="0.35">
      <c r="A374" s="1" t="s">
        <v>582</v>
      </c>
      <c r="B374" s="1" t="s">
        <v>101</v>
      </c>
      <c r="C374" s="1" t="s">
        <v>44</v>
      </c>
      <c r="D374" s="1" t="s">
        <v>45</v>
      </c>
      <c r="E374" s="1" t="s">
        <v>16</v>
      </c>
      <c r="F374" s="1" t="s">
        <v>17</v>
      </c>
      <c r="G374" s="1" t="s">
        <v>36</v>
      </c>
      <c r="H374" s="1">
        <v>12477</v>
      </c>
      <c r="I374" s="1" t="s">
        <v>22</v>
      </c>
      <c r="J374" s="1">
        <v>0.1</v>
      </c>
      <c r="K374" s="1">
        <v>13000</v>
      </c>
      <c r="L374" s="2">
        <v>45297</v>
      </c>
      <c r="M374" s="10" t="str">
        <f t="shared" si="5"/>
        <v>Below Target</v>
      </c>
    </row>
    <row r="375" spans="1:13" x14ac:dyDescent="0.35">
      <c r="A375" s="1" t="s">
        <v>583</v>
      </c>
      <c r="B375" s="1" t="s">
        <v>584</v>
      </c>
      <c r="C375" s="1" t="s">
        <v>61</v>
      </c>
      <c r="D375" s="1" t="s">
        <v>62</v>
      </c>
      <c r="E375" s="1" t="s">
        <v>46</v>
      </c>
      <c r="F375" s="1" t="s">
        <v>17</v>
      </c>
      <c r="G375" s="1" t="s">
        <v>18</v>
      </c>
      <c r="H375" s="1">
        <v>7542</v>
      </c>
      <c r="I375" s="1" t="s">
        <v>22</v>
      </c>
      <c r="J375" s="1">
        <v>0.1</v>
      </c>
      <c r="K375" s="1">
        <v>9000</v>
      </c>
      <c r="L375" s="2">
        <v>45303</v>
      </c>
      <c r="M375" s="10" t="str">
        <f t="shared" si="5"/>
        <v>Below Target</v>
      </c>
    </row>
    <row r="376" spans="1:13" x14ac:dyDescent="0.35">
      <c r="A376" s="1" t="s">
        <v>585</v>
      </c>
      <c r="B376" s="1" t="s">
        <v>527</v>
      </c>
      <c r="C376" s="1" t="s">
        <v>61</v>
      </c>
      <c r="D376" s="1" t="s">
        <v>62</v>
      </c>
      <c r="E376" s="1" t="s">
        <v>32</v>
      </c>
      <c r="F376" s="1" t="s">
        <v>25</v>
      </c>
      <c r="G376" s="1" t="s">
        <v>18</v>
      </c>
      <c r="H376" s="1">
        <v>8449</v>
      </c>
      <c r="I376" s="1" t="s">
        <v>27</v>
      </c>
      <c r="J376" s="1"/>
      <c r="K376" s="1">
        <v>9000</v>
      </c>
      <c r="L376" s="2">
        <v>45297</v>
      </c>
      <c r="M376" s="10" t="str">
        <f t="shared" si="5"/>
        <v>Below Target</v>
      </c>
    </row>
    <row r="377" spans="1:13" x14ac:dyDescent="0.35">
      <c r="A377" s="1" t="s">
        <v>586</v>
      </c>
      <c r="B377" s="1" t="s">
        <v>195</v>
      </c>
      <c r="C377" s="1" t="s">
        <v>30</v>
      </c>
      <c r="D377" s="1" t="s">
        <v>31</v>
      </c>
      <c r="E377" s="1" t="s">
        <v>46</v>
      </c>
      <c r="F377" s="1" t="s">
        <v>25</v>
      </c>
      <c r="G377" s="1" t="s">
        <v>36</v>
      </c>
      <c r="H377" s="1">
        <v>16694</v>
      </c>
      <c r="I377" s="1"/>
      <c r="J377" s="1"/>
      <c r="K377" s="1">
        <v>17000</v>
      </c>
      <c r="L377" s="2">
        <v>45341</v>
      </c>
      <c r="M377" s="10" t="str">
        <f t="shared" si="5"/>
        <v>Below Target</v>
      </c>
    </row>
    <row r="378" spans="1:13" x14ac:dyDescent="0.35">
      <c r="A378" s="1" t="s">
        <v>587</v>
      </c>
      <c r="B378" s="1" t="s">
        <v>173</v>
      </c>
      <c r="C378" s="1" t="s">
        <v>44</v>
      </c>
      <c r="D378" s="1" t="s">
        <v>45</v>
      </c>
      <c r="E378" s="1" t="s">
        <v>16</v>
      </c>
      <c r="F378" s="1" t="s">
        <v>39</v>
      </c>
      <c r="G378" s="1" t="s">
        <v>18</v>
      </c>
      <c r="H378" s="1">
        <v>13807</v>
      </c>
      <c r="I378" s="1"/>
      <c r="J378" s="1"/>
      <c r="K378" s="1">
        <v>13000</v>
      </c>
      <c r="L378" s="2">
        <v>45302</v>
      </c>
      <c r="M378" s="10" t="str">
        <f t="shared" si="5"/>
        <v>Target Achieved</v>
      </c>
    </row>
    <row r="379" spans="1:13" x14ac:dyDescent="0.35">
      <c r="A379" s="1" t="s">
        <v>588</v>
      </c>
      <c r="B379" s="1" t="s">
        <v>256</v>
      </c>
      <c r="C379" s="1" t="s">
        <v>30</v>
      </c>
      <c r="D379" s="1" t="s">
        <v>31</v>
      </c>
      <c r="E379" s="1" t="s">
        <v>46</v>
      </c>
      <c r="F379" s="1" t="s">
        <v>17</v>
      </c>
      <c r="G379" s="1" t="s">
        <v>18</v>
      </c>
      <c r="H379" s="1">
        <v>15259</v>
      </c>
      <c r="I379" s="1" t="s">
        <v>19</v>
      </c>
      <c r="J379" s="1">
        <v>0.2</v>
      </c>
      <c r="K379" s="1">
        <v>17000</v>
      </c>
      <c r="L379" s="2">
        <v>45319</v>
      </c>
      <c r="M379" s="10" t="str">
        <f t="shared" si="5"/>
        <v>Below Target</v>
      </c>
    </row>
    <row r="380" spans="1:13" x14ac:dyDescent="0.35">
      <c r="A380" s="1" t="s">
        <v>589</v>
      </c>
      <c r="B380" s="1" t="s">
        <v>70</v>
      </c>
      <c r="C380" s="1" t="s">
        <v>30</v>
      </c>
      <c r="D380" s="1" t="s">
        <v>31</v>
      </c>
      <c r="E380" s="1" t="s">
        <v>46</v>
      </c>
      <c r="F380" s="1" t="s">
        <v>25</v>
      </c>
      <c r="G380" s="1" t="s">
        <v>36</v>
      </c>
      <c r="H380" s="1">
        <v>16030</v>
      </c>
      <c r="I380" s="1" t="s">
        <v>19</v>
      </c>
      <c r="J380" s="1">
        <v>0.2</v>
      </c>
      <c r="K380" s="1">
        <v>17000</v>
      </c>
      <c r="L380" s="2">
        <v>45338</v>
      </c>
      <c r="M380" s="10" t="str">
        <f t="shared" si="5"/>
        <v>Below Target</v>
      </c>
    </row>
    <row r="381" spans="1:13" x14ac:dyDescent="0.35">
      <c r="A381" s="1" t="s">
        <v>590</v>
      </c>
      <c r="B381" s="1" t="s">
        <v>591</v>
      </c>
      <c r="C381" s="1" t="s">
        <v>44</v>
      </c>
      <c r="D381" s="1" t="s">
        <v>45</v>
      </c>
      <c r="E381" s="1" t="s">
        <v>46</v>
      </c>
      <c r="F381" s="1" t="s">
        <v>25</v>
      </c>
      <c r="G381" s="1" t="s">
        <v>18</v>
      </c>
      <c r="H381" s="1">
        <v>12247</v>
      </c>
      <c r="I381" s="1" t="s">
        <v>22</v>
      </c>
      <c r="J381" s="1">
        <v>0.1</v>
      </c>
      <c r="K381" s="1">
        <v>13000</v>
      </c>
      <c r="L381" s="2">
        <v>45352</v>
      </c>
      <c r="M381" s="10" t="str">
        <f t="shared" si="5"/>
        <v>Below Target</v>
      </c>
    </row>
    <row r="382" spans="1:13" x14ac:dyDescent="0.35">
      <c r="A382" s="1" t="s">
        <v>592</v>
      </c>
      <c r="B382" s="1" t="s">
        <v>474</v>
      </c>
      <c r="C382" s="1" t="s">
        <v>61</v>
      </c>
      <c r="D382" s="1" t="s">
        <v>62</v>
      </c>
      <c r="E382" s="1" t="s">
        <v>46</v>
      </c>
      <c r="F382" s="1" t="s">
        <v>17</v>
      </c>
      <c r="G382" s="1" t="s">
        <v>36</v>
      </c>
      <c r="H382" s="1">
        <v>8763</v>
      </c>
      <c r="I382" s="1" t="s">
        <v>27</v>
      </c>
      <c r="J382" s="1"/>
      <c r="K382" s="1">
        <v>9000</v>
      </c>
      <c r="L382" s="2">
        <v>45300</v>
      </c>
      <c r="M382" s="10" t="str">
        <f t="shared" si="5"/>
        <v>Below Target</v>
      </c>
    </row>
    <row r="383" spans="1:13" x14ac:dyDescent="0.35">
      <c r="A383" s="1" t="s">
        <v>593</v>
      </c>
      <c r="B383" s="1" t="s">
        <v>131</v>
      </c>
      <c r="C383" s="1" t="s">
        <v>44</v>
      </c>
      <c r="D383" s="1" t="s">
        <v>45</v>
      </c>
      <c r="E383" s="1" t="s">
        <v>46</v>
      </c>
      <c r="F383" s="1" t="s">
        <v>17</v>
      </c>
      <c r="G383" s="1" t="s">
        <v>18</v>
      </c>
      <c r="H383" s="1">
        <v>14950</v>
      </c>
      <c r="I383" s="1"/>
      <c r="J383" s="1"/>
      <c r="K383" s="1">
        <v>13000</v>
      </c>
      <c r="L383" s="2">
        <v>45312</v>
      </c>
      <c r="M383" s="10" t="str">
        <f t="shared" si="5"/>
        <v>Target Achieved</v>
      </c>
    </row>
    <row r="384" spans="1:13" x14ac:dyDescent="0.35">
      <c r="A384" s="1" t="s">
        <v>594</v>
      </c>
      <c r="B384" s="1" t="s">
        <v>350</v>
      </c>
      <c r="C384" s="1" t="s">
        <v>61</v>
      </c>
      <c r="D384" s="1" t="s">
        <v>62</v>
      </c>
      <c r="E384" s="1" t="s">
        <v>16</v>
      </c>
      <c r="F384" s="1" t="s">
        <v>25</v>
      </c>
      <c r="G384" s="1" t="s">
        <v>36</v>
      </c>
      <c r="H384" s="1">
        <v>8540</v>
      </c>
      <c r="I384" s="1" t="s">
        <v>33</v>
      </c>
      <c r="J384" s="1">
        <v>0.3</v>
      </c>
      <c r="K384" s="1">
        <v>9000</v>
      </c>
      <c r="L384" s="2">
        <v>45344</v>
      </c>
      <c r="M384" s="10" t="str">
        <f t="shared" si="5"/>
        <v>Below Target</v>
      </c>
    </row>
    <row r="385" spans="1:13" x14ac:dyDescent="0.35">
      <c r="A385" s="1" t="s">
        <v>595</v>
      </c>
      <c r="B385" s="1" t="s">
        <v>180</v>
      </c>
      <c r="C385" s="1" t="s">
        <v>30</v>
      </c>
      <c r="D385" s="1" t="s">
        <v>31</v>
      </c>
      <c r="E385" s="1" t="s">
        <v>32</v>
      </c>
      <c r="F385" s="1" t="s">
        <v>39</v>
      </c>
      <c r="G385" s="1" t="s">
        <v>18</v>
      </c>
      <c r="H385" s="1">
        <v>17425</v>
      </c>
      <c r="I385" s="1" t="s">
        <v>27</v>
      </c>
      <c r="J385" s="1"/>
      <c r="K385" s="1">
        <v>17000</v>
      </c>
      <c r="L385" s="2">
        <v>45303</v>
      </c>
      <c r="M385" s="10" t="str">
        <f t="shared" si="5"/>
        <v>Target Achieved</v>
      </c>
    </row>
    <row r="386" spans="1:13" x14ac:dyDescent="0.35">
      <c r="A386" s="1" t="s">
        <v>596</v>
      </c>
      <c r="B386" s="1" t="s">
        <v>270</v>
      </c>
      <c r="C386" s="1" t="s">
        <v>14</v>
      </c>
      <c r="D386" s="1" t="s">
        <v>15</v>
      </c>
      <c r="E386" s="1" t="s">
        <v>16</v>
      </c>
      <c r="F386" s="1" t="s">
        <v>17</v>
      </c>
      <c r="G386" s="1" t="s">
        <v>26</v>
      </c>
      <c r="H386" s="1">
        <v>12858</v>
      </c>
      <c r="I386" s="1"/>
      <c r="J386" s="1"/>
      <c r="K386" s="1">
        <v>14000</v>
      </c>
      <c r="L386" s="2">
        <v>45343</v>
      </c>
      <c r="M386" s="10" t="str">
        <f t="shared" si="5"/>
        <v>Below Target</v>
      </c>
    </row>
    <row r="387" spans="1:13" x14ac:dyDescent="0.35">
      <c r="A387" s="1" t="s">
        <v>597</v>
      </c>
      <c r="B387" s="1" t="s">
        <v>142</v>
      </c>
      <c r="C387" s="1" t="s">
        <v>14</v>
      </c>
      <c r="D387" s="1" t="s">
        <v>15</v>
      </c>
      <c r="E387" s="1" t="s">
        <v>46</v>
      </c>
      <c r="F387" s="1" t="s">
        <v>39</v>
      </c>
      <c r="G387" s="1" t="s">
        <v>36</v>
      </c>
      <c r="H387" s="1">
        <v>12570</v>
      </c>
      <c r="I387" s="1" t="s">
        <v>33</v>
      </c>
      <c r="J387" s="1">
        <v>0.3</v>
      </c>
      <c r="K387" s="1">
        <v>14000</v>
      </c>
      <c r="L387" s="2">
        <v>45307</v>
      </c>
      <c r="M387" s="10" t="str">
        <f t="shared" ref="M387:M450" si="6">IF(H387&gt;=K387,"Target Achieved","Below Target")</f>
        <v>Below Target</v>
      </c>
    </row>
    <row r="388" spans="1:13" x14ac:dyDescent="0.35">
      <c r="A388" s="1" t="s">
        <v>598</v>
      </c>
      <c r="B388" s="1" t="s">
        <v>286</v>
      </c>
      <c r="C388" s="1" t="s">
        <v>44</v>
      </c>
      <c r="D388" s="1" t="s">
        <v>45</v>
      </c>
      <c r="E388" s="1" t="s">
        <v>16</v>
      </c>
      <c r="F388" s="1" t="s">
        <v>17</v>
      </c>
      <c r="G388" s="1" t="s">
        <v>36</v>
      </c>
      <c r="H388" s="1">
        <v>11302</v>
      </c>
      <c r="I388" s="1"/>
      <c r="J388" s="1"/>
      <c r="K388" s="1">
        <v>13000</v>
      </c>
      <c r="L388" s="2">
        <v>45330</v>
      </c>
      <c r="M388" s="10" t="str">
        <f t="shared" si="6"/>
        <v>Below Target</v>
      </c>
    </row>
    <row r="389" spans="1:13" x14ac:dyDescent="0.35">
      <c r="A389" s="1" t="s">
        <v>599</v>
      </c>
      <c r="B389" s="1" t="s">
        <v>600</v>
      </c>
      <c r="C389" s="1" t="s">
        <v>61</v>
      </c>
      <c r="D389" s="1" t="s">
        <v>62</v>
      </c>
      <c r="E389" s="1" t="s">
        <v>16</v>
      </c>
      <c r="F389" s="1" t="s">
        <v>39</v>
      </c>
      <c r="G389" s="1" t="s">
        <v>26</v>
      </c>
      <c r="H389" s="1">
        <v>8713</v>
      </c>
      <c r="I389" s="1" t="s">
        <v>27</v>
      </c>
      <c r="J389" s="1"/>
      <c r="K389" s="1">
        <v>9000</v>
      </c>
      <c r="L389" s="2">
        <v>45294</v>
      </c>
      <c r="M389" s="10" t="str">
        <f t="shared" si="6"/>
        <v>Below Target</v>
      </c>
    </row>
    <row r="390" spans="1:13" x14ac:dyDescent="0.35">
      <c r="A390" s="1" t="s">
        <v>601</v>
      </c>
      <c r="B390" s="1" t="s">
        <v>602</v>
      </c>
      <c r="C390" s="1" t="s">
        <v>14</v>
      </c>
      <c r="D390" s="1" t="s">
        <v>15</v>
      </c>
      <c r="E390" s="1" t="s">
        <v>32</v>
      </c>
      <c r="F390" s="1" t="s">
        <v>25</v>
      </c>
      <c r="G390" s="1" t="s">
        <v>26</v>
      </c>
      <c r="H390" s="1">
        <v>14722</v>
      </c>
      <c r="I390" s="1" t="s">
        <v>33</v>
      </c>
      <c r="J390" s="1">
        <v>0.3</v>
      </c>
      <c r="K390" s="1">
        <v>14000</v>
      </c>
      <c r="L390" s="2">
        <v>45302</v>
      </c>
      <c r="M390" s="10" t="str">
        <f t="shared" si="6"/>
        <v>Target Achieved</v>
      </c>
    </row>
    <row r="391" spans="1:13" x14ac:dyDescent="0.35">
      <c r="A391" s="1" t="s">
        <v>603</v>
      </c>
      <c r="B391" s="1" t="s">
        <v>163</v>
      </c>
      <c r="C391" s="1" t="s">
        <v>14</v>
      </c>
      <c r="D391" s="1" t="s">
        <v>15</v>
      </c>
      <c r="E391" s="1" t="s">
        <v>16</v>
      </c>
      <c r="F391" s="1" t="s">
        <v>39</v>
      </c>
      <c r="G391" s="1" t="s">
        <v>26</v>
      </c>
      <c r="H391" s="1">
        <v>14649</v>
      </c>
      <c r="I391" s="1"/>
      <c r="J391" s="1"/>
      <c r="K391" s="1">
        <v>14000</v>
      </c>
      <c r="L391" s="2">
        <v>45340</v>
      </c>
      <c r="M391" s="10" t="str">
        <f t="shared" si="6"/>
        <v>Target Achieved</v>
      </c>
    </row>
    <row r="392" spans="1:13" x14ac:dyDescent="0.35">
      <c r="A392" s="1" t="s">
        <v>604</v>
      </c>
      <c r="B392" s="1" t="s">
        <v>478</v>
      </c>
      <c r="C392" s="1" t="s">
        <v>61</v>
      </c>
      <c r="D392" s="1" t="s">
        <v>62</v>
      </c>
      <c r="E392" s="1" t="s">
        <v>32</v>
      </c>
      <c r="F392" s="1" t="s">
        <v>25</v>
      </c>
      <c r="G392" s="1" t="s">
        <v>18</v>
      </c>
      <c r="H392" s="1">
        <v>8059</v>
      </c>
      <c r="I392" s="1" t="s">
        <v>19</v>
      </c>
      <c r="J392" s="1">
        <v>0.2</v>
      </c>
      <c r="K392" s="1">
        <v>9000</v>
      </c>
      <c r="L392" s="2">
        <v>45324</v>
      </c>
      <c r="M392" s="10" t="str">
        <f t="shared" si="6"/>
        <v>Below Target</v>
      </c>
    </row>
    <row r="393" spans="1:13" x14ac:dyDescent="0.35">
      <c r="A393" s="1" t="s">
        <v>605</v>
      </c>
      <c r="B393" s="1" t="s">
        <v>103</v>
      </c>
      <c r="C393" s="1" t="s">
        <v>44</v>
      </c>
      <c r="D393" s="1" t="s">
        <v>45</v>
      </c>
      <c r="E393" s="1" t="s">
        <v>46</v>
      </c>
      <c r="F393" s="1" t="s">
        <v>17</v>
      </c>
      <c r="G393" s="1" t="s">
        <v>36</v>
      </c>
      <c r="H393" s="1">
        <v>12896</v>
      </c>
      <c r="I393" s="1" t="s">
        <v>27</v>
      </c>
      <c r="J393" s="1"/>
      <c r="K393" s="1">
        <v>13000</v>
      </c>
      <c r="L393" s="2">
        <v>45336</v>
      </c>
      <c r="M393" s="10" t="str">
        <f t="shared" si="6"/>
        <v>Below Target</v>
      </c>
    </row>
    <row r="394" spans="1:13" x14ac:dyDescent="0.35">
      <c r="A394" s="1" t="s">
        <v>606</v>
      </c>
      <c r="B394" s="1" t="s">
        <v>80</v>
      </c>
      <c r="C394" s="1" t="s">
        <v>30</v>
      </c>
      <c r="D394" s="1" t="s">
        <v>31</v>
      </c>
      <c r="E394" s="1" t="s">
        <v>32</v>
      </c>
      <c r="F394" s="1" t="s">
        <v>17</v>
      </c>
      <c r="G394" s="1" t="s">
        <v>18</v>
      </c>
      <c r="H394" s="1">
        <v>16210</v>
      </c>
      <c r="I394" s="1"/>
      <c r="J394" s="1"/>
      <c r="K394" s="1">
        <v>17000</v>
      </c>
      <c r="L394" s="2">
        <v>45350</v>
      </c>
      <c r="M394" s="10" t="str">
        <f t="shared" si="6"/>
        <v>Below Target</v>
      </c>
    </row>
    <row r="395" spans="1:13" x14ac:dyDescent="0.35">
      <c r="A395" s="1" t="s">
        <v>607</v>
      </c>
      <c r="B395" s="1" t="s">
        <v>78</v>
      </c>
      <c r="C395" s="1" t="s">
        <v>44</v>
      </c>
      <c r="D395" s="1" t="s">
        <v>45</v>
      </c>
      <c r="E395" s="1" t="s">
        <v>46</v>
      </c>
      <c r="F395" s="1" t="s">
        <v>17</v>
      </c>
      <c r="G395" s="1" t="s">
        <v>36</v>
      </c>
      <c r="H395" s="1">
        <v>12865</v>
      </c>
      <c r="I395" s="1" t="s">
        <v>19</v>
      </c>
      <c r="J395" s="1">
        <v>0.2</v>
      </c>
      <c r="K395" s="1">
        <v>13000</v>
      </c>
      <c r="L395" s="2">
        <v>45325</v>
      </c>
      <c r="M395" s="10" t="str">
        <f t="shared" si="6"/>
        <v>Below Target</v>
      </c>
    </row>
    <row r="396" spans="1:13" x14ac:dyDescent="0.35">
      <c r="A396" s="1" t="s">
        <v>608</v>
      </c>
      <c r="B396" s="1" t="s">
        <v>188</v>
      </c>
      <c r="C396" s="1" t="s">
        <v>61</v>
      </c>
      <c r="D396" s="1" t="s">
        <v>62</v>
      </c>
      <c r="E396" s="1" t="s">
        <v>32</v>
      </c>
      <c r="F396" s="1" t="s">
        <v>17</v>
      </c>
      <c r="G396" s="1" t="s">
        <v>26</v>
      </c>
      <c r="H396" s="1">
        <v>9853</v>
      </c>
      <c r="I396" s="1"/>
      <c r="J396" s="1"/>
      <c r="K396" s="1">
        <v>9000</v>
      </c>
      <c r="L396" s="2">
        <v>45312</v>
      </c>
      <c r="M396" s="10" t="str">
        <f t="shared" si="6"/>
        <v>Target Achieved</v>
      </c>
    </row>
    <row r="397" spans="1:13" x14ac:dyDescent="0.35">
      <c r="A397" s="1" t="s">
        <v>609</v>
      </c>
      <c r="B397" s="1" t="s">
        <v>263</v>
      </c>
      <c r="C397" s="1" t="s">
        <v>14</v>
      </c>
      <c r="D397" s="1" t="s">
        <v>15</v>
      </c>
      <c r="E397" s="1" t="s">
        <v>16</v>
      </c>
      <c r="F397" s="1" t="s">
        <v>25</v>
      </c>
      <c r="G397" s="1" t="s">
        <v>18</v>
      </c>
      <c r="H397" s="1">
        <v>15478</v>
      </c>
      <c r="I397" s="1" t="s">
        <v>33</v>
      </c>
      <c r="J397" s="1">
        <v>0.3</v>
      </c>
      <c r="K397" s="1">
        <v>14000</v>
      </c>
      <c r="L397" s="2">
        <v>45333</v>
      </c>
      <c r="M397" s="10" t="str">
        <f t="shared" si="6"/>
        <v>Target Achieved</v>
      </c>
    </row>
    <row r="398" spans="1:13" x14ac:dyDescent="0.35">
      <c r="A398" s="1" t="s">
        <v>610</v>
      </c>
      <c r="B398" s="1" t="s">
        <v>21</v>
      </c>
      <c r="C398" s="1" t="s">
        <v>44</v>
      </c>
      <c r="D398" s="1" t="s">
        <v>45</v>
      </c>
      <c r="E398" s="1" t="s">
        <v>16</v>
      </c>
      <c r="F398" s="1" t="s">
        <v>25</v>
      </c>
      <c r="G398" s="1" t="s">
        <v>26</v>
      </c>
      <c r="H398" s="1">
        <v>11714</v>
      </c>
      <c r="I398" s="1" t="s">
        <v>27</v>
      </c>
      <c r="J398" s="1"/>
      <c r="K398" s="1">
        <v>13000</v>
      </c>
      <c r="L398" s="2">
        <v>45302</v>
      </c>
      <c r="M398" s="10" t="str">
        <f t="shared" si="6"/>
        <v>Below Target</v>
      </c>
    </row>
    <row r="399" spans="1:13" x14ac:dyDescent="0.35">
      <c r="A399" s="1" t="s">
        <v>611</v>
      </c>
      <c r="B399" s="1" t="s">
        <v>301</v>
      </c>
      <c r="C399" s="1" t="s">
        <v>61</v>
      </c>
      <c r="D399" s="1" t="s">
        <v>62</v>
      </c>
      <c r="E399" s="1" t="s">
        <v>46</v>
      </c>
      <c r="F399" s="1" t="s">
        <v>25</v>
      </c>
      <c r="G399" s="1" t="s">
        <v>36</v>
      </c>
      <c r="H399" s="1">
        <v>9579</v>
      </c>
      <c r="I399" s="1" t="s">
        <v>19</v>
      </c>
      <c r="J399" s="1">
        <v>0.2</v>
      </c>
      <c r="K399" s="1">
        <v>9000</v>
      </c>
      <c r="L399" s="2">
        <v>45303</v>
      </c>
      <c r="M399" s="10" t="str">
        <f t="shared" si="6"/>
        <v>Target Achieved</v>
      </c>
    </row>
    <row r="400" spans="1:13" x14ac:dyDescent="0.35">
      <c r="A400" s="1" t="s">
        <v>612</v>
      </c>
      <c r="B400" s="1" t="s">
        <v>92</v>
      </c>
      <c r="C400" s="1" t="s">
        <v>61</v>
      </c>
      <c r="D400" s="1" t="s">
        <v>62</v>
      </c>
      <c r="E400" s="1" t="s">
        <v>46</v>
      </c>
      <c r="F400" s="1" t="s">
        <v>25</v>
      </c>
      <c r="G400" s="1" t="s">
        <v>26</v>
      </c>
      <c r="H400" s="1">
        <v>9515</v>
      </c>
      <c r="I400" s="1" t="s">
        <v>19</v>
      </c>
      <c r="J400" s="1">
        <v>0.2</v>
      </c>
      <c r="K400" s="1">
        <v>9000</v>
      </c>
      <c r="L400" s="2">
        <v>45320</v>
      </c>
      <c r="M400" s="10" t="str">
        <f t="shared" si="6"/>
        <v>Target Achieved</v>
      </c>
    </row>
    <row r="401" spans="1:13" x14ac:dyDescent="0.35">
      <c r="A401" s="1" t="s">
        <v>613</v>
      </c>
      <c r="B401" s="1" t="s">
        <v>337</v>
      </c>
      <c r="C401" s="1" t="s">
        <v>61</v>
      </c>
      <c r="D401" s="1" t="s">
        <v>62</v>
      </c>
      <c r="E401" s="1" t="s">
        <v>32</v>
      </c>
      <c r="F401" s="1" t="s">
        <v>39</v>
      </c>
      <c r="G401" s="1" t="s">
        <v>18</v>
      </c>
      <c r="H401" s="1">
        <v>7842</v>
      </c>
      <c r="I401" s="1" t="s">
        <v>33</v>
      </c>
      <c r="J401" s="1">
        <v>0.3</v>
      </c>
      <c r="K401" s="1">
        <v>9000</v>
      </c>
      <c r="L401" s="2">
        <v>45340</v>
      </c>
      <c r="M401" s="10" t="str">
        <f t="shared" si="6"/>
        <v>Below Target</v>
      </c>
    </row>
    <row r="402" spans="1:13" x14ac:dyDescent="0.35">
      <c r="A402" s="1" t="s">
        <v>614</v>
      </c>
      <c r="B402" s="1" t="s">
        <v>276</v>
      </c>
      <c r="C402" s="1" t="s">
        <v>14</v>
      </c>
      <c r="D402" s="1" t="s">
        <v>15</v>
      </c>
      <c r="E402" s="1" t="s">
        <v>16</v>
      </c>
      <c r="F402" s="1" t="s">
        <v>25</v>
      </c>
      <c r="G402" s="1" t="s">
        <v>26</v>
      </c>
      <c r="H402" s="1">
        <v>12765</v>
      </c>
      <c r="I402" s="1" t="s">
        <v>33</v>
      </c>
      <c r="J402" s="1">
        <v>0.3</v>
      </c>
      <c r="K402" s="1">
        <v>14000</v>
      </c>
      <c r="L402" s="2">
        <v>45312</v>
      </c>
      <c r="M402" s="10" t="str">
        <f t="shared" si="6"/>
        <v>Below Target</v>
      </c>
    </row>
    <row r="403" spans="1:13" x14ac:dyDescent="0.35">
      <c r="A403" s="1" t="s">
        <v>615</v>
      </c>
      <c r="B403" s="1" t="s">
        <v>29</v>
      </c>
      <c r="C403" s="1" t="s">
        <v>14</v>
      </c>
      <c r="D403" s="1" t="s">
        <v>15</v>
      </c>
      <c r="E403" s="1" t="s">
        <v>46</v>
      </c>
      <c r="F403" s="1" t="s">
        <v>39</v>
      </c>
      <c r="G403" s="1" t="s">
        <v>36</v>
      </c>
      <c r="H403" s="1">
        <v>14161</v>
      </c>
      <c r="I403" s="1" t="s">
        <v>33</v>
      </c>
      <c r="J403" s="1">
        <v>0.3</v>
      </c>
      <c r="K403" s="1">
        <v>14000</v>
      </c>
      <c r="L403" s="2">
        <v>45330</v>
      </c>
      <c r="M403" s="10" t="str">
        <f t="shared" si="6"/>
        <v>Target Achieved</v>
      </c>
    </row>
    <row r="404" spans="1:13" x14ac:dyDescent="0.35">
      <c r="A404" s="1" t="s">
        <v>616</v>
      </c>
      <c r="B404" s="1" t="s">
        <v>617</v>
      </c>
      <c r="C404" s="1" t="s">
        <v>61</v>
      </c>
      <c r="D404" s="1" t="s">
        <v>62</v>
      </c>
      <c r="E404" s="1" t="s">
        <v>16</v>
      </c>
      <c r="F404" s="1" t="s">
        <v>25</v>
      </c>
      <c r="G404" s="1" t="s">
        <v>36</v>
      </c>
      <c r="H404" s="1">
        <v>8441</v>
      </c>
      <c r="I404" s="1"/>
      <c r="J404" s="1"/>
      <c r="K404" s="1">
        <v>9000</v>
      </c>
      <c r="L404" s="2">
        <v>45331</v>
      </c>
      <c r="M404" s="10" t="str">
        <f t="shared" si="6"/>
        <v>Below Target</v>
      </c>
    </row>
    <row r="405" spans="1:13" x14ac:dyDescent="0.35">
      <c r="A405" s="1" t="s">
        <v>618</v>
      </c>
      <c r="B405" s="1" t="s">
        <v>619</v>
      </c>
      <c r="C405" s="1" t="s">
        <v>30</v>
      </c>
      <c r="D405" s="1" t="s">
        <v>31</v>
      </c>
      <c r="E405" s="1" t="s">
        <v>16</v>
      </c>
      <c r="F405" s="1" t="s">
        <v>39</v>
      </c>
      <c r="G405" s="1" t="s">
        <v>18</v>
      </c>
      <c r="H405" s="1">
        <v>17752</v>
      </c>
      <c r="I405" s="1" t="s">
        <v>19</v>
      </c>
      <c r="J405" s="1">
        <v>0.2</v>
      </c>
      <c r="K405" s="1">
        <v>17000</v>
      </c>
      <c r="L405" s="2">
        <v>45312</v>
      </c>
      <c r="M405" s="10" t="str">
        <f t="shared" si="6"/>
        <v>Target Achieved</v>
      </c>
    </row>
    <row r="406" spans="1:13" x14ac:dyDescent="0.35">
      <c r="A406" s="1" t="s">
        <v>620</v>
      </c>
      <c r="B406" s="1" t="s">
        <v>248</v>
      </c>
      <c r="C406" s="1" t="s">
        <v>30</v>
      </c>
      <c r="D406" s="1" t="s">
        <v>31</v>
      </c>
      <c r="E406" s="1" t="s">
        <v>32</v>
      </c>
      <c r="F406" s="1" t="s">
        <v>25</v>
      </c>
      <c r="G406" s="1" t="s">
        <v>36</v>
      </c>
      <c r="H406" s="1">
        <v>17840</v>
      </c>
      <c r="I406" s="1" t="s">
        <v>19</v>
      </c>
      <c r="J406" s="1">
        <v>0.2</v>
      </c>
      <c r="K406" s="1">
        <v>17000</v>
      </c>
      <c r="L406" s="2">
        <v>45324</v>
      </c>
      <c r="M406" s="10" t="str">
        <f t="shared" si="6"/>
        <v>Target Achieved</v>
      </c>
    </row>
    <row r="407" spans="1:13" x14ac:dyDescent="0.35">
      <c r="A407" s="1" t="s">
        <v>621</v>
      </c>
      <c r="B407" s="1" t="s">
        <v>177</v>
      </c>
      <c r="C407" s="1" t="s">
        <v>44</v>
      </c>
      <c r="D407" s="1" t="s">
        <v>45</v>
      </c>
      <c r="E407" s="1" t="s">
        <v>16</v>
      </c>
      <c r="F407" s="1" t="s">
        <v>17</v>
      </c>
      <c r="G407" s="1" t="s">
        <v>36</v>
      </c>
      <c r="H407" s="1">
        <v>11760</v>
      </c>
      <c r="I407" s="1"/>
      <c r="J407" s="1"/>
      <c r="K407" s="1">
        <v>13000</v>
      </c>
      <c r="L407" s="2">
        <v>45332</v>
      </c>
      <c r="M407" s="10" t="str">
        <f t="shared" si="6"/>
        <v>Below Target</v>
      </c>
    </row>
    <row r="408" spans="1:13" x14ac:dyDescent="0.35">
      <c r="A408" s="1" t="s">
        <v>622</v>
      </c>
      <c r="B408" s="1" t="s">
        <v>548</v>
      </c>
      <c r="C408" s="1" t="s">
        <v>44</v>
      </c>
      <c r="D408" s="1" t="s">
        <v>45</v>
      </c>
      <c r="E408" s="1" t="s">
        <v>16</v>
      </c>
      <c r="F408" s="1" t="s">
        <v>25</v>
      </c>
      <c r="G408" s="1" t="s">
        <v>36</v>
      </c>
      <c r="H408" s="1">
        <v>12183</v>
      </c>
      <c r="I408" s="1" t="s">
        <v>19</v>
      </c>
      <c r="J408" s="1">
        <v>0.2</v>
      </c>
      <c r="K408" s="1">
        <v>13000</v>
      </c>
      <c r="L408" s="2">
        <v>45303</v>
      </c>
      <c r="M408" s="10" t="str">
        <f t="shared" si="6"/>
        <v>Below Target</v>
      </c>
    </row>
    <row r="409" spans="1:13" x14ac:dyDescent="0.35">
      <c r="A409" s="1" t="s">
        <v>623</v>
      </c>
      <c r="B409" s="1" t="s">
        <v>624</v>
      </c>
      <c r="C409" s="1" t="s">
        <v>61</v>
      </c>
      <c r="D409" s="1" t="s">
        <v>62</v>
      </c>
      <c r="E409" s="1" t="s">
        <v>16</v>
      </c>
      <c r="F409" s="1" t="s">
        <v>25</v>
      </c>
      <c r="G409" s="1" t="s">
        <v>36</v>
      </c>
      <c r="H409" s="1">
        <v>10898</v>
      </c>
      <c r="I409" s="1" t="s">
        <v>22</v>
      </c>
      <c r="J409" s="1">
        <v>0.1</v>
      </c>
      <c r="K409" s="1">
        <v>9000</v>
      </c>
      <c r="L409" s="2">
        <v>45323</v>
      </c>
      <c r="M409" s="10" t="str">
        <f t="shared" si="6"/>
        <v>Target Achieved</v>
      </c>
    </row>
    <row r="410" spans="1:13" x14ac:dyDescent="0.35">
      <c r="A410" s="1" t="s">
        <v>625</v>
      </c>
      <c r="B410" s="1" t="s">
        <v>35</v>
      </c>
      <c r="C410" s="1" t="s">
        <v>61</v>
      </c>
      <c r="D410" s="1" t="s">
        <v>62</v>
      </c>
      <c r="E410" s="1" t="s">
        <v>16</v>
      </c>
      <c r="F410" s="1" t="s">
        <v>39</v>
      </c>
      <c r="G410" s="1" t="s">
        <v>26</v>
      </c>
      <c r="H410" s="1">
        <v>9027</v>
      </c>
      <c r="I410" s="1"/>
      <c r="J410" s="1"/>
      <c r="K410" s="1">
        <v>9000</v>
      </c>
      <c r="L410" s="2">
        <v>45335</v>
      </c>
      <c r="M410" s="10" t="str">
        <f t="shared" si="6"/>
        <v>Target Achieved</v>
      </c>
    </row>
    <row r="411" spans="1:13" x14ac:dyDescent="0.35">
      <c r="A411" s="1" t="s">
        <v>626</v>
      </c>
      <c r="B411" s="1" t="s">
        <v>52</v>
      </c>
      <c r="C411" s="1" t="s">
        <v>61</v>
      </c>
      <c r="D411" s="1" t="s">
        <v>62</v>
      </c>
      <c r="E411" s="1" t="s">
        <v>46</v>
      </c>
      <c r="F411" s="1" t="s">
        <v>25</v>
      </c>
      <c r="G411" s="1" t="s">
        <v>18</v>
      </c>
      <c r="H411" s="1">
        <v>9315</v>
      </c>
      <c r="I411" s="1" t="s">
        <v>22</v>
      </c>
      <c r="J411" s="1">
        <v>0.1</v>
      </c>
      <c r="K411" s="1">
        <v>9000</v>
      </c>
      <c r="L411" s="2">
        <v>45342</v>
      </c>
      <c r="M411" s="10" t="str">
        <f t="shared" si="6"/>
        <v>Target Achieved</v>
      </c>
    </row>
    <row r="412" spans="1:13" x14ac:dyDescent="0.35">
      <c r="A412" s="1" t="s">
        <v>627</v>
      </c>
      <c r="B412" s="1" t="s">
        <v>294</v>
      </c>
      <c r="C412" s="1" t="s">
        <v>30</v>
      </c>
      <c r="D412" s="1" t="s">
        <v>31</v>
      </c>
      <c r="E412" s="1" t="s">
        <v>32</v>
      </c>
      <c r="F412" s="1" t="s">
        <v>17</v>
      </c>
      <c r="G412" s="1" t="s">
        <v>18</v>
      </c>
      <c r="H412" s="1">
        <v>17202</v>
      </c>
      <c r="I412" s="1" t="s">
        <v>33</v>
      </c>
      <c r="J412" s="1">
        <v>0.3</v>
      </c>
      <c r="K412" s="1">
        <v>17000</v>
      </c>
      <c r="L412" s="2">
        <v>45302</v>
      </c>
      <c r="M412" s="10" t="str">
        <f t="shared" si="6"/>
        <v>Target Achieved</v>
      </c>
    </row>
    <row r="413" spans="1:13" x14ac:dyDescent="0.35">
      <c r="A413" s="1" t="s">
        <v>628</v>
      </c>
      <c r="B413" s="1" t="s">
        <v>298</v>
      </c>
      <c r="C413" s="1" t="s">
        <v>61</v>
      </c>
      <c r="D413" s="1" t="s">
        <v>62</v>
      </c>
      <c r="E413" s="1" t="s">
        <v>16</v>
      </c>
      <c r="F413" s="1" t="s">
        <v>39</v>
      </c>
      <c r="G413" s="1" t="s">
        <v>18</v>
      </c>
      <c r="H413" s="1">
        <v>9345</v>
      </c>
      <c r="I413" s="1" t="s">
        <v>22</v>
      </c>
      <c r="J413" s="1">
        <v>0.1</v>
      </c>
      <c r="K413" s="1">
        <v>9000</v>
      </c>
      <c r="L413" s="2">
        <v>45309</v>
      </c>
      <c r="M413" s="10" t="str">
        <f t="shared" si="6"/>
        <v>Target Achieved</v>
      </c>
    </row>
    <row r="414" spans="1:13" x14ac:dyDescent="0.35">
      <c r="A414" s="1" t="s">
        <v>629</v>
      </c>
      <c r="B414" s="1" t="s">
        <v>133</v>
      </c>
      <c r="C414" s="1" t="s">
        <v>30</v>
      </c>
      <c r="D414" s="1" t="s">
        <v>31</v>
      </c>
      <c r="E414" s="1" t="s">
        <v>16</v>
      </c>
      <c r="F414" s="1" t="s">
        <v>25</v>
      </c>
      <c r="G414" s="1" t="s">
        <v>26</v>
      </c>
      <c r="H414" s="1">
        <v>16807</v>
      </c>
      <c r="I414" s="1" t="s">
        <v>27</v>
      </c>
      <c r="J414" s="1"/>
      <c r="K414" s="1">
        <v>17000</v>
      </c>
      <c r="L414" s="2">
        <v>45305</v>
      </c>
      <c r="M414" s="10" t="str">
        <f t="shared" si="6"/>
        <v>Below Target</v>
      </c>
    </row>
    <row r="415" spans="1:13" x14ac:dyDescent="0.35">
      <c r="A415" s="1" t="s">
        <v>630</v>
      </c>
      <c r="B415" s="1" t="s">
        <v>41</v>
      </c>
      <c r="C415" s="1" t="s">
        <v>44</v>
      </c>
      <c r="D415" s="1" t="s">
        <v>45</v>
      </c>
      <c r="E415" s="1" t="s">
        <v>46</v>
      </c>
      <c r="F415" s="1" t="s">
        <v>25</v>
      </c>
      <c r="G415" s="1" t="s">
        <v>36</v>
      </c>
      <c r="H415" s="1">
        <v>12076</v>
      </c>
      <c r="I415" s="1" t="s">
        <v>33</v>
      </c>
      <c r="J415" s="1">
        <v>0.3</v>
      </c>
      <c r="K415" s="1">
        <v>13000</v>
      </c>
      <c r="L415" s="2">
        <v>45347</v>
      </c>
      <c r="M415" s="10" t="str">
        <f t="shared" si="6"/>
        <v>Below Target</v>
      </c>
    </row>
    <row r="416" spans="1:13" x14ac:dyDescent="0.35">
      <c r="A416" s="1" t="s">
        <v>631</v>
      </c>
      <c r="B416" s="1" t="s">
        <v>96</v>
      </c>
      <c r="C416" s="1" t="s">
        <v>61</v>
      </c>
      <c r="D416" s="1" t="s">
        <v>62</v>
      </c>
      <c r="E416" s="1" t="s">
        <v>32</v>
      </c>
      <c r="F416" s="1" t="s">
        <v>25</v>
      </c>
      <c r="G416" s="1" t="s">
        <v>18</v>
      </c>
      <c r="H416" s="1">
        <v>10320</v>
      </c>
      <c r="I416" s="1" t="s">
        <v>27</v>
      </c>
      <c r="J416" s="1"/>
      <c r="K416" s="1">
        <v>9000</v>
      </c>
      <c r="L416" s="2">
        <v>45336</v>
      </c>
      <c r="M416" s="10" t="str">
        <f t="shared" si="6"/>
        <v>Target Achieved</v>
      </c>
    </row>
    <row r="417" spans="1:13" x14ac:dyDescent="0.35">
      <c r="A417" s="1" t="s">
        <v>632</v>
      </c>
      <c r="B417" s="1" t="s">
        <v>624</v>
      </c>
      <c r="C417" s="1" t="s">
        <v>61</v>
      </c>
      <c r="D417" s="1" t="s">
        <v>62</v>
      </c>
      <c r="E417" s="1" t="s">
        <v>32</v>
      </c>
      <c r="F417" s="1" t="s">
        <v>39</v>
      </c>
      <c r="G417" s="1" t="s">
        <v>18</v>
      </c>
      <c r="H417" s="1">
        <v>10214</v>
      </c>
      <c r="I417" s="1" t="s">
        <v>19</v>
      </c>
      <c r="J417" s="1">
        <v>0.2</v>
      </c>
      <c r="K417" s="1">
        <v>9000</v>
      </c>
      <c r="L417" s="2">
        <v>45344</v>
      </c>
      <c r="M417" s="10" t="str">
        <f t="shared" si="6"/>
        <v>Target Achieved</v>
      </c>
    </row>
    <row r="418" spans="1:13" x14ac:dyDescent="0.35">
      <c r="A418" s="1" t="s">
        <v>633</v>
      </c>
      <c r="B418" s="1" t="s">
        <v>401</v>
      </c>
      <c r="C418" s="1" t="s">
        <v>14</v>
      </c>
      <c r="D418" s="1" t="s">
        <v>15</v>
      </c>
      <c r="E418" s="1" t="s">
        <v>16</v>
      </c>
      <c r="F418" s="1" t="s">
        <v>17</v>
      </c>
      <c r="G418" s="1" t="s">
        <v>26</v>
      </c>
      <c r="H418" s="1">
        <v>13151</v>
      </c>
      <c r="I418" s="1" t="s">
        <v>27</v>
      </c>
      <c r="J418" s="1"/>
      <c r="K418" s="1">
        <v>14000</v>
      </c>
      <c r="L418" s="2">
        <v>45326</v>
      </c>
      <c r="M418" s="10" t="str">
        <f t="shared" si="6"/>
        <v>Below Target</v>
      </c>
    </row>
    <row r="419" spans="1:13" x14ac:dyDescent="0.35">
      <c r="A419" s="1" t="s">
        <v>634</v>
      </c>
      <c r="B419" s="1" t="s">
        <v>74</v>
      </c>
      <c r="C419" s="1" t="s">
        <v>30</v>
      </c>
      <c r="D419" s="1" t="s">
        <v>31</v>
      </c>
      <c r="E419" s="1" t="s">
        <v>46</v>
      </c>
      <c r="F419" s="1" t="s">
        <v>39</v>
      </c>
      <c r="G419" s="1" t="s">
        <v>36</v>
      </c>
      <c r="H419" s="1">
        <v>18901</v>
      </c>
      <c r="I419" s="1" t="s">
        <v>27</v>
      </c>
      <c r="J419" s="1"/>
      <c r="K419" s="1">
        <v>17000</v>
      </c>
      <c r="L419" s="2">
        <v>45349</v>
      </c>
      <c r="M419" s="10" t="str">
        <f t="shared" si="6"/>
        <v>Target Achieved</v>
      </c>
    </row>
    <row r="420" spans="1:13" x14ac:dyDescent="0.35">
      <c r="A420" s="1" t="s">
        <v>635</v>
      </c>
      <c r="B420" s="1" t="s">
        <v>204</v>
      </c>
      <c r="C420" s="1" t="s">
        <v>14</v>
      </c>
      <c r="D420" s="1" t="s">
        <v>15</v>
      </c>
      <c r="E420" s="1" t="s">
        <v>32</v>
      </c>
      <c r="F420" s="1" t="s">
        <v>17</v>
      </c>
      <c r="G420" s="1" t="s">
        <v>18</v>
      </c>
      <c r="H420" s="1">
        <v>13135</v>
      </c>
      <c r="I420" s="1" t="s">
        <v>19</v>
      </c>
      <c r="J420" s="1">
        <v>0.2</v>
      </c>
      <c r="K420" s="1">
        <v>14000</v>
      </c>
      <c r="L420" s="2">
        <v>45336</v>
      </c>
      <c r="M420" s="10" t="str">
        <f t="shared" si="6"/>
        <v>Below Target</v>
      </c>
    </row>
    <row r="421" spans="1:13" x14ac:dyDescent="0.35">
      <c r="A421" s="1" t="s">
        <v>636</v>
      </c>
      <c r="B421" s="1" t="s">
        <v>412</v>
      </c>
      <c r="C421" s="1" t="s">
        <v>44</v>
      </c>
      <c r="D421" s="1" t="s">
        <v>45</v>
      </c>
      <c r="E421" s="1" t="s">
        <v>32</v>
      </c>
      <c r="F421" s="1" t="s">
        <v>39</v>
      </c>
      <c r="G421" s="1" t="s">
        <v>36</v>
      </c>
      <c r="H421" s="1">
        <v>14393</v>
      </c>
      <c r="I421" s="1" t="s">
        <v>19</v>
      </c>
      <c r="J421" s="1">
        <v>0.2</v>
      </c>
      <c r="K421" s="1">
        <v>13000</v>
      </c>
      <c r="L421" s="2">
        <v>45340</v>
      </c>
      <c r="M421" s="10" t="str">
        <f t="shared" si="6"/>
        <v>Target Achieved</v>
      </c>
    </row>
    <row r="422" spans="1:13" x14ac:dyDescent="0.35">
      <c r="A422" s="1" t="s">
        <v>637</v>
      </c>
      <c r="B422" s="1" t="s">
        <v>198</v>
      </c>
      <c r="C422" s="1" t="s">
        <v>61</v>
      </c>
      <c r="D422" s="1" t="s">
        <v>62</v>
      </c>
      <c r="E422" s="1" t="s">
        <v>46</v>
      </c>
      <c r="F422" s="1" t="s">
        <v>25</v>
      </c>
      <c r="G422" s="1" t="s">
        <v>26</v>
      </c>
      <c r="H422" s="1">
        <v>9590</v>
      </c>
      <c r="I422" s="1" t="s">
        <v>33</v>
      </c>
      <c r="J422" s="1">
        <v>0.3</v>
      </c>
      <c r="K422" s="1">
        <v>9000</v>
      </c>
      <c r="L422" s="2">
        <v>45332</v>
      </c>
      <c r="M422" s="10" t="str">
        <f t="shared" si="6"/>
        <v>Target Achieved</v>
      </c>
    </row>
    <row r="423" spans="1:13" x14ac:dyDescent="0.35">
      <c r="A423" s="1" t="s">
        <v>638</v>
      </c>
      <c r="B423" s="1" t="s">
        <v>177</v>
      </c>
      <c r="C423" s="1" t="s">
        <v>61</v>
      </c>
      <c r="D423" s="1" t="s">
        <v>62</v>
      </c>
      <c r="E423" s="1" t="s">
        <v>32</v>
      </c>
      <c r="F423" s="1" t="s">
        <v>39</v>
      </c>
      <c r="G423" s="1" t="s">
        <v>18</v>
      </c>
      <c r="H423" s="1">
        <v>8650</v>
      </c>
      <c r="I423" s="1" t="s">
        <v>27</v>
      </c>
      <c r="J423" s="1"/>
      <c r="K423" s="1">
        <v>9000</v>
      </c>
      <c r="L423" s="2">
        <v>45339</v>
      </c>
      <c r="M423" s="10" t="str">
        <f t="shared" si="6"/>
        <v>Below Target</v>
      </c>
    </row>
    <row r="424" spans="1:13" x14ac:dyDescent="0.35">
      <c r="A424" s="1" t="s">
        <v>639</v>
      </c>
      <c r="B424" s="1" t="s">
        <v>350</v>
      </c>
      <c r="C424" s="1" t="s">
        <v>30</v>
      </c>
      <c r="D424" s="1" t="s">
        <v>31</v>
      </c>
      <c r="E424" s="1" t="s">
        <v>46</v>
      </c>
      <c r="F424" s="1" t="s">
        <v>17</v>
      </c>
      <c r="G424" s="1" t="s">
        <v>36</v>
      </c>
      <c r="H424" s="1">
        <v>17383</v>
      </c>
      <c r="I424" s="1" t="s">
        <v>22</v>
      </c>
      <c r="J424" s="1">
        <v>0.1</v>
      </c>
      <c r="K424" s="1">
        <v>17000</v>
      </c>
      <c r="L424" s="2">
        <v>45347</v>
      </c>
      <c r="M424" s="10" t="str">
        <f t="shared" si="6"/>
        <v>Target Achieved</v>
      </c>
    </row>
    <row r="425" spans="1:13" x14ac:dyDescent="0.35">
      <c r="A425" s="1" t="s">
        <v>640</v>
      </c>
      <c r="B425" s="1" t="s">
        <v>140</v>
      </c>
      <c r="C425" s="1" t="s">
        <v>14</v>
      </c>
      <c r="D425" s="1" t="s">
        <v>15</v>
      </c>
      <c r="E425" s="1" t="s">
        <v>16</v>
      </c>
      <c r="F425" s="1" t="s">
        <v>17</v>
      </c>
      <c r="G425" s="1" t="s">
        <v>26</v>
      </c>
      <c r="H425" s="1">
        <v>14720</v>
      </c>
      <c r="I425" s="1" t="s">
        <v>33</v>
      </c>
      <c r="J425" s="1">
        <v>0.3</v>
      </c>
      <c r="K425" s="1">
        <v>14000</v>
      </c>
      <c r="L425" s="2">
        <v>45346</v>
      </c>
      <c r="M425" s="10" t="str">
        <f t="shared" si="6"/>
        <v>Target Achieved</v>
      </c>
    </row>
    <row r="426" spans="1:13" x14ac:dyDescent="0.35">
      <c r="A426" s="1" t="s">
        <v>641</v>
      </c>
      <c r="B426" s="1" t="s">
        <v>200</v>
      </c>
      <c r="C426" s="1" t="s">
        <v>61</v>
      </c>
      <c r="D426" s="1" t="s">
        <v>62</v>
      </c>
      <c r="E426" s="1" t="s">
        <v>32</v>
      </c>
      <c r="F426" s="1" t="s">
        <v>17</v>
      </c>
      <c r="G426" s="1" t="s">
        <v>18</v>
      </c>
      <c r="H426" s="1">
        <v>9026</v>
      </c>
      <c r="I426" s="1" t="s">
        <v>33</v>
      </c>
      <c r="J426" s="1">
        <v>0.3</v>
      </c>
      <c r="K426" s="1">
        <v>9000</v>
      </c>
      <c r="L426" s="2">
        <v>45312</v>
      </c>
      <c r="M426" s="10" t="str">
        <f t="shared" si="6"/>
        <v>Target Achieved</v>
      </c>
    </row>
    <row r="427" spans="1:13" x14ac:dyDescent="0.35">
      <c r="A427" s="1" t="s">
        <v>642</v>
      </c>
      <c r="B427" s="1" t="s">
        <v>643</v>
      </c>
      <c r="C427" s="1" t="s">
        <v>30</v>
      </c>
      <c r="D427" s="1" t="s">
        <v>31</v>
      </c>
      <c r="E427" s="1" t="s">
        <v>16</v>
      </c>
      <c r="F427" s="1" t="s">
        <v>39</v>
      </c>
      <c r="G427" s="1" t="s">
        <v>18</v>
      </c>
      <c r="H427" s="1">
        <v>17318</v>
      </c>
      <c r="I427" s="1"/>
      <c r="J427" s="1"/>
      <c r="K427" s="1">
        <v>17000</v>
      </c>
      <c r="L427" s="2">
        <v>45342</v>
      </c>
      <c r="M427" s="10" t="str">
        <f t="shared" si="6"/>
        <v>Target Achieved</v>
      </c>
    </row>
    <row r="428" spans="1:13" x14ac:dyDescent="0.35">
      <c r="A428" s="1" t="s">
        <v>644</v>
      </c>
      <c r="B428" s="1" t="s">
        <v>150</v>
      </c>
      <c r="C428" s="1" t="s">
        <v>14</v>
      </c>
      <c r="D428" s="1" t="s">
        <v>15</v>
      </c>
      <c r="E428" s="1" t="s">
        <v>32</v>
      </c>
      <c r="F428" s="1" t="s">
        <v>25</v>
      </c>
      <c r="G428" s="1" t="s">
        <v>26</v>
      </c>
      <c r="H428" s="1">
        <v>15210</v>
      </c>
      <c r="I428" s="1"/>
      <c r="J428" s="1"/>
      <c r="K428" s="1">
        <v>14000</v>
      </c>
      <c r="L428" s="2">
        <v>45293</v>
      </c>
      <c r="M428" s="10" t="str">
        <f t="shared" si="6"/>
        <v>Target Achieved</v>
      </c>
    </row>
    <row r="429" spans="1:13" x14ac:dyDescent="0.35">
      <c r="A429" s="1" t="s">
        <v>645</v>
      </c>
      <c r="B429" s="1" t="s">
        <v>159</v>
      </c>
      <c r="C429" s="1" t="s">
        <v>44</v>
      </c>
      <c r="D429" s="1" t="s">
        <v>45</v>
      </c>
      <c r="E429" s="1" t="s">
        <v>46</v>
      </c>
      <c r="F429" s="1" t="s">
        <v>17</v>
      </c>
      <c r="G429" s="1" t="s">
        <v>18</v>
      </c>
      <c r="H429" s="1">
        <v>14924</v>
      </c>
      <c r="I429" s="1"/>
      <c r="J429" s="1"/>
      <c r="K429" s="1">
        <v>13000</v>
      </c>
      <c r="L429" s="2">
        <v>45304</v>
      </c>
      <c r="M429" s="10" t="str">
        <f t="shared" si="6"/>
        <v>Target Achieved</v>
      </c>
    </row>
    <row r="430" spans="1:13" x14ac:dyDescent="0.35">
      <c r="A430" s="1" t="s">
        <v>646</v>
      </c>
      <c r="B430" s="1" t="s">
        <v>153</v>
      </c>
      <c r="C430" s="1" t="s">
        <v>30</v>
      </c>
      <c r="D430" s="1" t="s">
        <v>31</v>
      </c>
      <c r="E430" s="1" t="s">
        <v>32</v>
      </c>
      <c r="F430" s="1" t="s">
        <v>17</v>
      </c>
      <c r="G430" s="1" t="s">
        <v>18</v>
      </c>
      <c r="H430" s="1">
        <v>17681</v>
      </c>
      <c r="I430" s="1" t="s">
        <v>33</v>
      </c>
      <c r="J430" s="1">
        <v>0.3</v>
      </c>
      <c r="K430" s="1">
        <v>17000</v>
      </c>
      <c r="L430" s="2">
        <v>45308</v>
      </c>
      <c r="M430" s="10" t="str">
        <f t="shared" si="6"/>
        <v>Target Achieved</v>
      </c>
    </row>
    <row r="431" spans="1:13" x14ac:dyDescent="0.35">
      <c r="A431" s="1" t="s">
        <v>647</v>
      </c>
      <c r="B431" s="1" t="s">
        <v>432</v>
      </c>
      <c r="C431" s="1" t="s">
        <v>44</v>
      </c>
      <c r="D431" s="1" t="s">
        <v>45</v>
      </c>
      <c r="E431" s="1" t="s">
        <v>32</v>
      </c>
      <c r="F431" s="1" t="s">
        <v>17</v>
      </c>
      <c r="G431" s="1" t="s">
        <v>26</v>
      </c>
      <c r="H431" s="1">
        <v>12251</v>
      </c>
      <c r="I431" s="1" t="s">
        <v>19</v>
      </c>
      <c r="J431" s="1">
        <v>0.2</v>
      </c>
      <c r="K431" s="1">
        <v>13000</v>
      </c>
      <c r="L431" s="2">
        <v>45319</v>
      </c>
      <c r="M431" s="10" t="str">
        <f t="shared" si="6"/>
        <v>Below Target</v>
      </c>
    </row>
    <row r="432" spans="1:13" x14ac:dyDescent="0.35">
      <c r="A432" s="1" t="s">
        <v>648</v>
      </c>
      <c r="B432" s="1" t="s">
        <v>13</v>
      </c>
      <c r="C432" s="1" t="s">
        <v>14</v>
      </c>
      <c r="D432" s="1" t="s">
        <v>15</v>
      </c>
      <c r="E432" s="1" t="s">
        <v>32</v>
      </c>
      <c r="F432" s="1" t="s">
        <v>25</v>
      </c>
      <c r="G432" s="1" t="s">
        <v>36</v>
      </c>
      <c r="H432" s="1">
        <v>12319</v>
      </c>
      <c r="I432" s="1" t="s">
        <v>19</v>
      </c>
      <c r="J432" s="1">
        <v>0.2</v>
      </c>
      <c r="K432" s="1">
        <v>14000</v>
      </c>
      <c r="L432" s="2">
        <v>45329</v>
      </c>
      <c r="M432" s="10" t="str">
        <f t="shared" si="6"/>
        <v>Below Target</v>
      </c>
    </row>
    <row r="433" spans="1:13" x14ac:dyDescent="0.35">
      <c r="A433" s="1" t="s">
        <v>649</v>
      </c>
      <c r="B433" s="1" t="s">
        <v>24</v>
      </c>
      <c r="C433" s="1" t="s">
        <v>61</v>
      </c>
      <c r="D433" s="1" t="s">
        <v>62</v>
      </c>
      <c r="E433" s="1" t="s">
        <v>32</v>
      </c>
      <c r="F433" s="1" t="s">
        <v>25</v>
      </c>
      <c r="G433" s="1" t="s">
        <v>26</v>
      </c>
      <c r="H433" s="1">
        <v>8407</v>
      </c>
      <c r="I433" s="1" t="s">
        <v>22</v>
      </c>
      <c r="J433" s="1">
        <v>0.1</v>
      </c>
      <c r="K433" s="1">
        <v>9000</v>
      </c>
      <c r="L433" s="2">
        <v>45347</v>
      </c>
      <c r="M433" s="10" t="str">
        <f t="shared" si="6"/>
        <v>Below Target</v>
      </c>
    </row>
    <row r="434" spans="1:13" x14ac:dyDescent="0.35">
      <c r="A434" s="1" t="s">
        <v>650</v>
      </c>
      <c r="B434" s="1" t="s">
        <v>101</v>
      </c>
      <c r="C434" s="1" t="s">
        <v>44</v>
      </c>
      <c r="D434" s="1" t="s">
        <v>45</v>
      </c>
      <c r="E434" s="1" t="s">
        <v>46</v>
      </c>
      <c r="F434" s="1" t="s">
        <v>25</v>
      </c>
      <c r="G434" s="1" t="s">
        <v>18</v>
      </c>
      <c r="H434" s="1">
        <v>12569</v>
      </c>
      <c r="I434" s="1" t="s">
        <v>22</v>
      </c>
      <c r="J434" s="1">
        <v>0.1</v>
      </c>
      <c r="K434" s="1">
        <v>13000</v>
      </c>
      <c r="L434" s="2">
        <v>45338</v>
      </c>
      <c r="M434" s="10" t="str">
        <f t="shared" si="6"/>
        <v>Below Target</v>
      </c>
    </row>
    <row r="435" spans="1:13" x14ac:dyDescent="0.35">
      <c r="A435" s="1" t="s">
        <v>651</v>
      </c>
      <c r="B435" s="1" t="s">
        <v>652</v>
      </c>
      <c r="C435" s="1" t="s">
        <v>14</v>
      </c>
      <c r="D435" s="1" t="s">
        <v>15</v>
      </c>
      <c r="E435" s="1" t="s">
        <v>46</v>
      </c>
      <c r="F435" s="1" t="s">
        <v>17</v>
      </c>
      <c r="G435" s="1" t="s">
        <v>36</v>
      </c>
      <c r="H435" s="1">
        <v>12561</v>
      </c>
      <c r="I435" s="1"/>
      <c r="J435" s="1"/>
      <c r="K435" s="1">
        <v>14000</v>
      </c>
      <c r="L435" s="2">
        <v>45341</v>
      </c>
      <c r="M435" s="10" t="str">
        <f t="shared" si="6"/>
        <v>Below Target</v>
      </c>
    </row>
    <row r="436" spans="1:13" x14ac:dyDescent="0.35">
      <c r="A436" s="1" t="s">
        <v>653</v>
      </c>
      <c r="B436" s="1" t="s">
        <v>393</v>
      </c>
      <c r="C436" s="1" t="s">
        <v>44</v>
      </c>
      <c r="D436" s="1" t="s">
        <v>45</v>
      </c>
      <c r="E436" s="1" t="s">
        <v>16</v>
      </c>
      <c r="F436" s="1" t="s">
        <v>39</v>
      </c>
      <c r="G436" s="1" t="s">
        <v>18</v>
      </c>
      <c r="H436" s="1">
        <v>11280</v>
      </c>
      <c r="I436" s="1" t="s">
        <v>27</v>
      </c>
      <c r="J436" s="1"/>
      <c r="K436" s="1">
        <v>13000</v>
      </c>
      <c r="L436" s="2">
        <v>45328</v>
      </c>
      <c r="M436" s="10" t="str">
        <f t="shared" si="6"/>
        <v>Below Target</v>
      </c>
    </row>
    <row r="437" spans="1:13" x14ac:dyDescent="0.35">
      <c r="A437" s="1" t="s">
        <v>654</v>
      </c>
      <c r="B437" s="1" t="s">
        <v>109</v>
      </c>
      <c r="C437" s="1" t="s">
        <v>44</v>
      </c>
      <c r="D437" s="1" t="s">
        <v>45</v>
      </c>
      <c r="E437" s="1" t="s">
        <v>46</v>
      </c>
      <c r="F437" s="1" t="s">
        <v>17</v>
      </c>
      <c r="G437" s="1" t="s">
        <v>26</v>
      </c>
      <c r="H437" s="1">
        <v>11872</v>
      </c>
      <c r="I437" s="1" t="s">
        <v>19</v>
      </c>
      <c r="J437" s="1">
        <v>0.2</v>
      </c>
      <c r="K437" s="1">
        <v>13000</v>
      </c>
      <c r="L437" s="2">
        <v>45350</v>
      </c>
      <c r="M437" s="10" t="str">
        <f t="shared" si="6"/>
        <v>Below Target</v>
      </c>
    </row>
    <row r="438" spans="1:13" x14ac:dyDescent="0.35">
      <c r="A438" s="1" t="s">
        <v>655</v>
      </c>
      <c r="B438" s="1" t="s">
        <v>617</v>
      </c>
      <c r="C438" s="1" t="s">
        <v>61</v>
      </c>
      <c r="D438" s="1" t="s">
        <v>62</v>
      </c>
      <c r="E438" s="1" t="s">
        <v>32</v>
      </c>
      <c r="F438" s="1" t="s">
        <v>25</v>
      </c>
      <c r="G438" s="1" t="s">
        <v>18</v>
      </c>
      <c r="H438" s="1">
        <v>7573</v>
      </c>
      <c r="I438" s="1" t="s">
        <v>22</v>
      </c>
      <c r="J438" s="1">
        <v>0.1</v>
      </c>
      <c r="K438" s="1">
        <v>9000</v>
      </c>
      <c r="L438" s="2">
        <v>45329</v>
      </c>
      <c r="M438" s="10" t="str">
        <f t="shared" si="6"/>
        <v>Below Target</v>
      </c>
    </row>
    <row r="439" spans="1:13" x14ac:dyDescent="0.35">
      <c r="A439" s="1" t="s">
        <v>656</v>
      </c>
      <c r="B439" s="1" t="s">
        <v>127</v>
      </c>
      <c r="C439" s="1" t="s">
        <v>30</v>
      </c>
      <c r="D439" s="1" t="s">
        <v>31</v>
      </c>
      <c r="E439" s="1" t="s">
        <v>46</v>
      </c>
      <c r="F439" s="1" t="s">
        <v>17</v>
      </c>
      <c r="G439" s="1" t="s">
        <v>18</v>
      </c>
      <c r="H439" s="1">
        <v>16014</v>
      </c>
      <c r="I439" s="1" t="s">
        <v>33</v>
      </c>
      <c r="J439" s="1">
        <v>0.3</v>
      </c>
      <c r="K439" s="1">
        <v>17000</v>
      </c>
      <c r="L439" s="2">
        <v>45333</v>
      </c>
      <c r="M439" s="10" t="str">
        <f t="shared" si="6"/>
        <v>Below Target</v>
      </c>
    </row>
    <row r="440" spans="1:13" x14ac:dyDescent="0.35">
      <c r="A440" s="1" t="s">
        <v>657</v>
      </c>
      <c r="B440" s="1" t="s">
        <v>248</v>
      </c>
      <c r="C440" s="1" t="s">
        <v>30</v>
      </c>
      <c r="D440" s="1" t="s">
        <v>31</v>
      </c>
      <c r="E440" s="1" t="s">
        <v>16</v>
      </c>
      <c r="F440" s="1" t="s">
        <v>25</v>
      </c>
      <c r="G440" s="1" t="s">
        <v>26</v>
      </c>
      <c r="H440" s="1">
        <v>18587</v>
      </c>
      <c r="I440" s="1" t="s">
        <v>33</v>
      </c>
      <c r="J440" s="1">
        <v>0.3</v>
      </c>
      <c r="K440" s="1">
        <v>17000</v>
      </c>
      <c r="L440" s="2">
        <v>45305</v>
      </c>
      <c r="M440" s="10" t="str">
        <f t="shared" si="6"/>
        <v>Target Achieved</v>
      </c>
    </row>
    <row r="441" spans="1:13" x14ac:dyDescent="0.35">
      <c r="A441" s="1" t="s">
        <v>658</v>
      </c>
      <c r="B441" s="1" t="s">
        <v>382</v>
      </c>
      <c r="C441" s="1" t="s">
        <v>44</v>
      </c>
      <c r="D441" s="1" t="s">
        <v>45</v>
      </c>
      <c r="E441" s="1" t="s">
        <v>16</v>
      </c>
      <c r="F441" s="1" t="s">
        <v>17</v>
      </c>
      <c r="G441" s="1" t="s">
        <v>36</v>
      </c>
      <c r="H441" s="1">
        <v>13646</v>
      </c>
      <c r="I441" s="1" t="s">
        <v>22</v>
      </c>
      <c r="J441" s="1">
        <v>0.1</v>
      </c>
      <c r="K441" s="1">
        <v>13000</v>
      </c>
      <c r="L441" s="2">
        <v>45342</v>
      </c>
      <c r="M441" s="10" t="str">
        <f t="shared" si="6"/>
        <v>Target Achieved</v>
      </c>
    </row>
    <row r="442" spans="1:13" x14ac:dyDescent="0.35">
      <c r="A442" s="1" t="s">
        <v>659</v>
      </c>
      <c r="B442" s="1" t="s">
        <v>148</v>
      </c>
      <c r="C442" s="1" t="s">
        <v>44</v>
      </c>
      <c r="D442" s="1" t="s">
        <v>45</v>
      </c>
      <c r="E442" s="1" t="s">
        <v>46</v>
      </c>
      <c r="F442" s="1" t="s">
        <v>17</v>
      </c>
      <c r="G442" s="1" t="s">
        <v>18</v>
      </c>
      <c r="H442" s="1">
        <v>11987</v>
      </c>
      <c r="I442" s="1"/>
      <c r="J442" s="1"/>
      <c r="K442" s="1">
        <v>13000</v>
      </c>
      <c r="L442" s="2">
        <v>45332</v>
      </c>
      <c r="M442" s="10" t="str">
        <f t="shared" si="6"/>
        <v>Below Target</v>
      </c>
    </row>
    <row r="443" spans="1:13" x14ac:dyDescent="0.35">
      <c r="A443" s="1" t="s">
        <v>660</v>
      </c>
      <c r="B443" s="1" t="s">
        <v>107</v>
      </c>
      <c r="C443" s="1" t="s">
        <v>14</v>
      </c>
      <c r="D443" s="1" t="s">
        <v>15</v>
      </c>
      <c r="E443" s="1" t="s">
        <v>46</v>
      </c>
      <c r="F443" s="1" t="s">
        <v>17</v>
      </c>
      <c r="G443" s="1" t="s">
        <v>18</v>
      </c>
      <c r="H443" s="1">
        <v>13584</v>
      </c>
      <c r="I443" s="1" t="s">
        <v>27</v>
      </c>
      <c r="J443" s="1"/>
      <c r="K443" s="1">
        <v>14000</v>
      </c>
      <c r="L443" s="2">
        <v>45318</v>
      </c>
      <c r="M443" s="10" t="str">
        <f t="shared" si="6"/>
        <v>Below Target</v>
      </c>
    </row>
    <row r="444" spans="1:13" x14ac:dyDescent="0.35">
      <c r="A444" s="1" t="s">
        <v>661</v>
      </c>
      <c r="B444" s="1" t="s">
        <v>301</v>
      </c>
      <c r="C444" s="1" t="s">
        <v>44</v>
      </c>
      <c r="D444" s="1" t="s">
        <v>45</v>
      </c>
      <c r="E444" s="1" t="s">
        <v>46</v>
      </c>
      <c r="F444" s="1" t="s">
        <v>25</v>
      </c>
      <c r="G444" s="1" t="s">
        <v>18</v>
      </c>
      <c r="H444" s="1">
        <v>13405</v>
      </c>
      <c r="I444" s="1" t="s">
        <v>22</v>
      </c>
      <c r="J444" s="1">
        <v>0.1</v>
      </c>
      <c r="K444" s="1">
        <v>13000</v>
      </c>
      <c r="L444" s="2">
        <v>45292</v>
      </c>
      <c r="M444" s="10" t="str">
        <f t="shared" si="6"/>
        <v>Target Achieved</v>
      </c>
    </row>
    <row r="445" spans="1:13" x14ac:dyDescent="0.35">
      <c r="A445" s="1" t="s">
        <v>662</v>
      </c>
      <c r="B445" s="1" t="s">
        <v>289</v>
      </c>
      <c r="C445" s="1" t="s">
        <v>14</v>
      </c>
      <c r="D445" s="1" t="s">
        <v>15</v>
      </c>
      <c r="E445" s="1" t="s">
        <v>32</v>
      </c>
      <c r="F445" s="1" t="s">
        <v>17</v>
      </c>
      <c r="G445" s="1" t="s">
        <v>26</v>
      </c>
      <c r="H445" s="1">
        <v>13173</v>
      </c>
      <c r="I445" s="1" t="s">
        <v>27</v>
      </c>
      <c r="J445" s="1"/>
      <c r="K445" s="1">
        <v>14000</v>
      </c>
      <c r="L445" s="2">
        <v>45341</v>
      </c>
      <c r="M445" s="10" t="str">
        <f t="shared" si="6"/>
        <v>Below Target</v>
      </c>
    </row>
    <row r="446" spans="1:13" x14ac:dyDescent="0.35">
      <c r="A446" s="1" t="s">
        <v>663</v>
      </c>
      <c r="B446" s="1" t="s">
        <v>177</v>
      </c>
      <c r="C446" s="1" t="s">
        <v>61</v>
      </c>
      <c r="D446" s="1" t="s">
        <v>62</v>
      </c>
      <c r="E446" s="1" t="s">
        <v>32</v>
      </c>
      <c r="F446" s="1" t="s">
        <v>39</v>
      </c>
      <c r="G446" s="1" t="s">
        <v>26</v>
      </c>
      <c r="H446" s="1">
        <v>9202</v>
      </c>
      <c r="I446" s="1" t="s">
        <v>27</v>
      </c>
      <c r="J446" s="1"/>
      <c r="K446" s="1">
        <v>9000</v>
      </c>
      <c r="L446" s="2">
        <v>45301</v>
      </c>
      <c r="M446" s="10" t="str">
        <f t="shared" si="6"/>
        <v>Target Achieved</v>
      </c>
    </row>
    <row r="447" spans="1:13" x14ac:dyDescent="0.35">
      <c r="A447" s="1" t="s">
        <v>664</v>
      </c>
      <c r="B447" s="1" t="s">
        <v>222</v>
      </c>
      <c r="C447" s="1" t="s">
        <v>30</v>
      </c>
      <c r="D447" s="1" t="s">
        <v>31</v>
      </c>
      <c r="E447" s="1" t="s">
        <v>32</v>
      </c>
      <c r="F447" s="1" t="s">
        <v>39</v>
      </c>
      <c r="G447" s="1" t="s">
        <v>18</v>
      </c>
      <c r="H447" s="1">
        <v>18990</v>
      </c>
      <c r="I447" s="1" t="s">
        <v>19</v>
      </c>
      <c r="J447" s="1">
        <v>0.2</v>
      </c>
      <c r="K447" s="1">
        <v>17000</v>
      </c>
      <c r="L447" s="2">
        <v>45326</v>
      </c>
      <c r="M447" s="10" t="str">
        <f t="shared" si="6"/>
        <v>Target Achieved</v>
      </c>
    </row>
    <row r="448" spans="1:13" x14ac:dyDescent="0.35">
      <c r="A448" s="1" t="s">
        <v>665</v>
      </c>
      <c r="B448" s="1" t="s">
        <v>666</v>
      </c>
      <c r="C448" s="1" t="s">
        <v>14</v>
      </c>
      <c r="D448" s="1" t="s">
        <v>15</v>
      </c>
      <c r="E448" s="1" t="s">
        <v>46</v>
      </c>
      <c r="F448" s="1" t="s">
        <v>39</v>
      </c>
      <c r="G448" s="1" t="s">
        <v>36</v>
      </c>
      <c r="H448" s="1">
        <v>14989</v>
      </c>
      <c r="I448" s="1" t="s">
        <v>19</v>
      </c>
      <c r="J448" s="1">
        <v>0.2</v>
      </c>
      <c r="K448" s="1">
        <v>14000</v>
      </c>
      <c r="L448" s="2">
        <v>45295</v>
      </c>
      <c r="M448" s="10" t="str">
        <f t="shared" si="6"/>
        <v>Target Achieved</v>
      </c>
    </row>
    <row r="449" spans="1:13" x14ac:dyDescent="0.35">
      <c r="A449" s="1" t="s">
        <v>667</v>
      </c>
      <c r="B449" s="1" t="s">
        <v>229</v>
      </c>
      <c r="C449" s="1" t="s">
        <v>61</v>
      </c>
      <c r="D449" s="1" t="s">
        <v>62</v>
      </c>
      <c r="E449" s="1" t="s">
        <v>32</v>
      </c>
      <c r="F449" s="1" t="s">
        <v>17</v>
      </c>
      <c r="G449" s="1" t="s">
        <v>26</v>
      </c>
      <c r="H449" s="1">
        <v>9493</v>
      </c>
      <c r="I449" s="1" t="s">
        <v>22</v>
      </c>
      <c r="J449" s="1">
        <v>0.1</v>
      </c>
      <c r="K449" s="1">
        <v>9000</v>
      </c>
      <c r="L449" s="2">
        <v>45311</v>
      </c>
      <c r="M449" s="10" t="str">
        <f t="shared" si="6"/>
        <v>Target Achieved</v>
      </c>
    </row>
    <row r="450" spans="1:13" x14ac:dyDescent="0.35">
      <c r="A450" s="1" t="s">
        <v>668</v>
      </c>
      <c r="B450" s="1" t="s">
        <v>305</v>
      </c>
      <c r="C450" s="1" t="s">
        <v>44</v>
      </c>
      <c r="D450" s="1" t="s">
        <v>45</v>
      </c>
      <c r="E450" s="1" t="s">
        <v>32</v>
      </c>
      <c r="F450" s="1" t="s">
        <v>25</v>
      </c>
      <c r="G450" s="1" t="s">
        <v>26</v>
      </c>
      <c r="H450" s="1">
        <v>11562</v>
      </c>
      <c r="I450" s="1" t="s">
        <v>22</v>
      </c>
      <c r="J450" s="1">
        <v>0.1</v>
      </c>
      <c r="K450" s="1">
        <v>13000</v>
      </c>
      <c r="L450" s="2">
        <v>45302</v>
      </c>
      <c r="M450" s="10" t="str">
        <f t="shared" si="6"/>
        <v>Below Target</v>
      </c>
    </row>
    <row r="451" spans="1:13" x14ac:dyDescent="0.35">
      <c r="A451" s="1" t="s">
        <v>669</v>
      </c>
      <c r="B451" s="1" t="s">
        <v>188</v>
      </c>
      <c r="C451" s="1" t="s">
        <v>30</v>
      </c>
      <c r="D451" s="1" t="s">
        <v>31</v>
      </c>
      <c r="E451" s="1" t="s">
        <v>32</v>
      </c>
      <c r="F451" s="1" t="s">
        <v>17</v>
      </c>
      <c r="G451" s="1" t="s">
        <v>18</v>
      </c>
      <c r="H451" s="1">
        <v>18071</v>
      </c>
      <c r="I451" s="1" t="s">
        <v>33</v>
      </c>
      <c r="J451" s="1">
        <v>0.3</v>
      </c>
      <c r="K451" s="1">
        <v>17000</v>
      </c>
      <c r="L451" s="2">
        <v>45338</v>
      </c>
      <c r="M451" s="10" t="str">
        <f t="shared" ref="M451:M514" si="7">IF(H451&gt;=K451,"Target Achieved","Below Target")</f>
        <v>Target Achieved</v>
      </c>
    </row>
    <row r="452" spans="1:13" x14ac:dyDescent="0.35">
      <c r="A452" s="1" t="s">
        <v>670</v>
      </c>
      <c r="B452" s="1" t="s">
        <v>403</v>
      </c>
      <c r="C452" s="1" t="s">
        <v>14</v>
      </c>
      <c r="D452" s="1" t="s">
        <v>15</v>
      </c>
      <c r="E452" s="1" t="s">
        <v>46</v>
      </c>
      <c r="F452" s="1" t="s">
        <v>17</v>
      </c>
      <c r="G452" s="1" t="s">
        <v>36</v>
      </c>
      <c r="H452" s="1">
        <v>14145</v>
      </c>
      <c r="I452" s="1" t="s">
        <v>22</v>
      </c>
      <c r="J452" s="1">
        <v>0.1</v>
      </c>
      <c r="K452" s="1">
        <v>14000</v>
      </c>
      <c r="L452" s="2">
        <v>45308</v>
      </c>
      <c r="M452" s="10" t="str">
        <f t="shared" si="7"/>
        <v>Target Achieved</v>
      </c>
    </row>
    <row r="453" spans="1:13" x14ac:dyDescent="0.35">
      <c r="A453" s="1" t="s">
        <v>671</v>
      </c>
      <c r="B453" s="1" t="s">
        <v>672</v>
      </c>
      <c r="C453" s="1" t="s">
        <v>14</v>
      </c>
      <c r="D453" s="1" t="s">
        <v>15</v>
      </c>
      <c r="E453" s="1" t="s">
        <v>46</v>
      </c>
      <c r="F453" s="1" t="s">
        <v>17</v>
      </c>
      <c r="G453" s="1" t="s">
        <v>26</v>
      </c>
      <c r="H453" s="1">
        <v>13475</v>
      </c>
      <c r="I453" s="1" t="s">
        <v>22</v>
      </c>
      <c r="J453" s="1">
        <v>0.1</v>
      </c>
      <c r="K453" s="1">
        <v>14000</v>
      </c>
      <c r="L453" s="2">
        <v>45323</v>
      </c>
      <c r="M453" s="10" t="str">
        <f t="shared" si="7"/>
        <v>Below Target</v>
      </c>
    </row>
    <row r="454" spans="1:13" x14ac:dyDescent="0.35">
      <c r="A454" s="1" t="s">
        <v>673</v>
      </c>
      <c r="B454" s="1" t="s">
        <v>460</v>
      </c>
      <c r="C454" s="1" t="s">
        <v>44</v>
      </c>
      <c r="D454" s="1" t="s">
        <v>45</v>
      </c>
      <c r="E454" s="1" t="s">
        <v>46</v>
      </c>
      <c r="F454" s="1" t="s">
        <v>25</v>
      </c>
      <c r="G454" s="1" t="s">
        <v>36</v>
      </c>
      <c r="H454" s="1">
        <v>14167</v>
      </c>
      <c r="I454" s="1" t="s">
        <v>22</v>
      </c>
      <c r="J454" s="1">
        <v>0.1</v>
      </c>
      <c r="K454" s="1">
        <v>13000</v>
      </c>
      <c r="L454" s="2">
        <v>45349</v>
      </c>
      <c r="M454" s="10" t="str">
        <f t="shared" si="7"/>
        <v>Target Achieved</v>
      </c>
    </row>
    <row r="455" spans="1:13" x14ac:dyDescent="0.35">
      <c r="A455" s="1" t="s">
        <v>674</v>
      </c>
      <c r="B455" s="1" t="s">
        <v>209</v>
      </c>
      <c r="C455" s="1" t="s">
        <v>14</v>
      </c>
      <c r="D455" s="1" t="s">
        <v>15</v>
      </c>
      <c r="E455" s="1" t="s">
        <v>32</v>
      </c>
      <c r="F455" s="1" t="s">
        <v>39</v>
      </c>
      <c r="G455" s="1" t="s">
        <v>26</v>
      </c>
      <c r="H455" s="1">
        <v>12010</v>
      </c>
      <c r="I455" s="1" t="s">
        <v>22</v>
      </c>
      <c r="J455" s="1">
        <v>0.1</v>
      </c>
      <c r="K455" s="1">
        <v>14000</v>
      </c>
      <c r="L455" s="2">
        <v>45346</v>
      </c>
      <c r="M455" s="10" t="str">
        <f t="shared" si="7"/>
        <v>Below Target</v>
      </c>
    </row>
    <row r="456" spans="1:13" x14ac:dyDescent="0.35">
      <c r="A456" s="1" t="s">
        <v>675</v>
      </c>
      <c r="B456" s="1" t="s">
        <v>676</v>
      </c>
      <c r="C456" s="1" t="s">
        <v>44</v>
      </c>
      <c r="D456" s="1" t="s">
        <v>45</v>
      </c>
      <c r="E456" s="1" t="s">
        <v>32</v>
      </c>
      <c r="F456" s="1" t="s">
        <v>17</v>
      </c>
      <c r="G456" s="1" t="s">
        <v>36</v>
      </c>
      <c r="H456" s="1">
        <v>12568</v>
      </c>
      <c r="I456" s="1" t="s">
        <v>19</v>
      </c>
      <c r="J456" s="1">
        <v>0.2</v>
      </c>
      <c r="K456" s="1">
        <v>13000</v>
      </c>
      <c r="L456" s="2">
        <v>45303</v>
      </c>
      <c r="M456" s="10" t="str">
        <f t="shared" si="7"/>
        <v>Below Target</v>
      </c>
    </row>
    <row r="457" spans="1:13" x14ac:dyDescent="0.35">
      <c r="A457" s="1" t="s">
        <v>677</v>
      </c>
      <c r="B457" s="1" t="s">
        <v>454</v>
      </c>
      <c r="C457" s="1" t="s">
        <v>14</v>
      </c>
      <c r="D457" s="1" t="s">
        <v>15</v>
      </c>
      <c r="E457" s="1" t="s">
        <v>16</v>
      </c>
      <c r="F457" s="1" t="s">
        <v>39</v>
      </c>
      <c r="G457" s="1" t="s">
        <v>26</v>
      </c>
      <c r="H457" s="1">
        <v>14685</v>
      </c>
      <c r="I457" s="1"/>
      <c r="J457" s="1"/>
      <c r="K457" s="1">
        <v>14000</v>
      </c>
      <c r="L457" s="2">
        <v>45306</v>
      </c>
      <c r="M457" s="10" t="str">
        <f t="shared" si="7"/>
        <v>Target Achieved</v>
      </c>
    </row>
    <row r="458" spans="1:13" x14ac:dyDescent="0.35">
      <c r="A458" s="1" t="s">
        <v>678</v>
      </c>
      <c r="B458" s="1" t="s">
        <v>408</v>
      </c>
      <c r="C458" s="1" t="s">
        <v>61</v>
      </c>
      <c r="D458" s="1" t="s">
        <v>62</v>
      </c>
      <c r="E458" s="1" t="s">
        <v>16</v>
      </c>
      <c r="F458" s="1" t="s">
        <v>17</v>
      </c>
      <c r="G458" s="1" t="s">
        <v>36</v>
      </c>
      <c r="H458" s="1">
        <v>10383</v>
      </c>
      <c r="I458" s="1" t="s">
        <v>22</v>
      </c>
      <c r="J458" s="1">
        <v>0.1</v>
      </c>
      <c r="K458" s="1">
        <v>9000</v>
      </c>
      <c r="L458" s="2">
        <v>45328</v>
      </c>
      <c r="M458" s="10" t="str">
        <f t="shared" si="7"/>
        <v>Target Achieved</v>
      </c>
    </row>
    <row r="459" spans="1:13" x14ac:dyDescent="0.35">
      <c r="A459" s="1" t="s">
        <v>679</v>
      </c>
      <c r="B459" s="1" t="s">
        <v>116</v>
      </c>
      <c r="C459" s="1" t="s">
        <v>14</v>
      </c>
      <c r="D459" s="1" t="s">
        <v>15</v>
      </c>
      <c r="E459" s="1" t="s">
        <v>32</v>
      </c>
      <c r="F459" s="1" t="s">
        <v>25</v>
      </c>
      <c r="G459" s="1" t="s">
        <v>26</v>
      </c>
      <c r="H459" s="1">
        <v>12188</v>
      </c>
      <c r="I459" s="1"/>
      <c r="J459" s="1"/>
      <c r="K459" s="1">
        <v>14000</v>
      </c>
      <c r="L459" s="2">
        <v>45296</v>
      </c>
      <c r="M459" s="10" t="str">
        <f t="shared" si="7"/>
        <v>Below Target</v>
      </c>
    </row>
    <row r="460" spans="1:13" x14ac:dyDescent="0.35">
      <c r="A460" s="1" t="s">
        <v>680</v>
      </c>
      <c r="B460" s="1" t="s">
        <v>445</v>
      </c>
      <c r="C460" s="1" t="s">
        <v>30</v>
      </c>
      <c r="D460" s="1" t="s">
        <v>31</v>
      </c>
      <c r="E460" s="1" t="s">
        <v>46</v>
      </c>
      <c r="F460" s="1" t="s">
        <v>17</v>
      </c>
      <c r="G460" s="1" t="s">
        <v>18</v>
      </c>
      <c r="H460" s="1">
        <v>17265</v>
      </c>
      <c r="I460" s="1"/>
      <c r="J460" s="1"/>
      <c r="K460" s="1">
        <v>17000</v>
      </c>
      <c r="L460" s="2">
        <v>45292</v>
      </c>
      <c r="M460" s="10" t="str">
        <f t="shared" si="7"/>
        <v>Target Achieved</v>
      </c>
    </row>
    <row r="461" spans="1:13" x14ac:dyDescent="0.35">
      <c r="A461" s="1" t="s">
        <v>681</v>
      </c>
      <c r="B461" s="1" t="s">
        <v>408</v>
      </c>
      <c r="C461" s="1" t="s">
        <v>30</v>
      </c>
      <c r="D461" s="1" t="s">
        <v>31</v>
      </c>
      <c r="E461" s="1" t="s">
        <v>16</v>
      </c>
      <c r="F461" s="1" t="s">
        <v>17</v>
      </c>
      <c r="G461" s="1" t="s">
        <v>26</v>
      </c>
      <c r="H461" s="1">
        <v>17550</v>
      </c>
      <c r="I461" s="1" t="s">
        <v>19</v>
      </c>
      <c r="J461" s="1">
        <v>0.2</v>
      </c>
      <c r="K461" s="1">
        <v>17000</v>
      </c>
      <c r="L461" s="2">
        <v>45321</v>
      </c>
      <c r="M461" s="10" t="str">
        <f t="shared" si="7"/>
        <v>Target Achieved</v>
      </c>
    </row>
    <row r="462" spans="1:13" x14ac:dyDescent="0.35">
      <c r="A462" s="1" t="s">
        <v>682</v>
      </c>
      <c r="B462" s="1" t="s">
        <v>38</v>
      </c>
      <c r="C462" s="1" t="s">
        <v>61</v>
      </c>
      <c r="D462" s="1" t="s">
        <v>62</v>
      </c>
      <c r="E462" s="1" t="s">
        <v>32</v>
      </c>
      <c r="F462" s="1" t="s">
        <v>39</v>
      </c>
      <c r="G462" s="1" t="s">
        <v>26</v>
      </c>
      <c r="H462" s="1">
        <v>10114</v>
      </c>
      <c r="I462" s="1" t="s">
        <v>19</v>
      </c>
      <c r="J462" s="1">
        <v>0.2</v>
      </c>
      <c r="K462" s="1">
        <v>9000</v>
      </c>
      <c r="L462" s="2">
        <v>45301</v>
      </c>
      <c r="M462" s="10" t="str">
        <f t="shared" si="7"/>
        <v>Target Achieved</v>
      </c>
    </row>
    <row r="463" spans="1:13" x14ac:dyDescent="0.35">
      <c r="A463" s="1" t="s">
        <v>683</v>
      </c>
      <c r="B463" s="1" t="s">
        <v>406</v>
      </c>
      <c r="C463" s="1" t="s">
        <v>14</v>
      </c>
      <c r="D463" s="1" t="s">
        <v>15</v>
      </c>
      <c r="E463" s="1" t="s">
        <v>32</v>
      </c>
      <c r="F463" s="1" t="s">
        <v>39</v>
      </c>
      <c r="G463" s="1" t="s">
        <v>36</v>
      </c>
      <c r="H463" s="1">
        <v>14604</v>
      </c>
      <c r="I463" s="1" t="s">
        <v>22</v>
      </c>
      <c r="J463" s="1">
        <v>0.1</v>
      </c>
      <c r="K463" s="1">
        <v>14000</v>
      </c>
      <c r="L463" s="2">
        <v>45352</v>
      </c>
      <c r="M463" s="10" t="str">
        <f t="shared" si="7"/>
        <v>Target Achieved</v>
      </c>
    </row>
    <row r="464" spans="1:13" x14ac:dyDescent="0.35">
      <c r="A464" s="1" t="s">
        <v>684</v>
      </c>
      <c r="B464" s="1" t="s">
        <v>327</v>
      </c>
      <c r="C464" s="1" t="s">
        <v>61</v>
      </c>
      <c r="D464" s="1" t="s">
        <v>62</v>
      </c>
      <c r="E464" s="1" t="s">
        <v>16</v>
      </c>
      <c r="F464" s="1" t="s">
        <v>39</v>
      </c>
      <c r="G464" s="1" t="s">
        <v>36</v>
      </c>
      <c r="H464" s="1">
        <v>7425</v>
      </c>
      <c r="I464" s="1" t="s">
        <v>19</v>
      </c>
      <c r="J464" s="1">
        <v>0.2</v>
      </c>
      <c r="K464" s="1">
        <v>9000</v>
      </c>
      <c r="L464" s="2">
        <v>45325</v>
      </c>
      <c r="M464" s="10" t="str">
        <f t="shared" si="7"/>
        <v>Below Target</v>
      </c>
    </row>
    <row r="465" spans="1:13" x14ac:dyDescent="0.35">
      <c r="A465" s="1" t="s">
        <v>685</v>
      </c>
      <c r="B465" s="1" t="s">
        <v>414</v>
      </c>
      <c r="C465" s="1" t="s">
        <v>61</v>
      </c>
      <c r="D465" s="1" t="s">
        <v>62</v>
      </c>
      <c r="E465" s="1" t="s">
        <v>32</v>
      </c>
      <c r="F465" s="1" t="s">
        <v>25</v>
      </c>
      <c r="G465" s="1" t="s">
        <v>26</v>
      </c>
      <c r="H465" s="1">
        <v>8146</v>
      </c>
      <c r="I465" s="1" t="s">
        <v>22</v>
      </c>
      <c r="J465" s="1">
        <v>0.1</v>
      </c>
      <c r="K465" s="1">
        <v>9000</v>
      </c>
      <c r="L465" s="2">
        <v>45294</v>
      </c>
      <c r="M465" s="10" t="str">
        <f t="shared" si="7"/>
        <v>Below Target</v>
      </c>
    </row>
    <row r="466" spans="1:13" x14ac:dyDescent="0.35">
      <c r="A466" s="1" t="s">
        <v>686</v>
      </c>
      <c r="B466" s="1" t="s">
        <v>553</v>
      </c>
      <c r="C466" s="1" t="s">
        <v>61</v>
      </c>
      <c r="D466" s="1" t="s">
        <v>62</v>
      </c>
      <c r="E466" s="1" t="s">
        <v>16</v>
      </c>
      <c r="F466" s="1" t="s">
        <v>17</v>
      </c>
      <c r="G466" s="1" t="s">
        <v>36</v>
      </c>
      <c r="H466" s="1">
        <v>10991</v>
      </c>
      <c r="I466" s="1" t="s">
        <v>22</v>
      </c>
      <c r="J466" s="1">
        <v>0.1</v>
      </c>
      <c r="K466" s="1">
        <v>9000</v>
      </c>
      <c r="L466" s="2">
        <v>45329</v>
      </c>
      <c r="M466" s="10" t="str">
        <f t="shared" si="7"/>
        <v>Target Achieved</v>
      </c>
    </row>
    <row r="467" spans="1:13" x14ac:dyDescent="0.35">
      <c r="A467" s="1" t="s">
        <v>687</v>
      </c>
      <c r="B467" s="1" t="s">
        <v>241</v>
      </c>
      <c r="C467" s="1" t="s">
        <v>44</v>
      </c>
      <c r="D467" s="1" t="s">
        <v>45</v>
      </c>
      <c r="E467" s="1" t="s">
        <v>16</v>
      </c>
      <c r="F467" s="1" t="s">
        <v>17</v>
      </c>
      <c r="G467" s="1" t="s">
        <v>18</v>
      </c>
      <c r="H467" s="1">
        <v>13424</v>
      </c>
      <c r="I467" s="1" t="s">
        <v>27</v>
      </c>
      <c r="J467" s="1"/>
      <c r="K467" s="1">
        <v>13000</v>
      </c>
      <c r="L467" s="2">
        <v>45295</v>
      </c>
      <c r="M467" s="10" t="str">
        <f t="shared" si="7"/>
        <v>Target Achieved</v>
      </c>
    </row>
    <row r="468" spans="1:13" x14ac:dyDescent="0.35">
      <c r="A468" s="1" t="s">
        <v>688</v>
      </c>
      <c r="B468" s="1" t="s">
        <v>274</v>
      </c>
      <c r="C468" s="1" t="s">
        <v>44</v>
      </c>
      <c r="D468" s="1" t="s">
        <v>45</v>
      </c>
      <c r="E468" s="1" t="s">
        <v>32</v>
      </c>
      <c r="F468" s="1" t="s">
        <v>17</v>
      </c>
      <c r="G468" s="1" t="s">
        <v>36</v>
      </c>
      <c r="H468" s="1">
        <v>14485</v>
      </c>
      <c r="I468" s="1" t="s">
        <v>33</v>
      </c>
      <c r="J468" s="1">
        <v>0.3</v>
      </c>
      <c r="K468" s="1">
        <v>13000</v>
      </c>
      <c r="L468" s="2">
        <v>45351</v>
      </c>
      <c r="M468" s="10" t="str">
        <f t="shared" si="7"/>
        <v>Target Achieved</v>
      </c>
    </row>
    <row r="469" spans="1:13" x14ac:dyDescent="0.35">
      <c r="A469" s="1" t="s">
        <v>689</v>
      </c>
      <c r="B469" s="1" t="s">
        <v>180</v>
      </c>
      <c r="C469" s="1" t="s">
        <v>30</v>
      </c>
      <c r="D469" s="1" t="s">
        <v>31</v>
      </c>
      <c r="E469" s="1" t="s">
        <v>46</v>
      </c>
      <c r="F469" s="1" t="s">
        <v>17</v>
      </c>
      <c r="G469" s="1" t="s">
        <v>36</v>
      </c>
      <c r="H469" s="1">
        <v>15956</v>
      </c>
      <c r="I469" s="1" t="s">
        <v>22</v>
      </c>
      <c r="J469" s="1">
        <v>0.1</v>
      </c>
      <c r="K469" s="1">
        <v>17000</v>
      </c>
      <c r="L469" s="2">
        <v>45352</v>
      </c>
      <c r="M469" s="10" t="str">
        <f t="shared" si="7"/>
        <v>Below Target</v>
      </c>
    </row>
    <row r="470" spans="1:13" x14ac:dyDescent="0.35">
      <c r="A470" s="1" t="s">
        <v>690</v>
      </c>
      <c r="B470" s="1" t="s">
        <v>235</v>
      </c>
      <c r="C470" s="1" t="s">
        <v>14</v>
      </c>
      <c r="D470" s="1" t="s">
        <v>15</v>
      </c>
      <c r="E470" s="1" t="s">
        <v>32</v>
      </c>
      <c r="F470" s="1" t="s">
        <v>25</v>
      </c>
      <c r="G470" s="1" t="s">
        <v>18</v>
      </c>
      <c r="H470" s="1">
        <v>13841</v>
      </c>
      <c r="I470" s="1"/>
      <c r="J470" s="1"/>
      <c r="K470" s="1">
        <v>14000</v>
      </c>
      <c r="L470" s="2">
        <v>45312</v>
      </c>
      <c r="M470" s="10" t="str">
        <f t="shared" si="7"/>
        <v>Below Target</v>
      </c>
    </row>
    <row r="471" spans="1:13" x14ac:dyDescent="0.35">
      <c r="A471" s="1" t="s">
        <v>691</v>
      </c>
      <c r="B471" s="1" t="s">
        <v>41</v>
      </c>
      <c r="C471" s="1" t="s">
        <v>30</v>
      </c>
      <c r="D471" s="1" t="s">
        <v>31</v>
      </c>
      <c r="E471" s="1" t="s">
        <v>32</v>
      </c>
      <c r="F471" s="1" t="s">
        <v>17</v>
      </c>
      <c r="G471" s="1" t="s">
        <v>36</v>
      </c>
      <c r="H471" s="1">
        <v>16897</v>
      </c>
      <c r="I471" s="1" t="s">
        <v>33</v>
      </c>
      <c r="J471" s="1">
        <v>0.3</v>
      </c>
      <c r="K471" s="1">
        <v>17000</v>
      </c>
      <c r="L471" s="2">
        <v>45346</v>
      </c>
      <c r="M471" s="10" t="str">
        <f t="shared" si="7"/>
        <v>Below Target</v>
      </c>
    </row>
    <row r="472" spans="1:13" x14ac:dyDescent="0.35">
      <c r="A472" s="1" t="s">
        <v>692</v>
      </c>
      <c r="B472" s="1" t="s">
        <v>78</v>
      </c>
      <c r="C472" s="1" t="s">
        <v>44</v>
      </c>
      <c r="D472" s="1" t="s">
        <v>45</v>
      </c>
      <c r="E472" s="1" t="s">
        <v>16</v>
      </c>
      <c r="F472" s="1" t="s">
        <v>17</v>
      </c>
      <c r="G472" s="1" t="s">
        <v>26</v>
      </c>
      <c r="H472" s="1">
        <v>13854</v>
      </c>
      <c r="I472" s="1" t="s">
        <v>27</v>
      </c>
      <c r="J472" s="1"/>
      <c r="K472" s="1">
        <v>13000</v>
      </c>
      <c r="L472" s="2">
        <v>45294</v>
      </c>
      <c r="M472" s="10" t="str">
        <f t="shared" si="7"/>
        <v>Target Achieved</v>
      </c>
    </row>
    <row r="473" spans="1:13" x14ac:dyDescent="0.35">
      <c r="A473" s="1" t="s">
        <v>693</v>
      </c>
      <c r="B473" s="1" t="s">
        <v>171</v>
      </c>
      <c r="C473" s="1" t="s">
        <v>30</v>
      </c>
      <c r="D473" s="1" t="s">
        <v>31</v>
      </c>
      <c r="E473" s="1" t="s">
        <v>32</v>
      </c>
      <c r="F473" s="1" t="s">
        <v>25</v>
      </c>
      <c r="G473" s="1" t="s">
        <v>26</v>
      </c>
      <c r="H473" s="1">
        <v>16016</v>
      </c>
      <c r="I473" s="1" t="s">
        <v>33</v>
      </c>
      <c r="J473" s="1">
        <v>0.3</v>
      </c>
      <c r="K473" s="1">
        <v>17000</v>
      </c>
      <c r="L473" s="2">
        <v>45317</v>
      </c>
      <c r="M473" s="10" t="str">
        <f t="shared" si="7"/>
        <v>Below Target</v>
      </c>
    </row>
    <row r="474" spans="1:13" x14ac:dyDescent="0.35">
      <c r="A474" s="1" t="s">
        <v>694</v>
      </c>
      <c r="B474" s="1" t="s">
        <v>184</v>
      </c>
      <c r="C474" s="1" t="s">
        <v>30</v>
      </c>
      <c r="D474" s="1" t="s">
        <v>31</v>
      </c>
      <c r="E474" s="1" t="s">
        <v>46</v>
      </c>
      <c r="F474" s="1" t="s">
        <v>25</v>
      </c>
      <c r="G474" s="1" t="s">
        <v>18</v>
      </c>
      <c r="H474" s="1">
        <v>18899</v>
      </c>
      <c r="I474" s="1"/>
      <c r="J474" s="1"/>
      <c r="K474" s="1">
        <v>17000</v>
      </c>
      <c r="L474" s="2">
        <v>45346</v>
      </c>
      <c r="M474" s="10" t="str">
        <f t="shared" si="7"/>
        <v>Target Achieved</v>
      </c>
    </row>
    <row r="475" spans="1:13" x14ac:dyDescent="0.35">
      <c r="A475" s="1" t="s">
        <v>695</v>
      </c>
      <c r="B475" s="1" t="s">
        <v>330</v>
      </c>
      <c r="C475" s="1" t="s">
        <v>44</v>
      </c>
      <c r="D475" s="1" t="s">
        <v>45</v>
      </c>
      <c r="E475" s="1" t="s">
        <v>32</v>
      </c>
      <c r="F475" s="1" t="s">
        <v>17</v>
      </c>
      <c r="G475" s="1" t="s">
        <v>18</v>
      </c>
      <c r="H475" s="1">
        <v>14292</v>
      </c>
      <c r="I475" s="1" t="s">
        <v>19</v>
      </c>
      <c r="J475" s="1">
        <v>0.2</v>
      </c>
      <c r="K475" s="1">
        <v>13000</v>
      </c>
      <c r="L475" s="2">
        <v>45299</v>
      </c>
      <c r="M475" s="10" t="str">
        <f t="shared" si="7"/>
        <v>Target Achieved</v>
      </c>
    </row>
    <row r="476" spans="1:13" x14ac:dyDescent="0.35">
      <c r="A476" s="1" t="s">
        <v>696</v>
      </c>
      <c r="B476" s="1" t="s">
        <v>161</v>
      </c>
      <c r="C476" s="1" t="s">
        <v>44</v>
      </c>
      <c r="D476" s="1" t="s">
        <v>45</v>
      </c>
      <c r="E476" s="1" t="s">
        <v>32</v>
      </c>
      <c r="F476" s="1" t="s">
        <v>25</v>
      </c>
      <c r="G476" s="1" t="s">
        <v>36</v>
      </c>
      <c r="H476" s="1">
        <v>12524</v>
      </c>
      <c r="I476" s="1" t="s">
        <v>22</v>
      </c>
      <c r="J476" s="1">
        <v>0.1</v>
      </c>
      <c r="K476" s="1">
        <v>13000</v>
      </c>
      <c r="L476" s="2">
        <v>45329</v>
      </c>
      <c r="M476" s="10" t="str">
        <f t="shared" si="7"/>
        <v>Below Target</v>
      </c>
    </row>
    <row r="477" spans="1:13" x14ac:dyDescent="0.35">
      <c r="A477" s="1" t="s">
        <v>697</v>
      </c>
      <c r="B477" s="1" t="s">
        <v>291</v>
      </c>
      <c r="C477" s="1" t="s">
        <v>14</v>
      </c>
      <c r="D477" s="1" t="s">
        <v>15</v>
      </c>
      <c r="E477" s="1" t="s">
        <v>32</v>
      </c>
      <c r="F477" s="1" t="s">
        <v>25</v>
      </c>
      <c r="G477" s="1" t="s">
        <v>18</v>
      </c>
      <c r="H477" s="1">
        <v>15696</v>
      </c>
      <c r="I477" s="1"/>
      <c r="J477" s="1"/>
      <c r="K477" s="1">
        <v>14000</v>
      </c>
      <c r="L477" s="2">
        <v>45343</v>
      </c>
      <c r="M477" s="10" t="str">
        <f t="shared" si="7"/>
        <v>Target Achieved</v>
      </c>
    </row>
    <row r="478" spans="1:13" x14ac:dyDescent="0.35">
      <c r="A478" s="1" t="s">
        <v>698</v>
      </c>
      <c r="B478" s="1" t="s">
        <v>325</v>
      </c>
      <c r="C478" s="1" t="s">
        <v>30</v>
      </c>
      <c r="D478" s="1" t="s">
        <v>31</v>
      </c>
      <c r="E478" s="1" t="s">
        <v>32</v>
      </c>
      <c r="F478" s="1" t="s">
        <v>25</v>
      </c>
      <c r="G478" s="1" t="s">
        <v>36</v>
      </c>
      <c r="H478" s="1">
        <v>15207</v>
      </c>
      <c r="I478" s="1" t="s">
        <v>19</v>
      </c>
      <c r="J478" s="1">
        <v>0.2</v>
      </c>
      <c r="K478" s="1">
        <v>17000</v>
      </c>
      <c r="L478" s="2">
        <v>45351</v>
      </c>
      <c r="M478" s="10" t="str">
        <f t="shared" si="7"/>
        <v>Below Target</v>
      </c>
    </row>
    <row r="479" spans="1:13" x14ac:dyDescent="0.35">
      <c r="A479" s="1" t="s">
        <v>699</v>
      </c>
      <c r="B479" s="1" t="s">
        <v>337</v>
      </c>
      <c r="C479" s="1" t="s">
        <v>61</v>
      </c>
      <c r="D479" s="1" t="s">
        <v>62</v>
      </c>
      <c r="E479" s="1" t="s">
        <v>46</v>
      </c>
      <c r="F479" s="1" t="s">
        <v>25</v>
      </c>
      <c r="G479" s="1" t="s">
        <v>36</v>
      </c>
      <c r="H479" s="1">
        <v>9798</v>
      </c>
      <c r="I479" s="1"/>
      <c r="J479" s="1"/>
      <c r="K479" s="1">
        <v>9000</v>
      </c>
      <c r="L479" s="2">
        <v>45303</v>
      </c>
      <c r="M479" s="10" t="str">
        <f t="shared" si="7"/>
        <v>Target Achieved</v>
      </c>
    </row>
    <row r="480" spans="1:13" x14ac:dyDescent="0.35">
      <c r="A480" s="1" t="s">
        <v>700</v>
      </c>
      <c r="B480" s="1" t="s">
        <v>408</v>
      </c>
      <c r="C480" s="1" t="s">
        <v>44</v>
      </c>
      <c r="D480" s="1" t="s">
        <v>45</v>
      </c>
      <c r="E480" s="1" t="s">
        <v>46</v>
      </c>
      <c r="F480" s="1" t="s">
        <v>17</v>
      </c>
      <c r="G480" s="1" t="s">
        <v>36</v>
      </c>
      <c r="H480" s="1">
        <v>14618</v>
      </c>
      <c r="I480" s="1" t="s">
        <v>19</v>
      </c>
      <c r="J480" s="1">
        <v>0.2</v>
      </c>
      <c r="K480" s="1">
        <v>13000</v>
      </c>
      <c r="L480" s="2">
        <v>45294</v>
      </c>
      <c r="M480" s="10" t="str">
        <f t="shared" si="7"/>
        <v>Target Achieved</v>
      </c>
    </row>
    <row r="481" spans="1:13" x14ac:dyDescent="0.35">
      <c r="A481" s="1" t="s">
        <v>701</v>
      </c>
      <c r="B481" s="1" t="s">
        <v>195</v>
      </c>
      <c r="C481" s="1" t="s">
        <v>44</v>
      </c>
      <c r="D481" s="1" t="s">
        <v>45</v>
      </c>
      <c r="E481" s="1" t="s">
        <v>16</v>
      </c>
      <c r="F481" s="1" t="s">
        <v>17</v>
      </c>
      <c r="G481" s="1" t="s">
        <v>36</v>
      </c>
      <c r="H481" s="1">
        <v>12687</v>
      </c>
      <c r="I481" s="1" t="s">
        <v>27</v>
      </c>
      <c r="J481" s="1"/>
      <c r="K481" s="1">
        <v>13000</v>
      </c>
      <c r="L481" s="2">
        <v>45322</v>
      </c>
      <c r="M481" s="10" t="str">
        <f t="shared" si="7"/>
        <v>Below Target</v>
      </c>
    </row>
    <row r="482" spans="1:13" x14ac:dyDescent="0.35">
      <c r="A482" s="1" t="s">
        <v>702</v>
      </c>
      <c r="B482" s="1" t="s">
        <v>76</v>
      </c>
      <c r="C482" s="1" t="s">
        <v>30</v>
      </c>
      <c r="D482" s="1" t="s">
        <v>31</v>
      </c>
      <c r="E482" s="1" t="s">
        <v>46</v>
      </c>
      <c r="F482" s="1" t="s">
        <v>25</v>
      </c>
      <c r="G482" s="1" t="s">
        <v>36</v>
      </c>
      <c r="H482" s="1">
        <v>15816</v>
      </c>
      <c r="I482" s="1" t="s">
        <v>27</v>
      </c>
      <c r="J482" s="1"/>
      <c r="K482" s="1">
        <v>17000</v>
      </c>
      <c r="L482" s="2">
        <v>45307</v>
      </c>
      <c r="M482" s="10" t="str">
        <f t="shared" si="7"/>
        <v>Below Target</v>
      </c>
    </row>
    <row r="483" spans="1:13" x14ac:dyDescent="0.35">
      <c r="A483" s="1" t="s">
        <v>703</v>
      </c>
      <c r="B483" s="1" t="s">
        <v>270</v>
      </c>
      <c r="C483" s="1" t="s">
        <v>14</v>
      </c>
      <c r="D483" s="1" t="s">
        <v>15</v>
      </c>
      <c r="E483" s="1" t="s">
        <v>46</v>
      </c>
      <c r="F483" s="1" t="s">
        <v>39</v>
      </c>
      <c r="G483" s="1" t="s">
        <v>36</v>
      </c>
      <c r="H483" s="1">
        <v>13964</v>
      </c>
      <c r="I483" s="1" t="s">
        <v>27</v>
      </c>
      <c r="J483" s="1"/>
      <c r="K483" s="1">
        <v>14000</v>
      </c>
      <c r="L483" s="2">
        <v>45342</v>
      </c>
      <c r="M483" s="10" t="str">
        <f t="shared" si="7"/>
        <v>Below Target</v>
      </c>
    </row>
    <row r="484" spans="1:13" x14ac:dyDescent="0.35">
      <c r="A484" s="1" t="s">
        <v>704</v>
      </c>
      <c r="B484" s="1" t="s">
        <v>188</v>
      </c>
      <c r="C484" s="1" t="s">
        <v>30</v>
      </c>
      <c r="D484" s="1" t="s">
        <v>31</v>
      </c>
      <c r="E484" s="1" t="s">
        <v>46</v>
      </c>
      <c r="F484" s="1" t="s">
        <v>17</v>
      </c>
      <c r="G484" s="1" t="s">
        <v>18</v>
      </c>
      <c r="H484" s="1">
        <v>15106</v>
      </c>
      <c r="I484" s="1" t="s">
        <v>33</v>
      </c>
      <c r="J484" s="1">
        <v>0.3</v>
      </c>
      <c r="K484" s="1">
        <v>17000</v>
      </c>
      <c r="L484" s="2">
        <v>45330</v>
      </c>
      <c r="M484" s="10" t="str">
        <f t="shared" si="7"/>
        <v>Below Target</v>
      </c>
    </row>
    <row r="485" spans="1:13" x14ac:dyDescent="0.35">
      <c r="A485" s="1" t="s">
        <v>705</v>
      </c>
      <c r="B485" s="1" t="s">
        <v>500</v>
      </c>
      <c r="C485" s="1" t="s">
        <v>30</v>
      </c>
      <c r="D485" s="1" t="s">
        <v>31</v>
      </c>
      <c r="E485" s="1" t="s">
        <v>32</v>
      </c>
      <c r="F485" s="1" t="s">
        <v>17</v>
      </c>
      <c r="G485" s="1" t="s">
        <v>26</v>
      </c>
      <c r="H485" s="1">
        <v>16464</v>
      </c>
      <c r="I485" s="1" t="s">
        <v>27</v>
      </c>
      <c r="J485" s="1"/>
      <c r="K485" s="1">
        <v>17000</v>
      </c>
      <c r="L485" s="2">
        <v>45306</v>
      </c>
      <c r="M485" s="10" t="str">
        <f t="shared" si="7"/>
        <v>Below Target</v>
      </c>
    </row>
    <row r="486" spans="1:13" x14ac:dyDescent="0.35">
      <c r="A486" s="1" t="s">
        <v>706</v>
      </c>
      <c r="B486" s="1" t="s">
        <v>325</v>
      </c>
      <c r="C486" s="1" t="s">
        <v>44</v>
      </c>
      <c r="D486" s="1" t="s">
        <v>45</v>
      </c>
      <c r="E486" s="1" t="s">
        <v>16</v>
      </c>
      <c r="F486" s="1" t="s">
        <v>25</v>
      </c>
      <c r="G486" s="1" t="s">
        <v>36</v>
      </c>
      <c r="H486" s="1">
        <v>13185</v>
      </c>
      <c r="I486" s="1" t="s">
        <v>22</v>
      </c>
      <c r="J486" s="1">
        <v>0.1</v>
      </c>
      <c r="K486" s="1">
        <v>13000</v>
      </c>
      <c r="L486" s="2">
        <v>45340</v>
      </c>
      <c r="M486" s="10" t="str">
        <f t="shared" si="7"/>
        <v>Target Achieved</v>
      </c>
    </row>
    <row r="487" spans="1:13" x14ac:dyDescent="0.35">
      <c r="A487" s="1" t="s">
        <v>707</v>
      </c>
      <c r="B487" s="1" t="s">
        <v>56</v>
      </c>
      <c r="C487" s="1" t="s">
        <v>61</v>
      </c>
      <c r="D487" s="1" t="s">
        <v>62</v>
      </c>
      <c r="E487" s="1" t="s">
        <v>46</v>
      </c>
      <c r="F487" s="1" t="s">
        <v>25</v>
      </c>
      <c r="G487" s="1" t="s">
        <v>18</v>
      </c>
      <c r="H487" s="1">
        <v>7968</v>
      </c>
      <c r="I487" s="1" t="s">
        <v>27</v>
      </c>
      <c r="J487" s="1"/>
      <c r="K487" s="1">
        <v>9000</v>
      </c>
      <c r="L487" s="2">
        <v>45312</v>
      </c>
      <c r="M487" s="10" t="str">
        <f t="shared" si="7"/>
        <v>Below Target</v>
      </c>
    </row>
    <row r="488" spans="1:13" x14ac:dyDescent="0.35">
      <c r="A488" s="1" t="s">
        <v>708</v>
      </c>
      <c r="B488" s="1" t="s">
        <v>296</v>
      </c>
      <c r="C488" s="1" t="s">
        <v>30</v>
      </c>
      <c r="D488" s="1" t="s">
        <v>31</v>
      </c>
      <c r="E488" s="1" t="s">
        <v>16</v>
      </c>
      <c r="F488" s="1" t="s">
        <v>25</v>
      </c>
      <c r="G488" s="1" t="s">
        <v>26</v>
      </c>
      <c r="H488" s="1">
        <v>17869</v>
      </c>
      <c r="I488" s="1" t="s">
        <v>33</v>
      </c>
      <c r="J488" s="1">
        <v>0.3</v>
      </c>
      <c r="K488" s="1">
        <v>17000</v>
      </c>
      <c r="L488" s="2">
        <v>45352</v>
      </c>
      <c r="M488" s="10" t="str">
        <f t="shared" si="7"/>
        <v>Target Achieved</v>
      </c>
    </row>
    <row r="489" spans="1:13" x14ac:dyDescent="0.35">
      <c r="A489" s="1" t="s">
        <v>709</v>
      </c>
      <c r="B489" s="1" t="s">
        <v>195</v>
      </c>
      <c r="C489" s="1" t="s">
        <v>44</v>
      </c>
      <c r="D489" s="1" t="s">
        <v>45</v>
      </c>
      <c r="E489" s="1" t="s">
        <v>16</v>
      </c>
      <c r="F489" s="1" t="s">
        <v>25</v>
      </c>
      <c r="G489" s="1" t="s">
        <v>36</v>
      </c>
      <c r="H489" s="1">
        <v>13220</v>
      </c>
      <c r="I489" s="1" t="s">
        <v>33</v>
      </c>
      <c r="J489" s="1">
        <v>0.3</v>
      </c>
      <c r="K489" s="1">
        <v>13000</v>
      </c>
      <c r="L489" s="2">
        <v>45303</v>
      </c>
      <c r="M489" s="10" t="str">
        <f t="shared" si="7"/>
        <v>Target Achieved</v>
      </c>
    </row>
    <row r="490" spans="1:13" x14ac:dyDescent="0.35">
      <c r="A490" s="1" t="s">
        <v>710</v>
      </c>
      <c r="B490" s="1" t="s">
        <v>711</v>
      </c>
      <c r="C490" s="1" t="s">
        <v>14</v>
      </c>
      <c r="D490" s="1" t="s">
        <v>15</v>
      </c>
      <c r="E490" s="1" t="s">
        <v>32</v>
      </c>
      <c r="F490" s="1" t="s">
        <v>25</v>
      </c>
      <c r="G490" s="1" t="s">
        <v>26</v>
      </c>
      <c r="H490" s="1">
        <v>12896</v>
      </c>
      <c r="I490" s="1" t="s">
        <v>22</v>
      </c>
      <c r="J490" s="1">
        <v>0.1</v>
      </c>
      <c r="K490" s="1">
        <v>14000</v>
      </c>
      <c r="L490" s="2">
        <v>45325</v>
      </c>
      <c r="M490" s="10" t="str">
        <f t="shared" si="7"/>
        <v>Below Target</v>
      </c>
    </row>
    <row r="491" spans="1:13" x14ac:dyDescent="0.35">
      <c r="A491" s="1" t="s">
        <v>712</v>
      </c>
      <c r="B491" s="1" t="s">
        <v>711</v>
      </c>
      <c r="C491" s="1" t="s">
        <v>30</v>
      </c>
      <c r="D491" s="1" t="s">
        <v>31</v>
      </c>
      <c r="E491" s="1" t="s">
        <v>16</v>
      </c>
      <c r="F491" s="1" t="s">
        <v>25</v>
      </c>
      <c r="G491" s="1" t="s">
        <v>18</v>
      </c>
      <c r="H491" s="1">
        <v>16395</v>
      </c>
      <c r="I491" s="1" t="s">
        <v>19</v>
      </c>
      <c r="J491" s="1">
        <v>0.2</v>
      </c>
      <c r="K491" s="1">
        <v>17000</v>
      </c>
      <c r="L491" s="2">
        <v>45350</v>
      </c>
      <c r="M491" s="10" t="str">
        <f t="shared" si="7"/>
        <v>Below Target</v>
      </c>
    </row>
    <row r="492" spans="1:13" x14ac:dyDescent="0.35">
      <c r="A492" s="1" t="s">
        <v>713</v>
      </c>
      <c r="B492" s="1" t="s">
        <v>140</v>
      </c>
      <c r="C492" s="1" t="s">
        <v>30</v>
      </c>
      <c r="D492" s="1" t="s">
        <v>31</v>
      </c>
      <c r="E492" s="1" t="s">
        <v>32</v>
      </c>
      <c r="F492" s="1" t="s">
        <v>25</v>
      </c>
      <c r="G492" s="1" t="s">
        <v>18</v>
      </c>
      <c r="H492" s="1">
        <v>17402</v>
      </c>
      <c r="I492" s="1" t="s">
        <v>19</v>
      </c>
      <c r="J492" s="1">
        <v>0.2</v>
      </c>
      <c r="K492" s="1">
        <v>17000</v>
      </c>
      <c r="L492" s="2">
        <v>45341</v>
      </c>
      <c r="M492" s="10" t="str">
        <f t="shared" si="7"/>
        <v>Target Achieved</v>
      </c>
    </row>
    <row r="493" spans="1:13" x14ac:dyDescent="0.35">
      <c r="A493" s="1" t="s">
        <v>714</v>
      </c>
      <c r="B493" s="1" t="s">
        <v>159</v>
      </c>
      <c r="C493" s="1" t="s">
        <v>30</v>
      </c>
      <c r="D493" s="1" t="s">
        <v>31</v>
      </c>
      <c r="E493" s="1" t="s">
        <v>32</v>
      </c>
      <c r="F493" s="1" t="s">
        <v>17</v>
      </c>
      <c r="G493" s="1" t="s">
        <v>26</v>
      </c>
      <c r="H493" s="1">
        <v>18858</v>
      </c>
      <c r="I493" s="1"/>
      <c r="J493" s="1"/>
      <c r="K493" s="1">
        <v>17000</v>
      </c>
      <c r="L493" s="2">
        <v>45329</v>
      </c>
      <c r="M493" s="10" t="str">
        <f t="shared" si="7"/>
        <v>Target Achieved</v>
      </c>
    </row>
    <row r="494" spans="1:13" x14ac:dyDescent="0.35">
      <c r="A494" s="1" t="s">
        <v>715</v>
      </c>
      <c r="B494" s="1" t="s">
        <v>432</v>
      </c>
      <c r="C494" s="1" t="s">
        <v>30</v>
      </c>
      <c r="D494" s="1" t="s">
        <v>31</v>
      </c>
      <c r="E494" s="1" t="s">
        <v>46</v>
      </c>
      <c r="F494" s="1" t="s">
        <v>25</v>
      </c>
      <c r="G494" s="1" t="s">
        <v>18</v>
      </c>
      <c r="H494" s="1">
        <v>17999</v>
      </c>
      <c r="I494" s="1"/>
      <c r="J494" s="1"/>
      <c r="K494" s="1">
        <v>17000</v>
      </c>
      <c r="L494" s="2">
        <v>45342</v>
      </c>
      <c r="M494" s="10" t="str">
        <f t="shared" si="7"/>
        <v>Target Achieved</v>
      </c>
    </row>
    <row r="495" spans="1:13" x14ac:dyDescent="0.35">
      <c r="A495" s="1" t="s">
        <v>716</v>
      </c>
      <c r="B495" s="1" t="s">
        <v>591</v>
      </c>
      <c r="C495" s="1" t="s">
        <v>30</v>
      </c>
      <c r="D495" s="1" t="s">
        <v>31</v>
      </c>
      <c r="E495" s="1" t="s">
        <v>32</v>
      </c>
      <c r="F495" s="1" t="s">
        <v>39</v>
      </c>
      <c r="G495" s="1" t="s">
        <v>26</v>
      </c>
      <c r="H495" s="1">
        <v>17840</v>
      </c>
      <c r="I495" s="1" t="s">
        <v>27</v>
      </c>
      <c r="J495" s="1"/>
      <c r="K495" s="1">
        <v>17000</v>
      </c>
      <c r="L495" s="2">
        <v>45342</v>
      </c>
      <c r="M495" s="10" t="str">
        <f t="shared" si="7"/>
        <v>Target Achieved</v>
      </c>
    </row>
    <row r="496" spans="1:13" x14ac:dyDescent="0.35">
      <c r="A496" s="1" t="s">
        <v>717</v>
      </c>
      <c r="B496" s="1" t="s">
        <v>408</v>
      </c>
      <c r="C496" s="1" t="s">
        <v>44</v>
      </c>
      <c r="D496" s="1" t="s">
        <v>45</v>
      </c>
      <c r="E496" s="1" t="s">
        <v>46</v>
      </c>
      <c r="F496" s="1" t="s">
        <v>17</v>
      </c>
      <c r="G496" s="1" t="s">
        <v>26</v>
      </c>
      <c r="H496" s="1">
        <v>13820</v>
      </c>
      <c r="I496" s="1" t="s">
        <v>33</v>
      </c>
      <c r="J496" s="1">
        <v>0.3</v>
      </c>
      <c r="K496" s="1">
        <v>13000</v>
      </c>
      <c r="L496" s="2">
        <v>45300</v>
      </c>
      <c r="M496" s="10" t="str">
        <f t="shared" si="7"/>
        <v>Target Achieved</v>
      </c>
    </row>
    <row r="497" spans="1:13" x14ac:dyDescent="0.35">
      <c r="A497" s="1" t="s">
        <v>718</v>
      </c>
      <c r="B497" s="1" t="s">
        <v>280</v>
      </c>
      <c r="C497" s="1" t="s">
        <v>14</v>
      </c>
      <c r="D497" s="1" t="s">
        <v>15</v>
      </c>
      <c r="E497" s="1" t="s">
        <v>16</v>
      </c>
      <c r="F497" s="1" t="s">
        <v>39</v>
      </c>
      <c r="G497" s="1" t="s">
        <v>36</v>
      </c>
      <c r="H497" s="1">
        <v>15484</v>
      </c>
      <c r="I497" s="1" t="s">
        <v>27</v>
      </c>
      <c r="J497" s="1"/>
      <c r="K497" s="1">
        <v>14000</v>
      </c>
      <c r="L497" s="2">
        <v>45294</v>
      </c>
      <c r="M497" s="10" t="str">
        <f t="shared" si="7"/>
        <v>Target Achieved</v>
      </c>
    </row>
    <row r="498" spans="1:13" x14ac:dyDescent="0.35">
      <c r="A498" s="1" t="s">
        <v>719</v>
      </c>
      <c r="B498" s="1" t="s">
        <v>720</v>
      </c>
      <c r="C498" s="1" t="s">
        <v>30</v>
      </c>
      <c r="D498" s="1" t="s">
        <v>31</v>
      </c>
      <c r="E498" s="1" t="s">
        <v>16</v>
      </c>
      <c r="F498" s="1" t="s">
        <v>25</v>
      </c>
      <c r="G498" s="1" t="s">
        <v>26</v>
      </c>
      <c r="H498" s="1">
        <v>17316</v>
      </c>
      <c r="I498" s="1" t="s">
        <v>22</v>
      </c>
      <c r="J498" s="1">
        <v>0.1</v>
      </c>
      <c r="K498" s="1">
        <v>17000</v>
      </c>
      <c r="L498" s="2">
        <v>45351</v>
      </c>
      <c r="M498" s="10" t="str">
        <f t="shared" si="7"/>
        <v>Target Achieved</v>
      </c>
    </row>
    <row r="499" spans="1:13" x14ac:dyDescent="0.35">
      <c r="A499" s="1" t="s">
        <v>721</v>
      </c>
      <c r="B499" s="1" t="s">
        <v>508</v>
      </c>
      <c r="C499" s="1" t="s">
        <v>30</v>
      </c>
      <c r="D499" s="1" t="s">
        <v>31</v>
      </c>
      <c r="E499" s="1" t="s">
        <v>16</v>
      </c>
      <c r="F499" s="1" t="s">
        <v>25</v>
      </c>
      <c r="G499" s="1" t="s">
        <v>18</v>
      </c>
      <c r="H499" s="1">
        <v>16420</v>
      </c>
      <c r="I499" s="1" t="s">
        <v>33</v>
      </c>
      <c r="J499" s="1">
        <v>0.3</v>
      </c>
      <c r="K499" s="1">
        <v>17000</v>
      </c>
      <c r="L499" s="2">
        <v>45302</v>
      </c>
      <c r="M499" s="10" t="str">
        <f t="shared" si="7"/>
        <v>Below Target</v>
      </c>
    </row>
    <row r="500" spans="1:13" x14ac:dyDescent="0.35">
      <c r="A500" s="1" t="s">
        <v>722</v>
      </c>
      <c r="B500" s="1" t="s">
        <v>13</v>
      </c>
      <c r="C500" s="1" t="s">
        <v>30</v>
      </c>
      <c r="D500" s="1" t="s">
        <v>31</v>
      </c>
      <c r="E500" s="1" t="s">
        <v>46</v>
      </c>
      <c r="F500" s="1" t="s">
        <v>25</v>
      </c>
      <c r="G500" s="1" t="s">
        <v>36</v>
      </c>
      <c r="H500" s="1">
        <v>15858</v>
      </c>
      <c r="I500" s="1" t="s">
        <v>19</v>
      </c>
      <c r="J500" s="1">
        <v>0.2</v>
      </c>
      <c r="K500" s="1">
        <v>17000</v>
      </c>
      <c r="L500" s="2">
        <v>45336</v>
      </c>
      <c r="M500" s="10" t="str">
        <f t="shared" si="7"/>
        <v>Below Target</v>
      </c>
    </row>
    <row r="501" spans="1:13" x14ac:dyDescent="0.35">
      <c r="A501" s="1" t="s">
        <v>723</v>
      </c>
      <c r="B501" s="1" t="s">
        <v>432</v>
      </c>
      <c r="C501" s="1" t="s">
        <v>30</v>
      </c>
      <c r="D501" s="1" t="s">
        <v>31</v>
      </c>
      <c r="E501" s="1" t="s">
        <v>32</v>
      </c>
      <c r="F501" s="1" t="s">
        <v>39</v>
      </c>
      <c r="G501" s="1" t="s">
        <v>18</v>
      </c>
      <c r="H501" s="1">
        <v>15197</v>
      </c>
      <c r="I501" s="1"/>
      <c r="J501" s="1"/>
      <c r="K501" s="1">
        <v>17000</v>
      </c>
      <c r="L501" s="2">
        <v>45320</v>
      </c>
      <c r="M501" s="10" t="str">
        <f t="shared" si="7"/>
        <v>Below Target</v>
      </c>
    </row>
    <row r="502" spans="1:13" x14ac:dyDescent="0.35">
      <c r="A502" s="1" t="s">
        <v>724</v>
      </c>
      <c r="B502" s="1" t="s">
        <v>127</v>
      </c>
      <c r="C502" s="1" t="s">
        <v>44</v>
      </c>
      <c r="D502" s="1" t="s">
        <v>45</v>
      </c>
      <c r="E502" s="1" t="s">
        <v>46</v>
      </c>
      <c r="F502" s="1" t="s">
        <v>17</v>
      </c>
      <c r="G502" s="1" t="s">
        <v>36</v>
      </c>
      <c r="H502" s="1">
        <v>12438</v>
      </c>
      <c r="I502" s="1" t="s">
        <v>27</v>
      </c>
      <c r="J502" s="1"/>
      <c r="K502" s="1">
        <v>13000</v>
      </c>
      <c r="L502" s="2">
        <v>45316</v>
      </c>
      <c r="M502" s="10" t="str">
        <f t="shared" si="7"/>
        <v>Below Target</v>
      </c>
    </row>
    <row r="503" spans="1:13" x14ac:dyDescent="0.35">
      <c r="A503" s="1" t="s">
        <v>725</v>
      </c>
      <c r="B503" s="1" t="s">
        <v>159</v>
      </c>
      <c r="C503" s="1" t="s">
        <v>61</v>
      </c>
      <c r="D503" s="1" t="s">
        <v>62</v>
      </c>
      <c r="E503" s="1" t="s">
        <v>16</v>
      </c>
      <c r="F503" s="1" t="s">
        <v>39</v>
      </c>
      <c r="G503" s="1" t="s">
        <v>26</v>
      </c>
      <c r="H503" s="1">
        <v>7923</v>
      </c>
      <c r="I503" s="1" t="s">
        <v>19</v>
      </c>
      <c r="J503" s="1">
        <v>0.2</v>
      </c>
      <c r="K503" s="1">
        <v>9000</v>
      </c>
      <c r="L503" s="2">
        <v>45320</v>
      </c>
      <c r="M503" s="10" t="str">
        <f t="shared" si="7"/>
        <v>Below Target</v>
      </c>
    </row>
    <row r="504" spans="1:13" x14ac:dyDescent="0.35">
      <c r="A504" s="1" t="s">
        <v>726</v>
      </c>
      <c r="B504" s="1" t="s">
        <v>200</v>
      </c>
      <c r="C504" s="1" t="s">
        <v>14</v>
      </c>
      <c r="D504" s="1" t="s">
        <v>15</v>
      </c>
      <c r="E504" s="1" t="s">
        <v>46</v>
      </c>
      <c r="F504" s="1" t="s">
        <v>25</v>
      </c>
      <c r="G504" s="1" t="s">
        <v>36</v>
      </c>
      <c r="H504" s="1">
        <v>13069</v>
      </c>
      <c r="I504" s="1" t="s">
        <v>22</v>
      </c>
      <c r="J504" s="1">
        <v>0.1</v>
      </c>
      <c r="K504" s="1">
        <v>14000</v>
      </c>
      <c r="L504" s="2">
        <v>45296</v>
      </c>
      <c r="M504" s="10" t="str">
        <f t="shared" si="7"/>
        <v>Below Target</v>
      </c>
    </row>
    <row r="505" spans="1:13" x14ac:dyDescent="0.35">
      <c r="A505" s="1" t="s">
        <v>727</v>
      </c>
      <c r="B505" s="1" t="s">
        <v>728</v>
      </c>
      <c r="C505" s="1" t="s">
        <v>61</v>
      </c>
      <c r="D505" s="1" t="s">
        <v>62</v>
      </c>
      <c r="E505" s="1" t="s">
        <v>32</v>
      </c>
      <c r="F505" s="1" t="s">
        <v>39</v>
      </c>
      <c r="G505" s="1" t="s">
        <v>18</v>
      </c>
      <c r="H505" s="1">
        <v>9240</v>
      </c>
      <c r="I505" s="1" t="s">
        <v>22</v>
      </c>
      <c r="J505" s="1">
        <v>0.1</v>
      </c>
      <c r="K505" s="1">
        <v>9000</v>
      </c>
      <c r="L505" s="2">
        <v>45313</v>
      </c>
      <c r="M505" s="10" t="str">
        <f t="shared" si="7"/>
        <v>Target Achieved</v>
      </c>
    </row>
    <row r="506" spans="1:13" x14ac:dyDescent="0.35">
      <c r="A506" s="1" t="s">
        <v>729</v>
      </c>
      <c r="B506" s="1" t="s">
        <v>195</v>
      </c>
      <c r="C506" s="1" t="s">
        <v>61</v>
      </c>
      <c r="D506" s="1" t="s">
        <v>62</v>
      </c>
      <c r="E506" s="1" t="s">
        <v>16</v>
      </c>
      <c r="F506" s="1" t="s">
        <v>25</v>
      </c>
      <c r="G506" s="1" t="s">
        <v>36</v>
      </c>
      <c r="H506" s="1">
        <v>10860</v>
      </c>
      <c r="I506" s="1" t="s">
        <v>19</v>
      </c>
      <c r="J506" s="1">
        <v>0.2</v>
      </c>
      <c r="K506" s="1">
        <v>9000</v>
      </c>
      <c r="L506" s="2">
        <v>45330</v>
      </c>
      <c r="M506" s="10" t="str">
        <f t="shared" si="7"/>
        <v>Target Achieved</v>
      </c>
    </row>
    <row r="507" spans="1:13" x14ac:dyDescent="0.35">
      <c r="A507" s="1" t="s">
        <v>730</v>
      </c>
      <c r="B507" s="1" t="s">
        <v>137</v>
      </c>
      <c r="C507" s="1" t="s">
        <v>44</v>
      </c>
      <c r="D507" s="1" t="s">
        <v>45</v>
      </c>
      <c r="E507" s="1" t="s">
        <v>32</v>
      </c>
      <c r="F507" s="1" t="s">
        <v>25</v>
      </c>
      <c r="G507" s="1" t="s">
        <v>36</v>
      </c>
      <c r="H507" s="1">
        <v>11841</v>
      </c>
      <c r="I507" s="1" t="s">
        <v>19</v>
      </c>
      <c r="J507" s="1">
        <v>0.2</v>
      </c>
      <c r="K507" s="1">
        <v>13000</v>
      </c>
      <c r="L507" s="2">
        <v>45318</v>
      </c>
      <c r="M507" s="10" t="str">
        <f t="shared" si="7"/>
        <v>Below Target</v>
      </c>
    </row>
    <row r="508" spans="1:13" x14ac:dyDescent="0.35">
      <c r="A508" s="1" t="s">
        <v>731</v>
      </c>
      <c r="B508" s="1" t="s">
        <v>103</v>
      </c>
      <c r="C508" s="1" t="s">
        <v>30</v>
      </c>
      <c r="D508" s="1" t="s">
        <v>31</v>
      </c>
      <c r="E508" s="1" t="s">
        <v>16</v>
      </c>
      <c r="F508" s="1" t="s">
        <v>17</v>
      </c>
      <c r="G508" s="1" t="s">
        <v>36</v>
      </c>
      <c r="H508" s="1">
        <v>15972</v>
      </c>
      <c r="I508" s="1" t="s">
        <v>22</v>
      </c>
      <c r="J508" s="1">
        <v>0.1</v>
      </c>
      <c r="K508" s="1">
        <v>17000</v>
      </c>
      <c r="L508" s="2">
        <v>45295</v>
      </c>
      <c r="M508" s="10" t="str">
        <f t="shared" si="7"/>
        <v>Below Target</v>
      </c>
    </row>
    <row r="509" spans="1:13" x14ac:dyDescent="0.35">
      <c r="A509" s="1" t="s">
        <v>732</v>
      </c>
      <c r="B509" s="1" t="s">
        <v>617</v>
      </c>
      <c r="C509" s="1" t="s">
        <v>61</v>
      </c>
      <c r="D509" s="1" t="s">
        <v>62</v>
      </c>
      <c r="E509" s="1" t="s">
        <v>32</v>
      </c>
      <c r="F509" s="1" t="s">
        <v>25</v>
      </c>
      <c r="G509" s="1" t="s">
        <v>36</v>
      </c>
      <c r="H509" s="1">
        <v>7015</v>
      </c>
      <c r="I509" s="1"/>
      <c r="J509" s="1"/>
      <c r="K509" s="1">
        <v>9000</v>
      </c>
      <c r="L509" s="2">
        <v>45297</v>
      </c>
      <c r="M509" s="10" t="str">
        <f t="shared" si="7"/>
        <v>Below Target</v>
      </c>
    </row>
    <row r="510" spans="1:13" x14ac:dyDescent="0.35">
      <c r="A510" s="1" t="s">
        <v>733</v>
      </c>
      <c r="B510" s="1" t="s">
        <v>142</v>
      </c>
      <c r="C510" s="1" t="s">
        <v>61</v>
      </c>
      <c r="D510" s="1" t="s">
        <v>62</v>
      </c>
      <c r="E510" s="1" t="s">
        <v>32</v>
      </c>
      <c r="F510" s="1" t="s">
        <v>25</v>
      </c>
      <c r="G510" s="1" t="s">
        <v>18</v>
      </c>
      <c r="H510" s="1">
        <v>7847</v>
      </c>
      <c r="I510" s="1" t="s">
        <v>19</v>
      </c>
      <c r="J510" s="1">
        <v>0.2</v>
      </c>
      <c r="K510" s="1">
        <v>9000</v>
      </c>
      <c r="L510" s="2">
        <v>45332</v>
      </c>
      <c r="M510" s="10" t="str">
        <f t="shared" si="7"/>
        <v>Below Target</v>
      </c>
    </row>
    <row r="511" spans="1:13" x14ac:dyDescent="0.35">
      <c r="A511" s="1" t="s">
        <v>734</v>
      </c>
      <c r="B511" s="1" t="s">
        <v>222</v>
      </c>
      <c r="C511" s="1" t="s">
        <v>61</v>
      </c>
      <c r="D511" s="1" t="s">
        <v>62</v>
      </c>
      <c r="E511" s="1" t="s">
        <v>32</v>
      </c>
      <c r="F511" s="1" t="s">
        <v>17</v>
      </c>
      <c r="G511" s="1" t="s">
        <v>36</v>
      </c>
      <c r="H511" s="1">
        <v>8928</v>
      </c>
      <c r="I511" s="1"/>
      <c r="J511" s="1"/>
      <c r="K511" s="1">
        <v>9000</v>
      </c>
      <c r="L511" s="2">
        <v>45349</v>
      </c>
      <c r="M511" s="10" t="str">
        <f t="shared" si="7"/>
        <v>Below Target</v>
      </c>
    </row>
    <row r="512" spans="1:13" x14ac:dyDescent="0.35">
      <c r="A512" s="1" t="s">
        <v>735</v>
      </c>
      <c r="B512" s="1" t="s">
        <v>278</v>
      </c>
      <c r="C512" s="1" t="s">
        <v>14</v>
      </c>
      <c r="D512" s="1" t="s">
        <v>15</v>
      </c>
      <c r="E512" s="1" t="s">
        <v>16</v>
      </c>
      <c r="F512" s="1" t="s">
        <v>39</v>
      </c>
      <c r="G512" s="1" t="s">
        <v>36</v>
      </c>
      <c r="H512" s="1">
        <v>12757</v>
      </c>
      <c r="I512" s="1" t="s">
        <v>33</v>
      </c>
      <c r="J512" s="1">
        <v>0.3</v>
      </c>
      <c r="K512" s="1">
        <v>14000</v>
      </c>
      <c r="L512" s="2">
        <v>45348</v>
      </c>
      <c r="M512" s="10" t="str">
        <f t="shared" si="7"/>
        <v>Below Target</v>
      </c>
    </row>
    <row r="513" spans="1:13" x14ac:dyDescent="0.35">
      <c r="A513" s="1" t="s">
        <v>736</v>
      </c>
      <c r="B513" s="1" t="s">
        <v>474</v>
      </c>
      <c r="C513" s="1" t="s">
        <v>44</v>
      </c>
      <c r="D513" s="1" t="s">
        <v>45</v>
      </c>
      <c r="E513" s="1" t="s">
        <v>46</v>
      </c>
      <c r="F513" s="1" t="s">
        <v>25</v>
      </c>
      <c r="G513" s="1" t="s">
        <v>36</v>
      </c>
      <c r="H513" s="1">
        <v>12801</v>
      </c>
      <c r="I513" s="1"/>
      <c r="J513" s="1"/>
      <c r="K513" s="1">
        <v>13000</v>
      </c>
      <c r="L513" s="2">
        <v>45308</v>
      </c>
      <c r="M513" s="10" t="str">
        <f t="shared" si="7"/>
        <v>Below Target</v>
      </c>
    </row>
    <row r="514" spans="1:13" x14ac:dyDescent="0.35">
      <c r="A514" s="1" t="s">
        <v>737</v>
      </c>
      <c r="B514" s="1" t="s">
        <v>171</v>
      </c>
      <c r="C514" s="1" t="s">
        <v>30</v>
      </c>
      <c r="D514" s="1" t="s">
        <v>31</v>
      </c>
      <c r="E514" s="1" t="s">
        <v>16</v>
      </c>
      <c r="F514" s="1" t="s">
        <v>25</v>
      </c>
      <c r="G514" s="1" t="s">
        <v>18</v>
      </c>
      <c r="H514" s="1">
        <v>18081</v>
      </c>
      <c r="I514" s="1" t="s">
        <v>22</v>
      </c>
      <c r="J514" s="1">
        <v>0.1</v>
      </c>
      <c r="K514" s="1">
        <v>17000</v>
      </c>
      <c r="L514" s="2">
        <v>45297</v>
      </c>
      <c r="M514" s="10" t="str">
        <f t="shared" si="7"/>
        <v>Target Achieved</v>
      </c>
    </row>
    <row r="515" spans="1:13" x14ac:dyDescent="0.35">
      <c r="A515" s="1" t="s">
        <v>738</v>
      </c>
      <c r="B515" s="1" t="s">
        <v>317</v>
      </c>
      <c r="C515" s="1" t="s">
        <v>61</v>
      </c>
      <c r="D515" s="1" t="s">
        <v>62</v>
      </c>
      <c r="E515" s="1" t="s">
        <v>16</v>
      </c>
      <c r="F515" s="1" t="s">
        <v>25</v>
      </c>
      <c r="G515" s="1" t="s">
        <v>26</v>
      </c>
      <c r="H515" s="1">
        <v>7249</v>
      </c>
      <c r="I515" s="1"/>
      <c r="J515" s="1"/>
      <c r="K515" s="1">
        <v>9000</v>
      </c>
      <c r="L515" s="2">
        <v>45344</v>
      </c>
      <c r="M515" s="10" t="str">
        <f t="shared" ref="M515:M578" si="8">IF(H515&gt;=K515,"Target Achieved","Below Target")</f>
        <v>Below Target</v>
      </c>
    </row>
    <row r="516" spans="1:13" x14ac:dyDescent="0.35">
      <c r="A516" s="1" t="s">
        <v>739</v>
      </c>
      <c r="B516" s="1" t="s">
        <v>388</v>
      </c>
      <c r="C516" s="1" t="s">
        <v>61</v>
      </c>
      <c r="D516" s="1" t="s">
        <v>62</v>
      </c>
      <c r="E516" s="1" t="s">
        <v>16</v>
      </c>
      <c r="F516" s="1" t="s">
        <v>25</v>
      </c>
      <c r="G516" s="1" t="s">
        <v>36</v>
      </c>
      <c r="H516" s="1">
        <v>8224</v>
      </c>
      <c r="I516" s="1" t="s">
        <v>22</v>
      </c>
      <c r="J516" s="1">
        <v>0.1</v>
      </c>
      <c r="K516" s="1">
        <v>9000</v>
      </c>
      <c r="L516" s="2">
        <v>45317</v>
      </c>
      <c r="M516" s="10" t="str">
        <f t="shared" si="8"/>
        <v>Below Target</v>
      </c>
    </row>
    <row r="517" spans="1:13" x14ac:dyDescent="0.35">
      <c r="A517" s="1" t="s">
        <v>740</v>
      </c>
      <c r="B517" s="1" t="s">
        <v>454</v>
      </c>
      <c r="C517" s="1" t="s">
        <v>14</v>
      </c>
      <c r="D517" s="1" t="s">
        <v>15</v>
      </c>
      <c r="E517" s="1" t="s">
        <v>16</v>
      </c>
      <c r="F517" s="1" t="s">
        <v>39</v>
      </c>
      <c r="G517" s="1" t="s">
        <v>26</v>
      </c>
      <c r="H517" s="1">
        <v>15278</v>
      </c>
      <c r="I517" s="1" t="s">
        <v>27</v>
      </c>
      <c r="J517" s="1"/>
      <c r="K517" s="1">
        <v>14000</v>
      </c>
      <c r="L517" s="2">
        <v>45335</v>
      </c>
      <c r="M517" s="10" t="str">
        <f t="shared" si="8"/>
        <v>Target Achieved</v>
      </c>
    </row>
    <row r="518" spans="1:13" x14ac:dyDescent="0.35">
      <c r="A518" s="1" t="s">
        <v>741</v>
      </c>
      <c r="B518" s="1" t="s">
        <v>373</v>
      </c>
      <c r="C518" s="1" t="s">
        <v>14</v>
      </c>
      <c r="D518" s="1" t="s">
        <v>15</v>
      </c>
      <c r="E518" s="1" t="s">
        <v>46</v>
      </c>
      <c r="F518" s="1" t="s">
        <v>25</v>
      </c>
      <c r="G518" s="1" t="s">
        <v>18</v>
      </c>
      <c r="H518" s="1">
        <v>15981</v>
      </c>
      <c r="I518" s="1" t="s">
        <v>19</v>
      </c>
      <c r="J518" s="1">
        <v>0.2</v>
      </c>
      <c r="K518" s="1">
        <v>14000</v>
      </c>
      <c r="L518" s="2">
        <v>45343</v>
      </c>
      <c r="M518" s="10" t="str">
        <f t="shared" si="8"/>
        <v>Target Achieved</v>
      </c>
    </row>
    <row r="519" spans="1:13" x14ac:dyDescent="0.35">
      <c r="A519" s="1" t="s">
        <v>742</v>
      </c>
      <c r="B519" s="1" t="s">
        <v>235</v>
      </c>
      <c r="C519" s="1" t="s">
        <v>14</v>
      </c>
      <c r="D519" s="1" t="s">
        <v>15</v>
      </c>
      <c r="E519" s="1" t="s">
        <v>46</v>
      </c>
      <c r="F519" s="1" t="s">
        <v>25</v>
      </c>
      <c r="G519" s="1" t="s">
        <v>26</v>
      </c>
      <c r="H519" s="1">
        <v>13783</v>
      </c>
      <c r="I519" s="1" t="s">
        <v>19</v>
      </c>
      <c r="J519" s="1">
        <v>0.2</v>
      </c>
      <c r="K519" s="1">
        <v>14000</v>
      </c>
      <c r="L519" s="2">
        <v>45344</v>
      </c>
      <c r="M519" s="10" t="str">
        <f t="shared" si="8"/>
        <v>Below Target</v>
      </c>
    </row>
    <row r="520" spans="1:13" x14ac:dyDescent="0.35">
      <c r="A520" s="1" t="s">
        <v>743</v>
      </c>
      <c r="B520" s="1" t="s">
        <v>422</v>
      </c>
      <c r="C520" s="1" t="s">
        <v>30</v>
      </c>
      <c r="D520" s="1" t="s">
        <v>31</v>
      </c>
      <c r="E520" s="1" t="s">
        <v>46</v>
      </c>
      <c r="F520" s="1" t="s">
        <v>39</v>
      </c>
      <c r="G520" s="1" t="s">
        <v>18</v>
      </c>
      <c r="H520" s="1">
        <v>15356</v>
      </c>
      <c r="I520" s="1"/>
      <c r="J520" s="1"/>
      <c r="K520" s="1">
        <v>17000</v>
      </c>
      <c r="L520" s="2">
        <v>45327</v>
      </c>
      <c r="M520" s="10" t="str">
        <f t="shared" si="8"/>
        <v>Below Target</v>
      </c>
    </row>
    <row r="521" spans="1:13" x14ac:dyDescent="0.35">
      <c r="A521" s="1" t="s">
        <v>744</v>
      </c>
      <c r="B521" s="1" t="s">
        <v>512</v>
      </c>
      <c r="C521" s="1" t="s">
        <v>30</v>
      </c>
      <c r="D521" s="1" t="s">
        <v>31</v>
      </c>
      <c r="E521" s="1" t="s">
        <v>46</v>
      </c>
      <c r="F521" s="1" t="s">
        <v>39</v>
      </c>
      <c r="G521" s="1" t="s">
        <v>36</v>
      </c>
      <c r="H521" s="1">
        <v>18756</v>
      </c>
      <c r="I521" s="1" t="s">
        <v>22</v>
      </c>
      <c r="J521" s="1">
        <v>0.1</v>
      </c>
      <c r="K521" s="1">
        <v>17000</v>
      </c>
      <c r="L521" s="2">
        <v>45342</v>
      </c>
      <c r="M521" s="10" t="str">
        <f t="shared" si="8"/>
        <v>Target Achieved</v>
      </c>
    </row>
    <row r="522" spans="1:13" x14ac:dyDescent="0.35">
      <c r="A522" s="1" t="s">
        <v>745</v>
      </c>
      <c r="B522" s="1" t="s">
        <v>672</v>
      </c>
      <c r="C522" s="1" t="s">
        <v>61</v>
      </c>
      <c r="D522" s="1" t="s">
        <v>62</v>
      </c>
      <c r="E522" s="1" t="s">
        <v>32</v>
      </c>
      <c r="F522" s="1" t="s">
        <v>17</v>
      </c>
      <c r="G522" s="1" t="s">
        <v>18</v>
      </c>
      <c r="H522" s="1">
        <v>7607</v>
      </c>
      <c r="I522" s="1" t="s">
        <v>27</v>
      </c>
      <c r="J522" s="1"/>
      <c r="K522" s="1">
        <v>9000</v>
      </c>
      <c r="L522" s="2">
        <v>45329</v>
      </c>
      <c r="M522" s="10" t="str">
        <f t="shared" si="8"/>
        <v>Below Target</v>
      </c>
    </row>
    <row r="523" spans="1:13" x14ac:dyDescent="0.35">
      <c r="A523" s="1" t="s">
        <v>746</v>
      </c>
      <c r="B523" s="1" t="s">
        <v>579</v>
      </c>
      <c r="C523" s="1" t="s">
        <v>14</v>
      </c>
      <c r="D523" s="1" t="s">
        <v>15</v>
      </c>
      <c r="E523" s="1" t="s">
        <v>32</v>
      </c>
      <c r="F523" s="1" t="s">
        <v>39</v>
      </c>
      <c r="G523" s="1" t="s">
        <v>18</v>
      </c>
      <c r="H523" s="1">
        <v>15218</v>
      </c>
      <c r="I523" s="1" t="s">
        <v>33</v>
      </c>
      <c r="J523" s="1">
        <v>0.3</v>
      </c>
      <c r="K523" s="1">
        <v>14000</v>
      </c>
      <c r="L523" s="2">
        <v>45347</v>
      </c>
      <c r="M523" s="10" t="str">
        <f t="shared" si="8"/>
        <v>Target Achieved</v>
      </c>
    </row>
    <row r="524" spans="1:13" x14ac:dyDescent="0.35">
      <c r="A524" s="1" t="s">
        <v>747</v>
      </c>
      <c r="B524" s="1" t="s">
        <v>217</v>
      </c>
      <c r="C524" s="1" t="s">
        <v>61</v>
      </c>
      <c r="D524" s="1" t="s">
        <v>62</v>
      </c>
      <c r="E524" s="1" t="s">
        <v>46</v>
      </c>
      <c r="F524" s="1" t="s">
        <v>17</v>
      </c>
      <c r="G524" s="1" t="s">
        <v>26</v>
      </c>
      <c r="H524" s="1">
        <v>8988</v>
      </c>
      <c r="I524" s="1" t="s">
        <v>27</v>
      </c>
      <c r="J524" s="1"/>
      <c r="K524" s="1">
        <v>9000</v>
      </c>
      <c r="L524" s="2">
        <v>45330</v>
      </c>
      <c r="M524" s="10" t="str">
        <f t="shared" si="8"/>
        <v>Below Target</v>
      </c>
    </row>
    <row r="525" spans="1:13" x14ac:dyDescent="0.35">
      <c r="A525" s="1" t="s">
        <v>748</v>
      </c>
      <c r="B525" s="1" t="s">
        <v>711</v>
      </c>
      <c r="C525" s="1" t="s">
        <v>44</v>
      </c>
      <c r="D525" s="1" t="s">
        <v>45</v>
      </c>
      <c r="E525" s="1" t="s">
        <v>46</v>
      </c>
      <c r="F525" s="1" t="s">
        <v>17</v>
      </c>
      <c r="G525" s="1" t="s">
        <v>18</v>
      </c>
      <c r="H525" s="1">
        <v>13532</v>
      </c>
      <c r="I525" s="1" t="s">
        <v>27</v>
      </c>
      <c r="J525" s="1"/>
      <c r="K525" s="1">
        <v>13000</v>
      </c>
      <c r="L525" s="2">
        <v>45335</v>
      </c>
      <c r="M525" s="10" t="str">
        <f t="shared" si="8"/>
        <v>Target Achieved</v>
      </c>
    </row>
    <row r="526" spans="1:13" x14ac:dyDescent="0.35">
      <c r="A526" s="1" t="s">
        <v>749</v>
      </c>
      <c r="B526" s="1" t="s">
        <v>127</v>
      </c>
      <c r="C526" s="1" t="s">
        <v>14</v>
      </c>
      <c r="D526" s="1" t="s">
        <v>15</v>
      </c>
      <c r="E526" s="1" t="s">
        <v>46</v>
      </c>
      <c r="F526" s="1" t="s">
        <v>17</v>
      </c>
      <c r="G526" s="1" t="s">
        <v>26</v>
      </c>
      <c r="H526" s="1">
        <v>12973</v>
      </c>
      <c r="I526" s="1" t="s">
        <v>22</v>
      </c>
      <c r="J526" s="1">
        <v>0.1</v>
      </c>
      <c r="K526" s="1">
        <v>14000</v>
      </c>
      <c r="L526" s="2">
        <v>45339</v>
      </c>
      <c r="M526" s="10" t="str">
        <f t="shared" si="8"/>
        <v>Below Target</v>
      </c>
    </row>
    <row r="527" spans="1:13" x14ac:dyDescent="0.35">
      <c r="A527" s="1" t="s">
        <v>750</v>
      </c>
      <c r="B527" s="1" t="s">
        <v>123</v>
      </c>
      <c r="C527" s="1" t="s">
        <v>30</v>
      </c>
      <c r="D527" s="1" t="s">
        <v>31</v>
      </c>
      <c r="E527" s="1" t="s">
        <v>32</v>
      </c>
      <c r="F527" s="1" t="s">
        <v>17</v>
      </c>
      <c r="G527" s="1" t="s">
        <v>36</v>
      </c>
      <c r="H527" s="1">
        <v>16273</v>
      </c>
      <c r="I527" s="1" t="s">
        <v>33</v>
      </c>
      <c r="J527" s="1">
        <v>0.3</v>
      </c>
      <c r="K527" s="1">
        <v>17000</v>
      </c>
      <c r="L527" s="2">
        <v>45345</v>
      </c>
      <c r="M527" s="10" t="str">
        <f t="shared" si="8"/>
        <v>Below Target</v>
      </c>
    </row>
    <row r="528" spans="1:13" x14ac:dyDescent="0.35">
      <c r="A528" s="1" t="s">
        <v>751</v>
      </c>
      <c r="B528" s="1" t="s">
        <v>752</v>
      </c>
      <c r="C528" s="1" t="s">
        <v>14</v>
      </c>
      <c r="D528" s="1" t="s">
        <v>15</v>
      </c>
      <c r="E528" s="1" t="s">
        <v>32</v>
      </c>
      <c r="F528" s="1" t="s">
        <v>25</v>
      </c>
      <c r="G528" s="1" t="s">
        <v>36</v>
      </c>
      <c r="H528" s="1">
        <v>15990</v>
      </c>
      <c r="I528" s="1"/>
      <c r="J528" s="1"/>
      <c r="K528" s="1">
        <v>14000</v>
      </c>
      <c r="L528" s="2">
        <v>45341</v>
      </c>
      <c r="M528" s="10" t="str">
        <f t="shared" si="8"/>
        <v>Target Achieved</v>
      </c>
    </row>
    <row r="529" spans="1:13" x14ac:dyDescent="0.35">
      <c r="A529" s="1" t="s">
        <v>753</v>
      </c>
      <c r="B529" s="1" t="s">
        <v>303</v>
      </c>
      <c r="C529" s="1" t="s">
        <v>30</v>
      </c>
      <c r="D529" s="1" t="s">
        <v>31</v>
      </c>
      <c r="E529" s="1" t="s">
        <v>16</v>
      </c>
      <c r="F529" s="1" t="s">
        <v>17</v>
      </c>
      <c r="G529" s="1" t="s">
        <v>26</v>
      </c>
      <c r="H529" s="1">
        <v>17644</v>
      </c>
      <c r="I529" s="1" t="s">
        <v>22</v>
      </c>
      <c r="J529" s="1">
        <v>0.1</v>
      </c>
      <c r="K529" s="1">
        <v>17000</v>
      </c>
      <c r="L529" s="2">
        <v>45304</v>
      </c>
      <c r="M529" s="10" t="str">
        <f t="shared" si="8"/>
        <v>Target Achieved</v>
      </c>
    </row>
    <row r="530" spans="1:13" x14ac:dyDescent="0.35">
      <c r="A530" s="1" t="s">
        <v>754</v>
      </c>
      <c r="B530" s="1" t="s">
        <v>211</v>
      </c>
      <c r="C530" s="1" t="s">
        <v>61</v>
      </c>
      <c r="D530" s="1" t="s">
        <v>62</v>
      </c>
      <c r="E530" s="1" t="s">
        <v>16</v>
      </c>
      <c r="F530" s="1" t="s">
        <v>17</v>
      </c>
      <c r="G530" s="1" t="s">
        <v>26</v>
      </c>
      <c r="H530" s="1">
        <v>10552</v>
      </c>
      <c r="I530" s="1" t="s">
        <v>33</v>
      </c>
      <c r="J530" s="1">
        <v>0.3</v>
      </c>
      <c r="K530" s="1">
        <v>9000</v>
      </c>
      <c r="L530" s="2">
        <v>45344</v>
      </c>
      <c r="M530" s="10" t="str">
        <f t="shared" si="8"/>
        <v>Target Achieved</v>
      </c>
    </row>
    <row r="531" spans="1:13" x14ac:dyDescent="0.35">
      <c r="A531" s="1" t="s">
        <v>755</v>
      </c>
      <c r="B531" s="1" t="s">
        <v>166</v>
      </c>
      <c r="C531" s="1" t="s">
        <v>44</v>
      </c>
      <c r="D531" s="1" t="s">
        <v>45</v>
      </c>
      <c r="E531" s="1" t="s">
        <v>32</v>
      </c>
      <c r="F531" s="1" t="s">
        <v>17</v>
      </c>
      <c r="G531" s="1" t="s">
        <v>26</v>
      </c>
      <c r="H531" s="1">
        <v>13075</v>
      </c>
      <c r="I531" s="1"/>
      <c r="J531" s="1"/>
      <c r="K531" s="1">
        <v>13000</v>
      </c>
      <c r="L531" s="2">
        <v>45300</v>
      </c>
      <c r="M531" s="10" t="str">
        <f t="shared" si="8"/>
        <v>Target Achieved</v>
      </c>
    </row>
    <row r="532" spans="1:13" x14ac:dyDescent="0.35">
      <c r="A532" s="1" t="s">
        <v>756</v>
      </c>
      <c r="B532" s="1" t="s">
        <v>140</v>
      </c>
      <c r="C532" s="1" t="s">
        <v>14</v>
      </c>
      <c r="D532" s="1" t="s">
        <v>15</v>
      </c>
      <c r="E532" s="1" t="s">
        <v>32</v>
      </c>
      <c r="F532" s="1" t="s">
        <v>25</v>
      </c>
      <c r="G532" s="1" t="s">
        <v>18</v>
      </c>
      <c r="H532" s="1">
        <v>15428</v>
      </c>
      <c r="I532" s="1" t="s">
        <v>22</v>
      </c>
      <c r="J532" s="1">
        <v>0.1</v>
      </c>
      <c r="K532" s="1">
        <v>14000</v>
      </c>
      <c r="L532" s="2">
        <v>45307</v>
      </c>
      <c r="M532" s="10" t="str">
        <f t="shared" si="8"/>
        <v>Target Achieved</v>
      </c>
    </row>
    <row r="533" spans="1:13" x14ac:dyDescent="0.35">
      <c r="A533" s="1" t="s">
        <v>757</v>
      </c>
      <c r="B533" s="1" t="s">
        <v>489</v>
      </c>
      <c r="C533" s="1" t="s">
        <v>14</v>
      </c>
      <c r="D533" s="1" t="s">
        <v>15</v>
      </c>
      <c r="E533" s="1" t="s">
        <v>46</v>
      </c>
      <c r="F533" s="1" t="s">
        <v>39</v>
      </c>
      <c r="G533" s="1" t="s">
        <v>18</v>
      </c>
      <c r="H533" s="1">
        <v>13122</v>
      </c>
      <c r="I533" s="1" t="s">
        <v>33</v>
      </c>
      <c r="J533" s="1">
        <v>0.3</v>
      </c>
      <c r="K533" s="1">
        <v>14000</v>
      </c>
      <c r="L533" s="2">
        <v>45344</v>
      </c>
      <c r="M533" s="10" t="str">
        <f t="shared" si="8"/>
        <v>Below Target</v>
      </c>
    </row>
    <row r="534" spans="1:13" x14ac:dyDescent="0.35">
      <c r="A534" s="1" t="s">
        <v>758</v>
      </c>
      <c r="B534" s="1" t="s">
        <v>330</v>
      </c>
      <c r="C534" s="1" t="s">
        <v>61</v>
      </c>
      <c r="D534" s="1" t="s">
        <v>62</v>
      </c>
      <c r="E534" s="1" t="s">
        <v>16</v>
      </c>
      <c r="F534" s="1" t="s">
        <v>25</v>
      </c>
      <c r="G534" s="1" t="s">
        <v>26</v>
      </c>
      <c r="H534" s="1">
        <v>7125</v>
      </c>
      <c r="I534" s="1" t="s">
        <v>19</v>
      </c>
      <c r="J534" s="1">
        <v>0.2</v>
      </c>
      <c r="K534" s="1">
        <v>9000</v>
      </c>
      <c r="L534" s="2">
        <v>45315</v>
      </c>
      <c r="M534" s="10" t="str">
        <f t="shared" si="8"/>
        <v>Below Target</v>
      </c>
    </row>
    <row r="535" spans="1:13" x14ac:dyDescent="0.35">
      <c r="A535" s="1" t="s">
        <v>759</v>
      </c>
      <c r="B535" s="1" t="s">
        <v>600</v>
      </c>
      <c r="C535" s="1" t="s">
        <v>61</v>
      </c>
      <c r="D535" s="1" t="s">
        <v>62</v>
      </c>
      <c r="E535" s="1" t="s">
        <v>32</v>
      </c>
      <c r="F535" s="1" t="s">
        <v>17</v>
      </c>
      <c r="G535" s="1" t="s">
        <v>26</v>
      </c>
      <c r="H535" s="1">
        <v>9258</v>
      </c>
      <c r="I535" s="1" t="s">
        <v>33</v>
      </c>
      <c r="J535" s="1">
        <v>0.3</v>
      </c>
      <c r="K535" s="1">
        <v>9000</v>
      </c>
      <c r="L535" s="2">
        <v>45314</v>
      </c>
      <c r="M535" s="10" t="str">
        <f t="shared" si="8"/>
        <v>Target Achieved</v>
      </c>
    </row>
    <row r="536" spans="1:13" x14ac:dyDescent="0.35">
      <c r="A536" s="1" t="s">
        <v>760</v>
      </c>
      <c r="B536" s="1" t="s">
        <v>619</v>
      </c>
      <c r="C536" s="1" t="s">
        <v>30</v>
      </c>
      <c r="D536" s="1" t="s">
        <v>31</v>
      </c>
      <c r="E536" s="1" t="s">
        <v>16</v>
      </c>
      <c r="F536" s="1" t="s">
        <v>39</v>
      </c>
      <c r="G536" s="1" t="s">
        <v>18</v>
      </c>
      <c r="H536" s="1">
        <v>16167</v>
      </c>
      <c r="I536" s="1" t="s">
        <v>22</v>
      </c>
      <c r="J536" s="1">
        <v>0.1</v>
      </c>
      <c r="K536" s="1">
        <v>17000</v>
      </c>
      <c r="L536" s="2">
        <v>45316</v>
      </c>
      <c r="M536" s="10" t="str">
        <f t="shared" si="8"/>
        <v>Below Target</v>
      </c>
    </row>
    <row r="537" spans="1:13" x14ac:dyDescent="0.35">
      <c r="A537" s="1" t="s">
        <v>761</v>
      </c>
      <c r="B537" s="1" t="s">
        <v>243</v>
      </c>
      <c r="C537" s="1" t="s">
        <v>44</v>
      </c>
      <c r="D537" s="1" t="s">
        <v>45</v>
      </c>
      <c r="E537" s="1" t="s">
        <v>32</v>
      </c>
      <c r="F537" s="1" t="s">
        <v>39</v>
      </c>
      <c r="G537" s="1" t="s">
        <v>18</v>
      </c>
      <c r="H537" s="1">
        <v>13775</v>
      </c>
      <c r="I537" s="1" t="s">
        <v>19</v>
      </c>
      <c r="J537" s="1">
        <v>0.2</v>
      </c>
      <c r="K537" s="1">
        <v>13000</v>
      </c>
      <c r="L537" s="2">
        <v>45309</v>
      </c>
      <c r="M537" s="10" t="str">
        <f t="shared" si="8"/>
        <v>Target Achieved</v>
      </c>
    </row>
    <row r="538" spans="1:13" x14ac:dyDescent="0.35">
      <c r="A538" s="1" t="s">
        <v>762</v>
      </c>
      <c r="B538" s="1" t="s">
        <v>90</v>
      </c>
      <c r="C538" s="1" t="s">
        <v>14</v>
      </c>
      <c r="D538" s="1" t="s">
        <v>15</v>
      </c>
      <c r="E538" s="1" t="s">
        <v>16</v>
      </c>
      <c r="F538" s="1" t="s">
        <v>25</v>
      </c>
      <c r="G538" s="1" t="s">
        <v>36</v>
      </c>
      <c r="H538" s="1">
        <v>15733</v>
      </c>
      <c r="I538" s="1" t="s">
        <v>19</v>
      </c>
      <c r="J538" s="1">
        <v>0.2</v>
      </c>
      <c r="K538" s="1">
        <v>14000</v>
      </c>
      <c r="L538" s="2">
        <v>45333</v>
      </c>
      <c r="M538" s="10" t="str">
        <f t="shared" si="8"/>
        <v>Target Achieved</v>
      </c>
    </row>
    <row r="539" spans="1:13" x14ac:dyDescent="0.35">
      <c r="A539" s="1" t="s">
        <v>763</v>
      </c>
      <c r="B539" s="1" t="s">
        <v>720</v>
      </c>
      <c r="C539" s="1" t="s">
        <v>14</v>
      </c>
      <c r="D539" s="1" t="s">
        <v>15</v>
      </c>
      <c r="E539" s="1" t="s">
        <v>32</v>
      </c>
      <c r="F539" s="1" t="s">
        <v>17</v>
      </c>
      <c r="G539" s="1" t="s">
        <v>26</v>
      </c>
      <c r="H539" s="1">
        <v>15297</v>
      </c>
      <c r="I539" s="1" t="s">
        <v>33</v>
      </c>
      <c r="J539" s="1">
        <v>0.3</v>
      </c>
      <c r="K539" s="1">
        <v>14000</v>
      </c>
      <c r="L539" s="2">
        <v>45337</v>
      </c>
      <c r="M539" s="10" t="str">
        <f t="shared" si="8"/>
        <v>Target Achieved</v>
      </c>
    </row>
    <row r="540" spans="1:13" x14ac:dyDescent="0.35">
      <c r="A540" s="1" t="s">
        <v>764</v>
      </c>
      <c r="B540" s="1" t="s">
        <v>765</v>
      </c>
      <c r="C540" s="1" t="s">
        <v>30</v>
      </c>
      <c r="D540" s="1" t="s">
        <v>31</v>
      </c>
      <c r="E540" s="1" t="s">
        <v>46</v>
      </c>
      <c r="F540" s="1" t="s">
        <v>17</v>
      </c>
      <c r="G540" s="1" t="s">
        <v>36</v>
      </c>
      <c r="H540" s="1">
        <v>16880</v>
      </c>
      <c r="I540" s="1" t="s">
        <v>33</v>
      </c>
      <c r="J540" s="1">
        <v>0.3</v>
      </c>
      <c r="K540" s="1">
        <v>17000</v>
      </c>
      <c r="L540" s="2">
        <v>45305</v>
      </c>
      <c r="M540" s="10" t="str">
        <f t="shared" si="8"/>
        <v>Below Target</v>
      </c>
    </row>
    <row r="541" spans="1:13" x14ac:dyDescent="0.35">
      <c r="A541" s="1" t="s">
        <v>766</v>
      </c>
      <c r="B541" s="1" t="s">
        <v>123</v>
      </c>
      <c r="C541" s="1" t="s">
        <v>61</v>
      </c>
      <c r="D541" s="1" t="s">
        <v>62</v>
      </c>
      <c r="E541" s="1" t="s">
        <v>16</v>
      </c>
      <c r="F541" s="1" t="s">
        <v>25</v>
      </c>
      <c r="G541" s="1" t="s">
        <v>18</v>
      </c>
      <c r="H541" s="1">
        <v>9095</v>
      </c>
      <c r="I541" s="1" t="s">
        <v>33</v>
      </c>
      <c r="J541" s="1">
        <v>0.3</v>
      </c>
      <c r="K541" s="1">
        <v>9000</v>
      </c>
      <c r="L541" s="2">
        <v>45327</v>
      </c>
      <c r="M541" s="10" t="str">
        <f t="shared" si="8"/>
        <v>Target Achieved</v>
      </c>
    </row>
    <row r="542" spans="1:13" x14ac:dyDescent="0.35">
      <c r="A542" s="1" t="s">
        <v>767</v>
      </c>
      <c r="B542" s="1" t="s">
        <v>163</v>
      </c>
      <c r="C542" s="1" t="s">
        <v>30</v>
      </c>
      <c r="D542" s="1" t="s">
        <v>31</v>
      </c>
      <c r="E542" s="1" t="s">
        <v>46</v>
      </c>
      <c r="F542" s="1" t="s">
        <v>39</v>
      </c>
      <c r="G542" s="1" t="s">
        <v>18</v>
      </c>
      <c r="H542" s="1">
        <v>16973</v>
      </c>
      <c r="I542" s="1" t="s">
        <v>22</v>
      </c>
      <c r="J542" s="1">
        <v>0.1</v>
      </c>
      <c r="K542" s="1">
        <v>17000</v>
      </c>
      <c r="L542" s="2">
        <v>45313</v>
      </c>
      <c r="M542" s="10" t="str">
        <f t="shared" si="8"/>
        <v>Below Target</v>
      </c>
    </row>
    <row r="543" spans="1:13" x14ac:dyDescent="0.35">
      <c r="A543" s="1" t="s">
        <v>768</v>
      </c>
      <c r="B543" s="1" t="s">
        <v>286</v>
      </c>
      <c r="C543" s="1" t="s">
        <v>30</v>
      </c>
      <c r="D543" s="1" t="s">
        <v>31</v>
      </c>
      <c r="E543" s="1" t="s">
        <v>46</v>
      </c>
      <c r="F543" s="1" t="s">
        <v>17</v>
      </c>
      <c r="G543" s="1" t="s">
        <v>26</v>
      </c>
      <c r="H543" s="1">
        <v>17912</v>
      </c>
      <c r="I543" s="1" t="s">
        <v>33</v>
      </c>
      <c r="J543" s="1">
        <v>0.3</v>
      </c>
      <c r="K543" s="1">
        <v>17000</v>
      </c>
      <c r="L543" s="2">
        <v>45304</v>
      </c>
      <c r="M543" s="10" t="str">
        <f t="shared" si="8"/>
        <v>Target Achieved</v>
      </c>
    </row>
    <row r="544" spans="1:13" x14ac:dyDescent="0.35">
      <c r="A544" s="1" t="s">
        <v>769</v>
      </c>
      <c r="B544" s="1" t="s">
        <v>440</v>
      </c>
      <c r="C544" s="1" t="s">
        <v>44</v>
      </c>
      <c r="D544" s="1" t="s">
        <v>45</v>
      </c>
      <c r="E544" s="1" t="s">
        <v>32</v>
      </c>
      <c r="F544" s="1" t="s">
        <v>39</v>
      </c>
      <c r="G544" s="1" t="s">
        <v>36</v>
      </c>
      <c r="H544" s="1">
        <v>13705</v>
      </c>
      <c r="I544" s="1" t="s">
        <v>33</v>
      </c>
      <c r="J544" s="1">
        <v>0.3</v>
      </c>
      <c r="K544" s="1">
        <v>13000</v>
      </c>
      <c r="L544" s="2">
        <v>45335</v>
      </c>
      <c r="M544" s="10" t="str">
        <f t="shared" si="8"/>
        <v>Target Achieved</v>
      </c>
    </row>
    <row r="545" spans="1:13" x14ac:dyDescent="0.35">
      <c r="A545" s="1" t="s">
        <v>770</v>
      </c>
      <c r="B545" s="1" t="s">
        <v>280</v>
      </c>
      <c r="C545" s="1" t="s">
        <v>14</v>
      </c>
      <c r="D545" s="1" t="s">
        <v>15</v>
      </c>
      <c r="E545" s="1" t="s">
        <v>16</v>
      </c>
      <c r="F545" s="1" t="s">
        <v>17</v>
      </c>
      <c r="G545" s="1" t="s">
        <v>36</v>
      </c>
      <c r="H545" s="1">
        <v>13062</v>
      </c>
      <c r="I545" s="1"/>
      <c r="J545" s="1"/>
      <c r="K545" s="1">
        <v>14000</v>
      </c>
      <c r="L545" s="2">
        <v>45317</v>
      </c>
      <c r="M545" s="10" t="str">
        <f t="shared" si="8"/>
        <v>Below Target</v>
      </c>
    </row>
    <row r="546" spans="1:13" x14ac:dyDescent="0.35">
      <c r="A546" s="1" t="s">
        <v>771</v>
      </c>
      <c r="B546" s="1" t="s">
        <v>101</v>
      </c>
      <c r="C546" s="1" t="s">
        <v>14</v>
      </c>
      <c r="D546" s="1" t="s">
        <v>15</v>
      </c>
      <c r="E546" s="1" t="s">
        <v>16</v>
      </c>
      <c r="F546" s="1" t="s">
        <v>39</v>
      </c>
      <c r="G546" s="1" t="s">
        <v>26</v>
      </c>
      <c r="H546" s="1">
        <v>15342</v>
      </c>
      <c r="I546" s="1" t="s">
        <v>19</v>
      </c>
      <c r="J546" s="1">
        <v>0.2</v>
      </c>
      <c r="K546" s="1">
        <v>14000</v>
      </c>
      <c r="L546" s="2">
        <v>45313</v>
      </c>
      <c r="M546" s="10" t="str">
        <f t="shared" si="8"/>
        <v>Target Achieved</v>
      </c>
    </row>
    <row r="547" spans="1:13" x14ac:dyDescent="0.35">
      <c r="A547" s="1" t="s">
        <v>772</v>
      </c>
      <c r="B547" s="1" t="s">
        <v>342</v>
      </c>
      <c r="C547" s="1" t="s">
        <v>44</v>
      </c>
      <c r="D547" s="1" t="s">
        <v>45</v>
      </c>
      <c r="E547" s="1" t="s">
        <v>16</v>
      </c>
      <c r="F547" s="1" t="s">
        <v>39</v>
      </c>
      <c r="G547" s="1" t="s">
        <v>26</v>
      </c>
      <c r="H547" s="1">
        <v>14214</v>
      </c>
      <c r="I547" s="1"/>
      <c r="J547" s="1"/>
      <c r="K547" s="1">
        <v>13000</v>
      </c>
      <c r="L547" s="2">
        <v>45350</v>
      </c>
      <c r="M547" s="10" t="str">
        <f t="shared" si="8"/>
        <v>Target Achieved</v>
      </c>
    </row>
    <row r="548" spans="1:13" x14ac:dyDescent="0.35">
      <c r="A548" s="1" t="s">
        <v>773</v>
      </c>
      <c r="B548" s="1" t="s">
        <v>317</v>
      </c>
      <c r="C548" s="1" t="s">
        <v>30</v>
      </c>
      <c r="D548" s="1" t="s">
        <v>31</v>
      </c>
      <c r="E548" s="1" t="s">
        <v>32</v>
      </c>
      <c r="F548" s="1" t="s">
        <v>39</v>
      </c>
      <c r="G548" s="1" t="s">
        <v>26</v>
      </c>
      <c r="H548" s="1">
        <v>15741</v>
      </c>
      <c r="I548" s="1" t="s">
        <v>33</v>
      </c>
      <c r="J548" s="1">
        <v>0.3</v>
      </c>
      <c r="K548" s="1">
        <v>17000</v>
      </c>
      <c r="L548" s="2">
        <v>45298</v>
      </c>
      <c r="M548" s="10" t="str">
        <f t="shared" si="8"/>
        <v>Below Target</v>
      </c>
    </row>
    <row r="549" spans="1:13" x14ac:dyDescent="0.35">
      <c r="A549" s="1" t="s">
        <v>774</v>
      </c>
      <c r="B549" s="1" t="s">
        <v>508</v>
      </c>
      <c r="C549" s="1" t="s">
        <v>30</v>
      </c>
      <c r="D549" s="1" t="s">
        <v>31</v>
      </c>
      <c r="E549" s="1" t="s">
        <v>16</v>
      </c>
      <c r="F549" s="1" t="s">
        <v>39</v>
      </c>
      <c r="G549" s="1" t="s">
        <v>18</v>
      </c>
      <c r="H549" s="1">
        <v>18878</v>
      </c>
      <c r="I549" s="1" t="s">
        <v>33</v>
      </c>
      <c r="J549" s="1">
        <v>0.3</v>
      </c>
      <c r="K549" s="1">
        <v>17000</v>
      </c>
      <c r="L549" s="2">
        <v>45333</v>
      </c>
      <c r="M549" s="10" t="str">
        <f t="shared" si="8"/>
        <v>Target Achieved</v>
      </c>
    </row>
    <row r="550" spans="1:13" x14ac:dyDescent="0.35">
      <c r="A550" s="1" t="s">
        <v>775</v>
      </c>
      <c r="B550" s="1" t="s">
        <v>248</v>
      </c>
      <c r="C550" s="1" t="s">
        <v>30</v>
      </c>
      <c r="D550" s="1" t="s">
        <v>31</v>
      </c>
      <c r="E550" s="1" t="s">
        <v>32</v>
      </c>
      <c r="F550" s="1" t="s">
        <v>39</v>
      </c>
      <c r="G550" s="1" t="s">
        <v>36</v>
      </c>
      <c r="H550" s="1">
        <v>16722</v>
      </c>
      <c r="I550" s="1" t="s">
        <v>33</v>
      </c>
      <c r="J550" s="1">
        <v>0.3</v>
      </c>
      <c r="K550" s="1">
        <v>17000</v>
      </c>
      <c r="L550" s="2">
        <v>45315</v>
      </c>
      <c r="M550" s="10" t="str">
        <f t="shared" si="8"/>
        <v>Below Target</v>
      </c>
    </row>
    <row r="551" spans="1:13" x14ac:dyDescent="0.35">
      <c r="A551" s="1" t="s">
        <v>776</v>
      </c>
      <c r="B551" s="1" t="s">
        <v>118</v>
      </c>
      <c r="C551" s="1" t="s">
        <v>30</v>
      </c>
      <c r="D551" s="1" t="s">
        <v>31</v>
      </c>
      <c r="E551" s="1" t="s">
        <v>46</v>
      </c>
      <c r="F551" s="1" t="s">
        <v>25</v>
      </c>
      <c r="G551" s="1" t="s">
        <v>36</v>
      </c>
      <c r="H551" s="1">
        <v>15219</v>
      </c>
      <c r="I551" s="1" t="s">
        <v>27</v>
      </c>
      <c r="J551" s="1"/>
      <c r="K551" s="1">
        <v>17000</v>
      </c>
      <c r="L551" s="2">
        <v>45329</v>
      </c>
      <c r="M551" s="10" t="str">
        <f t="shared" si="8"/>
        <v>Below Target</v>
      </c>
    </row>
    <row r="552" spans="1:13" x14ac:dyDescent="0.35">
      <c r="A552" s="1" t="s">
        <v>777</v>
      </c>
      <c r="B552" s="1" t="s">
        <v>107</v>
      </c>
      <c r="C552" s="1" t="s">
        <v>61</v>
      </c>
      <c r="D552" s="1" t="s">
        <v>62</v>
      </c>
      <c r="E552" s="1" t="s">
        <v>32</v>
      </c>
      <c r="F552" s="1" t="s">
        <v>39</v>
      </c>
      <c r="G552" s="1" t="s">
        <v>18</v>
      </c>
      <c r="H552" s="1">
        <v>10553</v>
      </c>
      <c r="I552" s="1"/>
      <c r="J552" s="1"/>
      <c r="K552" s="1">
        <v>9000</v>
      </c>
      <c r="L552" s="2">
        <v>45325</v>
      </c>
      <c r="M552" s="10" t="str">
        <f t="shared" si="8"/>
        <v>Target Achieved</v>
      </c>
    </row>
    <row r="553" spans="1:13" x14ac:dyDescent="0.35">
      <c r="A553" s="1" t="s">
        <v>778</v>
      </c>
      <c r="B553" s="1" t="s">
        <v>70</v>
      </c>
      <c r="C553" s="1" t="s">
        <v>14</v>
      </c>
      <c r="D553" s="1" t="s">
        <v>15</v>
      </c>
      <c r="E553" s="1" t="s">
        <v>32</v>
      </c>
      <c r="F553" s="1" t="s">
        <v>25</v>
      </c>
      <c r="G553" s="1" t="s">
        <v>18</v>
      </c>
      <c r="H553" s="1">
        <v>13403</v>
      </c>
      <c r="I553" s="1"/>
      <c r="J553" s="1"/>
      <c r="K553" s="1">
        <v>14000</v>
      </c>
      <c r="L553" s="2">
        <v>45328</v>
      </c>
      <c r="M553" s="10" t="str">
        <f t="shared" si="8"/>
        <v>Below Target</v>
      </c>
    </row>
    <row r="554" spans="1:13" x14ac:dyDescent="0.35">
      <c r="A554" s="1" t="s">
        <v>779</v>
      </c>
      <c r="B554" s="1" t="s">
        <v>445</v>
      </c>
      <c r="C554" s="1" t="s">
        <v>44</v>
      </c>
      <c r="D554" s="1" t="s">
        <v>45</v>
      </c>
      <c r="E554" s="1" t="s">
        <v>46</v>
      </c>
      <c r="F554" s="1" t="s">
        <v>39</v>
      </c>
      <c r="G554" s="1" t="s">
        <v>18</v>
      </c>
      <c r="H554" s="1">
        <v>14190</v>
      </c>
      <c r="I554" s="1" t="s">
        <v>22</v>
      </c>
      <c r="J554" s="1">
        <v>0.1</v>
      </c>
      <c r="K554" s="1">
        <v>13000</v>
      </c>
      <c r="L554" s="2">
        <v>45323</v>
      </c>
      <c r="M554" s="10" t="str">
        <f t="shared" si="8"/>
        <v>Target Achieved</v>
      </c>
    </row>
    <row r="555" spans="1:13" x14ac:dyDescent="0.35">
      <c r="A555" s="1" t="s">
        <v>780</v>
      </c>
      <c r="B555" s="1" t="s">
        <v>150</v>
      </c>
      <c r="C555" s="1" t="s">
        <v>44</v>
      </c>
      <c r="D555" s="1" t="s">
        <v>45</v>
      </c>
      <c r="E555" s="1" t="s">
        <v>46</v>
      </c>
      <c r="F555" s="1" t="s">
        <v>39</v>
      </c>
      <c r="G555" s="1" t="s">
        <v>18</v>
      </c>
      <c r="H555" s="1">
        <v>11019</v>
      </c>
      <c r="I555" s="1"/>
      <c r="J555" s="1"/>
      <c r="K555" s="1">
        <v>13000</v>
      </c>
      <c r="L555" s="2">
        <v>45309</v>
      </c>
      <c r="M555" s="10" t="str">
        <f t="shared" si="8"/>
        <v>Below Target</v>
      </c>
    </row>
    <row r="556" spans="1:13" x14ac:dyDescent="0.35">
      <c r="A556" s="1" t="s">
        <v>781</v>
      </c>
      <c r="B556" s="1" t="s">
        <v>401</v>
      </c>
      <c r="C556" s="1" t="s">
        <v>44</v>
      </c>
      <c r="D556" s="1" t="s">
        <v>45</v>
      </c>
      <c r="E556" s="1" t="s">
        <v>16</v>
      </c>
      <c r="F556" s="1" t="s">
        <v>25</v>
      </c>
      <c r="G556" s="1" t="s">
        <v>36</v>
      </c>
      <c r="H556" s="1">
        <v>14216</v>
      </c>
      <c r="I556" s="1" t="s">
        <v>22</v>
      </c>
      <c r="J556" s="1">
        <v>0.1</v>
      </c>
      <c r="K556" s="1">
        <v>13000</v>
      </c>
      <c r="L556" s="2">
        <v>45300</v>
      </c>
      <c r="M556" s="10" t="str">
        <f t="shared" si="8"/>
        <v>Target Achieved</v>
      </c>
    </row>
    <row r="557" spans="1:13" x14ac:dyDescent="0.35">
      <c r="A557" s="1" t="s">
        <v>782</v>
      </c>
      <c r="B557" s="1" t="s">
        <v>337</v>
      </c>
      <c r="C557" s="1" t="s">
        <v>61</v>
      </c>
      <c r="D557" s="1" t="s">
        <v>62</v>
      </c>
      <c r="E557" s="1" t="s">
        <v>46</v>
      </c>
      <c r="F557" s="1" t="s">
        <v>17</v>
      </c>
      <c r="G557" s="1" t="s">
        <v>36</v>
      </c>
      <c r="H557" s="1">
        <v>8570</v>
      </c>
      <c r="I557" s="1" t="s">
        <v>22</v>
      </c>
      <c r="J557" s="1">
        <v>0.1</v>
      </c>
      <c r="K557" s="1">
        <v>9000</v>
      </c>
      <c r="L557" s="2">
        <v>45294</v>
      </c>
      <c r="M557" s="10" t="str">
        <f t="shared" si="8"/>
        <v>Below Target</v>
      </c>
    </row>
    <row r="558" spans="1:13" x14ac:dyDescent="0.35">
      <c r="A558" s="1" t="s">
        <v>783</v>
      </c>
      <c r="B558" s="1" t="s">
        <v>346</v>
      </c>
      <c r="C558" s="1" t="s">
        <v>30</v>
      </c>
      <c r="D558" s="1" t="s">
        <v>31</v>
      </c>
      <c r="E558" s="1" t="s">
        <v>32</v>
      </c>
      <c r="F558" s="1" t="s">
        <v>17</v>
      </c>
      <c r="G558" s="1" t="s">
        <v>26</v>
      </c>
      <c r="H558" s="1">
        <v>15780</v>
      </c>
      <c r="I558" s="1" t="s">
        <v>22</v>
      </c>
      <c r="J558" s="1">
        <v>0.1</v>
      </c>
      <c r="K558" s="1">
        <v>17000</v>
      </c>
      <c r="L558" s="2">
        <v>45335</v>
      </c>
      <c r="M558" s="10" t="str">
        <f t="shared" si="8"/>
        <v>Below Target</v>
      </c>
    </row>
    <row r="559" spans="1:13" x14ac:dyDescent="0.35">
      <c r="A559" s="1" t="s">
        <v>784</v>
      </c>
      <c r="B559" s="1" t="s">
        <v>68</v>
      </c>
      <c r="C559" s="1" t="s">
        <v>44</v>
      </c>
      <c r="D559" s="1" t="s">
        <v>45</v>
      </c>
      <c r="E559" s="1" t="s">
        <v>32</v>
      </c>
      <c r="F559" s="1" t="s">
        <v>39</v>
      </c>
      <c r="G559" s="1" t="s">
        <v>36</v>
      </c>
      <c r="H559" s="1">
        <v>12278</v>
      </c>
      <c r="I559" s="1" t="s">
        <v>19</v>
      </c>
      <c r="J559" s="1">
        <v>0.2</v>
      </c>
      <c r="K559" s="1">
        <v>13000</v>
      </c>
      <c r="L559" s="2">
        <v>45298</v>
      </c>
      <c r="M559" s="10" t="str">
        <f t="shared" si="8"/>
        <v>Below Target</v>
      </c>
    </row>
    <row r="560" spans="1:13" x14ac:dyDescent="0.35">
      <c r="A560" s="1" t="s">
        <v>785</v>
      </c>
      <c r="B560" s="1" t="s">
        <v>512</v>
      </c>
      <c r="C560" s="1" t="s">
        <v>30</v>
      </c>
      <c r="D560" s="1" t="s">
        <v>31</v>
      </c>
      <c r="E560" s="1" t="s">
        <v>32</v>
      </c>
      <c r="F560" s="1" t="s">
        <v>25</v>
      </c>
      <c r="G560" s="1" t="s">
        <v>18</v>
      </c>
      <c r="H560" s="1">
        <v>16221</v>
      </c>
      <c r="I560" s="1" t="s">
        <v>33</v>
      </c>
      <c r="J560" s="1">
        <v>0.3</v>
      </c>
      <c r="K560" s="1">
        <v>17000</v>
      </c>
      <c r="L560" s="2">
        <v>45321</v>
      </c>
      <c r="M560" s="10" t="str">
        <f t="shared" si="8"/>
        <v>Below Target</v>
      </c>
    </row>
    <row r="561" spans="1:13" x14ac:dyDescent="0.35">
      <c r="A561" s="1" t="s">
        <v>786</v>
      </c>
      <c r="B561" s="1" t="s">
        <v>103</v>
      </c>
      <c r="C561" s="1" t="s">
        <v>30</v>
      </c>
      <c r="D561" s="1" t="s">
        <v>31</v>
      </c>
      <c r="E561" s="1" t="s">
        <v>46</v>
      </c>
      <c r="F561" s="1" t="s">
        <v>39</v>
      </c>
      <c r="G561" s="1" t="s">
        <v>18</v>
      </c>
      <c r="H561" s="1">
        <v>16403</v>
      </c>
      <c r="I561" s="1"/>
      <c r="J561" s="1"/>
      <c r="K561" s="1">
        <v>17000</v>
      </c>
      <c r="L561" s="2">
        <v>45314</v>
      </c>
      <c r="M561" s="10" t="str">
        <f t="shared" si="8"/>
        <v>Below Target</v>
      </c>
    </row>
    <row r="562" spans="1:13" x14ac:dyDescent="0.35">
      <c r="A562" s="1" t="s">
        <v>787</v>
      </c>
      <c r="B562" s="1" t="s">
        <v>294</v>
      </c>
      <c r="C562" s="1" t="s">
        <v>44</v>
      </c>
      <c r="D562" s="1" t="s">
        <v>45</v>
      </c>
      <c r="E562" s="1" t="s">
        <v>46</v>
      </c>
      <c r="F562" s="1" t="s">
        <v>25</v>
      </c>
      <c r="G562" s="1" t="s">
        <v>18</v>
      </c>
      <c r="H562" s="1">
        <v>11918</v>
      </c>
      <c r="I562" s="1" t="s">
        <v>19</v>
      </c>
      <c r="J562" s="1">
        <v>0.2</v>
      </c>
      <c r="K562" s="1">
        <v>13000</v>
      </c>
      <c r="L562" s="2">
        <v>45305</v>
      </c>
      <c r="M562" s="10" t="str">
        <f t="shared" si="8"/>
        <v>Below Target</v>
      </c>
    </row>
    <row r="563" spans="1:13" x14ac:dyDescent="0.35">
      <c r="A563" s="1" t="s">
        <v>788</v>
      </c>
      <c r="B563" s="1" t="s">
        <v>464</v>
      </c>
      <c r="C563" s="1" t="s">
        <v>44</v>
      </c>
      <c r="D563" s="1" t="s">
        <v>45</v>
      </c>
      <c r="E563" s="1" t="s">
        <v>32</v>
      </c>
      <c r="F563" s="1" t="s">
        <v>17</v>
      </c>
      <c r="G563" s="1" t="s">
        <v>26</v>
      </c>
      <c r="H563" s="1">
        <v>13664</v>
      </c>
      <c r="I563" s="1" t="s">
        <v>22</v>
      </c>
      <c r="J563" s="1">
        <v>0.1</v>
      </c>
      <c r="K563" s="1">
        <v>13000</v>
      </c>
      <c r="L563" s="2">
        <v>45316</v>
      </c>
      <c r="M563" s="10" t="str">
        <f t="shared" si="8"/>
        <v>Target Achieved</v>
      </c>
    </row>
    <row r="564" spans="1:13" x14ac:dyDescent="0.35">
      <c r="A564" s="1" t="s">
        <v>789</v>
      </c>
      <c r="B564" s="1" t="s">
        <v>50</v>
      </c>
      <c r="C564" s="1" t="s">
        <v>30</v>
      </c>
      <c r="D564" s="1" t="s">
        <v>31</v>
      </c>
      <c r="E564" s="1" t="s">
        <v>16</v>
      </c>
      <c r="F564" s="1" t="s">
        <v>39</v>
      </c>
      <c r="G564" s="1" t="s">
        <v>18</v>
      </c>
      <c r="H564" s="1">
        <v>17432</v>
      </c>
      <c r="I564" s="1" t="s">
        <v>22</v>
      </c>
      <c r="J564" s="1">
        <v>0.1</v>
      </c>
      <c r="K564" s="1">
        <v>17000</v>
      </c>
      <c r="L564" s="2">
        <v>45334</v>
      </c>
      <c r="M564" s="10" t="str">
        <f t="shared" si="8"/>
        <v>Target Achieved</v>
      </c>
    </row>
    <row r="565" spans="1:13" x14ac:dyDescent="0.35">
      <c r="A565" s="1" t="s">
        <v>790</v>
      </c>
      <c r="B565" s="1" t="s">
        <v>21</v>
      </c>
      <c r="C565" s="1" t="s">
        <v>14</v>
      </c>
      <c r="D565" s="1" t="s">
        <v>15</v>
      </c>
      <c r="E565" s="1" t="s">
        <v>32</v>
      </c>
      <c r="F565" s="1" t="s">
        <v>39</v>
      </c>
      <c r="G565" s="1" t="s">
        <v>18</v>
      </c>
      <c r="H565" s="1">
        <v>13707</v>
      </c>
      <c r="I565" s="1"/>
      <c r="J565" s="1"/>
      <c r="K565" s="1">
        <v>14000</v>
      </c>
      <c r="L565" s="2">
        <v>45316</v>
      </c>
      <c r="M565" s="10" t="str">
        <f t="shared" si="8"/>
        <v>Below Target</v>
      </c>
    </row>
    <row r="566" spans="1:13" x14ac:dyDescent="0.35">
      <c r="A566" s="1" t="s">
        <v>791</v>
      </c>
      <c r="B566" s="1" t="s">
        <v>241</v>
      </c>
      <c r="C566" s="1" t="s">
        <v>30</v>
      </c>
      <c r="D566" s="1" t="s">
        <v>31</v>
      </c>
      <c r="E566" s="1" t="s">
        <v>46</v>
      </c>
      <c r="F566" s="1" t="s">
        <v>39</v>
      </c>
      <c r="G566" s="1" t="s">
        <v>18</v>
      </c>
      <c r="H566" s="1">
        <v>15841</v>
      </c>
      <c r="I566" s="1" t="s">
        <v>22</v>
      </c>
      <c r="J566" s="1">
        <v>0.1</v>
      </c>
      <c r="K566" s="1">
        <v>17000</v>
      </c>
      <c r="L566" s="2">
        <v>45311</v>
      </c>
      <c r="M566" s="10" t="str">
        <f t="shared" si="8"/>
        <v>Below Target</v>
      </c>
    </row>
    <row r="567" spans="1:13" x14ac:dyDescent="0.35">
      <c r="A567" s="1" t="s">
        <v>792</v>
      </c>
      <c r="B567" s="1" t="s">
        <v>274</v>
      </c>
      <c r="C567" s="1" t="s">
        <v>14</v>
      </c>
      <c r="D567" s="1" t="s">
        <v>15</v>
      </c>
      <c r="E567" s="1" t="s">
        <v>16</v>
      </c>
      <c r="F567" s="1" t="s">
        <v>39</v>
      </c>
      <c r="G567" s="1" t="s">
        <v>36</v>
      </c>
      <c r="H567" s="1">
        <v>14550</v>
      </c>
      <c r="I567" s="1" t="s">
        <v>27</v>
      </c>
      <c r="J567" s="1"/>
      <c r="K567" s="1">
        <v>14000</v>
      </c>
      <c r="L567" s="2">
        <v>45336</v>
      </c>
      <c r="M567" s="10" t="str">
        <f t="shared" si="8"/>
        <v>Target Achieved</v>
      </c>
    </row>
    <row r="568" spans="1:13" x14ac:dyDescent="0.35">
      <c r="A568" s="1" t="s">
        <v>793</v>
      </c>
      <c r="B568" s="1" t="s">
        <v>363</v>
      </c>
      <c r="C568" s="1" t="s">
        <v>14</v>
      </c>
      <c r="D568" s="1" t="s">
        <v>15</v>
      </c>
      <c r="E568" s="1" t="s">
        <v>16</v>
      </c>
      <c r="F568" s="1" t="s">
        <v>39</v>
      </c>
      <c r="G568" s="1" t="s">
        <v>26</v>
      </c>
      <c r="H568" s="1">
        <v>12482</v>
      </c>
      <c r="I568" s="1" t="s">
        <v>33</v>
      </c>
      <c r="J568" s="1">
        <v>0.3</v>
      </c>
      <c r="K568" s="1">
        <v>14000</v>
      </c>
      <c r="L568" s="2">
        <v>45299</v>
      </c>
      <c r="M568" s="10" t="str">
        <f t="shared" si="8"/>
        <v>Below Target</v>
      </c>
    </row>
    <row r="569" spans="1:13" x14ac:dyDescent="0.35">
      <c r="A569" s="1" t="s">
        <v>794</v>
      </c>
      <c r="B569" s="1" t="s">
        <v>652</v>
      </c>
      <c r="C569" s="1" t="s">
        <v>61</v>
      </c>
      <c r="D569" s="1" t="s">
        <v>62</v>
      </c>
      <c r="E569" s="1" t="s">
        <v>32</v>
      </c>
      <c r="F569" s="1" t="s">
        <v>39</v>
      </c>
      <c r="G569" s="1" t="s">
        <v>18</v>
      </c>
      <c r="H569" s="1">
        <v>10186</v>
      </c>
      <c r="I569" s="1" t="s">
        <v>33</v>
      </c>
      <c r="J569" s="1">
        <v>0.3</v>
      </c>
      <c r="K569" s="1">
        <v>9000</v>
      </c>
      <c r="L569" s="2">
        <v>45345</v>
      </c>
      <c r="M569" s="10" t="str">
        <f t="shared" si="8"/>
        <v>Target Achieved</v>
      </c>
    </row>
    <row r="570" spans="1:13" x14ac:dyDescent="0.35">
      <c r="A570" s="1" t="s">
        <v>795</v>
      </c>
      <c r="B570" s="1" t="s">
        <v>346</v>
      </c>
      <c r="C570" s="1" t="s">
        <v>30</v>
      </c>
      <c r="D570" s="1" t="s">
        <v>31</v>
      </c>
      <c r="E570" s="1" t="s">
        <v>16</v>
      </c>
      <c r="F570" s="1" t="s">
        <v>17</v>
      </c>
      <c r="G570" s="1" t="s">
        <v>36</v>
      </c>
      <c r="H570" s="1">
        <v>15656</v>
      </c>
      <c r="I570" s="1" t="s">
        <v>22</v>
      </c>
      <c r="J570" s="1">
        <v>0.1</v>
      </c>
      <c r="K570" s="1">
        <v>17000</v>
      </c>
      <c r="L570" s="2">
        <v>45327</v>
      </c>
      <c r="M570" s="10" t="str">
        <f t="shared" si="8"/>
        <v>Below Target</v>
      </c>
    </row>
    <row r="571" spans="1:13" x14ac:dyDescent="0.35">
      <c r="A571" s="1" t="s">
        <v>796</v>
      </c>
      <c r="B571" s="1" t="s">
        <v>211</v>
      </c>
      <c r="C571" s="1" t="s">
        <v>61</v>
      </c>
      <c r="D571" s="1" t="s">
        <v>62</v>
      </c>
      <c r="E571" s="1" t="s">
        <v>46</v>
      </c>
      <c r="F571" s="1" t="s">
        <v>25</v>
      </c>
      <c r="G571" s="1" t="s">
        <v>18</v>
      </c>
      <c r="H571" s="1">
        <v>7052</v>
      </c>
      <c r="I571" s="1" t="s">
        <v>22</v>
      </c>
      <c r="J571" s="1">
        <v>0.1</v>
      </c>
      <c r="K571" s="1">
        <v>9000</v>
      </c>
      <c r="L571" s="2">
        <v>45350</v>
      </c>
      <c r="M571" s="10" t="str">
        <f t="shared" si="8"/>
        <v>Below Target</v>
      </c>
    </row>
    <row r="572" spans="1:13" x14ac:dyDescent="0.35">
      <c r="A572" s="1" t="s">
        <v>797</v>
      </c>
      <c r="B572" s="1" t="s">
        <v>159</v>
      </c>
      <c r="C572" s="1" t="s">
        <v>61</v>
      </c>
      <c r="D572" s="1" t="s">
        <v>62</v>
      </c>
      <c r="E572" s="1" t="s">
        <v>32</v>
      </c>
      <c r="F572" s="1" t="s">
        <v>25</v>
      </c>
      <c r="G572" s="1" t="s">
        <v>26</v>
      </c>
      <c r="H572" s="1">
        <v>7307</v>
      </c>
      <c r="I572" s="1" t="s">
        <v>22</v>
      </c>
      <c r="J572" s="1">
        <v>0.1</v>
      </c>
      <c r="K572" s="1">
        <v>9000</v>
      </c>
      <c r="L572" s="2">
        <v>45349</v>
      </c>
      <c r="M572" s="10" t="str">
        <f t="shared" si="8"/>
        <v>Below Target</v>
      </c>
    </row>
    <row r="573" spans="1:13" x14ac:dyDescent="0.35">
      <c r="A573" s="1" t="s">
        <v>798</v>
      </c>
      <c r="B573" s="1" t="s">
        <v>286</v>
      </c>
      <c r="C573" s="1" t="s">
        <v>44</v>
      </c>
      <c r="D573" s="1" t="s">
        <v>45</v>
      </c>
      <c r="E573" s="1" t="s">
        <v>46</v>
      </c>
      <c r="F573" s="1" t="s">
        <v>17</v>
      </c>
      <c r="G573" s="1" t="s">
        <v>36</v>
      </c>
      <c r="H573" s="1">
        <v>12901</v>
      </c>
      <c r="I573" s="1" t="s">
        <v>22</v>
      </c>
      <c r="J573" s="1">
        <v>0.1</v>
      </c>
      <c r="K573" s="1">
        <v>13000</v>
      </c>
      <c r="L573" s="2">
        <v>45298</v>
      </c>
      <c r="M573" s="10" t="str">
        <f t="shared" si="8"/>
        <v>Below Target</v>
      </c>
    </row>
    <row r="574" spans="1:13" x14ac:dyDescent="0.35">
      <c r="A574" s="1" t="s">
        <v>799</v>
      </c>
      <c r="B574" s="1" t="s">
        <v>412</v>
      </c>
      <c r="C574" s="1" t="s">
        <v>14</v>
      </c>
      <c r="D574" s="1" t="s">
        <v>15</v>
      </c>
      <c r="E574" s="1" t="s">
        <v>46</v>
      </c>
      <c r="F574" s="1" t="s">
        <v>17</v>
      </c>
      <c r="G574" s="1" t="s">
        <v>26</v>
      </c>
      <c r="H574" s="1">
        <v>13280</v>
      </c>
      <c r="I574" s="1"/>
      <c r="J574" s="1"/>
      <c r="K574" s="1">
        <v>14000</v>
      </c>
      <c r="L574" s="2">
        <v>45339</v>
      </c>
      <c r="M574" s="10" t="str">
        <f t="shared" si="8"/>
        <v>Below Target</v>
      </c>
    </row>
    <row r="575" spans="1:13" x14ac:dyDescent="0.35">
      <c r="A575" s="1" t="s">
        <v>800</v>
      </c>
      <c r="B575" s="1" t="s">
        <v>78</v>
      </c>
      <c r="C575" s="1" t="s">
        <v>14</v>
      </c>
      <c r="D575" s="1" t="s">
        <v>15</v>
      </c>
      <c r="E575" s="1" t="s">
        <v>32</v>
      </c>
      <c r="F575" s="1" t="s">
        <v>25</v>
      </c>
      <c r="G575" s="1" t="s">
        <v>26</v>
      </c>
      <c r="H575" s="1">
        <v>14650</v>
      </c>
      <c r="I575" s="1" t="s">
        <v>19</v>
      </c>
      <c r="J575" s="1">
        <v>0.2</v>
      </c>
      <c r="K575" s="1">
        <v>14000</v>
      </c>
      <c r="L575" s="2">
        <v>45313</v>
      </c>
      <c r="M575" s="10" t="str">
        <f t="shared" si="8"/>
        <v>Target Achieved</v>
      </c>
    </row>
    <row r="576" spans="1:13" x14ac:dyDescent="0.35">
      <c r="A576" s="1" t="s">
        <v>801</v>
      </c>
      <c r="B576" s="1" t="s">
        <v>802</v>
      </c>
      <c r="C576" s="1" t="s">
        <v>30</v>
      </c>
      <c r="D576" s="1" t="s">
        <v>31</v>
      </c>
      <c r="E576" s="1" t="s">
        <v>16</v>
      </c>
      <c r="F576" s="1" t="s">
        <v>25</v>
      </c>
      <c r="G576" s="1" t="s">
        <v>36</v>
      </c>
      <c r="H576" s="1">
        <v>18338</v>
      </c>
      <c r="I576" s="1" t="s">
        <v>33</v>
      </c>
      <c r="J576" s="1">
        <v>0.3</v>
      </c>
      <c r="K576" s="1">
        <v>17000</v>
      </c>
      <c r="L576" s="2">
        <v>45303</v>
      </c>
      <c r="M576" s="10" t="str">
        <f t="shared" si="8"/>
        <v>Target Achieved</v>
      </c>
    </row>
    <row r="577" spans="1:13" x14ac:dyDescent="0.35">
      <c r="A577" s="1" t="s">
        <v>803</v>
      </c>
      <c r="B577" s="1" t="s">
        <v>66</v>
      </c>
      <c r="C577" s="1" t="s">
        <v>61</v>
      </c>
      <c r="D577" s="1" t="s">
        <v>62</v>
      </c>
      <c r="E577" s="1" t="s">
        <v>46</v>
      </c>
      <c r="F577" s="1" t="s">
        <v>17</v>
      </c>
      <c r="G577" s="1" t="s">
        <v>36</v>
      </c>
      <c r="H577" s="1">
        <v>9825</v>
      </c>
      <c r="I577" s="1"/>
      <c r="J577" s="1"/>
      <c r="K577" s="1">
        <v>9000</v>
      </c>
      <c r="L577" s="2">
        <v>45343</v>
      </c>
      <c r="M577" s="10" t="str">
        <f t="shared" si="8"/>
        <v>Target Achieved</v>
      </c>
    </row>
    <row r="578" spans="1:13" x14ac:dyDescent="0.35">
      <c r="A578" s="1" t="s">
        <v>804</v>
      </c>
      <c r="B578" s="1" t="s">
        <v>274</v>
      </c>
      <c r="C578" s="1" t="s">
        <v>44</v>
      </c>
      <c r="D578" s="1" t="s">
        <v>45</v>
      </c>
      <c r="E578" s="1" t="s">
        <v>32</v>
      </c>
      <c r="F578" s="1" t="s">
        <v>25</v>
      </c>
      <c r="G578" s="1" t="s">
        <v>26</v>
      </c>
      <c r="H578" s="1">
        <v>13975</v>
      </c>
      <c r="I578" s="1" t="s">
        <v>22</v>
      </c>
      <c r="J578" s="1">
        <v>0.1</v>
      </c>
      <c r="K578" s="1">
        <v>13000</v>
      </c>
      <c r="L578" s="2">
        <v>45352</v>
      </c>
      <c r="M578" s="10" t="str">
        <f t="shared" si="8"/>
        <v>Target Achieved</v>
      </c>
    </row>
    <row r="579" spans="1:13" x14ac:dyDescent="0.35">
      <c r="A579" s="1" t="s">
        <v>805</v>
      </c>
      <c r="B579" s="1" t="s">
        <v>412</v>
      </c>
      <c r="C579" s="1" t="s">
        <v>14</v>
      </c>
      <c r="D579" s="1" t="s">
        <v>15</v>
      </c>
      <c r="E579" s="1" t="s">
        <v>46</v>
      </c>
      <c r="F579" s="1" t="s">
        <v>39</v>
      </c>
      <c r="G579" s="1" t="s">
        <v>36</v>
      </c>
      <c r="H579" s="1">
        <v>15286</v>
      </c>
      <c r="I579" s="1" t="s">
        <v>27</v>
      </c>
      <c r="J579" s="1"/>
      <c r="K579" s="1">
        <v>14000</v>
      </c>
      <c r="L579" s="2">
        <v>45335</v>
      </c>
      <c r="M579" s="10" t="str">
        <f t="shared" ref="M579:M642" si="9">IF(H579&gt;=K579,"Target Achieved","Below Target")</f>
        <v>Target Achieved</v>
      </c>
    </row>
    <row r="580" spans="1:13" x14ac:dyDescent="0.35">
      <c r="A580" s="1" t="s">
        <v>806</v>
      </c>
      <c r="B580" s="1" t="s">
        <v>508</v>
      </c>
      <c r="C580" s="1" t="s">
        <v>61</v>
      </c>
      <c r="D580" s="1" t="s">
        <v>62</v>
      </c>
      <c r="E580" s="1" t="s">
        <v>46</v>
      </c>
      <c r="F580" s="1" t="s">
        <v>39</v>
      </c>
      <c r="G580" s="1" t="s">
        <v>18</v>
      </c>
      <c r="H580" s="1">
        <v>10533</v>
      </c>
      <c r="I580" s="1" t="s">
        <v>19</v>
      </c>
      <c r="J580" s="1">
        <v>0.2</v>
      </c>
      <c r="K580" s="1">
        <v>9000</v>
      </c>
      <c r="L580" s="2">
        <v>45322</v>
      </c>
      <c r="M580" s="10" t="str">
        <f t="shared" si="9"/>
        <v>Target Achieved</v>
      </c>
    </row>
    <row r="581" spans="1:13" x14ac:dyDescent="0.35">
      <c r="A581" s="1" t="s">
        <v>807</v>
      </c>
      <c r="B581" s="1" t="s">
        <v>445</v>
      </c>
      <c r="C581" s="1" t="s">
        <v>14</v>
      </c>
      <c r="D581" s="1" t="s">
        <v>15</v>
      </c>
      <c r="E581" s="1" t="s">
        <v>46</v>
      </c>
      <c r="F581" s="1" t="s">
        <v>17</v>
      </c>
      <c r="G581" s="1" t="s">
        <v>18</v>
      </c>
      <c r="H581" s="1">
        <v>12259</v>
      </c>
      <c r="I581" s="1" t="s">
        <v>33</v>
      </c>
      <c r="J581" s="1">
        <v>0.3</v>
      </c>
      <c r="K581" s="1">
        <v>14000</v>
      </c>
      <c r="L581" s="2">
        <v>45333</v>
      </c>
      <c r="M581" s="10" t="str">
        <f t="shared" si="9"/>
        <v>Below Target</v>
      </c>
    </row>
    <row r="582" spans="1:13" x14ac:dyDescent="0.35">
      <c r="A582" s="1" t="s">
        <v>808</v>
      </c>
      <c r="B582" s="1" t="s">
        <v>327</v>
      </c>
      <c r="C582" s="1" t="s">
        <v>44</v>
      </c>
      <c r="D582" s="1" t="s">
        <v>45</v>
      </c>
      <c r="E582" s="1" t="s">
        <v>16</v>
      </c>
      <c r="F582" s="1" t="s">
        <v>17</v>
      </c>
      <c r="G582" s="1" t="s">
        <v>26</v>
      </c>
      <c r="H582" s="1">
        <v>13142</v>
      </c>
      <c r="I582" s="1" t="s">
        <v>27</v>
      </c>
      <c r="J582" s="1"/>
      <c r="K582" s="1">
        <v>13000</v>
      </c>
      <c r="L582" s="2">
        <v>45298</v>
      </c>
      <c r="M582" s="10" t="str">
        <f t="shared" si="9"/>
        <v>Target Achieved</v>
      </c>
    </row>
    <row r="583" spans="1:13" x14ac:dyDescent="0.35">
      <c r="A583" s="1" t="s">
        <v>809</v>
      </c>
      <c r="B583" s="1" t="s">
        <v>274</v>
      </c>
      <c r="C583" s="1" t="s">
        <v>44</v>
      </c>
      <c r="D583" s="1" t="s">
        <v>45</v>
      </c>
      <c r="E583" s="1" t="s">
        <v>46</v>
      </c>
      <c r="F583" s="1" t="s">
        <v>17</v>
      </c>
      <c r="G583" s="1" t="s">
        <v>26</v>
      </c>
      <c r="H583" s="1">
        <v>13770</v>
      </c>
      <c r="I583" s="1"/>
      <c r="J583" s="1"/>
      <c r="K583" s="1">
        <v>13000</v>
      </c>
      <c r="L583" s="2">
        <v>45301</v>
      </c>
      <c r="M583" s="10" t="str">
        <f t="shared" si="9"/>
        <v>Target Achieved</v>
      </c>
    </row>
    <row r="584" spans="1:13" x14ac:dyDescent="0.35">
      <c r="A584" s="1" t="s">
        <v>810</v>
      </c>
      <c r="B584" s="1" t="s">
        <v>319</v>
      </c>
      <c r="C584" s="1" t="s">
        <v>14</v>
      </c>
      <c r="D584" s="1" t="s">
        <v>15</v>
      </c>
      <c r="E584" s="1" t="s">
        <v>32</v>
      </c>
      <c r="F584" s="1" t="s">
        <v>39</v>
      </c>
      <c r="G584" s="1" t="s">
        <v>18</v>
      </c>
      <c r="H584" s="1">
        <v>14070</v>
      </c>
      <c r="I584" s="1"/>
      <c r="J584" s="1"/>
      <c r="K584" s="1">
        <v>14000</v>
      </c>
      <c r="L584" s="2">
        <v>45346</v>
      </c>
      <c r="M584" s="10" t="str">
        <f t="shared" si="9"/>
        <v>Target Achieved</v>
      </c>
    </row>
    <row r="585" spans="1:13" x14ac:dyDescent="0.35">
      <c r="A585" s="1" t="s">
        <v>811</v>
      </c>
      <c r="B585" s="1" t="s">
        <v>752</v>
      </c>
      <c r="C585" s="1" t="s">
        <v>44</v>
      </c>
      <c r="D585" s="1" t="s">
        <v>45</v>
      </c>
      <c r="E585" s="1" t="s">
        <v>32</v>
      </c>
      <c r="F585" s="1" t="s">
        <v>17</v>
      </c>
      <c r="G585" s="1" t="s">
        <v>36</v>
      </c>
      <c r="H585" s="1">
        <v>11986</v>
      </c>
      <c r="I585" s="1" t="s">
        <v>33</v>
      </c>
      <c r="J585" s="1">
        <v>0.3</v>
      </c>
      <c r="K585" s="1">
        <v>13000</v>
      </c>
      <c r="L585" s="2">
        <v>45309</v>
      </c>
      <c r="M585" s="10" t="str">
        <f t="shared" si="9"/>
        <v>Below Target</v>
      </c>
    </row>
    <row r="586" spans="1:13" x14ac:dyDescent="0.35">
      <c r="A586" s="1" t="s">
        <v>812</v>
      </c>
      <c r="B586" s="1" t="s">
        <v>166</v>
      </c>
      <c r="C586" s="1" t="s">
        <v>44</v>
      </c>
      <c r="D586" s="1" t="s">
        <v>45</v>
      </c>
      <c r="E586" s="1" t="s">
        <v>16</v>
      </c>
      <c r="F586" s="1" t="s">
        <v>39</v>
      </c>
      <c r="G586" s="1" t="s">
        <v>36</v>
      </c>
      <c r="H586" s="1">
        <v>12651</v>
      </c>
      <c r="I586" s="1" t="s">
        <v>19</v>
      </c>
      <c r="J586" s="1">
        <v>0.2</v>
      </c>
      <c r="K586" s="1">
        <v>13000</v>
      </c>
      <c r="L586" s="2">
        <v>45297</v>
      </c>
      <c r="M586" s="10" t="str">
        <f t="shared" si="9"/>
        <v>Below Target</v>
      </c>
    </row>
    <row r="587" spans="1:13" x14ac:dyDescent="0.35">
      <c r="A587" s="1" t="s">
        <v>813</v>
      </c>
      <c r="B587" s="1" t="s">
        <v>231</v>
      </c>
      <c r="C587" s="1" t="s">
        <v>61</v>
      </c>
      <c r="D587" s="1" t="s">
        <v>62</v>
      </c>
      <c r="E587" s="1" t="s">
        <v>32</v>
      </c>
      <c r="F587" s="1" t="s">
        <v>17</v>
      </c>
      <c r="G587" s="1" t="s">
        <v>36</v>
      </c>
      <c r="H587" s="1">
        <v>8294</v>
      </c>
      <c r="I587" s="1" t="s">
        <v>22</v>
      </c>
      <c r="J587" s="1">
        <v>0.1</v>
      </c>
      <c r="K587" s="1">
        <v>9000</v>
      </c>
      <c r="L587" s="2">
        <v>45323</v>
      </c>
      <c r="M587" s="10" t="str">
        <f t="shared" si="9"/>
        <v>Below Target</v>
      </c>
    </row>
    <row r="588" spans="1:13" x14ac:dyDescent="0.35">
      <c r="A588" s="1" t="s">
        <v>814</v>
      </c>
      <c r="B588" s="1" t="s">
        <v>765</v>
      </c>
      <c r="C588" s="1" t="s">
        <v>14</v>
      </c>
      <c r="D588" s="1" t="s">
        <v>15</v>
      </c>
      <c r="E588" s="1" t="s">
        <v>32</v>
      </c>
      <c r="F588" s="1" t="s">
        <v>17</v>
      </c>
      <c r="G588" s="1" t="s">
        <v>36</v>
      </c>
      <c r="H588" s="1">
        <v>12146</v>
      </c>
      <c r="I588" s="1" t="s">
        <v>27</v>
      </c>
      <c r="J588" s="1"/>
      <c r="K588" s="1">
        <v>14000</v>
      </c>
      <c r="L588" s="2">
        <v>45327</v>
      </c>
      <c r="M588" s="10" t="str">
        <f t="shared" si="9"/>
        <v>Below Target</v>
      </c>
    </row>
    <row r="589" spans="1:13" x14ac:dyDescent="0.35">
      <c r="A589" s="1" t="s">
        <v>815</v>
      </c>
      <c r="B589" s="1" t="s">
        <v>129</v>
      </c>
      <c r="C589" s="1" t="s">
        <v>14</v>
      </c>
      <c r="D589" s="1" t="s">
        <v>15</v>
      </c>
      <c r="E589" s="1" t="s">
        <v>16</v>
      </c>
      <c r="F589" s="1" t="s">
        <v>39</v>
      </c>
      <c r="G589" s="1" t="s">
        <v>26</v>
      </c>
      <c r="H589" s="1">
        <v>13247</v>
      </c>
      <c r="I589" s="1" t="s">
        <v>27</v>
      </c>
      <c r="J589" s="1"/>
      <c r="K589" s="1">
        <v>14000</v>
      </c>
      <c r="L589" s="2">
        <v>45327</v>
      </c>
      <c r="M589" s="10" t="str">
        <f t="shared" si="9"/>
        <v>Below Target</v>
      </c>
    </row>
    <row r="590" spans="1:13" x14ac:dyDescent="0.35">
      <c r="A590" s="1" t="s">
        <v>816</v>
      </c>
      <c r="B590" s="1" t="s">
        <v>817</v>
      </c>
      <c r="C590" s="1" t="s">
        <v>61</v>
      </c>
      <c r="D590" s="1" t="s">
        <v>62</v>
      </c>
      <c r="E590" s="1" t="s">
        <v>46</v>
      </c>
      <c r="F590" s="1" t="s">
        <v>17</v>
      </c>
      <c r="G590" s="1" t="s">
        <v>18</v>
      </c>
      <c r="H590" s="1">
        <v>10344</v>
      </c>
      <c r="I590" s="1" t="s">
        <v>19</v>
      </c>
      <c r="J590" s="1">
        <v>0.2</v>
      </c>
      <c r="K590" s="1">
        <v>9000</v>
      </c>
      <c r="L590" s="2">
        <v>45346</v>
      </c>
      <c r="M590" s="10" t="str">
        <f t="shared" si="9"/>
        <v>Target Achieved</v>
      </c>
    </row>
    <row r="591" spans="1:13" x14ac:dyDescent="0.35">
      <c r="A591" s="1" t="s">
        <v>818</v>
      </c>
      <c r="B591" s="1" t="s">
        <v>188</v>
      </c>
      <c r="C591" s="1" t="s">
        <v>61</v>
      </c>
      <c r="D591" s="1" t="s">
        <v>62</v>
      </c>
      <c r="E591" s="1" t="s">
        <v>16</v>
      </c>
      <c r="F591" s="1" t="s">
        <v>39</v>
      </c>
      <c r="G591" s="1" t="s">
        <v>36</v>
      </c>
      <c r="H591" s="1">
        <v>9932</v>
      </c>
      <c r="I591" s="1"/>
      <c r="J591" s="1"/>
      <c r="K591" s="1">
        <v>9000</v>
      </c>
      <c r="L591" s="2">
        <v>45299</v>
      </c>
      <c r="M591" s="10" t="str">
        <f t="shared" si="9"/>
        <v>Target Achieved</v>
      </c>
    </row>
    <row r="592" spans="1:13" x14ac:dyDescent="0.35">
      <c r="A592" s="1" t="s">
        <v>819</v>
      </c>
      <c r="B592" s="1" t="s">
        <v>200</v>
      </c>
      <c r="C592" s="1" t="s">
        <v>44</v>
      </c>
      <c r="D592" s="1" t="s">
        <v>45</v>
      </c>
      <c r="E592" s="1" t="s">
        <v>32</v>
      </c>
      <c r="F592" s="1" t="s">
        <v>17</v>
      </c>
      <c r="G592" s="1" t="s">
        <v>36</v>
      </c>
      <c r="H592" s="1">
        <v>14399</v>
      </c>
      <c r="I592" s="1" t="s">
        <v>33</v>
      </c>
      <c r="J592" s="1">
        <v>0.3</v>
      </c>
      <c r="K592" s="1">
        <v>13000</v>
      </c>
      <c r="L592" s="2">
        <v>45327</v>
      </c>
      <c r="M592" s="10" t="str">
        <f t="shared" si="9"/>
        <v>Target Achieved</v>
      </c>
    </row>
    <row r="593" spans="1:13" x14ac:dyDescent="0.35">
      <c r="A593" s="1" t="s">
        <v>820</v>
      </c>
      <c r="B593" s="1" t="s">
        <v>217</v>
      </c>
      <c r="C593" s="1" t="s">
        <v>14</v>
      </c>
      <c r="D593" s="1" t="s">
        <v>15</v>
      </c>
      <c r="E593" s="1" t="s">
        <v>32</v>
      </c>
      <c r="F593" s="1" t="s">
        <v>25</v>
      </c>
      <c r="G593" s="1" t="s">
        <v>36</v>
      </c>
      <c r="H593" s="1">
        <v>12575</v>
      </c>
      <c r="I593" s="1"/>
      <c r="J593" s="1"/>
      <c r="K593" s="1">
        <v>14000</v>
      </c>
      <c r="L593" s="2">
        <v>45298</v>
      </c>
      <c r="M593" s="10" t="str">
        <f t="shared" si="9"/>
        <v>Below Target</v>
      </c>
    </row>
    <row r="594" spans="1:13" x14ac:dyDescent="0.35">
      <c r="A594" s="1" t="s">
        <v>821</v>
      </c>
      <c r="B594" s="1" t="s">
        <v>118</v>
      </c>
      <c r="C594" s="1" t="s">
        <v>44</v>
      </c>
      <c r="D594" s="1" t="s">
        <v>45</v>
      </c>
      <c r="E594" s="1" t="s">
        <v>32</v>
      </c>
      <c r="F594" s="1" t="s">
        <v>25</v>
      </c>
      <c r="G594" s="1" t="s">
        <v>36</v>
      </c>
      <c r="H594" s="1">
        <v>11883</v>
      </c>
      <c r="I594" s="1"/>
      <c r="J594" s="1"/>
      <c r="K594" s="1">
        <v>13000</v>
      </c>
      <c r="L594" s="2">
        <v>45344</v>
      </c>
      <c r="M594" s="10" t="str">
        <f t="shared" si="9"/>
        <v>Below Target</v>
      </c>
    </row>
    <row r="595" spans="1:13" x14ac:dyDescent="0.35">
      <c r="A595" s="1" t="s">
        <v>822</v>
      </c>
      <c r="B595" s="1" t="s">
        <v>294</v>
      </c>
      <c r="C595" s="1" t="s">
        <v>30</v>
      </c>
      <c r="D595" s="1" t="s">
        <v>31</v>
      </c>
      <c r="E595" s="1" t="s">
        <v>32</v>
      </c>
      <c r="F595" s="1" t="s">
        <v>17</v>
      </c>
      <c r="G595" s="1" t="s">
        <v>18</v>
      </c>
      <c r="H595" s="1">
        <v>18795</v>
      </c>
      <c r="I595" s="1" t="s">
        <v>27</v>
      </c>
      <c r="J595" s="1"/>
      <c r="K595" s="1">
        <v>17000</v>
      </c>
      <c r="L595" s="2">
        <v>45299</v>
      </c>
      <c r="M595" s="10" t="str">
        <f t="shared" si="9"/>
        <v>Target Achieved</v>
      </c>
    </row>
    <row r="596" spans="1:13" x14ac:dyDescent="0.35">
      <c r="A596" s="1" t="s">
        <v>823</v>
      </c>
      <c r="B596" s="1" t="s">
        <v>298</v>
      </c>
      <c r="C596" s="1" t="s">
        <v>61</v>
      </c>
      <c r="D596" s="1" t="s">
        <v>62</v>
      </c>
      <c r="E596" s="1" t="s">
        <v>16</v>
      </c>
      <c r="F596" s="1" t="s">
        <v>39</v>
      </c>
      <c r="G596" s="1" t="s">
        <v>26</v>
      </c>
      <c r="H596" s="1">
        <v>7551</v>
      </c>
      <c r="I596" s="1"/>
      <c r="J596" s="1"/>
      <c r="K596" s="1">
        <v>9000</v>
      </c>
      <c r="L596" s="2">
        <v>45292</v>
      </c>
      <c r="M596" s="10" t="str">
        <f t="shared" si="9"/>
        <v>Below Target</v>
      </c>
    </row>
    <row r="597" spans="1:13" x14ac:dyDescent="0.35">
      <c r="A597" s="1" t="s">
        <v>824</v>
      </c>
      <c r="B597" s="1" t="s">
        <v>548</v>
      </c>
      <c r="C597" s="1" t="s">
        <v>14</v>
      </c>
      <c r="D597" s="1" t="s">
        <v>15</v>
      </c>
      <c r="E597" s="1" t="s">
        <v>16</v>
      </c>
      <c r="F597" s="1" t="s">
        <v>17</v>
      </c>
      <c r="G597" s="1" t="s">
        <v>26</v>
      </c>
      <c r="H597" s="1">
        <v>13978</v>
      </c>
      <c r="I597" s="1" t="s">
        <v>27</v>
      </c>
      <c r="J597" s="1"/>
      <c r="K597" s="1">
        <v>14000</v>
      </c>
      <c r="L597" s="2">
        <v>45341</v>
      </c>
      <c r="M597" s="10" t="str">
        <f t="shared" si="9"/>
        <v>Below Target</v>
      </c>
    </row>
    <row r="598" spans="1:13" x14ac:dyDescent="0.35">
      <c r="A598" s="1" t="s">
        <v>825</v>
      </c>
      <c r="B598" s="1" t="s">
        <v>120</v>
      </c>
      <c r="C598" s="1" t="s">
        <v>44</v>
      </c>
      <c r="D598" s="1" t="s">
        <v>45</v>
      </c>
      <c r="E598" s="1" t="s">
        <v>16</v>
      </c>
      <c r="F598" s="1" t="s">
        <v>25</v>
      </c>
      <c r="G598" s="1" t="s">
        <v>18</v>
      </c>
      <c r="H598" s="1">
        <v>12586</v>
      </c>
      <c r="I598" s="1" t="s">
        <v>27</v>
      </c>
      <c r="J598" s="1"/>
      <c r="K598" s="1">
        <v>13000</v>
      </c>
      <c r="L598" s="2">
        <v>45330</v>
      </c>
      <c r="M598" s="10" t="str">
        <f t="shared" si="9"/>
        <v>Below Target</v>
      </c>
    </row>
    <row r="599" spans="1:13" x14ac:dyDescent="0.35">
      <c r="A599" s="1" t="s">
        <v>826</v>
      </c>
      <c r="B599" s="1" t="s">
        <v>827</v>
      </c>
      <c r="C599" s="1" t="s">
        <v>61</v>
      </c>
      <c r="D599" s="1" t="s">
        <v>62</v>
      </c>
      <c r="E599" s="1" t="s">
        <v>46</v>
      </c>
      <c r="F599" s="1" t="s">
        <v>39</v>
      </c>
      <c r="G599" s="1" t="s">
        <v>26</v>
      </c>
      <c r="H599" s="1">
        <v>10122</v>
      </c>
      <c r="I599" s="1" t="s">
        <v>19</v>
      </c>
      <c r="J599" s="1">
        <v>0.2</v>
      </c>
      <c r="K599" s="1">
        <v>9000</v>
      </c>
      <c r="L599" s="2">
        <v>45309</v>
      </c>
      <c r="M599" s="10" t="str">
        <f t="shared" si="9"/>
        <v>Target Achieved</v>
      </c>
    </row>
    <row r="600" spans="1:13" x14ac:dyDescent="0.35">
      <c r="A600" s="1" t="s">
        <v>828</v>
      </c>
      <c r="B600" s="1" t="s">
        <v>474</v>
      </c>
      <c r="C600" s="1" t="s">
        <v>30</v>
      </c>
      <c r="D600" s="1" t="s">
        <v>31</v>
      </c>
      <c r="E600" s="1" t="s">
        <v>46</v>
      </c>
      <c r="F600" s="1" t="s">
        <v>25</v>
      </c>
      <c r="G600" s="1" t="s">
        <v>18</v>
      </c>
      <c r="H600" s="1">
        <v>16690</v>
      </c>
      <c r="I600" s="1" t="s">
        <v>27</v>
      </c>
      <c r="J600" s="1"/>
      <c r="K600" s="1">
        <v>17000</v>
      </c>
      <c r="L600" s="2">
        <v>45336</v>
      </c>
      <c r="M600" s="10" t="str">
        <f t="shared" si="9"/>
        <v>Below Target</v>
      </c>
    </row>
    <row r="601" spans="1:13" x14ac:dyDescent="0.35">
      <c r="A601" s="1" t="s">
        <v>829</v>
      </c>
      <c r="B601" s="1" t="s">
        <v>260</v>
      </c>
      <c r="C601" s="1" t="s">
        <v>30</v>
      </c>
      <c r="D601" s="1" t="s">
        <v>31</v>
      </c>
      <c r="E601" s="1" t="s">
        <v>16</v>
      </c>
      <c r="F601" s="1" t="s">
        <v>39</v>
      </c>
      <c r="G601" s="1" t="s">
        <v>36</v>
      </c>
      <c r="H601" s="1">
        <v>17915</v>
      </c>
      <c r="I601" s="1" t="s">
        <v>27</v>
      </c>
      <c r="J601" s="1"/>
      <c r="K601" s="1">
        <v>17000</v>
      </c>
      <c r="L601" s="2">
        <v>45332</v>
      </c>
      <c r="M601" s="10" t="str">
        <f t="shared" si="9"/>
        <v>Target Achieved</v>
      </c>
    </row>
    <row r="602" spans="1:13" x14ac:dyDescent="0.35">
      <c r="A602" s="1" t="s">
        <v>830</v>
      </c>
      <c r="B602" s="1" t="s">
        <v>94</v>
      </c>
      <c r="C602" s="1" t="s">
        <v>44</v>
      </c>
      <c r="D602" s="1" t="s">
        <v>45</v>
      </c>
      <c r="E602" s="1" t="s">
        <v>16</v>
      </c>
      <c r="F602" s="1" t="s">
        <v>39</v>
      </c>
      <c r="G602" s="1" t="s">
        <v>36</v>
      </c>
      <c r="H602" s="1">
        <v>13812</v>
      </c>
      <c r="I602" s="1" t="s">
        <v>33</v>
      </c>
      <c r="J602" s="1">
        <v>0.3</v>
      </c>
      <c r="K602" s="1">
        <v>13000</v>
      </c>
      <c r="L602" s="2">
        <v>45350</v>
      </c>
      <c r="M602" s="10" t="str">
        <f t="shared" si="9"/>
        <v>Target Achieved</v>
      </c>
    </row>
    <row r="603" spans="1:13" x14ac:dyDescent="0.35">
      <c r="A603" s="1" t="s">
        <v>831</v>
      </c>
      <c r="B603" s="1" t="s">
        <v>422</v>
      </c>
      <c r="C603" s="1" t="s">
        <v>44</v>
      </c>
      <c r="D603" s="1" t="s">
        <v>45</v>
      </c>
      <c r="E603" s="1" t="s">
        <v>16</v>
      </c>
      <c r="F603" s="1" t="s">
        <v>39</v>
      </c>
      <c r="G603" s="1" t="s">
        <v>26</v>
      </c>
      <c r="H603" s="1">
        <v>13608</v>
      </c>
      <c r="I603" s="1" t="s">
        <v>33</v>
      </c>
      <c r="J603" s="1">
        <v>0.3</v>
      </c>
      <c r="K603" s="1">
        <v>13000</v>
      </c>
      <c r="L603" s="2">
        <v>45337</v>
      </c>
      <c r="M603" s="10" t="str">
        <f t="shared" si="9"/>
        <v>Target Achieved</v>
      </c>
    </row>
    <row r="604" spans="1:13" x14ac:dyDescent="0.35">
      <c r="A604" s="1" t="s">
        <v>832</v>
      </c>
      <c r="B604" s="1" t="s">
        <v>200</v>
      </c>
      <c r="C604" s="1" t="s">
        <v>30</v>
      </c>
      <c r="D604" s="1" t="s">
        <v>31</v>
      </c>
      <c r="E604" s="1" t="s">
        <v>16</v>
      </c>
      <c r="F604" s="1" t="s">
        <v>17</v>
      </c>
      <c r="G604" s="1" t="s">
        <v>26</v>
      </c>
      <c r="H604" s="1">
        <v>17337</v>
      </c>
      <c r="I604" s="1"/>
      <c r="J604" s="1"/>
      <c r="K604" s="1">
        <v>17000</v>
      </c>
      <c r="L604" s="2">
        <v>45335</v>
      </c>
      <c r="M604" s="10" t="str">
        <f t="shared" si="9"/>
        <v>Target Achieved</v>
      </c>
    </row>
    <row r="605" spans="1:13" x14ac:dyDescent="0.35">
      <c r="A605" s="1" t="s">
        <v>833</v>
      </c>
      <c r="B605" s="1" t="s">
        <v>371</v>
      </c>
      <c r="C605" s="1" t="s">
        <v>30</v>
      </c>
      <c r="D605" s="1" t="s">
        <v>31</v>
      </c>
      <c r="E605" s="1" t="s">
        <v>46</v>
      </c>
      <c r="F605" s="1" t="s">
        <v>25</v>
      </c>
      <c r="G605" s="1" t="s">
        <v>26</v>
      </c>
      <c r="H605" s="1">
        <v>15436</v>
      </c>
      <c r="I605" s="1" t="s">
        <v>22</v>
      </c>
      <c r="J605" s="1">
        <v>0.1</v>
      </c>
      <c r="K605" s="1">
        <v>17000</v>
      </c>
      <c r="L605" s="2">
        <v>45316</v>
      </c>
      <c r="M605" s="10" t="str">
        <f t="shared" si="9"/>
        <v>Below Target</v>
      </c>
    </row>
    <row r="606" spans="1:13" x14ac:dyDescent="0.35">
      <c r="A606" s="1" t="s">
        <v>834</v>
      </c>
      <c r="B606" s="1" t="s">
        <v>557</v>
      </c>
      <c r="C606" s="1" t="s">
        <v>14</v>
      </c>
      <c r="D606" s="1" t="s">
        <v>15</v>
      </c>
      <c r="E606" s="1" t="s">
        <v>32</v>
      </c>
      <c r="F606" s="1" t="s">
        <v>17</v>
      </c>
      <c r="G606" s="1" t="s">
        <v>18</v>
      </c>
      <c r="H606" s="1">
        <v>13173</v>
      </c>
      <c r="I606" s="1" t="s">
        <v>33</v>
      </c>
      <c r="J606" s="1">
        <v>0.3</v>
      </c>
      <c r="K606" s="1">
        <v>14000</v>
      </c>
      <c r="L606" s="2">
        <v>45301</v>
      </c>
      <c r="M606" s="10" t="str">
        <f t="shared" si="9"/>
        <v>Below Target</v>
      </c>
    </row>
    <row r="607" spans="1:13" x14ac:dyDescent="0.35">
      <c r="A607" s="1" t="s">
        <v>835</v>
      </c>
      <c r="B607" s="1" t="s">
        <v>676</v>
      </c>
      <c r="C607" s="1" t="s">
        <v>30</v>
      </c>
      <c r="D607" s="1" t="s">
        <v>31</v>
      </c>
      <c r="E607" s="1" t="s">
        <v>32</v>
      </c>
      <c r="F607" s="1" t="s">
        <v>39</v>
      </c>
      <c r="G607" s="1" t="s">
        <v>18</v>
      </c>
      <c r="H607" s="1">
        <v>16469</v>
      </c>
      <c r="I607" s="1"/>
      <c r="J607" s="1"/>
      <c r="K607" s="1">
        <v>17000</v>
      </c>
      <c r="L607" s="2">
        <v>45298</v>
      </c>
      <c r="M607" s="10" t="str">
        <f t="shared" si="9"/>
        <v>Below Target</v>
      </c>
    </row>
    <row r="608" spans="1:13" x14ac:dyDescent="0.35">
      <c r="A608" s="1" t="s">
        <v>836</v>
      </c>
      <c r="B608" s="1" t="s">
        <v>837</v>
      </c>
      <c r="C608" s="1" t="s">
        <v>44</v>
      </c>
      <c r="D608" s="1" t="s">
        <v>45</v>
      </c>
      <c r="E608" s="1" t="s">
        <v>16</v>
      </c>
      <c r="F608" s="1" t="s">
        <v>39</v>
      </c>
      <c r="G608" s="1" t="s">
        <v>26</v>
      </c>
      <c r="H608" s="1">
        <v>12592</v>
      </c>
      <c r="I608" s="1" t="s">
        <v>19</v>
      </c>
      <c r="J608" s="1">
        <v>0.2</v>
      </c>
      <c r="K608" s="1">
        <v>13000</v>
      </c>
      <c r="L608" s="2">
        <v>45324</v>
      </c>
      <c r="M608" s="10" t="str">
        <f t="shared" si="9"/>
        <v>Below Target</v>
      </c>
    </row>
    <row r="609" spans="1:13" x14ac:dyDescent="0.35">
      <c r="A609" s="1" t="s">
        <v>838</v>
      </c>
      <c r="B609" s="1" t="s">
        <v>54</v>
      </c>
      <c r="C609" s="1" t="s">
        <v>30</v>
      </c>
      <c r="D609" s="1" t="s">
        <v>31</v>
      </c>
      <c r="E609" s="1" t="s">
        <v>16</v>
      </c>
      <c r="F609" s="1" t="s">
        <v>39</v>
      </c>
      <c r="G609" s="1" t="s">
        <v>18</v>
      </c>
      <c r="H609" s="1">
        <v>18794</v>
      </c>
      <c r="I609" s="1"/>
      <c r="J609" s="1"/>
      <c r="K609" s="1">
        <v>17000</v>
      </c>
      <c r="L609" s="2">
        <v>45316</v>
      </c>
      <c r="M609" s="10" t="str">
        <f t="shared" si="9"/>
        <v>Target Achieved</v>
      </c>
    </row>
    <row r="610" spans="1:13" x14ac:dyDescent="0.35">
      <c r="A610" s="1" t="s">
        <v>839</v>
      </c>
      <c r="B610" s="1" t="s">
        <v>155</v>
      </c>
      <c r="C610" s="1" t="s">
        <v>30</v>
      </c>
      <c r="D610" s="1" t="s">
        <v>31</v>
      </c>
      <c r="E610" s="1" t="s">
        <v>16</v>
      </c>
      <c r="F610" s="1" t="s">
        <v>25</v>
      </c>
      <c r="G610" s="1" t="s">
        <v>18</v>
      </c>
      <c r="H610" s="1">
        <v>18046</v>
      </c>
      <c r="I610" s="1" t="s">
        <v>33</v>
      </c>
      <c r="J610" s="1">
        <v>0.3</v>
      </c>
      <c r="K610" s="1">
        <v>17000</v>
      </c>
      <c r="L610" s="2">
        <v>45304</v>
      </c>
      <c r="M610" s="10" t="str">
        <f t="shared" si="9"/>
        <v>Target Achieved</v>
      </c>
    </row>
    <row r="611" spans="1:13" x14ac:dyDescent="0.35">
      <c r="A611" s="1" t="s">
        <v>840</v>
      </c>
      <c r="B611" s="1" t="s">
        <v>837</v>
      </c>
      <c r="C611" s="1" t="s">
        <v>61</v>
      </c>
      <c r="D611" s="1" t="s">
        <v>62</v>
      </c>
      <c r="E611" s="1" t="s">
        <v>32</v>
      </c>
      <c r="F611" s="1" t="s">
        <v>39</v>
      </c>
      <c r="G611" s="1" t="s">
        <v>26</v>
      </c>
      <c r="H611" s="1">
        <v>9906</v>
      </c>
      <c r="I611" s="1" t="s">
        <v>33</v>
      </c>
      <c r="J611" s="1">
        <v>0.3</v>
      </c>
      <c r="K611" s="1">
        <v>9000</v>
      </c>
      <c r="L611" s="2">
        <v>45340</v>
      </c>
      <c r="M611" s="10" t="str">
        <f t="shared" si="9"/>
        <v>Target Achieved</v>
      </c>
    </row>
    <row r="612" spans="1:13" x14ac:dyDescent="0.35">
      <c r="A612" s="1" t="s">
        <v>841</v>
      </c>
      <c r="B612" s="1" t="s">
        <v>86</v>
      </c>
      <c r="C612" s="1" t="s">
        <v>44</v>
      </c>
      <c r="D612" s="1" t="s">
        <v>45</v>
      </c>
      <c r="E612" s="1" t="s">
        <v>16</v>
      </c>
      <c r="F612" s="1" t="s">
        <v>25</v>
      </c>
      <c r="G612" s="1" t="s">
        <v>36</v>
      </c>
      <c r="H612" s="1">
        <v>12838</v>
      </c>
      <c r="I612" s="1" t="s">
        <v>19</v>
      </c>
      <c r="J612" s="1">
        <v>0.2</v>
      </c>
      <c r="K612" s="1">
        <v>13000</v>
      </c>
      <c r="L612" s="2">
        <v>45335</v>
      </c>
      <c r="M612" s="10" t="str">
        <f t="shared" si="9"/>
        <v>Below Target</v>
      </c>
    </row>
    <row r="613" spans="1:13" x14ac:dyDescent="0.35">
      <c r="A613" s="1" t="s">
        <v>842</v>
      </c>
      <c r="B613" s="1" t="s">
        <v>843</v>
      </c>
      <c r="C613" s="1" t="s">
        <v>44</v>
      </c>
      <c r="D613" s="1" t="s">
        <v>45</v>
      </c>
      <c r="E613" s="1" t="s">
        <v>16</v>
      </c>
      <c r="F613" s="1" t="s">
        <v>39</v>
      </c>
      <c r="G613" s="1" t="s">
        <v>18</v>
      </c>
      <c r="H613" s="1">
        <v>12545</v>
      </c>
      <c r="I613" s="1" t="s">
        <v>22</v>
      </c>
      <c r="J613" s="1">
        <v>0.1</v>
      </c>
      <c r="K613" s="1">
        <v>13000</v>
      </c>
      <c r="L613" s="2">
        <v>45319</v>
      </c>
      <c r="M613" s="10" t="str">
        <f t="shared" si="9"/>
        <v>Below Target</v>
      </c>
    </row>
    <row r="614" spans="1:13" x14ac:dyDescent="0.35">
      <c r="A614" s="1" t="s">
        <v>844</v>
      </c>
      <c r="B614" s="1" t="s">
        <v>307</v>
      </c>
      <c r="C614" s="1" t="s">
        <v>30</v>
      </c>
      <c r="D614" s="1" t="s">
        <v>31</v>
      </c>
      <c r="E614" s="1" t="s">
        <v>32</v>
      </c>
      <c r="F614" s="1" t="s">
        <v>25</v>
      </c>
      <c r="G614" s="1" t="s">
        <v>26</v>
      </c>
      <c r="H614" s="1">
        <v>18465</v>
      </c>
      <c r="I614" s="1" t="s">
        <v>33</v>
      </c>
      <c r="J614" s="1">
        <v>0.3</v>
      </c>
      <c r="K614" s="1">
        <v>17000</v>
      </c>
      <c r="L614" s="2">
        <v>45292</v>
      </c>
      <c r="M614" s="10" t="str">
        <f t="shared" si="9"/>
        <v>Target Achieved</v>
      </c>
    </row>
    <row r="615" spans="1:13" x14ac:dyDescent="0.35">
      <c r="A615" s="1" t="s">
        <v>845</v>
      </c>
      <c r="B615" s="1" t="s">
        <v>802</v>
      </c>
      <c r="C615" s="1" t="s">
        <v>44</v>
      </c>
      <c r="D615" s="1" t="s">
        <v>45</v>
      </c>
      <c r="E615" s="1" t="s">
        <v>32</v>
      </c>
      <c r="F615" s="1" t="s">
        <v>25</v>
      </c>
      <c r="G615" s="1" t="s">
        <v>36</v>
      </c>
      <c r="H615" s="1">
        <v>13444</v>
      </c>
      <c r="I615" s="1" t="s">
        <v>22</v>
      </c>
      <c r="J615" s="1">
        <v>0.1</v>
      </c>
      <c r="K615" s="1">
        <v>13000</v>
      </c>
      <c r="L615" s="2">
        <v>45341</v>
      </c>
      <c r="M615" s="10" t="str">
        <f t="shared" si="9"/>
        <v>Target Achieved</v>
      </c>
    </row>
    <row r="616" spans="1:13" x14ac:dyDescent="0.35">
      <c r="A616" s="1" t="s">
        <v>846</v>
      </c>
      <c r="B616" s="1" t="s">
        <v>50</v>
      </c>
      <c r="C616" s="1" t="s">
        <v>30</v>
      </c>
      <c r="D616" s="1" t="s">
        <v>31</v>
      </c>
      <c r="E616" s="1" t="s">
        <v>46</v>
      </c>
      <c r="F616" s="1" t="s">
        <v>39</v>
      </c>
      <c r="G616" s="1" t="s">
        <v>26</v>
      </c>
      <c r="H616" s="1">
        <v>16466</v>
      </c>
      <c r="I616" s="1" t="s">
        <v>22</v>
      </c>
      <c r="J616" s="1">
        <v>0.1</v>
      </c>
      <c r="K616" s="1">
        <v>17000</v>
      </c>
      <c r="L616" s="2">
        <v>45342</v>
      </c>
      <c r="M616" s="10" t="str">
        <f t="shared" si="9"/>
        <v>Below Target</v>
      </c>
    </row>
    <row r="617" spans="1:13" x14ac:dyDescent="0.35">
      <c r="A617" s="1" t="s">
        <v>847</v>
      </c>
      <c r="B617" s="1" t="s">
        <v>577</v>
      </c>
      <c r="C617" s="1" t="s">
        <v>44</v>
      </c>
      <c r="D617" s="1" t="s">
        <v>45</v>
      </c>
      <c r="E617" s="1" t="s">
        <v>32</v>
      </c>
      <c r="F617" s="1" t="s">
        <v>39</v>
      </c>
      <c r="G617" s="1" t="s">
        <v>18</v>
      </c>
      <c r="H617" s="1">
        <v>14220</v>
      </c>
      <c r="I617" s="1" t="s">
        <v>27</v>
      </c>
      <c r="J617" s="1"/>
      <c r="K617" s="1">
        <v>13000</v>
      </c>
      <c r="L617" s="2">
        <v>45302</v>
      </c>
      <c r="M617" s="10" t="str">
        <f t="shared" si="9"/>
        <v>Target Achieved</v>
      </c>
    </row>
    <row r="618" spans="1:13" x14ac:dyDescent="0.35">
      <c r="A618" s="1" t="s">
        <v>848</v>
      </c>
      <c r="B618" s="1" t="s">
        <v>512</v>
      </c>
      <c r="C618" s="1" t="s">
        <v>61</v>
      </c>
      <c r="D618" s="1" t="s">
        <v>62</v>
      </c>
      <c r="E618" s="1" t="s">
        <v>32</v>
      </c>
      <c r="F618" s="1" t="s">
        <v>17</v>
      </c>
      <c r="G618" s="1" t="s">
        <v>18</v>
      </c>
      <c r="H618" s="1">
        <v>10618</v>
      </c>
      <c r="I618" s="1" t="s">
        <v>19</v>
      </c>
      <c r="J618" s="1">
        <v>0.2</v>
      </c>
      <c r="K618" s="1">
        <v>9000</v>
      </c>
      <c r="L618" s="2">
        <v>45334</v>
      </c>
      <c r="M618" s="10" t="str">
        <f t="shared" si="9"/>
        <v>Target Achieved</v>
      </c>
    </row>
    <row r="619" spans="1:13" x14ac:dyDescent="0.35">
      <c r="A619" s="1" t="s">
        <v>849</v>
      </c>
      <c r="B619" s="1" t="s">
        <v>282</v>
      </c>
      <c r="C619" s="1" t="s">
        <v>30</v>
      </c>
      <c r="D619" s="1" t="s">
        <v>31</v>
      </c>
      <c r="E619" s="1" t="s">
        <v>46</v>
      </c>
      <c r="F619" s="1" t="s">
        <v>25</v>
      </c>
      <c r="G619" s="1" t="s">
        <v>26</v>
      </c>
      <c r="H619" s="1">
        <v>17172</v>
      </c>
      <c r="I619" s="1"/>
      <c r="J619" s="1"/>
      <c r="K619" s="1">
        <v>17000</v>
      </c>
      <c r="L619" s="2">
        <v>45327</v>
      </c>
      <c r="M619" s="10" t="str">
        <f t="shared" si="9"/>
        <v>Target Achieved</v>
      </c>
    </row>
    <row r="620" spans="1:13" x14ac:dyDescent="0.35">
      <c r="A620" s="1" t="s">
        <v>850</v>
      </c>
      <c r="B620" s="1" t="s">
        <v>393</v>
      </c>
      <c r="C620" s="1" t="s">
        <v>14</v>
      </c>
      <c r="D620" s="1" t="s">
        <v>15</v>
      </c>
      <c r="E620" s="1" t="s">
        <v>32</v>
      </c>
      <c r="F620" s="1" t="s">
        <v>39</v>
      </c>
      <c r="G620" s="1" t="s">
        <v>36</v>
      </c>
      <c r="H620" s="1">
        <v>13825</v>
      </c>
      <c r="I620" s="1" t="s">
        <v>19</v>
      </c>
      <c r="J620" s="1">
        <v>0.2</v>
      </c>
      <c r="K620" s="1">
        <v>14000</v>
      </c>
      <c r="L620" s="2">
        <v>45349</v>
      </c>
      <c r="M620" s="10" t="str">
        <f t="shared" si="9"/>
        <v>Below Target</v>
      </c>
    </row>
    <row r="621" spans="1:13" x14ac:dyDescent="0.35">
      <c r="A621" s="1" t="s">
        <v>851</v>
      </c>
      <c r="B621" s="1" t="s">
        <v>163</v>
      </c>
      <c r="C621" s="1" t="s">
        <v>44</v>
      </c>
      <c r="D621" s="1" t="s">
        <v>45</v>
      </c>
      <c r="E621" s="1" t="s">
        <v>32</v>
      </c>
      <c r="F621" s="1" t="s">
        <v>39</v>
      </c>
      <c r="G621" s="1" t="s">
        <v>36</v>
      </c>
      <c r="H621" s="1">
        <v>12562</v>
      </c>
      <c r="I621" s="1" t="s">
        <v>22</v>
      </c>
      <c r="J621" s="1">
        <v>0.1</v>
      </c>
      <c r="K621" s="1">
        <v>13000</v>
      </c>
      <c r="L621" s="2">
        <v>45316</v>
      </c>
      <c r="M621" s="10" t="str">
        <f t="shared" si="9"/>
        <v>Below Target</v>
      </c>
    </row>
    <row r="622" spans="1:13" x14ac:dyDescent="0.35">
      <c r="A622" s="1" t="s">
        <v>852</v>
      </c>
      <c r="B622" s="1" t="s">
        <v>307</v>
      </c>
      <c r="C622" s="1" t="s">
        <v>30</v>
      </c>
      <c r="D622" s="1" t="s">
        <v>31</v>
      </c>
      <c r="E622" s="1" t="s">
        <v>32</v>
      </c>
      <c r="F622" s="1" t="s">
        <v>39</v>
      </c>
      <c r="G622" s="1" t="s">
        <v>36</v>
      </c>
      <c r="H622" s="1">
        <v>17106</v>
      </c>
      <c r="I622" s="1" t="s">
        <v>27</v>
      </c>
      <c r="J622" s="1"/>
      <c r="K622" s="1">
        <v>17000</v>
      </c>
      <c r="L622" s="2">
        <v>45320</v>
      </c>
      <c r="M622" s="10" t="str">
        <f t="shared" si="9"/>
        <v>Target Achieved</v>
      </c>
    </row>
    <row r="623" spans="1:13" x14ac:dyDescent="0.35">
      <c r="A623" s="1" t="s">
        <v>853</v>
      </c>
      <c r="B623" s="1" t="s">
        <v>711</v>
      </c>
      <c r="C623" s="1" t="s">
        <v>30</v>
      </c>
      <c r="D623" s="1" t="s">
        <v>31</v>
      </c>
      <c r="E623" s="1" t="s">
        <v>16</v>
      </c>
      <c r="F623" s="1" t="s">
        <v>25</v>
      </c>
      <c r="G623" s="1" t="s">
        <v>36</v>
      </c>
      <c r="H623" s="1">
        <v>17104</v>
      </c>
      <c r="I623" s="1" t="s">
        <v>22</v>
      </c>
      <c r="J623" s="1">
        <v>0.1</v>
      </c>
      <c r="K623" s="1">
        <v>17000</v>
      </c>
      <c r="L623" s="2">
        <v>45352</v>
      </c>
      <c r="M623" s="10" t="str">
        <f t="shared" si="9"/>
        <v>Target Achieved</v>
      </c>
    </row>
    <row r="624" spans="1:13" x14ac:dyDescent="0.35">
      <c r="A624" s="1" t="s">
        <v>854</v>
      </c>
      <c r="B624" s="1" t="s">
        <v>843</v>
      </c>
      <c r="C624" s="1" t="s">
        <v>14</v>
      </c>
      <c r="D624" s="1" t="s">
        <v>15</v>
      </c>
      <c r="E624" s="1" t="s">
        <v>16</v>
      </c>
      <c r="F624" s="1" t="s">
        <v>25</v>
      </c>
      <c r="G624" s="1" t="s">
        <v>18</v>
      </c>
      <c r="H624" s="1">
        <v>14745</v>
      </c>
      <c r="I624" s="1" t="s">
        <v>19</v>
      </c>
      <c r="J624" s="1">
        <v>0.2</v>
      </c>
      <c r="K624" s="1">
        <v>14000</v>
      </c>
      <c r="L624" s="2">
        <v>45347</v>
      </c>
      <c r="M624" s="10" t="str">
        <f t="shared" si="9"/>
        <v>Target Achieved</v>
      </c>
    </row>
    <row r="625" spans="1:13" x14ac:dyDescent="0.35">
      <c r="A625" s="1" t="s">
        <v>855</v>
      </c>
      <c r="B625" s="1" t="s">
        <v>90</v>
      </c>
      <c r="C625" s="1" t="s">
        <v>14</v>
      </c>
      <c r="D625" s="1" t="s">
        <v>15</v>
      </c>
      <c r="E625" s="1" t="s">
        <v>32</v>
      </c>
      <c r="F625" s="1" t="s">
        <v>39</v>
      </c>
      <c r="G625" s="1" t="s">
        <v>26</v>
      </c>
      <c r="H625" s="1">
        <v>15598</v>
      </c>
      <c r="I625" s="1"/>
      <c r="J625" s="1"/>
      <c r="K625" s="1">
        <v>14000</v>
      </c>
      <c r="L625" s="2">
        <v>45333</v>
      </c>
      <c r="M625" s="10" t="str">
        <f t="shared" si="9"/>
        <v>Target Achieved</v>
      </c>
    </row>
    <row r="626" spans="1:13" x14ac:dyDescent="0.35">
      <c r="A626" s="1" t="s">
        <v>856</v>
      </c>
      <c r="B626" s="1" t="s">
        <v>96</v>
      </c>
      <c r="C626" s="1" t="s">
        <v>44</v>
      </c>
      <c r="D626" s="1" t="s">
        <v>45</v>
      </c>
      <c r="E626" s="1" t="s">
        <v>32</v>
      </c>
      <c r="F626" s="1" t="s">
        <v>17</v>
      </c>
      <c r="G626" s="1" t="s">
        <v>26</v>
      </c>
      <c r="H626" s="1">
        <v>12358</v>
      </c>
      <c r="I626" s="1" t="s">
        <v>22</v>
      </c>
      <c r="J626" s="1">
        <v>0.1</v>
      </c>
      <c r="K626" s="1">
        <v>13000</v>
      </c>
      <c r="L626" s="2">
        <v>45297</v>
      </c>
      <c r="M626" s="10" t="str">
        <f t="shared" si="9"/>
        <v>Below Target</v>
      </c>
    </row>
    <row r="627" spans="1:13" x14ac:dyDescent="0.35">
      <c r="A627" s="1" t="s">
        <v>857</v>
      </c>
      <c r="B627" s="1" t="s">
        <v>43</v>
      </c>
      <c r="C627" s="1" t="s">
        <v>44</v>
      </c>
      <c r="D627" s="1" t="s">
        <v>45</v>
      </c>
      <c r="E627" s="1" t="s">
        <v>46</v>
      </c>
      <c r="F627" s="1" t="s">
        <v>39</v>
      </c>
      <c r="G627" s="1" t="s">
        <v>18</v>
      </c>
      <c r="H627" s="1">
        <v>13355</v>
      </c>
      <c r="I627" s="1" t="s">
        <v>19</v>
      </c>
      <c r="J627" s="1">
        <v>0.2</v>
      </c>
      <c r="K627" s="1">
        <v>13000</v>
      </c>
      <c r="L627" s="2">
        <v>45350</v>
      </c>
      <c r="M627" s="10" t="str">
        <f t="shared" si="9"/>
        <v>Target Achieved</v>
      </c>
    </row>
    <row r="628" spans="1:13" x14ac:dyDescent="0.35">
      <c r="A628" s="1" t="s">
        <v>858</v>
      </c>
      <c r="B628" s="1" t="s">
        <v>70</v>
      </c>
      <c r="C628" s="1" t="s">
        <v>61</v>
      </c>
      <c r="D628" s="1" t="s">
        <v>62</v>
      </c>
      <c r="E628" s="1" t="s">
        <v>46</v>
      </c>
      <c r="F628" s="1" t="s">
        <v>39</v>
      </c>
      <c r="G628" s="1" t="s">
        <v>36</v>
      </c>
      <c r="H628" s="1">
        <v>8773</v>
      </c>
      <c r="I628" s="1" t="s">
        <v>33</v>
      </c>
      <c r="J628" s="1">
        <v>0.3</v>
      </c>
      <c r="K628" s="1">
        <v>9000</v>
      </c>
      <c r="L628" s="2">
        <v>45293</v>
      </c>
      <c r="M628" s="10" t="str">
        <f t="shared" si="9"/>
        <v>Below Target</v>
      </c>
    </row>
    <row r="629" spans="1:13" x14ac:dyDescent="0.35">
      <c r="A629" s="1" t="s">
        <v>859</v>
      </c>
      <c r="B629" s="1" t="s">
        <v>274</v>
      </c>
      <c r="C629" s="1" t="s">
        <v>14</v>
      </c>
      <c r="D629" s="1" t="s">
        <v>15</v>
      </c>
      <c r="E629" s="1" t="s">
        <v>16</v>
      </c>
      <c r="F629" s="1" t="s">
        <v>25</v>
      </c>
      <c r="G629" s="1" t="s">
        <v>26</v>
      </c>
      <c r="H629" s="1">
        <v>14950</v>
      </c>
      <c r="I629" s="1" t="s">
        <v>27</v>
      </c>
      <c r="J629" s="1"/>
      <c r="K629" s="1">
        <v>14000</v>
      </c>
      <c r="L629" s="2">
        <v>45296</v>
      </c>
      <c r="M629" s="10" t="str">
        <f t="shared" si="9"/>
        <v>Target Achieved</v>
      </c>
    </row>
    <row r="630" spans="1:13" x14ac:dyDescent="0.35">
      <c r="A630" s="1" t="s">
        <v>860</v>
      </c>
      <c r="B630" s="1" t="s">
        <v>296</v>
      </c>
      <c r="C630" s="1" t="s">
        <v>14</v>
      </c>
      <c r="D630" s="1" t="s">
        <v>15</v>
      </c>
      <c r="E630" s="1" t="s">
        <v>16</v>
      </c>
      <c r="F630" s="1" t="s">
        <v>25</v>
      </c>
      <c r="G630" s="1" t="s">
        <v>36</v>
      </c>
      <c r="H630" s="1">
        <v>15801</v>
      </c>
      <c r="I630" s="1" t="s">
        <v>27</v>
      </c>
      <c r="J630" s="1"/>
      <c r="K630" s="1">
        <v>14000</v>
      </c>
      <c r="L630" s="2">
        <v>45298</v>
      </c>
      <c r="M630" s="10" t="str">
        <f t="shared" si="9"/>
        <v>Target Achieved</v>
      </c>
    </row>
    <row r="631" spans="1:13" x14ac:dyDescent="0.35">
      <c r="A631" s="1" t="s">
        <v>861</v>
      </c>
      <c r="B631" s="1" t="s">
        <v>443</v>
      </c>
      <c r="C631" s="1" t="s">
        <v>30</v>
      </c>
      <c r="D631" s="1" t="s">
        <v>31</v>
      </c>
      <c r="E631" s="1" t="s">
        <v>16</v>
      </c>
      <c r="F631" s="1" t="s">
        <v>25</v>
      </c>
      <c r="G631" s="1" t="s">
        <v>36</v>
      </c>
      <c r="H631" s="1">
        <v>18134</v>
      </c>
      <c r="I631" s="1"/>
      <c r="J631" s="1"/>
      <c r="K631" s="1">
        <v>17000</v>
      </c>
      <c r="L631" s="2">
        <v>45316</v>
      </c>
      <c r="M631" s="10" t="str">
        <f t="shared" si="9"/>
        <v>Target Achieved</v>
      </c>
    </row>
    <row r="632" spans="1:13" x14ac:dyDescent="0.35">
      <c r="A632" s="1" t="s">
        <v>862</v>
      </c>
      <c r="B632" s="1" t="s">
        <v>309</v>
      </c>
      <c r="C632" s="1" t="s">
        <v>14</v>
      </c>
      <c r="D632" s="1" t="s">
        <v>15</v>
      </c>
      <c r="E632" s="1" t="s">
        <v>46</v>
      </c>
      <c r="F632" s="1" t="s">
        <v>25</v>
      </c>
      <c r="G632" s="1" t="s">
        <v>26</v>
      </c>
      <c r="H632" s="1">
        <v>12900</v>
      </c>
      <c r="I632" s="1" t="s">
        <v>19</v>
      </c>
      <c r="J632" s="1">
        <v>0.2</v>
      </c>
      <c r="K632" s="1">
        <v>14000</v>
      </c>
      <c r="L632" s="2">
        <v>45339</v>
      </c>
      <c r="M632" s="10" t="str">
        <f t="shared" si="9"/>
        <v>Below Target</v>
      </c>
    </row>
    <row r="633" spans="1:13" x14ac:dyDescent="0.35">
      <c r="A633" s="1" t="s">
        <v>863</v>
      </c>
      <c r="B633" s="1" t="s">
        <v>155</v>
      </c>
      <c r="C633" s="1" t="s">
        <v>30</v>
      </c>
      <c r="D633" s="1" t="s">
        <v>31</v>
      </c>
      <c r="E633" s="1" t="s">
        <v>16</v>
      </c>
      <c r="F633" s="1" t="s">
        <v>25</v>
      </c>
      <c r="G633" s="1" t="s">
        <v>36</v>
      </c>
      <c r="H633" s="1">
        <v>17774</v>
      </c>
      <c r="I633" s="1" t="s">
        <v>33</v>
      </c>
      <c r="J633" s="1">
        <v>0.3</v>
      </c>
      <c r="K633" s="1">
        <v>17000</v>
      </c>
      <c r="L633" s="2">
        <v>45352</v>
      </c>
      <c r="M633" s="10" t="str">
        <f t="shared" si="9"/>
        <v>Target Achieved</v>
      </c>
    </row>
    <row r="634" spans="1:13" x14ac:dyDescent="0.35">
      <c r="A634" s="1" t="s">
        <v>864</v>
      </c>
      <c r="B634" s="1" t="s">
        <v>166</v>
      </c>
      <c r="C634" s="1" t="s">
        <v>44</v>
      </c>
      <c r="D634" s="1" t="s">
        <v>45</v>
      </c>
      <c r="E634" s="1" t="s">
        <v>32</v>
      </c>
      <c r="F634" s="1" t="s">
        <v>25</v>
      </c>
      <c r="G634" s="1" t="s">
        <v>18</v>
      </c>
      <c r="H634" s="1">
        <v>13345</v>
      </c>
      <c r="I634" s="1" t="s">
        <v>27</v>
      </c>
      <c r="J634" s="1"/>
      <c r="K634" s="1">
        <v>13000</v>
      </c>
      <c r="L634" s="2">
        <v>45317</v>
      </c>
      <c r="M634" s="10" t="str">
        <f t="shared" si="9"/>
        <v>Target Achieved</v>
      </c>
    </row>
    <row r="635" spans="1:13" x14ac:dyDescent="0.35">
      <c r="A635" s="1" t="s">
        <v>865</v>
      </c>
      <c r="B635" s="1" t="s">
        <v>168</v>
      </c>
      <c r="C635" s="1" t="s">
        <v>14</v>
      </c>
      <c r="D635" s="1" t="s">
        <v>15</v>
      </c>
      <c r="E635" s="1" t="s">
        <v>46</v>
      </c>
      <c r="F635" s="1" t="s">
        <v>25</v>
      </c>
      <c r="G635" s="1" t="s">
        <v>26</v>
      </c>
      <c r="H635" s="1">
        <v>15036</v>
      </c>
      <c r="I635" s="1" t="s">
        <v>33</v>
      </c>
      <c r="J635" s="1">
        <v>0.3</v>
      </c>
      <c r="K635" s="1">
        <v>14000</v>
      </c>
      <c r="L635" s="2">
        <v>45305</v>
      </c>
      <c r="M635" s="10" t="str">
        <f t="shared" si="9"/>
        <v>Target Achieved</v>
      </c>
    </row>
    <row r="636" spans="1:13" x14ac:dyDescent="0.35">
      <c r="A636" s="1" t="s">
        <v>866</v>
      </c>
      <c r="B636" s="1" t="s">
        <v>274</v>
      </c>
      <c r="C636" s="1" t="s">
        <v>44</v>
      </c>
      <c r="D636" s="1" t="s">
        <v>45</v>
      </c>
      <c r="E636" s="1" t="s">
        <v>32</v>
      </c>
      <c r="F636" s="1" t="s">
        <v>25</v>
      </c>
      <c r="G636" s="1" t="s">
        <v>18</v>
      </c>
      <c r="H636" s="1">
        <v>13526</v>
      </c>
      <c r="I636" s="1" t="s">
        <v>33</v>
      </c>
      <c r="J636" s="1">
        <v>0.3</v>
      </c>
      <c r="K636" s="1">
        <v>13000</v>
      </c>
      <c r="L636" s="2">
        <v>45304</v>
      </c>
      <c r="M636" s="10" t="str">
        <f t="shared" si="9"/>
        <v>Target Achieved</v>
      </c>
    </row>
    <row r="637" spans="1:13" x14ac:dyDescent="0.35">
      <c r="A637" s="1" t="s">
        <v>867</v>
      </c>
      <c r="B637" s="1" t="s">
        <v>843</v>
      </c>
      <c r="C637" s="1" t="s">
        <v>14</v>
      </c>
      <c r="D637" s="1" t="s">
        <v>15</v>
      </c>
      <c r="E637" s="1" t="s">
        <v>16</v>
      </c>
      <c r="F637" s="1" t="s">
        <v>17</v>
      </c>
      <c r="G637" s="1" t="s">
        <v>26</v>
      </c>
      <c r="H637" s="1">
        <v>14251</v>
      </c>
      <c r="I637" s="1" t="s">
        <v>22</v>
      </c>
      <c r="J637" s="1">
        <v>0.1</v>
      </c>
      <c r="K637" s="1">
        <v>14000</v>
      </c>
      <c r="L637" s="2">
        <v>45310</v>
      </c>
      <c r="M637" s="10" t="str">
        <f t="shared" si="9"/>
        <v>Target Achieved</v>
      </c>
    </row>
    <row r="638" spans="1:13" x14ac:dyDescent="0.35">
      <c r="A638" s="1" t="s">
        <v>868</v>
      </c>
      <c r="B638" s="1" t="s">
        <v>13</v>
      </c>
      <c r="C638" s="1" t="s">
        <v>30</v>
      </c>
      <c r="D638" s="1" t="s">
        <v>31</v>
      </c>
      <c r="E638" s="1" t="s">
        <v>32</v>
      </c>
      <c r="F638" s="1" t="s">
        <v>25</v>
      </c>
      <c r="G638" s="1" t="s">
        <v>26</v>
      </c>
      <c r="H638" s="1">
        <v>17378</v>
      </c>
      <c r="I638" s="1"/>
      <c r="J638" s="1"/>
      <c r="K638" s="1">
        <v>17000</v>
      </c>
      <c r="L638" s="2">
        <v>45352</v>
      </c>
      <c r="M638" s="10" t="str">
        <f t="shared" si="9"/>
        <v>Target Achieved</v>
      </c>
    </row>
    <row r="639" spans="1:13" x14ac:dyDescent="0.35">
      <c r="A639" s="1" t="s">
        <v>869</v>
      </c>
      <c r="B639" s="1" t="s">
        <v>282</v>
      </c>
      <c r="C639" s="1" t="s">
        <v>44</v>
      </c>
      <c r="D639" s="1" t="s">
        <v>45</v>
      </c>
      <c r="E639" s="1" t="s">
        <v>16</v>
      </c>
      <c r="F639" s="1" t="s">
        <v>39</v>
      </c>
      <c r="G639" s="1" t="s">
        <v>18</v>
      </c>
      <c r="H639" s="1">
        <v>11409</v>
      </c>
      <c r="I639" s="1" t="s">
        <v>33</v>
      </c>
      <c r="J639" s="1">
        <v>0.3</v>
      </c>
      <c r="K639" s="1">
        <v>13000</v>
      </c>
      <c r="L639" s="2">
        <v>45331</v>
      </c>
      <c r="M639" s="10" t="str">
        <f t="shared" si="9"/>
        <v>Below Target</v>
      </c>
    </row>
    <row r="640" spans="1:13" x14ac:dyDescent="0.35">
      <c r="A640" s="1" t="s">
        <v>870</v>
      </c>
      <c r="B640" s="1" t="s">
        <v>248</v>
      </c>
      <c r="C640" s="1" t="s">
        <v>30</v>
      </c>
      <c r="D640" s="1" t="s">
        <v>31</v>
      </c>
      <c r="E640" s="1" t="s">
        <v>46</v>
      </c>
      <c r="F640" s="1" t="s">
        <v>17</v>
      </c>
      <c r="G640" s="1" t="s">
        <v>36</v>
      </c>
      <c r="H640" s="1">
        <v>17524</v>
      </c>
      <c r="I640" s="1" t="s">
        <v>33</v>
      </c>
      <c r="J640" s="1">
        <v>0.3</v>
      </c>
      <c r="K640" s="1">
        <v>17000</v>
      </c>
      <c r="L640" s="2">
        <v>45336</v>
      </c>
      <c r="M640" s="10" t="str">
        <f t="shared" si="9"/>
        <v>Target Achieved</v>
      </c>
    </row>
    <row r="641" spans="1:13" x14ac:dyDescent="0.35">
      <c r="A641" s="1" t="s">
        <v>871</v>
      </c>
      <c r="B641" s="1" t="s">
        <v>373</v>
      </c>
      <c r="C641" s="1" t="s">
        <v>30</v>
      </c>
      <c r="D641" s="1" t="s">
        <v>31</v>
      </c>
      <c r="E641" s="1" t="s">
        <v>46</v>
      </c>
      <c r="F641" s="1" t="s">
        <v>17</v>
      </c>
      <c r="G641" s="1" t="s">
        <v>18</v>
      </c>
      <c r="H641" s="1">
        <v>15019</v>
      </c>
      <c r="I641" s="1" t="s">
        <v>33</v>
      </c>
      <c r="J641" s="1">
        <v>0.3</v>
      </c>
      <c r="K641" s="1">
        <v>17000</v>
      </c>
      <c r="L641" s="2">
        <v>45307</v>
      </c>
      <c r="M641" s="10" t="str">
        <f t="shared" si="9"/>
        <v>Below Target</v>
      </c>
    </row>
    <row r="642" spans="1:13" x14ac:dyDescent="0.35">
      <c r="A642" s="1" t="s">
        <v>872</v>
      </c>
      <c r="B642" s="1" t="s">
        <v>294</v>
      </c>
      <c r="C642" s="1" t="s">
        <v>61</v>
      </c>
      <c r="D642" s="1" t="s">
        <v>62</v>
      </c>
      <c r="E642" s="1" t="s">
        <v>46</v>
      </c>
      <c r="F642" s="1" t="s">
        <v>17</v>
      </c>
      <c r="G642" s="1" t="s">
        <v>18</v>
      </c>
      <c r="H642" s="1">
        <v>9783</v>
      </c>
      <c r="I642" s="1" t="s">
        <v>33</v>
      </c>
      <c r="J642" s="1">
        <v>0.3</v>
      </c>
      <c r="K642" s="1">
        <v>9000</v>
      </c>
      <c r="L642" s="2">
        <v>45348</v>
      </c>
      <c r="M642" s="10" t="str">
        <f t="shared" si="9"/>
        <v>Target Achieved</v>
      </c>
    </row>
    <row r="643" spans="1:13" x14ac:dyDescent="0.35">
      <c r="A643" s="1" t="s">
        <v>873</v>
      </c>
      <c r="B643" s="1" t="s">
        <v>231</v>
      </c>
      <c r="C643" s="1" t="s">
        <v>61</v>
      </c>
      <c r="D643" s="1" t="s">
        <v>62</v>
      </c>
      <c r="E643" s="1" t="s">
        <v>46</v>
      </c>
      <c r="F643" s="1" t="s">
        <v>17</v>
      </c>
      <c r="G643" s="1" t="s">
        <v>36</v>
      </c>
      <c r="H643" s="1">
        <v>9259</v>
      </c>
      <c r="I643" s="1" t="s">
        <v>22</v>
      </c>
      <c r="J643" s="1">
        <v>0.1</v>
      </c>
      <c r="K643" s="1">
        <v>9000</v>
      </c>
      <c r="L643" s="2">
        <v>45303</v>
      </c>
      <c r="M643" s="10" t="str">
        <f t="shared" ref="M643:M706" si="10">IF(H643&gt;=K643,"Target Achieved","Below Target")</f>
        <v>Target Achieved</v>
      </c>
    </row>
    <row r="644" spans="1:13" x14ac:dyDescent="0.35">
      <c r="A644" s="1" t="s">
        <v>874</v>
      </c>
      <c r="B644" s="1" t="s">
        <v>163</v>
      </c>
      <c r="C644" s="1" t="s">
        <v>14</v>
      </c>
      <c r="D644" s="1" t="s">
        <v>15</v>
      </c>
      <c r="E644" s="1" t="s">
        <v>46</v>
      </c>
      <c r="F644" s="1" t="s">
        <v>25</v>
      </c>
      <c r="G644" s="1" t="s">
        <v>26</v>
      </c>
      <c r="H644" s="1">
        <v>12804</v>
      </c>
      <c r="I644" s="1" t="s">
        <v>33</v>
      </c>
      <c r="J644" s="1">
        <v>0.3</v>
      </c>
      <c r="K644" s="1">
        <v>14000</v>
      </c>
      <c r="L644" s="2">
        <v>45338</v>
      </c>
      <c r="M644" s="10" t="str">
        <f t="shared" si="10"/>
        <v>Below Target</v>
      </c>
    </row>
    <row r="645" spans="1:13" x14ac:dyDescent="0.35">
      <c r="A645" s="1" t="s">
        <v>875</v>
      </c>
      <c r="B645" s="1" t="s">
        <v>50</v>
      </c>
      <c r="C645" s="1" t="s">
        <v>14</v>
      </c>
      <c r="D645" s="1" t="s">
        <v>15</v>
      </c>
      <c r="E645" s="1" t="s">
        <v>16</v>
      </c>
      <c r="F645" s="1" t="s">
        <v>25</v>
      </c>
      <c r="G645" s="1" t="s">
        <v>18</v>
      </c>
      <c r="H645" s="1">
        <v>15479</v>
      </c>
      <c r="I645" s="1" t="s">
        <v>27</v>
      </c>
      <c r="J645" s="1"/>
      <c r="K645" s="1">
        <v>14000</v>
      </c>
      <c r="L645" s="2">
        <v>45332</v>
      </c>
      <c r="M645" s="10" t="str">
        <f t="shared" si="10"/>
        <v>Target Achieved</v>
      </c>
    </row>
    <row r="646" spans="1:13" x14ac:dyDescent="0.35">
      <c r="A646" s="1" t="s">
        <v>876</v>
      </c>
      <c r="B646" s="1" t="s">
        <v>129</v>
      </c>
      <c r="C646" s="1" t="s">
        <v>61</v>
      </c>
      <c r="D646" s="1" t="s">
        <v>62</v>
      </c>
      <c r="E646" s="1" t="s">
        <v>16</v>
      </c>
      <c r="F646" s="1" t="s">
        <v>25</v>
      </c>
      <c r="G646" s="1" t="s">
        <v>18</v>
      </c>
      <c r="H646" s="1">
        <v>9259</v>
      </c>
      <c r="I646" s="1" t="s">
        <v>33</v>
      </c>
      <c r="J646" s="1">
        <v>0.3</v>
      </c>
      <c r="K646" s="1">
        <v>9000</v>
      </c>
      <c r="L646" s="2">
        <v>45326</v>
      </c>
      <c r="M646" s="10" t="str">
        <f t="shared" si="10"/>
        <v>Target Achieved</v>
      </c>
    </row>
    <row r="647" spans="1:13" x14ac:dyDescent="0.35">
      <c r="A647" s="1" t="s">
        <v>877</v>
      </c>
      <c r="B647" s="1" t="s">
        <v>84</v>
      </c>
      <c r="C647" s="1" t="s">
        <v>61</v>
      </c>
      <c r="D647" s="1" t="s">
        <v>62</v>
      </c>
      <c r="E647" s="1" t="s">
        <v>16</v>
      </c>
      <c r="F647" s="1" t="s">
        <v>25</v>
      </c>
      <c r="G647" s="1" t="s">
        <v>36</v>
      </c>
      <c r="H647" s="1">
        <v>8607</v>
      </c>
      <c r="I647" s="1" t="s">
        <v>19</v>
      </c>
      <c r="J647" s="1">
        <v>0.2</v>
      </c>
      <c r="K647" s="1">
        <v>9000</v>
      </c>
      <c r="L647" s="2">
        <v>45349</v>
      </c>
      <c r="M647" s="10" t="str">
        <f t="shared" si="10"/>
        <v>Below Target</v>
      </c>
    </row>
    <row r="648" spans="1:13" x14ac:dyDescent="0.35">
      <c r="A648" s="1" t="s">
        <v>878</v>
      </c>
      <c r="B648" s="1" t="s">
        <v>522</v>
      </c>
      <c r="C648" s="1" t="s">
        <v>30</v>
      </c>
      <c r="D648" s="1" t="s">
        <v>31</v>
      </c>
      <c r="E648" s="1" t="s">
        <v>32</v>
      </c>
      <c r="F648" s="1" t="s">
        <v>17</v>
      </c>
      <c r="G648" s="1" t="s">
        <v>26</v>
      </c>
      <c r="H648" s="1">
        <v>17090</v>
      </c>
      <c r="I648" s="1" t="s">
        <v>22</v>
      </c>
      <c r="J648" s="1">
        <v>0.1</v>
      </c>
      <c r="K648" s="1">
        <v>17000</v>
      </c>
      <c r="L648" s="2">
        <v>45317</v>
      </c>
      <c r="M648" s="10" t="str">
        <f t="shared" si="10"/>
        <v>Target Achieved</v>
      </c>
    </row>
    <row r="649" spans="1:13" x14ac:dyDescent="0.35">
      <c r="A649" s="1" t="s">
        <v>879</v>
      </c>
      <c r="B649" s="1" t="s">
        <v>301</v>
      </c>
      <c r="C649" s="1" t="s">
        <v>14</v>
      </c>
      <c r="D649" s="1" t="s">
        <v>15</v>
      </c>
      <c r="E649" s="1" t="s">
        <v>16</v>
      </c>
      <c r="F649" s="1" t="s">
        <v>25</v>
      </c>
      <c r="G649" s="1" t="s">
        <v>26</v>
      </c>
      <c r="H649" s="1">
        <v>14802</v>
      </c>
      <c r="I649" s="1" t="s">
        <v>19</v>
      </c>
      <c r="J649" s="1">
        <v>0.2</v>
      </c>
      <c r="K649" s="1">
        <v>14000</v>
      </c>
      <c r="L649" s="2">
        <v>45340</v>
      </c>
      <c r="M649" s="10" t="str">
        <f t="shared" si="10"/>
        <v>Target Achieved</v>
      </c>
    </row>
    <row r="650" spans="1:13" x14ac:dyDescent="0.35">
      <c r="A650" s="1" t="s">
        <v>880</v>
      </c>
      <c r="B650" s="1" t="s">
        <v>80</v>
      </c>
      <c r="C650" s="1" t="s">
        <v>61</v>
      </c>
      <c r="D650" s="1" t="s">
        <v>62</v>
      </c>
      <c r="E650" s="1" t="s">
        <v>32</v>
      </c>
      <c r="F650" s="1" t="s">
        <v>25</v>
      </c>
      <c r="G650" s="1" t="s">
        <v>26</v>
      </c>
      <c r="H650" s="1">
        <v>10885</v>
      </c>
      <c r="I650" s="1" t="s">
        <v>27</v>
      </c>
      <c r="J650" s="1"/>
      <c r="K650" s="1">
        <v>9000</v>
      </c>
      <c r="L650" s="2">
        <v>45334</v>
      </c>
      <c r="M650" s="10" t="str">
        <f t="shared" si="10"/>
        <v>Target Achieved</v>
      </c>
    </row>
    <row r="651" spans="1:13" x14ac:dyDescent="0.35">
      <c r="A651" s="1" t="s">
        <v>881</v>
      </c>
      <c r="B651" s="1" t="s">
        <v>412</v>
      </c>
      <c r="C651" s="1" t="s">
        <v>61</v>
      </c>
      <c r="D651" s="1" t="s">
        <v>62</v>
      </c>
      <c r="E651" s="1" t="s">
        <v>46</v>
      </c>
      <c r="F651" s="1" t="s">
        <v>25</v>
      </c>
      <c r="G651" s="1" t="s">
        <v>18</v>
      </c>
      <c r="H651" s="1">
        <v>10118</v>
      </c>
      <c r="I651" s="1"/>
      <c r="J651" s="1"/>
      <c r="K651" s="1">
        <v>9000</v>
      </c>
      <c r="L651" s="2">
        <v>45306</v>
      </c>
      <c r="M651" s="10" t="str">
        <f t="shared" si="10"/>
        <v>Target Achieved</v>
      </c>
    </row>
    <row r="652" spans="1:13" x14ac:dyDescent="0.35">
      <c r="A652" s="1" t="s">
        <v>882</v>
      </c>
      <c r="B652" s="1" t="s">
        <v>263</v>
      </c>
      <c r="C652" s="1" t="s">
        <v>30</v>
      </c>
      <c r="D652" s="1" t="s">
        <v>31</v>
      </c>
      <c r="E652" s="1" t="s">
        <v>32</v>
      </c>
      <c r="F652" s="1" t="s">
        <v>25</v>
      </c>
      <c r="G652" s="1" t="s">
        <v>26</v>
      </c>
      <c r="H652" s="1">
        <v>15846</v>
      </c>
      <c r="I652" s="1" t="s">
        <v>27</v>
      </c>
      <c r="J652" s="1"/>
      <c r="K652" s="1">
        <v>17000</v>
      </c>
      <c r="L652" s="2">
        <v>45350</v>
      </c>
      <c r="M652" s="10" t="str">
        <f t="shared" si="10"/>
        <v>Below Target</v>
      </c>
    </row>
    <row r="653" spans="1:13" x14ac:dyDescent="0.35">
      <c r="A653" s="1" t="s">
        <v>883</v>
      </c>
      <c r="B653" s="1" t="s">
        <v>602</v>
      </c>
      <c r="C653" s="1" t="s">
        <v>61</v>
      </c>
      <c r="D653" s="1" t="s">
        <v>62</v>
      </c>
      <c r="E653" s="1" t="s">
        <v>46</v>
      </c>
      <c r="F653" s="1" t="s">
        <v>17</v>
      </c>
      <c r="G653" s="1" t="s">
        <v>18</v>
      </c>
      <c r="H653" s="1">
        <v>7163</v>
      </c>
      <c r="I653" s="1" t="s">
        <v>33</v>
      </c>
      <c r="J653" s="1">
        <v>0.3</v>
      </c>
      <c r="K653" s="1">
        <v>9000</v>
      </c>
      <c r="L653" s="2">
        <v>45298</v>
      </c>
      <c r="M653" s="10" t="str">
        <f t="shared" si="10"/>
        <v>Below Target</v>
      </c>
    </row>
    <row r="654" spans="1:13" x14ac:dyDescent="0.35">
      <c r="A654" s="1" t="s">
        <v>884</v>
      </c>
      <c r="B654" s="1" t="s">
        <v>103</v>
      </c>
      <c r="C654" s="1" t="s">
        <v>30</v>
      </c>
      <c r="D654" s="1" t="s">
        <v>31</v>
      </c>
      <c r="E654" s="1" t="s">
        <v>16</v>
      </c>
      <c r="F654" s="1" t="s">
        <v>17</v>
      </c>
      <c r="G654" s="1" t="s">
        <v>26</v>
      </c>
      <c r="H654" s="1">
        <v>17229</v>
      </c>
      <c r="I654" s="1" t="s">
        <v>27</v>
      </c>
      <c r="J654" s="1"/>
      <c r="K654" s="1">
        <v>17000</v>
      </c>
      <c r="L654" s="2">
        <v>45303</v>
      </c>
      <c r="M654" s="10" t="str">
        <f t="shared" si="10"/>
        <v>Target Achieved</v>
      </c>
    </row>
    <row r="655" spans="1:13" x14ac:dyDescent="0.35">
      <c r="A655" s="1" t="s">
        <v>885</v>
      </c>
      <c r="B655" s="1" t="s">
        <v>274</v>
      </c>
      <c r="C655" s="1" t="s">
        <v>61</v>
      </c>
      <c r="D655" s="1" t="s">
        <v>62</v>
      </c>
      <c r="E655" s="1" t="s">
        <v>46</v>
      </c>
      <c r="F655" s="1" t="s">
        <v>39</v>
      </c>
      <c r="G655" s="1" t="s">
        <v>26</v>
      </c>
      <c r="H655" s="1">
        <v>10679</v>
      </c>
      <c r="I655" s="1" t="s">
        <v>22</v>
      </c>
      <c r="J655" s="1">
        <v>0.1</v>
      </c>
      <c r="K655" s="1">
        <v>9000</v>
      </c>
      <c r="L655" s="2">
        <v>45325</v>
      </c>
      <c r="M655" s="10" t="str">
        <f t="shared" si="10"/>
        <v>Target Achieved</v>
      </c>
    </row>
    <row r="656" spans="1:13" x14ac:dyDescent="0.35">
      <c r="A656" s="1" t="s">
        <v>886</v>
      </c>
      <c r="B656" s="1" t="s">
        <v>70</v>
      </c>
      <c r="C656" s="1" t="s">
        <v>44</v>
      </c>
      <c r="D656" s="1" t="s">
        <v>45</v>
      </c>
      <c r="E656" s="1" t="s">
        <v>16</v>
      </c>
      <c r="F656" s="1" t="s">
        <v>17</v>
      </c>
      <c r="G656" s="1" t="s">
        <v>36</v>
      </c>
      <c r="H656" s="1">
        <v>14347</v>
      </c>
      <c r="I656" s="1" t="s">
        <v>33</v>
      </c>
      <c r="J656" s="1">
        <v>0.3</v>
      </c>
      <c r="K656" s="1">
        <v>13000</v>
      </c>
      <c r="L656" s="2">
        <v>45323</v>
      </c>
      <c r="M656" s="10" t="str">
        <f t="shared" si="10"/>
        <v>Target Achieved</v>
      </c>
    </row>
    <row r="657" spans="1:13" x14ac:dyDescent="0.35">
      <c r="A657" s="1" t="s">
        <v>887</v>
      </c>
      <c r="B657" s="1" t="s">
        <v>298</v>
      </c>
      <c r="C657" s="1" t="s">
        <v>14</v>
      </c>
      <c r="D657" s="1" t="s">
        <v>15</v>
      </c>
      <c r="E657" s="1" t="s">
        <v>16</v>
      </c>
      <c r="F657" s="1" t="s">
        <v>25</v>
      </c>
      <c r="G657" s="1" t="s">
        <v>36</v>
      </c>
      <c r="H657" s="1">
        <v>12678</v>
      </c>
      <c r="I657" s="1" t="s">
        <v>19</v>
      </c>
      <c r="J657" s="1">
        <v>0.2</v>
      </c>
      <c r="K657" s="1">
        <v>14000</v>
      </c>
      <c r="L657" s="2">
        <v>45296</v>
      </c>
      <c r="M657" s="10" t="str">
        <f t="shared" si="10"/>
        <v>Below Target</v>
      </c>
    </row>
    <row r="658" spans="1:13" x14ac:dyDescent="0.35">
      <c r="A658" s="1" t="s">
        <v>888</v>
      </c>
      <c r="B658" s="1" t="s">
        <v>202</v>
      </c>
      <c r="C658" s="1" t="s">
        <v>30</v>
      </c>
      <c r="D658" s="1" t="s">
        <v>31</v>
      </c>
      <c r="E658" s="1" t="s">
        <v>32</v>
      </c>
      <c r="F658" s="1" t="s">
        <v>25</v>
      </c>
      <c r="G658" s="1" t="s">
        <v>18</v>
      </c>
      <c r="H658" s="1">
        <v>15644</v>
      </c>
      <c r="I658" s="1" t="s">
        <v>33</v>
      </c>
      <c r="J658" s="1">
        <v>0.3</v>
      </c>
      <c r="K658" s="1">
        <v>17000</v>
      </c>
      <c r="L658" s="2">
        <v>45330</v>
      </c>
      <c r="M658" s="10" t="str">
        <f t="shared" si="10"/>
        <v>Below Target</v>
      </c>
    </row>
    <row r="659" spans="1:13" x14ac:dyDescent="0.35">
      <c r="A659" s="1" t="s">
        <v>889</v>
      </c>
      <c r="B659" s="1" t="s">
        <v>371</v>
      </c>
      <c r="C659" s="1" t="s">
        <v>14</v>
      </c>
      <c r="D659" s="1" t="s">
        <v>15</v>
      </c>
      <c r="E659" s="1" t="s">
        <v>16</v>
      </c>
      <c r="F659" s="1" t="s">
        <v>25</v>
      </c>
      <c r="G659" s="1" t="s">
        <v>36</v>
      </c>
      <c r="H659" s="1">
        <v>15322</v>
      </c>
      <c r="I659" s="1" t="s">
        <v>33</v>
      </c>
      <c r="J659" s="1">
        <v>0.3</v>
      </c>
      <c r="K659" s="1">
        <v>14000</v>
      </c>
      <c r="L659" s="2">
        <v>45338</v>
      </c>
      <c r="M659" s="10" t="str">
        <f t="shared" si="10"/>
        <v>Target Achieved</v>
      </c>
    </row>
    <row r="660" spans="1:13" x14ac:dyDescent="0.35">
      <c r="A660" s="1" t="s">
        <v>890</v>
      </c>
      <c r="B660" s="1" t="s">
        <v>245</v>
      </c>
      <c r="C660" s="1" t="s">
        <v>61</v>
      </c>
      <c r="D660" s="1" t="s">
        <v>62</v>
      </c>
      <c r="E660" s="1" t="s">
        <v>46</v>
      </c>
      <c r="F660" s="1" t="s">
        <v>25</v>
      </c>
      <c r="G660" s="1" t="s">
        <v>26</v>
      </c>
      <c r="H660" s="1">
        <v>7660</v>
      </c>
      <c r="I660" s="1"/>
      <c r="J660" s="1"/>
      <c r="K660" s="1">
        <v>9000</v>
      </c>
      <c r="L660" s="2">
        <v>45293</v>
      </c>
      <c r="M660" s="10" t="str">
        <f t="shared" si="10"/>
        <v>Below Target</v>
      </c>
    </row>
    <row r="661" spans="1:13" x14ac:dyDescent="0.35">
      <c r="A661" s="1" t="s">
        <v>891</v>
      </c>
      <c r="B661" s="1" t="s">
        <v>500</v>
      </c>
      <c r="C661" s="1" t="s">
        <v>44</v>
      </c>
      <c r="D661" s="1" t="s">
        <v>45</v>
      </c>
      <c r="E661" s="1" t="s">
        <v>16</v>
      </c>
      <c r="F661" s="1" t="s">
        <v>39</v>
      </c>
      <c r="G661" s="1" t="s">
        <v>18</v>
      </c>
      <c r="H661" s="1">
        <v>11551</v>
      </c>
      <c r="I661" s="1" t="s">
        <v>27</v>
      </c>
      <c r="J661" s="1"/>
      <c r="K661" s="1">
        <v>13000</v>
      </c>
      <c r="L661" s="2">
        <v>45294</v>
      </c>
      <c r="M661" s="10" t="str">
        <f t="shared" si="10"/>
        <v>Below Target</v>
      </c>
    </row>
    <row r="662" spans="1:13" x14ac:dyDescent="0.35">
      <c r="A662" s="1" t="s">
        <v>892</v>
      </c>
      <c r="B662" s="1" t="s">
        <v>60</v>
      </c>
      <c r="C662" s="1" t="s">
        <v>44</v>
      </c>
      <c r="D662" s="1" t="s">
        <v>45</v>
      </c>
      <c r="E662" s="1" t="s">
        <v>32</v>
      </c>
      <c r="F662" s="1" t="s">
        <v>25</v>
      </c>
      <c r="G662" s="1" t="s">
        <v>36</v>
      </c>
      <c r="H662" s="1">
        <v>14778</v>
      </c>
      <c r="I662" s="1" t="s">
        <v>19</v>
      </c>
      <c r="J662" s="1">
        <v>0.2</v>
      </c>
      <c r="K662" s="1">
        <v>13000</v>
      </c>
      <c r="L662" s="2">
        <v>45325</v>
      </c>
      <c r="M662" s="10" t="str">
        <f t="shared" si="10"/>
        <v>Target Achieved</v>
      </c>
    </row>
    <row r="663" spans="1:13" x14ac:dyDescent="0.35">
      <c r="A663" s="1" t="s">
        <v>893</v>
      </c>
      <c r="B663" s="1" t="s">
        <v>617</v>
      </c>
      <c r="C663" s="1" t="s">
        <v>14</v>
      </c>
      <c r="D663" s="1" t="s">
        <v>15</v>
      </c>
      <c r="E663" s="1" t="s">
        <v>16</v>
      </c>
      <c r="F663" s="1" t="s">
        <v>39</v>
      </c>
      <c r="G663" s="1" t="s">
        <v>26</v>
      </c>
      <c r="H663" s="1">
        <v>15364</v>
      </c>
      <c r="I663" s="1" t="s">
        <v>33</v>
      </c>
      <c r="J663" s="1">
        <v>0.3</v>
      </c>
      <c r="K663" s="1">
        <v>14000</v>
      </c>
      <c r="L663" s="2">
        <v>45352</v>
      </c>
      <c r="M663" s="10" t="str">
        <f t="shared" si="10"/>
        <v>Target Achieved</v>
      </c>
    </row>
    <row r="664" spans="1:13" x14ac:dyDescent="0.35">
      <c r="A664" s="1" t="s">
        <v>894</v>
      </c>
      <c r="B664" s="1" t="s">
        <v>248</v>
      </c>
      <c r="C664" s="1" t="s">
        <v>61</v>
      </c>
      <c r="D664" s="1" t="s">
        <v>62</v>
      </c>
      <c r="E664" s="1" t="s">
        <v>16</v>
      </c>
      <c r="F664" s="1" t="s">
        <v>17</v>
      </c>
      <c r="G664" s="1" t="s">
        <v>36</v>
      </c>
      <c r="H664" s="1">
        <v>7698</v>
      </c>
      <c r="I664" s="1" t="s">
        <v>19</v>
      </c>
      <c r="J664" s="1">
        <v>0.2</v>
      </c>
      <c r="K664" s="1">
        <v>9000</v>
      </c>
      <c r="L664" s="2">
        <v>45345</v>
      </c>
      <c r="M664" s="10" t="str">
        <f t="shared" si="10"/>
        <v>Below Target</v>
      </c>
    </row>
    <row r="665" spans="1:13" x14ac:dyDescent="0.35">
      <c r="A665" s="1" t="s">
        <v>895</v>
      </c>
      <c r="B665" s="1" t="s">
        <v>617</v>
      </c>
      <c r="C665" s="1" t="s">
        <v>44</v>
      </c>
      <c r="D665" s="1" t="s">
        <v>45</v>
      </c>
      <c r="E665" s="1" t="s">
        <v>16</v>
      </c>
      <c r="F665" s="1" t="s">
        <v>25</v>
      </c>
      <c r="G665" s="1" t="s">
        <v>26</v>
      </c>
      <c r="H665" s="1">
        <v>13701</v>
      </c>
      <c r="I665" s="1" t="s">
        <v>27</v>
      </c>
      <c r="J665" s="1"/>
      <c r="K665" s="1">
        <v>13000</v>
      </c>
      <c r="L665" s="2">
        <v>45308</v>
      </c>
      <c r="M665" s="10" t="str">
        <f t="shared" si="10"/>
        <v>Target Achieved</v>
      </c>
    </row>
    <row r="666" spans="1:13" x14ac:dyDescent="0.35">
      <c r="A666" s="1" t="s">
        <v>896</v>
      </c>
      <c r="B666" s="1" t="s">
        <v>280</v>
      </c>
      <c r="C666" s="1" t="s">
        <v>30</v>
      </c>
      <c r="D666" s="1" t="s">
        <v>31</v>
      </c>
      <c r="E666" s="1" t="s">
        <v>46</v>
      </c>
      <c r="F666" s="1" t="s">
        <v>39</v>
      </c>
      <c r="G666" s="1" t="s">
        <v>26</v>
      </c>
      <c r="H666" s="1">
        <v>15281</v>
      </c>
      <c r="I666" s="1" t="s">
        <v>19</v>
      </c>
      <c r="J666" s="1">
        <v>0.2</v>
      </c>
      <c r="K666" s="1">
        <v>17000</v>
      </c>
      <c r="L666" s="2">
        <v>45316</v>
      </c>
      <c r="M666" s="10" t="str">
        <f t="shared" si="10"/>
        <v>Below Target</v>
      </c>
    </row>
    <row r="667" spans="1:13" x14ac:dyDescent="0.35">
      <c r="A667" s="1" t="s">
        <v>897</v>
      </c>
      <c r="B667" s="1" t="s">
        <v>186</v>
      </c>
      <c r="C667" s="1" t="s">
        <v>14</v>
      </c>
      <c r="D667" s="1" t="s">
        <v>15</v>
      </c>
      <c r="E667" s="1" t="s">
        <v>32</v>
      </c>
      <c r="F667" s="1" t="s">
        <v>25</v>
      </c>
      <c r="G667" s="1" t="s">
        <v>26</v>
      </c>
      <c r="H667" s="1">
        <v>15520</v>
      </c>
      <c r="I667" s="1" t="s">
        <v>27</v>
      </c>
      <c r="J667" s="1"/>
      <c r="K667" s="1">
        <v>14000</v>
      </c>
      <c r="L667" s="2">
        <v>45335</v>
      </c>
      <c r="M667" s="10" t="str">
        <f t="shared" si="10"/>
        <v>Target Achieved</v>
      </c>
    </row>
    <row r="668" spans="1:13" x14ac:dyDescent="0.35">
      <c r="A668" s="1" t="s">
        <v>898</v>
      </c>
      <c r="B668" s="1" t="s">
        <v>309</v>
      </c>
      <c r="C668" s="1" t="s">
        <v>44</v>
      </c>
      <c r="D668" s="1" t="s">
        <v>45</v>
      </c>
      <c r="E668" s="1" t="s">
        <v>16</v>
      </c>
      <c r="F668" s="1" t="s">
        <v>25</v>
      </c>
      <c r="G668" s="1" t="s">
        <v>18</v>
      </c>
      <c r="H668" s="1">
        <v>12949</v>
      </c>
      <c r="I668" s="1" t="s">
        <v>27</v>
      </c>
      <c r="J668" s="1"/>
      <c r="K668" s="1">
        <v>13000</v>
      </c>
      <c r="L668" s="2">
        <v>45330</v>
      </c>
      <c r="M668" s="10" t="str">
        <f t="shared" si="10"/>
        <v>Below Target</v>
      </c>
    </row>
    <row r="669" spans="1:13" x14ac:dyDescent="0.35">
      <c r="A669" s="1" t="s">
        <v>899</v>
      </c>
      <c r="B669" s="1" t="s">
        <v>321</v>
      </c>
      <c r="C669" s="1" t="s">
        <v>14</v>
      </c>
      <c r="D669" s="1" t="s">
        <v>15</v>
      </c>
      <c r="E669" s="1" t="s">
        <v>32</v>
      </c>
      <c r="F669" s="1" t="s">
        <v>17</v>
      </c>
      <c r="G669" s="1" t="s">
        <v>26</v>
      </c>
      <c r="H669" s="1">
        <v>12533</v>
      </c>
      <c r="I669" s="1" t="s">
        <v>27</v>
      </c>
      <c r="J669" s="1"/>
      <c r="K669" s="1">
        <v>14000</v>
      </c>
      <c r="L669" s="2">
        <v>45326</v>
      </c>
      <c r="M669" s="10" t="str">
        <f t="shared" si="10"/>
        <v>Below Target</v>
      </c>
    </row>
    <row r="670" spans="1:13" x14ac:dyDescent="0.35">
      <c r="A670" s="1" t="s">
        <v>900</v>
      </c>
      <c r="B670" s="1" t="s">
        <v>676</v>
      </c>
      <c r="C670" s="1" t="s">
        <v>61</v>
      </c>
      <c r="D670" s="1" t="s">
        <v>62</v>
      </c>
      <c r="E670" s="1" t="s">
        <v>16</v>
      </c>
      <c r="F670" s="1" t="s">
        <v>17</v>
      </c>
      <c r="G670" s="1" t="s">
        <v>36</v>
      </c>
      <c r="H670" s="1">
        <v>10583</v>
      </c>
      <c r="I670" s="1" t="s">
        <v>22</v>
      </c>
      <c r="J670" s="1">
        <v>0.1</v>
      </c>
      <c r="K670" s="1">
        <v>9000</v>
      </c>
      <c r="L670" s="2">
        <v>45336</v>
      </c>
      <c r="M670" s="10" t="str">
        <f t="shared" si="10"/>
        <v>Target Achieved</v>
      </c>
    </row>
    <row r="671" spans="1:13" x14ac:dyDescent="0.35">
      <c r="A671" s="1" t="s">
        <v>901</v>
      </c>
      <c r="B671" s="1" t="s">
        <v>388</v>
      </c>
      <c r="C671" s="1" t="s">
        <v>44</v>
      </c>
      <c r="D671" s="1" t="s">
        <v>45</v>
      </c>
      <c r="E671" s="1" t="s">
        <v>46</v>
      </c>
      <c r="F671" s="1" t="s">
        <v>17</v>
      </c>
      <c r="G671" s="1" t="s">
        <v>36</v>
      </c>
      <c r="H671" s="1">
        <v>13412</v>
      </c>
      <c r="I671" s="1" t="s">
        <v>27</v>
      </c>
      <c r="J671" s="1"/>
      <c r="K671" s="1">
        <v>13000</v>
      </c>
      <c r="L671" s="2">
        <v>45298</v>
      </c>
      <c r="M671" s="10" t="str">
        <f t="shared" si="10"/>
        <v>Target Achieved</v>
      </c>
    </row>
    <row r="672" spans="1:13" x14ac:dyDescent="0.35">
      <c r="A672" s="1" t="s">
        <v>902</v>
      </c>
      <c r="B672" s="1" t="s">
        <v>186</v>
      </c>
      <c r="C672" s="1" t="s">
        <v>30</v>
      </c>
      <c r="D672" s="1" t="s">
        <v>31</v>
      </c>
      <c r="E672" s="1" t="s">
        <v>46</v>
      </c>
      <c r="F672" s="1" t="s">
        <v>25</v>
      </c>
      <c r="G672" s="1" t="s">
        <v>18</v>
      </c>
      <c r="H672" s="1">
        <v>16160</v>
      </c>
      <c r="I672" s="1" t="s">
        <v>27</v>
      </c>
      <c r="J672" s="1"/>
      <c r="K672" s="1">
        <v>17000</v>
      </c>
      <c r="L672" s="2">
        <v>45348</v>
      </c>
      <c r="M672" s="10" t="str">
        <f t="shared" si="10"/>
        <v>Below Target</v>
      </c>
    </row>
    <row r="673" spans="1:13" x14ac:dyDescent="0.35">
      <c r="A673" s="1" t="s">
        <v>903</v>
      </c>
      <c r="B673" s="1" t="s">
        <v>388</v>
      </c>
      <c r="C673" s="1" t="s">
        <v>30</v>
      </c>
      <c r="D673" s="1" t="s">
        <v>31</v>
      </c>
      <c r="E673" s="1" t="s">
        <v>32</v>
      </c>
      <c r="F673" s="1" t="s">
        <v>25</v>
      </c>
      <c r="G673" s="1" t="s">
        <v>26</v>
      </c>
      <c r="H673" s="1">
        <v>18045</v>
      </c>
      <c r="I673" s="1" t="s">
        <v>22</v>
      </c>
      <c r="J673" s="1">
        <v>0.1</v>
      </c>
      <c r="K673" s="1">
        <v>17000</v>
      </c>
      <c r="L673" s="2">
        <v>45328</v>
      </c>
      <c r="M673" s="10" t="str">
        <f t="shared" si="10"/>
        <v>Target Achieved</v>
      </c>
    </row>
    <row r="674" spans="1:13" x14ac:dyDescent="0.35">
      <c r="A674" s="1" t="s">
        <v>904</v>
      </c>
      <c r="B674" s="1" t="s">
        <v>905</v>
      </c>
      <c r="C674" s="1" t="s">
        <v>14</v>
      </c>
      <c r="D674" s="1" t="s">
        <v>15</v>
      </c>
      <c r="E674" s="1" t="s">
        <v>46</v>
      </c>
      <c r="F674" s="1" t="s">
        <v>39</v>
      </c>
      <c r="G674" s="1" t="s">
        <v>18</v>
      </c>
      <c r="H674" s="1">
        <v>14817</v>
      </c>
      <c r="I674" s="1" t="s">
        <v>33</v>
      </c>
      <c r="J674" s="1">
        <v>0.3</v>
      </c>
      <c r="K674" s="1">
        <v>14000</v>
      </c>
      <c r="L674" s="2">
        <v>45318</v>
      </c>
      <c r="M674" s="10" t="str">
        <f t="shared" si="10"/>
        <v>Target Achieved</v>
      </c>
    </row>
    <row r="675" spans="1:13" x14ac:dyDescent="0.35">
      <c r="A675" s="1" t="s">
        <v>906</v>
      </c>
      <c r="B675" s="1" t="s">
        <v>116</v>
      </c>
      <c r="C675" s="1" t="s">
        <v>44</v>
      </c>
      <c r="D675" s="1" t="s">
        <v>45</v>
      </c>
      <c r="E675" s="1" t="s">
        <v>46</v>
      </c>
      <c r="F675" s="1" t="s">
        <v>39</v>
      </c>
      <c r="G675" s="1" t="s">
        <v>26</v>
      </c>
      <c r="H675" s="1">
        <v>12038</v>
      </c>
      <c r="I675" s="1" t="s">
        <v>33</v>
      </c>
      <c r="J675" s="1">
        <v>0.3</v>
      </c>
      <c r="K675" s="1">
        <v>13000</v>
      </c>
      <c r="L675" s="2">
        <v>45346</v>
      </c>
      <c r="M675" s="10" t="str">
        <f t="shared" si="10"/>
        <v>Below Target</v>
      </c>
    </row>
    <row r="676" spans="1:13" x14ac:dyDescent="0.35">
      <c r="A676" s="1" t="s">
        <v>907</v>
      </c>
      <c r="B676" s="1" t="s">
        <v>388</v>
      </c>
      <c r="C676" s="1" t="s">
        <v>30</v>
      </c>
      <c r="D676" s="1" t="s">
        <v>31</v>
      </c>
      <c r="E676" s="1" t="s">
        <v>16</v>
      </c>
      <c r="F676" s="1" t="s">
        <v>17</v>
      </c>
      <c r="G676" s="1" t="s">
        <v>26</v>
      </c>
      <c r="H676" s="1">
        <v>16627</v>
      </c>
      <c r="I676" s="1" t="s">
        <v>19</v>
      </c>
      <c r="J676" s="1">
        <v>0.2</v>
      </c>
      <c r="K676" s="1">
        <v>17000</v>
      </c>
      <c r="L676" s="2">
        <v>45318</v>
      </c>
      <c r="M676" s="10" t="str">
        <f t="shared" si="10"/>
        <v>Below Target</v>
      </c>
    </row>
    <row r="677" spans="1:13" x14ac:dyDescent="0.35">
      <c r="A677" s="1" t="s">
        <v>908</v>
      </c>
      <c r="B677" s="1" t="s">
        <v>82</v>
      </c>
      <c r="C677" s="1" t="s">
        <v>61</v>
      </c>
      <c r="D677" s="1" t="s">
        <v>62</v>
      </c>
      <c r="E677" s="1" t="s">
        <v>32</v>
      </c>
      <c r="F677" s="1" t="s">
        <v>17</v>
      </c>
      <c r="G677" s="1" t="s">
        <v>26</v>
      </c>
      <c r="H677" s="1">
        <v>9272</v>
      </c>
      <c r="I677" s="1"/>
      <c r="J677" s="1"/>
      <c r="K677" s="1">
        <v>9000</v>
      </c>
      <c r="L677" s="2">
        <v>45308</v>
      </c>
      <c r="M677" s="10" t="str">
        <f t="shared" si="10"/>
        <v>Target Achieved</v>
      </c>
    </row>
    <row r="678" spans="1:13" x14ac:dyDescent="0.35">
      <c r="A678" s="1" t="s">
        <v>909</v>
      </c>
      <c r="B678" s="1" t="s">
        <v>118</v>
      </c>
      <c r="C678" s="1" t="s">
        <v>30</v>
      </c>
      <c r="D678" s="1" t="s">
        <v>31</v>
      </c>
      <c r="E678" s="1" t="s">
        <v>16</v>
      </c>
      <c r="F678" s="1" t="s">
        <v>17</v>
      </c>
      <c r="G678" s="1" t="s">
        <v>26</v>
      </c>
      <c r="H678" s="1">
        <v>15565</v>
      </c>
      <c r="I678" s="1" t="s">
        <v>22</v>
      </c>
      <c r="J678" s="1">
        <v>0.1</v>
      </c>
      <c r="K678" s="1">
        <v>17000</v>
      </c>
      <c r="L678" s="2">
        <v>45339</v>
      </c>
      <c r="M678" s="10" t="str">
        <f t="shared" si="10"/>
        <v>Below Target</v>
      </c>
    </row>
    <row r="679" spans="1:13" x14ac:dyDescent="0.35">
      <c r="A679" s="1" t="s">
        <v>910</v>
      </c>
      <c r="B679" s="1" t="s">
        <v>29</v>
      </c>
      <c r="C679" s="1" t="s">
        <v>44</v>
      </c>
      <c r="D679" s="1" t="s">
        <v>45</v>
      </c>
      <c r="E679" s="1" t="s">
        <v>32</v>
      </c>
      <c r="F679" s="1" t="s">
        <v>25</v>
      </c>
      <c r="G679" s="1" t="s">
        <v>26</v>
      </c>
      <c r="H679" s="1">
        <v>12640</v>
      </c>
      <c r="I679" s="1" t="s">
        <v>33</v>
      </c>
      <c r="J679" s="1">
        <v>0.3</v>
      </c>
      <c r="K679" s="1">
        <v>13000</v>
      </c>
      <c r="L679" s="2">
        <v>45343</v>
      </c>
      <c r="M679" s="10" t="str">
        <f t="shared" si="10"/>
        <v>Below Target</v>
      </c>
    </row>
    <row r="680" spans="1:13" x14ac:dyDescent="0.35">
      <c r="A680" s="1" t="s">
        <v>911</v>
      </c>
      <c r="B680" s="1" t="s">
        <v>382</v>
      </c>
      <c r="C680" s="1" t="s">
        <v>14</v>
      </c>
      <c r="D680" s="1" t="s">
        <v>15</v>
      </c>
      <c r="E680" s="1" t="s">
        <v>32</v>
      </c>
      <c r="F680" s="1" t="s">
        <v>17</v>
      </c>
      <c r="G680" s="1" t="s">
        <v>26</v>
      </c>
      <c r="H680" s="1">
        <v>12021</v>
      </c>
      <c r="I680" s="1" t="s">
        <v>22</v>
      </c>
      <c r="J680" s="1">
        <v>0.1</v>
      </c>
      <c r="K680" s="1">
        <v>14000</v>
      </c>
      <c r="L680" s="2">
        <v>45344</v>
      </c>
      <c r="M680" s="10" t="str">
        <f t="shared" si="10"/>
        <v>Below Target</v>
      </c>
    </row>
    <row r="681" spans="1:13" x14ac:dyDescent="0.35">
      <c r="A681" s="1" t="s">
        <v>912</v>
      </c>
      <c r="B681" s="1" t="s">
        <v>429</v>
      </c>
      <c r="C681" s="1" t="s">
        <v>61</v>
      </c>
      <c r="D681" s="1" t="s">
        <v>62</v>
      </c>
      <c r="E681" s="1" t="s">
        <v>32</v>
      </c>
      <c r="F681" s="1" t="s">
        <v>25</v>
      </c>
      <c r="G681" s="1" t="s">
        <v>36</v>
      </c>
      <c r="H681" s="1">
        <v>7908</v>
      </c>
      <c r="I681" s="1" t="s">
        <v>33</v>
      </c>
      <c r="J681" s="1">
        <v>0.3</v>
      </c>
      <c r="K681" s="1">
        <v>9000</v>
      </c>
      <c r="L681" s="2">
        <v>45297</v>
      </c>
      <c r="M681" s="10" t="str">
        <f t="shared" si="10"/>
        <v>Below Target</v>
      </c>
    </row>
    <row r="682" spans="1:13" x14ac:dyDescent="0.35">
      <c r="A682" s="1" t="s">
        <v>913</v>
      </c>
      <c r="B682" s="1" t="s">
        <v>359</v>
      </c>
      <c r="C682" s="1" t="s">
        <v>61</v>
      </c>
      <c r="D682" s="1" t="s">
        <v>62</v>
      </c>
      <c r="E682" s="1" t="s">
        <v>46</v>
      </c>
      <c r="F682" s="1" t="s">
        <v>39</v>
      </c>
      <c r="G682" s="1" t="s">
        <v>26</v>
      </c>
      <c r="H682" s="1">
        <v>9134</v>
      </c>
      <c r="I682" s="1" t="s">
        <v>33</v>
      </c>
      <c r="J682" s="1">
        <v>0.3</v>
      </c>
      <c r="K682" s="1">
        <v>9000</v>
      </c>
      <c r="L682" s="2">
        <v>45337</v>
      </c>
      <c r="M682" s="10" t="str">
        <f t="shared" si="10"/>
        <v>Target Achieved</v>
      </c>
    </row>
    <row r="683" spans="1:13" x14ac:dyDescent="0.35">
      <c r="A683" s="1" t="s">
        <v>914</v>
      </c>
      <c r="B683" s="1" t="s">
        <v>359</v>
      </c>
      <c r="C683" s="1" t="s">
        <v>44</v>
      </c>
      <c r="D683" s="1" t="s">
        <v>45</v>
      </c>
      <c r="E683" s="1" t="s">
        <v>16</v>
      </c>
      <c r="F683" s="1" t="s">
        <v>17</v>
      </c>
      <c r="G683" s="1" t="s">
        <v>36</v>
      </c>
      <c r="H683" s="1">
        <v>11043</v>
      </c>
      <c r="I683" s="1" t="s">
        <v>19</v>
      </c>
      <c r="J683" s="1">
        <v>0.2</v>
      </c>
      <c r="K683" s="1">
        <v>13000</v>
      </c>
      <c r="L683" s="2">
        <v>45346</v>
      </c>
      <c r="M683" s="10" t="str">
        <f t="shared" si="10"/>
        <v>Below Target</v>
      </c>
    </row>
    <row r="684" spans="1:13" x14ac:dyDescent="0.35">
      <c r="A684" s="1" t="s">
        <v>915</v>
      </c>
      <c r="B684" s="1" t="s">
        <v>270</v>
      </c>
      <c r="C684" s="1" t="s">
        <v>30</v>
      </c>
      <c r="D684" s="1" t="s">
        <v>31</v>
      </c>
      <c r="E684" s="1" t="s">
        <v>32</v>
      </c>
      <c r="F684" s="1" t="s">
        <v>25</v>
      </c>
      <c r="G684" s="1" t="s">
        <v>26</v>
      </c>
      <c r="H684" s="1">
        <v>17091</v>
      </c>
      <c r="I684" s="1" t="s">
        <v>27</v>
      </c>
      <c r="J684" s="1"/>
      <c r="K684" s="1">
        <v>17000</v>
      </c>
      <c r="L684" s="2">
        <v>45336</v>
      </c>
      <c r="M684" s="10" t="str">
        <f t="shared" si="10"/>
        <v>Target Achieved</v>
      </c>
    </row>
    <row r="685" spans="1:13" x14ac:dyDescent="0.35">
      <c r="A685" s="1" t="s">
        <v>916</v>
      </c>
      <c r="B685" s="1" t="s">
        <v>56</v>
      </c>
      <c r="C685" s="1" t="s">
        <v>44</v>
      </c>
      <c r="D685" s="1" t="s">
        <v>45</v>
      </c>
      <c r="E685" s="1" t="s">
        <v>16</v>
      </c>
      <c r="F685" s="1" t="s">
        <v>25</v>
      </c>
      <c r="G685" s="1" t="s">
        <v>36</v>
      </c>
      <c r="H685" s="1">
        <v>11979</v>
      </c>
      <c r="I685" s="1" t="s">
        <v>22</v>
      </c>
      <c r="J685" s="1">
        <v>0.1</v>
      </c>
      <c r="K685" s="1">
        <v>13000</v>
      </c>
      <c r="L685" s="2">
        <v>45302</v>
      </c>
      <c r="M685" s="10" t="str">
        <f t="shared" si="10"/>
        <v>Below Target</v>
      </c>
    </row>
    <row r="686" spans="1:13" x14ac:dyDescent="0.35">
      <c r="A686" s="1" t="s">
        <v>917</v>
      </c>
      <c r="B686" s="1" t="s">
        <v>263</v>
      </c>
      <c r="C686" s="1" t="s">
        <v>61</v>
      </c>
      <c r="D686" s="1" t="s">
        <v>62</v>
      </c>
      <c r="E686" s="1" t="s">
        <v>46</v>
      </c>
      <c r="F686" s="1" t="s">
        <v>39</v>
      </c>
      <c r="G686" s="1" t="s">
        <v>36</v>
      </c>
      <c r="H686" s="1">
        <v>8660</v>
      </c>
      <c r="I686" s="1" t="s">
        <v>27</v>
      </c>
      <c r="J686" s="1"/>
      <c r="K686" s="1">
        <v>9000</v>
      </c>
      <c r="L686" s="2">
        <v>45304</v>
      </c>
      <c r="M686" s="10" t="str">
        <f t="shared" si="10"/>
        <v>Below Target</v>
      </c>
    </row>
    <row r="687" spans="1:13" x14ac:dyDescent="0.35">
      <c r="A687" s="1" t="s">
        <v>918</v>
      </c>
      <c r="B687" s="1" t="s">
        <v>184</v>
      </c>
      <c r="C687" s="1" t="s">
        <v>14</v>
      </c>
      <c r="D687" s="1" t="s">
        <v>15</v>
      </c>
      <c r="E687" s="1" t="s">
        <v>32</v>
      </c>
      <c r="F687" s="1" t="s">
        <v>39</v>
      </c>
      <c r="G687" s="1" t="s">
        <v>36</v>
      </c>
      <c r="H687" s="1">
        <v>14974</v>
      </c>
      <c r="I687" s="1" t="s">
        <v>27</v>
      </c>
      <c r="J687" s="1"/>
      <c r="K687" s="1">
        <v>14000</v>
      </c>
      <c r="L687" s="2">
        <v>45350</v>
      </c>
      <c r="M687" s="10" t="str">
        <f t="shared" si="10"/>
        <v>Target Achieved</v>
      </c>
    </row>
    <row r="688" spans="1:13" x14ac:dyDescent="0.35">
      <c r="A688" s="1" t="s">
        <v>919</v>
      </c>
      <c r="B688" s="1" t="s">
        <v>920</v>
      </c>
      <c r="C688" s="1" t="s">
        <v>30</v>
      </c>
      <c r="D688" s="1" t="s">
        <v>31</v>
      </c>
      <c r="E688" s="1" t="s">
        <v>46</v>
      </c>
      <c r="F688" s="1" t="s">
        <v>25</v>
      </c>
      <c r="G688" s="1" t="s">
        <v>26</v>
      </c>
      <c r="H688" s="1">
        <v>18944</v>
      </c>
      <c r="I688" s="1" t="s">
        <v>19</v>
      </c>
      <c r="J688" s="1">
        <v>0.2</v>
      </c>
      <c r="K688" s="1">
        <v>17000</v>
      </c>
      <c r="L688" s="2">
        <v>45321</v>
      </c>
      <c r="M688" s="10" t="str">
        <f t="shared" si="10"/>
        <v>Target Achieved</v>
      </c>
    </row>
    <row r="689" spans="1:13" x14ac:dyDescent="0.35">
      <c r="A689" s="1" t="s">
        <v>921</v>
      </c>
      <c r="B689" s="1" t="s">
        <v>137</v>
      </c>
      <c r="C689" s="1" t="s">
        <v>14</v>
      </c>
      <c r="D689" s="1" t="s">
        <v>15</v>
      </c>
      <c r="E689" s="1" t="s">
        <v>46</v>
      </c>
      <c r="F689" s="1" t="s">
        <v>25</v>
      </c>
      <c r="G689" s="1" t="s">
        <v>36</v>
      </c>
      <c r="H689" s="1">
        <v>14073</v>
      </c>
      <c r="I689" s="1" t="s">
        <v>22</v>
      </c>
      <c r="J689" s="1">
        <v>0.1</v>
      </c>
      <c r="K689" s="1">
        <v>14000</v>
      </c>
      <c r="L689" s="2">
        <v>45327</v>
      </c>
      <c r="M689" s="10" t="str">
        <f t="shared" si="10"/>
        <v>Target Achieved</v>
      </c>
    </row>
    <row r="690" spans="1:13" x14ac:dyDescent="0.35">
      <c r="A690" s="1" t="s">
        <v>922</v>
      </c>
      <c r="B690" s="1" t="s">
        <v>241</v>
      </c>
      <c r="C690" s="1" t="s">
        <v>30</v>
      </c>
      <c r="D690" s="1" t="s">
        <v>31</v>
      </c>
      <c r="E690" s="1" t="s">
        <v>46</v>
      </c>
      <c r="F690" s="1" t="s">
        <v>25</v>
      </c>
      <c r="G690" s="1" t="s">
        <v>26</v>
      </c>
      <c r="H690" s="1">
        <v>18918</v>
      </c>
      <c r="I690" s="1" t="s">
        <v>33</v>
      </c>
      <c r="J690" s="1">
        <v>0.3</v>
      </c>
      <c r="K690" s="1">
        <v>17000</v>
      </c>
      <c r="L690" s="2">
        <v>45348</v>
      </c>
      <c r="M690" s="10" t="str">
        <f t="shared" si="10"/>
        <v>Target Achieved</v>
      </c>
    </row>
    <row r="691" spans="1:13" x14ac:dyDescent="0.35">
      <c r="A691" s="1" t="s">
        <v>923</v>
      </c>
      <c r="B691" s="1" t="s">
        <v>105</v>
      </c>
      <c r="C691" s="1" t="s">
        <v>30</v>
      </c>
      <c r="D691" s="1" t="s">
        <v>31</v>
      </c>
      <c r="E691" s="1" t="s">
        <v>16</v>
      </c>
      <c r="F691" s="1" t="s">
        <v>17</v>
      </c>
      <c r="G691" s="1" t="s">
        <v>36</v>
      </c>
      <c r="H691" s="1">
        <v>17306</v>
      </c>
      <c r="I691" s="1"/>
      <c r="J691" s="1"/>
      <c r="K691" s="1">
        <v>17000</v>
      </c>
      <c r="L691" s="2">
        <v>45341</v>
      </c>
      <c r="M691" s="10" t="str">
        <f t="shared" si="10"/>
        <v>Target Achieved</v>
      </c>
    </row>
    <row r="692" spans="1:13" x14ac:dyDescent="0.35">
      <c r="A692" s="1" t="s">
        <v>924</v>
      </c>
      <c r="B692" s="1" t="s">
        <v>401</v>
      </c>
      <c r="C692" s="1" t="s">
        <v>30</v>
      </c>
      <c r="D692" s="1" t="s">
        <v>31</v>
      </c>
      <c r="E692" s="1" t="s">
        <v>46</v>
      </c>
      <c r="F692" s="1" t="s">
        <v>39</v>
      </c>
      <c r="G692" s="1" t="s">
        <v>36</v>
      </c>
      <c r="H692" s="1">
        <v>18672</v>
      </c>
      <c r="I692" s="1" t="s">
        <v>27</v>
      </c>
      <c r="J692" s="1"/>
      <c r="K692" s="1">
        <v>17000</v>
      </c>
      <c r="L692" s="2">
        <v>45347</v>
      </c>
      <c r="M692" s="10" t="str">
        <f t="shared" si="10"/>
        <v>Target Achieved</v>
      </c>
    </row>
    <row r="693" spans="1:13" x14ac:dyDescent="0.35">
      <c r="A693" s="1" t="s">
        <v>925</v>
      </c>
      <c r="B693" s="1" t="s">
        <v>489</v>
      </c>
      <c r="C693" s="1" t="s">
        <v>14</v>
      </c>
      <c r="D693" s="1" t="s">
        <v>15</v>
      </c>
      <c r="E693" s="1" t="s">
        <v>46</v>
      </c>
      <c r="F693" s="1" t="s">
        <v>25</v>
      </c>
      <c r="G693" s="1" t="s">
        <v>36</v>
      </c>
      <c r="H693" s="1">
        <v>14595</v>
      </c>
      <c r="I693" s="1" t="s">
        <v>19</v>
      </c>
      <c r="J693" s="1">
        <v>0.2</v>
      </c>
      <c r="K693" s="1">
        <v>14000</v>
      </c>
      <c r="L693" s="2">
        <v>45335</v>
      </c>
      <c r="M693" s="10" t="str">
        <f t="shared" si="10"/>
        <v>Target Achieved</v>
      </c>
    </row>
    <row r="694" spans="1:13" x14ac:dyDescent="0.35">
      <c r="A694" s="1" t="s">
        <v>926</v>
      </c>
      <c r="B694" s="1" t="s">
        <v>397</v>
      </c>
      <c r="C694" s="1" t="s">
        <v>30</v>
      </c>
      <c r="D694" s="1" t="s">
        <v>31</v>
      </c>
      <c r="E694" s="1" t="s">
        <v>46</v>
      </c>
      <c r="F694" s="1" t="s">
        <v>17</v>
      </c>
      <c r="G694" s="1" t="s">
        <v>26</v>
      </c>
      <c r="H694" s="1">
        <v>17194</v>
      </c>
      <c r="I694" s="1" t="s">
        <v>22</v>
      </c>
      <c r="J694" s="1">
        <v>0.1</v>
      </c>
      <c r="K694" s="1">
        <v>17000</v>
      </c>
      <c r="L694" s="2">
        <v>45336</v>
      </c>
      <c r="M694" s="10" t="str">
        <f t="shared" si="10"/>
        <v>Target Achieved</v>
      </c>
    </row>
    <row r="695" spans="1:13" x14ac:dyDescent="0.35">
      <c r="A695" s="1" t="s">
        <v>927</v>
      </c>
      <c r="B695" s="1" t="s">
        <v>643</v>
      </c>
      <c r="C695" s="1" t="s">
        <v>44</v>
      </c>
      <c r="D695" s="1" t="s">
        <v>45</v>
      </c>
      <c r="E695" s="1" t="s">
        <v>46</v>
      </c>
      <c r="F695" s="1" t="s">
        <v>25</v>
      </c>
      <c r="G695" s="1" t="s">
        <v>36</v>
      </c>
      <c r="H695" s="1">
        <v>13759</v>
      </c>
      <c r="I695" s="1" t="s">
        <v>33</v>
      </c>
      <c r="J695" s="1">
        <v>0.3</v>
      </c>
      <c r="K695" s="1">
        <v>13000</v>
      </c>
      <c r="L695" s="2">
        <v>45296</v>
      </c>
      <c r="M695" s="10" t="str">
        <f t="shared" si="10"/>
        <v>Target Achieved</v>
      </c>
    </row>
    <row r="696" spans="1:13" x14ac:dyDescent="0.35">
      <c r="A696" s="1" t="s">
        <v>928</v>
      </c>
      <c r="B696" s="1" t="s">
        <v>80</v>
      </c>
      <c r="C696" s="1" t="s">
        <v>61</v>
      </c>
      <c r="D696" s="1" t="s">
        <v>62</v>
      </c>
      <c r="E696" s="1" t="s">
        <v>46</v>
      </c>
      <c r="F696" s="1" t="s">
        <v>17</v>
      </c>
      <c r="G696" s="1" t="s">
        <v>18</v>
      </c>
      <c r="H696" s="1">
        <v>10663</v>
      </c>
      <c r="I696" s="1" t="s">
        <v>27</v>
      </c>
      <c r="J696" s="1"/>
      <c r="K696" s="1">
        <v>9000</v>
      </c>
      <c r="L696" s="2">
        <v>45309</v>
      </c>
      <c r="M696" s="10" t="str">
        <f t="shared" si="10"/>
        <v>Target Achieved</v>
      </c>
    </row>
    <row r="697" spans="1:13" x14ac:dyDescent="0.35">
      <c r="A697" s="1" t="s">
        <v>929</v>
      </c>
      <c r="B697" s="1" t="s">
        <v>280</v>
      </c>
      <c r="C697" s="1" t="s">
        <v>44</v>
      </c>
      <c r="D697" s="1" t="s">
        <v>45</v>
      </c>
      <c r="E697" s="1" t="s">
        <v>46</v>
      </c>
      <c r="F697" s="1" t="s">
        <v>39</v>
      </c>
      <c r="G697" s="1" t="s">
        <v>18</v>
      </c>
      <c r="H697" s="1">
        <v>11961</v>
      </c>
      <c r="I697" s="1" t="s">
        <v>19</v>
      </c>
      <c r="J697" s="1">
        <v>0.2</v>
      </c>
      <c r="K697" s="1">
        <v>13000</v>
      </c>
      <c r="L697" s="2">
        <v>45347</v>
      </c>
      <c r="M697" s="10" t="str">
        <f t="shared" si="10"/>
        <v>Below Target</v>
      </c>
    </row>
    <row r="698" spans="1:13" x14ac:dyDescent="0.35">
      <c r="A698" s="1" t="s">
        <v>930</v>
      </c>
      <c r="B698" s="1" t="s">
        <v>289</v>
      </c>
      <c r="C698" s="1" t="s">
        <v>44</v>
      </c>
      <c r="D698" s="1" t="s">
        <v>45</v>
      </c>
      <c r="E698" s="1" t="s">
        <v>32</v>
      </c>
      <c r="F698" s="1" t="s">
        <v>25</v>
      </c>
      <c r="G698" s="1" t="s">
        <v>26</v>
      </c>
      <c r="H698" s="1">
        <v>12458</v>
      </c>
      <c r="I698" s="1" t="s">
        <v>19</v>
      </c>
      <c r="J698" s="1">
        <v>0.2</v>
      </c>
      <c r="K698" s="1">
        <v>13000</v>
      </c>
      <c r="L698" s="2">
        <v>45341</v>
      </c>
      <c r="M698" s="10" t="str">
        <f t="shared" si="10"/>
        <v>Below Target</v>
      </c>
    </row>
    <row r="699" spans="1:13" x14ac:dyDescent="0.35">
      <c r="A699" s="1" t="s">
        <v>931</v>
      </c>
      <c r="B699" s="1" t="s">
        <v>78</v>
      </c>
      <c r="C699" s="1" t="s">
        <v>14</v>
      </c>
      <c r="D699" s="1" t="s">
        <v>15</v>
      </c>
      <c r="E699" s="1" t="s">
        <v>16</v>
      </c>
      <c r="F699" s="1" t="s">
        <v>39</v>
      </c>
      <c r="G699" s="1" t="s">
        <v>36</v>
      </c>
      <c r="H699" s="1">
        <v>14514</v>
      </c>
      <c r="I699" s="1" t="s">
        <v>22</v>
      </c>
      <c r="J699" s="1">
        <v>0.1</v>
      </c>
      <c r="K699" s="1">
        <v>14000</v>
      </c>
      <c r="L699" s="2">
        <v>45340</v>
      </c>
      <c r="M699" s="10" t="str">
        <f t="shared" si="10"/>
        <v>Target Achieved</v>
      </c>
    </row>
    <row r="700" spans="1:13" x14ac:dyDescent="0.35">
      <c r="A700" s="1" t="s">
        <v>932</v>
      </c>
      <c r="B700" s="1" t="s">
        <v>144</v>
      </c>
      <c r="C700" s="1" t="s">
        <v>14</v>
      </c>
      <c r="D700" s="1" t="s">
        <v>15</v>
      </c>
      <c r="E700" s="1" t="s">
        <v>46</v>
      </c>
      <c r="F700" s="1" t="s">
        <v>17</v>
      </c>
      <c r="G700" s="1" t="s">
        <v>26</v>
      </c>
      <c r="H700" s="1">
        <v>13291</v>
      </c>
      <c r="I700" s="1"/>
      <c r="J700" s="1"/>
      <c r="K700" s="1">
        <v>14000</v>
      </c>
      <c r="L700" s="2">
        <v>45349</v>
      </c>
      <c r="M700" s="10" t="str">
        <f t="shared" si="10"/>
        <v>Below Target</v>
      </c>
    </row>
    <row r="701" spans="1:13" x14ac:dyDescent="0.35">
      <c r="A701" s="1" t="s">
        <v>933</v>
      </c>
      <c r="B701" s="1" t="s">
        <v>60</v>
      </c>
      <c r="C701" s="1" t="s">
        <v>30</v>
      </c>
      <c r="D701" s="1" t="s">
        <v>31</v>
      </c>
      <c r="E701" s="1" t="s">
        <v>46</v>
      </c>
      <c r="F701" s="1" t="s">
        <v>25</v>
      </c>
      <c r="G701" s="1" t="s">
        <v>26</v>
      </c>
      <c r="H701" s="1">
        <v>16147</v>
      </c>
      <c r="I701" s="1"/>
      <c r="J701" s="1"/>
      <c r="K701" s="1">
        <v>17000</v>
      </c>
      <c r="L701" s="2">
        <v>45306</v>
      </c>
      <c r="M701" s="10" t="str">
        <f t="shared" si="10"/>
        <v>Below Target</v>
      </c>
    </row>
    <row r="702" spans="1:13" x14ac:dyDescent="0.35">
      <c r="A702" s="1" t="s">
        <v>934</v>
      </c>
      <c r="B702" s="1" t="s">
        <v>522</v>
      </c>
      <c r="C702" s="1" t="s">
        <v>44</v>
      </c>
      <c r="D702" s="1" t="s">
        <v>45</v>
      </c>
      <c r="E702" s="1" t="s">
        <v>32</v>
      </c>
      <c r="F702" s="1" t="s">
        <v>39</v>
      </c>
      <c r="G702" s="1" t="s">
        <v>36</v>
      </c>
      <c r="H702" s="1">
        <v>12959</v>
      </c>
      <c r="I702" s="1" t="s">
        <v>27</v>
      </c>
      <c r="J702" s="1"/>
      <c r="K702" s="1">
        <v>13000</v>
      </c>
      <c r="L702" s="2">
        <v>45294</v>
      </c>
      <c r="M702" s="10" t="str">
        <f t="shared" si="10"/>
        <v>Below Target</v>
      </c>
    </row>
    <row r="703" spans="1:13" x14ac:dyDescent="0.35">
      <c r="A703" s="1" t="s">
        <v>935</v>
      </c>
      <c r="B703" s="1" t="s">
        <v>217</v>
      </c>
      <c r="C703" s="1" t="s">
        <v>61</v>
      </c>
      <c r="D703" s="1" t="s">
        <v>62</v>
      </c>
      <c r="E703" s="1" t="s">
        <v>16</v>
      </c>
      <c r="F703" s="1" t="s">
        <v>25</v>
      </c>
      <c r="G703" s="1" t="s">
        <v>36</v>
      </c>
      <c r="H703" s="1">
        <v>10999</v>
      </c>
      <c r="I703" s="1" t="s">
        <v>22</v>
      </c>
      <c r="J703" s="1">
        <v>0.1</v>
      </c>
      <c r="K703" s="1">
        <v>9000</v>
      </c>
      <c r="L703" s="2">
        <v>45336</v>
      </c>
      <c r="M703" s="10" t="str">
        <f t="shared" si="10"/>
        <v>Target Achieved</v>
      </c>
    </row>
    <row r="704" spans="1:13" x14ac:dyDescent="0.35">
      <c r="A704" s="1" t="s">
        <v>936</v>
      </c>
      <c r="B704" s="1" t="s">
        <v>544</v>
      </c>
      <c r="C704" s="1" t="s">
        <v>30</v>
      </c>
      <c r="D704" s="1" t="s">
        <v>31</v>
      </c>
      <c r="E704" s="1" t="s">
        <v>16</v>
      </c>
      <c r="F704" s="1" t="s">
        <v>25</v>
      </c>
      <c r="G704" s="1" t="s">
        <v>18</v>
      </c>
      <c r="H704" s="1">
        <v>17761</v>
      </c>
      <c r="I704" s="1" t="s">
        <v>19</v>
      </c>
      <c r="J704" s="1">
        <v>0.2</v>
      </c>
      <c r="K704" s="1">
        <v>17000</v>
      </c>
      <c r="L704" s="2">
        <v>45316</v>
      </c>
      <c r="M704" s="10" t="str">
        <f t="shared" si="10"/>
        <v>Target Achieved</v>
      </c>
    </row>
    <row r="705" spans="1:13" x14ac:dyDescent="0.35">
      <c r="A705" s="1" t="s">
        <v>937</v>
      </c>
      <c r="B705" s="1" t="s">
        <v>107</v>
      </c>
      <c r="C705" s="1" t="s">
        <v>30</v>
      </c>
      <c r="D705" s="1" t="s">
        <v>31</v>
      </c>
      <c r="E705" s="1" t="s">
        <v>46</v>
      </c>
      <c r="F705" s="1" t="s">
        <v>39</v>
      </c>
      <c r="G705" s="1" t="s">
        <v>36</v>
      </c>
      <c r="H705" s="1">
        <v>15766</v>
      </c>
      <c r="I705" s="1" t="s">
        <v>27</v>
      </c>
      <c r="J705" s="1"/>
      <c r="K705" s="1">
        <v>17000</v>
      </c>
      <c r="L705" s="2">
        <v>45308</v>
      </c>
      <c r="M705" s="10" t="str">
        <f t="shared" si="10"/>
        <v>Below Target</v>
      </c>
    </row>
    <row r="706" spans="1:13" x14ac:dyDescent="0.35">
      <c r="A706" s="1" t="s">
        <v>938</v>
      </c>
      <c r="B706" s="1" t="s">
        <v>939</v>
      </c>
      <c r="C706" s="1" t="s">
        <v>61</v>
      </c>
      <c r="D706" s="1" t="s">
        <v>62</v>
      </c>
      <c r="E706" s="1" t="s">
        <v>16</v>
      </c>
      <c r="F706" s="1" t="s">
        <v>17</v>
      </c>
      <c r="G706" s="1" t="s">
        <v>36</v>
      </c>
      <c r="H706" s="1">
        <v>7753</v>
      </c>
      <c r="I706" s="1"/>
      <c r="J706" s="1"/>
      <c r="K706" s="1">
        <v>9000</v>
      </c>
      <c r="L706" s="2">
        <v>45319</v>
      </c>
      <c r="M706" s="10" t="str">
        <f t="shared" si="10"/>
        <v>Below Target</v>
      </c>
    </row>
    <row r="707" spans="1:13" x14ac:dyDescent="0.35">
      <c r="A707" s="1" t="s">
        <v>940</v>
      </c>
      <c r="B707" s="1" t="s">
        <v>414</v>
      </c>
      <c r="C707" s="1" t="s">
        <v>30</v>
      </c>
      <c r="D707" s="1" t="s">
        <v>31</v>
      </c>
      <c r="E707" s="1" t="s">
        <v>46</v>
      </c>
      <c r="F707" s="1" t="s">
        <v>17</v>
      </c>
      <c r="G707" s="1" t="s">
        <v>36</v>
      </c>
      <c r="H707" s="1">
        <v>16846</v>
      </c>
      <c r="I707" s="1" t="s">
        <v>19</v>
      </c>
      <c r="J707" s="1">
        <v>0.2</v>
      </c>
      <c r="K707" s="1">
        <v>17000</v>
      </c>
      <c r="L707" s="2">
        <v>45328</v>
      </c>
      <c r="M707" s="10" t="str">
        <f t="shared" ref="M707:M770" si="11">IF(H707&gt;=K707,"Target Achieved","Below Target")</f>
        <v>Below Target</v>
      </c>
    </row>
    <row r="708" spans="1:13" x14ac:dyDescent="0.35">
      <c r="A708" s="1" t="s">
        <v>941</v>
      </c>
      <c r="B708" s="1" t="s">
        <v>720</v>
      </c>
      <c r="C708" s="1" t="s">
        <v>44</v>
      </c>
      <c r="D708" s="1" t="s">
        <v>45</v>
      </c>
      <c r="E708" s="1" t="s">
        <v>32</v>
      </c>
      <c r="F708" s="1" t="s">
        <v>39</v>
      </c>
      <c r="G708" s="1" t="s">
        <v>36</v>
      </c>
      <c r="H708" s="1">
        <v>14293</v>
      </c>
      <c r="I708" s="1" t="s">
        <v>19</v>
      </c>
      <c r="J708" s="1">
        <v>0.2</v>
      </c>
      <c r="K708" s="1">
        <v>13000</v>
      </c>
      <c r="L708" s="2">
        <v>45327</v>
      </c>
      <c r="M708" s="10" t="str">
        <f t="shared" si="11"/>
        <v>Target Achieved</v>
      </c>
    </row>
    <row r="709" spans="1:13" x14ac:dyDescent="0.35">
      <c r="A709" s="1" t="s">
        <v>942</v>
      </c>
      <c r="B709" s="1" t="s">
        <v>309</v>
      </c>
      <c r="C709" s="1" t="s">
        <v>61</v>
      </c>
      <c r="D709" s="1" t="s">
        <v>62</v>
      </c>
      <c r="E709" s="1" t="s">
        <v>32</v>
      </c>
      <c r="F709" s="1" t="s">
        <v>25</v>
      </c>
      <c r="G709" s="1" t="s">
        <v>26</v>
      </c>
      <c r="H709" s="1">
        <v>7612</v>
      </c>
      <c r="I709" s="1"/>
      <c r="J709" s="1"/>
      <c r="K709" s="1">
        <v>9000</v>
      </c>
      <c r="L709" s="2">
        <v>45343</v>
      </c>
      <c r="M709" s="10" t="str">
        <f t="shared" si="11"/>
        <v>Below Target</v>
      </c>
    </row>
    <row r="710" spans="1:13" x14ac:dyDescent="0.35">
      <c r="A710" s="1" t="s">
        <v>943</v>
      </c>
      <c r="B710" s="1" t="s">
        <v>243</v>
      </c>
      <c r="C710" s="1" t="s">
        <v>61</v>
      </c>
      <c r="D710" s="1" t="s">
        <v>62</v>
      </c>
      <c r="E710" s="1" t="s">
        <v>46</v>
      </c>
      <c r="F710" s="1" t="s">
        <v>25</v>
      </c>
      <c r="G710" s="1" t="s">
        <v>26</v>
      </c>
      <c r="H710" s="1">
        <v>9117</v>
      </c>
      <c r="I710" s="1" t="s">
        <v>27</v>
      </c>
      <c r="J710" s="1"/>
      <c r="K710" s="1">
        <v>9000</v>
      </c>
      <c r="L710" s="2">
        <v>45338</v>
      </c>
      <c r="M710" s="10" t="str">
        <f t="shared" si="11"/>
        <v>Target Achieved</v>
      </c>
    </row>
    <row r="711" spans="1:13" x14ac:dyDescent="0.35">
      <c r="A711" s="1" t="s">
        <v>944</v>
      </c>
      <c r="B711" s="1" t="s">
        <v>478</v>
      </c>
      <c r="C711" s="1" t="s">
        <v>61</v>
      </c>
      <c r="D711" s="1" t="s">
        <v>62</v>
      </c>
      <c r="E711" s="1" t="s">
        <v>46</v>
      </c>
      <c r="F711" s="1" t="s">
        <v>17</v>
      </c>
      <c r="G711" s="1" t="s">
        <v>26</v>
      </c>
      <c r="H711" s="1">
        <v>10516</v>
      </c>
      <c r="I711" s="1" t="s">
        <v>27</v>
      </c>
      <c r="J711" s="1"/>
      <c r="K711" s="1">
        <v>9000</v>
      </c>
      <c r="L711" s="2">
        <v>45295</v>
      </c>
      <c r="M711" s="10" t="str">
        <f t="shared" si="11"/>
        <v>Target Achieved</v>
      </c>
    </row>
    <row r="712" spans="1:13" x14ac:dyDescent="0.35">
      <c r="A712" s="1" t="s">
        <v>945</v>
      </c>
      <c r="B712" s="1" t="s">
        <v>41</v>
      </c>
      <c r="C712" s="1" t="s">
        <v>44</v>
      </c>
      <c r="D712" s="1" t="s">
        <v>45</v>
      </c>
      <c r="E712" s="1" t="s">
        <v>32</v>
      </c>
      <c r="F712" s="1" t="s">
        <v>25</v>
      </c>
      <c r="G712" s="1" t="s">
        <v>36</v>
      </c>
      <c r="H712" s="1">
        <v>12951</v>
      </c>
      <c r="I712" s="1" t="s">
        <v>22</v>
      </c>
      <c r="J712" s="1">
        <v>0.1</v>
      </c>
      <c r="K712" s="1">
        <v>13000</v>
      </c>
      <c r="L712" s="2">
        <v>45320</v>
      </c>
      <c r="M712" s="10" t="str">
        <f t="shared" si="11"/>
        <v>Below Target</v>
      </c>
    </row>
    <row r="713" spans="1:13" x14ac:dyDescent="0.35">
      <c r="A713" s="1" t="s">
        <v>946</v>
      </c>
      <c r="B713" s="1" t="s">
        <v>577</v>
      </c>
      <c r="C713" s="1" t="s">
        <v>30</v>
      </c>
      <c r="D713" s="1" t="s">
        <v>31</v>
      </c>
      <c r="E713" s="1" t="s">
        <v>46</v>
      </c>
      <c r="F713" s="1" t="s">
        <v>17</v>
      </c>
      <c r="G713" s="1" t="s">
        <v>26</v>
      </c>
      <c r="H713" s="1">
        <v>17283</v>
      </c>
      <c r="I713" s="1" t="s">
        <v>33</v>
      </c>
      <c r="J713" s="1">
        <v>0.3</v>
      </c>
      <c r="K713" s="1">
        <v>17000</v>
      </c>
      <c r="L713" s="2">
        <v>45314</v>
      </c>
      <c r="M713" s="10" t="str">
        <f t="shared" si="11"/>
        <v>Target Achieved</v>
      </c>
    </row>
    <row r="714" spans="1:13" x14ac:dyDescent="0.35">
      <c r="A714" s="1" t="s">
        <v>947</v>
      </c>
      <c r="B714" s="1" t="s">
        <v>406</v>
      </c>
      <c r="C714" s="1" t="s">
        <v>14</v>
      </c>
      <c r="D714" s="1" t="s">
        <v>15</v>
      </c>
      <c r="E714" s="1" t="s">
        <v>46</v>
      </c>
      <c r="F714" s="1" t="s">
        <v>39</v>
      </c>
      <c r="G714" s="1" t="s">
        <v>26</v>
      </c>
      <c r="H714" s="1">
        <v>12814</v>
      </c>
      <c r="I714" s="1" t="s">
        <v>27</v>
      </c>
      <c r="J714" s="1"/>
      <c r="K714" s="1">
        <v>14000</v>
      </c>
      <c r="L714" s="2">
        <v>45328</v>
      </c>
      <c r="M714" s="10" t="str">
        <f t="shared" si="11"/>
        <v>Below Target</v>
      </c>
    </row>
    <row r="715" spans="1:13" x14ac:dyDescent="0.35">
      <c r="A715" s="1" t="s">
        <v>948</v>
      </c>
      <c r="B715" s="1" t="s">
        <v>92</v>
      </c>
      <c r="C715" s="1" t="s">
        <v>44</v>
      </c>
      <c r="D715" s="1" t="s">
        <v>45</v>
      </c>
      <c r="E715" s="1" t="s">
        <v>46</v>
      </c>
      <c r="F715" s="1" t="s">
        <v>17</v>
      </c>
      <c r="G715" s="1" t="s">
        <v>36</v>
      </c>
      <c r="H715" s="1">
        <v>13757</v>
      </c>
      <c r="I715" s="1" t="s">
        <v>27</v>
      </c>
      <c r="J715" s="1"/>
      <c r="K715" s="1">
        <v>13000</v>
      </c>
      <c r="L715" s="2">
        <v>45323</v>
      </c>
      <c r="M715" s="10" t="str">
        <f t="shared" si="11"/>
        <v>Target Achieved</v>
      </c>
    </row>
    <row r="716" spans="1:13" x14ac:dyDescent="0.35">
      <c r="A716" s="1" t="s">
        <v>949</v>
      </c>
      <c r="B716" s="1" t="s">
        <v>296</v>
      </c>
      <c r="C716" s="1" t="s">
        <v>61</v>
      </c>
      <c r="D716" s="1" t="s">
        <v>62</v>
      </c>
      <c r="E716" s="1" t="s">
        <v>32</v>
      </c>
      <c r="F716" s="1" t="s">
        <v>17</v>
      </c>
      <c r="G716" s="1" t="s">
        <v>26</v>
      </c>
      <c r="H716" s="1">
        <v>8173</v>
      </c>
      <c r="I716" s="1"/>
      <c r="J716" s="1"/>
      <c r="K716" s="1">
        <v>9000</v>
      </c>
      <c r="L716" s="2">
        <v>45332</v>
      </c>
      <c r="M716" s="10" t="str">
        <f t="shared" si="11"/>
        <v>Below Target</v>
      </c>
    </row>
    <row r="717" spans="1:13" x14ac:dyDescent="0.35">
      <c r="A717" s="1" t="s">
        <v>950</v>
      </c>
      <c r="B717" s="1" t="s">
        <v>619</v>
      </c>
      <c r="C717" s="1" t="s">
        <v>44</v>
      </c>
      <c r="D717" s="1" t="s">
        <v>45</v>
      </c>
      <c r="E717" s="1" t="s">
        <v>16</v>
      </c>
      <c r="F717" s="1" t="s">
        <v>17</v>
      </c>
      <c r="G717" s="1" t="s">
        <v>36</v>
      </c>
      <c r="H717" s="1">
        <v>13585</v>
      </c>
      <c r="I717" s="1" t="s">
        <v>27</v>
      </c>
      <c r="J717" s="1"/>
      <c r="K717" s="1">
        <v>13000</v>
      </c>
      <c r="L717" s="2">
        <v>45328</v>
      </c>
      <c r="M717" s="10" t="str">
        <f t="shared" si="11"/>
        <v>Target Achieved</v>
      </c>
    </row>
    <row r="718" spans="1:13" x14ac:dyDescent="0.35">
      <c r="A718" s="1" t="s">
        <v>951</v>
      </c>
      <c r="B718" s="1" t="s">
        <v>309</v>
      </c>
      <c r="C718" s="1" t="s">
        <v>14</v>
      </c>
      <c r="D718" s="1" t="s">
        <v>15</v>
      </c>
      <c r="E718" s="1" t="s">
        <v>32</v>
      </c>
      <c r="F718" s="1" t="s">
        <v>25</v>
      </c>
      <c r="G718" s="1" t="s">
        <v>36</v>
      </c>
      <c r="H718" s="1">
        <v>12934</v>
      </c>
      <c r="I718" s="1" t="s">
        <v>33</v>
      </c>
      <c r="J718" s="1">
        <v>0.3</v>
      </c>
      <c r="K718" s="1">
        <v>14000</v>
      </c>
      <c r="L718" s="2">
        <v>45312</v>
      </c>
      <c r="M718" s="10" t="str">
        <f t="shared" si="11"/>
        <v>Below Target</v>
      </c>
    </row>
    <row r="719" spans="1:13" x14ac:dyDescent="0.35">
      <c r="A719" s="1" t="s">
        <v>952</v>
      </c>
      <c r="B719" s="1" t="s">
        <v>278</v>
      </c>
      <c r="C719" s="1" t="s">
        <v>30</v>
      </c>
      <c r="D719" s="1" t="s">
        <v>31</v>
      </c>
      <c r="E719" s="1" t="s">
        <v>16</v>
      </c>
      <c r="F719" s="1" t="s">
        <v>39</v>
      </c>
      <c r="G719" s="1" t="s">
        <v>36</v>
      </c>
      <c r="H719" s="1">
        <v>16111</v>
      </c>
      <c r="I719" s="1"/>
      <c r="J719" s="1"/>
      <c r="K719" s="1">
        <v>17000</v>
      </c>
      <c r="L719" s="2">
        <v>45341</v>
      </c>
      <c r="M719" s="10" t="str">
        <f t="shared" si="11"/>
        <v>Below Target</v>
      </c>
    </row>
    <row r="720" spans="1:13" x14ac:dyDescent="0.35">
      <c r="A720" s="1" t="s">
        <v>953</v>
      </c>
      <c r="B720" s="1" t="s">
        <v>303</v>
      </c>
      <c r="C720" s="1" t="s">
        <v>61</v>
      </c>
      <c r="D720" s="1" t="s">
        <v>62</v>
      </c>
      <c r="E720" s="1" t="s">
        <v>46</v>
      </c>
      <c r="F720" s="1" t="s">
        <v>25</v>
      </c>
      <c r="G720" s="1" t="s">
        <v>18</v>
      </c>
      <c r="H720" s="1">
        <v>10498</v>
      </c>
      <c r="I720" s="1" t="s">
        <v>22</v>
      </c>
      <c r="J720" s="1">
        <v>0.1</v>
      </c>
      <c r="K720" s="1">
        <v>9000</v>
      </c>
      <c r="L720" s="2">
        <v>45300</v>
      </c>
      <c r="M720" s="10" t="str">
        <f t="shared" si="11"/>
        <v>Target Achieved</v>
      </c>
    </row>
    <row r="721" spans="1:13" x14ac:dyDescent="0.35">
      <c r="A721" s="1" t="s">
        <v>954</v>
      </c>
      <c r="B721" s="1" t="s">
        <v>397</v>
      </c>
      <c r="C721" s="1" t="s">
        <v>30</v>
      </c>
      <c r="D721" s="1" t="s">
        <v>31</v>
      </c>
      <c r="E721" s="1" t="s">
        <v>16</v>
      </c>
      <c r="F721" s="1" t="s">
        <v>39</v>
      </c>
      <c r="G721" s="1" t="s">
        <v>26</v>
      </c>
      <c r="H721" s="1">
        <v>15327</v>
      </c>
      <c r="I721" s="1" t="s">
        <v>19</v>
      </c>
      <c r="J721" s="1">
        <v>0.2</v>
      </c>
      <c r="K721" s="1">
        <v>17000</v>
      </c>
      <c r="L721" s="2">
        <v>45302</v>
      </c>
      <c r="M721" s="10" t="str">
        <f t="shared" si="11"/>
        <v>Below Target</v>
      </c>
    </row>
    <row r="722" spans="1:13" x14ac:dyDescent="0.35">
      <c r="A722" s="1" t="s">
        <v>955</v>
      </c>
      <c r="B722" s="1" t="s">
        <v>41</v>
      </c>
      <c r="C722" s="1" t="s">
        <v>14</v>
      </c>
      <c r="D722" s="1" t="s">
        <v>15</v>
      </c>
      <c r="E722" s="1" t="s">
        <v>32</v>
      </c>
      <c r="F722" s="1" t="s">
        <v>17</v>
      </c>
      <c r="G722" s="1" t="s">
        <v>26</v>
      </c>
      <c r="H722" s="1">
        <v>12220</v>
      </c>
      <c r="I722" s="1" t="s">
        <v>22</v>
      </c>
      <c r="J722" s="1">
        <v>0.1</v>
      </c>
      <c r="K722" s="1">
        <v>14000</v>
      </c>
      <c r="L722" s="2">
        <v>45341</v>
      </c>
      <c r="M722" s="10" t="str">
        <f t="shared" si="11"/>
        <v>Below Target</v>
      </c>
    </row>
    <row r="723" spans="1:13" x14ac:dyDescent="0.35">
      <c r="A723" s="1" t="s">
        <v>956</v>
      </c>
      <c r="B723" s="1" t="s">
        <v>512</v>
      </c>
      <c r="C723" s="1" t="s">
        <v>14</v>
      </c>
      <c r="D723" s="1" t="s">
        <v>15</v>
      </c>
      <c r="E723" s="1" t="s">
        <v>32</v>
      </c>
      <c r="F723" s="1" t="s">
        <v>17</v>
      </c>
      <c r="G723" s="1" t="s">
        <v>26</v>
      </c>
      <c r="H723" s="1">
        <v>12636</v>
      </c>
      <c r="I723" s="1" t="s">
        <v>22</v>
      </c>
      <c r="J723" s="1">
        <v>0.1</v>
      </c>
      <c r="K723" s="1">
        <v>14000</v>
      </c>
      <c r="L723" s="2">
        <v>45333</v>
      </c>
      <c r="M723" s="10" t="str">
        <f t="shared" si="11"/>
        <v>Below Target</v>
      </c>
    </row>
    <row r="724" spans="1:13" x14ac:dyDescent="0.35">
      <c r="A724" s="1" t="s">
        <v>957</v>
      </c>
      <c r="B724" s="1" t="s">
        <v>137</v>
      </c>
      <c r="C724" s="1" t="s">
        <v>30</v>
      </c>
      <c r="D724" s="1" t="s">
        <v>31</v>
      </c>
      <c r="E724" s="1" t="s">
        <v>32</v>
      </c>
      <c r="F724" s="1" t="s">
        <v>25</v>
      </c>
      <c r="G724" s="1" t="s">
        <v>26</v>
      </c>
      <c r="H724" s="1">
        <v>16163</v>
      </c>
      <c r="I724" s="1"/>
      <c r="J724" s="1"/>
      <c r="K724" s="1">
        <v>17000</v>
      </c>
      <c r="L724" s="2">
        <v>45332</v>
      </c>
      <c r="M724" s="10" t="str">
        <f t="shared" si="11"/>
        <v>Below Target</v>
      </c>
    </row>
    <row r="725" spans="1:13" x14ac:dyDescent="0.35">
      <c r="A725" s="1" t="s">
        <v>958</v>
      </c>
      <c r="B725" s="1" t="s">
        <v>175</v>
      </c>
      <c r="C725" s="1" t="s">
        <v>44</v>
      </c>
      <c r="D725" s="1" t="s">
        <v>45</v>
      </c>
      <c r="E725" s="1" t="s">
        <v>32</v>
      </c>
      <c r="F725" s="1" t="s">
        <v>25</v>
      </c>
      <c r="G725" s="1" t="s">
        <v>26</v>
      </c>
      <c r="H725" s="1">
        <v>12461</v>
      </c>
      <c r="I725" s="1" t="s">
        <v>33</v>
      </c>
      <c r="J725" s="1">
        <v>0.3</v>
      </c>
      <c r="K725" s="1">
        <v>13000</v>
      </c>
      <c r="L725" s="2">
        <v>45347</v>
      </c>
      <c r="M725" s="10" t="str">
        <f t="shared" si="11"/>
        <v>Below Target</v>
      </c>
    </row>
    <row r="726" spans="1:13" x14ac:dyDescent="0.35">
      <c r="A726" s="1" t="s">
        <v>959</v>
      </c>
      <c r="B726" s="1" t="s">
        <v>231</v>
      </c>
      <c r="C726" s="1" t="s">
        <v>30</v>
      </c>
      <c r="D726" s="1" t="s">
        <v>31</v>
      </c>
      <c r="E726" s="1" t="s">
        <v>16</v>
      </c>
      <c r="F726" s="1" t="s">
        <v>17</v>
      </c>
      <c r="G726" s="1" t="s">
        <v>18</v>
      </c>
      <c r="H726" s="1">
        <v>18971</v>
      </c>
      <c r="I726" s="1" t="s">
        <v>27</v>
      </c>
      <c r="J726" s="1"/>
      <c r="K726" s="1">
        <v>17000</v>
      </c>
      <c r="L726" s="2">
        <v>45303</v>
      </c>
      <c r="M726" s="10" t="str">
        <f t="shared" si="11"/>
        <v>Target Achieved</v>
      </c>
    </row>
    <row r="727" spans="1:13" x14ac:dyDescent="0.35">
      <c r="A727" s="1" t="s">
        <v>960</v>
      </c>
      <c r="B727" s="1" t="s">
        <v>195</v>
      </c>
      <c r="C727" s="1" t="s">
        <v>61</v>
      </c>
      <c r="D727" s="1" t="s">
        <v>62</v>
      </c>
      <c r="E727" s="1" t="s">
        <v>16</v>
      </c>
      <c r="F727" s="1" t="s">
        <v>39</v>
      </c>
      <c r="G727" s="1" t="s">
        <v>26</v>
      </c>
      <c r="H727" s="1">
        <v>10593</v>
      </c>
      <c r="I727" s="1" t="s">
        <v>27</v>
      </c>
      <c r="J727" s="1"/>
      <c r="K727" s="1">
        <v>9000</v>
      </c>
      <c r="L727" s="2">
        <v>45319</v>
      </c>
      <c r="M727" s="10" t="str">
        <f t="shared" si="11"/>
        <v>Target Achieved</v>
      </c>
    </row>
    <row r="728" spans="1:13" x14ac:dyDescent="0.35">
      <c r="A728" s="1" t="s">
        <v>961</v>
      </c>
      <c r="B728" s="1" t="s">
        <v>202</v>
      </c>
      <c r="C728" s="1" t="s">
        <v>30</v>
      </c>
      <c r="D728" s="1" t="s">
        <v>31</v>
      </c>
      <c r="E728" s="1" t="s">
        <v>46</v>
      </c>
      <c r="F728" s="1" t="s">
        <v>17</v>
      </c>
      <c r="G728" s="1" t="s">
        <v>26</v>
      </c>
      <c r="H728" s="1">
        <v>15930</v>
      </c>
      <c r="I728" s="1" t="s">
        <v>22</v>
      </c>
      <c r="J728" s="1">
        <v>0.1</v>
      </c>
      <c r="K728" s="1">
        <v>17000</v>
      </c>
      <c r="L728" s="2">
        <v>45320</v>
      </c>
      <c r="M728" s="10" t="str">
        <f t="shared" si="11"/>
        <v>Below Target</v>
      </c>
    </row>
    <row r="729" spans="1:13" x14ac:dyDescent="0.35">
      <c r="A729" s="1" t="s">
        <v>962</v>
      </c>
      <c r="B729" s="1" t="s">
        <v>131</v>
      </c>
      <c r="C729" s="1" t="s">
        <v>61</v>
      </c>
      <c r="D729" s="1" t="s">
        <v>62</v>
      </c>
      <c r="E729" s="1" t="s">
        <v>46</v>
      </c>
      <c r="F729" s="1" t="s">
        <v>25</v>
      </c>
      <c r="G729" s="1" t="s">
        <v>36</v>
      </c>
      <c r="H729" s="1">
        <v>7043</v>
      </c>
      <c r="I729" s="1" t="s">
        <v>22</v>
      </c>
      <c r="J729" s="1">
        <v>0.1</v>
      </c>
      <c r="K729" s="1">
        <v>9000</v>
      </c>
      <c r="L729" s="2">
        <v>45325</v>
      </c>
      <c r="M729" s="10" t="str">
        <f t="shared" si="11"/>
        <v>Below Target</v>
      </c>
    </row>
    <row r="730" spans="1:13" x14ac:dyDescent="0.35">
      <c r="A730" s="1" t="s">
        <v>963</v>
      </c>
      <c r="B730" s="1" t="s">
        <v>393</v>
      </c>
      <c r="C730" s="1" t="s">
        <v>44</v>
      </c>
      <c r="D730" s="1" t="s">
        <v>45</v>
      </c>
      <c r="E730" s="1" t="s">
        <v>46</v>
      </c>
      <c r="F730" s="1" t="s">
        <v>17</v>
      </c>
      <c r="G730" s="1" t="s">
        <v>36</v>
      </c>
      <c r="H730" s="1">
        <v>13191</v>
      </c>
      <c r="I730" s="1" t="s">
        <v>22</v>
      </c>
      <c r="J730" s="1">
        <v>0.1</v>
      </c>
      <c r="K730" s="1">
        <v>13000</v>
      </c>
      <c r="L730" s="2">
        <v>45336</v>
      </c>
      <c r="M730" s="10" t="str">
        <f t="shared" si="11"/>
        <v>Target Achieved</v>
      </c>
    </row>
    <row r="731" spans="1:13" x14ac:dyDescent="0.35">
      <c r="A731" s="1" t="s">
        <v>964</v>
      </c>
      <c r="B731" s="1" t="s">
        <v>445</v>
      </c>
      <c r="C731" s="1" t="s">
        <v>61</v>
      </c>
      <c r="D731" s="1" t="s">
        <v>62</v>
      </c>
      <c r="E731" s="1" t="s">
        <v>46</v>
      </c>
      <c r="F731" s="1" t="s">
        <v>25</v>
      </c>
      <c r="G731" s="1" t="s">
        <v>36</v>
      </c>
      <c r="H731" s="1">
        <v>10268</v>
      </c>
      <c r="I731" s="1" t="s">
        <v>33</v>
      </c>
      <c r="J731" s="1">
        <v>0.3</v>
      </c>
      <c r="K731" s="1">
        <v>9000</v>
      </c>
      <c r="L731" s="2">
        <v>45330</v>
      </c>
      <c r="M731" s="10" t="str">
        <f t="shared" si="11"/>
        <v>Target Achieved</v>
      </c>
    </row>
    <row r="732" spans="1:13" x14ac:dyDescent="0.35">
      <c r="A732" s="1" t="s">
        <v>965</v>
      </c>
      <c r="B732" s="1" t="s">
        <v>401</v>
      </c>
      <c r="C732" s="1" t="s">
        <v>14</v>
      </c>
      <c r="D732" s="1" t="s">
        <v>15</v>
      </c>
      <c r="E732" s="1" t="s">
        <v>16</v>
      </c>
      <c r="F732" s="1" t="s">
        <v>17</v>
      </c>
      <c r="G732" s="1" t="s">
        <v>18</v>
      </c>
      <c r="H732" s="1">
        <v>13686</v>
      </c>
      <c r="I732" s="1" t="s">
        <v>27</v>
      </c>
      <c r="J732" s="1"/>
      <c r="K732" s="1">
        <v>14000</v>
      </c>
      <c r="L732" s="2">
        <v>45319</v>
      </c>
      <c r="M732" s="10" t="str">
        <f t="shared" si="11"/>
        <v>Below Target</v>
      </c>
    </row>
    <row r="733" spans="1:13" x14ac:dyDescent="0.35">
      <c r="A733" s="1" t="s">
        <v>966</v>
      </c>
      <c r="B733" s="1" t="s">
        <v>268</v>
      </c>
      <c r="C733" s="1" t="s">
        <v>44</v>
      </c>
      <c r="D733" s="1" t="s">
        <v>45</v>
      </c>
      <c r="E733" s="1" t="s">
        <v>16</v>
      </c>
      <c r="F733" s="1" t="s">
        <v>39</v>
      </c>
      <c r="G733" s="1" t="s">
        <v>26</v>
      </c>
      <c r="H733" s="1">
        <v>12596</v>
      </c>
      <c r="I733" s="1"/>
      <c r="J733" s="1"/>
      <c r="K733" s="1">
        <v>13000</v>
      </c>
      <c r="L733" s="2">
        <v>45306</v>
      </c>
      <c r="M733" s="10" t="str">
        <f t="shared" si="11"/>
        <v>Below Target</v>
      </c>
    </row>
    <row r="734" spans="1:13" x14ac:dyDescent="0.35">
      <c r="A734" s="1" t="s">
        <v>967</v>
      </c>
      <c r="B734" s="1" t="s">
        <v>222</v>
      </c>
      <c r="C734" s="1" t="s">
        <v>61</v>
      </c>
      <c r="D734" s="1" t="s">
        <v>62</v>
      </c>
      <c r="E734" s="1" t="s">
        <v>16</v>
      </c>
      <c r="F734" s="1" t="s">
        <v>25</v>
      </c>
      <c r="G734" s="1" t="s">
        <v>26</v>
      </c>
      <c r="H734" s="1">
        <v>10131</v>
      </c>
      <c r="I734" s="1" t="s">
        <v>27</v>
      </c>
      <c r="J734" s="1"/>
      <c r="K734" s="1">
        <v>9000</v>
      </c>
      <c r="L734" s="2">
        <v>45343</v>
      </c>
      <c r="M734" s="10" t="str">
        <f t="shared" si="11"/>
        <v>Target Achieved</v>
      </c>
    </row>
    <row r="735" spans="1:13" x14ac:dyDescent="0.35">
      <c r="A735" s="1" t="s">
        <v>968</v>
      </c>
      <c r="B735" s="1" t="s">
        <v>765</v>
      </c>
      <c r="C735" s="1" t="s">
        <v>30</v>
      </c>
      <c r="D735" s="1" t="s">
        <v>31</v>
      </c>
      <c r="E735" s="1" t="s">
        <v>46</v>
      </c>
      <c r="F735" s="1" t="s">
        <v>39</v>
      </c>
      <c r="G735" s="1" t="s">
        <v>26</v>
      </c>
      <c r="H735" s="1">
        <v>17178</v>
      </c>
      <c r="I735" s="1" t="s">
        <v>33</v>
      </c>
      <c r="J735" s="1">
        <v>0.3</v>
      </c>
      <c r="K735" s="1">
        <v>17000</v>
      </c>
      <c r="L735" s="2">
        <v>45318</v>
      </c>
      <c r="M735" s="10" t="str">
        <f t="shared" si="11"/>
        <v>Target Achieved</v>
      </c>
    </row>
    <row r="736" spans="1:13" x14ac:dyDescent="0.35">
      <c r="A736" s="1" t="s">
        <v>969</v>
      </c>
      <c r="B736" s="1" t="s">
        <v>171</v>
      </c>
      <c r="C736" s="1" t="s">
        <v>14</v>
      </c>
      <c r="D736" s="1" t="s">
        <v>15</v>
      </c>
      <c r="E736" s="1" t="s">
        <v>32</v>
      </c>
      <c r="F736" s="1" t="s">
        <v>25</v>
      </c>
      <c r="G736" s="1" t="s">
        <v>36</v>
      </c>
      <c r="H736" s="1">
        <v>12452</v>
      </c>
      <c r="I736" s="1"/>
      <c r="J736" s="1"/>
      <c r="K736" s="1">
        <v>14000</v>
      </c>
      <c r="L736" s="2">
        <v>45331</v>
      </c>
      <c r="M736" s="10" t="str">
        <f t="shared" si="11"/>
        <v>Below Target</v>
      </c>
    </row>
    <row r="737" spans="1:13" x14ac:dyDescent="0.35">
      <c r="A737" s="1" t="s">
        <v>970</v>
      </c>
      <c r="B737" s="1" t="s">
        <v>123</v>
      </c>
      <c r="C737" s="1" t="s">
        <v>61</v>
      </c>
      <c r="D737" s="1" t="s">
        <v>62</v>
      </c>
      <c r="E737" s="1" t="s">
        <v>32</v>
      </c>
      <c r="F737" s="1" t="s">
        <v>17</v>
      </c>
      <c r="G737" s="1" t="s">
        <v>18</v>
      </c>
      <c r="H737" s="1">
        <v>7623</v>
      </c>
      <c r="I737" s="1" t="s">
        <v>22</v>
      </c>
      <c r="J737" s="1">
        <v>0.1</v>
      </c>
      <c r="K737" s="1">
        <v>9000</v>
      </c>
      <c r="L737" s="2">
        <v>45326</v>
      </c>
      <c r="M737" s="10" t="str">
        <f t="shared" si="11"/>
        <v>Below Target</v>
      </c>
    </row>
    <row r="738" spans="1:13" x14ac:dyDescent="0.35">
      <c r="A738" s="1" t="s">
        <v>971</v>
      </c>
      <c r="B738" s="1" t="s">
        <v>243</v>
      </c>
      <c r="C738" s="1" t="s">
        <v>14</v>
      </c>
      <c r="D738" s="1" t="s">
        <v>15</v>
      </c>
      <c r="E738" s="1" t="s">
        <v>46</v>
      </c>
      <c r="F738" s="1" t="s">
        <v>17</v>
      </c>
      <c r="G738" s="1" t="s">
        <v>18</v>
      </c>
      <c r="H738" s="1">
        <v>14929</v>
      </c>
      <c r="I738" s="1"/>
      <c r="J738" s="1"/>
      <c r="K738" s="1">
        <v>14000</v>
      </c>
      <c r="L738" s="2">
        <v>45338</v>
      </c>
      <c r="M738" s="10" t="str">
        <f t="shared" si="11"/>
        <v>Target Achieved</v>
      </c>
    </row>
    <row r="739" spans="1:13" x14ac:dyDescent="0.35">
      <c r="A739" s="1" t="s">
        <v>972</v>
      </c>
      <c r="B739" s="1" t="s">
        <v>192</v>
      </c>
      <c r="C739" s="1" t="s">
        <v>14</v>
      </c>
      <c r="D739" s="1" t="s">
        <v>15</v>
      </c>
      <c r="E739" s="1" t="s">
        <v>32</v>
      </c>
      <c r="F739" s="1" t="s">
        <v>25</v>
      </c>
      <c r="G739" s="1" t="s">
        <v>36</v>
      </c>
      <c r="H739" s="1">
        <v>12889</v>
      </c>
      <c r="I739" s="1" t="s">
        <v>33</v>
      </c>
      <c r="J739" s="1">
        <v>0.3</v>
      </c>
      <c r="K739" s="1">
        <v>14000</v>
      </c>
      <c r="L739" s="2">
        <v>45318</v>
      </c>
      <c r="M739" s="10" t="str">
        <f t="shared" si="11"/>
        <v>Below Target</v>
      </c>
    </row>
    <row r="740" spans="1:13" x14ac:dyDescent="0.35">
      <c r="A740" s="1" t="s">
        <v>973</v>
      </c>
      <c r="B740" s="1" t="s">
        <v>443</v>
      </c>
      <c r="C740" s="1" t="s">
        <v>61</v>
      </c>
      <c r="D740" s="1" t="s">
        <v>62</v>
      </c>
      <c r="E740" s="1" t="s">
        <v>46</v>
      </c>
      <c r="F740" s="1" t="s">
        <v>17</v>
      </c>
      <c r="G740" s="1" t="s">
        <v>26</v>
      </c>
      <c r="H740" s="1">
        <v>10241</v>
      </c>
      <c r="I740" s="1" t="s">
        <v>22</v>
      </c>
      <c r="J740" s="1">
        <v>0.1</v>
      </c>
      <c r="K740" s="1">
        <v>9000</v>
      </c>
      <c r="L740" s="2">
        <v>45313</v>
      </c>
      <c r="M740" s="10" t="str">
        <f t="shared" si="11"/>
        <v>Target Achieved</v>
      </c>
    </row>
    <row r="741" spans="1:13" x14ac:dyDescent="0.35">
      <c r="A741" s="1" t="s">
        <v>974</v>
      </c>
      <c r="B741" s="1" t="s">
        <v>159</v>
      </c>
      <c r="C741" s="1" t="s">
        <v>44</v>
      </c>
      <c r="D741" s="1" t="s">
        <v>45</v>
      </c>
      <c r="E741" s="1" t="s">
        <v>32</v>
      </c>
      <c r="F741" s="1" t="s">
        <v>17</v>
      </c>
      <c r="G741" s="1" t="s">
        <v>36</v>
      </c>
      <c r="H741" s="1">
        <v>11292</v>
      </c>
      <c r="I741" s="1" t="s">
        <v>27</v>
      </c>
      <c r="J741" s="1"/>
      <c r="K741" s="1">
        <v>13000</v>
      </c>
      <c r="L741" s="2">
        <v>45322</v>
      </c>
      <c r="M741" s="10" t="str">
        <f t="shared" si="11"/>
        <v>Below Target</v>
      </c>
    </row>
    <row r="742" spans="1:13" x14ac:dyDescent="0.35">
      <c r="A742" s="1" t="s">
        <v>975</v>
      </c>
      <c r="B742" s="1" t="s">
        <v>35</v>
      </c>
      <c r="C742" s="1" t="s">
        <v>30</v>
      </c>
      <c r="D742" s="1" t="s">
        <v>31</v>
      </c>
      <c r="E742" s="1" t="s">
        <v>46</v>
      </c>
      <c r="F742" s="1" t="s">
        <v>25</v>
      </c>
      <c r="G742" s="1" t="s">
        <v>18</v>
      </c>
      <c r="H742" s="1">
        <v>18991</v>
      </c>
      <c r="I742" s="1" t="s">
        <v>19</v>
      </c>
      <c r="J742" s="1">
        <v>0.2</v>
      </c>
      <c r="K742" s="1">
        <v>17000</v>
      </c>
      <c r="L742" s="2">
        <v>45316</v>
      </c>
      <c r="M742" s="10" t="str">
        <f t="shared" si="11"/>
        <v>Target Achieved</v>
      </c>
    </row>
    <row r="743" spans="1:13" x14ac:dyDescent="0.35">
      <c r="A743" s="1" t="s">
        <v>976</v>
      </c>
      <c r="B743" s="1" t="s">
        <v>298</v>
      </c>
      <c r="C743" s="1" t="s">
        <v>44</v>
      </c>
      <c r="D743" s="1" t="s">
        <v>45</v>
      </c>
      <c r="E743" s="1" t="s">
        <v>16</v>
      </c>
      <c r="F743" s="1" t="s">
        <v>25</v>
      </c>
      <c r="G743" s="1" t="s">
        <v>18</v>
      </c>
      <c r="H743" s="1">
        <v>12887</v>
      </c>
      <c r="I743" s="1" t="s">
        <v>22</v>
      </c>
      <c r="J743" s="1">
        <v>0.1</v>
      </c>
      <c r="K743" s="1">
        <v>13000</v>
      </c>
      <c r="L743" s="2">
        <v>45325</v>
      </c>
      <c r="M743" s="10" t="str">
        <f t="shared" si="11"/>
        <v>Below Target</v>
      </c>
    </row>
    <row r="744" spans="1:13" x14ac:dyDescent="0.35">
      <c r="A744" s="1" t="s">
        <v>977</v>
      </c>
      <c r="B744" s="1" t="s">
        <v>239</v>
      </c>
      <c r="C744" s="1" t="s">
        <v>61</v>
      </c>
      <c r="D744" s="1" t="s">
        <v>62</v>
      </c>
      <c r="E744" s="1" t="s">
        <v>46</v>
      </c>
      <c r="F744" s="1" t="s">
        <v>39</v>
      </c>
      <c r="G744" s="1" t="s">
        <v>36</v>
      </c>
      <c r="H744" s="1">
        <v>10834</v>
      </c>
      <c r="I744" s="1" t="s">
        <v>33</v>
      </c>
      <c r="J744" s="1">
        <v>0.3</v>
      </c>
      <c r="K744" s="1">
        <v>9000</v>
      </c>
      <c r="L744" s="2">
        <v>45302</v>
      </c>
      <c r="M744" s="10" t="str">
        <f t="shared" si="11"/>
        <v>Target Achieved</v>
      </c>
    </row>
    <row r="745" spans="1:13" x14ac:dyDescent="0.35">
      <c r="A745" s="1" t="s">
        <v>978</v>
      </c>
      <c r="B745" s="1" t="s">
        <v>305</v>
      </c>
      <c r="C745" s="1" t="s">
        <v>14</v>
      </c>
      <c r="D745" s="1" t="s">
        <v>15</v>
      </c>
      <c r="E745" s="1" t="s">
        <v>16</v>
      </c>
      <c r="F745" s="1" t="s">
        <v>39</v>
      </c>
      <c r="G745" s="1" t="s">
        <v>26</v>
      </c>
      <c r="H745" s="1">
        <v>12500</v>
      </c>
      <c r="I745" s="1" t="s">
        <v>33</v>
      </c>
      <c r="J745" s="1">
        <v>0.3</v>
      </c>
      <c r="K745" s="1">
        <v>14000</v>
      </c>
      <c r="L745" s="2">
        <v>45322</v>
      </c>
      <c r="M745" s="10" t="str">
        <f t="shared" si="11"/>
        <v>Below Target</v>
      </c>
    </row>
    <row r="746" spans="1:13" x14ac:dyDescent="0.35">
      <c r="A746" s="1" t="s">
        <v>979</v>
      </c>
      <c r="B746" s="1" t="s">
        <v>278</v>
      </c>
      <c r="C746" s="1" t="s">
        <v>44</v>
      </c>
      <c r="D746" s="1" t="s">
        <v>45</v>
      </c>
      <c r="E746" s="1" t="s">
        <v>46</v>
      </c>
      <c r="F746" s="1" t="s">
        <v>25</v>
      </c>
      <c r="G746" s="1" t="s">
        <v>26</v>
      </c>
      <c r="H746" s="1">
        <v>11892</v>
      </c>
      <c r="I746" s="1" t="s">
        <v>22</v>
      </c>
      <c r="J746" s="1">
        <v>0.1</v>
      </c>
      <c r="K746" s="1">
        <v>13000</v>
      </c>
      <c r="L746" s="2">
        <v>45307</v>
      </c>
      <c r="M746" s="10" t="str">
        <f t="shared" si="11"/>
        <v>Below Target</v>
      </c>
    </row>
    <row r="747" spans="1:13" x14ac:dyDescent="0.35">
      <c r="A747" s="1" t="s">
        <v>980</v>
      </c>
      <c r="B747" s="1" t="s">
        <v>90</v>
      </c>
      <c r="C747" s="1" t="s">
        <v>30</v>
      </c>
      <c r="D747" s="1" t="s">
        <v>31</v>
      </c>
      <c r="E747" s="1" t="s">
        <v>32</v>
      </c>
      <c r="F747" s="1" t="s">
        <v>25</v>
      </c>
      <c r="G747" s="1" t="s">
        <v>36</v>
      </c>
      <c r="H747" s="1">
        <v>17394</v>
      </c>
      <c r="I747" s="1" t="s">
        <v>22</v>
      </c>
      <c r="J747" s="1">
        <v>0.1</v>
      </c>
      <c r="K747" s="1">
        <v>17000</v>
      </c>
      <c r="L747" s="2">
        <v>45317</v>
      </c>
      <c r="M747" s="10" t="str">
        <f t="shared" si="11"/>
        <v>Target Achieved</v>
      </c>
    </row>
    <row r="748" spans="1:13" x14ac:dyDescent="0.35">
      <c r="A748" s="1" t="s">
        <v>981</v>
      </c>
      <c r="B748" s="1" t="s">
        <v>294</v>
      </c>
      <c r="C748" s="1" t="s">
        <v>14</v>
      </c>
      <c r="D748" s="1" t="s">
        <v>15</v>
      </c>
      <c r="E748" s="1" t="s">
        <v>32</v>
      </c>
      <c r="F748" s="1" t="s">
        <v>39</v>
      </c>
      <c r="G748" s="1" t="s">
        <v>26</v>
      </c>
      <c r="H748" s="1">
        <v>13946</v>
      </c>
      <c r="I748" s="1" t="s">
        <v>27</v>
      </c>
      <c r="J748" s="1"/>
      <c r="K748" s="1">
        <v>14000</v>
      </c>
      <c r="L748" s="2">
        <v>45301</v>
      </c>
      <c r="M748" s="10" t="str">
        <f t="shared" si="11"/>
        <v>Below Target</v>
      </c>
    </row>
    <row r="749" spans="1:13" x14ac:dyDescent="0.35">
      <c r="A749" s="1" t="s">
        <v>982</v>
      </c>
      <c r="B749" s="1" t="s">
        <v>478</v>
      </c>
      <c r="C749" s="1" t="s">
        <v>14</v>
      </c>
      <c r="D749" s="1" t="s">
        <v>15</v>
      </c>
      <c r="E749" s="1" t="s">
        <v>32</v>
      </c>
      <c r="F749" s="1" t="s">
        <v>25</v>
      </c>
      <c r="G749" s="1" t="s">
        <v>36</v>
      </c>
      <c r="H749" s="1">
        <v>12374</v>
      </c>
      <c r="I749" s="1" t="s">
        <v>27</v>
      </c>
      <c r="J749" s="1"/>
      <c r="K749" s="1">
        <v>14000</v>
      </c>
      <c r="L749" s="2">
        <v>45313</v>
      </c>
      <c r="M749" s="10" t="str">
        <f t="shared" si="11"/>
        <v>Below Target</v>
      </c>
    </row>
    <row r="750" spans="1:13" x14ac:dyDescent="0.35">
      <c r="A750" s="1" t="s">
        <v>983</v>
      </c>
      <c r="B750" s="1" t="s">
        <v>148</v>
      </c>
      <c r="C750" s="1" t="s">
        <v>14</v>
      </c>
      <c r="D750" s="1" t="s">
        <v>15</v>
      </c>
      <c r="E750" s="1" t="s">
        <v>32</v>
      </c>
      <c r="F750" s="1" t="s">
        <v>17</v>
      </c>
      <c r="G750" s="1" t="s">
        <v>26</v>
      </c>
      <c r="H750" s="1">
        <v>12630</v>
      </c>
      <c r="I750" s="1" t="s">
        <v>27</v>
      </c>
      <c r="J750" s="1"/>
      <c r="K750" s="1">
        <v>14000</v>
      </c>
      <c r="L750" s="2">
        <v>45342</v>
      </c>
      <c r="M750" s="10" t="str">
        <f t="shared" si="11"/>
        <v>Below Target</v>
      </c>
    </row>
    <row r="751" spans="1:13" x14ac:dyDescent="0.35">
      <c r="A751" s="1" t="s">
        <v>984</v>
      </c>
      <c r="B751" s="1" t="s">
        <v>843</v>
      </c>
      <c r="C751" s="1" t="s">
        <v>61</v>
      </c>
      <c r="D751" s="1" t="s">
        <v>62</v>
      </c>
      <c r="E751" s="1" t="s">
        <v>32</v>
      </c>
      <c r="F751" s="1" t="s">
        <v>17</v>
      </c>
      <c r="G751" s="1" t="s">
        <v>26</v>
      </c>
      <c r="H751" s="1">
        <v>10229</v>
      </c>
      <c r="I751" s="1" t="s">
        <v>33</v>
      </c>
      <c r="J751" s="1">
        <v>0.3</v>
      </c>
      <c r="K751" s="1">
        <v>9000</v>
      </c>
      <c r="L751" s="2">
        <v>45343</v>
      </c>
      <c r="M751" s="10" t="str">
        <f t="shared" si="11"/>
        <v>Target Achieved</v>
      </c>
    </row>
    <row r="752" spans="1:13" x14ac:dyDescent="0.35">
      <c r="A752" s="1" t="s">
        <v>985</v>
      </c>
      <c r="B752" s="1" t="s">
        <v>445</v>
      </c>
      <c r="C752" s="1" t="s">
        <v>44</v>
      </c>
      <c r="D752" s="1" t="s">
        <v>45</v>
      </c>
      <c r="E752" s="1" t="s">
        <v>32</v>
      </c>
      <c r="F752" s="1" t="s">
        <v>39</v>
      </c>
      <c r="G752" s="1" t="s">
        <v>36</v>
      </c>
      <c r="H752" s="1">
        <v>12467</v>
      </c>
      <c r="I752" s="1" t="s">
        <v>19</v>
      </c>
      <c r="J752" s="1">
        <v>0.2</v>
      </c>
      <c r="K752" s="1">
        <v>13000</v>
      </c>
      <c r="L752" s="2">
        <v>45308</v>
      </c>
      <c r="M752" s="10" t="str">
        <f t="shared" si="11"/>
        <v>Below Target</v>
      </c>
    </row>
    <row r="753" spans="1:13" x14ac:dyDescent="0.35">
      <c r="A753" s="1" t="s">
        <v>986</v>
      </c>
      <c r="B753" s="1" t="s">
        <v>987</v>
      </c>
      <c r="C753" s="1" t="s">
        <v>61</v>
      </c>
      <c r="D753" s="1" t="s">
        <v>62</v>
      </c>
      <c r="E753" s="1" t="s">
        <v>16</v>
      </c>
      <c r="F753" s="1" t="s">
        <v>17</v>
      </c>
      <c r="G753" s="1" t="s">
        <v>26</v>
      </c>
      <c r="H753" s="1">
        <v>8207</v>
      </c>
      <c r="I753" s="1" t="s">
        <v>27</v>
      </c>
      <c r="J753" s="1"/>
      <c r="K753" s="1">
        <v>9000</v>
      </c>
      <c r="L753" s="2">
        <v>45336</v>
      </c>
      <c r="M753" s="10" t="str">
        <f t="shared" si="11"/>
        <v>Below Target</v>
      </c>
    </row>
    <row r="754" spans="1:13" x14ac:dyDescent="0.35">
      <c r="A754" s="1" t="s">
        <v>988</v>
      </c>
      <c r="B754" s="1" t="s">
        <v>211</v>
      </c>
      <c r="C754" s="1" t="s">
        <v>44</v>
      </c>
      <c r="D754" s="1" t="s">
        <v>45</v>
      </c>
      <c r="E754" s="1" t="s">
        <v>16</v>
      </c>
      <c r="F754" s="1" t="s">
        <v>17</v>
      </c>
      <c r="G754" s="1" t="s">
        <v>36</v>
      </c>
      <c r="H754" s="1">
        <v>13999</v>
      </c>
      <c r="I754" s="1"/>
      <c r="J754" s="1"/>
      <c r="K754" s="1">
        <v>13000</v>
      </c>
      <c r="L754" s="2">
        <v>45309</v>
      </c>
      <c r="M754" s="10" t="str">
        <f t="shared" si="11"/>
        <v>Target Achieved</v>
      </c>
    </row>
    <row r="755" spans="1:13" x14ac:dyDescent="0.35">
      <c r="A755" s="1" t="s">
        <v>989</v>
      </c>
      <c r="B755" s="1" t="s">
        <v>319</v>
      </c>
      <c r="C755" s="1" t="s">
        <v>44</v>
      </c>
      <c r="D755" s="1" t="s">
        <v>45</v>
      </c>
      <c r="E755" s="1" t="s">
        <v>32</v>
      </c>
      <c r="F755" s="1" t="s">
        <v>39</v>
      </c>
      <c r="G755" s="1" t="s">
        <v>18</v>
      </c>
      <c r="H755" s="1">
        <v>12840</v>
      </c>
      <c r="I755" s="1" t="s">
        <v>33</v>
      </c>
      <c r="J755" s="1">
        <v>0.3</v>
      </c>
      <c r="K755" s="1">
        <v>13000</v>
      </c>
      <c r="L755" s="2">
        <v>45344</v>
      </c>
      <c r="M755" s="10" t="str">
        <f t="shared" si="11"/>
        <v>Below Target</v>
      </c>
    </row>
    <row r="756" spans="1:13" x14ac:dyDescent="0.35">
      <c r="A756" s="1" t="s">
        <v>990</v>
      </c>
      <c r="B756" s="1" t="s">
        <v>307</v>
      </c>
      <c r="C756" s="1" t="s">
        <v>30</v>
      </c>
      <c r="D756" s="1" t="s">
        <v>31</v>
      </c>
      <c r="E756" s="1" t="s">
        <v>46</v>
      </c>
      <c r="F756" s="1" t="s">
        <v>25</v>
      </c>
      <c r="G756" s="1" t="s">
        <v>26</v>
      </c>
      <c r="H756" s="1">
        <v>17072</v>
      </c>
      <c r="I756" s="1"/>
      <c r="J756" s="1"/>
      <c r="K756" s="1">
        <v>17000</v>
      </c>
      <c r="L756" s="2">
        <v>45338</v>
      </c>
      <c r="M756" s="10" t="str">
        <f t="shared" si="11"/>
        <v>Target Achieved</v>
      </c>
    </row>
    <row r="757" spans="1:13" x14ac:dyDescent="0.35">
      <c r="A757" s="1" t="s">
        <v>991</v>
      </c>
      <c r="B757" s="1" t="s">
        <v>557</v>
      </c>
      <c r="C757" s="1" t="s">
        <v>30</v>
      </c>
      <c r="D757" s="1" t="s">
        <v>31</v>
      </c>
      <c r="E757" s="1" t="s">
        <v>16</v>
      </c>
      <c r="F757" s="1" t="s">
        <v>25</v>
      </c>
      <c r="G757" s="1" t="s">
        <v>36</v>
      </c>
      <c r="H757" s="1">
        <v>17953</v>
      </c>
      <c r="I757" s="1" t="s">
        <v>22</v>
      </c>
      <c r="J757" s="1">
        <v>0.1</v>
      </c>
      <c r="K757" s="1">
        <v>17000</v>
      </c>
      <c r="L757" s="2">
        <v>45334</v>
      </c>
      <c r="M757" s="10" t="str">
        <f t="shared" si="11"/>
        <v>Target Achieved</v>
      </c>
    </row>
    <row r="758" spans="1:13" x14ac:dyDescent="0.35">
      <c r="A758" s="1" t="s">
        <v>992</v>
      </c>
      <c r="B758" s="1" t="s">
        <v>105</v>
      </c>
      <c r="C758" s="1" t="s">
        <v>61</v>
      </c>
      <c r="D758" s="1" t="s">
        <v>62</v>
      </c>
      <c r="E758" s="1" t="s">
        <v>32</v>
      </c>
      <c r="F758" s="1" t="s">
        <v>39</v>
      </c>
      <c r="G758" s="1" t="s">
        <v>26</v>
      </c>
      <c r="H758" s="1">
        <v>9037</v>
      </c>
      <c r="I758" s="1" t="s">
        <v>27</v>
      </c>
      <c r="J758" s="1"/>
      <c r="K758" s="1">
        <v>9000</v>
      </c>
      <c r="L758" s="2">
        <v>45301</v>
      </c>
      <c r="M758" s="10" t="str">
        <f t="shared" si="11"/>
        <v>Target Achieved</v>
      </c>
    </row>
    <row r="759" spans="1:13" x14ac:dyDescent="0.35">
      <c r="A759" s="1" t="s">
        <v>993</v>
      </c>
      <c r="B759" s="1" t="s">
        <v>291</v>
      </c>
      <c r="C759" s="1" t="s">
        <v>30</v>
      </c>
      <c r="D759" s="1" t="s">
        <v>31</v>
      </c>
      <c r="E759" s="1" t="s">
        <v>46</v>
      </c>
      <c r="F759" s="1" t="s">
        <v>39</v>
      </c>
      <c r="G759" s="1" t="s">
        <v>36</v>
      </c>
      <c r="H759" s="1">
        <v>15452</v>
      </c>
      <c r="I759" s="1" t="s">
        <v>22</v>
      </c>
      <c r="J759" s="1">
        <v>0.1</v>
      </c>
      <c r="K759" s="1">
        <v>17000</v>
      </c>
      <c r="L759" s="2">
        <v>45325</v>
      </c>
      <c r="M759" s="10" t="str">
        <f t="shared" si="11"/>
        <v>Below Target</v>
      </c>
    </row>
    <row r="760" spans="1:13" x14ac:dyDescent="0.35">
      <c r="A760" s="1" t="s">
        <v>994</v>
      </c>
      <c r="B760" s="1" t="s">
        <v>13</v>
      </c>
      <c r="C760" s="1" t="s">
        <v>14</v>
      </c>
      <c r="D760" s="1" t="s">
        <v>15</v>
      </c>
      <c r="E760" s="1" t="s">
        <v>32</v>
      </c>
      <c r="F760" s="1" t="s">
        <v>25</v>
      </c>
      <c r="G760" s="1" t="s">
        <v>18</v>
      </c>
      <c r="H760" s="1">
        <v>12827</v>
      </c>
      <c r="I760" s="1" t="s">
        <v>22</v>
      </c>
      <c r="J760" s="1">
        <v>0.1</v>
      </c>
      <c r="K760" s="1">
        <v>14000</v>
      </c>
      <c r="L760" s="2">
        <v>45323</v>
      </c>
      <c r="M760" s="10" t="str">
        <f t="shared" si="11"/>
        <v>Below Target</v>
      </c>
    </row>
    <row r="761" spans="1:13" x14ac:dyDescent="0.35">
      <c r="A761" s="1" t="s">
        <v>995</v>
      </c>
      <c r="B761" s="1" t="s">
        <v>229</v>
      </c>
      <c r="C761" s="1" t="s">
        <v>14</v>
      </c>
      <c r="D761" s="1" t="s">
        <v>15</v>
      </c>
      <c r="E761" s="1" t="s">
        <v>16</v>
      </c>
      <c r="F761" s="1" t="s">
        <v>39</v>
      </c>
      <c r="G761" s="1" t="s">
        <v>36</v>
      </c>
      <c r="H761" s="1">
        <v>14694</v>
      </c>
      <c r="I761" s="1"/>
      <c r="J761" s="1"/>
      <c r="K761" s="1">
        <v>14000</v>
      </c>
      <c r="L761" s="2">
        <v>45325</v>
      </c>
      <c r="M761" s="10" t="str">
        <f t="shared" si="11"/>
        <v>Target Achieved</v>
      </c>
    </row>
    <row r="762" spans="1:13" x14ac:dyDescent="0.35">
      <c r="A762" s="1" t="s">
        <v>996</v>
      </c>
      <c r="B762" s="1" t="s">
        <v>233</v>
      </c>
      <c r="C762" s="1" t="s">
        <v>30</v>
      </c>
      <c r="D762" s="1" t="s">
        <v>31</v>
      </c>
      <c r="E762" s="1" t="s">
        <v>32</v>
      </c>
      <c r="F762" s="1" t="s">
        <v>17</v>
      </c>
      <c r="G762" s="1" t="s">
        <v>18</v>
      </c>
      <c r="H762" s="1">
        <v>17481</v>
      </c>
      <c r="I762" s="1" t="s">
        <v>22</v>
      </c>
      <c r="J762" s="1">
        <v>0.1</v>
      </c>
      <c r="K762" s="1">
        <v>17000</v>
      </c>
      <c r="L762" s="2">
        <v>45292</v>
      </c>
      <c r="M762" s="10" t="str">
        <f t="shared" si="11"/>
        <v>Target Achieved</v>
      </c>
    </row>
    <row r="763" spans="1:13" x14ac:dyDescent="0.35">
      <c r="A763" s="1" t="s">
        <v>997</v>
      </c>
      <c r="B763" s="1" t="s">
        <v>553</v>
      </c>
      <c r="C763" s="1" t="s">
        <v>61</v>
      </c>
      <c r="D763" s="1" t="s">
        <v>62</v>
      </c>
      <c r="E763" s="1" t="s">
        <v>32</v>
      </c>
      <c r="F763" s="1" t="s">
        <v>17</v>
      </c>
      <c r="G763" s="1" t="s">
        <v>26</v>
      </c>
      <c r="H763" s="1">
        <v>7248</v>
      </c>
      <c r="I763" s="1" t="s">
        <v>33</v>
      </c>
      <c r="J763" s="1">
        <v>0.3</v>
      </c>
      <c r="K763" s="1">
        <v>9000</v>
      </c>
      <c r="L763" s="2">
        <v>45327</v>
      </c>
      <c r="M763" s="10" t="str">
        <f t="shared" si="11"/>
        <v>Below Target</v>
      </c>
    </row>
    <row r="764" spans="1:13" x14ac:dyDescent="0.35">
      <c r="A764" s="1" t="s">
        <v>998</v>
      </c>
      <c r="B764" s="1" t="s">
        <v>127</v>
      </c>
      <c r="C764" s="1" t="s">
        <v>30</v>
      </c>
      <c r="D764" s="1" t="s">
        <v>31</v>
      </c>
      <c r="E764" s="1" t="s">
        <v>16</v>
      </c>
      <c r="F764" s="1" t="s">
        <v>25</v>
      </c>
      <c r="G764" s="1" t="s">
        <v>26</v>
      </c>
      <c r="H764" s="1">
        <v>16088</v>
      </c>
      <c r="I764" s="1" t="s">
        <v>27</v>
      </c>
      <c r="J764" s="1"/>
      <c r="K764" s="1">
        <v>17000</v>
      </c>
      <c r="L764" s="2">
        <v>45294</v>
      </c>
      <c r="M764" s="10" t="str">
        <f t="shared" si="11"/>
        <v>Below Target</v>
      </c>
    </row>
    <row r="765" spans="1:13" x14ac:dyDescent="0.35">
      <c r="A765" s="1" t="s">
        <v>999</v>
      </c>
      <c r="B765" s="1" t="s">
        <v>1000</v>
      </c>
      <c r="C765" s="1" t="s">
        <v>30</v>
      </c>
      <c r="D765" s="1" t="s">
        <v>31</v>
      </c>
      <c r="E765" s="1" t="s">
        <v>32</v>
      </c>
      <c r="F765" s="1" t="s">
        <v>25</v>
      </c>
      <c r="G765" s="1" t="s">
        <v>26</v>
      </c>
      <c r="H765" s="1">
        <v>15397</v>
      </c>
      <c r="I765" s="1" t="s">
        <v>22</v>
      </c>
      <c r="J765" s="1">
        <v>0.1</v>
      </c>
      <c r="K765" s="1">
        <v>17000</v>
      </c>
      <c r="L765" s="2">
        <v>45338</v>
      </c>
      <c r="M765" s="10" t="str">
        <f t="shared" si="11"/>
        <v>Below Target</v>
      </c>
    </row>
    <row r="766" spans="1:13" x14ac:dyDescent="0.35">
      <c r="A766" s="1" t="s">
        <v>1001</v>
      </c>
      <c r="B766" s="1" t="s">
        <v>24</v>
      </c>
      <c r="C766" s="1" t="s">
        <v>61</v>
      </c>
      <c r="D766" s="1" t="s">
        <v>62</v>
      </c>
      <c r="E766" s="1" t="s">
        <v>32</v>
      </c>
      <c r="F766" s="1" t="s">
        <v>25</v>
      </c>
      <c r="G766" s="1" t="s">
        <v>26</v>
      </c>
      <c r="H766" s="1">
        <v>9690</v>
      </c>
      <c r="I766" s="1" t="s">
        <v>19</v>
      </c>
      <c r="J766" s="1">
        <v>0.2</v>
      </c>
      <c r="K766" s="1">
        <v>9000</v>
      </c>
      <c r="L766" s="2">
        <v>45328</v>
      </c>
      <c r="M766" s="10" t="str">
        <f t="shared" si="11"/>
        <v>Target Achieved</v>
      </c>
    </row>
    <row r="767" spans="1:13" x14ac:dyDescent="0.35">
      <c r="A767" s="1" t="s">
        <v>1002</v>
      </c>
      <c r="B767" s="1" t="s">
        <v>422</v>
      </c>
      <c r="C767" s="1" t="s">
        <v>61</v>
      </c>
      <c r="D767" s="1" t="s">
        <v>62</v>
      </c>
      <c r="E767" s="1" t="s">
        <v>16</v>
      </c>
      <c r="F767" s="1" t="s">
        <v>25</v>
      </c>
      <c r="G767" s="1" t="s">
        <v>26</v>
      </c>
      <c r="H767" s="1">
        <v>9361</v>
      </c>
      <c r="I767" s="1" t="s">
        <v>33</v>
      </c>
      <c r="J767" s="1">
        <v>0.3</v>
      </c>
      <c r="K767" s="1">
        <v>9000</v>
      </c>
      <c r="L767" s="2">
        <v>45335</v>
      </c>
      <c r="M767" s="10" t="str">
        <f t="shared" si="11"/>
        <v>Target Achieved</v>
      </c>
    </row>
    <row r="768" spans="1:13" x14ac:dyDescent="0.35">
      <c r="A768" s="1" t="s">
        <v>1003</v>
      </c>
      <c r="B768" s="1" t="s">
        <v>483</v>
      </c>
      <c r="C768" s="1" t="s">
        <v>61</v>
      </c>
      <c r="D768" s="1" t="s">
        <v>62</v>
      </c>
      <c r="E768" s="1" t="s">
        <v>32</v>
      </c>
      <c r="F768" s="1" t="s">
        <v>25</v>
      </c>
      <c r="G768" s="1" t="s">
        <v>18</v>
      </c>
      <c r="H768" s="1">
        <v>9252</v>
      </c>
      <c r="I768" s="1"/>
      <c r="J768" s="1"/>
      <c r="K768" s="1">
        <v>9000</v>
      </c>
      <c r="L768" s="2">
        <v>45324</v>
      </c>
      <c r="M768" s="10" t="str">
        <f t="shared" si="11"/>
        <v>Target Achieved</v>
      </c>
    </row>
    <row r="769" spans="1:13" x14ac:dyDescent="0.35">
      <c r="A769" s="1" t="s">
        <v>1004</v>
      </c>
      <c r="B769" s="1" t="s">
        <v>150</v>
      </c>
      <c r="C769" s="1" t="s">
        <v>44</v>
      </c>
      <c r="D769" s="1" t="s">
        <v>45</v>
      </c>
      <c r="E769" s="1" t="s">
        <v>16</v>
      </c>
      <c r="F769" s="1" t="s">
        <v>39</v>
      </c>
      <c r="G769" s="1" t="s">
        <v>36</v>
      </c>
      <c r="H769" s="1">
        <v>14823</v>
      </c>
      <c r="I769" s="1" t="s">
        <v>33</v>
      </c>
      <c r="J769" s="1">
        <v>0.3</v>
      </c>
      <c r="K769" s="1">
        <v>13000</v>
      </c>
      <c r="L769" s="2">
        <v>45349</v>
      </c>
      <c r="M769" s="10" t="str">
        <f t="shared" si="11"/>
        <v>Target Achieved</v>
      </c>
    </row>
    <row r="770" spans="1:13" x14ac:dyDescent="0.35">
      <c r="A770" s="1" t="s">
        <v>1005</v>
      </c>
      <c r="B770" s="1" t="s">
        <v>301</v>
      </c>
      <c r="C770" s="1" t="s">
        <v>30</v>
      </c>
      <c r="D770" s="1" t="s">
        <v>31</v>
      </c>
      <c r="E770" s="1" t="s">
        <v>46</v>
      </c>
      <c r="F770" s="1" t="s">
        <v>17</v>
      </c>
      <c r="G770" s="1" t="s">
        <v>26</v>
      </c>
      <c r="H770" s="1">
        <v>16763</v>
      </c>
      <c r="I770" s="1" t="s">
        <v>33</v>
      </c>
      <c r="J770" s="1">
        <v>0.3</v>
      </c>
      <c r="K770" s="1">
        <v>17000</v>
      </c>
      <c r="L770" s="2">
        <v>45330</v>
      </c>
      <c r="M770" s="10" t="str">
        <f t="shared" si="11"/>
        <v>Below Target</v>
      </c>
    </row>
    <row r="771" spans="1:13" x14ac:dyDescent="0.35">
      <c r="A771" s="1" t="s">
        <v>1006</v>
      </c>
      <c r="B771" s="1" t="s">
        <v>56</v>
      </c>
      <c r="C771" s="1" t="s">
        <v>44</v>
      </c>
      <c r="D771" s="1" t="s">
        <v>45</v>
      </c>
      <c r="E771" s="1" t="s">
        <v>46</v>
      </c>
      <c r="F771" s="1" t="s">
        <v>39</v>
      </c>
      <c r="G771" s="1" t="s">
        <v>26</v>
      </c>
      <c r="H771" s="1">
        <v>12040</v>
      </c>
      <c r="I771" s="1" t="s">
        <v>33</v>
      </c>
      <c r="J771" s="1">
        <v>0.3</v>
      </c>
      <c r="K771" s="1">
        <v>13000</v>
      </c>
      <c r="L771" s="2">
        <v>45320</v>
      </c>
      <c r="M771" s="10" t="str">
        <f t="shared" ref="M771:M834" si="12">IF(H771&gt;=K771,"Target Achieved","Below Target")</f>
        <v>Below Target</v>
      </c>
    </row>
    <row r="772" spans="1:13" x14ac:dyDescent="0.35">
      <c r="A772" s="1" t="s">
        <v>1007</v>
      </c>
      <c r="B772" s="1" t="s">
        <v>52</v>
      </c>
      <c r="C772" s="1" t="s">
        <v>14</v>
      </c>
      <c r="D772" s="1" t="s">
        <v>15</v>
      </c>
      <c r="E772" s="1" t="s">
        <v>16</v>
      </c>
      <c r="F772" s="1" t="s">
        <v>25</v>
      </c>
      <c r="G772" s="1" t="s">
        <v>36</v>
      </c>
      <c r="H772" s="1">
        <v>14440</v>
      </c>
      <c r="I772" s="1" t="s">
        <v>22</v>
      </c>
      <c r="J772" s="1">
        <v>0.1</v>
      </c>
      <c r="K772" s="1">
        <v>14000</v>
      </c>
      <c r="L772" s="2">
        <v>45325</v>
      </c>
      <c r="M772" s="10" t="str">
        <f t="shared" si="12"/>
        <v>Target Achieved</v>
      </c>
    </row>
    <row r="773" spans="1:13" x14ac:dyDescent="0.35">
      <c r="A773" s="1" t="s">
        <v>1008</v>
      </c>
      <c r="B773" s="1" t="s">
        <v>256</v>
      </c>
      <c r="C773" s="1" t="s">
        <v>14</v>
      </c>
      <c r="D773" s="1" t="s">
        <v>15</v>
      </c>
      <c r="E773" s="1" t="s">
        <v>46</v>
      </c>
      <c r="F773" s="1" t="s">
        <v>25</v>
      </c>
      <c r="G773" s="1" t="s">
        <v>18</v>
      </c>
      <c r="H773" s="1">
        <v>15505</v>
      </c>
      <c r="I773" s="1" t="s">
        <v>33</v>
      </c>
      <c r="J773" s="1">
        <v>0.3</v>
      </c>
      <c r="K773" s="1">
        <v>14000</v>
      </c>
      <c r="L773" s="2">
        <v>45293</v>
      </c>
      <c r="M773" s="10" t="str">
        <f t="shared" si="12"/>
        <v>Target Achieved</v>
      </c>
    </row>
    <row r="774" spans="1:13" x14ac:dyDescent="0.35">
      <c r="A774" s="1" t="s">
        <v>1009</v>
      </c>
      <c r="B774" s="1" t="s">
        <v>140</v>
      </c>
      <c r="C774" s="1" t="s">
        <v>30</v>
      </c>
      <c r="D774" s="1" t="s">
        <v>31</v>
      </c>
      <c r="E774" s="1" t="s">
        <v>16</v>
      </c>
      <c r="F774" s="1" t="s">
        <v>39</v>
      </c>
      <c r="G774" s="1" t="s">
        <v>26</v>
      </c>
      <c r="H774" s="1">
        <v>17337</v>
      </c>
      <c r="I774" s="1" t="s">
        <v>27</v>
      </c>
      <c r="J774" s="1"/>
      <c r="K774" s="1">
        <v>17000</v>
      </c>
      <c r="L774" s="2">
        <v>45301</v>
      </c>
      <c r="M774" s="10" t="str">
        <f t="shared" si="12"/>
        <v>Target Achieved</v>
      </c>
    </row>
    <row r="775" spans="1:13" x14ac:dyDescent="0.35">
      <c r="A775" s="1" t="s">
        <v>1010</v>
      </c>
      <c r="B775" s="1" t="s">
        <v>43</v>
      </c>
      <c r="C775" s="1" t="s">
        <v>61</v>
      </c>
      <c r="D775" s="1" t="s">
        <v>62</v>
      </c>
      <c r="E775" s="1" t="s">
        <v>46</v>
      </c>
      <c r="F775" s="1" t="s">
        <v>25</v>
      </c>
      <c r="G775" s="1" t="s">
        <v>18</v>
      </c>
      <c r="H775" s="1">
        <v>8085</v>
      </c>
      <c r="I775" s="1" t="s">
        <v>33</v>
      </c>
      <c r="J775" s="1">
        <v>0.3</v>
      </c>
      <c r="K775" s="1">
        <v>9000</v>
      </c>
      <c r="L775" s="2">
        <v>45348</v>
      </c>
      <c r="M775" s="10" t="str">
        <f t="shared" si="12"/>
        <v>Below Target</v>
      </c>
    </row>
    <row r="776" spans="1:13" x14ac:dyDescent="0.35">
      <c r="A776" s="1" t="s">
        <v>1011</v>
      </c>
      <c r="B776" s="1" t="s">
        <v>519</v>
      </c>
      <c r="C776" s="1" t="s">
        <v>44</v>
      </c>
      <c r="D776" s="1" t="s">
        <v>45</v>
      </c>
      <c r="E776" s="1" t="s">
        <v>46</v>
      </c>
      <c r="F776" s="1" t="s">
        <v>17</v>
      </c>
      <c r="G776" s="1" t="s">
        <v>18</v>
      </c>
      <c r="H776" s="1">
        <v>13336</v>
      </c>
      <c r="I776" s="1"/>
      <c r="J776" s="1"/>
      <c r="K776" s="1">
        <v>13000</v>
      </c>
      <c r="L776" s="2">
        <v>45328</v>
      </c>
      <c r="M776" s="10" t="str">
        <f t="shared" si="12"/>
        <v>Target Achieved</v>
      </c>
    </row>
    <row r="777" spans="1:13" x14ac:dyDescent="0.35">
      <c r="A777" s="1" t="s">
        <v>1012</v>
      </c>
      <c r="B777" s="1" t="s">
        <v>553</v>
      </c>
      <c r="C777" s="1" t="s">
        <v>14</v>
      </c>
      <c r="D777" s="1" t="s">
        <v>15</v>
      </c>
      <c r="E777" s="1" t="s">
        <v>16</v>
      </c>
      <c r="F777" s="1" t="s">
        <v>17</v>
      </c>
      <c r="G777" s="1" t="s">
        <v>36</v>
      </c>
      <c r="H777" s="1">
        <v>12708</v>
      </c>
      <c r="I777" s="1"/>
      <c r="J777" s="1"/>
      <c r="K777" s="1">
        <v>14000</v>
      </c>
      <c r="L777" s="2">
        <v>45344</v>
      </c>
      <c r="M777" s="10" t="str">
        <f t="shared" si="12"/>
        <v>Below Target</v>
      </c>
    </row>
    <row r="778" spans="1:13" x14ac:dyDescent="0.35">
      <c r="A778" s="1" t="s">
        <v>1013</v>
      </c>
      <c r="B778" s="1" t="s">
        <v>260</v>
      </c>
      <c r="C778" s="1" t="s">
        <v>14</v>
      </c>
      <c r="D778" s="1" t="s">
        <v>15</v>
      </c>
      <c r="E778" s="1" t="s">
        <v>16</v>
      </c>
      <c r="F778" s="1" t="s">
        <v>39</v>
      </c>
      <c r="G778" s="1" t="s">
        <v>36</v>
      </c>
      <c r="H778" s="1">
        <v>12153</v>
      </c>
      <c r="I778" s="1" t="s">
        <v>27</v>
      </c>
      <c r="J778" s="1"/>
      <c r="K778" s="1">
        <v>14000</v>
      </c>
      <c r="L778" s="2">
        <v>45316</v>
      </c>
      <c r="M778" s="10" t="str">
        <f t="shared" si="12"/>
        <v>Below Target</v>
      </c>
    </row>
    <row r="779" spans="1:13" x14ac:dyDescent="0.35">
      <c r="A779" s="1" t="s">
        <v>1014</v>
      </c>
      <c r="B779" s="1" t="s">
        <v>200</v>
      </c>
      <c r="C779" s="1" t="s">
        <v>14</v>
      </c>
      <c r="D779" s="1" t="s">
        <v>15</v>
      </c>
      <c r="E779" s="1" t="s">
        <v>46</v>
      </c>
      <c r="F779" s="1" t="s">
        <v>17</v>
      </c>
      <c r="G779" s="1" t="s">
        <v>36</v>
      </c>
      <c r="H779" s="1">
        <v>13706</v>
      </c>
      <c r="I779" s="1" t="s">
        <v>22</v>
      </c>
      <c r="J779" s="1">
        <v>0.1</v>
      </c>
      <c r="K779" s="1">
        <v>14000</v>
      </c>
      <c r="L779" s="2">
        <v>45347</v>
      </c>
      <c r="M779" s="10" t="str">
        <f t="shared" si="12"/>
        <v>Below Target</v>
      </c>
    </row>
    <row r="780" spans="1:13" x14ac:dyDescent="0.35">
      <c r="A780" s="1" t="s">
        <v>1015</v>
      </c>
      <c r="B780" s="1" t="s">
        <v>294</v>
      </c>
      <c r="C780" s="1" t="s">
        <v>14</v>
      </c>
      <c r="D780" s="1" t="s">
        <v>15</v>
      </c>
      <c r="E780" s="1" t="s">
        <v>16</v>
      </c>
      <c r="F780" s="1" t="s">
        <v>39</v>
      </c>
      <c r="G780" s="1" t="s">
        <v>36</v>
      </c>
      <c r="H780" s="1">
        <v>12221</v>
      </c>
      <c r="I780" s="1" t="s">
        <v>33</v>
      </c>
      <c r="J780" s="1">
        <v>0.3</v>
      </c>
      <c r="K780" s="1">
        <v>14000</v>
      </c>
      <c r="L780" s="2">
        <v>45325</v>
      </c>
      <c r="M780" s="10" t="str">
        <f t="shared" si="12"/>
        <v>Below Target</v>
      </c>
    </row>
    <row r="781" spans="1:13" x14ac:dyDescent="0.35">
      <c r="A781" s="1" t="s">
        <v>1016</v>
      </c>
      <c r="B781" s="1" t="s">
        <v>125</v>
      </c>
      <c r="C781" s="1" t="s">
        <v>44</v>
      </c>
      <c r="D781" s="1" t="s">
        <v>45</v>
      </c>
      <c r="E781" s="1" t="s">
        <v>46</v>
      </c>
      <c r="F781" s="1" t="s">
        <v>39</v>
      </c>
      <c r="G781" s="1" t="s">
        <v>26</v>
      </c>
      <c r="H781" s="1">
        <v>11904</v>
      </c>
      <c r="I781" s="1" t="s">
        <v>19</v>
      </c>
      <c r="J781" s="1">
        <v>0.2</v>
      </c>
      <c r="K781" s="1">
        <v>13000</v>
      </c>
      <c r="L781" s="2">
        <v>45295</v>
      </c>
      <c r="M781" s="10" t="str">
        <f t="shared" si="12"/>
        <v>Below Target</v>
      </c>
    </row>
    <row r="782" spans="1:13" x14ac:dyDescent="0.35">
      <c r="A782" s="1" t="s">
        <v>1017</v>
      </c>
      <c r="B782" s="1" t="s">
        <v>305</v>
      </c>
      <c r="C782" s="1" t="s">
        <v>61</v>
      </c>
      <c r="D782" s="1" t="s">
        <v>62</v>
      </c>
      <c r="E782" s="1" t="s">
        <v>46</v>
      </c>
      <c r="F782" s="1" t="s">
        <v>39</v>
      </c>
      <c r="G782" s="1" t="s">
        <v>26</v>
      </c>
      <c r="H782" s="1">
        <v>9067</v>
      </c>
      <c r="I782" s="1" t="s">
        <v>22</v>
      </c>
      <c r="J782" s="1">
        <v>0.1</v>
      </c>
      <c r="K782" s="1">
        <v>9000</v>
      </c>
      <c r="L782" s="2">
        <v>45306</v>
      </c>
      <c r="M782" s="10" t="str">
        <f t="shared" si="12"/>
        <v>Target Achieved</v>
      </c>
    </row>
    <row r="783" spans="1:13" x14ac:dyDescent="0.35">
      <c r="A783" s="1" t="s">
        <v>1018</v>
      </c>
      <c r="B783" s="1" t="s">
        <v>435</v>
      </c>
      <c r="C783" s="1" t="s">
        <v>61</v>
      </c>
      <c r="D783" s="1" t="s">
        <v>62</v>
      </c>
      <c r="E783" s="1" t="s">
        <v>32</v>
      </c>
      <c r="F783" s="1" t="s">
        <v>25</v>
      </c>
      <c r="G783" s="1" t="s">
        <v>36</v>
      </c>
      <c r="H783" s="1">
        <v>7338</v>
      </c>
      <c r="I783" s="1"/>
      <c r="J783" s="1"/>
      <c r="K783" s="1">
        <v>9000</v>
      </c>
      <c r="L783" s="2">
        <v>45328</v>
      </c>
      <c r="M783" s="10" t="str">
        <f t="shared" si="12"/>
        <v>Below Target</v>
      </c>
    </row>
    <row r="784" spans="1:13" x14ac:dyDescent="0.35">
      <c r="A784" s="1" t="s">
        <v>1019</v>
      </c>
      <c r="B784" s="1" t="s">
        <v>464</v>
      </c>
      <c r="C784" s="1" t="s">
        <v>61</v>
      </c>
      <c r="D784" s="1" t="s">
        <v>62</v>
      </c>
      <c r="E784" s="1" t="s">
        <v>46</v>
      </c>
      <c r="F784" s="1" t="s">
        <v>25</v>
      </c>
      <c r="G784" s="1" t="s">
        <v>36</v>
      </c>
      <c r="H784" s="1">
        <v>9055</v>
      </c>
      <c r="I784" s="1"/>
      <c r="J784" s="1"/>
      <c r="K784" s="1">
        <v>9000</v>
      </c>
      <c r="L784" s="2">
        <v>45341</v>
      </c>
      <c r="M784" s="10" t="str">
        <f t="shared" si="12"/>
        <v>Target Achieved</v>
      </c>
    </row>
    <row r="785" spans="1:13" x14ac:dyDescent="0.35">
      <c r="A785" s="1" t="s">
        <v>1020</v>
      </c>
      <c r="B785" s="1" t="s">
        <v>153</v>
      </c>
      <c r="C785" s="1" t="s">
        <v>44</v>
      </c>
      <c r="D785" s="1" t="s">
        <v>45</v>
      </c>
      <c r="E785" s="1" t="s">
        <v>46</v>
      </c>
      <c r="F785" s="1" t="s">
        <v>39</v>
      </c>
      <c r="G785" s="1" t="s">
        <v>18</v>
      </c>
      <c r="H785" s="1">
        <v>12998</v>
      </c>
      <c r="I785" s="1"/>
      <c r="J785" s="1"/>
      <c r="K785" s="1">
        <v>13000</v>
      </c>
      <c r="L785" s="2">
        <v>45333</v>
      </c>
      <c r="M785" s="10" t="str">
        <f t="shared" si="12"/>
        <v>Below Target</v>
      </c>
    </row>
    <row r="786" spans="1:13" x14ac:dyDescent="0.35">
      <c r="A786" s="1" t="s">
        <v>1021</v>
      </c>
      <c r="B786" s="1" t="s">
        <v>519</v>
      </c>
      <c r="C786" s="1" t="s">
        <v>44</v>
      </c>
      <c r="D786" s="1" t="s">
        <v>45</v>
      </c>
      <c r="E786" s="1" t="s">
        <v>32</v>
      </c>
      <c r="F786" s="1" t="s">
        <v>25</v>
      </c>
      <c r="G786" s="1" t="s">
        <v>36</v>
      </c>
      <c r="H786" s="1">
        <v>14181</v>
      </c>
      <c r="I786" s="1"/>
      <c r="J786" s="1"/>
      <c r="K786" s="1">
        <v>13000</v>
      </c>
      <c r="L786" s="2">
        <v>45312</v>
      </c>
      <c r="M786" s="10" t="str">
        <f t="shared" si="12"/>
        <v>Target Achieved</v>
      </c>
    </row>
    <row r="787" spans="1:13" x14ac:dyDescent="0.35">
      <c r="A787" s="1" t="s">
        <v>1022</v>
      </c>
      <c r="B787" s="1" t="s">
        <v>163</v>
      </c>
      <c r="C787" s="1" t="s">
        <v>14</v>
      </c>
      <c r="D787" s="1" t="s">
        <v>15</v>
      </c>
      <c r="E787" s="1" t="s">
        <v>32</v>
      </c>
      <c r="F787" s="1" t="s">
        <v>39</v>
      </c>
      <c r="G787" s="1" t="s">
        <v>36</v>
      </c>
      <c r="H787" s="1">
        <v>13734</v>
      </c>
      <c r="I787" s="1" t="s">
        <v>33</v>
      </c>
      <c r="J787" s="1">
        <v>0.3</v>
      </c>
      <c r="K787" s="1">
        <v>14000</v>
      </c>
      <c r="L787" s="2">
        <v>45314</v>
      </c>
      <c r="M787" s="10" t="str">
        <f t="shared" si="12"/>
        <v>Below Target</v>
      </c>
    </row>
    <row r="788" spans="1:13" x14ac:dyDescent="0.35">
      <c r="A788" s="1" t="s">
        <v>1023</v>
      </c>
      <c r="B788" s="1" t="s">
        <v>391</v>
      </c>
      <c r="C788" s="1" t="s">
        <v>30</v>
      </c>
      <c r="D788" s="1" t="s">
        <v>31</v>
      </c>
      <c r="E788" s="1" t="s">
        <v>16</v>
      </c>
      <c r="F788" s="1" t="s">
        <v>39</v>
      </c>
      <c r="G788" s="1" t="s">
        <v>18</v>
      </c>
      <c r="H788" s="1">
        <v>18152</v>
      </c>
      <c r="I788" s="1" t="s">
        <v>33</v>
      </c>
      <c r="J788" s="1">
        <v>0.3</v>
      </c>
      <c r="K788" s="1">
        <v>17000</v>
      </c>
      <c r="L788" s="2">
        <v>45302</v>
      </c>
      <c r="M788" s="10" t="str">
        <f t="shared" si="12"/>
        <v>Target Achieved</v>
      </c>
    </row>
    <row r="789" spans="1:13" x14ac:dyDescent="0.35">
      <c r="A789" s="1" t="s">
        <v>1024</v>
      </c>
      <c r="B789" s="1" t="s">
        <v>38</v>
      </c>
      <c r="C789" s="1" t="s">
        <v>61</v>
      </c>
      <c r="D789" s="1" t="s">
        <v>62</v>
      </c>
      <c r="E789" s="1" t="s">
        <v>16</v>
      </c>
      <c r="F789" s="1" t="s">
        <v>25</v>
      </c>
      <c r="G789" s="1" t="s">
        <v>36</v>
      </c>
      <c r="H789" s="1">
        <v>7183</v>
      </c>
      <c r="I789" s="1" t="s">
        <v>19</v>
      </c>
      <c r="J789" s="1">
        <v>0.2</v>
      </c>
      <c r="K789" s="1">
        <v>9000</v>
      </c>
      <c r="L789" s="2">
        <v>45304</v>
      </c>
      <c r="M789" s="10" t="str">
        <f t="shared" si="12"/>
        <v>Below Target</v>
      </c>
    </row>
    <row r="790" spans="1:13" x14ac:dyDescent="0.35">
      <c r="A790" s="1" t="s">
        <v>1025</v>
      </c>
      <c r="B790" s="1" t="s">
        <v>317</v>
      </c>
      <c r="C790" s="1" t="s">
        <v>44</v>
      </c>
      <c r="D790" s="1" t="s">
        <v>45</v>
      </c>
      <c r="E790" s="1" t="s">
        <v>16</v>
      </c>
      <c r="F790" s="1" t="s">
        <v>25</v>
      </c>
      <c r="G790" s="1" t="s">
        <v>18</v>
      </c>
      <c r="H790" s="1">
        <v>14029</v>
      </c>
      <c r="I790" s="1" t="s">
        <v>22</v>
      </c>
      <c r="J790" s="1">
        <v>0.1</v>
      </c>
      <c r="K790" s="1">
        <v>13000</v>
      </c>
      <c r="L790" s="2">
        <v>45307</v>
      </c>
      <c r="M790" s="10" t="str">
        <f t="shared" si="12"/>
        <v>Target Achieved</v>
      </c>
    </row>
    <row r="791" spans="1:13" x14ac:dyDescent="0.35">
      <c r="A791" s="1" t="s">
        <v>1026</v>
      </c>
      <c r="B791" s="1" t="s">
        <v>373</v>
      </c>
      <c r="C791" s="1" t="s">
        <v>30</v>
      </c>
      <c r="D791" s="1" t="s">
        <v>31</v>
      </c>
      <c r="E791" s="1" t="s">
        <v>32</v>
      </c>
      <c r="F791" s="1" t="s">
        <v>17</v>
      </c>
      <c r="G791" s="1" t="s">
        <v>26</v>
      </c>
      <c r="H791" s="1">
        <v>18294</v>
      </c>
      <c r="I791" s="1" t="s">
        <v>22</v>
      </c>
      <c r="J791" s="1">
        <v>0.1</v>
      </c>
      <c r="K791" s="1">
        <v>17000</v>
      </c>
      <c r="L791" s="2">
        <v>45311</v>
      </c>
      <c r="M791" s="10" t="str">
        <f t="shared" si="12"/>
        <v>Target Achieved</v>
      </c>
    </row>
    <row r="792" spans="1:13" x14ac:dyDescent="0.35">
      <c r="A792" s="1" t="s">
        <v>1027</v>
      </c>
      <c r="B792" s="1" t="s">
        <v>231</v>
      </c>
      <c r="C792" s="1" t="s">
        <v>14</v>
      </c>
      <c r="D792" s="1" t="s">
        <v>15</v>
      </c>
      <c r="E792" s="1" t="s">
        <v>46</v>
      </c>
      <c r="F792" s="1" t="s">
        <v>25</v>
      </c>
      <c r="G792" s="1" t="s">
        <v>26</v>
      </c>
      <c r="H792" s="1">
        <v>14203</v>
      </c>
      <c r="I792" s="1" t="s">
        <v>19</v>
      </c>
      <c r="J792" s="1">
        <v>0.2</v>
      </c>
      <c r="K792" s="1">
        <v>14000</v>
      </c>
      <c r="L792" s="2">
        <v>45305</v>
      </c>
      <c r="M792" s="10" t="str">
        <f t="shared" si="12"/>
        <v>Target Achieved</v>
      </c>
    </row>
    <row r="793" spans="1:13" x14ac:dyDescent="0.35">
      <c r="A793" s="1" t="s">
        <v>1028</v>
      </c>
      <c r="B793" s="1" t="s">
        <v>168</v>
      </c>
      <c r="C793" s="1" t="s">
        <v>30</v>
      </c>
      <c r="D793" s="1" t="s">
        <v>31</v>
      </c>
      <c r="E793" s="1" t="s">
        <v>16</v>
      </c>
      <c r="F793" s="1" t="s">
        <v>17</v>
      </c>
      <c r="G793" s="1" t="s">
        <v>26</v>
      </c>
      <c r="H793" s="1">
        <v>17989</v>
      </c>
      <c r="I793" s="1" t="s">
        <v>19</v>
      </c>
      <c r="J793" s="1">
        <v>0.2</v>
      </c>
      <c r="K793" s="1">
        <v>17000</v>
      </c>
      <c r="L793" s="2">
        <v>45336</v>
      </c>
      <c r="M793" s="10" t="str">
        <f t="shared" si="12"/>
        <v>Target Achieved</v>
      </c>
    </row>
    <row r="794" spans="1:13" x14ac:dyDescent="0.35">
      <c r="A794" s="1" t="s">
        <v>1029</v>
      </c>
      <c r="B794" s="1" t="s">
        <v>765</v>
      </c>
      <c r="C794" s="1" t="s">
        <v>14</v>
      </c>
      <c r="D794" s="1" t="s">
        <v>15</v>
      </c>
      <c r="E794" s="1" t="s">
        <v>46</v>
      </c>
      <c r="F794" s="1" t="s">
        <v>39</v>
      </c>
      <c r="G794" s="1" t="s">
        <v>26</v>
      </c>
      <c r="H794" s="1">
        <v>14157</v>
      </c>
      <c r="I794" s="1" t="s">
        <v>22</v>
      </c>
      <c r="J794" s="1">
        <v>0.1</v>
      </c>
      <c r="K794" s="1">
        <v>14000</v>
      </c>
      <c r="L794" s="2">
        <v>45308</v>
      </c>
      <c r="M794" s="10" t="str">
        <f t="shared" si="12"/>
        <v>Target Achieved</v>
      </c>
    </row>
    <row r="795" spans="1:13" x14ac:dyDescent="0.35">
      <c r="A795" s="1" t="s">
        <v>1030</v>
      </c>
      <c r="B795" s="1" t="s">
        <v>557</v>
      </c>
      <c r="C795" s="1" t="s">
        <v>30</v>
      </c>
      <c r="D795" s="1" t="s">
        <v>31</v>
      </c>
      <c r="E795" s="1" t="s">
        <v>32</v>
      </c>
      <c r="F795" s="1" t="s">
        <v>39</v>
      </c>
      <c r="G795" s="1" t="s">
        <v>26</v>
      </c>
      <c r="H795" s="1">
        <v>16111</v>
      </c>
      <c r="I795" s="1" t="s">
        <v>22</v>
      </c>
      <c r="J795" s="1">
        <v>0.1</v>
      </c>
      <c r="K795" s="1">
        <v>17000</v>
      </c>
      <c r="L795" s="2">
        <v>45321</v>
      </c>
      <c r="M795" s="10" t="str">
        <f t="shared" si="12"/>
        <v>Below Target</v>
      </c>
    </row>
    <row r="796" spans="1:13" x14ac:dyDescent="0.35">
      <c r="A796" s="1" t="s">
        <v>1031</v>
      </c>
      <c r="B796" s="1" t="s">
        <v>1032</v>
      </c>
      <c r="C796" s="1" t="s">
        <v>14</v>
      </c>
      <c r="D796" s="1" t="s">
        <v>15</v>
      </c>
      <c r="E796" s="1" t="s">
        <v>46</v>
      </c>
      <c r="F796" s="1" t="s">
        <v>39</v>
      </c>
      <c r="G796" s="1" t="s">
        <v>36</v>
      </c>
      <c r="H796" s="1">
        <v>14715</v>
      </c>
      <c r="I796" s="1" t="s">
        <v>33</v>
      </c>
      <c r="J796" s="1">
        <v>0.3</v>
      </c>
      <c r="K796" s="1">
        <v>14000</v>
      </c>
      <c r="L796" s="2">
        <v>45347</v>
      </c>
      <c r="M796" s="10" t="str">
        <f t="shared" si="12"/>
        <v>Target Achieved</v>
      </c>
    </row>
    <row r="797" spans="1:13" x14ac:dyDescent="0.35">
      <c r="A797" s="1" t="s">
        <v>1033</v>
      </c>
      <c r="B797" s="1" t="s">
        <v>43</v>
      </c>
      <c r="C797" s="1" t="s">
        <v>30</v>
      </c>
      <c r="D797" s="1" t="s">
        <v>31</v>
      </c>
      <c r="E797" s="1" t="s">
        <v>16</v>
      </c>
      <c r="F797" s="1" t="s">
        <v>17</v>
      </c>
      <c r="G797" s="1" t="s">
        <v>18</v>
      </c>
      <c r="H797" s="1">
        <v>16559</v>
      </c>
      <c r="I797" s="1" t="s">
        <v>27</v>
      </c>
      <c r="J797" s="1"/>
      <c r="K797" s="1">
        <v>17000</v>
      </c>
      <c r="L797" s="2">
        <v>45337</v>
      </c>
      <c r="M797" s="10" t="str">
        <f t="shared" si="12"/>
        <v>Below Target</v>
      </c>
    </row>
    <row r="798" spans="1:13" x14ac:dyDescent="0.35">
      <c r="A798" s="1" t="s">
        <v>1034</v>
      </c>
      <c r="B798" s="1" t="s">
        <v>432</v>
      </c>
      <c r="C798" s="1" t="s">
        <v>61</v>
      </c>
      <c r="D798" s="1" t="s">
        <v>62</v>
      </c>
      <c r="E798" s="1" t="s">
        <v>16</v>
      </c>
      <c r="F798" s="1" t="s">
        <v>39</v>
      </c>
      <c r="G798" s="1" t="s">
        <v>18</v>
      </c>
      <c r="H798" s="1">
        <v>7763</v>
      </c>
      <c r="I798" s="1" t="s">
        <v>19</v>
      </c>
      <c r="J798" s="1">
        <v>0.2</v>
      </c>
      <c r="K798" s="1">
        <v>9000</v>
      </c>
      <c r="L798" s="2">
        <v>45324</v>
      </c>
      <c r="M798" s="10" t="str">
        <f t="shared" si="12"/>
        <v>Below Target</v>
      </c>
    </row>
    <row r="799" spans="1:13" x14ac:dyDescent="0.35">
      <c r="A799" s="1" t="s">
        <v>1035</v>
      </c>
      <c r="B799" s="1" t="s">
        <v>330</v>
      </c>
      <c r="C799" s="1" t="s">
        <v>14</v>
      </c>
      <c r="D799" s="1" t="s">
        <v>15</v>
      </c>
      <c r="E799" s="1" t="s">
        <v>32</v>
      </c>
      <c r="F799" s="1" t="s">
        <v>25</v>
      </c>
      <c r="G799" s="1" t="s">
        <v>26</v>
      </c>
      <c r="H799" s="1">
        <v>13248</v>
      </c>
      <c r="I799" s="1" t="s">
        <v>33</v>
      </c>
      <c r="J799" s="1">
        <v>0.3</v>
      </c>
      <c r="K799" s="1">
        <v>14000</v>
      </c>
      <c r="L799" s="2">
        <v>45323</v>
      </c>
      <c r="M799" s="10" t="str">
        <f t="shared" si="12"/>
        <v>Below Target</v>
      </c>
    </row>
    <row r="800" spans="1:13" x14ac:dyDescent="0.35">
      <c r="A800" s="1" t="s">
        <v>1036</v>
      </c>
      <c r="B800" s="1" t="s">
        <v>101</v>
      </c>
      <c r="C800" s="1" t="s">
        <v>44</v>
      </c>
      <c r="D800" s="1" t="s">
        <v>45</v>
      </c>
      <c r="E800" s="1" t="s">
        <v>32</v>
      </c>
      <c r="F800" s="1" t="s">
        <v>17</v>
      </c>
      <c r="G800" s="1" t="s">
        <v>26</v>
      </c>
      <c r="H800" s="1">
        <v>12441</v>
      </c>
      <c r="I800" s="1" t="s">
        <v>33</v>
      </c>
      <c r="J800" s="1">
        <v>0.3</v>
      </c>
      <c r="K800" s="1">
        <v>13000</v>
      </c>
      <c r="L800" s="2">
        <v>45332</v>
      </c>
      <c r="M800" s="10" t="str">
        <f t="shared" si="12"/>
        <v>Below Target</v>
      </c>
    </row>
    <row r="801" spans="1:13" x14ac:dyDescent="0.35">
      <c r="A801" s="1" t="s">
        <v>1037</v>
      </c>
      <c r="B801" s="1" t="s">
        <v>289</v>
      </c>
      <c r="C801" s="1" t="s">
        <v>30</v>
      </c>
      <c r="D801" s="1" t="s">
        <v>31</v>
      </c>
      <c r="E801" s="1" t="s">
        <v>32</v>
      </c>
      <c r="F801" s="1" t="s">
        <v>39</v>
      </c>
      <c r="G801" s="1" t="s">
        <v>36</v>
      </c>
      <c r="H801" s="1">
        <v>18599</v>
      </c>
      <c r="I801" s="1"/>
      <c r="J801" s="1"/>
      <c r="K801" s="1">
        <v>17000</v>
      </c>
      <c r="L801" s="2">
        <v>45348</v>
      </c>
      <c r="M801" s="10" t="str">
        <f t="shared" si="12"/>
        <v>Target Achieved</v>
      </c>
    </row>
    <row r="802" spans="1:13" x14ac:dyDescent="0.35">
      <c r="A802" s="1" t="s">
        <v>1038</v>
      </c>
      <c r="B802" s="1" t="s">
        <v>676</v>
      </c>
      <c r="C802" s="1" t="s">
        <v>30</v>
      </c>
      <c r="D802" s="1" t="s">
        <v>31</v>
      </c>
      <c r="E802" s="1" t="s">
        <v>32</v>
      </c>
      <c r="F802" s="1" t="s">
        <v>25</v>
      </c>
      <c r="G802" s="1" t="s">
        <v>36</v>
      </c>
      <c r="H802" s="1">
        <v>18674</v>
      </c>
      <c r="I802" s="1"/>
      <c r="J802" s="1"/>
      <c r="K802" s="1">
        <v>17000</v>
      </c>
      <c r="L802" s="2">
        <v>45334</v>
      </c>
      <c r="M802" s="10" t="str">
        <f t="shared" si="12"/>
        <v>Target Achieved</v>
      </c>
    </row>
    <row r="803" spans="1:13" x14ac:dyDescent="0.35">
      <c r="A803" s="1" t="s">
        <v>1039</v>
      </c>
      <c r="B803" s="1" t="s">
        <v>325</v>
      </c>
      <c r="C803" s="1" t="s">
        <v>61</v>
      </c>
      <c r="D803" s="1" t="s">
        <v>62</v>
      </c>
      <c r="E803" s="1" t="s">
        <v>16</v>
      </c>
      <c r="F803" s="1" t="s">
        <v>39</v>
      </c>
      <c r="G803" s="1" t="s">
        <v>26</v>
      </c>
      <c r="H803" s="1">
        <v>10574</v>
      </c>
      <c r="I803" s="1" t="s">
        <v>19</v>
      </c>
      <c r="J803" s="1">
        <v>0.2</v>
      </c>
      <c r="K803" s="1">
        <v>9000</v>
      </c>
      <c r="L803" s="2">
        <v>45318</v>
      </c>
      <c r="M803" s="10" t="str">
        <f t="shared" si="12"/>
        <v>Target Achieved</v>
      </c>
    </row>
    <row r="804" spans="1:13" x14ac:dyDescent="0.35">
      <c r="A804" s="1" t="s">
        <v>1040</v>
      </c>
      <c r="B804" s="1" t="s">
        <v>56</v>
      </c>
      <c r="C804" s="1" t="s">
        <v>44</v>
      </c>
      <c r="D804" s="1" t="s">
        <v>45</v>
      </c>
      <c r="E804" s="1" t="s">
        <v>46</v>
      </c>
      <c r="F804" s="1" t="s">
        <v>17</v>
      </c>
      <c r="G804" s="1" t="s">
        <v>26</v>
      </c>
      <c r="H804" s="1">
        <v>12348</v>
      </c>
      <c r="I804" s="1"/>
      <c r="J804" s="1"/>
      <c r="K804" s="1">
        <v>13000</v>
      </c>
      <c r="L804" s="2">
        <v>45326</v>
      </c>
      <c r="M804" s="10" t="str">
        <f t="shared" si="12"/>
        <v>Below Target</v>
      </c>
    </row>
    <row r="805" spans="1:13" x14ac:dyDescent="0.35">
      <c r="A805" s="1" t="s">
        <v>1041</v>
      </c>
      <c r="B805" s="1" t="s">
        <v>35</v>
      </c>
      <c r="C805" s="1" t="s">
        <v>44</v>
      </c>
      <c r="D805" s="1" t="s">
        <v>45</v>
      </c>
      <c r="E805" s="1" t="s">
        <v>16</v>
      </c>
      <c r="F805" s="1" t="s">
        <v>39</v>
      </c>
      <c r="G805" s="1" t="s">
        <v>26</v>
      </c>
      <c r="H805" s="1">
        <v>14277</v>
      </c>
      <c r="I805" s="1" t="s">
        <v>19</v>
      </c>
      <c r="J805" s="1">
        <v>0.2</v>
      </c>
      <c r="K805" s="1">
        <v>13000</v>
      </c>
      <c r="L805" s="2">
        <v>45347</v>
      </c>
      <c r="M805" s="10" t="str">
        <f t="shared" si="12"/>
        <v>Target Achieved</v>
      </c>
    </row>
    <row r="806" spans="1:13" x14ac:dyDescent="0.35">
      <c r="A806" s="1" t="s">
        <v>1042</v>
      </c>
      <c r="B806" s="1" t="s">
        <v>256</v>
      </c>
      <c r="C806" s="1" t="s">
        <v>44</v>
      </c>
      <c r="D806" s="1" t="s">
        <v>45</v>
      </c>
      <c r="E806" s="1" t="s">
        <v>46</v>
      </c>
      <c r="F806" s="1" t="s">
        <v>25</v>
      </c>
      <c r="G806" s="1" t="s">
        <v>26</v>
      </c>
      <c r="H806" s="1">
        <v>14821</v>
      </c>
      <c r="I806" s="1" t="s">
        <v>27</v>
      </c>
      <c r="J806" s="1"/>
      <c r="K806" s="1">
        <v>13000</v>
      </c>
      <c r="L806" s="2">
        <v>45350</v>
      </c>
      <c r="M806" s="10" t="str">
        <f t="shared" si="12"/>
        <v>Target Achieved</v>
      </c>
    </row>
    <row r="807" spans="1:13" x14ac:dyDescent="0.35">
      <c r="A807" s="1" t="s">
        <v>1043</v>
      </c>
      <c r="B807" s="1" t="s">
        <v>74</v>
      </c>
      <c r="C807" s="1" t="s">
        <v>14</v>
      </c>
      <c r="D807" s="1" t="s">
        <v>15</v>
      </c>
      <c r="E807" s="1" t="s">
        <v>16</v>
      </c>
      <c r="F807" s="1" t="s">
        <v>39</v>
      </c>
      <c r="G807" s="1" t="s">
        <v>26</v>
      </c>
      <c r="H807" s="1">
        <v>12484</v>
      </c>
      <c r="I807" s="1" t="s">
        <v>19</v>
      </c>
      <c r="J807" s="1">
        <v>0.2</v>
      </c>
      <c r="K807" s="1">
        <v>14000</v>
      </c>
      <c r="L807" s="2">
        <v>45312</v>
      </c>
      <c r="M807" s="10" t="str">
        <f t="shared" si="12"/>
        <v>Below Target</v>
      </c>
    </row>
    <row r="808" spans="1:13" x14ac:dyDescent="0.35">
      <c r="A808" s="1" t="s">
        <v>1044</v>
      </c>
      <c r="B808" s="1" t="s">
        <v>412</v>
      </c>
      <c r="C808" s="1" t="s">
        <v>14</v>
      </c>
      <c r="D808" s="1" t="s">
        <v>15</v>
      </c>
      <c r="E808" s="1" t="s">
        <v>46</v>
      </c>
      <c r="F808" s="1" t="s">
        <v>17</v>
      </c>
      <c r="G808" s="1" t="s">
        <v>36</v>
      </c>
      <c r="H808" s="1">
        <v>13242</v>
      </c>
      <c r="I808" s="1"/>
      <c r="J808" s="1"/>
      <c r="K808" s="1">
        <v>14000</v>
      </c>
      <c r="L808" s="2">
        <v>45339</v>
      </c>
      <c r="M808" s="10" t="str">
        <f t="shared" si="12"/>
        <v>Below Target</v>
      </c>
    </row>
    <row r="809" spans="1:13" x14ac:dyDescent="0.35">
      <c r="A809" s="1" t="s">
        <v>1045</v>
      </c>
      <c r="B809" s="1" t="s">
        <v>454</v>
      </c>
      <c r="C809" s="1" t="s">
        <v>30</v>
      </c>
      <c r="D809" s="1" t="s">
        <v>31</v>
      </c>
      <c r="E809" s="1" t="s">
        <v>32</v>
      </c>
      <c r="F809" s="1" t="s">
        <v>25</v>
      </c>
      <c r="G809" s="1" t="s">
        <v>18</v>
      </c>
      <c r="H809" s="1">
        <v>15538</v>
      </c>
      <c r="I809" s="1" t="s">
        <v>19</v>
      </c>
      <c r="J809" s="1">
        <v>0.2</v>
      </c>
      <c r="K809" s="1">
        <v>17000</v>
      </c>
      <c r="L809" s="2">
        <v>45293</v>
      </c>
      <c r="M809" s="10" t="str">
        <f t="shared" si="12"/>
        <v>Below Target</v>
      </c>
    </row>
    <row r="810" spans="1:13" x14ac:dyDescent="0.35">
      <c r="A810" s="1" t="s">
        <v>1046</v>
      </c>
      <c r="B810" s="1" t="s">
        <v>522</v>
      </c>
      <c r="C810" s="1" t="s">
        <v>30</v>
      </c>
      <c r="D810" s="1" t="s">
        <v>31</v>
      </c>
      <c r="E810" s="1" t="s">
        <v>16</v>
      </c>
      <c r="F810" s="1" t="s">
        <v>39</v>
      </c>
      <c r="G810" s="1" t="s">
        <v>26</v>
      </c>
      <c r="H810" s="1">
        <v>15945</v>
      </c>
      <c r="I810" s="1" t="s">
        <v>27</v>
      </c>
      <c r="J810" s="1"/>
      <c r="K810" s="1">
        <v>17000</v>
      </c>
      <c r="L810" s="2">
        <v>45306</v>
      </c>
      <c r="M810" s="10" t="str">
        <f t="shared" si="12"/>
        <v>Below Target</v>
      </c>
    </row>
    <row r="811" spans="1:13" x14ac:dyDescent="0.35">
      <c r="A811" s="1" t="s">
        <v>1047</v>
      </c>
      <c r="B811" s="1" t="s">
        <v>817</v>
      </c>
      <c r="C811" s="1" t="s">
        <v>14</v>
      </c>
      <c r="D811" s="1" t="s">
        <v>15</v>
      </c>
      <c r="E811" s="1" t="s">
        <v>46</v>
      </c>
      <c r="F811" s="1" t="s">
        <v>25</v>
      </c>
      <c r="G811" s="1" t="s">
        <v>26</v>
      </c>
      <c r="H811" s="1">
        <v>15194</v>
      </c>
      <c r="I811" s="1"/>
      <c r="J811" s="1"/>
      <c r="K811" s="1">
        <v>14000</v>
      </c>
      <c r="L811" s="2">
        <v>45300</v>
      </c>
      <c r="M811" s="10" t="str">
        <f t="shared" si="12"/>
        <v>Target Achieved</v>
      </c>
    </row>
    <row r="812" spans="1:13" x14ac:dyDescent="0.35">
      <c r="A812" s="1" t="s">
        <v>1048</v>
      </c>
      <c r="B812" s="1" t="s">
        <v>105</v>
      </c>
      <c r="C812" s="1" t="s">
        <v>61</v>
      </c>
      <c r="D812" s="1" t="s">
        <v>62</v>
      </c>
      <c r="E812" s="1" t="s">
        <v>16</v>
      </c>
      <c r="F812" s="1" t="s">
        <v>39</v>
      </c>
      <c r="G812" s="1" t="s">
        <v>36</v>
      </c>
      <c r="H812" s="1">
        <v>7753</v>
      </c>
      <c r="I812" s="1"/>
      <c r="J812" s="1"/>
      <c r="K812" s="1">
        <v>9000</v>
      </c>
      <c r="L812" s="2">
        <v>45323</v>
      </c>
      <c r="M812" s="10" t="str">
        <f t="shared" si="12"/>
        <v>Below Target</v>
      </c>
    </row>
    <row r="813" spans="1:13" x14ac:dyDescent="0.35">
      <c r="A813" s="1" t="s">
        <v>1049</v>
      </c>
      <c r="B813" s="1" t="s">
        <v>508</v>
      </c>
      <c r="C813" s="1" t="s">
        <v>44</v>
      </c>
      <c r="D813" s="1" t="s">
        <v>45</v>
      </c>
      <c r="E813" s="1" t="s">
        <v>32</v>
      </c>
      <c r="F813" s="1" t="s">
        <v>25</v>
      </c>
      <c r="G813" s="1" t="s">
        <v>18</v>
      </c>
      <c r="H813" s="1">
        <v>12673</v>
      </c>
      <c r="I813" s="1" t="s">
        <v>22</v>
      </c>
      <c r="J813" s="1">
        <v>0.1</v>
      </c>
      <c r="K813" s="1">
        <v>13000</v>
      </c>
      <c r="L813" s="2">
        <v>45351</v>
      </c>
      <c r="M813" s="10" t="str">
        <f t="shared" si="12"/>
        <v>Below Target</v>
      </c>
    </row>
    <row r="814" spans="1:13" x14ac:dyDescent="0.35">
      <c r="A814" s="1" t="s">
        <v>1050</v>
      </c>
      <c r="B814" s="1" t="s">
        <v>70</v>
      </c>
      <c r="C814" s="1" t="s">
        <v>44</v>
      </c>
      <c r="D814" s="1" t="s">
        <v>45</v>
      </c>
      <c r="E814" s="1" t="s">
        <v>16</v>
      </c>
      <c r="F814" s="1" t="s">
        <v>39</v>
      </c>
      <c r="G814" s="1" t="s">
        <v>18</v>
      </c>
      <c r="H814" s="1">
        <v>14103</v>
      </c>
      <c r="I814" s="1" t="s">
        <v>19</v>
      </c>
      <c r="J814" s="1">
        <v>0.2</v>
      </c>
      <c r="K814" s="1">
        <v>13000</v>
      </c>
      <c r="L814" s="2">
        <v>45296</v>
      </c>
      <c r="M814" s="10" t="str">
        <f t="shared" si="12"/>
        <v>Target Achieved</v>
      </c>
    </row>
    <row r="815" spans="1:13" x14ac:dyDescent="0.35">
      <c r="A815" s="1" t="s">
        <v>1051</v>
      </c>
      <c r="B815" s="1" t="s">
        <v>429</v>
      </c>
      <c r="C815" s="1" t="s">
        <v>61</v>
      </c>
      <c r="D815" s="1" t="s">
        <v>62</v>
      </c>
      <c r="E815" s="1" t="s">
        <v>16</v>
      </c>
      <c r="F815" s="1" t="s">
        <v>17</v>
      </c>
      <c r="G815" s="1" t="s">
        <v>36</v>
      </c>
      <c r="H815" s="1">
        <v>10635</v>
      </c>
      <c r="I815" s="1" t="s">
        <v>19</v>
      </c>
      <c r="J815" s="1">
        <v>0.2</v>
      </c>
      <c r="K815" s="1">
        <v>9000</v>
      </c>
      <c r="L815" s="2">
        <v>45319</v>
      </c>
      <c r="M815" s="10" t="str">
        <f t="shared" si="12"/>
        <v>Target Achieved</v>
      </c>
    </row>
    <row r="816" spans="1:13" x14ac:dyDescent="0.35">
      <c r="A816" s="1" t="s">
        <v>1052</v>
      </c>
      <c r="B816" s="1" t="s">
        <v>155</v>
      </c>
      <c r="C816" s="1" t="s">
        <v>14</v>
      </c>
      <c r="D816" s="1" t="s">
        <v>15</v>
      </c>
      <c r="E816" s="1" t="s">
        <v>16</v>
      </c>
      <c r="F816" s="1" t="s">
        <v>39</v>
      </c>
      <c r="G816" s="1" t="s">
        <v>36</v>
      </c>
      <c r="H816" s="1">
        <v>14949</v>
      </c>
      <c r="I816" s="1" t="s">
        <v>33</v>
      </c>
      <c r="J816" s="1">
        <v>0.3</v>
      </c>
      <c r="K816" s="1">
        <v>14000</v>
      </c>
      <c r="L816" s="2">
        <v>45317</v>
      </c>
      <c r="M816" s="10" t="str">
        <f t="shared" si="12"/>
        <v>Target Achieved</v>
      </c>
    </row>
    <row r="817" spans="1:13" x14ac:dyDescent="0.35">
      <c r="A817" s="1" t="s">
        <v>1053</v>
      </c>
      <c r="B817" s="1" t="s">
        <v>233</v>
      </c>
      <c r="C817" s="1" t="s">
        <v>14</v>
      </c>
      <c r="D817" s="1" t="s">
        <v>15</v>
      </c>
      <c r="E817" s="1" t="s">
        <v>16</v>
      </c>
      <c r="F817" s="1" t="s">
        <v>25</v>
      </c>
      <c r="G817" s="1" t="s">
        <v>36</v>
      </c>
      <c r="H817" s="1">
        <v>13871</v>
      </c>
      <c r="I817" s="1" t="s">
        <v>22</v>
      </c>
      <c r="J817" s="1">
        <v>0.1</v>
      </c>
      <c r="K817" s="1">
        <v>14000</v>
      </c>
      <c r="L817" s="2">
        <v>45348</v>
      </c>
      <c r="M817" s="10" t="str">
        <f t="shared" si="12"/>
        <v>Below Target</v>
      </c>
    </row>
    <row r="818" spans="1:13" x14ac:dyDescent="0.35">
      <c r="A818" s="1" t="s">
        <v>1054</v>
      </c>
      <c r="B818" s="1" t="s">
        <v>24</v>
      </c>
      <c r="C818" s="1" t="s">
        <v>61</v>
      </c>
      <c r="D818" s="1" t="s">
        <v>62</v>
      </c>
      <c r="E818" s="1" t="s">
        <v>16</v>
      </c>
      <c r="F818" s="1" t="s">
        <v>25</v>
      </c>
      <c r="G818" s="1" t="s">
        <v>26</v>
      </c>
      <c r="H818" s="1">
        <v>8586</v>
      </c>
      <c r="I818" s="1" t="s">
        <v>27</v>
      </c>
      <c r="J818" s="1"/>
      <c r="K818" s="1">
        <v>9000</v>
      </c>
      <c r="L818" s="2">
        <v>45340</v>
      </c>
      <c r="M818" s="10" t="str">
        <f t="shared" si="12"/>
        <v>Below Target</v>
      </c>
    </row>
    <row r="819" spans="1:13" x14ac:dyDescent="0.35">
      <c r="A819" s="1" t="s">
        <v>1055</v>
      </c>
      <c r="B819" s="1" t="s">
        <v>1032</v>
      </c>
      <c r="C819" s="1" t="s">
        <v>44</v>
      </c>
      <c r="D819" s="1" t="s">
        <v>45</v>
      </c>
      <c r="E819" s="1" t="s">
        <v>46</v>
      </c>
      <c r="F819" s="1" t="s">
        <v>17</v>
      </c>
      <c r="G819" s="1" t="s">
        <v>36</v>
      </c>
      <c r="H819" s="1">
        <v>14622</v>
      </c>
      <c r="I819" s="1" t="s">
        <v>33</v>
      </c>
      <c r="J819" s="1">
        <v>0.3</v>
      </c>
      <c r="K819" s="1">
        <v>13000</v>
      </c>
      <c r="L819" s="2">
        <v>45341</v>
      </c>
      <c r="M819" s="10" t="str">
        <f t="shared" si="12"/>
        <v>Target Achieved</v>
      </c>
    </row>
    <row r="820" spans="1:13" x14ac:dyDescent="0.35">
      <c r="A820" s="1" t="s">
        <v>1056</v>
      </c>
      <c r="B820" s="1" t="s">
        <v>643</v>
      </c>
      <c r="C820" s="1" t="s">
        <v>61</v>
      </c>
      <c r="D820" s="1" t="s">
        <v>62</v>
      </c>
      <c r="E820" s="1" t="s">
        <v>32</v>
      </c>
      <c r="F820" s="1" t="s">
        <v>17</v>
      </c>
      <c r="G820" s="1" t="s">
        <v>36</v>
      </c>
      <c r="H820" s="1">
        <v>9511</v>
      </c>
      <c r="I820" s="1" t="s">
        <v>22</v>
      </c>
      <c r="J820" s="1">
        <v>0.1</v>
      </c>
      <c r="K820" s="1">
        <v>9000</v>
      </c>
      <c r="L820" s="2">
        <v>45336</v>
      </c>
      <c r="M820" s="10" t="str">
        <f t="shared" si="12"/>
        <v>Target Achieved</v>
      </c>
    </row>
    <row r="821" spans="1:13" x14ac:dyDescent="0.35">
      <c r="A821" s="1" t="s">
        <v>1057</v>
      </c>
      <c r="B821" s="1" t="s">
        <v>80</v>
      </c>
      <c r="C821" s="1" t="s">
        <v>61</v>
      </c>
      <c r="D821" s="1" t="s">
        <v>62</v>
      </c>
      <c r="E821" s="1" t="s">
        <v>16</v>
      </c>
      <c r="F821" s="1" t="s">
        <v>17</v>
      </c>
      <c r="G821" s="1" t="s">
        <v>18</v>
      </c>
      <c r="H821" s="1">
        <v>9959</v>
      </c>
      <c r="I821" s="1" t="s">
        <v>27</v>
      </c>
      <c r="J821" s="1"/>
      <c r="K821" s="1">
        <v>9000</v>
      </c>
      <c r="L821" s="2">
        <v>45299</v>
      </c>
      <c r="M821" s="10" t="str">
        <f t="shared" si="12"/>
        <v>Target Achieved</v>
      </c>
    </row>
    <row r="822" spans="1:13" x14ac:dyDescent="0.35">
      <c r="A822" s="1" t="s">
        <v>1058</v>
      </c>
      <c r="B822" s="1" t="s">
        <v>135</v>
      </c>
      <c r="C822" s="1" t="s">
        <v>44</v>
      </c>
      <c r="D822" s="1" t="s">
        <v>45</v>
      </c>
      <c r="E822" s="1" t="s">
        <v>46</v>
      </c>
      <c r="F822" s="1" t="s">
        <v>17</v>
      </c>
      <c r="G822" s="1" t="s">
        <v>36</v>
      </c>
      <c r="H822" s="1">
        <v>12846</v>
      </c>
      <c r="I822" s="1" t="s">
        <v>22</v>
      </c>
      <c r="J822" s="1">
        <v>0.1</v>
      </c>
      <c r="K822" s="1">
        <v>13000</v>
      </c>
      <c r="L822" s="2">
        <v>45303</v>
      </c>
      <c r="M822" s="10" t="str">
        <f t="shared" si="12"/>
        <v>Below Target</v>
      </c>
    </row>
    <row r="823" spans="1:13" x14ac:dyDescent="0.35">
      <c r="A823" s="1" t="s">
        <v>1059</v>
      </c>
      <c r="B823" s="1" t="s">
        <v>600</v>
      </c>
      <c r="C823" s="1" t="s">
        <v>44</v>
      </c>
      <c r="D823" s="1" t="s">
        <v>45</v>
      </c>
      <c r="E823" s="1" t="s">
        <v>46</v>
      </c>
      <c r="F823" s="1" t="s">
        <v>25</v>
      </c>
      <c r="G823" s="1" t="s">
        <v>36</v>
      </c>
      <c r="H823" s="1">
        <v>12327</v>
      </c>
      <c r="I823" s="1" t="s">
        <v>19</v>
      </c>
      <c r="J823" s="1">
        <v>0.2</v>
      </c>
      <c r="K823" s="1">
        <v>13000</v>
      </c>
      <c r="L823" s="2">
        <v>45337</v>
      </c>
      <c r="M823" s="10" t="str">
        <f t="shared" si="12"/>
        <v>Below Target</v>
      </c>
    </row>
    <row r="824" spans="1:13" x14ac:dyDescent="0.35">
      <c r="A824" s="1" t="s">
        <v>1060</v>
      </c>
      <c r="B824" s="1" t="s">
        <v>1000</v>
      </c>
      <c r="C824" s="1" t="s">
        <v>14</v>
      </c>
      <c r="D824" s="1" t="s">
        <v>15</v>
      </c>
      <c r="E824" s="1" t="s">
        <v>32</v>
      </c>
      <c r="F824" s="1" t="s">
        <v>39</v>
      </c>
      <c r="G824" s="1" t="s">
        <v>36</v>
      </c>
      <c r="H824" s="1">
        <v>14597</v>
      </c>
      <c r="I824" s="1" t="s">
        <v>33</v>
      </c>
      <c r="J824" s="1">
        <v>0.3</v>
      </c>
      <c r="K824" s="1">
        <v>14000</v>
      </c>
      <c r="L824" s="2">
        <v>45297</v>
      </c>
      <c r="M824" s="10" t="str">
        <f t="shared" si="12"/>
        <v>Target Achieved</v>
      </c>
    </row>
    <row r="825" spans="1:13" x14ac:dyDescent="0.35">
      <c r="A825" s="1" t="s">
        <v>1061</v>
      </c>
      <c r="B825" s="1" t="s">
        <v>548</v>
      </c>
      <c r="C825" s="1" t="s">
        <v>61</v>
      </c>
      <c r="D825" s="1" t="s">
        <v>62</v>
      </c>
      <c r="E825" s="1" t="s">
        <v>16</v>
      </c>
      <c r="F825" s="1" t="s">
        <v>39</v>
      </c>
      <c r="G825" s="1" t="s">
        <v>26</v>
      </c>
      <c r="H825" s="1">
        <v>10890</v>
      </c>
      <c r="I825" s="1" t="s">
        <v>19</v>
      </c>
      <c r="J825" s="1">
        <v>0.2</v>
      </c>
      <c r="K825" s="1">
        <v>9000</v>
      </c>
      <c r="L825" s="2">
        <v>45316</v>
      </c>
      <c r="M825" s="10" t="str">
        <f t="shared" si="12"/>
        <v>Target Achieved</v>
      </c>
    </row>
    <row r="826" spans="1:13" x14ac:dyDescent="0.35">
      <c r="A826" s="1" t="s">
        <v>1062</v>
      </c>
      <c r="B826" s="1" t="s">
        <v>388</v>
      </c>
      <c r="C826" s="1" t="s">
        <v>14</v>
      </c>
      <c r="D826" s="1" t="s">
        <v>15</v>
      </c>
      <c r="E826" s="1" t="s">
        <v>32</v>
      </c>
      <c r="F826" s="1" t="s">
        <v>17</v>
      </c>
      <c r="G826" s="1" t="s">
        <v>26</v>
      </c>
      <c r="H826" s="1">
        <v>15568</v>
      </c>
      <c r="I826" s="1" t="s">
        <v>19</v>
      </c>
      <c r="J826" s="1">
        <v>0.2</v>
      </c>
      <c r="K826" s="1">
        <v>14000</v>
      </c>
      <c r="L826" s="2">
        <v>45302</v>
      </c>
      <c r="M826" s="10" t="str">
        <f t="shared" si="12"/>
        <v>Target Achieved</v>
      </c>
    </row>
    <row r="827" spans="1:13" x14ac:dyDescent="0.35">
      <c r="A827" s="1" t="s">
        <v>1063</v>
      </c>
      <c r="B827" s="1" t="s">
        <v>412</v>
      </c>
      <c r="C827" s="1" t="s">
        <v>44</v>
      </c>
      <c r="D827" s="1" t="s">
        <v>45</v>
      </c>
      <c r="E827" s="1" t="s">
        <v>16</v>
      </c>
      <c r="F827" s="1" t="s">
        <v>25</v>
      </c>
      <c r="G827" s="1" t="s">
        <v>36</v>
      </c>
      <c r="H827" s="1">
        <v>12261</v>
      </c>
      <c r="I827" s="1" t="s">
        <v>33</v>
      </c>
      <c r="J827" s="1">
        <v>0.3</v>
      </c>
      <c r="K827" s="1">
        <v>13000</v>
      </c>
      <c r="L827" s="2">
        <v>45338</v>
      </c>
      <c r="M827" s="10" t="str">
        <f t="shared" si="12"/>
        <v>Below Target</v>
      </c>
    </row>
    <row r="828" spans="1:13" x14ac:dyDescent="0.35">
      <c r="A828" s="1" t="s">
        <v>1064</v>
      </c>
      <c r="B828" s="1" t="s">
        <v>298</v>
      </c>
      <c r="C828" s="1" t="s">
        <v>30</v>
      </c>
      <c r="D828" s="1" t="s">
        <v>31</v>
      </c>
      <c r="E828" s="1" t="s">
        <v>16</v>
      </c>
      <c r="F828" s="1" t="s">
        <v>25</v>
      </c>
      <c r="G828" s="1" t="s">
        <v>18</v>
      </c>
      <c r="H828" s="1">
        <v>18680</v>
      </c>
      <c r="I828" s="1" t="s">
        <v>19</v>
      </c>
      <c r="J828" s="1">
        <v>0.2</v>
      </c>
      <c r="K828" s="1">
        <v>17000</v>
      </c>
      <c r="L828" s="2">
        <v>45304</v>
      </c>
      <c r="M828" s="10" t="str">
        <f t="shared" si="12"/>
        <v>Target Achieved</v>
      </c>
    </row>
    <row r="829" spans="1:13" x14ac:dyDescent="0.35">
      <c r="A829" s="1" t="s">
        <v>1065</v>
      </c>
      <c r="B829" s="1" t="s">
        <v>109</v>
      </c>
      <c r="C829" s="1" t="s">
        <v>30</v>
      </c>
      <c r="D829" s="1" t="s">
        <v>31</v>
      </c>
      <c r="E829" s="1" t="s">
        <v>32</v>
      </c>
      <c r="F829" s="1" t="s">
        <v>17</v>
      </c>
      <c r="G829" s="1" t="s">
        <v>36</v>
      </c>
      <c r="H829" s="1">
        <v>18503</v>
      </c>
      <c r="I829" s="1"/>
      <c r="J829" s="1"/>
      <c r="K829" s="1">
        <v>17000</v>
      </c>
      <c r="L829" s="2">
        <v>45326</v>
      </c>
      <c r="M829" s="10" t="str">
        <f t="shared" si="12"/>
        <v>Target Achieved</v>
      </c>
    </row>
    <row r="830" spans="1:13" x14ac:dyDescent="0.35">
      <c r="A830" s="1" t="s">
        <v>1066</v>
      </c>
      <c r="B830" s="1" t="s">
        <v>64</v>
      </c>
      <c r="C830" s="1" t="s">
        <v>61</v>
      </c>
      <c r="D830" s="1" t="s">
        <v>62</v>
      </c>
      <c r="E830" s="1" t="s">
        <v>32</v>
      </c>
      <c r="F830" s="1" t="s">
        <v>25</v>
      </c>
      <c r="G830" s="1" t="s">
        <v>26</v>
      </c>
      <c r="H830" s="1">
        <v>9701</v>
      </c>
      <c r="I830" s="1"/>
      <c r="J830" s="1"/>
      <c r="K830" s="1">
        <v>9000</v>
      </c>
      <c r="L830" s="2">
        <v>45321</v>
      </c>
      <c r="M830" s="10" t="str">
        <f t="shared" si="12"/>
        <v>Target Achieved</v>
      </c>
    </row>
    <row r="831" spans="1:13" x14ac:dyDescent="0.35">
      <c r="A831" s="1" t="s">
        <v>1067</v>
      </c>
      <c r="B831" s="1" t="s">
        <v>527</v>
      </c>
      <c r="C831" s="1" t="s">
        <v>14</v>
      </c>
      <c r="D831" s="1" t="s">
        <v>15</v>
      </c>
      <c r="E831" s="1" t="s">
        <v>16</v>
      </c>
      <c r="F831" s="1" t="s">
        <v>39</v>
      </c>
      <c r="G831" s="1" t="s">
        <v>18</v>
      </c>
      <c r="H831" s="1">
        <v>13002</v>
      </c>
      <c r="I831" s="1" t="s">
        <v>27</v>
      </c>
      <c r="J831" s="1"/>
      <c r="K831" s="1">
        <v>14000</v>
      </c>
      <c r="L831" s="2">
        <v>45309</v>
      </c>
      <c r="M831" s="10" t="str">
        <f t="shared" si="12"/>
        <v>Below Target</v>
      </c>
    </row>
    <row r="832" spans="1:13" x14ac:dyDescent="0.35">
      <c r="A832" s="1" t="s">
        <v>1068</v>
      </c>
      <c r="B832" s="1" t="s">
        <v>209</v>
      </c>
      <c r="C832" s="1" t="s">
        <v>44</v>
      </c>
      <c r="D832" s="1" t="s">
        <v>45</v>
      </c>
      <c r="E832" s="1" t="s">
        <v>32</v>
      </c>
      <c r="F832" s="1" t="s">
        <v>25</v>
      </c>
      <c r="G832" s="1" t="s">
        <v>18</v>
      </c>
      <c r="H832" s="1">
        <v>11225</v>
      </c>
      <c r="I832" s="1" t="s">
        <v>33</v>
      </c>
      <c r="J832" s="1">
        <v>0.3</v>
      </c>
      <c r="K832" s="1">
        <v>13000</v>
      </c>
      <c r="L832" s="2">
        <v>45294</v>
      </c>
      <c r="M832" s="10" t="str">
        <f t="shared" si="12"/>
        <v>Below Target</v>
      </c>
    </row>
    <row r="833" spans="1:13" x14ac:dyDescent="0.35">
      <c r="A833" s="1" t="s">
        <v>1069</v>
      </c>
      <c r="B833" s="1" t="s">
        <v>619</v>
      </c>
      <c r="C833" s="1" t="s">
        <v>14</v>
      </c>
      <c r="D833" s="1" t="s">
        <v>15</v>
      </c>
      <c r="E833" s="1" t="s">
        <v>16</v>
      </c>
      <c r="F833" s="1" t="s">
        <v>39</v>
      </c>
      <c r="G833" s="1" t="s">
        <v>26</v>
      </c>
      <c r="H833" s="1">
        <v>13222</v>
      </c>
      <c r="I833" s="1" t="s">
        <v>33</v>
      </c>
      <c r="J833" s="1">
        <v>0.3</v>
      </c>
      <c r="K833" s="1">
        <v>14000</v>
      </c>
      <c r="L833" s="2">
        <v>45350</v>
      </c>
      <c r="M833" s="10" t="str">
        <f t="shared" si="12"/>
        <v>Below Target</v>
      </c>
    </row>
    <row r="834" spans="1:13" x14ac:dyDescent="0.35">
      <c r="A834" s="1" t="s">
        <v>1070</v>
      </c>
      <c r="B834" s="1" t="s">
        <v>43</v>
      </c>
      <c r="C834" s="1" t="s">
        <v>14</v>
      </c>
      <c r="D834" s="1" t="s">
        <v>15</v>
      </c>
      <c r="E834" s="1" t="s">
        <v>46</v>
      </c>
      <c r="F834" s="1" t="s">
        <v>25</v>
      </c>
      <c r="G834" s="1" t="s">
        <v>18</v>
      </c>
      <c r="H834" s="1">
        <v>14752</v>
      </c>
      <c r="I834" s="1" t="s">
        <v>33</v>
      </c>
      <c r="J834" s="1">
        <v>0.3</v>
      </c>
      <c r="K834" s="1">
        <v>14000</v>
      </c>
      <c r="L834" s="2">
        <v>45331</v>
      </c>
      <c r="M834" s="10" t="str">
        <f t="shared" si="12"/>
        <v>Target Achieved</v>
      </c>
    </row>
    <row r="835" spans="1:13" x14ac:dyDescent="0.35">
      <c r="A835" s="1" t="s">
        <v>1071</v>
      </c>
      <c r="B835" s="1" t="s">
        <v>305</v>
      </c>
      <c r="C835" s="1" t="s">
        <v>44</v>
      </c>
      <c r="D835" s="1" t="s">
        <v>45</v>
      </c>
      <c r="E835" s="1" t="s">
        <v>46</v>
      </c>
      <c r="F835" s="1" t="s">
        <v>39</v>
      </c>
      <c r="G835" s="1" t="s">
        <v>26</v>
      </c>
      <c r="H835" s="1">
        <v>12475</v>
      </c>
      <c r="I835" s="1" t="s">
        <v>22</v>
      </c>
      <c r="J835" s="1">
        <v>0.1</v>
      </c>
      <c r="K835" s="1">
        <v>13000</v>
      </c>
      <c r="L835" s="2">
        <v>45297</v>
      </c>
      <c r="M835" s="10" t="str">
        <f t="shared" ref="M835:M898" si="13">IF(H835&gt;=K835,"Target Achieved","Below Target")</f>
        <v>Below Target</v>
      </c>
    </row>
    <row r="836" spans="1:13" x14ac:dyDescent="0.35">
      <c r="A836" s="1" t="s">
        <v>1072</v>
      </c>
      <c r="B836" s="1" t="s">
        <v>1073</v>
      </c>
      <c r="C836" s="1" t="s">
        <v>30</v>
      </c>
      <c r="D836" s="1" t="s">
        <v>31</v>
      </c>
      <c r="E836" s="1" t="s">
        <v>46</v>
      </c>
      <c r="F836" s="1" t="s">
        <v>17</v>
      </c>
      <c r="G836" s="1" t="s">
        <v>18</v>
      </c>
      <c r="H836" s="1">
        <v>18106</v>
      </c>
      <c r="I836" s="1"/>
      <c r="J836" s="1"/>
      <c r="K836" s="1">
        <v>17000</v>
      </c>
      <c r="L836" s="2">
        <v>45345</v>
      </c>
      <c r="M836" s="10" t="str">
        <f t="shared" si="13"/>
        <v>Target Achieved</v>
      </c>
    </row>
    <row r="837" spans="1:13" x14ac:dyDescent="0.35">
      <c r="A837" s="1" t="s">
        <v>1074</v>
      </c>
      <c r="B837" s="1" t="s">
        <v>905</v>
      </c>
      <c r="C837" s="1" t="s">
        <v>30</v>
      </c>
      <c r="D837" s="1" t="s">
        <v>31</v>
      </c>
      <c r="E837" s="1" t="s">
        <v>46</v>
      </c>
      <c r="F837" s="1" t="s">
        <v>25</v>
      </c>
      <c r="G837" s="1" t="s">
        <v>18</v>
      </c>
      <c r="H837" s="1">
        <v>17845</v>
      </c>
      <c r="I837" s="1" t="s">
        <v>33</v>
      </c>
      <c r="J837" s="1">
        <v>0.3</v>
      </c>
      <c r="K837" s="1">
        <v>17000</v>
      </c>
      <c r="L837" s="2">
        <v>45313</v>
      </c>
      <c r="M837" s="10" t="str">
        <f t="shared" si="13"/>
        <v>Target Achieved</v>
      </c>
    </row>
    <row r="838" spans="1:13" x14ac:dyDescent="0.35">
      <c r="A838" s="1" t="s">
        <v>1075</v>
      </c>
      <c r="B838" s="1" t="s">
        <v>388</v>
      </c>
      <c r="C838" s="1" t="s">
        <v>44</v>
      </c>
      <c r="D838" s="1" t="s">
        <v>45</v>
      </c>
      <c r="E838" s="1" t="s">
        <v>16</v>
      </c>
      <c r="F838" s="1" t="s">
        <v>25</v>
      </c>
      <c r="G838" s="1" t="s">
        <v>26</v>
      </c>
      <c r="H838" s="1">
        <v>11238</v>
      </c>
      <c r="I838" s="1" t="s">
        <v>22</v>
      </c>
      <c r="J838" s="1">
        <v>0.1</v>
      </c>
      <c r="K838" s="1">
        <v>13000</v>
      </c>
      <c r="L838" s="2">
        <v>45328</v>
      </c>
      <c r="M838" s="10" t="str">
        <f t="shared" si="13"/>
        <v>Below Target</v>
      </c>
    </row>
    <row r="839" spans="1:13" x14ac:dyDescent="0.35">
      <c r="A839" s="1" t="s">
        <v>1076</v>
      </c>
      <c r="B839" s="1" t="s">
        <v>765</v>
      </c>
      <c r="C839" s="1" t="s">
        <v>14</v>
      </c>
      <c r="D839" s="1" t="s">
        <v>15</v>
      </c>
      <c r="E839" s="1" t="s">
        <v>46</v>
      </c>
      <c r="F839" s="1" t="s">
        <v>39</v>
      </c>
      <c r="G839" s="1" t="s">
        <v>26</v>
      </c>
      <c r="H839" s="1">
        <v>14477</v>
      </c>
      <c r="I839" s="1" t="s">
        <v>33</v>
      </c>
      <c r="J839" s="1">
        <v>0.3</v>
      </c>
      <c r="K839" s="1">
        <v>14000</v>
      </c>
      <c r="L839" s="2">
        <v>45319</v>
      </c>
      <c r="M839" s="10" t="str">
        <f t="shared" si="13"/>
        <v>Target Achieved</v>
      </c>
    </row>
    <row r="840" spans="1:13" x14ac:dyDescent="0.35">
      <c r="A840" s="1" t="s">
        <v>1077</v>
      </c>
      <c r="B840" s="1" t="s">
        <v>837</v>
      </c>
      <c r="C840" s="1" t="s">
        <v>30</v>
      </c>
      <c r="D840" s="1" t="s">
        <v>31</v>
      </c>
      <c r="E840" s="1" t="s">
        <v>46</v>
      </c>
      <c r="F840" s="1" t="s">
        <v>39</v>
      </c>
      <c r="G840" s="1" t="s">
        <v>26</v>
      </c>
      <c r="H840" s="1">
        <v>17552</v>
      </c>
      <c r="I840" s="1" t="s">
        <v>33</v>
      </c>
      <c r="J840" s="1">
        <v>0.3</v>
      </c>
      <c r="K840" s="1">
        <v>17000</v>
      </c>
      <c r="L840" s="2">
        <v>45351</v>
      </c>
      <c r="M840" s="10" t="str">
        <f t="shared" si="13"/>
        <v>Target Achieved</v>
      </c>
    </row>
    <row r="841" spans="1:13" x14ac:dyDescent="0.35">
      <c r="A841" s="1" t="s">
        <v>1078</v>
      </c>
      <c r="B841" s="1" t="s">
        <v>720</v>
      </c>
      <c r="C841" s="1" t="s">
        <v>61</v>
      </c>
      <c r="D841" s="1" t="s">
        <v>62</v>
      </c>
      <c r="E841" s="1" t="s">
        <v>16</v>
      </c>
      <c r="F841" s="1" t="s">
        <v>39</v>
      </c>
      <c r="G841" s="1" t="s">
        <v>26</v>
      </c>
      <c r="H841" s="1">
        <v>9038</v>
      </c>
      <c r="I841" s="1"/>
      <c r="J841" s="1"/>
      <c r="K841" s="1">
        <v>9000</v>
      </c>
      <c r="L841" s="2">
        <v>45343</v>
      </c>
      <c r="M841" s="10" t="str">
        <f t="shared" si="13"/>
        <v>Target Achieved</v>
      </c>
    </row>
    <row r="842" spans="1:13" x14ac:dyDescent="0.35">
      <c r="A842" s="1" t="s">
        <v>1079</v>
      </c>
      <c r="B842" s="1" t="s">
        <v>720</v>
      </c>
      <c r="C842" s="1" t="s">
        <v>44</v>
      </c>
      <c r="D842" s="1" t="s">
        <v>45</v>
      </c>
      <c r="E842" s="1" t="s">
        <v>16</v>
      </c>
      <c r="F842" s="1" t="s">
        <v>17</v>
      </c>
      <c r="G842" s="1" t="s">
        <v>18</v>
      </c>
      <c r="H842" s="1">
        <v>11006</v>
      </c>
      <c r="I842" s="1" t="s">
        <v>22</v>
      </c>
      <c r="J842" s="1">
        <v>0.1</v>
      </c>
      <c r="K842" s="1">
        <v>13000</v>
      </c>
      <c r="L842" s="2">
        <v>45293</v>
      </c>
      <c r="M842" s="10" t="str">
        <f t="shared" si="13"/>
        <v>Below Target</v>
      </c>
    </row>
    <row r="843" spans="1:13" x14ac:dyDescent="0.35">
      <c r="A843" s="1" t="s">
        <v>1080</v>
      </c>
      <c r="B843" s="1" t="s">
        <v>332</v>
      </c>
      <c r="C843" s="1" t="s">
        <v>14</v>
      </c>
      <c r="D843" s="1" t="s">
        <v>15</v>
      </c>
      <c r="E843" s="1" t="s">
        <v>16</v>
      </c>
      <c r="F843" s="1" t="s">
        <v>25</v>
      </c>
      <c r="G843" s="1" t="s">
        <v>26</v>
      </c>
      <c r="H843" s="1">
        <v>13698</v>
      </c>
      <c r="I843" s="1"/>
      <c r="J843" s="1"/>
      <c r="K843" s="1">
        <v>14000</v>
      </c>
      <c r="L843" s="2">
        <v>45294</v>
      </c>
      <c r="M843" s="10" t="str">
        <f t="shared" si="13"/>
        <v>Below Target</v>
      </c>
    </row>
    <row r="844" spans="1:13" x14ac:dyDescent="0.35">
      <c r="A844" s="1" t="s">
        <v>1081</v>
      </c>
      <c r="B844" s="1" t="s">
        <v>282</v>
      </c>
      <c r="C844" s="1" t="s">
        <v>44</v>
      </c>
      <c r="D844" s="1" t="s">
        <v>45</v>
      </c>
      <c r="E844" s="1" t="s">
        <v>32</v>
      </c>
      <c r="F844" s="1" t="s">
        <v>39</v>
      </c>
      <c r="G844" s="1" t="s">
        <v>18</v>
      </c>
      <c r="H844" s="1">
        <v>13826</v>
      </c>
      <c r="I844" s="1" t="s">
        <v>33</v>
      </c>
      <c r="J844" s="1">
        <v>0.3</v>
      </c>
      <c r="K844" s="1">
        <v>13000</v>
      </c>
      <c r="L844" s="2">
        <v>45308</v>
      </c>
      <c r="M844" s="10" t="str">
        <f t="shared" si="13"/>
        <v>Target Achieved</v>
      </c>
    </row>
    <row r="845" spans="1:13" x14ac:dyDescent="0.35">
      <c r="A845" s="1" t="s">
        <v>1082</v>
      </c>
      <c r="B845" s="1" t="s">
        <v>652</v>
      </c>
      <c r="C845" s="1" t="s">
        <v>30</v>
      </c>
      <c r="D845" s="1" t="s">
        <v>31</v>
      </c>
      <c r="E845" s="1" t="s">
        <v>46</v>
      </c>
      <c r="F845" s="1" t="s">
        <v>39</v>
      </c>
      <c r="G845" s="1" t="s">
        <v>26</v>
      </c>
      <c r="H845" s="1">
        <v>16326</v>
      </c>
      <c r="I845" s="1" t="s">
        <v>22</v>
      </c>
      <c r="J845" s="1">
        <v>0.1</v>
      </c>
      <c r="K845" s="1">
        <v>17000</v>
      </c>
      <c r="L845" s="2">
        <v>45299</v>
      </c>
      <c r="M845" s="10" t="str">
        <f t="shared" si="13"/>
        <v>Below Target</v>
      </c>
    </row>
    <row r="846" spans="1:13" x14ac:dyDescent="0.35">
      <c r="A846" s="1" t="s">
        <v>1083</v>
      </c>
      <c r="B846" s="1" t="s">
        <v>317</v>
      </c>
      <c r="C846" s="1" t="s">
        <v>30</v>
      </c>
      <c r="D846" s="1" t="s">
        <v>31</v>
      </c>
      <c r="E846" s="1" t="s">
        <v>46</v>
      </c>
      <c r="F846" s="1" t="s">
        <v>39</v>
      </c>
      <c r="G846" s="1" t="s">
        <v>26</v>
      </c>
      <c r="H846" s="1">
        <v>17523</v>
      </c>
      <c r="I846" s="1" t="s">
        <v>22</v>
      </c>
      <c r="J846" s="1">
        <v>0.1</v>
      </c>
      <c r="K846" s="1">
        <v>17000</v>
      </c>
      <c r="L846" s="2">
        <v>45345</v>
      </c>
      <c r="M846" s="10" t="str">
        <f t="shared" si="13"/>
        <v>Target Achieved</v>
      </c>
    </row>
    <row r="847" spans="1:13" x14ac:dyDescent="0.35">
      <c r="A847" s="1" t="s">
        <v>1084</v>
      </c>
      <c r="B847" s="1" t="s">
        <v>35</v>
      </c>
      <c r="C847" s="1" t="s">
        <v>30</v>
      </c>
      <c r="D847" s="1" t="s">
        <v>31</v>
      </c>
      <c r="E847" s="1" t="s">
        <v>46</v>
      </c>
      <c r="F847" s="1" t="s">
        <v>39</v>
      </c>
      <c r="G847" s="1" t="s">
        <v>36</v>
      </c>
      <c r="H847" s="1">
        <v>18752</v>
      </c>
      <c r="I847" s="1"/>
      <c r="J847" s="1"/>
      <c r="K847" s="1">
        <v>17000</v>
      </c>
      <c r="L847" s="2">
        <v>45343</v>
      </c>
      <c r="M847" s="10" t="str">
        <f t="shared" si="13"/>
        <v>Target Achieved</v>
      </c>
    </row>
    <row r="848" spans="1:13" x14ac:dyDescent="0.35">
      <c r="A848" s="1" t="s">
        <v>1085</v>
      </c>
      <c r="B848" s="1" t="s">
        <v>68</v>
      </c>
      <c r="C848" s="1" t="s">
        <v>44</v>
      </c>
      <c r="D848" s="1" t="s">
        <v>45</v>
      </c>
      <c r="E848" s="1" t="s">
        <v>46</v>
      </c>
      <c r="F848" s="1" t="s">
        <v>25</v>
      </c>
      <c r="G848" s="1" t="s">
        <v>26</v>
      </c>
      <c r="H848" s="1">
        <v>12886</v>
      </c>
      <c r="I848" s="1" t="s">
        <v>27</v>
      </c>
      <c r="J848" s="1"/>
      <c r="K848" s="1">
        <v>13000</v>
      </c>
      <c r="L848" s="2">
        <v>45349</v>
      </c>
      <c r="M848" s="10" t="str">
        <f t="shared" si="13"/>
        <v>Below Target</v>
      </c>
    </row>
    <row r="849" spans="1:13" x14ac:dyDescent="0.35">
      <c r="A849" s="1" t="s">
        <v>1086</v>
      </c>
      <c r="B849" s="1" t="s">
        <v>802</v>
      </c>
      <c r="C849" s="1" t="s">
        <v>61</v>
      </c>
      <c r="D849" s="1" t="s">
        <v>62</v>
      </c>
      <c r="E849" s="1" t="s">
        <v>16</v>
      </c>
      <c r="F849" s="1" t="s">
        <v>25</v>
      </c>
      <c r="G849" s="1" t="s">
        <v>26</v>
      </c>
      <c r="H849" s="1">
        <v>8226</v>
      </c>
      <c r="I849" s="1" t="s">
        <v>27</v>
      </c>
      <c r="J849" s="1"/>
      <c r="K849" s="1">
        <v>9000</v>
      </c>
      <c r="L849" s="2">
        <v>45338</v>
      </c>
      <c r="M849" s="10" t="str">
        <f t="shared" si="13"/>
        <v>Below Target</v>
      </c>
    </row>
    <row r="850" spans="1:13" x14ac:dyDescent="0.35">
      <c r="A850" s="1" t="s">
        <v>1087</v>
      </c>
      <c r="B850" s="1" t="s">
        <v>317</v>
      </c>
      <c r="C850" s="1" t="s">
        <v>14</v>
      </c>
      <c r="D850" s="1" t="s">
        <v>15</v>
      </c>
      <c r="E850" s="1" t="s">
        <v>32</v>
      </c>
      <c r="F850" s="1" t="s">
        <v>39</v>
      </c>
      <c r="G850" s="1" t="s">
        <v>26</v>
      </c>
      <c r="H850" s="1">
        <v>13358</v>
      </c>
      <c r="I850" s="1" t="s">
        <v>33</v>
      </c>
      <c r="J850" s="1">
        <v>0.3</v>
      </c>
      <c r="K850" s="1">
        <v>14000</v>
      </c>
      <c r="L850" s="2">
        <v>45296</v>
      </c>
      <c r="M850" s="10" t="str">
        <f t="shared" si="13"/>
        <v>Below Target</v>
      </c>
    </row>
    <row r="851" spans="1:13" x14ac:dyDescent="0.35">
      <c r="A851" s="1" t="s">
        <v>1088</v>
      </c>
      <c r="B851" s="1" t="s">
        <v>256</v>
      </c>
      <c r="C851" s="1" t="s">
        <v>14</v>
      </c>
      <c r="D851" s="1" t="s">
        <v>15</v>
      </c>
      <c r="E851" s="1" t="s">
        <v>46</v>
      </c>
      <c r="F851" s="1" t="s">
        <v>17</v>
      </c>
      <c r="G851" s="1" t="s">
        <v>26</v>
      </c>
      <c r="H851" s="1">
        <v>14188</v>
      </c>
      <c r="I851" s="1" t="s">
        <v>19</v>
      </c>
      <c r="J851" s="1">
        <v>0.2</v>
      </c>
      <c r="K851" s="1">
        <v>14000</v>
      </c>
      <c r="L851" s="2">
        <v>45328</v>
      </c>
      <c r="M851" s="10" t="str">
        <f t="shared" si="13"/>
        <v>Target Achieved</v>
      </c>
    </row>
    <row r="852" spans="1:13" x14ac:dyDescent="0.35">
      <c r="A852" s="1" t="s">
        <v>1089</v>
      </c>
      <c r="B852" s="1" t="s">
        <v>337</v>
      </c>
      <c r="C852" s="1" t="s">
        <v>44</v>
      </c>
      <c r="D852" s="1" t="s">
        <v>45</v>
      </c>
      <c r="E852" s="1" t="s">
        <v>16</v>
      </c>
      <c r="F852" s="1" t="s">
        <v>25</v>
      </c>
      <c r="G852" s="1" t="s">
        <v>36</v>
      </c>
      <c r="H852" s="1">
        <v>13888</v>
      </c>
      <c r="I852" s="1" t="s">
        <v>33</v>
      </c>
      <c r="J852" s="1">
        <v>0.3</v>
      </c>
      <c r="K852" s="1">
        <v>13000</v>
      </c>
      <c r="L852" s="2">
        <v>45337</v>
      </c>
      <c r="M852" s="10" t="str">
        <f t="shared" si="13"/>
        <v>Target Achieved</v>
      </c>
    </row>
    <row r="853" spans="1:13" x14ac:dyDescent="0.35">
      <c r="A853" s="1" t="s">
        <v>1090</v>
      </c>
      <c r="B853" s="1" t="s">
        <v>584</v>
      </c>
      <c r="C853" s="1" t="s">
        <v>61</v>
      </c>
      <c r="D853" s="1" t="s">
        <v>62</v>
      </c>
      <c r="E853" s="1" t="s">
        <v>32</v>
      </c>
      <c r="F853" s="1" t="s">
        <v>17</v>
      </c>
      <c r="G853" s="1" t="s">
        <v>18</v>
      </c>
      <c r="H853" s="1">
        <v>8522</v>
      </c>
      <c r="I853" s="1"/>
      <c r="J853" s="1"/>
      <c r="K853" s="1">
        <v>9000</v>
      </c>
      <c r="L853" s="2">
        <v>45345</v>
      </c>
      <c r="M853" s="10" t="str">
        <f t="shared" si="13"/>
        <v>Below Target</v>
      </c>
    </row>
    <row r="854" spans="1:13" x14ac:dyDescent="0.35">
      <c r="A854" s="1" t="s">
        <v>1091</v>
      </c>
      <c r="B854" s="1" t="s">
        <v>289</v>
      </c>
      <c r="C854" s="1" t="s">
        <v>30</v>
      </c>
      <c r="D854" s="1" t="s">
        <v>31</v>
      </c>
      <c r="E854" s="1" t="s">
        <v>32</v>
      </c>
      <c r="F854" s="1" t="s">
        <v>25</v>
      </c>
      <c r="G854" s="1" t="s">
        <v>36</v>
      </c>
      <c r="H854" s="1">
        <v>18215</v>
      </c>
      <c r="I854" s="1" t="s">
        <v>22</v>
      </c>
      <c r="J854" s="1">
        <v>0.1</v>
      </c>
      <c r="K854" s="1">
        <v>17000</v>
      </c>
      <c r="L854" s="2">
        <v>45341</v>
      </c>
      <c r="M854" s="10" t="str">
        <f t="shared" si="13"/>
        <v>Target Achieved</v>
      </c>
    </row>
    <row r="855" spans="1:13" x14ac:dyDescent="0.35">
      <c r="A855" s="1" t="s">
        <v>1092</v>
      </c>
      <c r="B855" s="1" t="s">
        <v>229</v>
      </c>
      <c r="C855" s="1" t="s">
        <v>61</v>
      </c>
      <c r="D855" s="1" t="s">
        <v>62</v>
      </c>
      <c r="E855" s="1" t="s">
        <v>16</v>
      </c>
      <c r="F855" s="1" t="s">
        <v>25</v>
      </c>
      <c r="G855" s="1" t="s">
        <v>36</v>
      </c>
      <c r="H855" s="1">
        <v>10706</v>
      </c>
      <c r="I855" s="1" t="s">
        <v>27</v>
      </c>
      <c r="J855" s="1"/>
      <c r="K855" s="1">
        <v>9000</v>
      </c>
      <c r="L855" s="2">
        <v>45301</v>
      </c>
      <c r="M855" s="10" t="str">
        <f t="shared" si="13"/>
        <v>Target Achieved</v>
      </c>
    </row>
    <row r="856" spans="1:13" x14ac:dyDescent="0.35">
      <c r="A856" s="1" t="s">
        <v>1093</v>
      </c>
      <c r="B856" s="1" t="s">
        <v>391</v>
      </c>
      <c r="C856" s="1" t="s">
        <v>61</v>
      </c>
      <c r="D856" s="1" t="s">
        <v>62</v>
      </c>
      <c r="E856" s="1" t="s">
        <v>16</v>
      </c>
      <c r="F856" s="1" t="s">
        <v>39</v>
      </c>
      <c r="G856" s="1" t="s">
        <v>36</v>
      </c>
      <c r="H856" s="1">
        <v>10176</v>
      </c>
      <c r="I856" s="1" t="s">
        <v>33</v>
      </c>
      <c r="J856" s="1">
        <v>0.3</v>
      </c>
      <c r="K856" s="1">
        <v>9000</v>
      </c>
      <c r="L856" s="2">
        <v>45301</v>
      </c>
      <c r="M856" s="10" t="str">
        <f t="shared" si="13"/>
        <v>Target Achieved</v>
      </c>
    </row>
    <row r="857" spans="1:13" x14ac:dyDescent="0.35">
      <c r="A857" s="1" t="s">
        <v>1094</v>
      </c>
      <c r="B857" s="1" t="s">
        <v>140</v>
      </c>
      <c r="C857" s="1" t="s">
        <v>14</v>
      </c>
      <c r="D857" s="1" t="s">
        <v>15</v>
      </c>
      <c r="E857" s="1" t="s">
        <v>16</v>
      </c>
      <c r="F857" s="1" t="s">
        <v>39</v>
      </c>
      <c r="G857" s="1" t="s">
        <v>18</v>
      </c>
      <c r="H857" s="1">
        <v>12840</v>
      </c>
      <c r="I857" s="1" t="s">
        <v>22</v>
      </c>
      <c r="J857" s="1">
        <v>0.1</v>
      </c>
      <c r="K857" s="1">
        <v>14000</v>
      </c>
      <c r="L857" s="2">
        <v>45321</v>
      </c>
      <c r="M857" s="10" t="str">
        <f t="shared" si="13"/>
        <v>Below Target</v>
      </c>
    </row>
    <row r="858" spans="1:13" x14ac:dyDescent="0.35">
      <c r="A858" s="1" t="s">
        <v>1095</v>
      </c>
      <c r="B858" s="1" t="s">
        <v>101</v>
      </c>
      <c r="C858" s="1" t="s">
        <v>14</v>
      </c>
      <c r="D858" s="1" t="s">
        <v>15</v>
      </c>
      <c r="E858" s="1" t="s">
        <v>32</v>
      </c>
      <c r="F858" s="1" t="s">
        <v>17</v>
      </c>
      <c r="G858" s="1" t="s">
        <v>18</v>
      </c>
      <c r="H858" s="1">
        <v>14814</v>
      </c>
      <c r="I858" s="1" t="s">
        <v>27</v>
      </c>
      <c r="J858" s="1"/>
      <c r="K858" s="1">
        <v>14000</v>
      </c>
      <c r="L858" s="2">
        <v>45347</v>
      </c>
      <c r="M858" s="10" t="str">
        <f t="shared" si="13"/>
        <v>Target Achieved</v>
      </c>
    </row>
    <row r="859" spans="1:13" x14ac:dyDescent="0.35">
      <c r="A859" s="1" t="s">
        <v>1096</v>
      </c>
      <c r="B859" s="1" t="s">
        <v>432</v>
      </c>
      <c r="C859" s="1" t="s">
        <v>61</v>
      </c>
      <c r="D859" s="1" t="s">
        <v>62</v>
      </c>
      <c r="E859" s="1" t="s">
        <v>32</v>
      </c>
      <c r="F859" s="1" t="s">
        <v>25</v>
      </c>
      <c r="G859" s="1" t="s">
        <v>26</v>
      </c>
      <c r="H859" s="1">
        <v>10138</v>
      </c>
      <c r="I859" s="1" t="s">
        <v>33</v>
      </c>
      <c r="J859" s="1">
        <v>0.3</v>
      </c>
      <c r="K859" s="1">
        <v>9000</v>
      </c>
      <c r="L859" s="2">
        <v>45293</v>
      </c>
      <c r="M859" s="10" t="str">
        <f t="shared" si="13"/>
        <v>Target Achieved</v>
      </c>
    </row>
    <row r="860" spans="1:13" x14ac:dyDescent="0.35">
      <c r="A860" s="1" t="s">
        <v>1097</v>
      </c>
      <c r="B860" s="1" t="s">
        <v>579</v>
      </c>
      <c r="C860" s="1" t="s">
        <v>30</v>
      </c>
      <c r="D860" s="1" t="s">
        <v>31</v>
      </c>
      <c r="E860" s="1" t="s">
        <v>16</v>
      </c>
      <c r="F860" s="1" t="s">
        <v>25</v>
      </c>
      <c r="G860" s="1" t="s">
        <v>36</v>
      </c>
      <c r="H860" s="1">
        <v>15821</v>
      </c>
      <c r="I860" s="1" t="s">
        <v>19</v>
      </c>
      <c r="J860" s="1">
        <v>0.2</v>
      </c>
      <c r="K860" s="1">
        <v>17000</v>
      </c>
      <c r="L860" s="2">
        <v>45310</v>
      </c>
      <c r="M860" s="10" t="str">
        <f t="shared" si="13"/>
        <v>Below Target</v>
      </c>
    </row>
    <row r="861" spans="1:13" x14ac:dyDescent="0.35">
      <c r="A861" s="1" t="s">
        <v>1098</v>
      </c>
      <c r="B861" s="1" t="s">
        <v>307</v>
      </c>
      <c r="C861" s="1" t="s">
        <v>30</v>
      </c>
      <c r="D861" s="1" t="s">
        <v>31</v>
      </c>
      <c r="E861" s="1" t="s">
        <v>46</v>
      </c>
      <c r="F861" s="1" t="s">
        <v>39</v>
      </c>
      <c r="G861" s="1" t="s">
        <v>18</v>
      </c>
      <c r="H861" s="1">
        <v>16116</v>
      </c>
      <c r="I861" s="1" t="s">
        <v>19</v>
      </c>
      <c r="J861" s="1">
        <v>0.2</v>
      </c>
      <c r="K861" s="1">
        <v>17000</v>
      </c>
      <c r="L861" s="2">
        <v>45302</v>
      </c>
      <c r="M861" s="10" t="str">
        <f t="shared" si="13"/>
        <v>Below Target</v>
      </c>
    </row>
    <row r="862" spans="1:13" x14ac:dyDescent="0.35">
      <c r="A862" s="1" t="s">
        <v>1099</v>
      </c>
      <c r="B862" s="1" t="s">
        <v>222</v>
      </c>
      <c r="C862" s="1" t="s">
        <v>14</v>
      </c>
      <c r="D862" s="1" t="s">
        <v>15</v>
      </c>
      <c r="E862" s="1" t="s">
        <v>16</v>
      </c>
      <c r="F862" s="1" t="s">
        <v>39</v>
      </c>
      <c r="G862" s="1" t="s">
        <v>26</v>
      </c>
      <c r="H862" s="1">
        <v>12419</v>
      </c>
      <c r="I862" s="1" t="s">
        <v>19</v>
      </c>
      <c r="J862" s="1">
        <v>0.2</v>
      </c>
      <c r="K862" s="1">
        <v>14000</v>
      </c>
      <c r="L862" s="2">
        <v>45326</v>
      </c>
      <c r="M862" s="10" t="str">
        <f t="shared" si="13"/>
        <v>Below Target</v>
      </c>
    </row>
    <row r="863" spans="1:13" x14ac:dyDescent="0.35">
      <c r="A863" s="1" t="s">
        <v>1100</v>
      </c>
      <c r="B863" s="1" t="s">
        <v>301</v>
      </c>
      <c r="C863" s="1" t="s">
        <v>30</v>
      </c>
      <c r="D863" s="1" t="s">
        <v>31</v>
      </c>
      <c r="E863" s="1" t="s">
        <v>46</v>
      </c>
      <c r="F863" s="1" t="s">
        <v>25</v>
      </c>
      <c r="G863" s="1" t="s">
        <v>26</v>
      </c>
      <c r="H863" s="1">
        <v>18293</v>
      </c>
      <c r="I863" s="1" t="s">
        <v>33</v>
      </c>
      <c r="J863" s="1">
        <v>0.3</v>
      </c>
      <c r="K863" s="1">
        <v>17000</v>
      </c>
      <c r="L863" s="2">
        <v>45328</v>
      </c>
      <c r="M863" s="10" t="str">
        <f t="shared" si="13"/>
        <v>Target Achieved</v>
      </c>
    </row>
    <row r="864" spans="1:13" x14ac:dyDescent="0.35">
      <c r="A864" s="1" t="s">
        <v>1101</v>
      </c>
      <c r="B864" s="1" t="s">
        <v>235</v>
      </c>
      <c r="C864" s="1" t="s">
        <v>14</v>
      </c>
      <c r="D864" s="1" t="s">
        <v>15</v>
      </c>
      <c r="E864" s="1" t="s">
        <v>46</v>
      </c>
      <c r="F864" s="1" t="s">
        <v>39</v>
      </c>
      <c r="G864" s="1" t="s">
        <v>36</v>
      </c>
      <c r="H864" s="1">
        <v>14214</v>
      </c>
      <c r="I864" s="1"/>
      <c r="J864" s="1"/>
      <c r="K864" s="1">
        <v>14000</v>
      </c>
      <c r="L864" s="2">
        <v>45295</v>
      </c>
      <c r="M864" s="10" t="str">
        <f t="shared" si="13"/>
        <v>Target Achieved</v>
      </c>
    </row>
    <row r="865" spans="1:13" x14ac:dyDescent="0.35">
      <c r="A865" s="1" t="s">
        <v>1102</v>
      </c>
      <c r="B865" s="1" t="s">
        <v>557</v>
      </c>
      <c r="C865" s="1" t="s">
        <v>61</v>
      </c>
      <c r="D865" s="1" t="s">
        <v>62</v>
      </c>
      <c r="E865" s="1" t="s">
        <v>16</v>
      </c>
      <c r="F865" s="1" t="s">
        <v>25</v>
      </c>
      <c r="G865" s="1" t="s">
        <v>18</v>
      </c>
      <c r="H865" s="1">
        <v>8571</v>
      </c>
      <c r="I865" s="1" t="s">
        <v>22</v>
      </c>
      <c r="J865" s="1">
        <v>0.1</v>
      </c>
      <c r="K865" s="1">
        <v>9000</v>
      </c>
      <c r="L865" s="2">
        <v>45297</v>
      </c>
      <c r="M865" s="10" t="str">
        <f t="shared" si="13"/>
        <v>Below Target</v>
      </c>
    </row>
    <row r="866" spans="1:13" x14ac:dyDescent="0.35">
      <c r="A866" s="1" t="s">
        <v>1103</v>
      </c>
      <c r="B866" s="1" t="s">
        <v>177</v>
      </c>
      <c r="C866" s="1" t="s">
        <v>44</v>
      </c>
      <c r="D866" s="1" t="s">
        <v>45</v>
      </c>
      <c r="E866" s="1" t="s">
        <v>16</v>
      </c>
      <c r="F866" s="1" t="s">
        <v>39</v>
      </c>
      <c r="G866" s="1" t="s">
        <v>26</v>
      </c>
      <c r="H866" s="1">
        <v>13578</v>
      </c>
      <c r="I866" s="1"/>
      <c r="J866" s="1"/>
      <c r="K866" s="1">
        <v>13000</v>
      </c>
      <c r="L866" s="2">
        <v>45331</v>
      </c>
      <c r="M866" s="10" t="str">
        <f t="shared" si="13"/>
        <v>Target Achieved</v>
      </c>
    </row>
    <row r="867" spans="1:13" x14ac:dyDescent="0.35">
      <c r="A867" s="1" t="s">
        <v>1104</v>
      </c>
      <c r="B867" s="1" t="s">
        <v>1105</v>
      </c>
      <c r="C867" s="1" t="s">
        <v>30</v>
      </c>
      <c r="D867" s="1" t="s">
        <v>31</v>
      </c>
      <c r="E867" s="1" t="s">
        <v>32</v>
      </c>
      <c r="F867" s="1" t="s">
        <v>39</v>
      </c>
      <c r="G867" s="1" t="s">
        <v>26</v>
      </c>
      <c r="H867" s="1">
        <v>18314</v>
      </c>
      <c r="I867" s="1" t="s">
        <v>27</v>
      </c>
      <c r="J867" s="1"/>
      <c r="K867" s="1">
        <v>17000</v>
      </c>
      <c r="L867" s="2">
        <v>45297</v>
      </c>
      <c r="M867" s="10" t="str">
        <f t="shared" si="13"/>
        <v>Target Achieved</v>
      </c>
    </row>
    <row r="868" spans="1:13" x14ac:dyDescent="0.35">
      <c r="A868" s="1" t="s">
        <v>1106</v>
      </c>
      <c r="B868" s="1" t="s">
        <v>148</v>
      </c>
      <c r="C868" s="1" t="s">
        <v>61</v>
      </c>
      <c r="D868" s="1" t="s">
        <v>62</v>
      </c>
      <c r="E868" s="1" t="s">
        <v>16</v>
      </c>
      <c r="F868" s="1" t="s">
        <v>25</v>
      </c>
      <c r="G868" s="1" t="s">
        <v>18</v>
      </c>
      <c r="H868" s="1">
        <v>10329</v>
      </c>
      <c r="I868" s="1"/>
      <c r="J868" s="1"/>
      <c r="K868" s="1">
        <v>9000</v>
      </c>
      <c r="L868" s="2">
        <v>45298</v>
      </c>
      <c r="M868" s="10" t="str">
        <f t="shared" si="13"/>
        <v>Target Achieved</v>
      </c>
    </row>
    <row r="869" spans="1:13" x14ac:dyDescent="0.35">
      <c r="A869" s="1" t="s">
        <v>1107</v>
      </c>
      <c r="B869" s="1" t="s">
        <v>123</v>
      </c>
      <c r="C869" s="1" t="s">
        <v>61</v>
      </c>
      <c r="D869" s="1" t="s">
        <v>62</v>
      </c>
      <c r="E869" s="1" t="s">
        <v>46</v>
      </c>
      <c r="F869" s="1" t="s">
        <v>25</v>
      </c>
      <c r="G869" s="1" t="s">
        <v>18</v>
      </c>
      <c r="H869" s="1">
        <v>7588</v>
      </c>
      <c r="I869" s="1" t="s">
        <v>27</v>
      </c>
      <c r="J869" s="1"/>
      <c r="K869" s="1">
        <v>9000</v>
      </c>
      <c r="L869" s="2">
        <v>45308</v>
      </c>
      <c r="M869" s="10" t="str">
        <f t="shared" si="13"/>
        <v>Below Target</v>
      </c>
    </row>
    <row r="870" spans="1:13" x14ac:dyDescent="0.35">
      <c r="A870" s="1" t="s">
        <v>1108</v>
      </c>
      <c r="B870" s="1" t="s">
        <v>827</v>
      </c>
      <c r="C870" s="1" t="s">
        <v>61</v>
      </c>
      <c r="D870" s="1" t="s">
        <v>62</v>
      </c>
      <c r="E870" s="1" t="s">
        <v>32</v>
      </c>
      <c r="F870" s="1" t="s">
        <v>39</v>
      </c>
      <c r="G870" s="1" t="s">
        <v>26</v>
      </c>
      <c r="H870" s="1">
        <v>8353</v>
      </c>
      <c r="I870" s="1" t="s">
        <v>33</v>
      </c>
      <c r="J870" s="1">
        <v>0.3</v>
      </c>
      <c r="K870" s="1">
        <v>9000</v>
      </c>
      <c r="L870" s="2">
        <v>45321</v>
      </c>
      <c r="M870" s="10" t="str">
        <f t="shared" si="13"/>
        <v>Below Target</v>
      </c>
    </row>
    <row r="871" spans="1:13" x14ac:dyDescent="0.35">
      <c r="A871" s="1" t="s">
        <v>1109</v>
      </c>
      <c r="B871" s="1" t="s">
        <v>711</v>
      </c>
      <c r="C871" s="1" t="s">
        <v>14</v>
      </c>
      <c r="D871" s="1" t="s">
        <v>15</v>
      </c>
      <c r="E871" s="1" t="s">
        <v>46</v>
      </c>
      <c r="F871" s="1" t="s">
        <v>25</v>
      </c>
      <c r="G871" s="1" t="s">
        <v>36</v>
      </c>
      <c r="H871" s="1">
        <v>13960</v>
      </c>
      <c r="I871" s="1"/>
      <c r="J871" s="1"/>
      <c r="K871" s="1">
        <v>14000</v>
      </c>
      <c r="L871" s="2">
        <v>45346</v>
      </c>
      <c r="M871" s="10" t="str">
        <f t="shared" si="13"/>
        <v>Below Target</v>
      </c>
    </row>
    <row r="872" spans="1:13" x14ac:dyDescent="0.35">
      <c r="A872" s="1" t="s">
        <v>1110</v>
      </c>
      <c r="B872" s="1" t="s">
        <v>256</v>
      </c>
      <c r="C872" s="1" t="s">
        <v>30</v>
      </c>
      <c r="D872" s="1" t="s">
        <v>31</v>
      </c>
      <c r="E872" s="1" t="s">
        <v>16</v>
      </c>
      <c r="F872" s="1" t="s">
        <v>39</v>
      </c>
      <c r="G872" s="1" t="s">
        <v>18</v>
      </c>
      <c r="H872" s="1">
        <v>17080</v>
      </c>
      <c r="I872" s="1" t="s">
        <v>22</v>
      </c>
      <c r="J872" s="1">
        <v>0.1</v>
      </c>
      <c r="K872" s="1">
        <v>17000</v>
      </c>
      <c r="L872" s="2">
        <v>45317</v>
      </c>
      <c r="M872" s="10" t="str">
        <f t="shared" si="13"/>
        <v>Target Achieved</v>
      </c>
    </row>
    <row r="873" spans="1:13" x14ac:dyDescent="0.35">
      <c r="A873" s="1" t="s">
        <v>1111</v>
      </c>
      <c r="B873" s="1" t="s">
        <v>1112</v>
      </c>
      <c r="C873" s="1" t="s">
        <v>14</v>
      </c>
      <c r="D873" s="1" t="s">
        <v>15</v>
      </c>
      <c r="E873" s="1" t="s">
        <v>46</v>
      </c>
      <c r="F873" s="1" t="s">
        <v>39</v>
      </c>
      <c r="G873" s="1" t="s">
        <v>26</v>
      </c>
      <c r="H873" s="1">
        <v>12290</v>
      </c>
      <c r="I873" s="1" t="s">
        <v>33</v>
      </c>
      <c r="J873" s="1">
        <v>0.3</v>
      </c>
      <c r="K873" s="1">
        <v>14000</v>
      </c>
      <c r="L873" s="2">
        <v>45326</v>
      </c>
      <c r="M873" s="10" t="str">
        <f t="shared" si="13"/>
        <v>Below Target</v>
      </c>
    </row>
    <row r="874" spans="1:13" x14ac:dyDescent="0.35">
      <c r="A874" s="1" t="s">
        <v>1113</v>
      </c>
      <c r="B874" s="1" t="s">
        <v>52</v>
      </c>
      <c r="C874" s="1" t="s">
        <v>61</v>
      </c>
      <c r="D874" s="1" t="s">
        <v>62</v>
      </c>
      <c r="E874" s="1" t="s">
        <v>32</v>
      </c>
      <c r="F874" s="1" t="s">
        <v>39</v>
      </c>
      <c r="G874" s="1" t="s">
        <v>18</v>
      </c>
      <c r="H874" s="1">
        <v>9244</v>
      </c>
      <c r="I874" s="1" t="s">
        <v>19</v>
      </c>
      <c r="J874" s="1">
        <v>0.2</v>
      </c>
      <c r="K874" s="1">
        <v>9000</v>
      </c>
      <c r="L874" s="2">
        <v>45322</v>
      </c>
      <c r="M874" s="10" t="str">
        <f t="shared" si="13"/>
        <v>Target Achieved</v>
      </c>
    </row>
    <row r="875" spans="1:13" x14ac:dyDescent="0.35">
      <c r="A875" s="1" t="s">
        <v>1114</v>
      </c>
      <c r="B875" s="1" t="s">
        <v>41</v>
      </c>
      <c r="C875" s="1" t="s">
        <v>30</v>
      </c>
      <c r="D875" s="1" t="s">
        <v>31</v>
      </c>
      <c r="E875" s="1" t="s">
        <v>32</v>
      </c>
      <c r="F875" s="1" t="s">
        <v>39</v>
      </c>
      <c r="G875" s="1" t="s">
        <v>26</v>
      </c>
      <c r="H875" s="1">
        <v>16765</v>
      </c>
      <c r="I875" s="1"/>
      <c r="J875" s="1"/>
      <c r="K875" s="1">
        <v>17000</v>
      </c>
      <c r="L875" s="2">
        <v>45328</v>
      </c>
      <c r="M875" s="10" t="str">
        <f t="shared" si="13"/>
        <v>Below Target</v>
      </c>
    </row>
    <row r="876" spans="1:13" x14ac:dyDescent="0.35">
      <c r="A876" s="1" t="s">
        <v>1115</v>
      </c>
      <c r="B876" s="1" t="s">
        <v>602</v>
      </c>
      <c r="C876" s="1" t="s">
        <v>44</v>
      </c>
      <c r="D876" s="1" t="s">
        <v>45</v>
      </c>
      <c r="E876" s="1" t="s">
        <v>32</v>
      </c>
      <c r="F876" s="1" t="s">
        <v>39</v>
      </c>
      <c r="G876" s="1" t="s">
        <v>26</v>
      </c>
      <c r="H876" s="1">
        <v>11319</v>
      </c>
      <c r="I876" s="1" t="s">
        <v>27</v>
      </c>
      <c r="J876" s="1"/>
      <c r="K876" s="1">
        <v>13000</v>
      </c>
      <c r="L876" s="2">
        <v>45345</v>
      </c>
      <c r="M876" s="10" t="str">
        <f t="shared" si="13"/>
        <v>Below Target</v>
      </c>
    </row>
    <row r="877" spans="1:13" x14ac:dyDescent="0.35">
      <c r="A877" s="1" t="s">
        <v>1116</v>
      </c>
      <c r="B877" s="1" t="s">
        <v>227</v>
      </c>
      <c r="C877" s="1" t="s">
        <v>61</v>
      </c>
      <c r="D877" s="1" t="s">
        <v>62</v>
      </c>
      <c r="E877" s="1" t="s">
        <v>46</v>
      </c>
      <c r="F877" s="1" t="s">
        <v>39</v>
      </c>
      <c r="G877" s="1" t="s">
        <v>18</v>
      </c>
      <c r="H877" s="1">
        <v>10367</v>
      </c>
      <c r="I877" s="1"/>
      <c r="J877" s="1"/>
      <c r="K877" s="1">
        <v>9000</v>
      </c>
      <c r="L877" s="2">
        <v>45303</v>
      </c>
      <c r="M877" s="10" t="str">
        <f t="shared" si="13"/>
        <v>Target Achieved</v>
      </c>
    </row>
    <row r="878" spans="1:13" x14ac:dyDescent="0.35">
      <c r="A878" s="1" t="s">
        <v>1117</v>
      </c>
      <c r="B878" s="1" t="s">
        <v>70</v>
      </c>
      <c r="C878" s="1" t="s">
        <v>14</v>
      </c>
      <c r="D878" s="1" t="s">
        <v>15</v>
      </c>
      <c r="E878" s="1" t="s">
        <v>16</v>
      </c>
      <c r="F878" s="1" t="s">
        <v>25</v>
      </c>
      <c r="G878" s="1" t="s">
        <v>26</v>
      </c>
      <c r="H878" s="1">
        <v>15334</v>
      </c>
      <c r="I878" s="1" t="s">
        <v>27</v>
      </c>
      <c r="J878" s="1"/>
      <c r="K878" s="1">
        <v>14000</v>
      </c>
      <c r="L878" s="2">
        <v>45341</v>
      </c>
      <c r="M878" s="10" t="str">
        <f t="shared" si="13"/>
        <v>Target Achieved</v>
      </c>
    </row>
    <row r="879" spans="1:13" x14ac:dyDescent="0.35">
      <c r="A879" s="1" t="s">
        <v>1118</v>
      </c>
      <c r="B879" s="1" t="s">
        <v>487</v>
      </c>
      <c r="C879" s="1" t="s">
        <v>30</v>
      </c>
      <c r="D879" s="1" t="s">
        <v>31</v>
      </c>
      <c r="E879" s="1" t="s">
        <v>46</v>
      </c>
      <c r="F879" s="1" t="s">
        <v>39</v>
      </c>
      <c r="G879" s="1" t="s">
        <v>26</v>
      </c>
      <c r="H879" s="1">
        <v>15251</v>
      </c>
      <c r="I879" s="1" t="s">
        <v>22</v>
      </c>
      <c r="J879" s="1">
        <v>0.1</v>
      </c>
      <c r="K879" s="1">
        <v>17000</v>
      </c>
      <c r="L879" s="2">
        <v>45305</v>
      </c>
      <c r="M879" s="10" t="str">
        <f t="shared" si="13"/>
        <v>Below Target</v>
      </c>
    </row>
    <row r="880" spans="1:13" x14ac:dyDescent="0.35">
      <c r="A880" s="1" t="s">
        <v>1119</v>
      </c>
      <c r="B880" s="1" t="s">
        <v>412</v>
      </c>
      <c r="C880" s="1" t="s">
        <v>14</v>
      </c>
      <c r="D880" s="1" t="s">
        <v>15</v>
      </c>
      <c r="E880" s="1" t="s">
        <v>32</v>
      </c>
      <c r="F880" s="1" t="s">
        <v>39</v>
      </c>
      <c r="G880" s="1" t="s">
        <v>18</v>
      </c>
      <c r="H880" s="1">
        <v>13855</v>
      </c>
      <c r="I880" s="1" t="s">
        <v>27</v>
      </c>
      <c r="J880" s="1"/>
      <c r="K880" s="1">
        <v>14000</v>
      </c>
      <c r="L880" s="2">
        <v>45310</v>
      </c>
      <c r="M880" s="10" t="str">
        <f t="shared" si="13"/>
        <v>Below Target</v>
      </c>
    </row>
    <row r="881" spans="1:13" x14ac:dyDescent="0.35">
      <c r="A881" s="1" t="s">
        <v>1120</v>
      </c>
      <c r="B881" s="1" t="s">
        <v>617</v>
      </c>
      <c r="C881" s="1" t="s">
        <v>61</v>
      </c>
      <c r="D881" s="1" t="s">
        <v>62</v>
      </c>
      <c r="E881" s="1" t="s">
        <v>32</v>
      </c>
      <c r="F881" s="1" t="s">
        <v>25</v>
      </c>
      <c r="G881" s="1" t="s">
        <v>26</v>
      </c>
      <c r="H881" s="1">
        <v>10593</v>
      </c>
      <c r="I881" s="1" t="s">
        <v>33</v>
      </c>
      <c r="J881" s="1">
        <v>0.3</v>
      </c>
      <c r="K881" s="1">
        <v>9000</v>
      </c>
      <c r="L881" s="2">
        <v>45311</v>
      </c>
      <c r="M881" s="10" t="str">
        <f t="shared" si="13"/>
        <v>Target Achieved</v>
      </c>
    </row>
    <row r="882" spans="1:13" x14ac:dyDescent="0.35">
      <c r="A882" s="1" t="s">
        <v>1121</v>
      </c>
      <c r="B882" s="1" t="s">
        <v>579</v>
      </c>
      <c r="C882" s="1" t="s">
        <v>30</v>
      </c>
      <c r="D882" s="1" t="s">
        <v>31</v>
      </c>
      <c r="E882" s="1" t="s">
        <v>46</v>
      </c>
      <c r="F882" s="1" t="s">
        <v>39</v>
      </c>
      <c r="G882" s="1" t="s">
        <v>36</v>
      </c>
      <c r="H882" s="1">
        <v>15365</v>
      </c>
      <c r="I882" s="1" t="s">
        <v>27</v>
      </c>
      <c r="J882" s="1"/>
      <c r="K882" s="1">
        <v>17000</v>
      </c>
      <c r="L882" s="2">
        <v>45292</v>
      </c>
      <c r="M882" s="10" t="str">
        <f t="shared" si="13"/>
        <v>Below Target</v>
      </c>
    </row>
    <row r="883" spans="1:13" x14ac:dyDescent="0.35">
      <c r="A883" s="1" t="s">
        <v>1122</v>
      </c>
      <c r="B883" s="1" t="s">
        <v>86</v>
      </c>
      <c r="C883" s="1" t="s">
        <v>61</v>
      </c>
      <c r="D883" s="1" t="s">
        <v>62</v>
      </c>
      <c r="E883" s="1" t="s">
        <v>32</v>
      </c>
      <c r="F883" s="1" t="s">
        <v>17</v>
      </c>
      <c r="G883" s="1" t="s">
        <v>18</v>
      </c>
      <c r="H883" s="1">
        <v>8512</v>
      </c>
      <c r="I883" s="1" t="s">
        <v>27</v>
      </c>
      <c r="J883" s="1"/>
      <c r="K883" s="1">
        <v>9000</v>
      </c>
      <c r="L883" s="2">
        <v>45295</v>
      </c>
      <c r="M883" s="10" t="str">
        <f t="shared" si="13"/>
        <v>Below Target</v>
      </c>
    </row>
    <row r="884" spans="1:13" x14ac:dyDescent="0.35">
      <c r="A884" s="1" t="s">
        <v>1123</v>
      </c>
      <c r="B884" s="1" t="s">
        <v>190</v>
      </c>
      <c r="C884" s="1" t="s">
        <v>30</v>
      </c>
      <c r="D884" s="1" t="s">
        <v>31</v>
      </c>
      <c r="E884" s="1" t="s">
        <v>32</v>
      </c>
      <c r="F884" s="1" t="s">
        <v>17</v>
      </c>
      <c r="G884" s="1" t="s">
        <v>18</v>
      </c>
      <c r="H884" s="1">
        <v>15963</v>
      </c>
      <c r="I884" s="1"/>
      <c r="J884" s="1"/>
      <c r="K884" s="1">
        <v>17000</v>
      </c>
      <c r="L884" s="2">
        <v>45336</v>
      </c>
      <c r="M884" s="10" t="str">
        <f t="shared" si="13"/>
        <v>Below Target</v>
      </c>
    </row>
    <row r="885" spans="1:13" x14ac:dyDescent="0.35">
      <c r="A885" s="1" t="s">
        <v>1124</v>
      </c>
      <c r="B885" s="1" t="s">
        <v>337</v>
      </c>
      <c r="C885" s="1" t="s">
        <v>30</v>
      </c>
      <c r="D885" s="1" t="s">
        <v>31</v>
      </c>
      <c r="E885" s="1" t="s">
        <v>16</v>
      </c>
      <c r="F885" s="1" t="s">
        <v>17</v>
      </c>
      <c r="G885" s="1" t="s">
        <v>36</v>
      </c>
      <c r="H885" s="1">
        <v>16562</v>
      </c>
      <c r="I885" s="1"/>
      <c r="J885" s="1"/>
      <c r="K885" s="1">
        <v>17000</v>
      </c>
      <c r="L885" s="2">
        <v>45326</v>
      </c>
      <c r="M885" s="10" t="str">
        <f t="shared" si="13"/>
        <v>Below Target</v>
      </c>
    </row>
    <row r="886" spans="1:13" x14ac:dyDescent="0.35">
      <c r="A886" s="1" t="s">
        <v>1125</v>
      </c>
      <c r="B886" s="1" t="s">
        <v>817</v>
      </c>
      <c r="C886" s="1" t="s">
        <v>44</v>
      </c>
      <c r="D886" s="1" t="s">
        <v>45</v>
      </c>
      <c r="E886" s="1" t="s">
        <v>46</v>
      </c>
      <c r="F886" s="1" t="s">
        <v>25</v>
      </c>
      <c r="G886" s="1" t="s">
        <v>18</v>
      </c>
      <c r="H886" s="1">
        <v>13275</v>
      </c>
      <c r="I886" s="1"/>
      <c r="J886" s="1"/>
      <c r="K886" s="1">
        <v>13000</v>
      </c>
      <c r="L886" s="2">
        <v>45345</v>
      </c>
      <c r="M886" s="10" t="str">
        <f t="shared" si="13"/>
        <v>Target Achieved</v>
      </c>
    </row>
    <row r="887" spans="1:13" x14ac:dyDescent="0.35">
      <c r="A887" s="1" t="s">
        <v>1126</v>
      </c>
      <c r="B887" s="1" t="s">
        <v>827</v>
      </c>
      <c r="C887" s="1" t="s">
        <v>61</v>
      </c>
      <c r="D887" s="1" t="s">
        <v>62</v>
      </c>
      <c r="E887" s="1" t="s">
        <v>32</v>
      </c>
      <c r="F887" s="1" t="s">
        <v>17</v>
      </c>
      <c r="G887" s="1" t="s">
        <v>26</v>
      </c>
      <c r="H887" s="1">
        <v>7514</v>
      </c>
      <c r="I887" s="1" t="s">
        <v>19</v>
      </c>
      <c r="J887" s="1">
        <v>0.2</v>
      </c>
      <c r="K887" s="1">
        <v>9000</v>
      </c>
      <c r="L887" s="2">
        <v>45292</v>
      </c>
      <c r="M887" s="10" t="str">
        <f t="shared" si="13"/>
        <v>Below Target</v>
      </c>
    </row>
    <row r="888" spans="1:13" x14ac:dyDescent="0.35">
      <c r="A888" s="1" t="s">
        <v>1127</v>
      </c>
      <c r="B888" s="1" t="s">
        <v>21</v>
      </c>
      <c r="C888" s="1" t="s">
        <v>14</v>
      </c>
      <c r="D888" s="1" t="s">
        <v>15</v>
      </c>
      <c r="E888" s="1" t="s">
        <v>32</v>
      </c>
      <c r="F888" s="1" t="s">
        <v>39</v>
      </c>
      <c r="G888" s="1" t="s">
        <v>36</v>
      </c>
      <c r="H888" s="1">
        <v>14694</v>
      </c>
      <c r="I888" s="1"/>
      <c r="J888" s="1"/>
      <c r="K888" s="1">
        <v>14000</v>
      </c>
      <c r="L888" s="2">
        <v>45300</v>
      </c>
      <c r="M888" s="10" t="str">
        <f t="shared" si="13"/>
        <v>Target Achieved</v>
      </c>
    </row>
    <row r="889" spans="1:13" x14ac:dyDescent="0.35">
      <c r="A889" s="1" t="s">
        <v>1128</v>
      </c>
      <c r="B889" s="1" t="s">
        <v>843</v>
      </c>
      <c r="C889" s="1" t="s">
        <v>61</v>
      </c>
      <c r="D889" s="1" t="s">
        <v>62</v>
      </c>
      <c r="E889" s="1" t="s">
        <v>46</v>
      </c>
      <c r="F889" s="1" t="s">
        <v>39</v>
      </c>
      <c r="G889" s="1" t="s">
        <v>26</v>
      </c>
      <c r="H889" s="1">
        <v>10810</v>
      </c>
      <c r="I889" s="1"/>
      <c r="J889" s="1"/>
      <c r="K889" s="1">
        <v>9000</v>
      </c>
      <c r="L889" s="2">
        <v>45331</v>
      </c>
      <c r="M889" s="10" t="str">
        <f t="shared" si="13"/>
        <v>Target Achieved</v>
      </c>
    </row>
    <row r="890" spans="1:13" x14ac:dyDescent="0.35">
      <c r="A890" s="1" t="s">
        <v>1129</v>
      </c>
      <c r="B890" s="1" t="s">
        <v>429</v>
      </c>
      <c r="C890" s="1" t="s">
        <v>61</v>
      </c>
      <c r="D890" s="1" t="s">
        <v>62</v>
      </c>
      <c r="E890" s="1" t="s">
        <v>16</v>
      </c>
      <c r="F890" s="1" t="s">
        <v>17</v>
      </c>
      <c r="G890" s="1" t="s">
        <v>36</v>
      </c>
      <c r="H890" s="1">
        <v>8455</v>
      </c>
      <c r="I890" s="1" t="s">
        <v>19</v>
      </c>
      <c r="J890" s="1">
        <v>0.2</v>
      </c>
      <c r="K890" s="1">
        <v>9000</v>
      </c>
      <c r="L890" s="2">
        <v>45303</v>
      </c>
      <c r="M890" s="10" t="str">
        <f t="shared" si="13"/>
        <v>Below Target</v>
      </c>
    </row>
    <row r="891" spans="1:13" x14ac:dyDescent="0.35">
      <c r="A891" s="1" t="s">
        <v>1130</v>
      </c>
      <c r="B891" s="1" t="s">
        <v>617</v>
      </c>
      <c r="C891" s="1" t="s">
        <v>14</v>
      </c>
      <c r="D891" s="1" t="s">
        <v>15</v>
      </c>
      <c r="E891" s="1" t="s">
        <v>16</v>
      </c>
      <c r="F891" s="1" t="s">
        <v>17</v>
      </c>
      <c r="G891" s="1" t="s">
        <v>26</v>
      </c>
      <c r="H891" s="1">
        <v>12969</v>
      </c>
      <c r="I891" s="1" t="s">
        <v>27</v>
      </c>
      <c r="J891" s="1"/>
      <c r="K891" s="1">
        <v>14000</v>
      </c>
      <c r="L891" s="2">
        <v>45309</v>
      </c>
      <c r="M891" s="10" t="str">
        <f t="shared" si="13"/>
        <v>Below Target</v>
      </c>
    </row>
    <row r="892" spans="1:13" x14ac:dyDescent="0.35">
      <c r="A892" s="1" t="s">
        <v>1131</v>
      </c>
      <c r="B892" s="1" t="s">
        <v>512</v>
      </c>
      <c r="C892" s="1" t="s">
        <v>30</v>
      </c>
      <c r="D892" s="1" t="s">
        <v>31</v>
      </c>
      <c r="E892" s="1" t="s">
        <v>32</v>
      </c>
      <c r="F892" s="1" t="s">
        <v>25</v>
      </c>
      <c r="G892" s="1" t="s">
        <v>26</v>
      </c>
      <c r="H892" s="1">
        <v>16979</v>
      </c>
      <c r="I892" s="1" t="s">
        <v>33</v>
      </c>
      <c r="J892" s="1">
        <v>0.3</v>
      </c>
      <c r="K892" s="1">
        <v>17000</v>
      </c>
      <c r="L892" s="2">
        <v>45299</v>
      </c>
      <c r="M892" s="10" t="str">
        <f t="shared" si="13"/>
        <v>Below Target</v>
      </c>
    </row>
    <row r="893" spans="1:13" x14ac:dyDescent="0.35">
      <c r="A893" s="1" t="s">
        <v>1132</v>
      </c>
      <c r="B893" s="1" t="s">
        <v>356</v>
      </c>
      <c r="C893" s="1" t="s">
        <v>14</v>
      </c>
      <c r="D893" s="1" t="s">
        <v>15</v>
      </c>
      <c r="E893" s="1" t="s">
        <v>32</v>
      </c>
      <c r="F893" s="1" t="s">
        <v>39</v>
      </c>
      <c r="G893" s="1" t="s">
        <v>26</v>
      </c>
      <c r="H893" s="1">
        <v>14156</v>
      </c>
      <c r="I893" s="1" t="s">
        <v>33</v>
      </c>
      <c r="J893" s="1">
        <v>0.3</v>
      </c>
      <c r="K893" s="1">
        <v>14000</v>
      </c>
      <c r="L893" s="2">
        <v>45321</v>
      </c>
      <c r="M893" s="10" t="str">
        <f t="shared" si="13"/>
        <v>Target Achieved</v>
      </c>
    </row>
    <row r="894" spans="1:13" x14ac:dyDescent="0.35">
      <c r="A894" s="1" t="s">
        <v>1133</v>
      </c>
      <c r="B894" s="1" t="s">
        <v>905</v>
      </c>
      <c r="C894" s="1" t="s">
        <v>14</v>
      </c>
      <c r="D894" s="1" t="s">
        <v>15</v>
      </c>
      <c r="E894" s="1" t="s">
        <v>32</v>
      </c>
      <c r="F894" s="1" t="s">
        <v>17</v>
      </c>
      <c r="G894" s="1" t="s">
        <v>26</v>
      </c>
      <c r="H894" s="1">
        <v>15037</v>
      </c>
      <c r="I894" s="1" t="s">
        <v>22</v>
      </c>
      <c r="J894" s="1">
        <v>0.1</v>
      </c>
      <c r="K894" s="1">
        <v>14000</v>
      </c>
      <c r="L894" s="2">
        <v>45335</v>
      </c>
      <c r="M894" s="10" t="str">
        <f t="shared" si="13"/>
        <v>Target Achieved</v>
      </c>
    </row>
    <row r="895" spans="1:13" x14ac:dyDescent="0.35">
      <c r="A895" s="1" t="s">
        <v>1134</v>
      </c>
      <c r="B895" s="1" t="s">
        <v>416</v>
      </c>
      <c r="C895" s="1" t="s">
        <v>30</v>
      </c>
      <c r="D895" s="1" t="s">
        <v>31</v>
      </c>
      <c r="E895" s="1" t="s">
        <v>16</v>
      </c>
      <c r="F895" s="1" t="s">
        <v>25</v>
      </c>
      <c r="G895" s="1" t="s">
        <v>36</v>
      </c>
      <c r="H895" s="1">
        <v>17191</v>
      </c>
      <c r="I895" s="1" t="s">
        <v>22</v>
      </c>
      <c r="J895" s="1">
        <v>0.1</v>
      </c>
      <c r="K895" s="1">
        <v>17000</v>
      </c>
      <c r="L895" s="2">
        <v>45322</v>
      </c>
      <c r="M895" s="10" t="str">
        <f t="shared" si="13"/>
        <v>Target Achieved</v>
      </c>
    </row>
    <row r="896" spans="1:13" x14ac:dyDescent="0.35">
      <c r="A896" s="1" t="s">
        <v>1135</v>
      </c>
      <c r="B896" s="1" t="s">
        <v>330</v>
      </c>
      <c r="C896" s="1" t="s">
        <v>61</v>
      </c>
      <c r="D896" s="1" t="s">
        <v>62</v>
      </c>
      <c r="E896" s="1" t="s">
        <v>16</v>
      </c>
      <c r="F896" s="1" t="s">
        <v>39</v>
      </c>
      <c r="G896" s="1" t="s">
        <v>36</v>
      </c>
      <c r="H896" s="1">
        <v>8724</v>
      </c>
      <c r="I896" s="1" t="s">
        <v>33</v>
      </c>
      <c r="J896" s="1">
        <v>0.3</v>
      </c>
      <c r="K896" s="1">
        <v>9000</v>
      </c>
      <c r="L896" s="2">
        <v>45343</v>
      </c>
      <c r="M896" s="10" t="str">
        <f t="shared" si="13"/>
        <v>Below Target</v>
      </c>
    </row>
    <row r="897" spans="1:13" x14ac:dyDescent="0.35">
      <c r="A897" s="1" t="s">
        <v>1136</v>
      </c>
      <c r="B897" s="1" t="s">
        <v>361</v>
      </c>
      <c r="C897" s="1" t="s">
        <v>44</v>
      </c>
      <c r="D897" s="1" t="s">
        <v>45</v>
      </c>
      <c r="E897" s="1" t="s">
        <v>32</v>
      </c>
      <c r="F897" s="1" t="s">
        <v>39</v>
      </c>
      <c r="G897" s="1" t="s">
        <v>26</v>
      </c>
      <c r="H897" s="1">
        <v>14069</v>
      </c>
      <c r="I897" s="1" t="s">
        <v>33</v>
      </c>
      <c r="J897" s="1">
        <v>0.3</v>
      </c>
      <c r="K897" s="1">
        <v>13000</v>
      </c>
      <c r="L897" s="2">
        <v>45338</v>
      </c>
      <c r="M897" s="10" t="str">
        <f t="shared" si="13"/>
        <v>Target Achieved</v>
      </c>
    </row>
    <row r="898" spans="1:13" x14ac:dyDescent="0.35">
      <c r="A898" s="1" t="s">
        <v>1137</v>
      </c>
      <c r="B898" s="1" t="s">
        <v>522</v>
      </c>
      <c r="C898" s="1" t="s">
        <v>30</v>
      </c>
      <c r="D898" s="1" t="s">
        <v>31</v>
      </c>
      <c r="E898" s="1" t="s">
        <v>32</v>
      </c>
      <c r="F898" s="1" t="s">
        <v>39</v>
      </c>
      <c r="G898" s="1" t="s">
        <v>36</v>
      </c>
      <c r="H898" s="1">
        <v>17368</v>
      </c>
      <c r="I898" s="1" t="s">
        <v>19</v>
      </c>
      <c r="J898" s="1">
        <v>0.2</v>
      </c>
      <c r="K898" s="1">
        <v>17000</v>
      </c>
      <c r="L898" s="2">
        <v>45328</v>
      </c>
      <c r="M898" s="10" t="str">
        <f t="shared" si="13"/>
        <v>Target Achieved</v>
      </c>
    </row>
    <row r="899" spans="1:13" x14ac:dyDescent="0.35">
      <c r="A899" s="1" t="s">
        <v>1138</v>
      </c>
      <c r="B899" s="1" t="s">
        <v>68</v>
      </c>
      <c r="C899" s="1" t="s">
        <v>30</v>
      </c>
      <c r="D899" s="1" t="s">
        <v>31</v>
      </c>
      <c r="E899" s="1" t="s">
        <v>16</v>
      </c>
      <c r="F899" s="1" t="s">
        <v>39</v>
      </c>
      <c r="G899" s="1" t="s">
        <v>18</v>
      </c>
      <c r="H899" s="1">
        <v>16174</v>
      </c>
      <c r="I899" s="1"/>
      <c r="J899" s="1"/>
      <c r="K899" s="1">
        <v>17000</v>
      </c>
      <c r="L899" s="2">
        <v>45297</v>
      </c>
      <c r="M899" s="10" t="str">
        <f t="shared" ref="M899:M962" si="14">IF(H899&gt;=K899,"Target Achieved","Below Target")</f>
        <v>Below Target</v>
      </c>
    </row>
    <row r="900" spans="1:13" x14ac:dyDescent="0.35">
      <c r="A900" s="1" t="s">
        <v>1139</v>
      </c>
      <c r="B900" s="1" t="s">
        <v>440</v>
      </c>
      <c r="C900" s="1" t="s">
        <v>14</v>
      </c>
      <c r="D900" s="1" t="s">
        <v>15</v>
      </c>
      <c r="E900" s="1" t="s">
        <v>46</v>
      </c>
      <c r="F900" s="1" t="s">
        <v>17</v>
      </c>
      <c r="G900" s="1" t="s">
        <v>18</v>
      </c>
      <c r="H900" s="1">
        <v>14522</v>
      </c>
      <c r="I900" s="1" t="s">
        <v>33</v>
      </c>
      <c r="J900" s="1">
        <v>0.3</v>
      </c>
      <c r="K900" s="1">
        <v>14000</v>
      </c>
      <c r="L900" s="2">
        <v>45309</v>
      </c>
      <c r="M900" s="10" t="str">
        <f t="shared" si="14"/>
        <v>Target Achieved</v>
      </c>
    </row>
    <row r="901" spans="1:13" x14ac:dyDescent="0.35">
      <c r="A901" s="1" t="s">
        <v>1140</v>
      </c>
      <c r="B901" s="1" t="s">
        <v>643</v>
      </c>
      <c r="C901" s="1" t="s">
        <v>14</v>
      </c>
      <c r="D901" s="1" t="s">
        <v>15</v>
      </c>
      <c r="E901" s="1" t="s">
        <v>16</v>
      </c>
      <c r="F901" s="1" t="s">
        <v>25</v>
      </c>
      <c r="G901" s="1" t="s">
        <v>26</v>
      </c>
      <c r="H901" s="1">
        <v>12715</v>
      </c>
      <c r="I901" s="1" t="s">
        <v>27</v>
      </c>
      <c r="J901" s="1"/>
      <c r="K901" s="1">
        <v>14000</v>
      </c>
      <c r="L901" s="2">
        <v>45339</v>
      </c>
      <c r="M901" s="10" t="str">
        <f t="shared" si="14"/>
        <v>Below Target</v>
      </c>
    </row>
    <row r="902" spans="1:13" x14ac:dyDescent="0.35">
      <c r="A902" s="1" t="s">
        <v>1141</v>
      </c>
      <c r="B902" s="1" t="s">
        <v>113</v>
      </c>
      <c r="C902" s="1" t="s">
        <v>61</v>
      </c>
      <c r="D902" s="1" t="s">
        <v>62</v>
      </c>
      <c r="E902" s="1" t="s">
        <v>46</v>
      </c>
      <c r="F902" s="1" t="s">
        <v>25</v>
      </c>
      <c r="G902" s="1" t="s">
        <v>36</v>
      </c>
      <c r="H902" s="1">
        <v>10205</v>
      </c>
      <c r="I902" s="1" t="s">
        <v>19</v>
      </c>
      <c r="J902" s="1">
        <v>0.2</v>
      </c>
      <c r="K902" s="1">
        <v>9000</v>
      </c>
      <c r="L902" s="2">
        <v>45323</v>
      </c>
      <c r="M902" s="10" t="str">
        <f t="shared" si="14"/>
        <v>Target Achieved</v>
      </c>
    </row>
    <row r="903" spans="1:13" x14ac:dyDescent="0.35">
      <c r="A903" s="1" t="s">
        <v>1142</v>
      </c>
      <c r="B903" s="1" t="s">
        <v>135</v>
      </c>
      <c r="C903" s="1" t="s">
        <v>14</v>
      </c>
      <c r="D903" s="1" t="s">
        <v>15</v>
      </c>
      <c r="E903" s="1" t="s">
        <v>46</v>
      </c>
      <c r="F903" s="1" t="s">
        <v>25</v>
      </c>
      <c r="G903" s="1" t="s">
        <v>18</v>
      </c>
      <c r="H903" s="1">
        <v>14439</v>
      </c>
      <c r="I903" s="1" t="s">
        <v>19</v>
      </c>
      <c r="J903" s="1">
        <v>0.2</v>
      </c>
      <c r="K903" s="1">
        <v>14000</v>
      </c>
      <c r="L903" s="2">
        <v>45345</v>
      </c>
      <c r="M903" s="10" t="str">
        <f t="shared" si="14"/>
        <v>Target Achieved</v>
      </c>
    </row>
    <row r="904" spans="1:13" x14ac:dyDescent="0.35">
      <c r="A904" s="1" t="s">
        <v>1143</v>
      </c>
      <c r="B904" s="1" t="s">
        <v>157</v>
      </c>
      <c r="C904" s="1" t="s">
        <v>61</v>
      </c>
      <c r="D904" s="1" t="s">
        <v>62</v>
      </c>
      <c r="E904" s="1" t="s">
        <v>46</v>
      </c>
      <c r="F904" s="1" t="s">
        <v>25</v>
      </c>
      <c r="G904" s="1" t="s">
        <v>26</v>
      </c>
      <c r="H904" s="1">
        <v>8802</v>
      </c>
      <c r="I904" s="1" t="s">
        <v>19</v>
      </c>
      <c r="J904" s="1">
        <v>0.2</v>
      </c>
      <c r="K904" s="1">
        <v>9000</v>
      </c>
      <c r="L904" s="2">
        <v>45305</v>
      </c>
      <c r="M904" s="10" t="str">
        <f t="shared" si="14"/>
        <v>Below Target</v>
      </c>
    </row>
    <row r="905" spans="1:13" x14ac:dyDescent="0.35">
      <c r="A905" s="1" t="s">
        <v>1144</v>
      </c>
      <c r="B905" s="1" t="s">
        <v>233</v>
      </c>
      <c r="C905" s="1" t="s">
        <v>30</v>
      </c>
      <c r="D905" s="1" t="s">
        <v>31</v>
      </c>
      <c r="E905" s="1" t="s">
        <v>32</v>
      </c>
      <c r="F905" s="1" t="s">
        <v>39</v>
      </c>
      <c r="G905" s="1" t="s">
        <v>36</v>
      </c>
      <c r="H905" s="1">
        <v>18094</v>
      </c>
      <c r="I905" s="1" t="s">
        <v>22</v>
      </c>
      <c r="J905" s="1">
        <v>0.1</v>
      </c>
      <c r="K905" s="1">
        <v>17000</v>
      </c>
      <c r="L905" s="2">
        <v>45295</v>
      </c>
      <c r="M905" s="10" t="str">
        <f t="shared" si="14"/>
        <v>Target Achieved</v>
      </c>
    </row>
    <row r="906" spans="1:13" x14ac:dyDescent="0.35">
      <c r="A906" s="1" t="s">
        <v>1145</v>
      </c>
      <c r="B906" s="1" t="s">
        <v>429</v>
      </c>
      <c r="C906" s="1" t="s">
        <v>61</v>
      </c>
      <c r="D906" s="1" t="s">
        <v>62</v>
      </c>
      <c r="E906" s="1" t="s">
        <v>46</v>
      </c>
      <c r="F906" s="1" t="s">
        <v>17</v>
      </c>
      <c r="G906" s="1" t="s">
        <v>36</v>
      </c>
      <c r="H906" s="1">
        <v>10056</v>
      </c>
      <c r="I906" s="1" t="s">
        <v>27</v>
      </c>
      <c r="J906" s="1"/>
      <c r="K906" s="1">
        <v>9000</v>
      </c>
      <c r="L906" s="2">
        <v>45306</v>
      </c>
      <c r="M906" s="10" t="str">
        <f t="shared" si="14"/>
        <v>Target Achieved</v>
      </c>
    </row>
    <row r="907" spans="1:13" x14ac:dyDescent="0.35">
      <c r="A907" s="1" t="s">
        <v>1146</v>
      </c>
      <c r="B907" s="1" t="s">
        <v>274</v>
      </c>
      <c r="C907" s="1" t="s">
        <v>61</v>
      </c>
      <c r="D907" s="1" t="s">
        <v>62</v>
      </c>
      <c r="E907" s="1" t="s">
        <v>46</v>
      </c>
      <c r="F907" s="1" t="s">
        <v>17</v>
      </c>
      <c r="G907" s="1" t="s">
        <v>18</v>
      </c>
      <c r="H907" s="1">
        <v>9172</v>
      </c>
      <c r="I907" s="1"/>
      <c r="J907" s="1"/>
      <c r="K907" s="1">
        <v>9000</v>
      </c>
      <c r="L907" s="2">
        <v>45292</v>
      </c>
      <c r="M907" s="10" t="str">
        <f t="shared" si="14"/>
        <v>Target Achieved</v>
      </c>
    </row>
    <row r="908" spans="1:13" x14ac:dyDescent="0.35">
      <c r="A908" s="1" t="s">
        <v>1147</v>
      </c>
      <c r="B908" s="1" t="s">
        <v>443</v>
      </c>
      <c r="C908" s="1" t="s">
        <v>61</v>
      </c>
      <c r="D908" s="1" t="s">
        <v>62</v>
      </c>
      <c r="E908" s="1" t="s">
        <v>46</v>
      </c>
      <c r="F908" s="1" t="s">
        <v>39</v>
      </c>
      <c r="G908" s="1" t="s">
        <v>36</v>
      </c>
      <c r="H908" s="1">
        <v>10939</v>
      </c>
      <c r="I908" s="1" t="s">
        <v>27</v>
      </c>
      <c r="J908" s="1"/>
      <c r="K908" s="1">
        <v>9000</v>
      </c>
      <c r="L908" s="2">
        <v>45335</v>
      </c>
      <c r="M908" s="10" t="str">
        <f t="shared" si="14"/>
        <v>Target Achieved</v>
      </c>
    </row>
    <row r="909" spans="1:13" x14ac:dyDescent="0.35">
      <c r="A909" s="1" t="s">
        <v>1148</v>
      </c>
      <c r="B909" s="1" t="s">
        <v>76</v>
      </c>
      <c r="C909" s="1" t="s">
        <v>30</v>
      </c>
      <c r="D909" s="1" t="s">
        <v>31</v>
      </c>
      <c r="E909" s="1" t="s">
        <v>46</v>
      </c>
      <c r="F909" s="1" t="s">
        <v>39</v>
      </c>
      <c r="G909" s="1" t="s">
        <v>26</v>
      </c>
      <c r="H909" s="1">
        <v>18515</v>
      </c>
      <c r="I909" s="1" t="s">
        <v>33</v>
      </c>
      <c r="J909" s="1">
        <v>0.3</v>
      </c>
      <c r="K909" s="1">
        <v>17000</v>
      </c>
      <c r="L909" s="2">
        <v>45313</v>
      </c>
      <c r="M909" s="10" t="str">
        <f t="shared" si="14"/>
        <v>Target Achieved</v>
      </c>
    </row>
    <row r="910" spans="1:13" x14ac:dyDescent="0.35">
      <c r="A910" s="1" t="s">
        <v>1149</v>
      </c>
      <c r="B910" s="1" t="s">
        <v>361</v>
      </c>
      <c r="C910" s="1" t="s">
        <v>14</v>
      </c>
      <c r="D910" s="1" t="s">
        <v>15</v>
      </c>
      <c r="E910" s="1" t="s">
        <v>46</v>
      </c>
      <c r="F910" s="1" t="s">
        <v>39</v>
      </c>
      <c r="G910" s="1" t="s">
        <v>26</v>
      </c>
      <c r="H910" s="1">
        <v>13602</v>
      </c>
      <c r="I910" s="1"/>
      <c r="J910" s="1"/>
      <c r="K910" s="1">
        <v>14000</v>
      </c>
      <c r="L910" s="2">
        <v>45341</v>
      </c>
      <c r="M910" s="10" t="str">
        <f t="shared" si="14"/>
        <v>Below Target</v>
      </c>
    </row>
    <row r="911" spans="1:13" x14ac:dyDescent="0.35">
      <c r="A911" s="1" t="s">
        <v>1150</v>
      </c>
      <c r="B911" s="1" t="s">
        <v>305</v>
      </c>
      <c r="C911" s="1" t="s">
        <v>44</v>
      </c>
      <c r="D911" s="1" t="s">
        <v>45</v>
      </c>
      <c r="E911" s="1" t="s">
        <v>16</v>
      </c>
      <c r="F911" s="1" t="s">
        <v>39</v>
      </c>
      <c r="G911" s="1" t="s">
        <v>26</v>
      </c>
      <c r="H911" s="1">
        <v>14155</v>
      </c>
      <c r="I911" s="1" t="s">
        <v>19</v>
      </c>
      <c r="J911" s="1">
        <v>0.2</v>
      </c>
      <c r="K911" s="1">
        <v>13000</v>
      </c>
      <c r="L911" s="2">
        <v>45325</v>
      </c>
      <c r="M911" s="10" t="str">
        <f t="shared" si="14"/>
        <v>Target Achieved</v>
      </c>
    </row>
    <row r="912" spans="1:13" x14ac:dyDescent="0.35">
      <c r="A912" s="1" t="s">
        <v>1151</v>
      </c>
      <c r="B912" s="1" t="s">
        <v>150</v>
      </c>
      <c r="C912" s="1" t="s">
        <v>44</v>
      </c>
      <c r="D912" s="1" t="s">
        <v>45</v>
      </c>
      <c r="E912" s="1" t="s">
        <v>46</v>
      </c>
      <c r="F912" s="1" t="s">
        <v>39</v>
      </c>
      <c r="G912" s="1" t="s">
        <v>18</v>
      </c>
      <c r="H912" s="1">
        <v>13755</v>
      </c>
      <c r="I912" s="1" t="s">
        <v>22</v>
      </c>
      <c r="J912" s="1">
        <v>0.1</v>
      </c>
      <c r="K912" s="1">
        <v>13000</v>
      </c>
      <c r="L912" s="2">
        <v>45345</v>
      </c>
      <c r="M912" s="10" t="str">
        <f t="shared" si="14"/>
        <v>Target Achieved</v>
      </c>
    </row>
    <row r="913" spans="1:13" x14ac:dyDescent="0.35">
      <c r="A913" s="1" t="s">
        <v>1152</v>
      </c>
      <c r="B913" s="1" t="s">
        <v>43</v>
      </c>
      <c r="C913" s="1" t="s">
        <v>61</v>
      </c>
      <c r="D913" s="1" t="s">
        <v>62</v>
      </c>
      <c r="E913" s="1" t="s">
        <v>32</v>
      </c>
      <c r="F913" s="1" t="s">
        <v>39</v>
      </c>
      <c r="G913" s="1" t="s">
        <v>18</v>
      </c>
      <c r="H913" s="1">
        <v>9807</v>
      </c>
      <c r="I913" s="1"/>
      <c r="J913" s="1"/>
      <c r="K913" s="1">
        <v>9000</v>
      </c>
      <c r="L913" s="2">
        <v>45314</v>
      </c>
      <c r="M913" s="10" t="str">
        <f t="shared" si="14"/>
        <v>Target Achieved</v>
      </c>
    </row>
    <row r="914" spans="1:13" x14ac:dyDescent="0.35">
      <c r="A914" s="1" t="s">
        <v>1153</v>
      </c>
      <c r="B914" s="1" t="s">
        <v>220</v>
      </c>
      <c r="C914" s="1" t="s">
        <v>30</v>
      </c>
      <c r="D914" s="1" t="s">
        <v>31</v>
      </c>
      <c r="E914" s="1" t="s">
        <v>46</v>
      </c>
      <c r="F914" s="1" t="s">
        <v>25</v>
      </c>
      <c r="G914" s="1" t="s">
        <v>18</v>
      </c>
      <c r="H914" s="1">
        <v>15097</v>
      </c>
      <c r="I914" s="1" t="s">
        <v>27</v>
      </c>
      <c r="J914" s="1"/>
      <c r="K914" s="1">
        <v>17000</v>
      </c>
      <c r="L914" s="2">
        <v>45297</v>
      </c>
      <c r="M914" s="10" t="str">
        <f t="shared" si="14"/>
        <v>Below Target</v>
      </c>
    </row>
    <row r="915" spans="1:13" x14ac:dyDescent="0.35">
      <c r="A915" s="1" t="s">
        <v>1154</v>
      </c>
      <c r="B915" s="1" t="s">
        <v>109</v>
      </c>
      <c r="C915" s="1" t="s">
        <v>44</v>
      </c>
      <c r="D915" s="1" t="s">
        <v>45</v>
      </c>
      <c r="E915" s="1" t="s">
        <v>16</v>
      </c>
      <c r="F915" s="1" t="s">
        <v>39</v>
      </c>
      <c r="G915" s="1" t="s">
        <v>18</v>
      </c>
      <c r="H915" s="1">
        <v>13900</v>
      </c>
      <c r="I915" s="1" t="s">
        <v>22</v>
      </c>
      <c r="J915" s="1">
        <v>0.1</v>
      </c>
      <c r="K915" s="1">
        <v>13000</v>
      </c>
      <c r="L915" s="2">
        <v>45297</v>
      </c>
      <c r="M915" s="10" t="str">
        <f t="shared" si="14"/>
        <v>Target Achieved</v>
      </c>
    </row>
    <row r="916" spans="1:13" x14ac:dyDescent="0.35">
      <c r="A916" s="1" t="s">
        <v>1155</v>
      </c>
      <c r="B916" s="1" t="s">
        <v>460</v>
      </c>
      <c r="C916" s="1" t="s">
        <v>44</v>
      </c>
      <c r="D916" s="1" t="s">
        <v>45</v>
      </c>
      <c r="E916" s="1" t="s">
        <v>46</v>
      </c>
      <c r="F916" s="1" t="s">
        <v>39</v>
      </c>
      <c r="G916" s="1" t="s">
        <v>26</v>
      </c>
      <c r="H916" s="1">
        <v>13318</v>
      </c>
      <c r="I916" s="1" t="s">
        <v>19</v>
      </c>
      <c r="J916" s="1">
        <v>0.2</v>
      </c>
      <c r="K916" s="1">
        <v>13000</v>
      </c>
      <c r="L916" s="2">
        <v>45349</v>
      </c>
      <c r="M916" s="10" t="str">
        <f t="shared" si="14"/>
        <v>Target Achieved</v>
      </c>
    </row>
    <row r="917" spans="1:13" x14ac:dyDescent="0.35">
      <c r="A917" s="1" t="s">
        <v>1156</v>
      </c>
      <c r="B917" s="1" t="s">
        <v>173</v>
      </c>
      <c r="C917" s="1" t="s">
        <v>44</v>
      </c>
      <c r="D917" s="1" t="s">
        <v>45</v>
      </c>
      <c r="E917" s="1" t="s">
        <v>46</v>
      </c>
      <c r="F917" s="1" t="s">
        <v>17</v>
      </c>
      <c r="G917" s="1" t="s">
        <v>36</v>
      </c>
      <c r="H917" s="1">
        <v>13705</v>
      </c>
      <c r="I917" s="1" t="s">
        <v>22</v>
      </c>
      <c r="J917" s="1">
        <v>0.1</v>
      </c>
      <c r="K917" s="1">
        <v>13000</v>
      </c>
      <c r="L917" s="2">
        <v>45332</v>
      </c>
      <c r="M917" s="10" t="str">
        <f t="shared" si="14"/>
        <v>Target Achieved</v>
      </c>
    </row>
    <row r="918" spans="1:13" x14ac:dyDescent="0.35">
      <c r="A918" s="1" t="s">
        <v>1157</v>
      </c>
      <c r="B918" s="1" t="s">
        <v>123</v>
      </c>
      <c r="C918" s="1" t="s">
        <v>61</v>
      </c>
      <c r="D918" s="1" t="s">
        <v>62</v>
      </c>
      <c r="E918" s="1" t="s">
        <v>16</v>
      </c>
      <c r="F918" s="1" t="s">
        <v>39</v>
      </c>
      <c r="G918" s="1" t="s">
        <v>36</v>
      </c>
      <c r="H918" s="1">
        <v>8054</v>
      </c>
      <c r="I918" s="1" t="s">
        <v>19</v>
      </c>
      <c r="J918" s="1">
        <v>0.2</v>
      </c>
      <c r="K918" s="1">
        <v>9000</v>
      </c>
      <c r="L918" s="2">
        <v>45341</v>
      </c>
      <c r="M918" s="10" t="str">
        <f t="shared" si="14"/>
        <v>Below Target</v>
      </c>
    </row>
    <row r="919" spans="1:13" x14ac:dyDescent="0.35">
      <c r="A919" s="1" t="s">
        <v>1158</v>
      </c>
      <c r="B919" s="1" t="s">
        <v>263</v>
      </c>
      <c r="C919" s="1" t="s">
        <v>14</v>
      </c>
      <c r="D919" s="1" t="s">
        <v>15</v>
      </c>
      <c r="E919" s="1" t="s">
        <v>46</v>
      </c>
      <c r="F919" s="1" t="s">
        <v>17</v>
      </c>
      <c r="G919" s="1" t="s">
        <v>36</v>
      </c>
      <c r="H919" s="1">
        <v>12246</v>
      </c>
      <c r="I919" s="1" t="s">
        <v>33</v>
      </c>
      <c r="J919" s="1">
        <v>0.3</v>
      </c>
      <c r="K919" s="1">
        <v>14000</v>
      </c>
      <c r="L919" s="2">
        <v>45344</v>
      </c>
      <c r="M919" s="10" t="str">
        <f t="shared" si="14"/>
        <v>Below Target</v>
      </c>
    </row>
    <row r="920" spans="1:13" x14ac:dyDescent="0.35">
      <c r="A920" s="1" t="s">
        <v>1159</v>
      </c>
      <c r="B920" s="1" t="s">
        <v>58</v>
      </c>
      <c r="C920" s="1" t="s">
        <v>61</v>
      </c>
      <c r="D920" s="1" t="s">
        <v>62</v>
      </c>
      <c r="E920" s="1" t="s">
        <v>32</v>
      </c>
      <c r="F920" s="1" t="s">
        <v>17</v>
      </c>
      <c r="G920" s="1" t="s">
        <v>18</v>
      </c>
      <c r="H920" s="1">
        <v>9499</v>
      </c>
      <c r="I920" s="1"/>
      <c r="J920" s="1"/>
      <c r="K920" s="1">
        <v>9000</v>
      </c>
      <c r="L920" s="2">
        <v>45303</v>
      </c>
      <c r="M920" s="10" t="str">
        <f t="shared" si="14"/>
        <v>Target Achieved</v>
      </c>
    </row>
    <row r="921" spans="1:13" x14ac:dyDescent="0.35">
      <c r="A921" s="1" t="s">
        <v>1160</v>
      </c>
      <c r="B921" s="1" t="s">
        <v>591</v>
      </c>
      <c r="C921" s="1" t="s">
        <v>14</v>
      </c>
      <c r="D921" s="1" t="s">
        <v>15</v>
      </c>
      <c r="E921" s="1" t="s">
        <v>32</v>
      </c>
      <c r="F921" s="1" t="s">
        <v>39</v>
      </c>
      <c r="G921" s="1" t="s">
        <v>36</v>
      </c>
      <c r="H921" s="1">
        <v>12894</v>
      </c>
      <c r="I921" s="1" t="s">
        <v>27</v>
      </c>
      <c r="J921" s="1"/>
      <c r="K921" s="1">
        <v>14000</v>
      </c>
      <c r="L921" s="2">
        <v>45333</v>
      </c>
      <c r="M921" s="10" t="str">
        <f t="shared" si="14"/>
        <v>Below Target</v>
      </c>
    </row>
    <row r="922" spans="1:13" x14ac:dyDescent="0.35">
      <c r="A922" s="1" t="s">
        <v>1161</v>
      </c>
      <c r="B922" s="1" t="s">
        <v>245</v>
      </c>
      <c r="C922" s="1" t="s">
        <v>30</v>
      </c>
      <c r="D922" s="1" t="s">
        <v>31</v>
      </c>
      <c r="E922" s="1" t="s">
        <v>32</v>
      </c>
      <c r="F922" s="1" t="s">
        <v>25</v>
      </c>
      <c r="G922" s="1" t="s">
        <v>18</v>
      </c>
      <c r="H922" s="1">
        <v>15288</v>
      </c>
      <c r="I922" s="1" t="s">
        <v>27</v>
      </c>
      <c r="J922" s="1"/>
      <c r="K922" s="1">
        <v>17000</v>
      </c>
      <c r="L922" s="2">
        <v>45338</v>
      </c>
      <c r="M922" s="10" t="str">
        <f t="shared" si="14"/>
        <v>Below Target</v>
      </c>
    </row>
    <row r="923" spans="1:13" x14ac:dyDescent="0.35">
      <c r="A923" s="1" t="s">
        <v>1162</v>
      </c>
      <c r="B923" s="1" t="s">
        <v>443</v>
      </c>
      <c r="C923" s="1" t="s">
        <v>61</v>
      </c>
      <c r="D923" s="1" t="s">
        <v>62</v>
      </c>
      <c r="E923" s="1" t="s">
        <v>32</v>
      </c>
      <c r="F923" s="1" t="s">
        <v>17</v>
      </c>
      <c r="G923" s="1" t="s">
        <v>18</v>
      </c>
      <c r="H923" s="1">
        <v>9674</v>
      </c>
      <c r="I923" s="1" t="s">
        <v>22</v>
      </c>
      <c r="J923" s="1">
        <v>0.1</v>
      </c>
      <c r="K923" s="1">
        <v>9000</v>
      </c>
      <c r="L923" s="2">
        <v>45351</v>
      </c>
      <c r="M923" s="10" t="str">
        <f t="shared" si="14"/>
        <v>Target Achieved</v>
      </c>
    </row>
    <row r="924" spans="1:13" x14ac:dyDescent="0.35">
      <c r="A924" s="1" t="s">
        <v>1163</v>
      </c>
      <c r="B924" s="1" t="s">
        <v>68</v>
      </c>
      <c r="C924" s="1" t="s">
        <v>61</v>
      </c>
      <c r="D924" s="1" t="s">
        <v>62</v>
      </c>
      <c r="E924" s="1" t="s">
        <v>46</v>
      </c>
      <c r="F924" s="1" t="s">
        <v>25</v>
      </c>
      <c r="G924" s="1" t="s">
        <v>26</v>
      </c>
      <c r="H924" s="1">
        <v>8350</v>
      </c>
      <c r="I924" s="1"/>
      <c r="J924" s="1"/>
      <c r="K924" s="1">
        <v>9000</v>
      </c>
      <c r="L924" s="2">
        <v>45328</v>
      </c>
      <c r="M924" s="10" t="str">
        <f t="shared" si="14"/>
        <v>Below Target</v>
      </c>
    </row>
    <row r="925" spans="1:13" x14ac:dyDescent="0.35">
      <c r="A925" s="1" t="s">
        <v>1164</v>
      </c>
      <c r="B925" s="1" t="s">
        <v>166</v>
      </c>
      <c r="C925" s="1" t="s">
        <v>61</v>
      </c>
      <c r="D925" s="1" t="s">
        <v>62</v>
      </c>
      <c r="E925" s="1" t="s">
        <v>46</v>
      </c>
      <c r="F925" s="1" t="s">
        <v>17</v>
      </c>
      <c r="G925" s="1" t="s">
        <v>36</v>
      </c>
      <c r="H925" s="1">
        <v>10457</v>
      </c>
      <c r="I925" s="1" t="s">
        <v>22</v>
      </c>
      <c r="J925" s="1">
        <v>0.1</v>
      </c>
      <c r="K925" s="1">
        <v>9000</v>
      </c>
      <c r="L925" s="2">
        <v>45326</v>
      </c>
      <c r="M925" s="10" t="str">
        <f t="shared" si="14"/>
        <v>Target Achieved</v>
      </c>
    </row>
    <row r="926" spans="1:13" x14ac:dyDescent="0.35">
      <c r="A926" s="1" t="s">
        <v>1165</v>
      </c>
      <c r="B926" s="1" t="s">
        <v>500</v>
      </c>
      <c r="C926" s="1" t="s">
        <v>61</v>
      </c>
      <c r="D926" s="1" t="s">
        <v>62</v>
      </c>
      <c r="E926" s="1" t="s">
        <v>16</v>
      </c>
      <c r="F926" s="1" t="s">
        <v>17</v>
      </c>
      <c r="G926" s="1" t="s">
        <v>18</v>
      </c>
      <c r="H926" s="1">
        <v>9323</v>
      </c>
      <c r="I926" s="1" t="s">
        <v>27</v>
      </c>
      <c r="J926" s="1"/>
      <c r="K926" s="1">
        <v>9000</v>
      </c>
      <c r="L926" s="2">
        <v>45351</v>
      </c>
      <c r="M926" s="10" t="str">
        <f t="shared" si="14"/>
        <v>Target Achieved</v>
      </c>
    </row>
    <row r="927" spans="1:13" x14ac:dyDescent="0.35">
      <c r="A927" s="1" t="s">
        <v>1166</v>
      </c>
      <c r="B927" s="1" t="s">
        <v>282</v>
      </c>
      <c r="C927" s="1" t="s">
        <v>30</v>
      </c>
      <c r="D927" s="1" t="s">
        <v>31</v>
      </c>
      <c r="E927" s="1" t="s">
        <v>46</v>
      </c>
      <c r="F927" s="1" t="s">
        <v>25</v>
      </c>
      <c r="G927" s="1" t="s">
        <v>26</v>
      </c>
      <c r="H927" s="1">
        <v>18927</v>
      </c>
      <c r="I927" s="1" t="s">
        <v>22</v>
      </c>
      <c r="J927" s="1">
        <v>0.1</v>
      </c>
      <c r="K927" s="1">
        <v>17000</v>
      </c>
      <c r="L927" s="2">
        <v>45315</v>
      </c>
      <c r="M927" s="10" t="str">
        <f t="shared" si="14"/>
        <v>Target Achieved</v>
      </c>
    </row>
    <row r="928" spans="1:13" x14ac:dyDescent="0.35">
      <c r="A928" s="1" t="s">
        <v>1167</v>
      </c>
      <c r="B928" s="1" t="s">
        <v>105</v>
      </c>
      <c r="C928" s="1" t="s">
        <v>30</v>
      </c>
      <c r="D928" s="1" t="s">
        <v>31</v>
      </c>
      <c r="E928" s="1" t="s">
        <v>32</v>
      </c>
      <c r="F928" s="1" t="s">
        <v>17</v>
      </c>
      <c r="G928" s="1" t="s">
        <v>36</v>
      </c>
      <c r="H928" s="1">
        <v>17653</v>
      </c>
      <c r="I928" s="1" t="s">
        <v>19</v>
      </c>
      <c r="J928" s="1">
        <v>0.2</v>
      </c>
      <c r="K928" s="1">
        <v>17000</v>
      </c>
      <c r="L928" s="2">
        <v>45303</v>
      </c>
      <c r="M928" s="10" t="str">
        <f t="shared" si="14"/>
        <v>Target Achieved</v>
      </c>
    </row>
    <row r="929" spans="1:13" x14ac:dyDescent="0.35">
      <c r="A929" s="1" t="s">
        <v>1168</v>
      </c>
      <c r="B929" s="1" t="s">
        <v>184</v>
      </c>
      <c r="C929" s="1" t="s">
        <v>61</v>
      </c>
      <c r="D929" s="1" t="s">
        <v>62</v>
      </c>
      <c r="E929" s="1" t="s">
        <v>16</v>
      </c>
      <c r="F929" s="1" t="s">
        <v>25</v>
      </c>
      <c r="G929" s="1" t="s">
        <v>36</v>
      </c>
      <c r="H929" s="1">
        <v>9850</v>
      </c>
      <c r="I929" s="1"/>
      <c r="J929" s="1"/>
      <c r="K929" s="1">
        <v>9000</v>
      </c>
      <c r="L929" s="2">
        <v>45349</v>
      </c>
      <c r="M929" s="10" t="str">
        <f t="shared" si="14"/>
        <v>Target Achieved</v>
      </c>
    </row>
    <row r="930" spans="1:13" x14ac:dyDescent="0.35">
      <c r="A930" s="1" t="s">
        <v>1169</v>
      </c>
      <c r="B930" s="1" t="s">
        <v>21</v>
      </c>
      <c r="C930" s="1" t="s">
        <v>30</v>
      </c>
      <c r="D930" s="1" t="s">
        <v>31</v>
      </c>
      <c r="E930" s="1" t="s">
        <v>46</v>
      </c>
      <c r="F930" s="1" t="s">
        <v>25</v>
      </c>
      <c r="G930" s="1" t="s">
        <v>26</v>
      </c>
      <c r="H930" s="1">
        <v>16793</v>
      </c>
      <c r="I930" s="1" t="s">
        <v>19</v>
      </c>
      <c r="J930" s="1">
        <v>0.2</v>
      </c>
      <c r="K930" s="1">
        <v>17000</v>
      </c>
      <c r="L930" s="2">
        <v>45300</v>
      </c>
      <c r="M930" s="10" t="str">
        <f t="shared" si="14"/>
        <v>Below Target</v>
      </c>
    </row>
    <row r="931" spans="1:13" x14ac:dyDescent="0.35">
      <c r="A931" s="1" t="s">
        <v>1170</v>
      </c>
      <c r="B931" s="1" t="s">
        <v>192</v>
      </c>
      <c r="C931" s="1" t="s">
        <v>14</v>
      </c>
      <c r="D931" s="1" t="s">
        <v>15</v>
      </c>
      <c r="E931" s="1" t="s">
        <v>16</v>
      </c>
      <c r="F931" s="1" t="s">
        <v>39</v>
      </c>
      <c r="G931" s="1" t="s">
        <v>18</v>
      </c>
      <c r="H931" s="1">
        <v>14003</v>
      </c>
      <c r="I931" s="1"/>
      <c r="J931" s="1"/>
      <c r="K931" s="1">
        <v>14000</v>
      </c>
      <c r="L931" s="2">
        <v>45296</v>
      </c>
      <c r="M931" s="10" t="str">
        <f t="shared" si="14"/>
        <v>Target Achieved</v>
      </c>
    </row>
    <row r="932" spans="1:13" x14ac:dyDescent="0.35">
      <c r="A932" s="1" t="s">
        <v>1171</v>
      </c>
      <c r="B932" s="1" t="s">
        <v>133</v>
      </c>
      <c r="C932" s="1" t="s">
        <v>30</v>
      </c>
      <c r="D932" s="1" t="s">
        <v>31</v>
      </c>
      <c r="E932" s="1" t="s">
        <v>46</v>
      </c>
      <c r="F932" s="1" t="s">
        <v>39</v>
      </c>
      <c r="G932" s="1" t="s">
        <v>36</v>
      </c>
      <c r="H932" s="1">
        <v>18959</v>
      </c>
      <c r="I932" s="1" t="s">
        <v>22</v>
      </c>
      <c r="J932" s="1">
        <v>0.1</v>
      </c>
      <c r="K932" s="1">
        <v>17000</v>
      </c>
      <c r="L932" s="2">
        <v>45294</v>
      </c>
      <c r="M932" s="10" t="str">
        <f t="shared" si="14"/>
        <v>Target Achieved</v>
      </c>
    </row>
    <row r="933" spans="1:13" x14ac:dyDescent="0.35">
      <c r="A933" s="1" t="s">
        <v>1172</v>
      </c>
      <c r="B933" s="1" t="s">
        <v>327</v>
      </c>
      <c r="C933" s="1" t="s">
        <v>30</v>
      </c>
      <c r="D933" s="1" t="s">
        <v>31</v>
      </c>
      <c r="E933" s="1" t="s">
        <v>16</v>
      </c>
      <c r="F933" s="1" t="s">
        <v>25</v>
      </c>
      <c r="G933" s="1" t="s">
        <v>36</v>
      </c>
      <c r="H933" s="1">
        <v>15484</v>
      </c>
      <c r="I933" s="1" t="s">
        <v>19</v>
      </c>
      <c r="J933" s="1">
        <v>0.2</v>
      </c>
      <c r="K933" s="1">
        <v>17000</v>
      </c>
      <c r="L933" s="2">
        <v>45343</v>
      </c>
      <c r="M933" s="10" t="str">
        <f t="shared" si="14"/>
        <v>Below Target</v>
      </c>
    </row>
    <row r="934" spans="1:13" x14ac:dyDescent="0.35">
      <c r="A934" s="1" t="s">
        <v>1173</v>
      </c>
      <c r="B934" s="1" t="s">
        <v>92</v>
      </c>
      <c r="C934" s="1" t="s">
        <v>61</v>
      </c>
      <c r="D934" s="1" t="s">
        <v>62</v>
      </c>
      <c r="E934" s="1" t="s">
        <v>16</v>
      </c>
      <c r="F934" s="1" t="s">
        <v>39</v>
      </c>
      <c r="G934" s="1" t="s">
        <v>18</v>
      </c>
      <c r="H934" s="1">
        <v>10035</v>
      </c>
      <c r="I934" s="1" t="s">
        <v>27</v>
      </c>
      <c r="J934" s="1"/>
      <c r="K934" s="1">
        <v>9000</v>
      </c>
      <c r="L934" s="2">
        <v>45306</v>
      </c>
      <c r="M934" s="10" t="str">
        <f t="shared" si="14"/>
        <v>Target Achieved</v>
      </c>
    </row>
    <row r="935" spans="1:13" x14ac:dyDescent="0.35">
      <c r="A935" s="1" t="s">
        <v>1174</v>
      </c>
      <c r="B935" s="1" t="s">
        <v>403</v>
      </c>
      <c r="C935" s="1" t="s">
        <v>14</v>
      </c>
      <c r="D935" s="1" t="s">
        <v>15</v>
      </c>
      <c r="E935" s="1" t="s">
        <v>16</v>
      </c>
      <c r="F935" s="1" t="s">
        <v>25</v>
      </c>
      <c r="G935" s="1" t="s">
        <v>36</v>
      </c>
      <c r="H935" s="1">
        <v>14678</v>
      </c>
      <c r="I935" s="1" t="s">
        <v>22</v>
      </c>
      <c r="J935" s="1">
        <v>0.1</v>
      </c>
      <c r="K935" s="1">
        <v>14000</v>
      </c>
      <c r="L935" s="2">
        <v>45322</v>
      </c>
      <c r="M935" s="10" t="str">
        <f t="shared" si="14"/>
        <v>Target Achieved</v>
      </c>
    </row>
    <row r="936" spans="1:13" x14ac:dyDescent="0.35">
      <c r="A936" s="1" t="s">
        <v>1175</v>
      </c>
      <c r="B936" s="1" t="s">
        <v>60</v>
      </c>
      <c r="C936" s="1" t="s">
        <v>14</v>
      </c>
      <c r="D936" s="1" t="s">
        <v>15</v>
      </c>
      <c r="E936" s="1" t="s">
        <v>32</v>
      </c>
      <c r="F936" s="1" t="s">
        <v>39</v>
      </c>
      <c r="G936" s="1" t="s">
        <v>26</v>
      </c>
      <c r="H936" s="1">
        <v>12534</v>
      </c>
      <c r="I936" s="1" t="s">
        <v>22</v>
      </c>
      <c r="J936" s="1">
        <v>0.1</v>
      </c>
      <c r="K936" s="1">
        <v>14000</v>
      </c>
      <c r="L936" s="2">
        <v>45303</v>
      </c>
      <c r="M936" s="10" t="str">
        <f t="shared" si="14"/>
        <v>Below Target</v>
      </c>
    </row>
    <row r="937" spans="1:13" x14ac:dyDescent="0.35">
      <c r="A937" s="1" t="s">
        <v>1176</v>
      </c>
      <c r="B937" s="1" t="s">
        <v>1032</v>
      </c>
      <c r="C937" s="1" t="s">
        <v>30</v>
      </c>
      <c r="D937" s="1" t="s">
        <v>31</v>
      </c>
      <c r="E937" s="1" t="s">
        <v>32</v>
      </c>
      <c r="F937" s="1" t="s">
        <v>17</v>
      </c>
      <c r="G937" s="1" t="s">
        <v>26</v>
      </c>
      <c r="H937" s="1">
        <v>15699</v>
      </c>
      <c r="I937" s="1" t="s">
        <v>27</v>
      </c>
      <c r="J937" s="1"/>
      <c r="K937" s="1">
        <v>17000</v>
      </c>
      <c r="L937" s="2">
        <v>45296</v>
      </c>
      <c r="M937" s="10" t="str">
        <f t="shared" si="14"/>
        <v>Below Target</v>
      </c>
    </row>
    <row r="938" spans="1:13" x14ac:dyDescent="0.35">
      <c r="A938" s="1" t="s">
        <v>1177</v>
      </c>
      <c r="B938" s="1" t="s">
        <v>319</v>
      </c>
      <c r="C938" s="1" t="s">
        <v>14</v>
      </c>
      <c r="D938" s="1" t="s">
        <v>15</v>
      </c>
      <c r="E938" s="1" t="s">
        <v>32</v>
      </c>
      <c r="F938" s="1" t="s">
        <v>17</v>
      </c>
      <c r="G938" s="1" t="s">
        <v>26</v>
      </c>
      <c r="H938" s="1">
        <v>15273</v>
      </c>
      <c r="I938" s="1" t="s">
        <v>27</v>
      </c>
      <c r="J938" s="1"/>
      <c r="K938" s="1">
        <v>14000</v>
      </c>
      <c r="L938" s="2">
        <v>45306</v>
      </c>
      <c r="M938" s="10" t="str">
        <f t="shared" si="14"/>
        <v>Target Achieved</v>
      </c>
    </row>
    <row r="939" spans="1:13" x14ac:dyDescent="0.35">
      <c r="A939" s="1" t="s">
        <v>1178</v>
      </c>
      <c r="B939" s="1" t="s">
        <v>200</v>
      </c>
      <c r="C939" s="1" t="s">
        <v>44</v>
      </c>
      <c r="D939" s="1" t="s">
        <v>45</v>
      </c>
      <c r="E939" s="1" t="s">
        <v>46</v>
      </c>
      <c r="F939" s="1" t="s">
        <v>17</v>
      </c>
      <c r="G939" s="1" t="s">
        <v>26</v>
      </c>
      <c r="H939" s="1">
        <v>13778</v>
      </c>
      <c r="I939" s="1"/>
      <c r="J939" s="1"/>
      <c r="K939" s="1">
        <v>13000</v>
      </c>
      <c r="L939" s="2">
        <v>45312</v>
      </c>
      <c r="M939" s="10" t="str">
        <f t="shared" si="14"/>
        <v>Target Achieved</v>
      </c>
    </row>
    <row r="940" spans="1:13" x14ac:dyDescent="0.35">
      <c r="A940" s="1" t="s">
        <v>1179</v>
      </c>
      <c r="B940" s="1" t="s">
        <v>21</v>
      </c>
      <c r="C940" s="1" t="s">
        <v>44</v>
      </c>
      <c r="D940" s="1" t="s">
        <v>45</v>
      </c>
      <c r="E940" s="1" t="s">
        <v>46</v>
      </c>
      <c r="F940" s="1" t="s">
        <v>25</v>
      </c>
      <c r="G940" s="1" t="s">
        <v>18</v>
      </c>
      <c r="H940" s="1">
        <v>13429</v>
      </c>
      <c r="I940" s="1" t="s">
        <v>19</v>
      </c>
      <c r="J940" s="1">
        <v>0.2</v>
      </c>
      <c r="K940" s="1">
        <v>13000</v>
      </c>
      <c r="L940" s="2">
        <v>45313</v>
      </c>
      <c r="M940" s="10" t="str">
        <f t="shared" si="14"/>
        <v>Target Achieved</v>
      </c>
    </row>
    <row r="941" spans="1:13" x14ac:dyDescent="0.35">
      <c r="A941" s="1" t="s">
        <v>1180</v>
      </c>
      <c r="B941" s="1" t="s">
        <v>78</v>
      </c>
      <c r="C941" s="1" t="s">
        <v>30</v>
      </c>
      <c r="D941" s="1" t="s">
        <v>31</v>
      </c>
      <c r="E941" s="1" t="s">
        <v>32</v>
      </c>
      <c r="F941" s="1" t="s">
        <v>17</v>
      </c>
      <c r="G941" s="1" t="s">
        <v>18</v>
      </c>
      <c r="H941" s="1">
        <v>17852</v>
      </c>
      <c r="I941" s="1" t="s">
        <v>33</v>
      </c>
      <c r="J941" s="1">
        <v>0.3</v>
      </c>
      <c r="K941" s="1">
        <v>17000</v>
      </c>
      <c r="L941" s="2">
        <v>45327</v>
      </c>
      <c r="M941" s="10" t="str">
        <f t="shared" si="14"/>
        <v>Target Achieved</v>
      </c>
    </row>
    <row r="942" spans="1:13" x14ac:dyDescent="0.35">
      <c r="A942" s="1" t="s">
        <v>1181</v>
      </c>
      <c r="B942" s="1" t="s">
        <v>429</v>
      </c>
      <c r="C942" s="1" t="s">
        <v>44</v>
      </c>
      <c r="D942" s="1" t="s">
        <v>45</v>
      </c>
      <c r="E942" s="1" t="s">
        <v>16</v>
      </c>
      <c r="F942" s="1" t="s">
        <v>25</v>
      </c>
      <c r="G942" s="1" t="s">
        <v>18</v>
      </c>
      <c r="H942" s="1">
        <v>11409</v>
      </c>
      <c r="I942" s="1" t="s">
        <v>27</v>
      </c>
      <c r="J942" s="1"/>
      <c r="K942" s="1">
        <v>13000</v>
      </c>
      <c r="L942" s="2">
        <v>45316</v>
      </c>
      <c r="M942" s="10" t="str">
        <f t="shared" si="14"/>
        <v>Below Target</v>
      </c>
    </row>
    <row r="943" spans="1:13" x14ac:dyDescent="0.35">
      <c r="A943" s="1" t="s">
        <v>1182</v>
      </c>
      <c r="B943" s="1" t="s">
        <v>72</v>
      </c>
      <c r="C943" s="1" t="s">
        <v>14</v>
      </c>
      <c r="D943" s="1" t="s">
        <v>15</v>
      </c>
      <c r="E943" s="1" t="s">
        <v>46</v>
      </c>
      <c r="F943" s="1" t="s">
        <v>25</v>
      </c>
      <c r="G943" s="1" t="s">
        <v>18</v>
      </c>
      <c r="H943" s="1">
        <v>12029</v>
      </c>
      <c r="I943" s="1" t="s">
        <v>19</v>
      </c>
      <c r="J943" s="1">
        <v>0.2</v>
      </c>
      <c r="K943" s="1">
        <v>14000</v>
      </c>
      <c r="L943" s="2">
        <v>45351</v>
      </c>
      <c r="M943" s="10" t="str">
        <f t="shared" si="14"/>
        <v>Below Target</v>
      </c>
    </row>
    <row r="944" spans="1:13" x14ac:dyDescent="0.35">
      <c r="A944" s="1" t="s">
        <v>1183</v>
      </c>
      <c r="B944" s="1" t="s">
        <v>173</v>
      </c>
      <c r="C944" s="1" t="s">
        <v>30</v>
      </c>
      <c r="D944" s="1" t="s">
        <v>31</v>
      </c>
      <c r="E944" s="1" t="s">
        <v>46</v>
      </c>
      <c r="F944" s="1" t="s">
        <v>39</v>
      </c>
      <c r="G944" s="1" t="s">
        <v>36</v>
      </c>
      <c r="H944" s="1">
        <v>17835</v>
      </c>
      <c r="I944" s="1" t="s">
        <v>19</v>
      </c>
      <c r="J944" s="1">
        <v>0.2</v>
      </c>
      <c r="K944" s="1">
        <v>17000</v>
      </c>
      <c r="L944" s="2">
        <v>45305</v>
      </c>
      <c r="M944" s="10" t="str">
        <f t="shared" si="14"/>
        <v>Target Achieved</v>
      </c>
    </row>
    <row r="945" spans="1:13" x14ac:dyDescent="0.35">
      <c r="A945" s="1" t="s">
        <v>1184</v>
      </c>
      <c r="B945" s="1" t="s">
        <v>113</v>
      </c>
      <c r="C945" s="1" t="s">
        <v>30</v>
      </c>
      <c r="D945" s="1" t="s">
        <v>31</v>
      </c>
      <c r="E945" s="1" t="s">
        <v>16</v>
      </c>
      <c r="F945" s="1" t="s">
        <v>17</v>
      </c>
      <c r="G945" s="1" t="s">
        <v>36</v>
      </c>
      <c r="H945" s="1">
        <v>15979</v>
      </c>
      <c r="I945" s="1" t="s">
        <v>19</v>
      </c>
      <c r="J945" s="1">
        <v>0.2</v>
      </c>
      <c r="K945" s="1">
        <v>17000</v>
      </c>
      <c r="L945" s="2">
        <v>45331</v>
      </c>
      <c r="M945" s="10" t="str">
        <f t="shared" si="14"/>
        <v>Below Target</v>
      </c>
    </row>
    <row r="946" spans="1:13" x14ac:dyDescent="0.35">
      <c r="A946" s="1" t="s">
        <v>1185</v>
      </c>
      <c r="B946" s="1" t="s">
        <v>464</v>
      </c>
      <c r="C946" s="1" t="s">
        <v>44</v>
      </c>
      <c r="D946" s="1" t="s">
        <v>45</v>
      </c>
      <c r="E946" s="1" t="s">
        <v>16</v>
      </c>
      <c r="F946" s="1" t="s">
        <v>17</v>
      </c>
      <c r="G946" s="1" t="s">
        <v>26</v>
      </c>
      <c r="H946" s="1">
        <v>14892</v>
      </c>
      <c r="I946" s="1" t="s">
        <v>22</v>
      </c>
      <c r="J946" s="1">
        <v>0.1</v>
      </c>
      <c r="K946" s="1">
        <v>13000</v>
      </c>
      <c r="L946" s="2">
        <v>45332</v>
      </c>
      <c r="M946" s="10" t="str">
        <f t="shared" si="14"/>
        <v>Target Achieved</v>
      </c>
    </row>
    <row r="947" spans="1:13" x14ac:dyDescent="0.35">
      <c r="A947" s="1" t="s">
        <v>1186</v>
      </c>
      <c r="B947" s="1" t="s">
        <v>393</v>
      </c>
      <c r="C947" s="1" t="s">
        <v>30</v>
      </c>
      <c r="D947" s="1" t="s">
        <v>31</v>
      </c>
      <c r="E947" s="1" t="s">
        <v>46</v>
      </c>
      <c r="F947" s="1" t="s">
        <v>17</v>
      </c>
      <c r="G947" s="1" t="s">
        <v>18</v>
      </c>
      <c r="H947" s="1">
        <v>17284</v>
      </c>
      <c r="I947" s="1" t="s">
        <v>19</v>
      </c>
      <c r="J947" s="1">
        <v>0.2</v>
      </c>
      <c r="K947" s="1">
        <v>17000</v>
      </c>
      <c r="L947" s="2">
        <v>45304</v>
      </c>
      <c r="M947" s="10" t="str">
        <f t="shared" si="14"/>
        <v>Target Achieved</v>
      </c>
    </row>
    <row r="948" spans="1:13" x14ac:dyDescent="0.35">
      <c r="A948" s="1" t="s">
        <v>1187</v>
      </c>
      <c r="B948" s="1" t="s">
        <v>241</v>
      </c>
      <c r="C948" s="1" t="s">
        <v>14</v>
      </c>
      <c r="D948" s="1" t="s">
        <v>15</v>
      </c>
      <c r="E948" s="1" t="s">
        <v>16</v>
      </c>
      <c r="F948" s="1" t="s">
        <v>17</v>
      </c>
      <c r="G948" s="1" t="s">
        <v>26</v>
      </c>
      <c r="H948" s="1">
        <v>14078</v>
      </c>
      <c r="I948" s="1" t="s">
        <v>19</v>
      </c>
      <c r="J948" s="1">
        <v>0.2</v>
      </c>
      <c r="K948" s="1">
        <v>14000</v>
      </c>
      <c r="L948" s="2">
        <v>45321</v>
      </c>
      <c r="M948" s="10" t="str">
        <f t="shared" si="14"/>
        <v>Target Achieved</v>
      </c>
    </row>
    <row r="949" spans="1:13" x14ac:dyDescent="0.35">
      <c r="A949" s="1" t="s">
        <v>1188</v>
      </c>
      <c r="B949" s="1" t="s">
        <v>426</v>
      </c>
      <c r="C949" s="1" t="s">
        <v>44</v>
      </c>
      <c r="D949" s="1" t="s">
        <v>45</v>
      </c>
      <c r="E949" s="1" t="s">
        <v>46</v>
      </c>
      <c r="F949" s="1" t="s">
        <v>25</v>
      </c>
      <c r="G949" s="1" t="s">
        <v>18</v>
      </c>
      <c r="H949" s="1">
        <v>11461</v>
      </c>
      <c r="I949" s="1" t="s">
        <v>19</v>
      </c>
      <c r="J949" s="1">
        <v>0.2</v>
      </c>
      <c r="K949" s="1">
        <v>13000</v>
      </c>
      <c r="L949" s="2">
        <v>45335</v>
      </c>
      <c r="M949" s="10" t="str">
        <f t="shared" si="14"/>
        <v>Below Target</v>
      </c>
    </row>
    <row r="950" spans="1:13" x14ac:dyDescent="0.35">
      <c r="A950" s="1" t="s">
        <v>1189</v>
      </c>
      <c r="B950" s="1" t="s">
        <v>1190</v>
      </c>
      <c r="C950" s="1" t="s">
        <v>61</v>
      </c>
      <c r="D950" s="1" t="s">
        <v>62</v>
      </c>
      <c r="E950" s="1" t="s">
        <v>32</v>
      </c>
      <c r="F950" s="1" t="s">
        <v>25</v>
      </c>
      <c r="G950" s="1" t="s">
        <v>26</v>
      </c>
      <c r="H950" s="1">
        <v>10779</v>
      </c>
      <c r="I950" s="1" t="s">
        <v>22</v>
      </c>
      <c r="J950" s="1">
        <v>0.1</v>
      </c>
      <c r="K950" s="1">
        <v>9000</v>
      </c>
      <c r="L950" s="2">
        <v>45295</v>
      </c>
      <c r="M950" s="10" t="str">
        <f t="shared" si="14"/>
        <v>Target Achieved</v>
      </c>
    </row>
    <row r="951" spans="1:13" x14ac:dyDescent="0.35">
      <c r="A951" s="1" t="s">
        <v>1191</v>
      </c>
      <c r="B951" s="1" t="s">
        <v>317</v>
      </c>
      <c r="C951" s="1" t="s">
        <v>30</v>
      </c>
      <c r="D951" s="1" t="s">
        <v>31</v>
      </c>
      <c r="E951" s="1" t="s">
        <v>32</v>
      </c>
      <c r="F951" s="1" t="s">
        <v>17</v>
      </c>
      <c r="G951" s="1" t="s">
        <v>36</v>
      </c>
      <c r="H951" s="1">
        <v>16369</v>
      </c>
      <c r="I951" s="1" t="s">
        <v>27</v>
      </c>
      <c r="J951" s="1"/>
      <c r="K951" s="1">
        <v>17000</v>
      </c>
      <c r="L951" s="2">
        <v>45343</v>
      </c>
      <c r="M951" s="10" t="str">
        <f t="shared" si="14"/>
        <v>Below Target</v>
      </c>
    </row>
    <row r="952" spans="1:13" x14ac:dyDescent="0.35">
      <c r="A952" s="1" t="s">
        <v>1192</v>
      </c>
      <c r="B952" s="1" t="s">
        <v>148</v>
      </c>
      <c r="C952" s="1" t="s">
        <v>61</v>
      </c>
      <c r="D952" s="1" t="s">
        <v>62</v>
      </c>
      <c r="E952" s="1" t="s">
        <v>32</v>
      </c>
      <c r="F952" s="1" t="s">
        <v>25</v>
      </c>
      <c r="G952" s="1" t="s">
        <v>26</v>
      </c>
      <c r="H952" s="1">
        <v>7214</v>
      </c>
      <c r="I952" s="1" t="s">
        <v>27</v>
      </c>
      <c r="J952" s="1"/>
      <c r="K952" s="1">
        <v>9000</v>
      </c>
      <c r="L952" s="2">
        <v>45303</v>
      </c>
      <c r="M952" s="10" t="str">
        <f t="shared" si="14"/>
        <v>Below Target</v>
      </c>
    </row>
    <row r="953" spans="1:13" x14ac:dyDescent="0.35">
      <c r="A953" s="1" t="s">
        <v>1193</v>
      </c>
      <c r="B953" s="1" t="s">
        <v>135</v>
      </c>
      <c r="C953" s="1" t="s">
        <v>14</v>
      </c>
      <c r="D953" s="1" t="s">
        <v>15</v>
      </c>
      <c r="E953" s="1" t="s">
        <v>46</v>
      </c>
      <c r="F953" s="1" t="s">
        <v>39</v>
      </c>
      <c r="G953" s="1" t="s">
        <v>18</v>
      </c>
      <c r="H953" s="1">
        <v>12290</v>
      </c>
      <c r="I953" s="1" t="s">
        <v>19</v>
      </c>
      <c r="J953" s="1">
        <v>0.2</v>
      </c>
      <c r="K953" s="1">
        <v>14000</v>
      </c>
      <c r="L953" s="2">
        <v>45338</v>
      </c>
      <c r="M953" s="10" t="str">
        <f t="shared" si="14"/>
        <v>Below Target</v>
      </c>
    </row>
    <row r="954" spans="1:13" x14ac:dyDescent="0.35">
      <c r="A954" s="1" t="s">
        <v>1194</v>
      </c>
      <c r="B954" s="1" t="s">
        <v>600</v>
      </c>
      <c r="C954" s="1" t="s">
        <v>30</v>
      </c>
      <c r="D954" s="1" t="s">
        <v>31</v>
      </c>
      <c r="E954" s="1" t="s">
        <v>46</v>
      </c>
      <c r="F954" s="1" t="s">
        <v>25</v>
      </c>
      <c r="G954" s="1" t="s">
        <v>26</v>
      </c>
      <c r="H954" s="1">
        <v>17772</v>
      </c>
      <c r="I954" s="1" t="s">
        <v>33</v>
      </c>
      <c r="J954" s="1">
        <v>0.3</v>
      </c>
      <c r="K954" s="1">
        <v>17000</v>
      </c>
      <c r="L954" s="2">
        <v>45306</v>
      </c>
      <c r="M954" s="10" t="str">
        <f t="shared" si="14"/>
        <v>Target Achieved</v>
      </c>
    </row>
    <row r="955" spans="1:13" x14ac:dyDescent="0.35">
      <c r="A955" s="1" t="s">
        <v>1195</v>
      </c>
      <c r="B955" s="1" t="s">
        <v>652</v>
      </c>
      <c r="C955" s="1" t="s">
        <v>30</v>
      </c>
      <c r="D955" s="1" t="s">
        <v>31</v>
      </c>
      <c r="E955" s="1" t="s">
        <v>32</v>
      </c>
      <c r="F955" s="1" t="s">
        <v>25</v>
      </c>
      <c r="G955" s="1" t="s">
        <v>18</v>
      </c>
      <c r="H955" s="1">
        <v>18021</v>
      </c>
      <c r="I955" s="1"/>
      <c r="J955" s="1"/>
      <c r="K955" s="1">
        <v>17000</v>
      </c>
      <c r="L955" s="2">
        <v>45347</v>
      </c>
      <c r="M955" s="10" t="str">
        <f t="shared" si="14"/>
        <v>Target Achieved</v>
      </c>
    </row>
    <row r="956" spans="1:13" x14ac:dyDescent="0.35">
      <c r="A956" s="1" t="s">
        <v>1196</v>
      </c>
      <c r="B956" s="1" t="s">
        <v>414</v>
      </c>
      <c r="C956" s="1" t="s">
        <v>44</v>
      </c>
      <c r="D956" s="1" t="s">
        <v>45</v>
      </c>
      <c r="E956" s="1" t="s">
        <v>32</v>
      </c>
      <c r="F956" s="1" t="s">
        <v>17</v>
      </c>
      <c r="G956" s="1" t="s">
        <v>26</v>
      </c>
      <c r="H956" s="1">
        <v>12984</v>
      </c>
      <c r="I956" s="1" t="s">
        <v>22</v>
      </c>
      <c r="J956" s="1">
        <v>0.1</v>
      </c>
      <c r="K956" s="1">
        <v>13000</v>
      </c>
      <c r="L956" s="2">
        <v>45348</v>
      </c>
      <c r="M956" s="10" t="str">
        <f t="shared" si="14"/>
        <v>Below Target</v>
      </c>
    </row>
    <row r="957" spans="1:13" x14ac:dyDescent="0.35">
      <c r="A957" s="1" t="s">
        <v>1197</v>
      </c>
      <c r="B957" s="1" t="s">
        <v>186</v>
      </c>
      <c r="C957" s="1" t="s">
        <v>44</v>
      </c>
      <c r="D957" s="1" t="s">
        <v>45</v>
      </c>
      <c r="E957" s="1" t="s">
        <v>16</v>
      </c>
      <c r="F957" s="1" t="s">
        <v>17</v>
      </c>
      <c r="G957" s="1" t="s">
        <v>18</v>
      </c>
      <c r="H957" s="1">
        <v>12586</v>
      </c>
      <c r="I957" s="1" t="s">
        <v>33</v>
      </c>
      <c r="J957" s="1">
        <v>0.3</v>
      </c>
      <c r="K957" s="1">
        <v>13000</v>
      </c>
      <c r="L957" s="2">
        <v>45300</v>
      </c>
      <c r="M957" s="10" t="str">
        <f t="shared" si="14"/>
        <v>Below Target</v>
      </c>
    </row>
    <row r="958" spans="1:13" x14ac:dyDescent="0.35">
      <c r="A958" s="1" t="s">
        <v>1198</v>
      </c>
      <c r="B958" s="1" t="s">
        <v>483</v>
      </c>
      <c r="C958" s="1" t="s">
        <v>44</v>
      </c>
      <c r="D958" s="1" t="s">
        <v>45</v>
      </c>
      <c r="E958" s="1" t="s">
        <v>16</v>
      </c>
      <c r="F958" s="1" t="s">
        <v>17</v>
      </c>
      <c r="G958" s="1" t="s">
        <v>36</v>
      </c>
      <c r="H958" s="1">
        <v>11828</v>
      </c>
      <c r="I958" s="1" t="s">
        <v>33</v>
      </c>
      <c r="J958" s="1">
        <v>0.3</v>
      </c>
      <c r="K958" s="1">
        <v>13000</v>
      </c>
      <c r="L958" s="2">
        <v>45300</v>
      </c>
      <c r="M958" s="10" t="str">
        <f t="shared" si="14"/>
        <v>Below Target</v>
      </c>
    </row>
    <row r="959" spans="1:13" x14ac:dyDescent="0.35">
      <c r="A959" s="1" t="s">
        <v>1199</v>
      </c>
      <c r="B959" s="1" t="s">
        <v>190</v>
      </c>
      <c r="C959" s="1" t="s">
        <v>14</v>
      </c>
      <c r="D959" s="1" t="s">
        <v>15</v>
      </c>
      <c r="E959" s="1" t="s">
        <v>46</v>
      </c>
      <c r="F959" s="1" t="s">
        <v>25</v>
      </c>
      <c r="G959" s="1" t="s">
        <v>18</v>
      </c>
      <c r="H959" s="1">
        <v>15488</v>
      </c>
      <c r="I959" s="1"/>
      <c r="J959" s="1"/>
      <c r="K959" s="1">
        <v>14000</v>
      </c>
      <c r="L959" s="2">
        <v>45321</v>
      </c>
      <c r="M959" s="10" t="str">
        <f t="shared" si="14"/>
        <v>Target Achieved</v>
      </c>
    </row>
    <row r="960" spans="1:13" x14ac:dyDescent="0.35">
      <c r="A960" s="1" t="s">
        <v>1200</v>
      </c>
      <c r="B960" s="1" t="s">
        <v>186</v>
      </c>
      <c r="C960" s="1" t="s">
        <v>30</v>
      </c>
      <c r="D960" s="1" t="s">
        <v>31</v>
      </c>
      <c r="E960" s="1" t="s">
        <v>32</v>
      </c>
      <c r="F960" s="1" t="s">
        <v>17</v>
      </c>
      <c r="G960" s="1" t="s">
        <v>26</v>
      </c>
      <c r="H960" s="1">
        <v>15642</v>
      </c>
      <c r="I960" s="1" t="s">
        <v>27</v>
      </c>
      <c r="J960" s="1"/>
      <c r="K960" s="1">
        <v>17000</v>
      </c>
      <c r="L960" s="2">
        <v>45349</v>
      </c>
      <c r="M960" s="10" t="str">
        <f t="shared" si="14"/>
        <v>Below Target</v>
      </c>
    </row>
    <row r="961" spans="1:13" x14ac:dyDescent="0.35">
      <c r="A961" s="1" t="s">
        <v>1201</v>
      </c>
      <c r="B961" s="1" t="s">
        <v>720</v>
      </c>
      <c r="C961" s="1" t="s">
        <v>44</v>
      </c>
      <c r="D961" s="1" t="s">
        <v>45</v>
      </c>
      <c r="E961" s="1" t="s">
        <v>32</v>
      </c>
      <c r="F961" s="1" t="s">
        <v>17</v>
      </c>
      <c r="G961" s="1" t="s">
        <v>26</v>
      </c>
      <c r="H961" s="1">
        <v>13003</v>
      </c>
      <c r="I961" s="1" t="s">
        <v>19</v>
      </c>
      <c r="J961" s="1">
        <v>0.2</v>
      </c>
      <c r="K961" s="1">
        <v>13000</v>
      </c>
      <c r="L961" s="2">
        <v>45329</v>
      </c>
      <c r="M961" s="10" t="str">
        <f t="shared" si="14"/>
        <v>Target Achieved</v>
      </c>
    </row>
    <row r="962" spans="1:13" x14ac:dyDescent="0.35">
      <c r="A962" s="1" t="s">
        <v>1202</v>
      </c>
      <c r="B962" s="1" t="s">
        <v>752</v>
      </c>
      <c r="C962" s="1" t="s">
        <v>61</v>
      </c>
      <c r="D962" s="1" t="s">
        <v>62</v>
      </c>
      <c r="E962" s="1" t="s">
        <v>46</v>
      </c>
      <c r="F962" s="1" t="s">
        <v>25</v>
      </c>
      <c r="G962" s="1" t="s">
        <v>26</v>
      </c>
      <c r="H962" s="1">
        <v>8753</v>
      </c>
      <c r="I962" s="1" t="s">
        <v>19</v>
      </c>
      <c r="J962" s="1">
        <v>0.2</v>
      </c>
      <c r="K962" s="1">
        <v>9000</v>
      </c>
      <c r="L962" s="2">
        <v>45307</v>
      </c>
      <c r="M962" s="10" t="str">
        <f t="shared" si="14"/>
        <v>Below Target</v>
      </c>
    </row>
    <row r="963" spans="1:13" x14ac:dyDescent="0.35">
      <c r="A963" s="1" t="s">
        <v>1203</v>
      </c>
      <c r="B963" s="1" t="s">
        <v>666</v>
      </c>
      <c r="C963" s="1" t="s">
        <v>44</v>
      </c>
      <c r="D963" s="1" t="s">
        <v>45</v>
      </c>
      <c r="E963" s="1" t="s">
        <v>16</v>
      </c>
      <c r="F963" s="1" t="s">
        <v>25</v>
      </c>
      <c r="G963" s="1" t="s">
        <v>26</v>
      </c>
      <c r="H963" s="1">
        <v>14679</v>
      </c>
      <c r="I963" s="1" t="s">
        <v>22</v>
      </c>
      <c r="J963" s="1">
        <v>0.1</v>
      </c>
      <c r="K963" s="1">
        <v>13000</v>
      </c>
      <c r="L963" s="2">
        <v>45318</v>
      </c>
      <c r="M963" s="10" t="str">
        <f t="shared" ref="M963:M1001" si="15">IF(H963&gt;=K963,"Target Achieved","Below Target")</f>
        <v>Target Achieved</v>
      </c>
    </row>
    <row r="964" spans="1:13" x14ac:dyDescent="0.35">
      <c r="A964" s="1" t="s">
        <v>1204</v>
      </c>
      <c r="B964" s="1" t="s">
        <v>161</v>
      </c>
      <c r="C964" s="1" t="s">
        <v>61</v>
      </c>
      <c r="D964" s="1" t="s">
        <v>62</v>
      </c>
      <c r="E964" s="1" t="s">
        <v>16</v>
      </c>
      <c r="F964" s="1" t="s">
        <v>39</v>
      </c>
      <c r="G964" s="1" t="s">
        <v>18</v>
      </c>
      <c r="H964" s="1">
        <v>8743</v>
      </c>
      <c r="I964" s="1" t="s">
        <v>27</v>
      </c>
      <c r="J964" s="1"/>
      <c r="K964" s="1">
        <v>9000</v>
      </c>
      <c r="L964" s="2">
        <v>45317</v>
      </c>
      <c r="M964" s="10" t="str">
        <f t="shared" si="15"/>
        <v>Below Target</v>
      </c>
    </row>
    <row r="965" spans="1:13" x14ac:dyDescent="0.35">
      <c r="A965" s="1" t="s">
        <v>1205</v>
      </c>
      <c r="B965" s="1" t="s">
        <v>157</v>
      </c>
      <c r="C965" s="1" t="s">
        <v>14</v>
      </c>
      <c r="D965" s="1" t="s">
        <v>15</v>
      </c>
      <c r="E965" s="1" t="s">
        <v>46</v>
      </c>
      <c r="F965" s="1" t="s">
        <v>17</v>
      </c>
      <c r="G965" s="1" t="s">
        <v>18</v>
      </c>
      <c r="H965" s="1">
        <v>12340</v>
      </c>
      <c r="I965" s="1" t="s">
        <v>27</v>
      </c>
      <c r="J965" s="1"/>
      <c r="K965" s="1">
        <v>14000</v>
      </c>
      <c r="L965" s="2">
        <v>45340</v>
      </c>
      <c r="M965" s="10" t="str">
        <f t="shared" si="15"/>
        <v>Below Target</v>
      </c>
    </row>
    <row r="966" spans="1:13" x14ac:dyDescent="0.35">
      <c r="A966" s="1" t="s">
        <v>1206</v>
      </c>
      <c r="B966" s="1" t="s">
        <v>190</v>
      </c>
      <c r="C966" s="1" t="s">
        <v>61</v>
      </c>
      <c r="D966" s="1" t="s">
        <v>62</v>
      </c>
      <c r="E966" s="1" t="s">
        <v>32</v>
      </c>
      <c r="F966" s="1" t="s">
        <v>25</v>
      </c>
      <c r="G966" s="1" t="s">
        <v>36</v>
      </c>
      <c r="H966" s="1">
        <v>8211</v>
      </c>
      <c r="I966" s="1" t="s">
        <v>19</v>
      </c>
      <c r="J966" s="1">
        <v>0.2</v>
      </c>
      <c r="K966" s="1">
        <v>9000</v>
      </c>
      <c r="L966" s="2">
        <v>45333</v>
      </c>
      <c r="M966" s="10" t="str">
        <f t="shared" si="15"/>
        <v>Below Target</v>
      </c>
    </row>
    <row r="967" spans="1:13" x14ac:dyDescent="0.35">
      <c r="A967" s="1" t="s">
        <v>1207</v>
      </c>
      <c r="B967" s="1" t="s">
        <v>43</v>
      </c>
      <c r="C967" s="1" t="s">
        <v>61</v>
      </c>
      <c r="D967" s="1" t="s">
        <v>62</v>
      </c>
      <c r="E967" s="1" t="s">
        <v>16</v>
      </c>
      <c r="F967" s="1" t="s">
        <v>17</v>
      </c>
      <c r="G967" s="1" t="s">
        <v>18</v>
      </c>
      <c r="H967" s="1">
        <v>9880</v>
      </c>
      <c r="I967" s="1"/>
      <c r="J967" s="1"/>
      <c r="K967" s="1">
        <v>9000</v>
      </c>
      <c r="L967" s="2">
        <v>45346</v>
      </c>
      <c r="M967" s="10" t="str">
        <f t="shared" si="15"/>
        <v>Target Achieved</v>
      </c>
    </row>
    <row r="968" spans="1:13" x14ac:dyDescent="0.35">
      <c r="A968" s="1" t="s">
        <v>1208</v>
      </c>
      <c r="B968" s="1" t="s">
        <v>233</v>
      </c>
      <c r="C968" s="1" t="s">
        <v>14</v>
      </c>
      <c r="D968" s="1" t="s">
        <v>15</v>
      </c>
      <c r="E968" s="1" t="s">
        <v>46</v>
      </c>
      <c r="F968" s="1" t="s">
        <v>17</v>
      </c>
      <c r="G968" s="1" t="s">
        <v>18</v>
      </c>
      <c r="H968" s="1">
        <v>15580</v>
      </c>
      <c r="I968" s="1"/>
      <c r="J968" s="1"/>
      <c r="K968" s="1">
        <v>14000</v>
      </c>
      <c r="L968" s="2">
        <v>45303</v>
      </c>
      <c r="M968" s="10" t="str">
        <f t="shared" si="15"/>
        <v>Target Achieved</v>
      </c>
    </row>
    <row r="969" spans="1:13" x14ac:dyDescent="0.35">
      <c r="A969" s="1" t="s">
        <v>1209</v>
      </c>
      <c r="B969" s="1" t="s">
        <v>140</v>
      </c>
      <c r="C969" s="1" t="s">
        <v>30</v>
      </c>
      <c r="D969" s="1" t="s">
        <v>31</v>
      </c>
      <c r="E969" s="1" t="s">
        <v>16</v>
      </c>
      <c r="F969" s="1" t="s">
        <v>17</v>
      </c>
      <c r="G969" s="1" t="s">
        <v>26</v>
      </c>
      <c r="H969" s="1">
        <v>17594</v>
      </c>
      <c r="I969" s="1" t="s">
        <v>22</v>
      </c>
      <c r="J969" s="1">
        <v>0.1</v>
      </c>
      <c r="K969" s="1">
        <v>17000</v>
      </c>
      <c r="L969" s="2">
        <v>45347</v>
      </c>
      <c r="M969" s="10" t="str">
        <f t="shared" si="15"/>
        <v>Target Achieved</v>
      </c>
    </row>
    <row r="970" spans="1:13" x14ac:dyDescent="0.35">
      <c r="A970" s="1" t="s">
        <v>1210</v>
      </c>
      <c r="B970" s="1" t="s">
        <v>13</v>
      </c>
      <c r="C970" s="1" t="s">
        <v>61</v>
      </c>
      <c r="D970" s="1" t="s">
        <v>62</v>
      </c>
      <c r="E970" s="1" t="s">
        <v>16</v>
      </c>
      <c r="F970" s="1" t="s">
        <v>17</v>
      </c>
      <c r="G970" s="1" t="s">
        <v>26</v>
      </c>
      <c r="H970" s="1">
        <v>7133</v>
      </c>
      <c r="I970" s="1" t="s">
        <v>33</v>
      </c>
      <c r="J970" s="1">
        <v>0.3</v>
      </c>
      <c r="K970" s="1">
        <v>9000</v>
      </c>
      <c r="L970" s="2">
        <v>45319</v>
      </c>
      <c r="M970" s="10" t="str">
        <f t="shared" si="15"/>
        <v>Below Target</v>
      </c>
    </row>
    <row r="971" spans="1:13" x14ac:dyDescent="0.35">
      <c r="A971" s="1" t="s">
        <v>1211</v>
      </c>
      <c r="B971" s="1" t="s">
        <v>1073</v>
      </c>
      <c r="C971" s="1" t="s">
        <v>44</v>
      </c>
      <c r="D971" s="1" t="s">
        <v>45</v>
      </c>
      <c r="E971" s="1" t="s">
        <v>16</v>
      </c>
      <c r="F971" s="1" t="s">
        <v>25</v>
      </c>
      <c r="G971" s="1" t="s">
        <v>26</v>
      </c>
      <c r="H971" s="1">
        <v>14607</v>
      </c>
      <c r="I971" s="1" t="s">
        <v>33</v>
      </c>
      <c r="J971" s="1">
        <v>0.3</v>
      </c>
      <c r="K971" s="1">
        <v>13000</v>
      </c>
      <c r="L971" s="2">
        <v>45339</v>
      </c>
      <c r="M971" s="10" t="str">
        <f t="shared" si="15"/>
        <v>Target Achieved</v>
      </c>
    </row>
    <row r="972" spans="1:13" x14ac:dyDescent="0.35">
      <c r="A972" s="1" t="s">
        <v>1212</v>
      </c>
      <c r="B972" s="1" t="s">
        <v>987</v>
      </c>
      <c r="C972" s="1" t="s">
        <v>30</v>
      </c>
      <c r="D972" s="1" t="s">
        <v>31</v>
      </c>
      <c r="E972" s="1" t="s">
        <v>32</v>
      </c>
      <c r="F972" s="1" t="s">
        <v>25</v>
      </c>
      <c r="G972" s="1" t="s">
        <v>36</v>
      </c>
      <c r="H972" s="1">
        <v>16497</v>
      </c>
      <c r="I972" s="1"/>
      <c r="J972" s="1"/>
      <c r="K972" s="1">
        <v>17000</v>
      </c>
      <c r="L972" s="2">
        <v>45331</v>
      </c>
      <c r="M972" s="10" t="str">
        <f t="shared" si="15"/>
        <v>Below Target</v>
      </c>
    </row>
    <row r="973" spans="1:13" x14ac:dyDescent="0.35">
      <c r="A973" s="1" t="s">
        <v>1213</v>
      </c>
      <c r="B973" s="1" t="s">
        <v>125</v>
      </c>
      <c r="C973" s="1" t="s">
        <v>30</v>
      </c>
      <c r="D973" s="1" t="s">
        <v>31</v>
      </c>
      <c r="E973" s="1" t="s">
        <v>32</v>
      </c>
      <c r="F973" s="1" t="s">
        <v>39</v>
      </c>
      <c r="G973" s="1" t="s">
        <v>26</v>
      </c>
      <c r="H973" s="1">
        <v>17887</v>
      </c>
      <c r="I973" s="1" t="s">
        <v>22</v>
      </c>
      <c r="J973" s="1">
        <v>0.1</v>
      </c>
      <c r="K973" s="1">
        <v>17000</v>
      </c>
      <c r="L973" s="2">
        <v>45327</v>
      </c>
      <c r="M973" s="10" t="str">
        <f t="shared" si="15"/>
        <v>Target Achieved</v>
      </c>
    </row>
    <row r="974" spans="1:13" x14ac:dyDescent="0.35">
      <c r="A974" s="1" t="s">
        <v>1214</v>
      </c>
      <c r="B974" s="1" t="s">
        <v>276</v>
      </c>
      <c r="C974" s="1" t="s">
        <v>44</v>
      </c>
      <c r="D974" s="1" t="s">
        <v>45</v>
      </c>
      <c r="E974" s="1" t="s">
        <v>32</v>
      </c>
      <c r="F974" s="1" t="s">
        <v>17</v>
      </c>
      <c r="G974" s="1" t="s">
        <v>18</v>
      </c>
      <c r="H974" s="1">
        <v>13210</v>
      </c>
      <c r="I974" s="1" t="s">
        <v>22</v>
      </c>
      <c r="J974" s="1">
        <v>0.1</v>
      </c>
      <c r="K974" s="1">
        <v>13000</v>
      </c>
      <c r="L974" s="2">
        <v>45333</v>
      </c>
      <c r="M974" s="10" t="str">
        <f t="shared" si="15"/>
        <v>Target Achieved</v>
      </c>
    </row>
    <row r="975" spans="1:13" x14ac:dyDescent="0.35">
      <c r="A975" s="1" t="s">
        <v>1215</v>
      </c>
      <c r="B975" s="1" t="s">
        <v>483</v>
      </c>
      <c r="C975" s="1" t="s">
        <v>44</v>
      </c>
      <c r="D975" s="1" t="s">
        <v>45</v>
      </c>
      <c r="E975" s="1" t="s">
        <v>16</v>
      </c>
      <c r="F975" s="1" t="s">
        <v>25</v>
      </c>
      <c r="G975" s="1" t="s">
        <v>36</v>
      </c>
      <c r="H975" s="1">
        <v>12444</v>
      </c>
      <c r="I975" s="1" t="s">
        <v>33</v>
      </c>
      <c r="J975" s="1">
        <v>0.3</v>
      </c>
      <c r="K975" s="1">
        <v>13000</v>
      </c>
      <c r="L975" s="2">
        <v>45324</v>
      </c>
      <c r="M975" s="10" t="str">
        <f t="shared" si="15"/>
        <v>Below Target</v>
      </c>
    </row>
    <row r="976" spans="1:13" x14ac:dyDescent="0.35">
      <c r="A976" s="1" t="s">
        <v>1216</v>
      </c>
      <c r="B976" s="1" t="s">
        <v>90</v>
      </c>
      <c r="C976" s="1" t="s">
        <v>30</v>
      </c>
      <c r="D976" s="1" t="s">
        <v>31</v>
      </c>
      <c r="E976" s="1" t="s">
        <v>32</v>
      </c>
      <c r="F976" s="1" t="s">
        <v>25</v>
      </c>
      <c r="G976" s="1" t="s">
        <v>36</v>
      </c>
      <c r="H976" s="1">
        <v>16414</v>
      </c>
      <c r="I976" s="1"/>
      <c r="J976" s="1"/>
      <c r="K976" s="1">
        <v>17000</v>
      </c>
      <c r="L976" s="2">
        <v>45323</v>
      </c>
      <c r="M976" s="10" t="str">
        <f t="shared" si="15"/>
        <v>Below Target</v>
      </c>
    </row>
    <row r="977" spans="1:13" x14ac:dyDescent="0.35">
      <c r="A977" s="1" t="s">
        <v>1217</v>
      </c>
      <c r="B977" s="1" t="s">
        <v>168</v>
      </c>
      <c r="C977" s="1" t="s">
        <v>14</v>
      </c>
      <c r="D977" s="1" t="s">
        <v>15</v>
      </c>
      <c r="E977" s="1" t="s">
        <v>46</v>
      </c>
      <c r="F977" s="1" t="s">
        <v>39</v>
      </c>
      <c r="G977" s="1" t="s">
        <v>26</v>
      </c>
      <c r="H977" s="1">
        <v>14778</v>
      </c>
      <c r="I977" s="1" t="s">
        <v>27</v>
      </c>
      <c r="J977" s="1"/>
      <c r="K977" s="1">
        <v>14000</v>
      </c>
      <c r="L977" s="2">
        <v>45349</v>
      </c>
      <c r="M977" s="10" t="str">
        <f t="shared" si="15"/>
        <v>Target Achieved</v>
      </c>
    </row>
    <row r="978" spans="1:13" x14ac:dyDescent="0.35">
      <c r="A978" s="1" t="s">
        <v>1218</v>
      </c>
      <c r="B978" s="1" t="s">
        <v>48</v>
      </c>
      <c r="C978" s="1" t="s">
        <v>30</v>
      </c>
      <c r="D978" s="1" t="s">
        <v>31</v>
      </c>
      <c r="E978" s="1" t="s">
        <v>16</v>
      </c>
      <c r="F978" s="1" t="s">
        <v>39</v>
      </c>
      <c r="G978" s="1" t="s">
        <v>18</v>
      </c>
      <c r="H978" s="1">
        <v>15771</v>
      </c>
      <c r="I978" s="1"/>
      <c r="J978" s="1"/>
      <c r="K978" s="1">
        <v>17000</v>
      </c>
      <c r="L978" s="2">
        <v>45297</v>
      </c>
      <c r="M978" s="10" t="str">
        <f t="shared" si="15"/>
        <v>Below Target</v>
      </c>
    </row>
    <row r="979" spans="1:13" x14ac:dyDescent="0.35">
      <c r="A979" s="1" t="s">
        <v>1219</v>
      </c>
      <c r="B979" s="1" t="s">
        <v>66</v>
      </c>
      <c r="C979" s="1" t="s">
        <v>44</v>
      </c>
      <c r="D979" s="1" t="s">
        <v>45</v>
      </c>
      <c r="E979" s="1" t="s">
        <v>46</v>
      </c>
      <c r="F979" s="1" t="s">
        <v>25</v>
      </c>
      <c r="G979" s="1" t="s">
        <v>18</v>
      </c>
      <c r="H979" s="1">
        <v>11674</v>
      </c>
      <c r="I979" s="1" t="s">
        <v>33</v>
      </c>
      <c r="J979" s="1">
        <v>0.3</v>
      </c>
      <c r="K979" s="1">
        <v>13000</v>
      </c>
      <c r="L979" s="2">
        <v>45299</v>
      </c>
      <c r="M979" s="10" t="str">
        <f t="shared" si="15"/>
        <v>Below Target</v>
      </c>
    </row>
    <row r="980" spans="1:13" x14ac:dyDescent="0.35">
      <c r="A980" s="1" t="s">
        <v>1220</v>
      </c>
      <c r="B980" s="1" t="s">
        <v>153</v>
      </c>
      <c r="C980" s="1" t="s">
        <v>61</v>
      </c>
      <c r="D980" s="1" t="s">
        <v>62</v>
      </c>
      <c r="E980" s="1" t="s">
        <v>32</v>
      </c>
      <c r="F980" s="1" t="s">
        <v>25</v>
      </c>
      <c r="G980" s="1" t="s">
        <v>26</v>
      </c>
      <c r="H980" s="1">
        <v>10899</v>
      </c>
      <c r="I980" s="1" t="s">
        <v>22</v>
      </c>
      <c r="J980" s="1">
        <v>0.1</v>
      </c>
      <c r="K980" s="1">
        <v>9000</v>
      </c>
      <c r="L980" s="2">
        <v>45310</v>
      </c>
      <c r="M980" s="10" t="str">
        <f>IF(H980&gt;=K980,"Target Achieved","Below Target")</f>
        <v>Target Achieved</v>
      </c>
    </row>
    <row r="981" spans="1:13" x14ac:dyDescent="0.35">
      <c r="A981" s="1" t="s">
        <v>1221</v>
      </c>
      <c r="B981" s="1" t="s">
        <v>274</v>
      </c>
      <c r="C981" s="1" t="s">
        <v>44</v>
      </c>
      <c r="D981" s="1" t="s">
        <v>45</v>
      </c>
      <c r="E981" s="1" t="s">
        <v>46</v>
      </c>
      <c r="F981" s="1" t="s">
        <v>17</v>
      </c>
      <c r="G981" s="1" t="s">
        <v>36</v>
      </c>
      <c r="H981" s="1">
        <v>12818</v>
      </c>
      <c r="I981" s="1" t="s">
        <v>22</v>
      </c>
      <c r="J981" s="1">
        <v>0.1</v>
      </c>
      <c r="K981" s="1">
        <v>13000</v>
      </c>
      <c r="L981" s="2">
        <v>45310</v>
      </c>
      <c r="M981" s="10" t="str">
        <f t="shared" si="15"/>
        <v>Below Target</v>
      </c>
    </row>
    <row r="982" spans="1:13" x14ac:dyDescent="0.35">
      <c r="A982" s="1" t="s">
        <v>1222</v>
      </c>
      <c r="B982" s="1" t="s">
        <v>229</v>
      </c>
      <c r="C982" s="1" t="s">
        <v>14</v>
      </c>
      <c r="D982" s="1" t="s">
        <v>15</v>
      </c>
      <c r="E982" s="1" t="s">
        <v>32</v>
      </c>
      <c r="F982" s="1" t="s">
        <v>39</v>
      </c>
      <c r="G982" s="1" t="s">
        <v>26</v>
      </c>
      <c r="H982" s="1">
        <v>13375</v>
      </c>
      <c r="I982" s="1"/>
      <c r="J982" s="1"/>
      <c r="K982" s="1">
        <v>14000</v>
      </c>
      <c r="L982" s="2">
        <v>45329</v>
      </c>
      <c r="M982" s="10" t="str">
        <f t="shared" si="15"/>
        <v>Below Target</v>
      </c>
    </row>
    <row r="983" spans="1:13" x14ac:dyDescent="0.35">
      <c r="A983" s="1" t="s">
        <v>1223</v>
      </c>
      <c r="B983" s="1" t="s">
        <v>150</v>
      </c>
      <c r="C983" s="1" t="s">
        <v>30</v>
      </c>
      <c r="D983" s="1" t="s">
        <v>31</v>
      </c>
      <c r="E983" s="1" t="s">
        <v>46</v>
      </c>
      <c r="F983" s="1" t="s">
        <v>39</v>
      </c>
      <c r="G983" s="1" t="s">
        <v>26</v>
      </c>
      <c r="H983" s="1">
        <v>17854</v>
      </c>
      <c r="I983" s="1" t="s">
        <v>27</v>
      </c>
      <c r="J983" s="1"/>
      <c r="K983" s="1">
        <v>17000</v>
      </c>
      <c r="L983" s="2">
        <v>45345</v>
      </c>
      <c r="M983" s="10" t="str">
        <f t="shared" si="15"/>
        <v>Target Achieved</v>
      </c>
    </row>
    <row r="984" spans="1:13" x14ac:dyDescent="0.35">
      <c r="A984" s="1" t="s">
        <v>1224</v>
      </c>
      <c r="B984" s="1" t="s">
        <v>544</v>
      </c>
      <c r="C984" s="1" t="s">
        <v>61</v>
      </c>
      <c r="D984" s="1" t="s">
        <v>62</v>
      </c>
      <c r="E984" s="1" t="s">
        <v>46</v>
      </c>
      <c r="F984" s="1" t="s">
        <v>39</v>
      </c>
      <c r="G984" s="1" t="s">
        <v>18</v>
      </c>
      <c r="H984" s="1">
        <v>10679</v>
      </c>
      <c r="I984" s="1" t="s">
        <v>33</v>
      </c>
      <c r="J984" s="1">
        <v>0.3</v>
      </c>
      <c r="K984" s="1">
        <v>9000</v>
      </c>
      <c r="L984" s="2">
        <v>45302</v>
      </c>
      <c r="M984" s="10" t="str">
        <f t="shared" si="15"/>
        <v>Target Achieved</v>
      </c>
    </row>
    <row r="985" spans="1:13" x14ac:dyDescent="0.35">
      <c r="A985" s="1" t="s">
        <v>1225</v>
      </c>
      <c r="B985" s="1" t="s">
        <v>1073</v>
      </c>
      <c r="C985" s="1" t="s">
        <v>44</v>
      </c>
      <c r="D985" s="1" t="s">
        <v>45</v>
      </c>
      <c r="E985" s="1" t="s">
        <v>46</v>
      </c>
      <c r="F985" s="1" t="s">
        <v>17</v>
      </c>
      <c r="G985" s="1" t="s">
        <v>36</v>
      </c>
      <c r="H985" s="1">
        <v>14152</v>
      </c>
      <c r="I985" s="1" t="s">
        <v>22</v>
      </c>
      <c r="J985" s="1">
        <v>0.1</v>
      </c>
      <c r="K985" s="1">
        <v>13000</v>
      </c>
      <c r="L985" s="2">
        <v>45301</v>
      </c>
      <c r="M985" s="10" t="str">
        <f t="shared" si="15"/>
        <v>Target Achieved</v>
      </c>
    </row>
    <row r="986" spans="1:13" x14ac:dyDescent="0.35">
      <c r="A986" s="1" t="s">
        <v>1226</v>
      </c>
      <c r="B986" s="1" t="s">
        <v>1105</v>
      </c>
      <c r="C986" s="1" t="s">
        <v>61</v>
      </c>
      <c r="D986" s="1" t="s">
        <v>62</v>
      </c>
      <c r="E986" s="1" t="s">
        <v>32</v>
      </c>
      <c r="F986" s="1" t="s">
        <v>39</v>
      </c>
      <c r="G986" s="1" t="s">
        <v>18</v>
      </c>
      <c r="H986" s="1">
        <v>9915</v>
      </c>
      <c r="I986" s="1" t="s">
        <v>27</v>
      </c>
      <c r="J986" s="1"/>
      <c r="K986" s="1">
        <v>9000</v>
      </c>
      <c r="L986" s="2">
        <v>45310</v>
      </c>
      <c r="M986" s="10" t="str">
        <f t="shared" si="15"/>
        <v>Target Achieved</v>
      </c>
    </row>
    <row r="987" spans="1:13" x14ac:dyDescent="0.35">
      <c r="A987" s="1" t="s">
        <v>1227</v>
      </c>
      <c r="B987" s="1" t="s">
        <v>175</v>
      </c>
      <c r="C987" s="1" t="s">
        <v>44</v>
      </c>
      <c r="D987" s="1" t="s">
        <v>45</v>
      </c>
      <c r="E987" s="1" t="s">
        <v>32</v>
      </c>
      <c r="F987" s="1" t="s">
        <v>25</v>
      </c>
      <c r="G987" s="1" t="s">
        <v>18</v>
      </c>
      <c r="H987" s="1">
        <v>11168</v>
      </c>
      <c r="I987" s="1" t="s">
        <v>33</v>
      </c>
      <c r="J987" s="1">
        <v>0.3</v>
      </c>
      <c r="K987" s="1">
        <v>13000</v>
      </c>
      <c r="L987" s="2">
        <v>45328</v>
      </c>
      <c r="M987" s="10" t="str">
        <f t="shared" si="15"/>
        <v>Below Target</v>
      </c>
    </row>
    <row r="988" spans="1:13" x14ac:dyDescent="0.35">
      <c r="A988" s="1" t="s">
        <v>1228</v>
      </c>
      <c r="B988" s="1" t="s">
        <v>429</v>
      </c>
      <c r="C988" s="1" t="s">
        <v>30</v>
      </c>
      <c r="D988" s="1" t="s">
        <v>31</v>
      </c>
      <c r="E988" s="1" t="s">
        <v>46</v>
      </c>
      <c r="F988" s="1" t="s">
        <v>25</v>
      </c>
      <c r="G988" s="1" t="s">
        <v>18</v>
      </c>
      <c r="H988" s="1">
        <v>17303</v>
      </c>
      <c r="I988" s="1" t="s">
        <v>22</v>
      </c>
      <c r="J988" s="1">
        <v>0.1</v>
      </c>
      <c r="K988" s="1">
        <v>17000</v>
      </c>
      <c r="L988" s="2">
        <v>45334</v>
      </c>
      <c r="M988" s="10" t="str">
        <f t="shared" si="15"/>
        <v>Target Achieved</v>
      </c>
    </row>
    <row r="989" spans="1:13" x14ac:dyDescent="0.35">
      <c r="A989" s="1" t="s">
        <v>1229</v>
      </c>
      <c r="B989" s="1" t="s">
        <v>282</v>
      </c>
      <c r="C989" s="1" t="s">
        <v>44</v>
      </c>
      <c r="D989" s="1" t="s">
        <v>45</v>
      </c>
      <c r="E989" s="1" t="s">
        <v>46</v>
      </c>
      <c r="F989" s="1" t="s">
        <v>17</v>
      </c>
      <c r="G989" s="1" t="s">
        <v>26</v>
      </c>
      <c r="H989" s="1">
        <v>14995</v>
      </c>
      <c r="I989" s="1" t="s">
        <v>19</v>
      </c>
      <c r="J989" s="1">
        <v>0.2</v>
      </c>
      <c r="K989" s="1">
        <v>13000</v>
      </c>
      <c r="L989" s="2">
        <v>45326</v>
      </c>
      <c r="M989" s="10" t="str">
        <f t="shared" si="15"/>
        <v>Target Achieved</v>
      </c>
    </row>
    <row r="990" spans="1:13" x14ac:dyDescent="0.35">
      <c r="A990" s="1" t="s">
        <v>1230</v>
      </c>
      <c r="B990" s="1" t="s">
        <v>222</v>
      </c>
      <c r="C990" s="1" t="s">
        <v>14</v>
      </c>
      <c r="D990" s="1" t="s">
        <v>15</v>
      </c>
      <c r="E990" s="1" t="s">
        <v>46</v>
      </c>
      <c r="F990" s="1" t="s">
        <v>17</v>
      </c>
      <c r="G990" s="1" t="s">
        <v>18</v>
      </c>
      <c r="H990" s="1">
        <v>15882</v>
      </c>
      <c r="I990" s="1"/>
      <c r="J990" s="1"/>
      <c r="K990" s="1">
        <v>14000</v>
      </c>
      <c r="L990" s="2">
        <v>45351</v>
      </c>
      <c r="M990" s="10" t="str">
        <f t="shared" si="15"/>
        <v>Target Achieved</v>
      </c>
    </row>
    <row r="991" spans="1:13" x14ac:dyDescent="0.35">
      <c r="A991" s="1" t="s">
        <v>1231</v>
      </c>
      <c r="B991" s="1" t="s">
        <v>728</v>
      </c>
      <c r="C991" s="1" t="s">
        <v>14</v>
      </c>
      <c r="D991" s="1" t="s">
        <v>15</v>
      </c>
      <c r="E991" s="1" t="s">
        <v>16</v>
      </c>
      <c r="F991" s="1" t="s">
        <v>39</v>
      </c>
      <c r="G991" s="1" t="s">
        <v>26</v>
      </c>
      <c r="H991" s="1">
        <v>13356</v>
      </c>
      <c r="I991" s="1" t="s">
        <v>33</v>
      </c>
      <c r="J991" s="1">
        <v>0.3</v>
      </c>
      <c r="K991" s="1">
        <v>14000</v>
      </c>
      <c r="L991" s="2">
        <v>45322</v>
      </c>
      <c r="M991" s="10" t="str">
        <f t="shared" si="15"/>
        <v>Below Target</v>
      </c>
    </row>
    <row r="992" spans="1:13" x14ac:dyDescent="0.35">
      <c r="A992" s="1" t="s">
        <v>1232</v>
      </c>
      <c r="B992" s="1" t="s">
        <v>111</v>
      </c>
      <c r="C992" s="1" t="s">
        <v>44</v>
      </c>
      <c r="D992" s="1" t="s">
        <v>45</v>
      </c>
      <c r="E992" s="1" t="s">
        <v>16</v>
      </c>
      <c r="F992" s="1" t="s">
        <v>39</v>
      </c>
      <c r="G992" s="1" t="s">
        <v>36</v>
      </c>
      <c r="H992" s="1">
        <v>12387</v>
      </c>
      <c r="I992" s="1" t="s">
        <v>22</v>
      </c>
      <c r="J992" s="1">
        <v>0.1</v>
      </c>
      <c r="K992" s="1">
        <v>13000</v>
      </c>
      <c r="L992" s="2">
        <v>45338</v>
      </c>
      <c r="M992" s="10" t="str">
        <f t="shared" si="15"/>
        <v>Below Target</v>
      </c>
    </row>
    <row r="993" spans="1:13" x14ac:dyDescent="0.35">
      <c r="A993" s="1" t="s">
        <v>1233</v>
      </c>
      <c r="B993" s="1" t="s">
        <v>711</v>
      </c>
      <c r="C993" s="1" t="s">
        <v>44</v>
      </c>
      <c r="D993" s="1" t="s">
        <v>45</v>
      </c>
      <c r="E993" s="1" t="s">
        <v>16</v>
      </c>
      <c r="F993" s="1" t="s">
        <v>39</v>
      </c>
      <c r="G993" s="1" t="s">
        <v>18</v>
      </c>
      <c r="H993" s="1">
        <v>12261</v>
      </c>
      <c r="I993" s="1" t="s">
        <v>22</v>
      </c>
      <c r="J993" s="1">
        <v>0.1</v>
      </c>
      <c r="K993" s="1">
        <v>13000</v>
      </c>
      <c r="L993" s="2">
        <v>45317</v>
      </c>
      <c r="M993" s="10" t="str">
        <f t="shared" si="15"/>
        <v>Below Target</v>
      </c>
    </row>
    <row r="994" spans="1:13" x14ac:dyDescent="0.35">
      <c r="A994" s="1" t="s">
        <v>1234</v>
      </c>
      <c r="B994" s="1" t="s">
        <v>837</v>
      </c>
      <c r="C994" s="1" t="s">
        <v>44</v>
      </c>
      <c r="D994" s="1" t="s">
        <v>45</v>
      </c>
      <c r="E994" s="1" t="s">
        <v>46</v>
      </c>
      <c r="F994" s="1" t="s">
        <v>17</v>
      </c>
      <c r="G994" s="1" t="s">
        <v>18</v>
      </c>
      <c r="H994" s="1">
        <v>12336</v>
      </c>
      <c r="I994" s="1" t="s">
        <v>22</v>
      </c>
      <c r="J994" s="1">
        <v>0.1</v>
      </c>
      <c r="K994" s="1">
        <v>13000</v>
      </c>
      <c r="L994" s="2">
        <v>45330</v>
      </c>
      <c r="M994" s="10" t="str">
        <f t="shared" si="15"/>
        <v>Below Target</v>
      </c>
    </row>
    <row r="995" spans="1:13" x14ac:dyDescent="0.35">
      <c r="A995" s="1" t="s">
        <v>1235</v>
      </c>
      <c r="B995" s="1" t="s">
        <v>239</v>
      </c>
      <c r="C995" s="1" t="s">
        <v>44</v>
      </c>
      <c r="D995" s="1" t="s">
        <v>45</v>
      </c>
      <c r="E995" s="1" t="s">
        <v>46</v>
      </c>
      <c r="F995" s="1" t="s">
        <v>25</v>
      </c>
      <c r="G995" s="1" t="s">
        <v>18</v>
      </c>
      <c r="H995" s="1">
        <v>11342</v>
      </c>
      <c r="I995" s="1" t="s">
        <v>27</v>
      </c>
      <c r="J995" s="1"/>
      <c r="K995" s="1">
        <v>13000</v>
      </c>
      <c r="L995" s="2">
        <v>45346</v>
      </c>
      <c r="M995" s="10" t="str">
        <f t="shared" si="15"/>
        <v>Below Target</v>
      </c>
    </row>
    <row r="996" spans="1:13" x14ac:dyDescent="0.35">
      <c r="A996" s="1" t="s">
        <v>1236</v>
      </c>
      <c r="B996" s="1" t="s">
        <v>332</v>
      </c>
      <c r="C996" s="1" t="s">
        <v>14</v>
      </c>
      <c r="D996" s="1" t="s">
        <v>15</v>
      </c>
      <c r="E996" s="1" t="s">
        <v>16</v>
      </c>
      <c r="F996" s="1" t="s">
        <v>17</v>
      </c>
      <c r="G996" s="1" t="s">
        <v>18</v>
      </c>
      <c r="H996" s="1">
        <v>14008</v>
      </c>
      <c r="I996" s="1" t="s">
        <v>33</v>
      </c>
      <c r="J996" s="1">
        <v>0.3</v>
      </c>
      <c r="K996" s="1">
        <v>14000</v>
      </c>
      <c r="L996" s="2">
        <v>45330</v>
      </c>
      <c r="M996" s="10" t="str">
        <f t="shared" si="15"/>
        <v>Target Achieved</v>
      </c>
    </row>
    <row r="997" spans="1:13" x14ac:dyDescent="0.35">
      <c r="A997" s="1" t="s">
        <v>1237</v>
      </c>
      <c r="B997" s="1" t="s">
        <v>86</v>
      </c>
      <c r="C997" s="1" t="s">
        <v>14</v>
      </c>
      <c r="D997" s="1" t="s">
        <v>15</v>
      </c>
      <c r="E997" s="1" t="s">
        <v>16</v>
      </c>
      <c r="F997" s="1" t="s">
        <v>17</v>
      </c>
      <c r="G997" s="1" t="s">
        <v>36</v>
      </c>
      <c r="H997" s="1">
        <v>12605</v>
      </c>
      <c r="I997" s="1"/>
      <c r="J997" s="1"/>
      <c r="K997" s="1">
        <v>14000</v>
      </c>
      <c r="L997" s="2">
        <v>45315</v>
      </c>
      <c r="M997" s="10" t="str">
        <f t="shared" si="15"/>
        <v>Below Target</v>
      </c>
    </row>
    <row r="998" spans="1:13" x14ac:dyDescent="0.35">
      <c r="A998" s="1" t="s">
        <v>1238</v>
      </c>
      <c r="B998" s="1" t="s">
        <v>474</v>
      </c>
      <c r="C998" s="1" t="s">
        <v>14</v>
      </c>
      <c r="D998" s="1" t="s">
        <v>15</v>
      </c>
      <c r="E998" s="1" t="s">
        <v>46</v>
      </c>
      <c r="F998" s="1" t="s">
        <v>17</v>
      </c>
      <c r="G998" s="1" t="s">
        <v>36</v>
      </c>
      <c r="H998" s="1">
        <v>13261</v>
      </c>
      <c r="I998" s="1"/>
      <c r="J998" s="1"/>
      <c r="K998" s="1">
        <v>14000</v>
      </c>
      <c r="L998" s="2">
        <v>45347</v>
      </c>
      <c r="M998" s="10" t="str">
        <f t="shared" si="15"/>
        <v>Below Target</v>
      </c>
    </row>
    <row r="999" spans="1:13" x14ac:dyDescent="0.35">
      <c r="A999" s="1" t="s">
        <v>1239</v>
      </c>
      <c r="B999" s="1" t="s">
        <v>905</v>
      </c>
      <c r="C999" s="1" t="s">
        <v>44</v>
      </c>
      <c r="D999" s="1" t="s">
        <v>45</v>
      </c>
      <c r="E999" s="1" t="s">
        <v>16</v>
      </c>
      <c r="F999" s="1" t="s">
        <v>17</v>
      </c>
      <c r="G999" s="1" t="s">
        <v>26</v>
      </c>
      <c r="H999" s="1">
        <v>12702</v>
      </c>
      <c r="I999" s="1"/>
      <c r="J999" s="1"/>
      <c r="K999" s="1">
        <v>13000</v>
      </c>
      <c r="L999" s="2">
        <v>45310</v>
      </c>
      <c r="M999" s="10" t="str">
        <f t="shared" si="15"/>
        <v>Below Target</v>
      </c>
    </row>
    <row r="1000" spans="1:13" x14ac:dyDescent="0.35">
      <c r="A1000" s="1" t="s">
        <v>1240</v>
      </c>
      <c r="B1000" s="1" t="s">
        <v>135</v>
      </c>
      <c r="C1000" s="1" t="s">
        <v>61</v>
      </c>
      <c r="D1000" s="1" t="s">
        <v>62</v>
      </c>
      <c r="E1000" s="1" t="s">
        <v>16</v>
      </c>
      <c r="F1000" s="1" t="s">
        <v>17</v>
      </c>
      <c r="G1000" s="1" t="s">
        <v>18</v>
      </c>
      <c r="H1000" s="1">
        <v>10422</v>
      </c>
      <c r="I1000" s="1" t="s">
        <v>27</v>
      </c>
      <c r="J1000" s="1"/>
      <c r="K1000" s="1">
        <v>9000</v>
      </c>
      <c r="L1000" s="2">
        <v>45330</v>
      </c>
      <c r="M1000" s="10" t="str">
        <f t="shared" si="15"/>
        <v>Target Achieved</v>
      </c>
    </row>
    <row r="1001" spans="1:13"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c r="M1001" s="10" t="str">
        <f t="shared" si="15"/>
        <v>Below Target</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06BC-7DF2-4D98-ACFF-B705A8409DBF}">
  <dimension ref="A1:M1001"/>
  <sheetViews>
    <sheetView workbookViewId="0">
      <selection activeCell="M4" sqref="M4"/>
    </sheetView>
  </sheetViews>
  <sheetFormatPr defaultRowHeight="14.5" x14ac:dyDescent="0.35"/>
  <cols>
    <col min="1" max="1" width="8.81640625" bestFit="1" customWidth="1"/>
    <col min="2" max="2" width="13.54296875" bestFit="1" customWidth="1"/>
    <col min="3" max="3" width="8.36328125" bestFit="1" customWidth="1"/>
    <col min="4" max="4" width="12.453125" bestFit="1" customWidth="1"/>
    <col min="5" max="5" width="7.26953125" bestFit="1" customWidth="1"/>
    <col min="6" max="6" width="11.36328125" bestFit="1" customWidth="1"/>
    <col min="7" max="7" width="7.7265625" bestFit="1" customWidth="1"/>
    <col min="8" max="8" width="14.26953125" bestFit="1" customWidth="1"/>
    <col min="9" max="9" width="12.36328125" bestFit="1" customWidth="1"/>
    <col min="10" max="10" width="14.54296875" bestFit="1" customWidth="1"/>
    <col min="11" max="11" width="12.90625" bestFit="1" customWidth="1"/>
    <col min="12" max="12" width="11.81640625" bestFit="1" customWidth="1"/>
    <col min="13" max="13" width="25.5429687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4" t="s">
        <v>1250</v>
      </c>
    </row>
    <row r="2" spans="1:13" x14ac:dyDescent="0.35">
      <c r="A2" s="1" t="s">
        <v>12</v>
      </c>
      <c r="B2" s="1" t="s">
        <v>13</v>
      </c>
      <c r="C2" s="1" t="s">
        <v>14</v>
      </c>
      <c r="D2" s="1" t="s">
        <v>15</v>
      </c>
      <c r="E2" s="1" t="s">
        <v>16</v>
      </c>
      <c r="F2" s="1" t="s">
        <v>17</v>
      </c>
      <c r="G2" s="1" t="s">
        <v>18</v>
      </c>
      <c r="H2" s="1">
        <v>12914</v>
      </c>
      <c r="I2" s="1" t="s">
        <v>19</v>
      </c>
      <c r="J2" s="1">
        <v>0.2</v>
      </c>
      <c r="K2" s="1">
        <v>14000</v>
      </c>
      <c r="L2" s="2">
        <v>45339</v>
      </c>
      <c r="M2" s="11">
        <f>IF(OR(I2="",ISNA(MATCH(I2,{"DISC10","DISC15","DISC20","DISC30"},0))),0,J2)</f>
        <v>0.2</v>
      </c>
    </row>
    <row r="3" spans="1:13" x14ac:dyDescent="0.35">
      <c r="A3" s="1" t="s">
        <v>20</v>
      </c>
      <c r="B3" s="1" t="s">
        <v>21</v>
      </c>
      <c r="C3" s="1" t="s">
        <v>14</v>
      </c>
      <c r="D3" s="1" t="s">
        <v>15</v>
      </c>
      <c r="E3" s="1" t="s">
        <v>16</v>
      </c>
      <c r="F3" s="1" t="s">
        <v>17</v>
      </c>
      <c r="G3" s="1" t="s">
        <v>18</v>
      </c>
      <c r="H3" s="1">
        <v>12122</v>
      </c>
      <c r="I3" s="1" t="s">
        <v>22</v>
      </c>
      <c r="J3" s="1">
        <v>0.1</v>
      </c>
      <c r="K3" s="1">
        <v>14000</v>
      </c>
      <c r="L3" s="2">
        <v>45305</v>
      </c>
      <c r="M3" s="11">
        <f>IF(OR(I3="",ISNA(MATCH(I3,{"DISC10","DISC15","DISC20","DISC30"},0))),0,J3)</f>
        <v>0.1</v>
      </c>
    </row>
    <row r="4" spans="1:13" x14ac:dyDescent="0.35">
      <c r="A4" s="1" t="s">
        <v>23</v>
      </c>
      <c r="B4" s="1" t="s">
        <v>24</v>
      </c>
      <c r="C4" s="1" t="s">
        <v>14</v>
      </c>
      <c r="D4" s="1" t="s">
        <v>15</v>
      </c>
      <c r="E4" s="1" t="s">
        <v>16</v>
      </c>
      <c r="F4" s="1" t="s">
        <v>25</v>
      </c>
      <c r="G4" s="1" t="s">
        <v>26</v>
      </c>
      <c r="H4" s="1">
        <v>14661</v>
      </c>
      <c r="I4" s="1" t="s">
        <v>27</v>
      </c>
      <c r="J4" s="1"/>
      <c r="K4" s="1">
        <v>14000</v>
      </c>
      <c r="L4" s="2">
        <v>45318</v>
      </c>
      <c r="M4" s="11">
        <f>IF(OR(I4="",ISNA(MATCH(I4,{"DISC10","DISC15","DISC20","DISC30"},0))),0,J4)</f>
        <v>0</v>
      </c>
    </row>
    <row r="5" spans="1:13" x14ac:dyDescent="0.35">
      <c r="A5" s="1" t="s">
        <v>28</v>
      </c>
      <c r="B5" s="1" t="s">
        <v>29</v>
      </c>
      <c r="C5" s="1" t="s">
        <v>30</v>
      </c>
      <c r="D5" s="1" t="s">
        <v>31</v>
      </c>
      <c r="E5" s="1" t="s">
        <v>32</v>
      </c>
      <c r="F5" s="1" t="s">
        <v>25</v>
      </c>
      <c r="G5" s="1" t="s">
        <v>26</v>
      </c>
      <c r="H5" s="1">
        <v>16731</v>
      </c>
      <c r="I5" s="1" t="s">
        <v>33</v>
      </c>
      <c r="J5" s="1">
        <v>0.3</v>
      </c>
      <c r="K5" s="1">
        <v>17000</v>
      </c>
      <c r="L5" s="2">
        <v>45309</v>
      </c>
      <c r="M5" s="11">
        <f>IF(OR(I5="",ISNA(MATCH(I5,{"DISC10","DISC15","DISC20","DISC30"},0))),0,J5)</f>
        <v>0.3</v>
      </c>
    </row>
    <row r="6" spans="1:13" x14ac:dyDescent="0.35">
      <c r="A6" s="1" t="s">
        <v>34</v>
      </c>
      <c r="B6" s="1" t="s">
        <v>35</v>
      </c>
      <c r="C6" s="1" t="s">
        <v>30</v>
      </c>
      <c r="D6" s="1" t="s">
        <v>31</v>
      </c>
      <c r="E6" s="1" t="s">
        <v>32</v>
      </c>
      <c r="F6" s="1" t="s">
        <v>25</v>
      </c>
      <c r="G6" s="1" t="s">
        <v>36</v>
      </c>
      <c r="H6" s="1">
        <v>15396</v>
      </c>
      <c r="I6" s="1" t="s">
        <v>33</v>
      </c>
      <c r="J6" s="1">
        <v>0.3</v>
      </c>
      <c r="K6" s="1">
        <v>17000</v>
      </c>
      <c r="L6" s="2">
        <v>45346</v>
      </c>
      <c r="M6" s="11">
        <f>IF(OR(I6="",ISNA(MATCH(I6,{"DISC10","DISC15","DISC20","DISC30"},0))),0,J6)</f>
        <v>0.3</v>
      </c>
    </row>
    <row r="7" spans="1:13" x14ac:dyDescent="0.35">
      <c r="A7" s="1" t="s">
        <v>37</v>
      </c>
      <c r="B7" s="1" t="s">
        <v>38</v>
      </c>
      <c r="C7" s="1" t="s">
        <v>30</v>
      </c>
      <c r="D7" s="1" t="s">
        <v>31</v>
      </c>
      <c r="E7" s="1" t="s">
        <v>32</v>
      </c>
      <c r="F7" s="1" t="s">
        <v>39</v>
      </c>
      <c r="G7" s="1" t="s">
        <v>36</v>
      </c>
      <c r="H7" s="1">
        <v>17196</v>
      </c>
      <c r="I7" s="1" t="s">
        <v>22</v>
      </c>
      <c r="J7" s="1">
        <v>0.1</v>
      </c>
      <c r="K7" s="1">
        <v>17000</v>
      </c>
      <c r="L7" s="2">
        <v>45351</v>
      </c>
      <c r="M7" s="11">
        <f>IF(OR(I7="",ISNA(MATCH(I7,{"DISC10","DISC15","DISC20","DISC30"},0))),0,J7)</f>
        <v>0.1</v>
      </c>
    </row>
    <row r="8" spans="1:13" x14ac:dyDescent="0.35">
      <c r="A8" s="1" t="s">
        <v>40</v>
      </c>
      <c r="B8" s="1" t="s">
        <v>41</v>
      </c>
      <c r="C8" s="1" t="s">
        <v>30</v>
      </c>
      <c r="D8" s="1" t="s">
        <v>31</v>
      </c>
      <c r="E8" s="1" t="s">
        <v>16</v>
      </c>
      <c r="F8" s="1" t="s">
        <v>39</v>
      </c>
      <c r="G8" s="1" t="s">
        <v>36</v>
      </c>
      <c r="H8" s="1">
        <v>17364</v>
      </c>
      <c r="I8" s="1" t="s">
        <v>19</v>
      </c>
      <c r="J8" s="1">
        <v>0.2</v>
      </c>
      <c r="K8" s="1">
        <v>17000</v>
      </c>
      <c r="L8" s="2">
        <v>45337</v>
      </c>
      <c r="M8" s="11">
        <f>IF(OR(I8="",ISNA(MATCH(I8,{"DISC10","DISC15","DISC20","DISC30"},0))),0,J8)</f>
        <v>0.2</v>
      </c>
    </row>
    <row r="9" spans="1:13" x14ac:dyDescent="0.35">
      <c r="A9" s="1" t="s">
        <v>42</v>
      </c>
      <c r="B9" s="1" t="s">
        <v>43</v>
      </c>
      <c r="C9" s="1" t="s">
        <v>44</v>
      </c>
      <c r="D9" s="1" t="s">
        <v>45</v>
      </c>
      <c r="E9" s="1" t="s">
        <v>46</v>
      </c>
      <c r="F9" s="1" t="s">
        <v>25</v>
      </c>
      <c r="G9" s="1" t="s">
        <v>18</v>
      </c>
      <c r="H9" s="1">
        <v>14549</v>
      </c>
      <c r="I9" s="1" t="s">
        <v>22</v>
      </c>
      <c r="J9" s="1">
        <v>0.1</v>
      </c>
      <c r="K9" s="1">
        <v>13000</v>
      </c>
      <c r="L9" s="2">
        <v>45316</v>
      </c>
      <c r="M9" s="11">
        <f>IF(OR(I9="",ISNA(MATCH(I9,{"DISC10","DISC15","DISC20","DISC30"},0))),0,J9)</f>
        <v>0.1</v>
      </c>
    </row>
    <row r="10" spans="1:13" x14ac:dyDescent="0.35">
      <c r="A10" s="1" t="s">
        <v>47</v>
      </c>
      <c r="B10" s="1" t="s">
        <v>48</v>
      </c>
      <c r="C10" s="1" t="s">
        <v>30</v>
      </c>
      <c r="D10" s="1" t="s">
        <v>31</v>
      </c>
      <c r="E10" s="1" t="s">
        <v>32</v>
      </c>
      <c r="F10" s="1" t="s">
        <v>17</v>
      </c>
      <c r="G10" s="1" t="s">
        <v>36</v>
      </c>
      <c r="H10" s="1">
        <v>15858</v>
      </c>
      <c r="I10" s="1" t="s">
        <v>33</v>
      </c>
      <c r="J10" s="1">
        <v>0.3</v>
      </c>
      <c r="K10" s="1">
        <v>17000</v>
      </c>
      <c r="L10" s="2">
        <v>45336</v>
      </c>
      <c r="M10" s="11">
        <f>IF(OR(I10="",ISNA(MATCH(I10,{"DISC10","DISC15","DISC20","DISC30"},0))),0,J10)</f>
        <v>0.3</v>
      </c>
    </row>
    <row r="11" spans="1:13" x14ac:dyDescent="0.35">
      <c r="A11" s="1" t="s">
        <v>49</v>
      </c>
      <c r="B11" s="1" t="s">
        <v>50</v>
      </c>
      <c r="C11" s="1" t="s">
        <v>14</v>
      </c>
      <c r="D11" s="1" t="s">
        <v>15</v>
      </c>
      <c r="E11" s="1" t="s">
        <v>16</v>
      </c>
      <c r="F11" s="1" t="s">
        <v>39</v>
      </c>
      <c r="G11" s="1" t="s">
        <v>18</v>
      </c>
      <c r="H11" s="1">
        <v>14187</v>
      </c>
      <c r="I11" s="1" t="s">
        <v>19</v>
      </c>
      <c r="J11" s="1">
        <v>0.2</v>
      </c>
      <c r="K11" s="1">
        <v>14000</v>
      </c>
      <c r="L11" s="2">
        <v>45302</v>
      </c>
      <c r="M11" s="11">
        <f>IF(OR(I11="",ISNA(MATCH(I11,{"DISC10","DISC15","DISC20","DISC30"},0))),0,J11)</f>
        <v>0.2</v>
      </c>
    </row>
    <row r="12" spans="1:13" x14ac:dyDescent="0.35">
      <c r="A12" s="1" t="s">
        <v>51</v>
      </c>
      <c r="B12" s="1" t="s">
        <v>52</v>
      </c>
      <c r="C12" s="1" t="s">
        <v>30</v>
      </c>
      <c r="D12" s="1" t="s">
        <v>31</v>
      </c>
      <c r="E12" s="1" t="s">
        <v>16</v>
      </c>
      <c r="F12" s="1" t="s">
        <v>39</v>
      </c>
      <c r="G12" s="1" t="s">
        <v>26</v>
      </c>
      <c r="H12" s="1">
        <v>15899</v>
      </c>
      <c r="I12" s="1" t="s">
        <v>33</v>
      </c>
      <c r="J12" s="1">
        <v>0.3</v>
      </c>
      <c r="K12" s="1">
        <v>17000</v>
      </c>
      <c r="L12" s="2">
        <v>45345</v>
      </c>
      <c r="M12" s="11">
        <f>IF(OR(I12="",ISNA(MATCH(I12,{"DISC10","DISC15","DISC20","DISC30"},0))),0,J12)</f>
        <v>0.3</v>
      </c>
    </row>
    <row r="13" spans="1:13" x14ac:dyDescent="0.35">
      <c r="A13" s="1" t="s">
        <v>53</v>
      </c>
      <c r="B13" s="1" t="s">
        <v>54</v>
      </c>
      <c r="C13" s="1" t="s">
        <v>14</v>
      </c>
      <c r="D13" s="1" t="s">
        <v>15</v>
      </c>
      <c r="E13" s="1" t="s">
        <v>32</v>
      </c>
      <c r="F13" s="1" t="s">
        <v>25</v>
      </c>
      <c r="G13" s="1" t="s">
        <v>36</v>
      </c>
      <c r="H13" s="1">
        <v>13643</v>
      </c>
      <c r="I13" s="1" t="s">
        <v>33</v>
      </c>
      <c r="J13" s="1">
        <v>0.3</v>
      </c>
      <c r="K13" s="1">
        <v>14000</v>
      </c>
      <c r="L13" s="2">
        <v>45296</v>
      </c>
      <c r="M13" s="11">
        <f>IF(OR(I13="",ISNA(MATCH(I13,{"DISC10","DISC15","DISC20","DISC30"},0))),0,J13)</f>
        <v>0.3</v>
      </c>
    </row>
    <row r="14" spans="1:13" x14ac:dyDescent="0.35">
      <c r="A14" s="1" t="s">
        <v>55</v>
      </c>
      <c r="B14" s="1" t="s">
        <v>56</v>
      </c>
      <c r="C14" s="1" t="s">
        <v>30</v>
      </c>
      <c r="D14" s="1" t="s">
        <v>31</v>
      </c>
      <c r="E14" s="1" t="s">
        <v>32</v>
      </c>
      <c r="F14" s="1" t="s">
        <v>39</v>
      </c>
      <c r="G14" s="1" t="s">
        <v>36</v>
      </c>
      <c r="H14" s="1">
        <v>16620</v>
      </c>
      <c r="I14" s="1"/>
      <c r="J14" s="1"/>
      <c r="K14" s="1">
        <v>17000</v>
      </c>
      <c r="L14" s="2">
        <v>45301</v>
      </c>
      <c r="M14" s="11">
        <f>IF(OR(I14="",ISNA(MATCH(I14,{"DISC10","DISC15","DISC20","DISC30"},0))),0,J14)</f>
        <v>0</v>
      </c>
    </row>
    <row r="15" spans="1:13" x14ac:dyDescent="0.35">
      <c r="A15" s="1" t="s">
        <v>57</v>
      </c>
      <c r="B15" s="1" t="s">
        <v>58</v>
      </c>
      <c r="C15" s="1" t="s">
        <v>44</v>
      </c>
      <c r="D15" s="1" t="s">
        <v>45</v>
      </c>
      <c r="E15" s="1" t="s">
        <v>16</v>
      </c>
      <c r="F15" s="1" t="s">
        <v>39</v>
      </c>
      <c r="G15" s="1" t="s">
        <v>26</v>
      </c>
      <c r="H15" s="1">
        <v>12076</v>
      </c>
      <c r="I15" s="1" t="s">
        <v>27</v>
      </c>
      <c r="J15" s="1"/>
      <c r="K15" s="1">
        <v>13000</v>
      </c>
      <c r="L15" s="2">
        <v>45319</v>
      </c>
      <c r="M15" s="11">
        <f>IF(OR(I15="",ISNA(MATCH(I15,{"DISC10","DISC15","DISC20","DISC30"},0))),0,J15)</f>
        <v>0</v>
      </c>
    </row>
    <row r="16" spans="1:13" x14ac:dyDescent="0.35">
      <c r="A16" s="1" t="s">
        <v>59</v>
      </c>
      <c r="B16" s="1" t="s">
        <v>60</v>
      </c>
      <c r="C16" s="1" t="s">
        <v>61</v>
      </c>
      <c r="D16" s="1" t="s">
        <v>62</v>
      </c>
      <c r="E16" s="1" t="s">
        <v>46</v>
      </c>
      <c r="F16" s="1" t="s">
        <v>25</v>
      </c>
      <c r="G16" s="1" t="s">
        <v>18</v>
      </c>
      <c r="H16" s="1">
        <v>9087</v>
      </c>
      <c r="I16" s="1"/>
      <c r="J16" s="1"/>
      <c r="K16" s="1">
        <v>9000</v>
      </c>
      <c r="L16" s="2">
        <v>45297</v>
      </c>
      <c r="M16" s="11">
        <f>IF(OR(I16="",ISNA(MATCH(I16,{"DISC10","DISC15","DISC20","DISC30"},0))),0,J16)</f>
        <v>0</v>
      </c>
    </row>
    <row r="17" spans="1:13" x14ac:dyDescent="0.35">
      <c r="A17" s="1" t="s">
        <v>63</v>
      </c>
      <c r="B17" s="1" t="s">
        <v>64</v>
      </c>
      <c r="C17" s="1" t="s">
        <v>14</v>
      </c>
      <c r="D17" s="1" t="s">
        <v>15</v>
      </c>
      <c r="E17" s="1" t="s">
        <v>32</v>
      </c>
      <c r="F17" s="1" t="s">
        <v>39</v>
      </c>
      <c r="G17" s="1" t="s">
        <v>18</v>
      </c>
      <c r="H17" s="1">
        <v>15244</v>
      </c>
      <c r="I17" s="1"/>
      <c r="J17" s="1"/>
      <c r="K17" s="1">
        <v>14000</v>
      </c>
      <c r="L17" s="2">
        <v>45330</v>
      </c>
      <c r="M17" s="11">
        <f>IF(OR(I17="",ISNA(MATCH(I17,{"DISC10","DISC15","DISC20","DISC30"},0))),0,J17)</f>
        <v>0</v>
      </c>
    </row>
    <row r="18" spans="1:13" x14ac:dyDescent="0.35">
      <c r="A18" s="1" t="s">
        <v>65</v>
      </c>
      <c r="B18" s="1" t="s">
        <v>66</v>
      </c>
      <c r="C18" s="1" t="s">
        <v>61</v>
      </c>
      <c r="D18" s="1" t="s">
        <v>62</v>
      </c>
      <c r="E18" s="1" t="s">
        <v>16</v>
      </c>
      <c r="F18" s="1" t="s">
        <v>17</v>
      </c>
      <c r="G18" s="1" t="s">
        <v>26</v>
      </c>
      <c r="H18" s="1">
        <v>8029</v>
      </c>
      <c r="I18" s="1" t="s">
        <v>27</v>
      </c>
      <c r="J18" s="1"/>
      <c r="K18" s="1">
        <v>9000</v>
      </c>
      <c r="L18" s="2">
        <v>45347</v>
      </c>
      <c r="M18" s="11">
        <f>IF(OR(I18="",ISNA(MATCH(I18,{"DISC10","DISC15","DISC20","DISC30"},0))),0,J18)</f>
        <v>0</v>
      </c>
    </row>
    <row r="19" spans="1:13" x14ac:dyDescent="0.35">
      <c r="A19" s="1" t="s">
        <v>67</v>
      </c>
      <c r="B19" s="1" t="s">
        <v>68</v>
      </c>
      <c r="C19" s="1" t="s">
        <v>14</v>
      </c>
      <c r="D19" s="1" t="s">
        <v>15</v>
      </c>
      <c r="E19" s="1" t="s">
        <v>16</v>
      </c>
      <c r="F19" s="1" t="s">
        <v>39</v>
      </c>
      <c r="G19" s="1" t="s">
        <v>36</v>
      </c>
      <c r="H19" s="1">
        <v>15148</v>
      </c>
      <c r="I19" s="1" t="s">
        <v>33</v>
      </c>
      <c r="J19" s="1">
        <v>0.3</v>
      </c>
      <c r="K19" s="1">
        <v>14000</v>
      </c>
      <c r="L19" s="2">
        <v>45299</v>
      </c>
      <c r="M19" s="11">
        <f>IF(OR(I19="",ISNA(MATCH(I19,{"DISC10","DISC15","DISC20","DISC30"},0))),0,J19)</f>
        <v>0.3</v>
      </c>
    </row>
    <row r="20" spans="1:13" x14ac:dyDescent="0.35">
      <c r="A20" s="1" t="s">
        <v>69</v>
      </c>
      <c r="B20" s="1" t="s">
        <v>70</v>
      </c>
      <c r="C20" s="1" t="s">
        <v>44</v>
      </c>
      <c r="D20" s="1" t="s">
        <v>45</v>
      </c>
      <c r="E20" s="1" t="s">
        <v>46</v>
      </c>
      <c r="F20" s="1" t="s">
        <v>25</v>
      </c>
      <c r="G20" s="1" t="s">
        <v>26</v>
      </c>
      <c r="H20" s="1">
        <v>14587</v>
      </c>
      <c r="I20" s="1" t="s">
        <v>33</v>
      </c>
      <c r="J20" s="1">
        <v>0.3</v>
      </c>
      <c r="K20" s="1">
        <v>13000</v>
      </c>
      <c r="L20" s="2">
        <v>45324</v>
      </c>
      <c r="M20" s="11">
        <f>IF(OR(I20="",ISNA(MATCH(I20,{"DISC10","DISC15","DISC20","DISC30"},0))),0,J20)</f>
        <v>0.3</v>
      </c>
    </row>
    <row r="21" spans="1:13" x14ac:dyDescent="0.35">
      <c r="A21" s="1" t="s">
        <v>71</v>
      </c>
      <c r="B21" s="1" t="s">
        <v>72</v>
      </c>
      <c r="C21" s="1" t="s">
        <v>14</v>
      </c>
      <c r="D21" s="1" t="s">
        <v>15</v>
      </c>
      <c r="E21" s="1" t="s">
        <v>16</v>
      </c>
      <c r="F21" s="1" t="s">
        <v>17</v>
      </c>
      <c r="G21" s="1" t="s">
        <v>26</v>
      </c>
      <c r="H21" s="1">
        <v>14079</v>
      </c>
      <c r="I21" s="1" t="s">
        <v>27</v>
      </c>
      <c r="J21" s="1"/>
      <c r="K21" s="1">
        <v>14000</v>
      </c>
      <c r="L21" s="2">
        <v>45304</v>
      </c>
      <c r="M21" s="11">
        <f>IF(OR(I21="",ISNA(MATCH(I21,{"DISC10","DISC15","DISC20","DISC30"},0))),0,J21)</f>
        <v>0</v>
      </c>
    </row>
    <row r="22" spans="1:13" x14ac:dyDescent="0.35">
      <c r="A22" s="1" t="s">
        <v>73</v>
      </c>
      <c r="B22" s="1" t="s">
        <v>74</v>
      </c>
      <c r="C22" s="1" t="s">
        <v>44</v>
      </c>
      <c r="D22" s="1" t="s">
        <v>45</v>
      </c>
      <c r="E22" s="1" t="s">
        <v>16</v>
      </c>
      <c r="F22" s="1" t="s">
        <v>39</v>
      </c>
      <c r="G22" s="1" t="s">
        <v>18</v>
      </c>
      <c r="H22" s="1">
        <v>13453</v>
      </c>
      <c r="I22" s="1" t="s">
        <v>33</v>
      </c>
      <c r="J22" s="1">
        <v>0.3</v>
      </c>
      <c r="K22" s="1">
        <v>13000</v>
      </c>
      <c r="L22" s="2">
        <v>45323</v>
      </c>
      <c r="M22" s="11">
        <f>IF(OR(I22="",ISNA(MATCH(I22,{"DISC10","DISC15","DISC20","DISC30"},0))),0,J22)</f>
        <v>0.3</v>
      </c>
    </row>
    <row r="23" spans="1:13" x14ac:dyDescent="0.35">
      <c r="A23" s="1" t="s">
        <v>75</v>
      </c>
      <c r="B23" s="1" t="s">
        <v>76</v>
      </c>
      <c r="C23" s="1" t="s">
        <v>30</v>
      </c>
      <c r="D23" s="1" t="s">
        <v>31</v>
      </c>
      <c r="E23" s="1" t="s">
        <v>46</v>
      </c>
      <c r="F23" s="1" t="s">
        <v>25</v>
      </c>
      <c r="G23" s="1" t="s">
        <v>18</v>
      </c>
      <c r="H23" s="1">
        <v>15986</v>
      </c>
      <c r="I23" s="1" t="s">
        <v>27</v>
      </c>
      <c r="J23" s="1"/>
      <c r="K23" s="1">
        <v>17000</v>
      </c>
      <c r="L23" s="2">
        <v>45352</v>
      </c>
      <c r="M23" s="11">
        <f>IF(OR(I23="",ISNA(MATCH(I23,{"DISC10","DISC15","DISC20","DISC30"},0))),0,J23)</f>
        <v>0</v>
      </c>
    </row>
    <row r="24" spans="1:13" x14ac:dyDescent="0.35">
      <c r="A24" s="1" t="s">
        <v>77</v>
      </c>
      <c r="B24" s="1" t="s">
        <v>78</v>
      </c>
      <c r="C24" s="1" t="s">
        <v>61</v>
      </c>
      <c r="D24" s="1" t="s">
        <v>62</v>
      </c>
      <c r="E24" s="1" t="s">
        <v>32</v>
      </c>
      <c r="F24" s="1" t="s">
        <v>39</v>
      </c>
      <c r="G24" s="1" t="s">
        <v>18</v>
      </c>
      <c r="H24" s="1">
        <v>7525</v>
      </c>
      <c r="I24" s="1"/>
      <c r="J24" s="1"/>
      <c r="K24" s="1">
        <v>9000</v>
      </c>
      <c r="L24" s="2">
        <v>45352</v>
      </c>
      <c r="M24" s="11">
        <f>IF(OR(I24="",ISNA(MATCH(I24,{"DISC10","DISC15","DISC20","DISC30"},0))),0,J24)</f>
        <v>0</v>
      </c>
    </row>
    <row r="25" spans="1:13" x14ac:dyDescent="0.35">
      <c r="A25" s="1" t="s">
        <v>79</v>
      </c>
      <c r="B25" s="1" t="s">
        <v>80</v>
      </c>
      <c r="C25" s="1" t="s">
        <v>30</v>
      </c>
      <c r="D25" s="1" t="s">
        <v>31</v>
      </c>
      <c r="E25" s="1" t="s">
        <v>16</v>
      </c>
      <c r="F25" s="1" t="s">
        <v>39</v>
      </c>
      <c r="G25" s="1" t="s">
        <v>36</v>
      </c>
      <c r="H25" s="1">
        <v>18950</v>
      </c>
      <c r="I25" s="1" t="s">
        <v>19</v>
      </c>
      <c r="J25" s="1">
        <v>0.2</v>
      </c>
      <c r="K25" s="1">
        <v>17000</v>
      </c>
      <c r="L25" s="2">
        <v>45351</v>
      </c>
      <c r="M25" s="11">
        <f>IF(OR(I25="",ISNA(MATCH(I25,{"DISC10","DISC15","DISC20","DISC30"},0))),0,J25)</f>
        <v>0.2</v>
      </c>
    </row>
    <row r="26" spans="1:13" x14ac:dyDescent="0.35">
      <c r="A26" s="1" t="s">
        <v>81</v>
      </c>
      <c r="B26" s="1" t="s">
        <v>82</v>
      </c>
      <c r="C26" s="1" t="s">
        <v>44</v>
      </c>
      <c r="D26" s="1" t="s">
        <v>45</v>
      </c>
      <c r="E26" s="1" t="s">
        <v>16</v>
      </c>
      <c r="F26" s="1" t="s">
        <v>17</v>
      </c>
      <c r="G26" s="1" t="s">
        <v>36</v>
      </c>
      <c r="H26" s="1">
        <v>13751</v>
      </c>
      <c r="I26" s="1" t="s">
        <v>33</v>
      </c>
      <c r="J26" s="1">
        <v>0.3</v>
      </c>
      <c r="K26" s="1">
        <v>13000</v>
      </c>
      <c r="L26" s="2">
        <v>45320</v>
      </c>
      <c r="M26" s="11">
        <f>IF(OR(I26="",ISNA(MATCH(I26,{"DISC10","DISC15","DISC20","DISC30"},0))),0,J26)</f>
        <v>0.3</v>
      </c>
    </row>
    <row r="27" spans="1:13" x14ac:dyDescent="0.35">
      <c r="A27" s="1" t="s">
        <v>83</v>
      </c>
      <c r="B27" s="1" t="s">
        <v>84</v>
      </c>
      <c r="C27" s="1" t="s">
        <v>61</v>
      </c>
      <c r="D27" s="1" t="s">
        <v>62</v>
      </c>
      <c r="E27" s="1" t="s">
        <v>32</v>
      </c>
      <c r="F27" s="1" t="s">
        <v>25</v>
      </c>
      <c r="G27" s="1" t="s">
        <v>18</v>
      </c>
      <c r="H27" s="1">
        <v>7262</v>
      </c>
      <c r="I27" s="1" t="s">
        <v>33</v>
      </c>
      <c r="J27" s="1">
        <v>0.3</v>
      </c>
      <c r="K27" s="1">
        <v>9000</v>
      </c>
      <c r="L27" s="2">
        <v>45293</v>
      </c>
      <c r="M27" s="11">
        <f>IF(OR(I27="",ISNA(MATCH(I27,{"DISC10","DISC15","DISC20","DISC30"},0))),0,J27)</f>
        <v>0.3</v>
      </c>
    </row>
    <row r="28" spans="1:13" x14ac:dyDescent="0.35">
      <c r="A28" s="1" t="s">
        <v>85</v>
      </c>
      <c r="B28" s="1" t="s">
        <v>86</v>
      </c>
      <c r="C28" s="1" t="s">
        <v>44</v>
      </c>
      <c r="D28" s="1" t="s">
        <v>45</v>
      </c>
      <c r="E28" s="1" t="s">
        <v>16</v>
      </c>
      <c r="F28" s="1" t="s">
        <v>25</v>
      </c>
      <c r="G28" s="1" t="s">
        <v>18</v>
      </c>
      <c r="H28" s="1">
        <v>11290</v>
      </c>
      <c r="I28" s="1" t="s">
        <v>22</v>
      </c>
      <c r="J28" s="1">
        <v>0.1</v>
      </c>
      <c r="K28" s="1">
        <v>13000</v>
      </c>
      <c r="L28" s="2">
        <v>45306</v>
      </c>
      <c r="M28" s="11">
        <f>IF(OR(I28="",ISNA(MATCH(I28,{"DISC10","DISC15","DISC20","DISC30"},0))),0,J28)</f>
        <v>0.1</v>
      </c>
    </row>
    <row r="29" spans="1:13" x14ac:dyDescent="0.35">
      <c r="A29" s="1" t="s">
        <v>87</v>
      </c>
      <c r="B29" s="1" t="s">
        <v>43</v>
      </c>
      <c r="C29" s="1" t="s">
        <v>30</v>
      </c>
      <c r="D29" s="1" t="s">
        <v>31</v>
      </c>
      <c r="E29" s="1" t="s">
        <v>32</v>
      </c>
      <c r="F29" s="1" t="s">
        <v>39</v>
      </c>
      <c r="G29" s="1" t="s">
        <v>18</v>
      </c>
      <c r="H29" s="1">
        <v>16140</v>
      </c>
      <c r="I29" s="1"/>
      <c r="J29" s="1"/>
      <c r="K29" s="1">
        <v>17000</v>
      </c>
      <c r="L29" s="2">
        <v>45305</v>
      </c>
      <c r="M29" s="11">
        <f>IF(OR(I29="",ISNA(MATCH(I29,{"DISC10","DISC15","DISC20","DISC30"},0))),0,J29)</f>
        <v>0</v>
      </c>
    </row>
    <row r="30" spans="1:13" x14ac:dyDescent="0.35">
      <c r="A30" s="1" t="s">
        <v>88</v>
      </c>
      <c r="B30" s="1" t="s">
        <v>80</v>
      </c>
      <c r="C30" s="1" t="s">
        <v>61</v>
      </c>
      <c r="D30" s="1" t="s">
        <v>62</v>
      </c>
      <c r="E30" s="1" t="s">
        <v>32</v>
      </c>
      <c r="F30" s="1" t="s">
        <v>17</v>
      </c>
      <c r="G30" s="1" t="s">
        <v>36</v>
      </c>
      <c r="H30" s="1">
        <v>7779</v>
      </c>
      <c r="I30" s="1" t="s">
        <v>22</v>
      </c>
      <c r="J30" s="1">
        <v>0.1</v>
      </c>
      <c r="K30" s="1">
        <v>9000</v>
      </c>
      <c r="L30" s="2">
        <v>45298</v>
      </c>
      <c r="M30" s="11">
        <f>IF(OR(I30="",ISNA(MATCH(I30,{"DISC10","DISC15","DISC20","DISC30"},0))),0,J30)</f>
        <v>0.1</v>
      </c>
    </row>
    <row r="31" spans="1:13" x14ac:dyDescent="0.35">
      <c r="A31" s="1" t="s">
        <v>89</v>
      </c>
      <c r="B31" s="1" t="s">
        <v>90</v>
      </c>
      <c r="C31" s="1" t="s">
        <v>30</v>
      </c>
      <c r="D31" s="1" t="s">
        <v>31</v>
      </c>
      <c r="E31" s="1" t="s">
        <v>46</v>
      </c>
      <c r="F31" s="1" t="s">
        <v>17</v>
      </c>
      <c r="G31" s="1" t="s">
        <v>36</v>
      </c>
      <c r="H31" s="1">
        <v>18538</v>
      </c>
      <c r="I31" s="1" t="s">
        <v>22</v>
      </c>
      <c r="J31" s="1">
        <v>0.1</v>
      </c>
      <c r="K31" s="1">
        <v>17000</v>
      </c>
      <c r="L31" s="2">
        <v>45335</v>
      </c>
      <c r="M31" s="11">
        <f>IF(OR(I31="",ISNA(MATCH(I31,{"DISC10","DISC15","DISC20","DISC30"},0))),0,J31)</f>
        <v>0.1</v>
      </c>
    </row>
    <row r="32" spans="1:13" x14ac:dyDescent="0.35">
      <c r="A32" s="1" t="s">
        <v>91</v>
      </c>
      <c r="B32" s="1" t="s">
        <v>92</v>
      </c>
      <c r="C32" s="1" t="s">
        <v>14</v>
      </c>
      <c r="D32" s="1" t="s">
        <v>15</v>
      </c>
      <c r="E32" s="1" t="s">
        <v>32</v>
      </c>
      <c r="F32" s="1" t="s">
        <v>17</v>
      </c>
      <c r="G32" s="1" t="s">
        <v>26</v>
      </c>
      <c r="H32" s="1">
        <v>13389</v>
      </c>
      <c r="I32" s="1" t="s">
        <v>22</v>
      </c>
      <c r="J32" s="1">
        <v>0.1</v>
      </c>
      <c r="K32" s="1">
        <v>14000</v>
      </c>
      <c r="L32" s="2">
        <v>45307</v>
      </c>
      <c r="M32" s="11">
        <f>IF(OR(I32="",ISNA(MATCH(I32,{"DISC10","DISC15","DISC20","DISC30"},0))),0,J32)</f>
        <v>0.1</v>
      </c>
    </row>
    <row r="33" spans="1:13" x14ac:dyDescent="0.35">
      <c r="A33" s="1" t="s">
        <v>93</v>
      </c>
      <c r="B33" s="1" t="s">
        <v>94</v>
      </c>
      <c r="C33" s="1" t="s">
        <v>61</v>
      </c>
      <c r="D33" s="1" t="s">
        <v>62</v>
      </c>
      <c r="E33" s="1" t="s">
        <v>32</v>
      </c>
      <c r="F33" s="1" t="s">
        <v>17</v>
      </c>
      <c r="G33" s="1" t="s">
        <v>18</v>
      </c>
      <c r="H33" s="1">
        <v>8140</v>
      </c>
      <c r="I33" s="1"/>
      <c r="J33" s="1"/>
      <c r="K33" s="1">
        <v>9000</v>
      </c>
      <c r="L33" s="2">
        <v>45307</v>
      </c>
      <c r="M33" s="11">
        <f>IF(OR(I33="",ISNA(MATCH(I33,{"DISC10","DISC15","DISC20","DISC30"},0))),0,J33)</f>
        <v>0</v>
      </c>
    </row>
    <row r="34" spans="1:13" x14ac:dyDescent="0.35">
      <c r="A34" s="1" t="s">
        <v>95</v>
      </c>
      <c r="B34" s="1" t="s">
        <v>96</v>
      </c>
      <c r="C34" s="1" t="s">
        <v>61</v>
      </c>
      <c r="D34" s="1" t="s">
        <v>62</v>
      </c>
      <c r="E34" s="1" t="s">
        <v>16</v>
      </c>
      <c r="F34" s="1" t="s">
        <v>25</v>
      </c>
      <c r="G34" s="1" t="s">
        <v>18</v>
      </c>
      <c r="H34" s="1">
        <v>9671</v>
      </c>
      <c r="I34" s="1" t="s">
        <v>27</v>
      </c>
      <c r="J34" s="1"/>
      <c r="K34" s="1">
        <v>9000</v>
      </c>
      <c r="L34" s="2">
        <v>45345</v>
      </c>
      <c r="M34" s="11">
        <f>IF(OR(I34="",ISNA(MATCH(I34,{"DISC10","DISC15","DISC20","DISC30"},0))),0,J34)</f>
        <v>0</v>
      </c>
    </row>
    <row r="35" spans="1:13" x14ac:dyDescent="0.35">
      <c r="A35" s="1" t="s">
        <v>97</v>
      </c>
      <c r="B35" s="1" t="s">
        <v>76</v>
      </c>
      <c r="C35" s="1" t="s">
        <v>44</v>
      </c>
      <c r="D35" s="1" t="s">
        <v>45</v>
      </c>
      <c r="E35" s="1" t="s">
        <v>32</v>
      </c>
      <c r="F35" s="1" t="s">
        <v>17</v>
      </c>
      <c r="G35" s="1" t="s">
        <v>36</v>
      </c>
      <c r="H35" s="1">
        <v>12971</v>
      </c>
      <c r="I35" s="1" t="s">
        <v>19</v>
      </c>
      <c r="J35" s="1">
        <v>0.2</v>
      </c>
      <c r="K35" s="1">
        <v>13000</v>
      </c>
      <c r="L35" s="2">
        <v>45347</v>
      </c>
      <c r="M35" s="11">
        <f>IF(OR(I35="",ISNA(MATCH(I35,{"DISC10","DISC15","DISC20","DISC30"},0))),0,J35)</f>
        <v>0.2</v>
      </c>
    </row>
    <row r="36" spans="1:13" x14ac:dyDescent="0.35">
      <c r="A36" s="1" t="s">
        <v>98</v>
      </c>
      <c r="B36" s="1" t="s">
        <v>99</v>
      </c>
      <c r="C36" s="1" t="s">
        <v>44</v>
      </c>
      <c r="D36" s="1" t="s">
        <v>45</v>
      </c>
      <c r="E36" s="1" t="s">
        <v>46</v>
      </c>
      <c r="F36" s="1" t="s">
        <v>25</v>
      </c>
      <c r="G36" s="1" t="s">
        <v>36</v>
      </c>
      <c r="H36" s="1">
        <v>12086</v>
      </c>
      <c r="I36" s="1"/>
      <c r="J36" s="1"/>
      <c r="K36" s="1">
        <v>13000</v>
      </c>
      <c r="L36" s="2">
        <v>45310</v>
      </c>
      <c r="M36" s="11">
        <f>IF(OR(I36="",ISNA(MATCH(I36,{"DISC10","DISC15","DISC20","DISC30"},0))),0,J36)</f>
        <v>0</v>
      </c>
    </row>
    <row r="37" spans="1:13" x14ac:dyDescent="0.35">
      <c r="A37" s="1" t="s">
        <v>100</v>
      </c>
      <c r="B37" s="1" t="s">
        <v>101</v>
      </c>
      <c r="C37" s="1" t="s">
        <v>61</v>
      </c>
      <c r="D37" s="1" t="s">
        <v>62</v>
      </c>
      <c r="E37" s="1" t="s">
        <v>32</v>
      </c>
      <c r="F37" s="1" t="s">
        <v>25</v>
      </c>
      <c r="G37" s="1" t="s">
        <v>36</v>
      </c>
      <c r="H37" s="1">
        <v>7891</v>
      </c>
      <c r="I37" s="1" t="s">
        <v>22</v>
      </c>
      <c r="J37" s="1">
        <v>0.1</v>
      </c>
      <c r="K37" s="1">
        <v>9000</v>
      </c>
      <c r="L37" s="2">
        <v>45329</v>
      </c>
      <c r="M37" s="11">
        <f>IF(OR(I37="",ISNA(MATCH(I37,{"DISC10","DISC15","DISC20","DISC30"},0))),0,J37)</f>
        <v>0.1</v>
      </c>
    </row>
    <row r="38" spans="1:13" x14ac:dyDescent="0.35">
      <c r="A38" s="1" t="s">
        <v>102</v>
      </c>
      <c r="B38" s="1" t="s">
        <v>103</v>
      </c>
      <c r="C38" s="1" t="s">
        <v>14</v>
      </c>
      <c r="D38" s="1" t="s">
        <v>15</v>
      </c>
      <c r="E38" s="1" t="s">
        <v>16</v>
      </c>
      <c r="F38" s="1" t="s">
        <v>17</v>
      </c>
      <c r="G38" s="1" t="s">
        <v>18</v>
      </c>
      <c r="H38" s="1">
        <v>12205</v>
      </c>
      <c r="I38" s="1" t="s">
        <v>27</v>
      </c>
      <c r="J38" s="1"/>
      <c r="K38" s="1">
        <v>14000</v>
      </c>
      <c r="L38" s="2">
        <v>45322</v>
      </c>
      <c r="M38" s="11">
        <f>IF(OR(I38="",ISNA(MATCH(I38,{"DISC10","DISC15","DISC20","DISC30"},0))),0,J38)</f>
        <v>0</v>
      </c>
    </row>
    <row r="39" spans="1:13" x14ac:dyDescent="0.35">
      <c r="A39" s="1" t="s">
        <v>104</v>
      </c>
      <c r="B39" s="1" t="s">
        <v>105</v>
      </c>
      <c r="C39" s="1" t="s">
        <v>44</v>
      </c>
      <c r="D39" s="1" t="s">
        <v>45</v>
      </c>
      <c r="E39" s="1" t="s">
        <v>32</v>
      </c>
      <c r="F39" s="1" t="s">
        <v>39</v>
      </c>
      <c r="G39" s="1" t="s">
        <v>18</v>
      </c>
      <c r="H39" s="1">
        <v>14487</v>
      </c>
      <c r="I39" s="1" t="s">
        <v>19</v>
      </c>
      <c r="J39" s="1">
        <v>0.2</v>
      </c>
      <c r="K39" s="1">
        <v>13000</v>
      </c>
      <c r="L39" s="2">
        <v>45296</v>
      </c>
      <c r="M39" s="11">
        <f>IF(OR(I39="",ISNA(MATCH(I39,{"DISC10","DISC15","DISC20","DISC30"},0))),0,J39)</f>
        <v>0.2</v>
      </c>
    </row>
    <row r="40" spans="1:13" x14ac:dyDescent="0.35">
      <c r="A40" s="1" t="s">
        <v>106</v>
      </c>
      <c r="B40" s="1" t="s">
        <v>107</v>
      </c>
      <c r="C40" s="1" t="s">
        <v>44</v>
      </c>
      <c r="D40" s="1" t="s">
        <v>45</v>
      </c>
      <c r="E40" s="1" t="s">
        <v>46</v>
      </c>
      <c r="F40" s="1" t="s">
        <v>25</v>
      </c>
      <c r="G40" s="1" t="s">
        <v>26</v>
      </c>
      <c r="H40" s="1">
        <v>12008</v>
      </c>
      <c r="I40" s="1" t="s">
        <v>27</v>
      </c>
      <c r="J40" s="1"/>
      <c r="K40" s="1">
        <v>13000</v>
      </c>
      <c r="L40" s="2">
        <v>45330</v>
      </c>
      <c r="M40" s="11">
        <f>IF(OR(I40="",ISNA(MATCH(I40,{"DISC10","DISC15","DISC20","DISC30"},0))),0,J40)</f>
        <v>0</v>
      </c>
    </row>
    <row r="41" spans="1:13" x14ac:dyDescent="0.35">
      <c r="A41" s="1" t="s">
        <v>108</v>
      </c>
      <c r="B41" s="1" t="s">
        <v>109</v>
      </c>
      <c r="C41" s="1" t="s">
        <v>14</v>
      </c>
      <c r="D41" s="1" t="s">
        <v>15</v>
      </c>
      <c r="E41" s="1" t="s">
        <v>46</v>
      </c>
      <c r="F41" s="1" t="s">
        <v>39</v>
      </c>
      <c r="G41" s="1" t="s">
        <v>26</v>
      </c>
      <c r="H41" s="1">
        <v>14315</v>
      </c>
      <c r="I41" s="1" t="s">
        <v>27</v>
      </c>
      <c r="J41" s="1"/>
      <c r="K41" s="1">
        <v>14000</v>
      </c>
      <c r="L41" s="2">
        <v>45312</v>
      </c>
      <c r="M41" s="11">
        <f>IF(OR(I41="",ISNA(MATCH(I41,{"DISC10","DISC15","DISC20","DISC30"},0))),0,J41)</f>
        <v>0</v>
      </c>
    </row>
    <row r="42" spans="1:13" x14ac:dyDescent="0.35">
      <c r="A42" s="1" t="s">
        <v>110</v>
      </c>
      <c r="B42" s="1" t="s">
        <v>111</v>
      </c>
      <c r="C42" s="1" t="s">
        <v>44</v>
      </c>
      <c r="D42" s="1" t="s">
        <v>45</v>
      </c>
      <c r="E42" s="1" t="s">
        <v>16</v>
      </c>
      <c r="F42" s="1" t="s">
        <v>39</v>
      </c>
      <c r="G42" s="1" t="s">
        <v>36</v>
      </c>
      <c r="H42" s="1">
        <v>11977</v>
      </c>
      <c r="I42" s="1" t="s">
        <v>33</v>
      </c>
      <c r="J42" s="1">
        <v>0.3</v>
      </c>
      <c r="K42" s="1">
        <v>13000</v>
      </c>
      <c r="L42" s="2">
        <v>45317</v>
      </c>
      <c r="M42" s="11">
        <f>IF(OR(I42="",ISNA(MATCH(I42,{"DISC10","DISC15","DISC20","DISC30"},0))),0,J42)</f>
        <v>0.3</v>
      </c>
    </row>
    <row r="43" spans="1:13" x14ac:dyDescent="0.35">
      <c r="A43" s="1" t="s">
        <v>112</v>
      </c>
      <c r="B43" s="1" t="s">
        <v>113</v>
      </c>
      <c r="C43" s="1" t="s">
        <v>30</v>
      </c>
      <c r="D43" s="1" t="s">
        <v>31</v>
      </c>
      <c r="E43" s="1" t="s">
        <v>46</v>
      </c>
      <c r="F43" s="1" t="s">
        <v>17</v>
      </c>
      <c r="G43" s="1" t="s">
        <v>18</v>
      </c>
      <c r="H43" s="1">
        <v>15038</v>
      </c>
      <c r="I43" s="1"/>
      <c r="J43" s="1"/>
      <c r="K43" s="1">
        <v>17000</v>
      </c>
      <c r="L43" s="2">
        <v>45331</v>
      </c>
      <c r="M43" s="11">
        <f>IF(OR(I43="",ISNA(MATCH(I43,{"DISC10","DISC15","DISC20","DISC30"},0))),0,J43)</f>
        <v>0</v>
      </c>
    </row>
    <row r="44" spans="1:13" x14ac:dyDescent="0.35">
      <c r="A44" s="1" t="s">
        <v>114</v>
      </c>
      <c r="B44" s="1" t="s">
        <v>107</v>
      </c>
      <c r="C44" s="1" t="s">
        <v>14</v>
      </c>
      <c r="D44" s="1" t="s">
        <v>15</v>
      </c>
      <c r="E44" s="1" t="s">
        <v>16</v>
      </c>
      <c r="F44" s="1" t="s">
        <v>25</v>
      </c>
      <c r="G44" s="1" t="s">
        <v>26</v>
      </c>
      <c r="H44" s="1">
        <v>13086</v>
      </c>
      <c r="I44" s="1" t="s">
        <v>19</v>
      </c>
      <c r="J44" s="1">
        <v>0.2</v>
      </c>
      <c r="K44" s="1">
        <v>14000</v>
      </c>
      <c r="L44" s="2">
        <v>45351</v>
      </c>
      <c r="M44" s="11">
        <f>IF(OR(I44="",ISNA(MATCH(I44,{"DISC10","DISC15","DISC20","DISC30"},0))),0,J44)</f>
        <v>0.2</v>
      </c>
    </row>
    <row r="45" spans="1:13" x14ac:dyDescent="0.35">
      <c r="A45" s="1" t="s">
        <v>115</v>
      </c>
      <c r="B45" s="1" t="s">
        <v>116</v>
      </c>
      <c r="C45" s="1" t="s">
        <v>44</v>
      </c>
      <c r="D45" s="1" t="s">
        <v>45</v>
      </c>
      <c r="E45" s="1" t="s">
        <v>46</v>
      </c>
      <c r="F45" s="1" t="s">
        <v>17</v>
      </c>
      <c r="G45" s="1" t="s">
        <v>18</v>
      </c>
      <c r="H45" s="1">
        <v>12794</v>
      </c>
      <c r="I45" s="1" t="s">
        <v>27</v>
      </c>
      <c r="J45" s="1"/>
      <c r="K45" s="1">
        <v>13000</v>
      </c>
      <c r="L45" s="2">
        <v>45337</v>
      </c>
      <c r="M45" s="11">
        <f>IF(OR(I45="",ISNA(MATCH(I45,{"DISC10","DISC15","DISC20","DISC30"},0))),0,J45)</f>
        <v>0</v>
      </c>
    </row>
    <row r="46" spans="1:13" x14ac:dyDescent="0.35">
      <c r="A46" s="1" t="s">
        <v>117</v>
      </c>
      <c r="B46" s="1" t="s">
        <v>118</v>
      </c>
      <c r="C46" s="1" t="s">
        <v>14</v>
      </c>
      <c r="D46" s="1" t="s">
        <v>15</v>
      </c>
      <c r="E46" s="1" t="s">
        <v>16</v>
      </c>
      <c r="F46" s="1" t="s">
        <v>39</v>
      </c>
      <c r="G46" s="1" t="s">
        <v>36</v>
      </c>
      <c r="H46" s="1">
        <v>15816</v>
      </c>
      <c r="I46" s="1" t="s">
        <v>22</v>
      </c>
      <c r="J46" s="1">
        <v>0.1</v>
      </c>
      <c r="K46" s="1">
        <v>14000</v>
      </c>
      <c r="L46" s="2">
        <v>45352</v>
      </c>
      <c r="M46" s="11">
        <f>IF(OR(I46="",ISNA(MATCH(I46,{"DISC10","DISC15","DISC20","DISC30"},0))),0,J46)</f>
        <v>0.1</v>
      </c>
    </row>
    <row r="47" spans="1:13" x14ac:dyDescent="0.35">
      <c r="A47" s="1" t="s">
        <v>119</v>
      </c>
      <c r="B47" s="1" t="s">
        <v>120</v>
      </c>
      <c r="C47" s="1" t="s">
        <v>30</v>
      </c>
      <c r="D47" s="1" t="s">
        <v>31</v>
      </c>
      <c r="E47" s="1" t="s">
        <v>32</v>
      </c>
      <c r="F47" s="1" t="s">
        <v>25</v>
      </c>
      <c r="G47" s="1" t="s">
        <v>26</v>
      </c>
      <c r="H47" s="1">
        <v>17266</v>
      </c>
      <c r="I47" s="1" t="s">
        <v>19</v>
      </c>
      <c r="J47" s="1">
        <v>0.2</v>
      </c>
      <c r="K47" s="1">
        <v>17000</v>
      </c>
      <c r="L47" s="2">
        <v>45309</v>
      </c>
      <c r="M47" s="11">
        <f>IF(OR(I47="",ISNA(MATCH(I47,{"DISC10","DISC15","DISC20","DISC30"},0))),0,J47)</f>
        <v>0.2</v>
      </c>
    </row>
    <row r="48" spans="1:13" x14ac:dyDescent="0.35">
      <c r="A48" s="1" t="s">
        <v>121</v>
      </c>
      <c r="B48" s="1" t="s">
        <v>118</v>
      </c>
      <c r="C48" s="1" t="s">
        <v>44</v>
      </c>
      <c r="D48" s="1" t="s">
        <v>45</v>
      </c>
      <c r="E48" s="1" t="s">
        <v>16</v>
      </c>
      <c r="F48" s="1" t="s">
        <v>17</v>
      </c>
      <c r="G48" s="1" t="s">
        <v>18</v>
      </c>
      <c r="H48" s="1">
        <v>13815</v>
      </c>
      <c r="I48" s="1" t="s">
        <v>33</v>
      </c>
      <c r="J48" s="1">
        <v>0.3</v>
      </c>
      <c r="K48" s="1">
        <v>13000</v>
      </c>
      <c r="L48" s="2">
        <v>45324</v>
      </c>
      <c r="M48" s="11">
        <f>IF(OR(I48="",ISNA(MATCH(I48,{"DISC10","DISC15","DISC20","DISC30"},0))),0,J48)</f>
        <v>0.3</v>
      </c>
    </row>
    <row r="49" spans="1:13" x14ac:dyDescent="0.35">
      <c r="A49" s="1" t="s">
        <v>122</v>
      </c>
      <c r="B49" s="1" t="s">
        <v>123</v>
      </c>
      <c r="C49" s="1" t="s">
        <v>14</v>
      </c>
      <c r="D49" s="1" t="s">
        <v>15</v>
      </c>
      <c r="E49" s="1" t="s">
        <v>32</v>
      </c>
      <c r="F49" s="1" t="s">
        <v>39</v>
      </c>
      <c r="G49" s="1" t="s">
        <v>36</v>
      </c>
      <c r="H49" s="1">
        <v>15397</v>
      </c>
      <c r="I49" s="1" t="s">
        <v>33</v>
      </c>
      <c r="J49" s="1">
        <v>0.3</v>
      </c>
      <c r="K49" s="1">
        <v>14000</v>
      </c>
      <c r="L49" s="2">
        <v>45294</v>
      </c>
      <c r="M49" s="11">
        <f>IF(OR(I49="",ISNA(MATCH(I49,{"DISC10","DISC15","DISC20","DISC30"},0))),0,J49)</f>
        <v>0.3</v>
      </c>
    </row>
    <row r="50" spans="1:13" x14ac:dyDescent="0.35">
      <c r="A50" s="1" t="s">
        <v>124</v>
      </c>
      <c r="B50" s="1" t="s">
        <v>125</v>
      </c>
      <c r="C50" s="1" t="s">
        <v>44</v>
      </c>
      <c r="D50" s="1" t="s">
        <v>45</v>
      </c>
      <c r="E50" s="1" t="s">
        <v>16</v>
      </c>
      <c r="F50" s="1" t="s">
        <v>17</v>
      </c>
      <c r="G50" s="1" t="s">
        <v>18</v>
      </c>
      <c r="H50" s="1">
        <v>14036</v>
      </c>
      <c r="I50" s="1"/>
      <c r="J50" s="1"/>
      <c r="K50" s="1">
        <v>13000</v>
      </c>
      <c r="L50" s="2">
        <v>45327</v>
      </c>
      <c r="M50" s="11">
        <f>IF(OR(I50="",ISNA(MATCH(I50,{"DISC10","DISC15","DISC20","DISC30"},0))),0,J50)</f>
        <v>0</v>
      </c>
    </row>
    <row r="51" spans="1:13" x14ac:dyDescent="0.35">
      <c r="A51" s="1" t="s">
        <v>126</v>
      </c>
      <c r="B51" s="1" t="s">
        <v>127</v>
      </c>
      <c r="C51" s="1" t="s">
        <v>14</v>
      </c>
      <c r="D51" s="1" t="s">
        <v>15</v>
      </c>
      <c r="E51" s="1" t="s">
        <v>32</v>
      </c>
      <c r="F51" s="1" t="s">
        <v>25</v>
      </c>
      <c r="G51" s="1" t="s">
        <v>26</v>
      </c>
      <c r="H51" s="1">
        <v>15702</v>
      </c>
      <c r="I51" s="1" t="s">
        <v>19</v>
      </c>
      <c r="J51" s="1">
        <v>0.2</v>
      </c>
      <c r="K51" s="1">
        <v>14000</v>
      </c>
      <c r="L51" s="2">
        <v>45326</v>
      </c>
      <c r="M51" s="11">
        <f>IF(OR(I51="",ISNA(MATCH(I51,{"DISC10","DISC15","DISC20","DISC30"},0))),0,J51)</f>
        <v>0.2</v>
      </c>
    </row>
    <row r="52" spans="1:13" x14ac:dyDescent="0.35">
      <c r="A52" s="1" t="s">
        <v>128</v>
      </c>
      <c r="B52" s="1" t="s">
        <v>129</v>
      </c>
      <c r="C52" s="1" t="s">
        <v>30</v>
      </c>
      <c r="D52" s="1" t="s">
        <v>31</v>
      </c>
      <c r="E52" s="1" t="s">
        <v>16</v>
      </c>
      <c r="F52" s="1" t="s">
        <v>39</v>
      </c>
      <c r="G52" s="1" t="s">
        <v>18</v>
      </c>
      <c r="H52" s="1">
        <v>16760</v>
      </c>
      <c r="I52" s="1" t="s">
        <v>19</v>
      </c>
      <c r="J52" s="1">
        <v>0.2</v>
      </c>
      <c r="K52" s="1">
        <v>17000</v>
      </c>
      <c r="L52" s="2">
        <v>45294</v>
      </c>
      <c r="M52" s="11">
        <f>IF(OR(I52="",ISNA(MATCH(I52,{"DISC10","DISC15","DISC20","DISC30"},0))),0,J52)</f>
        <v>0.2</v>
      </c>
    </row>
    <row r="53" spans="1:13" x14ac:dyDescent="0.35">
      <c r="A53" s="1" t="s">
        <v>130</v>
      </c>
      <c r="B53" s="1" t="s">
        <v>131</v>
      </c>
      <c r="C53" s="1" t="s">
        <v>14</v>
      </c>
      <c r="D53" s="1" t="s">
        <v>15</v>
      </c>
      <c r="E53" s="1" t="s">
        <v>46</v>
      </c>
      <c r="F53" s="1" t="s">
        <v>25</v>
      </c>
      <c r="G53" s="1" t="s">
        <v>26</v>
      </c>
      <c r="H53" s="1">
        <v>13022</v>
      </c>
      <c r="I53" s="1" t="s">
        <v>22</v>
      </c>
      <c r="J53" s="1">
        <v>0.1</v>
      </c>
      <c r="K53" s="1">
        <v>14000</v>
      </c>
      <c r="L53" s="2">
        <v>45314</v>
      </c>
      <c r="M53" s="11">
        <f>IF(OR(I53="",ISNA(MATCH(I53,{"DISC10","DISC15","DISC20","DISC30"},0))),0,J53)</f>
        <v>0.1</v>
      </c>
    </row>
    <row r="54" spans="1:13" x14ac:dyDescent="0.35">
      <c r="A54" s="1" t="s">
        <v>132</v>
      </c>
      <c r="B54" s="1" t="s">
        <v>133</v>
      </c>
      <c r="C54" s="1" t="s">
        <v>61</v>
      </c>
      <c r="D54" s="1" t="s">
        <v>62</v>
      </c>
      <c r="E54" s="1" t="s">
        <v>16</v>
      </c>
      <c r="F54" s="1" t="s">
        <v>39</v>
      </c>
      <c r="G54" s="1" t="s">
        <v>18</v>
      </c>
      <c r="H54" s="1">
        <v>10791</v>
      </c>
      <c r="I54" s="1" t="s">
        <v>19</v>
      </c>
      <c r="J54" s="1">
        <v>0.2</v>
      </c>
      <c r="K54" s="1">
        <v>9000</v>
      </c>
      <c r="L54" s="2">
        <v>45347</v>
      </c>
      <c r="M54" s="11">
        <f>IF(OR(I54="",ISNA(MATCH(I54,{"DISC10","DISC15","DISC20","DISC30"},0))),0,J54)</f>
        <v>0.2</v>
      </c>
    </row>
    <row r="55" spans="1:13" x14ac:dyDescent="0.35">
      <c r="A55" s="1" t="s">
        <v>134</v>
      </c>
      <c r="B55" s="1" t="s">
        <v>135</v>
      </c>
      <c r="C55" s="1" t="s">
        <v>44</v>
      </c>
      <c r="D55" s="1" t="s">
        <v>45</v>
      </c>
      <c r="E55" s="1" t="s">
        <v>46</v>
      </c>
      <c r="F55" s="1" t="s">
        <v>25</v>
      </c>
      <c r="G55" s="1" t="s">
        <v>18</v>
      </c>
      <c r="H55" s="1">
        <v>14016</v>
      </c>
      <c r="I55" s="1" t="s">
        <v>33</v>
      </c>
      <c r="J55" s="1">
        <v>0.3</v>
      </c>
      <c r="K55" s="1">
        <v>13000</v>
      </c>
      <c r="L55" s="2">
        <v>45342</v>
      </c>
      <c r="M55" s="11">
        <f>IF(OR(I55="",ISNA(MATCH(I55,{"DISC10","DISC15","DISC20","DISC30"},0))),0,J55)</f>
        <v>0.3</v>
      </c>
    </row>
    <row r="56" spans="1:13" x14ac:dyDescent="0.35">
      <c r="A56" s="1" t="s">
        <v>136</v>
      </c>
      <c r="B56" s="1" t="s">
        <v>137</v>
      </c>
      <c r="C56" s="1" t="s">
        <v>44</v>
      </c>
      <c r="D56" s="1" t="s">
        <v>45</v>
      </c>
      <c r="E56" s="1" t="s">
        <v>46</v>
      </c>
      <c r="F56" s="1" t="s">
        <v>25</v>
      </c>
      <c r="G56" s="1" t="s">
        <v>26</v>
      </c>
      <c r="H56" s="1">
        <v>11442</v>
      </c>
      <c r="I56" s="1"/>
      <c r="J56" s="1"/>
      <c r="K56" s="1">
        <v>13000</v>
      </c>
      <c r="L56" s="2">
        <v>45347</v>
      </c>
      <c r="M56" s="11">
        <f>IF(OR(I56="",ISNA(MATCH(I56,{"DISC10","DISC15","DISC20","DISC30"},0))),0,J56)</f>
        <v>0</v>
      </c>
    </row>
    <row r="57" spans="1:13" x14ac:dyDescent="0.35">
      <c r="A57" s="1" t="s">
        <v>138</v>
      </c>
      <c r="B57" s="1" t="s">
        <v>129</v>
      </c>
      <c r="C57" s="1" t="s">
        <v>61</v>
      </c>
      <c r="D57" s="1" t="s">
        <v>62</v>
      </c>
      <c r="E57" s="1" t="s">
        <v>32</v>
      </c>
      <c r="F57" s="1" t="s">
        <v>25</v>
      </c>
      <c r="G57" s="1" t="s">
        <v>36</v>
      </c>
      <c r="H57" s="1">
        <v>8432</v>
      </c>
      <c r="I57" s="1" t="s">
        <v>33</v>
      </c>
      <c r="J57" s="1">
        <v>0.3</v>
      </c>
      <c r="K57" s="1">
        <v>9000</v>
      </c>
      <c r="L57" s="2">
        <v>45344</v>
      </c>
      <c r="M57" s="11">
        <f>IF(OR(I57="",ISNA(MATCH(I57,{"DISC10","DISC15","DISC20","DISC30"},0))),0,J57)</f>
        <v>0.3</v>
      </c>
    </row>
    <row r="58" spans="1:13" x14ac:dyDescent="0.35">
      <c r="A58" s="1" t="s">
        <v>139</v>
      </c>
      <c r="B58" s="1" t="s">
        <v>140</v>
      </c>
      <c r="C58" s="1" t="s">
        <v>44</v>
      </c>
      <c r="D58" s="1" t="s">
        <v>45</v>
      </c>
      <c r="E58" s="1" t="s">
        <v>32</v>
      </c>
      <c r="F58" s="1" t="s">
        <v>25</v>
      </c>
      <c r="G58" s="1" t="s">
        <v>26</v>
      </c>
      <c r="H58" s="1">
        <v>11791</v>
      </c>
      <c r="I58" s="1"/>
      <c r="J58" s="1"/>
      <c r="K58" s="1">
        <v>13000</v>
      </c>
      <c r="L58" s="2">
        <v>45313</v>
      </c>
      <c r="M58" s="11">
        <f>IF(OR(I58="",ISNA(MATCH(I58,{"DISC10","DISC15","DISC20","DISC30"},0))),0,J58)</f>
        <v>0</v>
      </c>
    </row>
    <row r="59" spans="1:13" x14ac:dyDescent="0.35">
      <c r="A59" s="1" t="s">
        <v>141</v>
      </c>
      <c r="B59" s="1" t="s">
        <v>142</v>
      </c>
      <c r="C59" s="1" t="s">
        <v>14</v>
      </c>
      <c r="D59" s="1" t="s">
        <v>15</v>
      </c>
      <c r="E59" s="1" t="s">
        <v>46</v>
      </c>
      <c r="F59" s="1" t="s">
        <v>17</v>
      </c>
      <c r="G59" s="1" t="s">
        <v>26</v>
      </c>
      <c r="H59" s="1">
        <v>14086</v>
      </c>
      <c r="I59" s="1"/>
      <c r="J59" s="1"/>
      <c r="K59" s="1">
        <v>14000</v>
      </c>
      <c r="L59" s="2">
        <v>45335</v>
      </c>
      <c r="M59" s="11">
        <f>IF(OR(I59="",ISNA(MATCH(I59,{"DISC10","DISC15","DISC20","DISC30"},0))),0,J59)</f>
        <v>0</v>
      </c>
    </row>
    <row r="60" spans="1:13" x14ac:dyDescent="0.35">
      <c r="A60" s="1" t="s">
        <v>143</v>
      </c>
      <c r="B60" s="1" t="s">
        <v>144</v>
      </c>
      <c r="C60" s="1" t="s">
        <v>30</v>
      </c>
      <c r="D60" s="1" t="s">
        <v>31</v>
      </c>
      <c r="E60" s="1" t="s">
        <v>32</v>
      </c>
      <c r="F60" s="1" t="s">
        <v>25</v>
      </c>
      <c r="G60" s="1" t="s">
        <v>36</v>
      </c>
      <c r="H60" s="1">
        <v>15731</v>
      </c>
      <c r="I60" s="1" t="s">
        <v>27</v>
      </c>
      <c r="J60" s="1"/>
      <c r="K60" s="1">
        <v>17000</v>
      </c>
      <c r="L60" s="2">
        <v>45308</v>
      </c>
      <c r="M60" s="11">
        <f>IF(OR(I60="",ISNA(MATCH(I60,{"DISC10","DISC15","DISC20","DISC30"},0))),0,J60)</f>
        <v>0</v>
      </c>
    </row>
    <row r="61" spans="1:13" x14ac:dyDescent="0.35">
      <c r="A61" s="1" t="s">
        <v>145</v>
      </c>
      <c r="B61" s="1" t="s">
        <v>76</v>
      </c>
      <c r="C61" s="1" t="s">
        <v>61</v>
      </c>
      <c r="D61" s="1" t="s">
        <v>62</v>
      </c>
      <c r="E61" s="1" t="s">
        <v>46</v>
      </c>
      <c r="F61" s="1" t="s">
        <v>39</v>
      </c>
      <c r="G61" s="1" t="s">
        <v>36</v>
      </c>
      <c r="H61" s="1">
        <v>8787</v>
      </c>
      <c r="I61" s="1" t="s">
        <v>27</v>
      </c>
      <c r="J61" s="1"/>
      <c r="K61" s="1">
        <v>9000</v>
      </c>
      <c r="L61" s="2">
        <v>45324</v>
      </c>
      <c r="M61" s="11">
        <f>IF(OR(I61="",ISNA(MATCH(I61,{"DISC10","DISC15","DISC20","DISC30"},0))),0,J61)</f>
        <v>0</v>
      </c>
    </row>
    <row r="62" spans="1:13" x14ac:dyDescent="0.35">
      <c r="A62" s="1" t="s">
        <v>146</v>
      </c>
      <c r="B62" s="1" t="s">
        <v>66</v>
      </c>
      <c r="C62" s="1" t="s">
        <v>44</v>
      </c>
      <c r="D62" s="1" t="s">
        <v>45</v>
      </c>
      <c r="E62" s="1" t="s">
        <v>46</v>
      </c>
      <c r="F62" s="1" t="s">
        <v>25</v>
      </c>
      <c r="G62" s="1" t="s">
        <v>26</v>
      </c>
      <c r="H62" s="1">
        <v>12786</v>
      </c>
      <c r="I62" s="1" t="s">
        <v>22</v>
      </c>
      <c r="J62" s="1">
        <v>0.1</v>
      </c>
      <c r="K62" s="1">
        <v>13000</v>
      </c>
      <c r="L62" s="2">
        <v>45325</v>
      </c>
      <c r="M62" s="11">
        <f>IF(OR(I62="",ISNA(MATCH(I62,{"DISC10","DISC15","DISC20","DISC30"},0))),0,J62)</f>
        <v>0.1</v>
      </c>
    </row>
    <row r="63" spans="1:13" x14ac:dyDescent="0.35">
      <c r="A63" s="1" t="s">
        <v>147</v>
      </c>
      <c r="B63" s="1" t="s">
        <v>148</v>
      </c>
      <c r="C63" s="1" t="s">
        <v>44</v>
      </c>
      <c r="D63" s="1" t="s">
        <v>45</v>
      </c>
      <c r="E63" s="1" t="s">
        <v>46</v>
      </c>
      <c r="F63" s="1" t="s">
        <v>17</v>
      </c>
      <c r="G63" s="1" t="s">
        <v>18</v>
      </c>
      <c r="H63" s="1">
        <v>14886</v>
      </c>
      <c r="I63" s="1" t="s">
        <v>33</v>
      </c>
      <c r="J63" s="1">
        <v>0.3</v>
      </c>
      <c r="K63" s="1">
        <v>13000</v>
      </c>
      <c r="L63" s="2">
        <v>45331</v>
      </c>
      <c r="M63" s="11">
        <f>IF(OR(I63="",ISNA(MATCH(I63,{"DISC10","DISC15","DISC20","DISC30"},0))),0,J63)</f>
        <v>0.3</v>
      </c>
    </row>
    <row r="64" spans="1:13" x14ac:dyDescent="0.35">
      <c r="A64" s="1" t="s">
        <v>149</v>
      </c>
      <c r="B64" s="1" t="s">
        <v>150</v>
      </c>
      <c r="C64" s="1" t="s">
        <v>14</v>
      </c>
      <c r="D64" s="1" t="s">
        <v>15</v>
      </c>
      <c r="E64" s="1" t="s">
        <v>16</v>
      </c>
      <c r="F64" s="1" t="s">
        <v>17</v>
      </c>
      <c r="G64" s="1" t="s">
        <v>26</v>
      </c>
      <c r="H64" s="1">
        <v>13266</v>
      </c>
      <c r="I64" s="1"/>
      <c r="J64" s="1"/>
      <c r="K64" s="1">
        <v>14000</v>
      </c>
      <c r="L64" s="2">
        <v>45312</v>
      </c>
      <c r="M64" s="11">
        <f>IF(OR(I64="",ISNA(MATCH(I64,{"DISC10","DISC15","DISC20","DISC30"},0))),0,J64)</f>
        <v>0</v>
      </c>
    </row>
    <row r="65" spans="1:13" x14ac:dyDescent="0.35">
      <c r="A65" s="1" t="s">
        <v>151</v>
      </c>
      <c r="B65" s="1" t="s">
        <v>101</v>
      </c>
      <c r="C65" s="1" t="s">
        <v>30</v>
      </c>
      <c r="D65" s="1" t="s">
        <v>31</v>
      </c>
      <c r="E65" s="1" t="s">
        <v>16</v>
      </c>
      <c r="F65" s="1" t="s">
        <v>25</v>
      </c>
      <c r="G65" s="1" t="s">
        <v>18</v>
      </c>
      <c r="H65" s="1">
        <v>16722</v>
      </c>
      <c r="I65" s="1"/>
      <c r="J65" s="1"/>
      <c r="K65" s="1">
        <v>17000</v>
      </c>
      <c r="L65" s="2">
        <v>45335</v>
      </c>
      <c r="M65" s="11">
        <f>IF(OR(I65="",ISNA(MATCH(I65,{"DISC10","DISC15","DISC20","DISC30"},0))),0,J65)</f>
        <v>0</v>
      </c>
    </row>
    <row r="66" spans="1:13" x14ac:dyDescent="0.35">
      <c r="A66" s="1" t="s">
        <v>152</v>
      </c>
      <c r="B66" s="1" t="s">
        <v>153</v>
      </c>
      <c r="C66" s="1" t="s">
        <v>30</v>
      </c>
      <c r="D66" s="1" t="s">
        <v>31</v>
      </c>
      <c r="E66" s="1" t="s">
        <v>46</v>
      </c>
      <c r="F66" s="1" t="s">
        <v>39</v>
      </c>
      <c r="G66" s="1" t="s">
        <v>18</v>
      </c>
      <c r="H66" s="1">
        <v>16244</v>
      </c>
      <c r="I66" s="1" t="s">
        <v>33</v>
      </c>
      <c r="J66" s="1">
        <v>0.3</v>
      </c>
      <c r="K66" s="1">
        <v>17000</v>
      </c>
      <c r="L66" s="2">
        <v>45305</v>
      </c>
      <c r="M66" s="11">
        <f>IF(OR(I66="",ISNA(MATCH(I66,{"DISC10","DISC15","DISC20","DISC30"},0))),0,J66)</f>
        <v>0.3</v>
      </c>
    </row>
    <row r="67" spans="1:13" x14ac:dyDescent="0.35">
      <c r="A67" s="1" t="s">
        <v>154</v>
      </c>
      <c r="B67" s="1" t="s">
        <v>155</v>
      </c>
      <c r="C67" s="1" t="s">
        <v>30</v>
      </c>
      <c r="D67" s="1" t="s">
        <v>31</v>
      </c>
      <c r="E67" s="1" t="s">
        <v>46</v>
      </c>
      <c r="F67" s="1" t="s">
        <v>17</v>
      </c>
      <c r="G67" s="1" t="s">
        <v>36</v>
      </c>
      <c r="H67" s="1">
        <v>17767</v>
      </c>
      <c r="I67" s="1" t="s">
        <v>19</v>
      </c>
      <c r="J67" s="1">
        <v>0.2</v>
      </c>
      <c r="K67" s="1">
        <v>17000</v>
      </c>
      <c r="L67" s="2">
        <v>45324</v>
      </c>
      <c r="M67" s="11">
        <f>IF(OR(I67="",ISNA(MATCH(I67,{"DISC10","DISC15","DISC20","DISC30"},0))),0,J67)</f>
        <v>0.2</v>
      </c>
    </row>
    <row r="68" spans="1:13" x14ac:dyDescent="0.35">
      <c r="A68" s="1" t="s">
        <v>156</v>
      </c>
      <c r="B68" s="1" t="s">
        <v>157</v>
      </c>
      <c r="C68" s="1" t="s">
        <v>44</v>
      </c>
      <c r="D68" s="1" t="s">
        <v>45</v>
      </c>
      <c r="E68" s="1" t="s">
        <v>16</v>
      </c>
      <c r="F68" s="1" t="s">
        <v>25</v>
      </c>
      <c r="G68" s="1" t="s">
        <v>36</v>
      </c>
      <c r="H68" s="1">
        <v>13111</v>
      </c>
      <c r="I68" s="1" t="s">
        <v>27</v>
      </c>
      <c r="J68" s="1"/>
      <c r="K68" s="1">
        <v>13000</v>
      </c>
      <c r="L68" s="2">
        <v>45313</v>
      </c>
      <c r="M68" s="11">
        <f>IF(OR(I68="",ISNA(MATCH(I68,{"DISC10","DISC15","DISC20","DISC30"},0))),0,J68)</f>
        <v>0</v>
      </c>
    </row>
    <row r="69" spans="1:13" x14ac:dyDescent="0.35">
      <c r="A69" s="1" t="s">
        <v>158</v>
      </c>
      <c r="B69" s="1" t="s">
        <v>159</v>
      </c>
      <c r="C69" s="1" t="s">
        <v>44</v>
      </c>
      <c r="D69" s="1" t="s">
        <v>45</v>
      </c>
      <c r="E69" s="1" t="s">
        <v>16</v>
      </c>
      <c r="F69" s="1" t="s">
        <v>17</v>
      </c>
      <c r="G69" s="1" t="s">
        <v>18</v>
      </c>
      <c r="H69" s="1">
        <v>14303</v>
      </c>
      <c r="I69" s="1" t="s">
        <v>19</v>
      </c>
      <c r="J69" s="1">
        <v>0.2</v>
      </c>
      <c r="K69" s="1">
        <v>13000</v>
      </c>
      <c r="L69" s="2">
        <v>45301</v>
      </c>
      <c r="M69" s="11">
        <f>IF(OR(I69="",ISNA(MATCH(I69,{"DISC10","DISC15","DISC20","DISC30"},0))),0,J69)</f>
        <v>0.2</v>
      </c>
    </row>
    <row r="70" spans="1:13" x14ac:dyDescent="0.35">
      <c r="A70" s="1" t="s">
        <v>160</v>
      </c>
      <c r="B70" s="1" t="s">
        <v>161</v>
      </c>
      <c r="C70" s="1" t="s">
        <v>44</v>
      </c>
      <c r="D70" s="1" t="s">
        <v>45</v>
      </c>
      <c r="E70" s="1" t="s">
        <v>46</v>
      </c>
      <c r="F70" s="1" t="s">
        <v>39</v>
      </c>
      <c r="G70" s="1" t="s">
        <v>18</v>
      </c>
      <c r="H70" s="1">
        <v>12865</v>
      </c>
      <c r="I70" s="1"/>
      <c r="J70" s="1"/>
      <c r="K70" s="1">
        <v>13000</v>
      </c>
      <c r="L70" s="2">
        <v>45348</v>
      </c>
      <c r="M70" s="11">
        <f>IF(OR(I70="",ISNA(MATCH(I70,{"DISC10","DISC15","DISC20","DISC30"},0))),0,J70)</f>
        <v>0</v>
      </c>
    </row>
    <row r="71" spans="1:13" x14ac:dyDescent="0.35">
      <c r="A71" s="1" t="s">
        <v>162</v>
      </c>
      <c r="B71" s="1" t="s">
        <v>163</v>
      </c>
      <c r="C71" s="1" t="s">
        <v>44</v>
      </c>
      <c r="D71" s="1" t="s">
        <v>45</v>
      </c>
      <c r="E71" s="1" t="s">
        <v>16</v>
      </c>
      <c r="F71" s="1" t="s">
        <v>39</v>
      </c>
      <c r="G71" s="1" t="s">
        <v>36</v>
      </c>
      <c r="H71" s="1">
        <v>13024</v>
      </c>
      <c r="I71" s="1"/>
      <c r="J71" s="1"/>
      <c r="K71" s="1">
        <v>13000</v>
      </c>
      <c r="L71" s="2">
        <v>45307</v>
      </c>
      <c r="M71" s="11">
        <f>IF(OR(I71="",ISNA(MATCH(I71,{"DISC10","DISC15","DISC20","DISC30"},0))),0,J71)</f>
        <v>0</v>
      </c>
    </row>
    <row r="72" spans="1:13" x14ac:dyDescent="0.35">
      <c r="A72" s="1" t="s">
        <v>164</v>
      </c>
      <c r="B72" s="1" t="s">
        <v>113</v>
      </c>
      <c r="C72" s="1" t="s">
        <v>14</v>
      </c>
      <c r="D72" s="1" t="s">
        <v>15</v>
      </c>
      <c r="E72" s="1" t="s">
        <v>32</v>
      </c>
      <c r="F72" s="1" t="s">
        <v>17</v>
      </c>
      <c r="G72" s="1" t="s">
        <v>18</v>
      </c>
      <c r="H72" s="1">
        <v>12720</v>
      </c>
      <c r="I72" s="1" t="s">
        <v>27</v>
      </c>
      <c r="J72" s="1"/>
      <c r="K72" s="1">
        <v>14000</v>
      </c>
      <c r="L72" s="2">
        <v>45321</v>
      </c>
      <c r="M72" s="11">
        <f>IF(OR(I72="",ISNA(MATCH(I72,{"DISC10","DISC15","DISC20","DISC30"},0))),0,J72)</f>
        <v>0</v>
      </c>
    </row>
    <row r="73" spans="1:13" x14ac:dyDescent="0.35">
      <c r="A73" s="1" t="s">
        <v>165</v>
      </c>
      <c r="B73" s="1" t="s">
        <v>166</v>
      </c>
      <c r="C73" s="1" t="s">
        <v>44</v>
      </c>
      <c r="D73" s="1" t="s">
        <v>45</v>
      </c>
      <c r="E73" s="1" t="s">
        <v>32</v>
      </c>
      <c r="F73" s="1" t="s">
        <v>17</v>
      </c>
      <c r="G73" s="1" t="s">
        <v>18</v>
      </c>
      <c r="H73" s="1">
        <v>14282</v>
      </c>
      <c r="I73" s="1"/>
      <c r="J73" s="1"/>
      <c r="K73" s="1">
        <v>13000</v>
      </c>
      <c r="L73" s="2">
        <v>45334</v>
      </c>
      <c r="M73" s="11">
        <f>IF(OR(I73="",ISNA(MATCH(I73,{"DISC10","DISC15","DISC20","DISC30"},0))),0,J73)</f>
        <v>0</v>
      </c>
    </row>
    <row r="74" spans="1:13" x14ac:dyDescent="0.35">
      <c r="A74" s="1" t="s">
        <v>167</v>
      </c>
      <c r="B74" s="1" t="s">
        <v>168</v>
      </c>
      <c r="C74" s="1" t="s">
        <v>30</v>
      </c>
      <c r="D74" s="1" t="s">
        <v>31</v>
      </c>
      <c r="E74" s="1" t="s">
        <v>46</v>
      </c>
      <c r="F74" s="1" t="s">
        <v>39</v>
      </c>
      <c r="G74" s="1" t="s">
        <v>26</v>
      </c>
      <c r="H74" s="1">
        <v>18653</v>
      </c>
      <c r="I74" s="1" t="s">
        <v>27</v>
      </c>
      <c r="J74" s="1"/>
      <c r="K74" s="1">
        <v>17000</v>
      </c>
      <c r="L74" s="2">
        <v>45319</v>
      </c>
      <c r="M74" s="11">
        <f>IF(OR(I74="",ISNA(MATCH(I74,{"DISC10","DISC15","DISC20","DISC30"},0))),0,J74)</f>
        <v>0</v>
      </c>
    </row>
    <row r="75" spans="1:13" x14ac:dyDescent="0.35">
      <c r="A75" s="1" t="s">
        <v>169</v>
      </c>
      <c r="B75" s="1" t="s">
        <v>144</v>
      </c>
      <c r="C75" s="1" t="s">
        <v>61</v>
      </c>
      <c r="D75" s="1" t="s">
        <v>62</v>
      </c>
      <c r="E75" s="1" t="s">
        <v>32</v>
      </c>
      <c r="F75" s="1" t="s">
        <v>39</v>
      </c>
      <c r="G75" s="1" t="s">
        <v>36</v>
      </c>
      <c r="H75" s="1">
        <v>8843</v>
      </c>
      <c r="I75" s="1" t="s">
        <v>33</v>
      </c>
      <c r="J75" s="1">
        <v>0.3</v>
      </c>
      <c r="K75" s="1">
        <v>9000</v>
      </c>
      <c r="L75" s="2">
        <v>45340</v>
      </c>
      <c r="M75" s="11">
        <f>IF(OR(I75="",ISNA(MATCH(I75,{"DISC10","DISC15","DISC20","DISC30"},0))),0,J75)</f>
        <v>0.3</v>
      </c>
    </row>
    <row r="76" spans="1:13" x14ac:dyDescent="0.35">
      <c r="A76" s="1" t="s">
        <v>170</v>
      </c>
      <c r="B76" s="1" t="s">
        <v>171</v>
      </c>
      <c r="C76" s="1" t="s">
        <v>30</v>
      </c>
      <c r="D76" s="1" t="s">
        <v>31</v>
      </c>
      <c r="E76" s="1" t="s">
        <v>16</v>
      </c>
      <c r="F76" s="1" t="s">
        <v>17</v>
      </c>
      <c r="G76" s="1" t="s">
        <v>26</v>
      </c>
      <c r="H76" s="1">
        <v>15979</v>
      </c>
      <c r="I76" s="1" t="s">
        <v>33</v>
      </c>
      <c r="J76" s="1">
        <v>0.3</v>
      </c>
      <c r="K76" s="1">
        <v>17000</v>
      </c>
      <c r="L76" s="2">
        <v>45320</v>
      </c>
      <c r="M76" s="11">
        <f>IF(OR(I76="",ISNA(MATCH(I76,{"DISC10","DISC15","DISC20","DISC30"},0))),0,J76)</f>
        <v>0.3</v>
      </c>
    </row>
    <row r="77" spans="1:13" x14ac:dyDescent="0.35">
      <c r="A77" s="1" t="s">
        <v>172</v>
      </c>
      <c r="B77" s="1" t="s">
        <v>173</v>
      </c>
      <c r="C77" s="1" t="s">
        <v>30</v>
      </c>
      <c r="D77" s="1" t="s">
        <v>31</v>
      </c>
      <c r="E77" s="1" t="s">
        <v>32</v>
      </c>
      <c r="F77" s="1" t="s">
        <v>17</v>
      </c>
      <c r="G77" s="1" t="s">
        <v>36</v>
      </c>
      <c r="H77" s="1">
        <v>16309</v>
      </c>
      <c r="I77" s="1" t="s">
        <v>27</v>
      </c>
      <c r="J77" s="1"/>
      <c r="K77" s="1">
        <v>17000</v>
      </c>
      <c r="L77" s="2">
        <v>45297</v>
      </c>
      <c r="M77" s="11">
        <f>IF(OR(I77="",ISNA(MATCH(I77,{"DISC10","DISC15","DISC20","DISC30"},0))),0,J77)</f>
        <v>0</v>
      </c>
    </row>
    <row r="78" spans="1:13" x14ac:dyDescent="0.35">
      <c r="A78" s="1" t="s">
        <v>174</v>
      </c>
      <c r="B78" s="1" t="s">
        <v>175</v>
      </c>
      <c r="C78" s="1" t="s">
        <v>44</v>
      </c>
      <c r="D78" s="1" t="s">
        <v>45</v>
      </c>
      <c r="E78" s="1" t="s">
        <v>46</v>
      </c>
      <c r="F78" s="1" t="s">
        <v>39</v>
      </c>
      <c r="G78" s="1" t="s">
        <v>18</v>
      </c>
      <c r="H78" s="1">
        <v>13893</v>
      </c>
      <c r="I78" s="1" t="s">
        <v>19</v>
      </c>
      <c r="J78" s="1">
        <v>0.2</v>
      </c>
      <c r="K78" s="1">
        <v>13000</v>
      </c>
      <c r="L78" s="2">
        <v>45296</v>
      </c>
      <c r="M78" s="11">
        <f>IF(OR(I78="",ISNA(MATCH(I78,{"DISC10","DISC15","DISC20","DISC30"},0))),0,J78)</f>
        <v>0.2</v>
      </c>
    </row>
    <row r="79" spans="1:13" x14ac:dyDescent="0.35">
      <c r="A79" s="1" t="s">
        <v>176</v>
      </c>
      <c r="B79" s="1" t="s">
        <v>177</v>
      </c>
      <c r="C79" s="1" t="s">
        <v>30</v>
      </c>
      <c r="D79" s="1" t="s">
        <v>31</v>
      </c>
      <c r="E79" s="1" t="s">
        <v>16</v>
      </c>
      <c r="F79" s="1" t="s">
        <v>17</v>
      </c>
      <c r="G79" s="1" t="s">
        <v>36</v>
      </c>
      <c r="H79" s="1">
        <v>15255</v>
      </c>
      <c r="I79" s="1" t="s">
        <v>19</v>
      </c>
      <c r="J79" s="1">
        <v>0.2</v>
      </c>
      <c r="K79" s="1">
        <v>17000</v>
      </c>
      <c r="L79" s="2">
        <v>45345</v>
      </c>
      <c r="M79" s="11">
        <f>IF(OR(I79="",ISNA(MATCH(I79,{"DISC10","DISC15","DISC20","DISC30"},0))),0,J79)</f>
        <v>0.2</v>
      </c>
    </row>
    <row r="80" spans="1:13" x14ac:dyDescent="0.35">
      <c r="A80" s="1" t="s">
        <v>178</v>
      </c>
      <c r="B80" s="1" t="s">
        <v>177</v>
      </c>
      <c r="C80" s="1" t="s">
        <v>14</v>
      </c>
      <c r="D80" s="1" t="s">
        <v>15</v>
      </c>
      <c r="E80" s="1" t="s">
        <v>16</v>
      </c>
      <c r="F80" s="1" t="s">
        <v>17</v>
      </c>
      <c r="G80" s="1" t="s">
        <v>36</v>
      </c>
      <c r="H80" s="1">
        <v>12024</v>
      </c>
      <c r="I80" s="1" t="s">
        <v>33</v>
      </c>
      <c r="J80" s="1">
        <v>0.3</v>
      </c>
      <c r="K80" s="1">
        <v>14000</v>
      </c>
      <c r="L80" s="2">
        <v>45311</v>
      </c>
      <c r="M80" s="11">
        <f>IF(OR(I80="",ISNA(MATCH(I80,{"DISC10","DISC15","DISC20","DISC30"},0))),0,J80)</f>
        <v>0.3</v>
      </c>
    </row>
    <row r="81" spans="1:13" x14ac:dyDescent="0.35">
      <c r="A81" s="1" t="s">
        <v>179</v>
      </c>
      <c r="B81" s="1" t="s">
        <v>180</v>
      </c>
      <c r="C81" s="1" t="s">
        <v>61</v>
      </c>
      <c r="D81" s="1" t="s">
        <v>62</v>
      </c>
      <c r="E81" s="1" t="s">
        <v>16</v>
      </c>
      <c r="F81" s="1" t="s">
        <v>39</v>
      </c>
      <c r="G81" s="1" t="s">
        <v>26</v>
      </c>
      <c r="H81" s="1">
        <v>9236</v>
      </c>
      <c r="I81" s="1" t="s">
        <v>27</v>
      </c>
      <c r="J81" s="1"/>
      <c r="K81" s="1">
        <v>9000</v>
      </c>
      <c r="L81" s="2">
        <v>45349</v>
      </c>
      <c r="M81" s="11">
        <f>IF(OR(I81="",ISNA(MATCH(I81,{"DISC10","DISC15","DISC20","DISC30"},0))),0,J81)</f>
        <v>0</v>
      </c>
    </row>
    <row r="82" spans="1:13" x14ac:dyDescent="0.35">
      <c r="A82" s="1" t="s">
        <v>181</v>
      </c>
      <c r="B82" s="1" t="s">
        <v>29</v>
      </c>
      <c r="C82" s="1" t="s">
        <v>44</v>
      </c>
      <c r="D82" s="1" t="s">
        <v>45</v>
      </c>
      <c r="E82" s="1" t="s">
        <v>46</v>
      </c>
      <c r="F82" s="1" t="s">
        <v>17</v>
      </c>
      <c r="G82" s="1" t="s">
        <v>36</v>
      </c>
      <c r="H82" s="1">
        <v>11118</v>
      </c>
      <c r="I82" s="1"/>
      <c r="J82" s="1"/>
      <c r="K82" s="1">
        <v>13000</v>
      </c>
      <c r="L82" s="2">
        <v>45313</v>
      </c>
      <c r="M82" s="11">
        <f>IF(OR(I82="",ISNA(MATCH(I82,{"DISC10","DISC15","DISC20","DISC30"},0))),0,J82)</f>
        <v>0</v>
      </c>
    </row>
    <row r="83" spans="1:13" x14ac:dyDescent="0.35">
      <c r="A83" s="1" t="s">
        <v>182</v>
      </c>
      <c r="B83" s="1" t="s">
        <v>92</v>
      </c>
      <c r="C83" s="1" t="s">
        <v>61</v>
      </c>
      <c r="D83" s="1" t="s">
        <v>62</v>
      </c>
      <c r="E83" s="1" t="s">
        <v>16</v>
      </c>
      <c r="F83" s="1" t="s">
        <v>25</v>
      </c>
      <c r="G83" s="1" t="s">
        <v>36</v>
      </c>
      <c r="H83" s="1">
        <v>10766</v>
      </c>
      <c r="I83" s="1" t="s">
        <v>19</v>
      </c>
      <c r="J83" s="1">
        <v>0.2</v>
      </c>
      <c r="K83" s="1">
        <v>9000</v>
      </c>
      <c r="L83" s="2">
        <v>45331</v>
      </c>
      <c r="M83" s="11">
        <f>IF(OR(I83="",ISNA(MATCH(I83,{"DISC10","DISC15","DISC20","DISC30"},0))),0,J83)</f>
        <v>0.2</v>
      </c>
    </row>
    <row r="84" spans="1:13" x14ac:dyDescent="0.35">
      <c r="A84" s="1" t="s">
        <v>183</v>
      </c>
      <c r="B84" s="1" t="s">
        <v>184</v>
      </c>
      <c r="C84" s="1" t="s">
        <v>61</v>
      </c>
      <c r="D84" s="1" t="s">
        <v>62</v>
      </c>
      <c r="E84" s="1" t="s">
        <v>16</v>
      </c>
      <c r="F84" s="1" t="s">
        <v>39</v>
      </c>
      <c r="G84" s="1" t="s">
        <v>26</v>
      </c>
      <c r="H84" s="1">
        <v>7111</v>
      </c>
      <c r="I84" s="1" t="s">
        <v>22</v>
      </c>
      <c r="J84" s="1">
        <v>0.1</v>
      </c>
      <c r="K84" s="1">
        <v>9000</v>
      </c>
      <c r="L84" s="2">
        <v>45333</v>
      </c>
      <c r="M84" s="11">
        <f>IF(OR(I84="",ISNA(MATCH(I84,{"DISC10","DISC15","DISC20","DISC30"},0))),0,J84)</f>
        <v>0.1</v>
      </c>
    </row>
    <row r="85" spans="1:13" x14ac:dyDescent="0.35">
      <c r="A85" s="1" t="s">
        <v>185</v>
      </c>
      <c r="B85" s="1" t="s">
        <v>186</v>
      </c>
      <c r="C85" s="1" t="s">
        <v>61</v>
      </c>
      <c r="D85" s="1" t="s">
        <v>62</v>
      </c>
      <c r="E85" s="1" t="s">
        <v>32</v>
      </c>
      <c r="F85" s="1" t="s">
        <v>25</v>
      </c>
      <c r="G85" s="1" t="s">
        <v>36</v>
      </c>
      <c r="H85" s="1">
        <v>8552</v>
      </c>
      <c r="I85" s="1" t="s">
        <v>33</v>
      </c>
      <c r="J85" s="1">
        <v>0.3</v>
      </c>
      <c r="K85" s="1">
        <v>9000</v>
      </c>
      <c r="L85" s="2">
        <v>45305</v>
      </c>
      <c r="M85" s="11">
        <f>IF(OR(I85="",ISNA(MATCH(I85,{"DISC10","DISC15","DISC20","DISC30"},0))),0,J85)</f>
        <v>0.3</v>
      </c>
    </row>
    <row r="86" spans="1:13" x14ac:dyDescent="0.35">
      <c r="A86" s="1" t="s">
        <v>187</v>
      </c>
      <c r="B86" s="1" t="s">
        <v>188</v>
      </c>
      <c r="C86" s="1" t="s">
        <v>30</v>
      </c>
      <c r="D86" s="1" t="s">
        <v>31</v>
      </c>
      <c r="E86" s="1" t="s">
        <v>46</v>
      </c>
      <c r="F86" s="1" t="s">
        <v>17</v>
      </c>
      <c r="G86" s="1" t="s">
        <v>36</v>
      </c>
      <c r="H86" s="1">
        <v>16033</v>
      </c>
      <c r="I86" s="1" t="s">
        <v>22</v>
      </c>
      <c r="J86" s="1">
        <v>0.1</v>
      </c>
      <c r="K86" s="1">
        <v>17000</v>
      </c>
      <c r="L86" s="2">
        <v>45322</v>
      </c>
      <c r="M86" s="11">
        <f>IF(OR(I86="",ISNA(MATCH(I86,{"DISC10","DISC15","DISC20","DISC30"},0))),0,J86)</f>
        <v>0.1</v>
      </c>
    </row>
    <row r="87" spans="1:13" x14ac:dyDescent="0.35">
      <c r="A87" s="1" t="s">
        <v>189</v>
      </c>
      <c r="B87" s="1" t="s">
        <v>190</v>
      </c>
      <c r="C87" s="1" t="s">
        <v>14</v>
      </c>
      <c r="D87" s="1" t="s">
        <v>15</v>
      </c>
      <c r="E87" s="1" t="s">
        <v>46</v>
      </c>
      <c r="F87" s="1" t="s">
        <v>25</v>
      </c>
      <c r="G87" s="1" t="s">
        <v>26</v>
      </c>
      <c r="H87" s="1">
        <v>12281</v>
      </c>
      <c r="I87" s="1" t="s">
        <v>22</v>
      </c>
      <c r="J87" s="1">
        <v>0.1</v>
      </c>
      <c r="K87" s="1">
        <v>14000</v>
      </c>
      <c r="L87" s="2">
        <v>45340</v>
      </c>
      <c r="M87" s="11">
        <f>IF(OR(I87="",ISNA(MATCH(I87,{"DISC10","DISC15","DISC20","DISC30"},0))),0,J87)</f>
        <v>0.1</v>
      </c>
    </row>
    <row r="88" spans="1:13" x14ac:dyDescent="0.35">
      <c r="A88" s="1" t="s">
        <v>191</v>
      </c>
      <c r="B88" s="1" t="s">
        <v>192</v>
      </c>
      <c r="C88" s="1" t="s">
        <v>44</v>
      </c>
      <c r="D88" s="1" t="s">
        <v>45</v>
      </c>
      <c r="E88" s="1" t="s">
        <v>32</v>
      </c>
      <c r="F88" s="1" t="s">
        <v>39</v>
      </c>
      <c r="G88" s="1" t="s">
        <v>18</v>
      </c>
      <c r="H88" s="1">
        <v>11977</v>
      </c>
      <c r="I88" s="1" t="s">
        <v>19</v>
      </c>
      <c r="J88" s="1">
        <v>0.2</v>
      </c>
      <c r="K88" s="1">
        <v>13000</v>
      </c>
      <c r="L88" s="2">
        <v>45322</v>
      </c>
      <c r="M88" s="11">
        <f>IF(OR(I88="",ISNA(MATCH(I88,{"DISC10","DISC15","DISC20","DISC30"},0))),0,J88)</f>
        <v>0.2</v>
      </c>
    </row>
    <row r="89" spans="1:13" x14ac:dyDescent="0.35">
      <c r="A89" s="1" t="s">
        <v>193</v>
      </c>
      <c r="B89" s="1" t="s">
        <v>13</v>
      </c>
      <c r="C89" s="1" t="s">
        <v>44</v>
      </c>
      <c r="D89" s="1" t="s">
        <v>45</v>
      </c>
      <c r="E89" s="1" t="s">
        <v>46</v>
      </c>
      <c r="F89" s="1" t="s">
        <v>39</v>
      </c>
      <c r="G89" s="1" t="s">
        <v>36</v>
      </c>
      <c r="H89" s="1">
        <v>14141</v>
      </c>
      <c r="I89" s="1" t="s">
        <v>33</v>
      </c>
      <c r="J89" s="1">
        <v>0.3</v>
      </c>
      <c r="K89" s="1">
        <v>13000</v>
      </c>
      <c r="L89" s="2">
        <v>45302</v>
      </c>
      <c r="M89" s="11">
        <f>IF(OR(I89="",ISNA(MATCH(I89,{"DISC10","DISC15","DISC20","DISC30"},0))),0,J89)</f>
        <v>0.3</v>
      </c>
    </row>
    <row r="90" spans="1:13" x14ac:dyDescent="0.35">
      <c r="A90" s="1" t="s">
        <v>194</v>
      </c>
      <c r="B90" s="1" t="s">
        <v>195</v>
      </c>
      <c r="C90" s="1" t="s">
        <v>14</v>
      </c>
      <c r="D90" s="1" t="s">
        <v>15</v>
      </c>
      <c r="E90" s="1" t="s">
        <v>32</v>
      </c>
      <c r="F90" s="1" t="s">
        <v>17</v>
      </c>
      <c r="G90" s="1" t="s">
        <v>18</v>
      </c>
      <c r="H90" s="1">
        <v>14370</v>
      </c>
      <c r="I90" s="1" t="s">
        <v>22</v>
      </c>
      <c r="J90" s="1">
        <v>0.1</v>
      </c>
      <c r="K90" s="1">
        <v>14000</v>
      </c>
      <c r="L90" s="2">
        <v>45351</v>
      </c>
      <c r="M90" s="11">
        <f>IF(OR(I90="",ISNA(MATCH(I90,{"DISC10","DISC15","DISC20","DISC30"},0))),0,J90)</f>
        <v>0.1</v>
      </c>
    </row>
    <row r="91" spans="1:13" x14ac:dyDescent="0.35">
      <c r="A91" s="1" t="s">
        <v>196</v>
      </c>
      <c r="B91" s="1" t="s">
        <v>118</v>
      </c>
      <c r="C91" s="1" t="s">
        <v>61</v>
      </c>
      <c r="D91" s="1" t="s">
        <v>62</v>
      </c>
      <c r="E91" s="1" t="s">
        <v>46</v>
      </c>
      <c r="F91" s="1" t="s">
        <v>39</v>
      </c>
      <c r="G91" s="1" t="s">
        <v>18</v>
      </c>
      <c r="H91" s="1">
        <v>7311</v>
      </c>
      <c r="I91" s="1" t="s">
        <v>27</v>
      </c>
      <c r="J91" s="1"/>
      <c r="K91" s="1">
        <v>9000</v>
      </c>
      <c r="L91" s="2">
        <v>45336</v>
      </c>
      <c r="M91" s="11">
        <f>IF(OR(I91="",ISNA(MATCH(I91,{"DISC10","DISC15","DISC20","DISC30"},0))),0,J91)</f>
        <v>0</v>
      </c>
    </row>
    <row r="92" spans="1:13" x14ac:dyDescent="0.35">
      <c r="A92" s="1" t="s">
        <v>197</v>
      </c>
      <c r="B92" s="1" t="s">
        <v>198</v>
      </c>
      <c r="C92" s="1" t="s">
        <v>44</v>
      </c>
      <c r="D92" s="1" t="s">
        <v>45</v>
      </c>
      <c r="E92" s="1" t="s">
        <v>32</v>
      </c>
      <c r="F92" s="1" t="s">
        <v>39</v>
      </c>
      <c r="G92" s="1" t="s">
        <v>36</v>
      </c>
      <c r="H92" s="1">
        <v>14482</v>
      </c>
      <c r="I92" s="1" t="s">
        <v>27</v>
      </c>
      <c r="J92" s="1"/>
      <c r="K92" s="1">
        <v>13000</v>
      </c>
      <c r="L92" s="2">
        <v>45343</v>
      </c>
      <c r="M92" s="11">
        <f>IF(OR(I92="",ISNA(MATCH(I92,{"DISC10","DISC15","DISC20","DISC30"},0))),0,J92)</f>
        <v>0</v>
      </c>
    </row>
    <row r="93" spans="1:13" x14ac:dyDescent="0.35">
      <c r="A93" s="1" t="s">
        <v>199</v>
      </c>
      <c r="B93" s="1" t="s">
        <v>200</v>
      </c>
      <c r="C93" s="1" t="s">
        <v>14</v>
      </c>
      <c r="D93" s="1" t="s">
        <v>15</v>
      </c>
      <c r="E93" s="1" t="s">
        <v>46</v>
      </c>
      <c r="F93" s="1" t="s">
        <v>39</v>
      </c>
      <c r="G93" s="1" t="s">
        <v>36</v>
      </c>
      <c r="H93" s="1">
        <v>14709</v>
      </c>
      <c r="I93" s="1" t="s">
        <v>33</v>
      </c>
      <c r="J93" s="1">
        <v>0.3</v>
      </c>
      <c r="K93" s="1">
        <v>14000</v>
      </c>
      <c r="L93" s="2">
        <v>45296</v>
      </c>
      <c r="M93" s="11">
        <f>IF(OR(I93="",ISNA(MATCH(I93,{"DISC10","DISC15","DISC20","DISC30"},0))),0,J93)</f>
        <v>0.3</v>
      </c>
    </row>
    <row r="94" spans="1:13" x14ac:dyDescent="0.35">
      <c r="A94" s="1" t="s">
        <v>201</v>
      </c>
      <c r="B94" s="1" t="s">
        <v>202</v>
      </c>
      <c r="C94" s="1" t="s">
        <v>30</v>
      </c>
      <c r="D94" s="1" t="s">
        <v>31</v>
      </c>
      <c r="E94" s="1" t="s">
        <v>32</v>
      </c>
      <c r="F94" s="1" t="s">
        <v>17</v>
      </c>
      <c r="G94" s="1" t="s">
        <v>36</v>
      </c>
      <c r="H94" s="1">
        <v>15432</v>
      </c>
      <c r="I94" s="1"/>
      <c r="J94" s="1"/>
      <c r="K94" s="1">
        <v>17000</v>
      </c>
      <c r="L94" s="2">
        <v>45315</v>
      </c>
      <c r="M94" s="11">
        <f>IF(OR(I94="",ISNA(MATCH(I94,{"DISC10","DISC15","DISC20","DISC30"},0))),0,J94)</f>
        <v>0</v>
      </c>
    </row>
    <row r="95" spans="1:13" x14ac:dyDescent="0.35">
      <c r="A95" s="1" t="s">
        <v>203</v>
      </c>
      <c r="B95" s="1" t="s">
        <v>204</v>
      </c>
      <c r="C95" s="1" t="s">
        <v>61</v>
      </c>
      <c r="D95" s="1" t="s">
        <v>62</v>
      </c>
      <c r="E95" s="1" t="s">
        <v>16</v>
      </c>
      <c r="F95" s="1" t="s">
        <v>25</v>
      </c>
      <c r="G95" s="1" t="s">
        <v>36</v>
      </c>
      <c r="H95" s="1">
        <v>7721</v>
      </c>
      <c r="I95" s="1" t="s">
        <v>27</v>
      </c>
      <c r="J95" s="1"/>
      <c r="K95" s="1">
        <v>9000</v>
      </c>
      <c r="L95" s="2">
        <v>45333</v>
      </c>
      <c r="M95" s="11">
        <f>IF(OR(I95="",ISNA(MATCH(I95,{"DISC10","DISC15","DISC20","DISC30"},0))),0,J95)</f>
        <v>0</v>
      </c>
    </row>
    <row r="96" spans="1:13" x14ac:dyDescent="0.35">
      <c r="A96" s="1" t="s">
        <v>205</v>
      </c>
      <c r="B96" s="1" t="s">
        <v>118</v>
      </c>
      <c r="C96" s="1" t="s">
        <v>61</v>
      </c>
      <c r="D96" s="1" t="s">
        <v>62</v>
      </c>
      <c r="E96" s="1" t="s">
        <v>46</v>
      </c>
      <c r="F96" s="1" t="s">
        <v>17</v>
      </c>
      <c r="G96" s="1" t="s">
        <v>26</v>
      </c>
      <c r="H96" s="1">
        <v>9426</v>
      </c>
      <c r="I96" s="1" t="s">
        <v>33</v>
      </c>
      <c r="J96" s="1">
        <v>0.3</v>
      </c>
      <c r="K96" s="1">
        <v>9000</v>
      </c>
      <c r="L96" s="2">
        <v>45312</v>
      </c>
      <c r="M96" s="11">
        <f>IF(OR(I96="",ISNA(MATCH(I96,{"DISC10","DISC15","DISC20","DISC30"},0))),0,J96)</f>
        <v>0.3</v>
      </c>
    </row>
    <row r="97" spans="1:13" x14ac:dyDescent="0.35">
      <c r="A97" s="1" t="s">
        <v>206</v>
      </c>
      <c r="B97" s="1" t="s">
        <v>207</v>
      </c>
      <c r="C97" s="1" t="s">
        <v>14</v>
      </c>
      <c r="D97" s="1" t="s">
        <v>15</v>
      </c>
      <c r="E97" s="1" t="s">
        <v>46</v>
      </c>
      <c r="F97" s="1" t="s">
        <v>17</v>
      </c>
      <c r="G97" s="1" t="s">
        <v>18</v>
      </c>
      <c r="H97" s="1">
        <v>15073</v>
      </c>
      <c r="I97" s="1"/>
      <c r="J97" s="1"/>
      <c r="K97" s="1">
        <v>14000</v>
      </c>
      <c r="L97" s="2">
        <v>45328</v>
      </c>
      <c r="M97" s="11">
        <f>IF(OR(I97="",ISNA(MATCH(I97,{"DISC10","DISC15","DISC20","DISC30"},0))),0,J97)</f>
        <v>0</v>
      </c>
    </row>
    <row r="98" spans="1:13" x14ac:dyDescent="0.35">
      <c r="A98" s="1" t="s">
        <v>208</v>
      </c>
      <c r="B98" s="1" t="s">
        <v>209</v>
      </c>
      <c r="C98" s="1" t="s">
        <v>61</v>
      </c>
      <c r="D98" s="1" t="s">
        <v>62</v>
      </c>
      <c r="E98" s="1" t="s">
        <v>46</v>
      </c>
      <c r="F98" s="1" t="s">
        <v>25</v>
      </c>
      <c r="G98" s="1" t="s">
        <v>36</v>
      </c>
      <c r="H98" s="1">
        <v>10485</v>
      </c>
      <c r="I98" s="1" t="s">
        <v>33</v>
      </c>
      <c r="J98" s="1">
        <v>0.3</v>
      </c>
      <c r="K98" s="1">
        <v>9000</v>
      </c>
      <c r="L98" s="2">
        <v>45303</v>
      </c>
      <c r="M98" s="11">
        <f>IF(OR(I98="",ISNA(MATCH(I98,{"DISC10","DISC15","DISC20","DISC30"},0))),0,J98)</f>
        <v>0.3</v>
      </c>
    </row>
    <row r="99" spans="1:13" x14ac:dyDescent="0.35">
      <c r="A99" s="1" t="s">
        <v>210</v>
      </c>
      <c r="B99" s="1" t="s">
        <v>211</v>
      </c>
      <c r="C99" s="1" t="s">
        <v>30</v>
      </c>
      <c r="D99" s="1" t="s">
        <v>31</v>
      </c>
      <c r="E99" s="1" t="s">
        <v>46</v>
      </c>
      <c r="F99" s="1" t="s">
        <v>17</v>
      </c>
      <c r="G99" s="1" t="s">
        <v>36</v>
      </c>
      <c r="H99" s="1">
        <v>18605</v>
      </c>
      <c r="I99" s="1" t="s">
        <v>27</v>
      </c>
      <c r="J99" s="1"/>
      <c r="K99" s="1">
        <v>17000</v>
      </c>
      <c r="L99" s="2">
        <v>45336</v>
      </c>
      <c r="M99" s="11">
        <f>IF(OR(I99="",ISNA(MATCH(I99,{"DISC10","DISC15","DISC20","DISC30"},0))),0,J99)</f>
        <v>0</v>
      </c>
    </row>
    <row r="100" spans="1:13" x14ac:dyDescent="0.35">
      <c r="A100" s="1" t="s">
        <v>212</v>
      </c>
      <c r="B100" s="1" t="s">
        <v>111</v>
      </c>
      <c r="C100" s="1" t="s">
        <v>14</v>
      </c>
      <c r="D100" s="1" t="s">
        <v>15</v>
      </c>
      <c r="E100" s="1" t="s">
        <v>16</v>
      </c>
      <c r="F100" s="1" t="s">
        <v>25</v>
      </c>
      <c r="G100" s="1" t="s">
        <v>18</v>
      </c>
      <c r="H100" s="1">
        <v>12988</v>
      </c>
      <c r="I100" s="1"/>
      <c r="J100" s="1"/>
      <c r="K100" s="1">
        <v>14000</v>
      </c>
      <c r="L100" s="2">
        <v>45323</v>
      </c>
      <c r="M100" s="11">
        <f>IF(OR(I100="",ISNA(MATCH(I100,{"DISC10","DISC15","DISC20","DISC30"},0))),0,J100)</f>
        <v>0</v>
      </c>
    </row>
    <row r="101" spans="1:13" x14ac:dyDescent="0.35">
      <c r="A101" s="1" t="s">
        <v>213</v>
      </c>
      <c r="B101" s="1" t="s">
        <v>82</v>
      </c>
      <c r="C101" s="1" t="s">
        <v>44</v>
      </c>
      <c r="D101" s="1" t="s">
        <v>45</v>
      </c>
      <c r="E101" s="1" t="s">
        <v>16</v>
      </c>
      <c r="F101" s="1" t="s">
        <v>17</v>
      </c>
      <c r="G101" s="1" t="s">
        <v>26</v>
      </c>
      <c r="H101" s="1">
        <v>13915</v>
      </c>
      <c r="I101" s="1"/>
      <c r="J101" s="1"/>
      <c r="K101" s="1">
        <v>13000</v>
      </c>
      <c r="L101" s="2">
        <v>45320</v>
      </c>
      <c r="M101" s="11">
        <f>IF(OR(I101="",ISNA(MATCH(I101,{"DISC10","DISC15","DISC20","DISC30"},0))),0,J101)</f>
        <v>0</v>
      </c>
    </row>
    <row r="102" spans="1:13" x14ac:dyDescent="0.35">
      <c r="A102" s="1" t="s">
        <v>214</v>
      </c>
      <c r="B102" s="1" t="s">
        <v>64</v>
      </c>
      <c r="C102" s="1" t="s">
        <v>14</v>
      </c>
      <c r="D102" s="1" t="s">
        <v>15</v>
      </c>
      <c r="E102" s="1" t="s">
        <v>46</v>
      </c>
      <c r="F102" s="1" t="s">
        <v>25</v>
      </c>
      <c r="G102" s="1" t="s">
        <v>36</v>
      </c>
      <c r="H102" s="1">
        <v>14833</v>
      </c>
      <c r="I102" s="1" t="s">
        <v>19</v>
      </c>
      <c r="J102" s="1">
        <v>0.2</v>
      </c>
      <c r="K102" s="1">
        <v>14000</v>
      </c>
      <c r="L102" s="2">
        <v>45311</v>
      </c>
      <c r="M102" s="11">
        <f>IF(OR(I102="",ISNA(MATCH(I102,{"DISC10","DISC15","DISC20","DISC30"},0))),0,J102)</f>
        <v>0.2</v>
      </c>
    </row>
    <row r="103" spans="1:13" x14ac:dyDescent="0.35">
      <c r="A103" s="1" t="s">
        <v>215</v>
      </c>
      <c r="B103" s="1" t="s">
        <v>163</v>
      </c>
      <c r="C103" s="1" t="s">
        <v>30</v>
      </c>
      <c r="D103" s="1" t="s">
        <v>31</v>
      </c>
      <c r="E103" s="1" t="s">
        <v>46</v>
      </c>
      <c r="F103" s="1" t="s">
        <v>39</v>
      </c>
      <c r="G103" s="1" t="s">
        <v>26</v>
      </c>
      <c r="H103" s="1">
        <v>16408</v>
      </c>
      <c r="I103" s="1"/>
      <c r="J103" s="1"/>
      <c r="K103" s="1">
        <v>17000</v>
      </c>
      <c r="L103" s="2">
        <v>45339</v>
      </c>
      <c r="M103" s="11">
        <f>IF(OR(I103="",ISNA(MATCH(I103,{"DISC10","DISC15","DISC20","DISC30"},0))),0,J103)</f>
        <v>0</v>
      </c>
    </row>
    <row r="104" spans="1:13" x14ac:dyDescent="0.35">
      <c r="A104" s="1" t="s">
        <v>216</v>
      </c>
      <c r="B104" s="1" t="s">
        <v>217</v>
      </c>
      <c r="C104" s="1" t="s">
        <v>30</v>
      </c>
      <c r="D104" s="1" t="s">
        <v>31</v>
      </c>
      <c r="E104" s="1" t="s">
        <v>16</v>
      </c>
      <c r="F104" s="1" t="s">
        <v>17</v>
      </c>
      <c r="G104" s="1" t="s">
        <v>36</v>
      </c>
      <c r="H104" s="1">
        <v>16255</v>
      </c>
      <c r="I104" s="1" t="s">
        <v>33</v>
      </c>
      <c r="J104" s="1">
        <v>0.3</v>
      </c>
      <c r="K104" s="1">
        <v>17000</v>
      </c>
      <c r="L104" s="2">
        <v>45306</v>
      </c>
      <c r="M104" s="11">
        <f>IF(OR(I104="",ISNA(MATCH(I104,{"DISC10","DISC15","DISC20","DISC30"},0))),0,J104)</f>
        <v>0.3</v>
      </c>
    </row>
    <row r="105" spans="1:13" x14ac:dyDescent="0.35">
      <c r="A105" s="1" t="s">
        <v>218</v>
      </c>
      <c r="B105" s="1" t="s">
        <v>173</v>
      </c>
      <c r="C105" s="1" t="s">
        <v>44</v>
      </c>
      <c r="D105" s="1" t="s">
        <v>45</v>
      </c>
      <c r="E105" s="1" t="s">
        <v>46</v>
      </c>
      <c r="F105" s="1" t="s">
        <v>25</v>
      </c>
      <c r="G105" s="1" t="s">
        <v>26</v>
      </c>
      <c r="H105" s="1">
        <v>13194</v>
      </c>
      <c r="I105" s="1" t="s">
        <v>19</v>
      </c>
      <c r="J105" s="1">
        <v>0.2</v>
      </c>
      <c r="K105" s="1">
        <v>13000</v>
      </c>
      <c r="L105" s="2">
        <v>45304</v>
      </c>
      <c r="M105" s="11">
        <f>IF(OR(I105="",ISNA(MATCH(I105,{"DISC10","DISC15","DISC20","DISC30"},0))),0,J105)</f>
        <v>0.2</v>
      </c>
    </row>
    <row r="106" spans="1:13" x14ac:dyDescent="0.35">
      <c r="A106" s="1" t="s">
        <v>219</v>
      </c>
      <c r="B106" s="1" t="s">
        <v>220</v>
      </c>
      <c r="C106" s="1" t="s">
        <v>61</v>
      </c>
      <c r="D106" s="1" t="s">
        <v>62</v>
      </c>
      <c r="E106" s="1" t="s">
        <v>46</v>
      </c>
      <c r="F106" s="1" t="s">
        <v>39</v>
      </c>
      <c r="G106" s="1" t="s">
        <v>26</v>
      </c>
      <c r="H106" s="1">
        <v>11000</v>
      </c>
      <c r="I106" s="1" t="s">
        <v>27</v>
      </c>
      <c r="J106" s="1"/>
      <c r="K106" s="1">
        <v>9000</v>
      </c>
      <c r="L106" s="2">
        <v>45330</v>
      </c>
      <c r="M106" s="11">
        <f>IF(OR(I106="",ISNA(MATCH(I106,{"DISC10","DISC15","DISC20","DISC30"},0))),0,J106)</f>
        <v>0</v>
      </c>
    </row>
    <row r="107" spans="1:13" x14ac:dyDescent="0.35">
      <c r="A107" s="1" t="s">
        <v>221</v>
      </c>
      <c r="B107" s="1" t="s">
        <v>222</v>
      </c>
      <c r="C107" s="1" t="s">
        <v>44</v>
      </c>
      <c r="D107" s="1" t="s">
        <v>45</v>
      </c>
      <c r="E107" s="1" t="s">
        <v>46</v>
      </c>
      <c r="F107" s="1" t="s">
        <v>25</v>
      </c>
      <c r="G107" s="1" t="s">
        <v>36</v>
      </c>
      <c r="H107" s="1">
        <v>11734</v>
      </c>
      <c r="I107" s="1" t="s">
        <v>33</v>
      </c>
      <c r="J107" s="1">
        <v>0.3</v>
      </c>
      <c r="K107" s="1">
        <v>13000</v>
      </c>
      <c r="L107" s="2">
        <v>45292</v>
      </c>
      <c r="M107" s="11">
        <f>IF(OR(I107="",ISNA(MATCH(I107,{"DISC10","DISC15","DISC20","DISC30"},0))),0,J107)</f>
        <v>0.3</v>
      </c>
    </row>
    <row r="108" spans="1:13" x14ac:dyDescent="0.35">
      <c r="A108" s="1" t="s">
        <v>223</v>
      </c>
      <c r="B108" s="1" t="s">
        <v>103</v>
      </c>
      <c r="C108" s="1" t="s">
        <v>44</v>
      </c>
      <c r="D108" s="1" t="s">
        <v>45</v>
      </c>
      <c r="E108" s="1" t="s">
        <v>46</v>
      </c>
      <c r="F108" s="1" t="s">
        <v>25</v>
      </c>
      <c r="G108" s="1" t="s">
        <v>18</v>
      </c>
      <c r="H108" s="1">
        <v>13266</v>
      </c>
      <c r="I108" s="1" t="s">
        <v>33</v>
      </c>
      <c r="J108" s="1">
        <v>0.3</v>
      </c>
      <c r="K108" s="1">
        <v>13000</v>
      </c>
      <c r="L108" s="2">
        <v>45336</v>
      </c>
      <c r="M108" s="11">
        <f>IF(OR(I108="",ISNA(MATCH(I108,{"DISC10","DISC15","DISC20","DISC30"},0))),0,J108)</f>
        <v>0.3</v>
      </c>
    </row>
    <row r="109" spans="1:13" x14ac:dyDescent="0.35">
      <c r="A109" s="1" t="s">
        <v>224</v>
      </c>
      <c r="B109" s="1" t="s">
        <v>113</v>
      </c>
      <c r="C109" s="1" t="s">
        <v>61</v>
      </c>
      <c r="D109" s="1" t="s">
        <v>62</v>
      </c>
      <c r="E109" s="1" t="s">
        <v>32</v>
      </c>
      <c r="F109" s="1" t="s">
        <v>25</v>
      </c>
      <c r="G109" s="1" t="s">
        <v>26</v>
      </c>
      <c r="H109" s="1">
        <v>8164</v>
      </c>
      <c r="I109" s="1"/>
      <c r="J109" s="1"/>
      <c r="K109" s="1">
        <v>9000</v>
      </c>
      <c r="L109" s="2">
        <v>45322</v>
      </c>
      <c r="M109" s="11">
        <f>IF(OR(I109="",ISNA(MATCH(I109,{"DISC10","DISC15","DISC20","DISC30"},0))),0,J109)</f>
        <v>0</v>
      </c>
    </row>
    <row r="110" spans="1:13" x14ac:dyDescent="0.35">
      <c r="A110" s="1" t="s">
        <v>225</v>
      </c>
      <c r="B110" s="1" t="s">
        <v>188</v>
      </c>
      <c r="C110" s="1" t="s">
        <v>44</v>
      </c>
      <c r="D110" s="1" t="s">
        <v>45</v>
      </c>
      <c r="E110" s="1" t="s">
        <v>32</v>
      </c>
      <c r="F110" s="1" t="s">
        <v>17</v>
      </c>
      <c r="G110" s="1" t="s">
        <v>36</v>
      </c>
      <c r="H110" s="1">
        <v>11467</v>
      </c>
      <c r="I110" s="1" t="s">
        <v>22</v>
      </c>
      <c r="J110" s="1">
        <v>0.1</v>
      </c>
      <c r="K110" s="1">
        <v>13000</v>
      </c>
      <c r="L110" s="2">
        <v>45317</v>
      </c>
      <c r="M110" s="11">
        <f>IF(OR(I110="",ISNA(MATCH(I110,{"DISC10","DISC15","DISC20","DISC30"},0))),0,J110)</f>
        <v>0.1</v>
      </c>
    </row>
    <row r="111" spans="1:13" x14ac:dyDescent="0.35">
      <c r="A111" s="1" t="s">
        <v>226</v>
      </c>
      <c r="B111" s="1" t="s">
        <v>227</v>
      </c>
      <c r="C111" s="1" t="s">
        <v>14</v>
      </c>
      <c r="D111" s="1" t="s">
        <v>15</v>
      </c>
      <c r="E111" s="1" t="s">
        <v>32</v>
      </c>
      <c r="F111" s="1" t="s">
        <v>25</v>
      </c>
      <c r="G111" s="1" t="s">
        <v>26</v>
      </c>
      <c r="H111" s="1">
        <v>15887</v>
      </c>
      <c r="I111" s="1" t="s">
        <v>33</v>
      </c>
      <c r="J111" s="1">
        <v>0.3</v>
      </c>
      <c r="K111" s="1">
        <v>14000</v>
      </c>
      <c r="L111" s="2">
        <v>45297</v>
      </c>
      <c r="M111" s="11">
        <f>IF(OR(I111="",ISNA(MATCH(I111,{"DISC10","DISC15","DISC20","DISC30"},0))),0,J111)</f>
        <v>0.3</v>
      </c>
    </row>
    <row r="112" spans="1:13" x14ac:dyDescent="0.35">
      <c r="A112" s="1" t="s">
        <v>228</v>
      </c>
      <c r="B112" s="1" t="s">
        <v>229</v>
      </c>
      <c r="C112" s="1" t="s">
        <v>61</v>
      </c>
      <c r="D112" s="1" t="s">
        <v>62</v>
      </c>
      <c r="E112" s="1" t="s">
        <v>16</v>
      </c>
      <c r="F112" s="1" t="s">
        <v>39</v>
      </c>
      <c r="G112" s="1" t="s">
        <v>26</v>
      </c>
      <c r="H112" s="1">
        <v>7924</v>
      </c>
      <c r="I112" s="1" t="s">
        <v>27</v>
      </c>
      <c r="J112" s="1"/>
      <c r="K112" s="1">
        <v>9000</v>
      </c>
      <c r="L112" s="2">
        <v>45316</v>
      </c>
      <c r="M112" s="11">
        <f>IF(OR(I112="",ISNA(MATCH(I112,{"DISC10","DISC15","DISC20","DISC30"},0))),0,J112)</f>
        <v>0</v>
      </c>
    </row>
    <row r="113" spans="1:13" x14ac:dyDescent="0.35">
      <c r="A113" s="1" t="s">
        <v>230</v>
      </c>
      <c r="B113" s="1" t="s">
        <v>231</v>
      </c>
      <c r="C113" s="1" t="s">
        <v>30</v>
      </c>
      <c r="D113" s="1" t="s">
        <v>31</v>
      </c>
      <c r="E113" s="1" t="s">
        <v>16</v>
      </c>
      <c r="F113" s="1" t="s">
        <v>17</v>
      </c>
      <c r="G113" s="1" t="s">
        <v>36</v>
      </c>
      <c r="H113" s="1">
        <v>17329</v>
      </c>
      <c r="I113" s="1" t="s">
        <v>27</v>
      </c>
      <c r="J113" s="1"/>
      <c r="K113" s="1">
        <v>17000</v>
      </c>
      <c r="L113" s="2">
        <v>45295</v>
      </c>
      <c r="M113" s="11">
        <f>IF(OR(I113="",ISNA(MATCH(I113,{"DISC10","DISC15","DISC20","DISC30"},0))),0,J113)</f>
        <v>0</v>
      </c>
    </row>
    <row r="114" spans="1:13" x14ac:dyDescent="0.35">
      <c r="A114" s="1" t="s">
        <v>232</v>
      </c>
      <c r="B114" s="1" t="s">
        <v>233</v>
      </c>
      <c r="C114" s="1" t="s">
        <v>14</v>
      </c>
      <c r="D114" s="1" t="s">
        <v>15</v>
      </c>
      <c r="E114" s="1" t="s">
        <v>32</v>
      </c>
      <c r="F114" s="1" t="s">
        <v>39</v>
      </c>
      <c r="G114" s="1" t="s">
        <v>18</v>
      </c>
      <c r="H114" s="1">
        <v>13083</v>
      </c>
      <c r="I114" s="1" t="s">
        <v>22</v>
      </c>
      <c r="J114" s="1">
        <v>0.1</v>
      </c>
      <c r="K114" s="1">
        <v>14000</v>
      </c>
      <c r="L114" s="2">
        <v>45302</v>
      </c>
      <c r="M114" s="11">
        <f>IF(OR(I114="",ISNA(MATCH(I114,{"DISC10","DISC15","DISC20","DISC30"},0))),0,J114)</f>
        <v>0.1</v>
      </c>
    </row>
    <row r="115" spans="1:13" x14ac:dyDescent="0.35">
      <c r="A115" s="1" t="s">
        <v>234</v>
      </c>
      <c r="B115" s="1" t="s">
        <v>235</v>
      </c>
      <c r="C115" s="1" t="s">
        <v>14</v>
      </c>
      <c r="D115" s="1" t="s">
        <v>15</v>
      </c>
      <c r="E115" s="1" t="s">
        <v>32</v>
      </c>
      <c r="F115" s="1" t="s">
        <v>25</v>
      </c>
      <c r="G115" s="1" t="s">
        <v>36</v>
      </c>
      <c r="H115" s="1">
        <v>13845</v>
      </c>
      <c r="I115" s="1" t="s">
        <v>27</v>
      </c>
      <c r="J115" s="1"/>
      <c r="K115" s="1">
        <v>14000</v>
      </c>
      <c r="L115" s="2">
        <v>45322</v>
      </c>
      <c r="M115" s="11">
        <f>IF(OR(I115="",ISNA(MATCH(I115,{"DISC10","DISC15","DISC20","DISC30"},0))),0,J115)</f>
        <v>0</v>
      </c>
    </row>
    <row r="116" spans="1:13" x14ac:dyDescent="0.35">
      <c r="A116" s="1" t="s">
        <v>236</v>
      </c>
      <c r="B116" s="1" t="s">
        <v>237</v>
      </c>
      <c r="C116" s="1" t="s">
        <v>44</v>
      </c>
      <c r="D116" s="1" t="s">
        <v>45</v>
      </c>
      <c r="E116" s="1" t="s">
        <v>46</v>
      </c>
      <c r="F116" s="1" t="s">
        <v>39</v>
      </c>
      <c r="G116" s="1" t="s">
        <v>36</v>
      </c>
      <c r="H116" s="1">
        <v>13879</v>
      </c>
      <c r="I116" s="1"/>
      <c r="J116" s="1"/>
      <c r="K116" s="1">
        <v>13000</v>
      </c>
      <c r="L116" s="2">
        <v>45296</v>
      </c>
      <c r="M116" s="11">
        <f>IF(OR(I116="",ISNA(MATCH(I116,{"DISC10","DISC15","DISC20","DISC30"},0))),0,J116)</f>
        <v>0</v>
      </c>
    </row>
    <row r="117" spans="1:13" x14ac:dyDescent="0.35">
      <c r="A117" s="1" t="s">
        <v>238</v>
      </c>
      <c r="B117" s="1" t="s">
        <v>239</v>
      </c>
      <c r="C117" s="1" t="s">
        <v>30</v>
      </c>
      <c r="D117" s="1" t="s">
        <v>31</v>
      </c>
      <c r="E117" s="1" t="s">
        <v>16</v>
      </c>
      <c r="F117" s="1" t="s">
        <v>39</v>
      </c>
      <c r="G117" s="1" t="s">
        <v>26</v>
      </c>
      <c r="H117" s="1">
        <v>18292</v>
      </c>
      <c r="I117" s="1" t="s">
        <v>19</v>
      </c>
      <c r="J117" s="1">
        <v>0.2</v>
      </c>
      <c r="K117" s="1">
        <v>17000</v>
      </c>
      <c r="L117" s="2">
        <v>45319</v>
      </c>
      <c r="M117" s="11">
        <f>IF(OR(I117="",ISNA(MATCH(I117,{"DISC10","DISC15","DISC20","DISC30"},0))),0,J117)</f>
        <v>0.2</v>
      </c>
    </row>
    <row r="118" spans="1:13" x14ac:dyDescent="0.35">
      <c r="A118" s="1" t="s">
        <v>240</v>
      </c>
      <c r="B118" s="1" t="s">
        <v>241</v>
      </c>
      <c r="C118" s="1" t="s">
        <v>44</v>
      </c>
      <c r="D118" s="1" t="s">
        <v>45</v>
      </c>
      <c r="E118" s="1" t="s">
        <v>16</v>
      </c>
      <c r="F118" s="1" t="s">
        <v>25</v>
      </c>
      <c r="G118" s="1" t="s">
        <v>36</v>
      </c>
      <c r="H118" s="1">
        <v>14385</v>
      </c>
      <c r="I118" s="1" t="s">
        <v>19</v>
      </c>
      <c r="J118" s="1">
        <v>0.2</v>
      </c>
      <c r="K118" s="1">
        <v>13000</v>
      </c>
      <c r="L118" s="2">
        <v>45296</v>
      </c>
      <c r="M118" s="11">
        <f>IF(OR(I118="",ISNA(MATCH(I118,{"DISC10","DISC15","DISC20","DISC30"},0))),0,J118)</f>
        <v>0.2</v>
      </c>
    </row>
    <row r="119" spans="1:13" x14ac:dyDescent="0.35">
      <c r="A119" s="1" t="s">
        <v>242</v>
      </c>
      <c r="B119" s="1" t="s">
        <v>243</v>
      </c>
      <c r="C119" s="1" t="s">
        <v>30</v>
      </c>
      <c r="D119" s="1" t="s">
        <v>31</v>
      </c>
      <c r="E119" s="1" t="s">
        <v>16</v>
      </c>
      <c r="F119" s="1" t="s">
        <v>39</v>
      </c>
      <c r="G119" s="1" t="s">
        <v>26</v>
      </c>
      <c r="H119" s="1">
        <v>18773</v>
      </c>
      <c r="I119" s="1" t="s">
        <v>33</v>
      </c>
      <c r="J119" s="1">
        <v>0.3</v>
      </c>
      <c r="K119" s="1">
        <v>17000</v>
      </c>
      <c r="L119" s="2">
        <v>45320</v>
      </c>
      <c r="M119" s="11">
        <f>IF(OR(I119="",ISNA(MATCH(I119,{"DISC10","DISC15","DISC20","DISC30"},0))),0,J119)</f>
        <v>0.3</v>
      </c>
    </row>
    <row r="120" spans="1:13" x14ac:dyDescent="0.35">
      <c r="A120" s="1" t="s">
        <v>244</v>
      </c>
      <c r="B120" s="1" t="s">
        <v>245</v>
      </c>
      <c r="C120" s="1" t="s">
        <v>30</v>
      </c>
      <c r="D120" s="1" t="s">
        <v>31</v>
      </c>
      <c r="E120" s="1" t="s">
        <v>16</v>
      </c>
      <c r="F120" s="1" t="s">
        <v>17</v>
      </c>
      <c r="G120" s="1" t="s">
        <v>36</v>
      </c>
      <c r="H120" s="1">
        <v>17049</v>
      </c>
      <c r="I120" s="1" t="s">
        <v>27</v>
      </c>
      <c r="J120" s="1"/>
      <c r="K120" s="1">
        <v>17000</v>
      </c>
      <c r="L120" s="2">
        <v>45323</v>
      </c>
      <c r="M120" s="11">
        <f>IF(OR(I120="",ISNA(MATCH(I120,{"DISC10","DISC15","DISC20","DISC30"},0))),0,J120)</f>
        <v>0</v>
      </c>
    </row>
    <row r="121" spans="1:13" x14ac:dyDescent="0.35">
      <c r="A121" s="1" t="s">
        <v>246</v>
      </c>
      <c r="B121" s="1" t="s">
        <v>227</v>
      </c>
      <c r="C121" s="1" t="s">
        <v>14</v>
      </c>
      <c r="D121" s="1" t="s">
        <v>15</v>
      </c>
      <c r="E121" s="1" t="s">
        <v>46</v>
      </c>
      <c r="F121" s="1" t="s">
        <v>39</v>
      </c>
      <c r="G121" s="1" t="s">
        <v>36</v>
      </c>
      <c r="H121" s="1">
        <v>14472</v>
      </c>
      <c r="I121" s="1" t="s">
        <v>33</v>
      </c>
      <c r="J121" s="1">
        <v>0.3</v>
      </c>
      <c r="K121" s="1">
        <v>14000</v>
      </c>
      <c r="L121" s="2">
        <v>45293</v>
      </c>
      <c r="M121" s="11">
        <f>IF(OR(I121="",ISNA(MATCH(I121,{"DISC10","DISC15","DISC20","DISC30"},0))),0,J121)</f>
        <v>0.3</v>
      </c>
    </row>
    <row r="122" spans="1:13" x14ac:dyDescent="0.35">
      <c r="A122" s="1" t="s">
        <v>247</v>
      </c>
      <c r="B122" s="1" t="s">
        <v>248</v>
      </c>
      <c r="C122" s="1" t="s">
        <v>14</v>
      </c>
      <c r="D122" s="1" t="s">
        <v>15</v>
      </c>
      <c r="E122" s="1" t="s">
        <v>16</v>
      </c>
      <c r="F122" s="1" t="s">
        <v>17</v>
      </c>
      <c r="G122" s="1" t="s">
        <v>26</v>
      </c>
      <c r="H122" s="1">
        <v>12164</v>
      </c>
      <c r="I122" s="1" t="s">
        <v>19</v>
      </c>
      <c r="J122" s="1">
        <v>0.2</v>
      </c>
      <c r="K122" s="1">
        <v>14000</v>
      </c>
      <c r="L122" s="2">
        <v>45322</v>
      </c>
      <c r="M122" s="11">
        <f>IF(OR(I122="",ISNA(MATCH(I122,{"DISC10","DISC15","DISC20","DISC30"},0))),0,J122)</f>
        <v>0.2</v>
      </c>
    </row>
    <row r="123" spans="1:13" x14ac:dyDescent="0.35">
      <c r="A123" s="1" t="s">
        <v>249</v>
      </c>
      <c r="B123" s="1" t="s">
        <v>202</v>
      </c>
      <c r="C123" s="1" t="s">
        <v>61</v>
      </c>
      <c r="D123" s="1" t="s">
        <v>62</v>
      </c>
      <c r="E123" s="1" t="s">
        <v>46</v>
      </c>
      <c r="F123" s="1" t="s">
        <v>25</v>
      </c>
      <c r="G123" s="1" t="s">
        <v>26</v>
      </c>
      <c r="H123" s="1">
        <v>8785</v>
      </c>
      <c r="I123" s="1"/>
      <c r="J123" s="1"/>
      <c r="K123" s="1">
        <v>9000</v>
      </c>
      <c r="L123" s="2">
        <v>45297</v>
      </c>
      <c r="M123" s="11">
        <f>IF(OR(I123="",ISNA(MATCH(I123,{"DISC10","DISC15","DISC20","DISC30"},0))),0,J123)</f>
        <v>0</v>
      </c>
    </row>
    <row r="124" spans="1:13" x14ac:dyDescent="0.35">
      <c r="A124" s="1" t="s">
        <v>250</v>
      </c>
      <c r="B124" s="1" t="s">
        <v>188</v>
      </c>
      <c r="C124" s="1" t="s">
        <v>61</v>
      </c>
      <c r="D124" s="1" t="s">
        <v>62</v>
      </c>
      <c r="E124" s="1" t="s">
        <v>46</v>
      </c>
      <c r="F124" s="1" t="s">
        <v>17</v>
      </c>
      <c r="G124" s="1" t="s">
        <v>26</v>
      </c>
      <c r="H124" s="1">
        <v>7428</v>
      </c>
      <c r="I124" s="1" t="s">
        <v>19</v>
      </c>
      <c r="J124" s="1">
        <v>0.2</v>
      </c>
      <c r="K124" s="1">
        <v>9000</v>
      </c>
      <c r="L124" s="2">
        <v>45313</v>
      </c>
      <c r="M124" s="11">
        <f>IF(OR(I124="",ISNA(MATCH(I124,{"DISC10","DISC15","DISC20","DISC30"},0))),0,J124)</f>
        <v>0.2</v>
      </c>
    </row>
    <row r="125" spans="1:13" x14ac:dyDescent="0.35">
      <c r="A125" s="1" t="s">
        <v>251</v>
      </c>
      <c r="B125" s="1" t="s">
        <v>101</v>
      </c>
      <c r="C125" s="1" t="s">
        <v>61</v>
      </c>
      <c r="D125" s="1" t="s">
        <v>62</v>
      </c>
      <c r="E125" s="1" t="s">
        <v>46</v>
      </c>
      <c r="F125" s="1" t="s">
        <v>39</v>
      </c>
      <c r="G125" s="1" t="s">
        <v>36</v>
      </c>
      <c r="H125" s="1">
        <v>10332</v>
      </c>
      <c r="I125" s="1" t="s">
        <v>27</v>
      </c>
      <c r="J125" s="1"/>
      <c r="K125" s="1">
        <v>9000</v>
      </c>
      <c r="L125" s="2">
        <v>45294</v>
      </c>
      <c r="M125" s="11">
        <f>IF(OR(I125="",ISNA(MATCH(I125,{"DISC10","DISC15","DISC20","DISC30"},0))),0,J125)</f>
        <v>0</v>
      </c>
    </row>
    <row r="126" spans="1:13" x14ac:dyDescent="0.35">
      <c r="A126" s="1" t="s">
        <v>252</v>
      </c>
      <c r="B126" s="1" t="s">
        <v>227</v>
      </c>
      <c r="C126" s="1" t="s">
        <v>30</v>
      </c>
      <c r="D126" s="1" t="s">
        <v>31</v>
      </c>
      <c r="E126" s="1" t="s">
        <v>46</v>
      </c>
      <c r="F126" s="1" t="s">
        <v>17</v>
      </c>
      <c r="G126" s="1" t="s">
        <v>18</v>
      </c>
      <c r="H126" s="1">
        <v>18973</v>
      </c>
      <c r="I126" s="1"/>
      <c r="J126" s="1"/>
      <c r="K126" s="1">
        <v>17000</v>
      </c>
      <c r="L126" s="2">
        <v>45347</v>
      </c>
      <c r="M126" s="11">
        <f>IF(OR(I126="",ISNA(MATCH(I126,{"DISC10","DISC15","DISC20","DISC30"},0))),0,J126)</f>
        <v>0</v>
      </c>
    </row>
    <row r="127" spans="1:13" x14ac:dyDescent="0.35">
      <c r="A127" s="1" t="s">
        <v>253</v>
      </c>
      <c r="B127" s="1" t="s">
        <v>105</v>
      </c>
      <c r="C127" s="1" t="s">
        <v>14</v>
      </c>
      <c r="D127" s="1" t="s">
        <v>15</v>
      </c>
      <c r="E127" s="1" t="s">
        <v>16</v>
      </c>
      <c r="F127" s="1" t="s">
        <v>39</v>
      </c>
      <c r="G127" s="1" t="s">
        <v>36</v>
      </c>
      <c r="H127" s="1">
        <v>13692</v>
      </c>
      <c r="I127" s="1" t="s">
        <v>22</v>
      </c>
      <c r="J127" s="1">
        <v>0.1</v>
      </c>
      <c r="K127" s="1">
        <v>14000</v>
      </c>
      <c r="L127" s="2">
        <v>45304</v>
      </c>
      <c r="M127" s="11">
        <f>IF(OR(I127="",ISNA(MATCH(I127,{"DISC10","DISC15","DISC20","DISC30"},0))),0,J127)</f>
        <v>0.1</v>
      </c>
    </row>
    <row r="128" spans="1:13" x14ac:dyDescent="0.35">
      <c r="A128" s="1" t="s">
        <v>254</v>
      </c>
      <c r="B128" s="1" t="s">
        <v>217</v>
      </c>
      <c r="C128" s="1" t="s">
        <v>61</v>
      </c>
      <c r="D128" s="1" t="s">
        <v>62</v>
      </c>
      <c r="E128" s="1" t="s">
        <v>16</v>
      </c>
      <c r="F128" s="1" t="s">
        <v>17</v>
      </c>
      <c r="G128" s="1" t="s">
        <v>18</v>
      </c>
      <c r="H128" s="1">
        <v>7833</v>
      </c>
      <c r="I128" s="1" t="s">
        <v>33</v>
      </c>
      <c r="J128" s="1">
        <v>0.3</v>
      </c>
      <c r="K128" s="1">
        <v>9000</v>
      </c>
      <c r="L128" s="2">
        <v>45327</v>
      </c>
      <c r="M128" s="11">
        <f>IF(OR(I128="",ISNA(MATCH(I128,{"DISC10","DISC15","DISC20","DISC30"},0))),0,J128)</f>
        <v>0.3</v>
      </c>
    </row>
    <row r="129" spans="1:13" x14ac:dyDescent="0.35">
      <c r="A129" s="1" t="s">
        <v>255</v>
      </c>
      <c r="B129" s="1" t="s">
        <v>256</v>
      </c>
      <c r="C129" s="1" t="s">
        <v>61</v>
      </c>
      <c r="D129" s="1" t="s">
        <v>62</v>
      </c>
      <c r="E129" s="1" t="s">
        <v>16</v>
      </c>
      <c r="F129" s="1" t="s">
        <v>17</v>
      </c>
      <c r="G129" s="1" t="s">
        <v>18</v>
      </c>
      <c r="H129" s="1">
        <v>7118</v>
      </c>
      <c r="I129" s="1" t="s">
        <v>27</v>
      </c>
      <c r="J129" s="1"/>
      <c r="K129" s="1">
        <v>9000</v>
      </c>
      <c r="L129" s="2">
        <v>45343</v>
      </c>
      <c r="M129" s="11">
        <f>IF(OR(I129="",ISNA(MATCH(I129,{"DISC10","DISC15","DISC20","DISC30"},0))),0,J129)</f>
        <v>0</v>
      </c>
    </row>
    <row r="130" spans="1:13" x14ac:dyDescent="0.35">
      <c r="A130" s="1" t="s">
        <v>257</v>
      </c>
      <c r="B130" s="1" t="s">
        <v>220</v>
      </c>
      <c r="C130" s="1" t="s">
        <v>44</v>
      </c>
      <c r="D130" s="1" t="s">
        <v>45</v>
      </c>
      <c r="E130" s="1" t="s">
        <v>46</v>
      </c>
      <c r="F130" s="1" t="s">
        <v>39</v>
      </c>
      <c r="G130" s="1" t="s">
        <v>18</v>
      </c>
      <c r="H130" s="1">
        <v>13262</v>
      </c>
      <c r="I130" s="1"/>
      <c r="J130" s="1"/>
      <c r="K130" s="1">
        <v>13000</v>
      </c>
      <c r="L130" s="2">
        <v>45297</v>
      </c>
      <c r="M130" s="11">
        <f>IF(OR(I130="",ISNA(MATCH(I130,{"DISC10","DISC15","DISC20","DISC30"},0))),0,J130)</f>
        <v>0</v>
      </c>
    </row>
    <row r="131" spans="1:13" x14ac:dyDescent="0.35">
      <c r="A131" s="1" t="s">
        <v>258</v>
      </c>
      <c r="B131" s="1" t="s">
        <v>171</v>
      </c>
      <c r="C131" s="1" t="s">
        <v>14</v>
      </c>
      <c r="D131" s="1" t="s">
        <v>15</v>
      </c>
      <c r="E131" s="1" t="s">
        <v>46</v>
      </c>
      <c r="F131" s="1" t="s">
        <v>25</v>
      </c>
      <c r="G131" s="1" t="s">
        <v>26</v>
      </c>
      <c r="H131" s="1">
        <v>15408</v>
      </c>
      <c r="I131" s="1" t="s">
        <v>19</v>
      </c>
      <c r="J131" s="1">
        <v>0.2</v>
      </c>
      <c r="K131" s="1">
        <v>14000</v>
      </c>
      <c r="L131" s="2">
        <v>45323</v>
      </c>
      <c r="M131" s="11">
        <f>IF(OR(I131="",ISNA(MATCH(I131,{"DISC10","DISC15","DISC20","DISC30"},0))),0,J131)</f>
        <v>0.2</v>
      </c>
    </row>
    <row r="132" spans="1:13" x14ac:dyDescent="0.35">
      <c r="A132" s="1" t="s">
        <v>259</v>
      </c>
      <c r="B132" s="1" t="s">
        <v>260</v>
      </c>
      <c r="C132" s="1" t="s">
        <v>30</v>
      </c>
      <c r="D132" s="1" t="s">
        <v>31</v>
      </c>
      <c r="E132" s="1" t="s">
        <v>16</v>
      </c>
      <c r="F132" s="1" t="s">
        <v>39</v>
      </c>
      <c r="G132" s="1" t="s">
        <v>36</v>
      </c>
      <c r="H132" s="1">
        <v>16701</v>
      </c>
      <c r="I132" s="1"/>
      <c r="J132" s="1"/>
      <c r="K132" s="1">
        <v>17000</v>
      </c>
      <c r="L132" s="2">
        <v>45322</v>
      </c>
      <c r="M132" s="11">
        <f>IF(OR(I132="",ISNA(MATCH(I132,{"DISC10","DISC15","DISC20","DISC30"},0))),0,J132)</f>
        <v>0</v>
      </c>
    </row>
    <row r="133" spans="1:13" x14ac:dyDescent="0.35">
      <c r="A133" s="1" t="s">
        <v>261</v>
      </c>
      <c r="B133" s="1" t="s">
        <v>29</v>
      </c>
      <c r="C133" s="1" t="s">
        <v>44</v>
      </c>
      <c r="D133" s="1" t="s">
        <v>45</v>
      </c>
      <c r="E133" s="1" t="s">
        <v>46</v>
      </c>
      <c r="F133" s="1" t="s">
        <v>25</v>
      </c>
      <c r="G133" s="1" t="s">
        <v>26</v>
      </c>
      <c r="H133" s="1">
        <v>13081</v>
      </c>
      <c r="I133" s="1" t="s">
        <v>19</v>
      </c>
      <c r="J133" s="1">
        <v>0.2</v>
      </c>
      <c r="K133" s="1">
        <v>13000</v>
      </c>
      <c r="L133" s="2">
        <v>45347</v>
      </c>
      <c r="M133" s="11">
        <f>IF(OR(I133="",ISNA(MATCH(I133,{"DISC10","DISC15","DISC20","DISC30"},0))),0,J133)</f>
        <v>0.2</v>
      </c>
    </row>
    <row r="134" spans="1:13" x14ac:dyDescent="0.35">
      <c r="A134" s="1" t="s">
        <v>262</v>
      </c>
      <c r="B134" s="1" t="s">
        <v>263</v>
      </c>
      <c r="C134" s="1" t="s">
        <v>61</v>
      </c>
      <c r="D134" s="1" t="s">
        <v>62</v>
      </c>
      <c r="E134" s="1" t="s">
        <v>46</v>
      </c>
      <c r="F134" s="1" t="s">
        <v>39</v>
      </c>
      <c r="G134" s="1" t="s">
        <v>36</v>
      </c>
      <c r="H134" s="1">
        <v>10360</v>
      </c>
      <c r="I134" s="1" t="s">
        <v>22</v>
      </c>
      <c r="J134" s="1">
        <v>0.1</v>
      </c>
      <c r="K134" s="1">
        <v>9000</v>
      </c>
      <c r="L134" s="2">
        <v>45310</v>
      </c>
      <c r="M134" s="11">
        <f>IF(OR(I134="",ISNA(MATCH(I134,{"DISC10","DISC15","DISC20","DISC30"},0))),0,J134)</f>
        <v>0.1</v>
      </c>
    </row>
    <row r="135" spans="1:13" x14ac:dyDescent="0.35">
      <c r="A135" s="1" t="s">
        <v>264</v>
      </c>
      <c r="B135" s="1" t="s">
        <v>265</v>
      </c>
      <c r="C135" s="1" t="s">
        <v>61</v>
      </c>
      <c r="D135" s="1" t="s">
        <v>62</v>
      </c>
      <c r="E135" s="1" t="s">
        <v>32</v>
      </c>
      <c r="F135" s="1" t="s">
        <v>17</v>
      </c>
      <c r="G135" s="1" t="s">
        <v>26</v>
      </c>
      <c r="H135" s="1">
        <v>8983</v>
      </c>
      <c r="I135" s="1" t="s">
        <v>33</v>
      </c>
      <c r="J135" s="1">
        <v>0.3</v>
      </c>
      <c r="K135" s="1">
        <v>9000</v>
      </c>
      <c r="L135" s="2">
        <v>45313</v>
      </c>
      <c r="M135" s="11">
        <f>IF(OR(I135="",ISNA(MATCH(I135,{"DISC10","DISC15","DISC20","DISC30"},0))),0,J135)</f>
        <v>0.3</v>
      </c>
    </row>
    <row r="136" spans="1:13" x14ac:dyDescent="0.35">
      <c r="A136" s="1" t="s">
        <v>266</v>
      </c>
      <c r="B136" s="1" t="s">
        <v>82</v>
      </c>
      <c r="C136" s="1" t="s">
        <v>61</v>
      </c>
      <c r="D136" s="1" t="s">
        <v>62</v>
      </c>
      <c r="E136" s="1" t="s">
        <v>46</v>
      </c>
      <c r="F136" s="1" t="s">
        <v>17</v>
      </c>
      <c r="G136" s="1" t="s">
        <v>18</v>
      </c>
      <c r="H136" s="1">
        <v>9856</v>
      </c>
      <c r="I136" s="1" t="s">
        <v>19</v>
      </c>
      <c r="J136" s="1">
        <v>0.2</v>
      </c>
      <c r="K136" s="1">
        <v>9000</v>
      </c>
      <c r="L136" s="2">
        <v>45328</v>
      </c>
      <c r="M136" s="11">
        <f>IF(OR(I136="",ISNA(MATCH(I136,{"DISC10","DISC15","DISC20","DISC30"},0))),0,J136)</f>
        <v>0.2</v>
      </c>
    </row>
    <row r="137" spans="1:13" x14ac:dyDescent="0.35">
      <c r="A137" s="1" t="s">
        <v>267</v>
      </c>
      <c r="B137" s="1" t="s">
        <v>268</v>
      </c>
      <c r="C137" s="1" t="s">
        <v>61</v>
      </c>
      <c r="D137" s="1" t="s">
        <v>62</v>
      </c>
      <c r="E137" s="1" t="s">
        <v>32</v>
      </c>
      <c r="F137" s="1" t="s">
        <v>17</v>
      </c>
      <c r="G137" s="1" t="s">
        <v>26</v>
      </c>
      <c r="H137" s="1">
        <v>8937</v>
      </c>
      <c r="I137" s="1"/>
      <c r="J137" s="1"/>
      <c r="K137" s="1">
        <v>9000</v>
      </c>
      <c r="L137" s="2">
        <v>45316</v>
      </c>
      <c r="M137" s="11">
        <f>IF(OR(I137="",ISNA(MATCH(I137,{"DISC10","DISC15","DISC20","DISC30"},0))),0,J137)</f>
        <v>0</v>
      </c>
    </row>
    <row r="138" spans="1:13" x14ac:dyDescent="0.35">
      <c r="A138" s="1" t="s">
        <v>269</v>
      </c>
      <c r="B138" s="1" t="s">
        <v>270</v>
      </c>
      <c r="C138" s="1" t="s">
        <v>44</v>
      </c>
      <c r="D138" s="1" t="s">
        <v>45</v>
      </c>
      <c r="E138" s="1" t="s">
        <v>46</v>
      </c>
      <c r="F138" s="1" t="s">
        <v>25</v>
      </c>
      <c r="G138" s="1" t="s">
        <v>18</v>
      </c>
      <c r="H138" s="1">
        <v>13057</v>
      </c>
      <c r="I138" s="1" t="s">
        <v>27</v>
      </c>
      <c r="J138" s="1"/>
      <c r="K138" s="1">
        <v>13000</v>
      </c>
      <c r="L138" s="2">
        <v>45313</v>
      </c>
      <c r="M138" s="11">
        <f>IF(OR(I138="",ISNA(MATCH(I138,{"DISC10","DISC15","DISC20","DISC30"},0))),0,J138)</f>
        <v>0</v>
      </c>
    </row>
    <row r="139" spans="1:13" x14ac:dyDescent="0.35">
      <c r="A139" s="1" t="s">
        <v>271</v>
      </c>
      <c r="B139" s="1" t="s">
        <v>96</v>
      </c>
      <c r="C139" s="1" t="s">
        <v>61</v>
      </c>
      <c r="D139" s="1" t="s">
        <v>62</v>
      </c>
      <c r="E139" s="1" t="s">
        <v>32</v>
      </c>
      <c r="F139" s="1" t="s">
        <v>39</v>
      </c>
      <c r="G139" s="1" t="s">
        <v>36</v>
      </c>
      <c r="H139" s="1">
        <v>7062</v>
      </c>
      <c r="I139" s="1" t="s">
        <v>19</v>
      </c>
      <c r="J139" s="1">
        <v>0.2</v>
      </c>
      <c r="K139" s="1">
        <v>9000</v>
      </c>
      <c r="L139" s="2">
        <v>45318</v>
      </c>
      <c r="M139" s="11">
        <f>IF(OR(I139="",ISNA(MATCH(I139,{"DISC10","DISC15","DISC20","DISC30"},0))),0,J139)</f>
        <v>0.2</v>
      </c>
    </row>
    <row r="140" spans="1:13" x14ac:dyDescent="0.35">
      <c r="A140" s="1" t="s">
        <v>272</v>
      </c>
      <c r="B140" s="1" t="s">
        <v>198</v>
      </c>
      <c r="C140" s="1" t="s">
        <v>44</v>
      </c>
      <c r="D140" s="1" t="s">
        <v>45</v>
      </c>
      <c r="E140" s="1" t="s">
        <v>32</v>
      </c>
      <c r="F140" s="1" t="s">
        <v>17</v>
      </c>
      <c r="G140" s="1" t="s">
        <v>36</v>
      </c>
      <c r="H140" s="1">
        <v>12386</v>
      </c>
      <c r="I140" s="1" t="s">
        <v>27</v>
      </c>
      <c r="J140" s="1"/>
      <c r="K140" s="1">
        <v>13000</v>
      </c>
      <c r="L140" s="2">
        <v>45336</v>
      </c>
      <c r="M140" s="11">
        <f>IF(OR(I140="",ISNA(MATCH(I140,{"DISC10","DISC15","DISC20","DISC30"},0))),0,J140)</f>
        <v>0</v>
      </c>
    </row>
    <row r="141" spans="1:13" x14ac:dyDescent="0.35">
      <c r="A141" s="1" t="s">
        <v>273</v>
      </c>
      <c r="B141" s="1" t="s">
        <v>274</v>
      </c>
      <c r="C141" s="1" t="s">
        <v>14</v>
      </c>
      <c r="D141" s="1" t="s">
        <v>15</v>
      </c>
      <c r="E141" s="1" t="s">
        <v>46</v>
      </c>
      <c r="F141" s="1" t="s">
        <v>39</v>
      </c>
      <c r="G141" s="1" t="s">
        <v>26</v>
      </c>
      <c r="H141" s="1">
        <v>13556</v>
      </c>
      <c r="I141" s="1" t="s">
        <v>33</v>
      </c>
      <c r="J141" s="1">
        <v>0.3</v>
      </c>
      <c r="K141" s="1">
        <v>14000</v>
      </c>
      <c r="L141" s="2">
        <v>45332</v>
      </c>
      <c r="M141" s="11">
        <f>IF(OR(I141="",ISNA(MATCH(I141,{"DISC10","DISC15","DISC20","DISC30"},0))),0,J141)</f>
        <v>0.3</v>
      </c>
    </row>
    <row r="142" spans="1:13" x14ac:dyDescent="0.35">
      <c r="A142" s="1" t="s">
        <v>275</v>
      </c>
      <c r="B142" s="1" t="s">
        <v>276</v>
      </c>
      <c r="C142" s="1" t="s">
        <v>61</v>
      </c>
      <c r="D142" s="1" t="s">
        <v>62</v>
      </c>
      <c r="E142" s="1" t="s">
        <v>16</v>
      </c>
      <c r="F142" s="1" t="s">
        <v>25</v>
      </c>
      <c r="G142" s="1" t="s">
        <v>26</v>
      </c>
      <c r="H142" s="1">
        <v>7280</v>
      </c>
      <c r="I142" s="1" t="s">
        <v>19</v>
      </c>
      <c r="J142" s="1">
        <v>0.2</v>
      </c>
      <c r="K142" s="1">
        <v>9000</v>
      </c>
      <c r="L142" s="2">
        <v>45332</v>
      </c>
      <c r="M142" s="11">
        <f>IF(OR(I142="",ISNA(MATCH(I142,{"DISC10","DISC15","DISC20","DISC30"},0))),0,J142)</f>
        <v>0.2</v>
      </c>
    </row>
    <row r="143" spans="1:13" x14ac:dyDescent="0.35">
      <c r="A143" s="1" t="s">
        <v>277</v>
      </c>
      <c r="B143" s="1" t="s">
        <v>278</v>
      </c>
      <c r="C143" s="1" t="s">
        <v>44</v>
      </c>
      <c r="D143" s="1" t="s">
        <v>45</v>
      </c>
      <c r="E143" s="1" t="s">
        <v>16</v>
      </c>
      <c r="F143" s="1" t="s">
        <v>25</v>
      </c>
      <c r="G143" s="1" t="s">
        <v>36</v>
      </c>
      <c r="H143" s="1">
        <v>11403</v>
      </c>
      <c r="I143" s="1" t="s">
        <v>22</v>
      </c>
      <c r="J143" s="1">
        <v>0.1</v>
      </c>
      <c r="K143" s="1">
        <v>13000</v>
      </c>
      <c r="L143" s="2">
        <v>45320</v>
      </c>
      <c r="M143" s="11">
        <f>IF(OR(I143="",ISNA(MATCH(I143,{"DISC10","DISC15","DISC20","DISC30"},0))),0,J143)</f>
        <v>0.1</v>
      </c>
    </row>
    <row r="144" spans="1:13" x14ac:dyDescent="0.35">
      <c r="A144" s="1" t="s">
        <v>279</v>
      </c>
      <c r="B144" s="1" t="s">
        <v>280</v>
      </c>
      <c r="C144" s="1" t="s">
        <v>30</v>
      </c>
      <c r="D144" s="1" t="s">
        <v>31</v>
      </c>
      <c r="E144" s="1" t="s">
        <v>32</v>
      </c>
      <c r="F144" s="1" t="s">
        <v>25</v>
      </c>
      <c r="G144" s="1" t="s">
        <v>36</v>
      </c>
      <c r="H144" s="1">
        <v>18261</v>
      </c>
      <c r="I144" s="1" t="s">
        <v>22</v>
      </c>
      <c r="J144" s="1">
        <v>0.1</v>
      </c>
      <c r="K144" s="1">
        <v>17000</v>
      </c>
      <c r="L144" s="2">
        <v>45310</v>
      </c>
      <c r="M144" s="11">
        <f>IF(OR(I144="",ISNA(MATCH(I144,{"DISC10","DISC15","DISC20","DISC30"},0))),0,J144)</f>
        <v>0.1</v>
      </c>
    </row>
    <row r="145" spans="1:13" x14ac:dyDescent="0.35">
      <c r="A145" s="1" t="s">
        <v>281</v>
      </c>
      <c r="B145" s="1" t="s">
        <v>282</v>
      </c>
      <c r="C145" s="1" t="s">
        <v>61</v>
      </c>
      <c r="D145" s="1" t="s">
        <v>62</v>
      </c>
      <c r="E145" s="1" t="s">
        <v>32</v>
      </c>
      <c r="F145" s="1" t="s">
        <v>25</v>
      </c>
      <c r="G145" s="1" t="s">
        <v>26</v>
      </c>
      <c r="H145" s="1">
        <v>8687</v>
      </c>
      <c r="I145" s="1" t="s">
        <v>27</v>
      </c>
      <c r="J145" s="1"/>
      <c r="K145" s="1">
        <v>9000</v>
      </c>
      <c r="L145" s="2">
        <v>45335</v>
      </c>
      <c r="M145" s="11">
        <f>IF(OR(I145="",ISNA(MATCH(I145,{"DISC10","DISC15","DISC20","DISC30"},0))),0,J145)</f>
        <v>0</v>
      </c>
    </row>
    <row r="146" spans="1:13" x14ac:dyDescent="0.35">
      <c r="A146" s="1" t="s">
        <v>283</v>
      </c>
      <c r="B146" s="1" t="s">
        <v>72</v>
      </c>
      <c r="C146" s="1" t="s">
        <v>44</v>
      </c>
      <c r="D146" s="1" t="s">
        <v>45</v>
      </c>
      <c r="E146" s="1" t="s">
        <v>32</v>
      </c>
      <c r="F146" s="1" t="s">
        <v>25</v>
      </c>
      <c r="G146" s="1" t="s">
        <v>26</v>
      </c>
      <c r="H146" s="1">
        <v>14566</v>
      </c>
      <c r="I146" s="1"/>
      <c r="J146" s="1"/>
      <c r="K146" s="1">
        <v>13000</v>
      </c>
      <c r="L146" s="2">
        <v>45331</v>
      </c>
      <c r="M146" s="11">
        <f>IF(OR(I146="",ISNA(MATCH(I146,{"DISC10","DISC15","DISC20","DISC30"},0))),0,J146)</f>
        <v>0</v>
      </c>
    </row>
    <row r="147" spans="1:13" x14ac:dyDescent="0.35">
      <c r="A147" s="1" t="s">
        <v>284</v>
      </c>
      <c r="B147" s="1" t="s">
        <v>239</v>
      </c>
      <c r="C147" s="1" t="s">
        <v>61</v>
      </c>
      <c r="D147" s="1" t="s">
        <v>62</v>
      </c>
      <c r="E147" s="1" t="s">
        <v>16</v>
      </c>
      <c r="F147" s="1" t="s">
        <v>25</v>
      </c>
      <c r="G147" s="1" t="s">
        <v>18</v>
      </c>
      <c r="H147" s="1">
        <v>8888</v>
      </c>
      <c r="I147" s="1" t="s">
        <v>33</v>
      </c>
      <c r="J147" s="1">
        <v>0.3</v>
      </c>
      <c r="K147" s="1">
        <v>9000</v>
      </c>
      <c r="L147" s="2">
        <v>45321</v>
      </c>
      <c r="M147" s="11">
        <f>IF(OR(I147="",ISNA(MATCH(I147,{"DISC10","DISC15","DISC20","DISC30"},0))),0,J147)</f>
        <v>0.3</v>
      </c>
    </row>
    <row r="148" spans="1:13" x14ac:dyDescent="0.35">
      <c r="A148" s="1" t="s">
        <v>285</v>
      </c>
      <c r="B148" s="1" t="s">
        <v>286</v>
      </c>
      <c r="C148" s="1" t="s">
        <v>14</v>
      </c>
      <c r="D148" s="1" t="s">
        <v>15</v>
      </c>
      <c r="E148" s="1" t="s">
        <v>46</v>
      </c>
      <c r="F148" s="1" t="s">
        <v>17</v>
      </c>
      <c r="G148" s="1" t="s">
        <v>26</v>
      </c>
      <c r="H148" s="1">
        <v>14238</v>
      </c>
      <c r="I148" s="1" t="s">
        <v>19</v>
      </c>
      <c r="J148" s="1">
        <v>0.2</v>
      </c>
      <c r="K148" s="1">
        <v>14000</v>
      </c>
      <c r="L148" s="2">
        <v>45296</v>
      </c>
      <c r="M148" s="11">
        <f>IF(OR(I148="",ISNA(MATCH(I148,{"DISC10","DISC15","DISC20","DISC30"},0))),0,J148)</f>
        <v>0.2</v>
      </c>
    </row>
    <row r="149" spans="1:13" x14ac:dyDescent="0.35">
      <c r="A149" s="1" t="s">
        <v>287</v>
      </c>
      <c r="B149" s="1" t="s">
        <v>188</v>
      </c>
      <c r="C149" s="1" t="s">
        <v>30</v>
      </c>
      <c r="D149" s="1" t="s">
        <v>31</v>
      </c>
      <c r="E149" s="1" t="s">
        <v>16</v>
      </c>
      <c r="F149" s="1" t="s">
        <v>17</v>
      </c>
      <c r="G149" s="1" t="s">
        <v>26</v>
      </c>
      <c r="H149" s="1">
        <v>16024</v>
      </c>
      <c r="I149" s="1"/>
      <c r="J149" s="1"/>
      <c r="K149" s="1">
        <v>17000</v>
      </c>
      <c r="L149" s="2">
        <v>45346</v>
      </c>
      <c r="M149" s="11">
        <f>IF(OR(I149="",ISNA(MATCH(I149,{"DISC10","DISC15","DISC20","DISC30"},0))),0,J149)</f>
        <v>0</v>
      </c>
    </row>
    <row r="150" spans="1:13" x14ac:dyDescent="0.35">
      <c r="A150" s="1" t="s">
        <v>288</v>
      </c>
      <c r="B150" s="1" t="s">
        <v>289</v>
      </c>
      <c r="C150" s="1" t="s">
        <v>61</v>
      </c>
      <c r="D150" s="1" t="s">
        <v>62</v>
      </c>
      <c r="E150" s="1" t="s">
        <v>46</v>
      </c>
      <c r="F150" s="1" t="s">
        <v>25</v>
      </c>
      <c r="G150" s="1" t="s">
        <v>18</v>
      </c>
      <c r="H150" s="1">
        <v>8562</v>
      </c>
      <c r="I150" s="1" t="s">
        <v>27</v>
      </c>
      <c r="J150" s="1"/>
      <c r="K150" s="1">
        <v>9000</v>
      </c>
      <c r="L150" s="2">
        <v>45314</v>
      </c>
      <c r="M150" s="11">
        <f>IF(OR(I150="",ISNA(MATCH(I150,{"DISC10","DISC15","DISC20","DISC30"},0))),0,J150)</f>
        <v>0</v>
      </c>
    </row>
    <row r="151" spans="1:13" x14ac:dyDescent="0.35">
      <c r="A151" s="1" t="s">
        <v>290</v>
      </c>
      <c r="B151" s="1" t="s">
        <v>291</v>
      </c>
      <c r="C151" s="1" t="s">
        <v>30</v>
      </c>
      <c r="D151" s="1" t="s">
        <v>31</v>
      </c>
      <c r="E151" s="1" t="s">
        <v>32</v>
      </c>
      <c r="F151" s="1" t="s">
        <v>39</v>
      </c>
      <c r="G151" s="1" t="s">
        <v>36</v>
      </c>
      <c r="H151" s="1">
        <v>16124</v>
      </c>
      <c r="I151" s="1" t="s">
        <v>22</v>
      </c>
      <c r="J151" s="1">
        <v>0.1</v>
      </c>
      <c r="K151" s="1">
        <v>17000</v>
      </c>
      <c r="L151" s="2">
        <v>45328</v>
      </c>
      <c r="M151" s="11">
        <f>IF(OR(I151="",ISNA(MATCH(I151,{"DISC10","DISC15","DISC20","DISC30"},0))),0,J151)</f>
        <v>0.1</v>
      </c>
    </row>
    <row r="152" spans="1:13" x14ac:dyDescent="0.35">
      <c r="A152" s="1" t="s">
        <v>292</v>
      </c>
      <c r="B152" s="1" t="s">
        <v>198</v>
      </c>
      <c r="C152" s="1" t="s">
        <v>14</v>
      </c>
      <c r="D152" s="1" t="s">
        <v>15</v>
      </c>
      <c r="E152" s="1" t="s">
        <v>16</v>
      </c>
      <c r="F152" s="1" t="s">
        <v>39</v>
      </c>
      <c r="G152" s="1" t="s">
        <v>36</v>
      </c>
      <c r="H152" s="1">
        <v>15411</v>
      </c>
      <c r="I152" s="1" t="s">
        <v>33</v>
      </c>
      <c r="J152" s="1">
        <v>0.3</v>
      </c>
      <c r="K152" s="1">
        <v>14000</v>
      </c>
      <c r="L152" s="2">
        <v>45341</v>
      </c>
      <c r="M152" s="11">
        <f>IF(OR(I152="",ISNA(MATCH(I152,{"DISC10","DISC15","DISC20","DISC30"},0))),0,J152)</f>
        <v>0.3</v>
      </c>
    </row>
    <row r="153" spans="1:13" x14ac:dyDescent="0.35">
      <c r="A153" s="1" t="s">
        <v>293</v>
      </c>
      <c r="B153" s="1" t="s">
        <v>294</v>
      </c>
      <c r="C153" s="1" t="s">
        <v>30</v>
      </c>
      <c r="D153" s="1" t="s">
        <v>31</v>
      </c>
      <c r="E153" s="1" t="s">
        <v>32</v>
      </c>
      <c r="F153" s="1" t="s">
        <v>39</v>
      </c>
      <c r="G153" s="1" t="s">
        <v>18</v>
      </c>
      <c r="H153" s="1">
        <v>17543</v>
      </c>
      <c r="I153" s="1" t="s">
        <v>33</v>
      </c>
      <c r="J153" s="1">
        <v>0.3</v>
      </c>
      <c r="K153" s="1">
        <v>17000</v>
      </c>
      <c r="L153" s="2">
        <v>45335</v>
      </c>
      <c r="M153" s="11">
        <f>IF(OR(I153="",ISNA(MATCH(I153,{"DISC10","DISC15","DISC20","DISC30"},0))),0,J153)</f>
        <v>0.3</v>
      </c>
    </row>
    <row r="154" spans="1:13" x14ac:dyDescent="0.35">
      <c r="A154" s="1" t="s">
        <v>295</v>
      </c>
      <c r="B154" s="1" t="s">
        <v>296</v>
      </c>
      <c r="C154" s="1" t="s">
        <v>44</v>
      </c>
      <c r="D154" s="1" t="s">
        <v>45</v>
      </c>
      <c r="E154" s="1" t="s">
        <v>16</v>
      </c>
      <c r="F154" s="1" t="s">
        <v>25</v>
      </c>
      <c r="G154" s="1" t="s">
        <v>26</v>
      </c>
      <c r="H154" s="1">
        <v>13647</v>
      </c>
      <c r="I154" s="1" t="s">
        <v>22</v>
      </c>
      <c r="J154" s="1">
        <v>0.1</v>
      </c>
      <c r="K154" s="1">
        <v>13000</v>
      </c>
      <c r="L154" s="2">
        <v>45311</v>
      </c>
      <c r="M154" s="11">
        <f>IF(OR(I154="",ISNA(MATCH(I154,{"DISC10","DISC15","DISC20","DISC30"},0))),0,J154)</f>
        <v>0.1</v>
      </c>
    </row>
    <row r="155" spans="1:13" x14ac:dyDescent="0.35">
      <c r="A155" s="1" t="s">
        <v>297</v>
      </c>
      <c r="B155" s="1" t="s">
        <v>298</v>
      </c>
      <c r="C155" s="1" t="s">
        <v>14</v>
      </c>
      <c r="D155" s="1" t="s">
        <v>15</v>
      </c>
      <c r="E155" s="1" t="s">
        <v>16</v>
      </c>
      <c r="F155" s="1" t="s">
        <v>17</v>
      </c>
      <c r="G155" s="1" t="s">
        <v>26</v>
      </c>
      <c r="H155" s="1">
        <v>12538</v>
      </c>
      <c r="I155" s="1" t="s">
        <v>22</v>
      </c>
      <c r="J155" s="1">
        <v>0.1</v>
      </c>
      <c r="K155" s="1">
        <v>14000</v>
      </c>
      <c r="L155" s="2">
        <v>45350</v>
      </c>
      <c r="M155" s="11">
        <f>IF(OR(I155="",ISNA(MATCH(I155,{"DISC10","DISC15","DISC20","DISC30"},0))),0,J155)</f>
        <v>0.1</v>
      </c>
    </row>
    <row r="156" spans="1:13" x14ac:dyDescent="0.35">
      <c r="A156" s="1" t="s">
        <v>299</v>
      </c>
      <c r="B156" s="1" t="s">
        <v>131</v>
      </c>
      <c r="C156" s="1" t="s">
        <v>61</v>
      </c>
      <c r="D156" s="1" t="s">
        <v>62</v>
      </c>
      <c r="E156" s="1" t="s">
        <v>32</v>
      </c>
      <c r="F156" s="1" t="s">
        <v>25</v>
      </c>
      <c r="G156" s="1" t="s">
        <v>18</v>
      </c>
      <c r="H156" s="1">
        <v>10221</v>
      </c>
      <c r="I156" s="1" t="s">
        <v>27</v>
      </c>
      <c r="J156" s="1"/>
      <c r="K156" s="1">
        <v>9000</v>
      </c>
      <c r="L156" s="2">
        <v>45348</v>
      </c>
      <c r="M156" s="11">
        <f>IF(OR(I156="",ISNA(MATCH(I156,{"DISC10","DISC15","DISC20","DISC30"},0))),0,J156)</f>
        <v>0</v>
      </c>
    </row>
    <row r="157" spans="1:13" x14ac:dyDescent="0.35">
      <c r="A157" s="1" t="s">
        <v>300</v>
      </c>
      <c r="B157" s="1" t="s">
        <v>301</v>
      </c>
      <c r="C157" s="1" t="s">
        <v>30</v>
      </c>
      <c r="D157" s="1" t="s">
        <v>31</v>
      </c>
      <c r="E157" s="1" t="s">
        <v>32</v>
      </c>
      <c r="F157" s="1" t="s">
        <v>17</v>
      </c>
      <c r="G157" s="1" t="s">
        <v>36</v>
      </c>
      <c r="H157" s="1">
        <v>18962</v>
      </c>
      <c r="I157" s="1" t="s">
        <v>33</v>
      </c>
      <c r="J157" s="1">
        <v>0.3</v>
      </c>
      <c r="K157" s="1">
        <v>17000</v>
      </c>
      <c r="L157" s="2">
        <v>45339</v>
      </c>
      <c r="M157" s="11">
        <f>IF(OR(I157="",ISNA(MATCH(I157,{"DISC10","DISC15","DISC20","DISC30"},0))),0,J157)</f>
        <v>0.3</v>
      </c>
    </row>
    <row r="158" spans="1:13" x14ac:dyDescent="0.35">
      <c r="A158" s="1" t="s">
        <v>302</v>
      </c>
      <c r="B158" s="1" t="s">
        <v>303</v>
      </c>
      <c r="C158" s="1" t="s">
        <v>14</v>
      </c>
      <c r="D158" s="1" t="s">
        <v>15</v>
      </c>
      <c r="E158" s="1" t="s">
        <v>46</v>
      </c>
      <c r="F158" s="1" t="s">
        <v>25</v>
      </c>
      <c r="G158" s="1" t="s">
        <v>18</v>
      </c>
      <c r="H158" s="1">
        <v>15089</v>
      </c>
      <c r="I158" s="1" t="s">
        <v>19</v>
      </c>
      <c r="J158" s="1">
        <v>0.2</v>
      </c>
      <c r="K158" s="1">
        <v>14000</v>
      </c>
      <c r="L158" s="2">
        <v>45347</v>
      </c>
      <c r="M158" s="11">
        <f>IF(OR(I158="",ISNA(MATCH(I158,{"DISC10","DISC15","DISC20","DISC30"},0))),0,J158)</f>
        <v>0.2</v>
      </c>
    </row>
    <row r="159" spans="1:13" x14ac:dyDescent="0.35">
      <c r="A159" s="1" t="s">
        <v>304</v>
      </c>
      <c r="B159" s="1" t="s">
        <v>305</v>
      </c>
      <c r="C159" s="1" t="s">
        <v>61</v>
      </c>
      <c r="D159" s="1" t="s">
        <v>62</v>
      </c>
      <c r="E159" s="1" t="s">
        <v>16</v>
      </c>
      <c r="F159" s="1" t="s">
        <v>17</v>
      </c>
      <c r="G159" s="1" t="s">
        <v>18</v>
      </c>
      <c r="H159" s="1">
        <v>10238</v>
      </c>
      <c r="I159" s="1"/>
      <c r="J159" s="1"/>
      <c r="K159" s="1">
        <v>9000</v>
      </c>
      <c r="L159" s="2">
        <v>45292</v>
      </c>
      <c r="M159" s="11">
        <f>IF(OR(I159="",ISNA(MATCH(I159,{"DISC10","DISC15","DISC20","DISC30"},0))),0,J159)</f>
        <v>0</v>
      </c>
    </row>
    <row r="160" spans="1:13" x14ac:dyDescent="0.35">
      <c r="A160" s="1" t="s">
        <v>306</v>
      </c>
      <c r="B160" s="1" t="s">
        <v>307</v>
      </c>
      <c r="C160" s="1" t="s">
        <v>14</v>
      </c>
      <c r="D160" s="1" t="s">
        <v>15</v>
      </c>
      <c r="E160" s="1" t="s">
        <v>46</v>
      </c>
      <c r="F160" s="1" t="s">
        <v>17</v>
      </c>
      <c r="G160" s="1" t="s">
        <v>26</v>
      </c>
      <c r="H160" s="1">
        <v>15067</v>
      </c>
      <c r="I160" s="1" t="s">
        <v>33</v>
      </c>
      <c r="J160" s="1">
        <v>0.3</v>
      </c>
      <c r="K160" s="1">
        <v>14000</v>
      </c>
      <c r="L160" s="2">
        <v>45329</v>
      </c>
      <c r="M160" s="11">
        <f>IF(OR(I160="",ISNA(MATCH(I160,{"DISC10","DISC15","DISC20","DISC30"},0))),0,J160)</f>
        <v>0.3</v>
      </c>
    </row>
    <row r="161" spans="1:13" x14ac:dyDescent="0.35">
      <c r="A161" s="1" t="s">
        <v>308</v>
      </c>
      <c r="B161" s="1" t="s">
        <v>309</v>
      </c>
      <c r="C161" s="1" t="s">
        <v>30</v>
      </c>
      <c r="D161" s="1" t="s">
        <v>31</v>
      </c>
      <c r="E161" s="1" t="s">
        <v>32</v>
      </c>
      <c r="F161" s="1" t="s">
        <v>39</v>
      </c>
      <c r="G161" s="1" t="s">
        <v>18</v>
      </c>
      <c r="H161" s="1">
        <v>16931</v>
      </c>
      <c r="I161" s="1" t="s">
        <v>22</v>
      </c>
      <c r="J161" s="1">
        <v>0.1</v>
      </c>
      <c r="K161" s="1">
        <v>17000</v>
      </c>
      <c r="L161" s="2">
        <v>45331</v>
      </c>
      <c r="M161" s="11">
        <f>IF(OR(I161="",ISNA(MATCH(I161,{"DISC10","DISC15","DISC20","DISC30"},0))),0,J161)</f>
        <v>0.1</v>
      </c>
    </row>
    <row r="162" spans="1:13" x14ac:dyDescent="0.35">
      <c r="A162" s="1" t="s">
        <v>310</v>
      </c>
      <c r="B162" s="1" t="s">
        <v>84</v>
      </c>
      <c r="C162" s="1" t="s">
        <v>30</v>
      </c>
      <c r="D162" s="1" t="s">
        <v>31</v>
      </c>
      <c r="E162" s="1" t="s">
        <v>16</v>
      </c>
      <c r="F162" s="1" t="s">
        <v>25</v>
      </c>
      <c r="G162" s="1" t="s">
        <v>26</v>
      </c>
      <c r="H162" s="1">
        <v>15258</v>
      </c>
      <c r="I162" s="1"/>
      <c r="J162" s="1"/>
      <c r="K162" s="1">
        <v>17000</v>
      </c>
      <c r="L162" s="2">
        <v>45350</v>
      </c>
      <c r="M162" s="11">
        <f>IF(OR(I162="",ISNA(MATCH(I162,{"DISC10","DISC15","DISC20","DISC30"},0))),0,J162)</f>
        <v>0</v>
      </c>
    </row>
    <row r="163" spans="1:13" x14ac:dyDescent="0.35">
      <c r="A163" s="1" t="s">
        <v>311</v>
      </c>
      <c r="B163" s="1" t="s">
        <v>265</v>
      </c>
      <c r="C163" s="1" t="s">
        <v>61</v>
      </c>
      <c r="D163" s="1" t="s">
        <v>62</v>
      </c>
      <c r="E163" s="1" t="s">
        <v>32</v>
      </c>
      <c r="F163" s="1" t="s">
        <v>25</v>
      </c>
      <c r="G163" s="1" t="s">
        <v>18</v>
      </c>
      <c r="H163" s="1">
        <v>10875</v>
      </c>
      <c r="I163" s="1" t="s">
        <v>22</v>
      </c>
      <c r="J163" s="1">
        <v>0.1</v>
      </c>
      <c r="K163" s="1">
        <v>9000</v>
      </c>
      <c r="L163" s="2">
        <v>45311</v>
      </c>
      <c r="M163" s="11">
        <f>IF(OR(I163="",ISNA(MATCH(I163,{"DISC10","DISC15","DISC20","DISC30"},0))),0,J163)</f>
        <v>0.1</v>
      </c>
    </row>
    <row r="164" spans="1:13" x14ac:dyDescent="0.35">
      <c r="A164" s="1" t="s">
        <v>312</v>
      </c>
      <c r="B164" s="1" t="s">
        <v>227</v>
      </c>
      <c r="C164" s="1" t="s">
        <v>14</v>
      </c>
      <c r="D164" s="1" t="s">
        <v>15</v>
      </c>
      <c r="E164" s="1" t="s">
        <v>32</v>
      </c>
      <c r="F164" s="1" t="s">
        <v>39</v>
      </c>
      <c r="G164" s="1" t="s">
        <v>18</v>
      </c>
      <c r="H164" s="1">
        <v>13591</v>
      </c>
      <c r="I164" s="1"/>
      <c r="J164" s="1"/>
      <c r="K164" s="1">
        <v>14000</v>
      </c>
      <c r="L164" s="2">
        <v>45315</v>
      </c>
      <c r="M164" s="11">
        <f>IF(OR(I164="",ISNA(MATCH(I164,{"DISC10","DISC15","DISC20","DISC30"},0))),0,J164)</f>
        <v>0</v>
      </c>
    </row>
    <row r="165" spans="1:13" x14ac:dyDescent="0.35">
      <c r="A165" s="1" t="s">
        <v>313</v>
      </c>
      <c r="B165" s="1" t="s">
        <v>305</v>
      </c>
      <c r="C165" s="1" t="s">
        <v>61</v>
      </c>
      <c r="D165" s="1" t="s">
        <v>62</v>
      </c>
      <c r="E165" s="1" t="s">
        <v>16</v>
      </c>
      <c r="F165" s="1" t="s">
        <v>39</v>
      </c>
      <c r="G165" s="1" t="s">
        <v>26</v>
      </c>
      <c r="H165" s="1">
        <v>7632</v>
      </c>
      <c r="I165" s="1"/>
      <c r="J165" s="1"/>
      <c r="K165" s="1">
        <v>9000</v>
      </c>
      <c r="L165" s="2">
        <v>45333</v>
      </c>
      <c r="M165" s="11">
        <f>IF(OR(I165="",ISNA(MATCH(I165,{"DISC10","DISC15","DISC20","DISC30"},0))),0,J165)</f>
        <v>0</v>
      </c>
    </row>
    <row r="166" spans="1:13" x14ac:dyDescent="0.35">
      <c r="A166" s="1" t="s">
        <v>314</v>
      </c>
      <c r="B166" s="1" t="s">
        <v>159</v>
      </c>
      <c r="C166" s="1" t="s">
        <v>61</v>
      </c>
      <c r="D166" s="1" t="s">
        <v>62</v>
      </c>
      <c r="E166" s="1" t="s">
        <v>16</v>
      </c>
      <c r="F166" s="1" t="s">
        <v>17</v>
      </c>
      <c r="G166" s="1" t="s">
        <v>36</v>
      </c>
      <c r="H166" s="1">
        <v>7134</v>
      </c>
      <c r="I166" s="1" t="s">
        <v>33</v>
      </c>
      <c r="J166" s="1">
        <v>0.3</v>
      </c>
      <c r="K166" s="1">
        <v>9000</v>
      </c>
      <c r="L166" s="2">
        <v>45305</v>
      </c>
      <c r="M166" s="11">
        <f>IF(OR(I166="",ISNA(MATCH(I166,{"DISC10","DISC15","DISC20","DISC30"},0))),0,J166)</f>
        <v>0.3</v>
      </c>
    </row>
    <row r="167" spans="1:13" x14ac:dyDescent="0.35">
      <c r="A167" s="1" t="s">
        <v>315</v>
      </c>
      <c r="B167" s="1" t="s">
        <v>231</v>
      </c>
      <c r="C167" s="1" t="s">
        <v>44</v>
      </c>
      <c r="D167" s="1" t="s">
        <v>45</v>
      </c>
      <c r="E167" s="1" t="s">
        <v>46</v>
      </c>
      <c r="F167" s="1" t="s">
        <v>25</v>
      </c>
      <c r="G167" s="1" t="s">
        <v>26</v>
      </c>
      <c r="H167" s="1">
        <v>12504</v>
      </c>
      <c r="I167" s="1" t="s">
        <v>27</v>
      </c>
      <c r="J167" s="1"/>
      <c r="K167" s="1">
        <v>13000</v>
      </c>
      <c r="L167" s="2">
        <v>45349</v>
      </c>
      <c r="M167" s="11">
        <f>IF(OR(I167="",ISNA(MATCH(I167,{"DISC10","DISC15","DISC20","DISC30"},0))),0,J167)</f>
        <v>0</v>
      </c>
    </row>
    <row r="168" spans="1:13" x14ac:dyDescent="0.35">
      <c r="A168" s="1" t="s">
        <v>316</v>
      </c>
      <c r="B168" s="1" t="s">
        <v>317</v>
      </c>
      <c r="C168" s="1" t="s">
        <v>14</v>
      </c>
      <c r="D168" s="1" t="s">
        <v>15</v>
      </c>
      <c r="E168" s="1" t="s">
        <v>46</v>
      </c>
      <c r="F168" s="1" t="s">
        <v>17</v>
      </c>
      <c r="G168" s="1" t="s">
        <v>18</v>
      </c>
      <c r="H168" s="1">
        <v>15965</v>
      </c>
      <c r="I168" s="1" t="s">
        <v>22</v>
      </c>
      <c r="J168" s="1">
        <v>0.1</v>
      </c>
      <c r="K168" s="1">
        <v>14000</v>
      </c>
      <c r="L168" s="2">
        <v>45352</v>
      </c>
      <c r="M168" s="11">
        <f>IF(OR(I168="",ISNA(MATCH(I168,{"DISC10","DISC15","DISC20","DISC30"},0))),0,J168)</f>
        <v>0.1</v>
      </c>
    </row>
    <row r="169" spans="1:13" x14ac:dyDescent="0.35">
      <c r="A169" s="1" t="s">
        <v>318</v>
      </c>
      <c r="B169" s="1" t="s">
        <v>319</v>
      </c>
      <c r="C169" s="1" t="s">
        <v>61</v>
      </c>
      <c r="D169" s="1" t="s">
        <v>62</v>
      </c>
      <c r="E169" s="1" t="s">
        <v>32</v>
      </c>
      <c r="F169" s="1" t="s">
        <v>39</v>
      </c>
      <c r="G169" s="1" t="s">
        <v>18</v>
      </c>
      <c r="H169" s="1">
        <v>9628</v>
      </c>
      <c r="I169" s="1" t="s">
        <v>27</v>
      </c>
      <c r="J169" s="1"/>
      <c r="K169" s="1">
        <v>9000</v>
      </c>
      <c r="L169" s="2">
        <v>45293</v>
      </c>
      <c r="M169" s="11">
        <f>IF(OR(I169="",ISNA(MATCH(I169,{"DISC10","DISC15","DISC20","DISC30"},0))),0,J169)</f>
        <v>0</v>
      </c>
    </row>
    <row r="170" spans="1:13" x14ac:dyDescent="0.35">
      <c r="A170" s="1" t="s">
        <v>320</v>
      </c>
      <c r="B170" s="1" t="s">
        <v>321</v>
      </c>
      <c r="C170" s="1" t="s">
        <v>30</v>
      </c>
      <c r="D170" s="1" t="s">
        <v>31</v>
      </c>
      <c r="E170" s="1" t="s">
        <v>32</v>
      </c>
      <c r="F170" s="1" t="s">
        <v>25</v>
      </c>
      <c r="G170" s="1" t="s">
        <v>26</v>
      </c>
      <c r="H170" s="1">
        <v>15840</v>
      </c>
      <c r="I170" s="1" t="s">
        <v>22</v>
      </c>
      <c r="J170" s="1">
        <v>0.1</v>
      </c>
      <c r="K170" s="1">
        <v>17000</v>
      </c>
      <c r="L170" s="2">
        <v>45345</v>
      </c>
      <c r="M170" s="11">
        <f>IF(OR(I170="",ISNA(MATCH(I170,{"DISC10","DISC15","DISC20","DISC30"},0))),0,J170)</f>
        <v>0.1</v>
      </c>
    </row>
    <row r="171" spans="1:13" x14ac:dyDescent="0.35">
      <c r="A171" s="1" t="s">
        <v>322</v>
      </c>
      <c r="B171" s="1" t="s">
        <v>133</v>
      </c>
      <c r="C171" s="1" t="s">
        <v>44</v>
      </c>
      <c r="D171" s="1" t="s">
        <v>45</v>
      </c>
      <c r="E171" s="1" t="s">
        <v>16</v>
      </c>
      <c r="F171" s="1" t="s">
        <v>25</v>
      </c>
      <c r="G171" s="1" t="s">
        <v>18</v>
      </c>
      <c r="H171" s="1">
        <v>12345</v>
      </c>
      <c r="I171" s="1" t="s">
        <v>19</v>
      </c>
      <c r="J171" s="1">
        <v>0.2</v>
      </c>
      <c r="K171" s="1">
        <v>13000</v>
      </c>
      <c r="L171" s="2">
        <v>45342</v>
      </c>
      <c r="M171" s="11">
        <f>IF(OR(I171="",ISNA(MATCH(I171,{"DISC10","DISC15","DISC20","DISC30"},0))),0,J171)</f>
        <v>0.2</v>
      </c>
    </row>
    <row r="172" spans="1:13" x14ac:dyDescent="0.35">
      <c r="A172" s="1" t="s">
        <v>323</v>
      </c>
      <c r="B172" s="1" t="s">
        <v>60</v>
      </c>
      <c r="C172" s="1" t="s">
        <v>14</v>
      </c>
      <c r="D172" s="1" t="s">
        <v>15</v>
      </c>
      <c r="E172" s="1" t="s">
        <v>46</v>
      </c>
      <c r="F172" s="1" t="s">
        <v>25</v>
      </c>
      <c r="G172" s="1" t="s">
        <v>18</v>
      </c>
      <c r="H172" s="1">
        <v>14212</v>
      </c>
      <c r="I172" s="1" t="s">
        <v>33</v>
      </c>
      <c r="J172" s="1">
        <v>0.3</v>
      </c>
      <c r="K172" s="1">
        <v>14000</v>
      </c>
      <c r="L172" s="2">
        <v>45343</v>
      </c>
      <c r="M172" s="11">
        <f>IF(OR(I172="",ISNA(MATCH(I172,{"DISC10","DISC15","DISC20","DISC30"},0))),0,J172)</f>
        <v>0.3</v>
      </c>
    </row>
    <row r="173" spans="1:13" x14ac:dyDescent="0.35">
      <c r="A173" s="1" t="s">
        <v>324</v>
      </c>
      <c r="B173" s="1" t="s">
        <v>325</v>
      </c>
      <c r="C173" s="1" t="s">
        <v>14</v>
      </c>
      <c r="D173" s="1" t="s">
        <v>15</v>
      </c>
      <c r="E173" s="1" t="s">
        <v>32</v>
      </c>
      <c r="F173" s="1" t="s">
        <v>25</v>
      </c>
      <c r="G173" s="1" t="s">
        <v>36</v>
      </c>
      <c r="H173" s="1">
        <v>15235</v>
      </c>
      <c r="I173" s="1" t="s">
        <v>19</v>
      </c>
      <c r="J173" s="1">
        <v>0.2</v>
      </c>
      <c r="K173" s="1">
        <v>14000</v>
      </c>
      <c r="L173" s="2">
        <v>45329</v>
      </c>
      <c r="M173" s="11">
        <f>IF(OR(I173="",ISNA(MATCH(I173,{"DISC10","DISC15","DISC20","DISC30"},0))),0,J173)</f>
        <v>0.2</v>
      </c>
    </row>
    <row r="174" spans="1:13" x14ac:dyDescent="0.35">
      <c r="A174" s="1" t="s">
        <v>326</v>
      </c>
      <c r="B174" s="1" t="s">
        <v>327</v>
      </c>
      <c r="C174" s="1" t="s">
        <v>44</v>
      </c>
      <c r="D174" s="1" t="s">
        <v>45</v>
      </c>
      <c r="E174" s="1" t="s">
        <v>46</v>
      </c>
      <c r="F174" s="1" t="s">
        <v>25</v>
      </c>
      <c r="G174" s="1" t="s">
        <v>18</v>
      </c>
      <c r="H174" s="1">
        <v>14038</v>
      </c>
      <c r="I174" s="1"/>
      <c r="J174" s="1"/>
      <c r="K174" s="1">
        <v>13000</v>
      </c>
      <c r="L174" s="2">
        <v>45325</v>
      </c>
      <c r="M174" s="11">
        <f>IF(OR(I174="",ISNA(MATCH(I174,{"DISC10","DISC15","DISC20","DISC30"},0))),0,J174)</f>
        <v>0</v>
      </c>
    </row>
    <row r="175" spans="1:13" x14ac:dyDescent="0.35">
      <c r="A175" s="1" t="s">
        <v>328</v>
      </c>
      <c r="B175" s="1" t="s">
        <v>173</v>
      </c>
      <c r="C175" s="1" t="s">
        <v>14</v>
      </c>
      <c r="D175" s="1" t="s">
        <v>15</v>
      </c>
      <c r="E175" s="1" t="s">
        <v>46</v>
      </c>
      <c r="F175" s="1" t="s">
        <v>17</v>
      </c>
      <c r="G175" s="1" t="s">
        <v>36</v>
      </c>
      <c r="H175" s="1">
        <v>14102</v>
      </c>
      <c r="I175" s="1" t="s">
        <v>27</v>
      </c>
      <c r="J175" s="1"/>
      <c r="K175" s="1">
        <v>14000</v>
      </c>
      <c r="L175" s="2">
        <v>45298</v>
      </c>
      <c r="M175" s="11">
        <f>IF(OR(I175="",ISNA(MATCH(I175,{"DISC10","DISC15","DISC20","DISC30"},0))),0,J175)</f>
        <v>0</v>
      </c>
    </row>
    <row r="176" spans="1:13" x14ac:dyDescent="0.35">
      <c r="A176" s="1" t="s">
        <v>329</v>
      </c>
      <c r="B176" s="1" t="s">
        <v>330</v>
      </c>
      <c r="C176" s="1" t="s">
        <v>44</v>
      </c>
      <c r="D176" s="1" t="s">
        <v>45</v>
      </c>
      <c r="E176" s="1" t="s">
        <v>16</v>
      </c>
      <c r="F176" s="1" t="s">
        <v>25</v>
      </c>
      <c r="G176" s="1" t="s">
        <v>26</v>
      </c>
      <c r="H176" s="1">
        <v>14208</v>
      </c>
      <c r="I176" s="1" t="s">
        <v>27</v>
      </c>
      <c r="J176" s="1"/>
      <c r="K176" s="1">
        <v>13000</v>
      </c>
      <c r="L176" s="2">
        <v>45311</v>
      </c>
      <c r="M176" s="11">
        <f>IF(OR(I176="",ISNA(MATCH(I176,{"DISC10","DISC15","DISC20","DISC30"},0))),0,J176)</f>
        <v>0</v>
      </c>
    </row>
    <row r="177" spans="1:13" x14ac:dyDescent="0.35">
      <c r="A177" s="1" t="s">
        <v>331</v>
      </c>
      <c r="B177" s="1" t="s">
        <v>332</v>
      </c>
      <c r="C177" s="1" t="s">
        <v>14</v>
      </c>
      <c r="D177" s="1" t="s">
        <v>15</v>
      </c>
      <c r="E177" s="1" t="s">
        <v>32</v>
      </c>
      <c r="F177" s="1" t="s">
        <v>17</v>
      </c>
      <c r="G177" s="1" t="s">
        <v>36</v>
      </c>
      <c r="H177" s="1">
        <v>13746</v>
      </c>
      <c r="I177" s="1" t="s">
        <v>22</v>
      </c>
      <c r="J177" s="1">
        <v>0.1</v>
      </c>
      <c r="K177" s="1">
        <v>14000</v>
      </c>
      <c r="L177" s="2">
        <v>45323</v>
      </c>
      <c r="M177" s="11">
        <f>IF(OR(I177="",ISNA(MATCH(I177,{"DISC10","DISC15","DISC20","DISC30"},0))),0,J177)</f>
        <v>0.1</v>
      </c>
    </row>
    <row r="178" spans="1:13" x14ac:dyDescent="0.35">
      <c r="A178" s="1" t="s">
        <v>333</v>
      </c>
      <c r="B178" s="1" t="s">
        <v>334</v>
      </c>
      <c r="C178" s="1" t="s">
        <v>14</v>
      </c>
      <c r="D178" s="1" t="s">
        <v>15</v>
      </c>
      <c r="E178" s="1" t="s">
        <v>32</v>
      </c>
      <c r="F178" s="1" t="s">
        <v>17</v>
      </c>
      <c r="G178" s="1" t="s">
        <v>26</v>
      </c>
      <c r="H178" s="1">
        <v>12607</v>
      </c>
      <c r="I178" s="1" t="s">
        <v>22</v>
      </c>
      <c r="J178" s="1">
        <v>0.1</v>
      </c>
      <c r="K178" s="1">
        <v>14000</v>
      </c>
      <c r="L178" s="2">
        <v>45300</v>
      </c>
      <c r="M178" s="11">
        <f>IF(OR(I178="",ISNA(MATCH(I178,{"DISC10","DISC15","DISC20","DISC30"},0))),0,J178)</f>
        <v>0.1</v>
      </c>
    </row>
    <row r="179" spans="1:13" x14ac:dyDescent="0.35">
      <c r="A179" s="1" t="s">
        <v>335</v>
      </c>
      <c r="B179" s="1" t="s">
        <v>118</v>
      </c>
      <c r="C179" s="1" t="s">
        <v>30</v>
      </c>
      <c r="D179" s="1" t="s">
        <v>31</v>
      </c>
      <c r="E179" s="1" t="s">
        <v>46</v>
      </c>
      <c r="F179" s="1" t="s">
        <v>39</v>
      </c>
      <c r="G179" s="1" t="s">
        <v>26</v>
      </c>
      <c r="H179" s="1">
        <v>16207</v>
      </c>
      <c r="I179" s="1"/>
      <c r="J179" s="1"/>
      <c r="K179" s="1">
        <v>17000</v>
      </c>
      <c r="L179" s="2">
        <v>45324</v>
      </c>
      <c r="M179" s="11">
        <f>IF(OR(I179="",ISNA(MATCH(I179,{"DISC10","DISC15","DISC20","DISC30"},0))),0,J179)</f>
        <v>0</v>
      </c>
    </row>
    <row r="180" spans="1:13" x14ac:dyDescent="0.35">
      <c r="A180" s="1" t="s">
        <v>336</v>
      </c>
      <c r="B180" s="1" t="s">
        <v>337</v>
      </c>
      <c r="C180" s="1" t="s">
        <v>14</v>
      </c>
      <c r="D180" s="1" t="s">
        <v>15</v>
      </c>
      <c r="E180" s="1" t="s">
        <v>16</v>
      </c>
      <c r="F180" s="1" t="s">
        <v>25</v>
      </c>
      <c r="G180" s="1" t="s">
        <v>26</v>
      </c>
      <c r="H180" s="1">
        <v>14666</v>
      </c>
      <c r="I180" s="1" t="s">
        <v>27</v>
      </c>
      <c r="J180" s="1"/>
      <c r="K180" s="1">
        <v>14000</v>
      </c>
      <c r="L180" s="2">
        <v>45338</v>
      </c>
      <c r="M180" s="11">
        <f>IF(OR(I180="",ISNA(MATCH(I180,{"DISC10","DISC15","DISC20","DISC30"},0))),0,J180)</f>
        <v>0</v>
      </c>
    </row>
    <row r="181" spans="1:13" x14ac:dyDescent="0.35">
      <c r="A181" s="1" t="s">
        <v>338</v>
      </c>
      <c r="B181" s="1" t="s">
        <v>207</v>
      </c>
      <c r="C181" s="1" t="s">
        <v>61</v>
      </c>
      <c r="D181" s="1" t="s">
        <v>62</v>
      </c>
      <c r="E181" s="1" t="s">
        <v>46</v>
      </c>
      <c r="F181" s="1" t="s">
        <v>25</v>
      </c>
      <c r="G181" s="1" t="s">
        <v>36</v>
      </c>
      <c r="H181" s="1">
        <v>8388</v>
      </c>
      <c r="I181" s="1"/>
      <c r="J181" s="1"/>
      <c r="K181" s="1">
        <v>9000</v>
      </c>
      <c r="L181" s="2">
        <v>45317</v>
      </c>
      <c r="M181" s="11">
        <f>IF(OR(I181="",ISNA(MATCH(I181,{"DISC10","DISC15","DISC20","DISC30"},0))),0,J181)</f>
        <v>0</v>
      </c>
    </row>
    <row r="182" spans="1:13" x14ac:dyDescent="0.35">
      <c r="A182" s="1" t="s">
        <v>339</v>
      </c>
      <c r="B182" s="1" t="s">
        <v>101</v>
      </c>
      <c r="C182" s="1" t="s">
        <v>14</v>
      </c>
      <c r="D182" s="1" t="s">
        <v>15</v>
      </c>
      <c r="E182" s="1" t="s">
        <v>46</v>
      </c>
      <c r="F182" s="1" t="s">
        <v>17</v>
      </c>
      <c r="G182" s="1" t="s">
        <v>36</v>
      </c>
      <c r="H182" s="1">
        <v>14724</v>
      </c>
      <c r="I182" s="1" t="s">
        <v>33</v>
      </c>
      <c r="J182" s="1">
        <v>0.3</v>
      </c>
      <c r="K182" s="1">
        <v>14000</v>
      </c>
      <c r="L182" s="2">
        <v>45315</v>
      </c>
      <c r="M182" s="11">
        <f>IF(OR(I182="",ISNA(MATCH(I182,{"DISC10","DISC15","DISC20","DISC30"},0))),0,J182)</f>
        <v>0.3</v>
      </c>
    </row>
    <row r="183" spans="1:13" x14ac:dyDescent="0.35">
      <c r="A183" s="1" t="s">
        <v>340</v>
      </c>
      <c r="B183" s="1" t="s">
        <v>113</v>
      </c>
      <c r="C183" s="1" t="s">
        <v>61</v>
      </c>
      <c r="D183" s="1" t="s">
        <v>62</v>
      </c>
      <c r="E183" s="1" t="s">
        <v>32</v>
      </c>
      <c r="F183" s="1" t="s">
        <v>25</v>
      </c>
      <c r="G183" s="1" t="s">
        <v>18</v>
      </c>
      <c r="H183" s="1">
        <v>7381</v>
      </c>
      <c r="I183" s="1"/>
      <c r="J183" s="1"/>
      <c r="K183" s="1">
        <v>9000</v>
      </c>
      <c r="L183" s="2">
        <v>45298</v>
      </c>
      <c r="M183" s="11">
        <f>IF(OR(I183="",ISNA(MATCH(I183,{"DISC10","DISC15","DISC20","DISC30"},0))),0,J183)</f>
        <v>0</v>
      </c>
    </row>
    <row r="184" spans="1:13" x14ac:dyDescent="0.35">
      <c r="A184" s="1" t="s">
        <v>341</v>
      </c>
      <c r="B184" s="1" t="s">
        <v>342</v>
      </c>
      <c r="C184" s="1" t="s">
        <v>30</v>
      </c>
      <c r="D184" s="1" t="s">
        <v>31</v>
      </c>
      <c r="E184" s="1" t="s">
        <v>32</v>
      </c>
      <c r="F184" s="1" t="s">
        <v>39</v>
      </c>
      <c r="G184" s="1" t="s">
        <v>18</v>
      </c>
      <c r="H184" s="1">
        <v>17402</v>
      </c>
      <c r="I184" s="1" t="s">
        <v>27</v>
      </c>
      <c r="J184" s="1"/>
      <c r="K184" s="1">
        <v>17000</v>
      </c>
      <c r="L184" s="2">
        <v>45327</v>
      </c>
      <c r="M184" s="11">
        <f>IF(OR(I184="",ISNA(MATCH(I184,{"DISC10","DISC15","DISC20","DISC30"},0))),0,J184)</f>
        <v>0</v>
      </c>
    </row>
    <row r="185" spans="1:13" x14ac:dyDescent="0.35">
      <c r="A185" s="1" t="s">
        <v>343</v>
      </c>
      <c r="B185" s="1" t="s">
        <v>150</v>
      </c>
      <c r="C185" s="1" t="s">
        <v>14</v>
      </c>
      <c r="D185" s="1" t="s">
        <v>15</v>
      </c>
      <c r="E185" s="1" t="s">
        <v>46</v>
      </c>
      <c r="F185" s="1" t="s">
        <v>17</v>
      </c>
      <c r="G185" s="1" t="s">
        <v>26</v>
      </c>
      <c r="H185" s="1">
        <v>15854</v>
      </c>
      <c r="I185" s="1"/>
      <c r="J185" s="1"/>
      <c r="K185" s="1">
        <v>14000</v>
      </c>
      <c r="L185" s="2">
        <v>45347</v>
      </c>
      <c r="M185" s="11">
        <f>IF(OR(I185="",ISNA(MATCH(I185,{"DISC10","DISC15","DISC20","DISC30"},0))),0,J185)</f>
        <v>0</v>
      </c>
    </row>
    <row r="186" spans="1:13" x14ac:dyDescent="0.35">
      <c r="A186" s="1" t="s">
        <v>344</v>
      </c>
      <c r="B186" s="1" t="s">
        <v>260</v>
      </c>
      <c r="C186" s="1" t="s">
        <v>14</v>
      </c>
      <c r="D186" s="1" t="s">
        <v>15</v>
      </c>
      <c r="E186" s="1" t="s">
        <v>46</v>
      </c>
      <c r="F186" s="1" t="s">
        <v>39</v>
      </c>
      <c r="G186" s="1" t="s">
        <v>36</v>
      </c>
      <c r="H186" s="1">
        <v>13440</v>
      </c>
      <c r="I186" s="1" t="s">
        <v>22</v>
      </c>
      <c r="J186" s="1">
        <v>0.1</v>
      </c>
      <c r="K186" s="1">
        <v>14000</v>
      </c>
      <c r="L186" s="2">
        <v>45328</v>
      </c>
      <c r="M186" s="11">
        <f>IF(OR(I186="",ISNA(MATCH(I186,{"DISC10","DISC15","DISC20","DISC30"},0))),0,J186)</f>
        <v>0.1</v>
      </c>
    </row>
    <row r="187" spans="1:13" x14ac:dyDescent="0.35">
      <c r="A187" s="1" t="s">
        <v>345</v>
      </c>
      <c r="B187" s="1" t="s">
        <v>346</v>
      </c>
      <c r="C187" s="1" t="s">
        <v>44</v>
      </c>
      <c r="D187" s="1" t="s">
        <v>45</v>
      </c>
      <c r="E187" s="1" t="s">
        <v>16</v>
      </c>
      <c r="F187" s="1" t="s">
        <v>17</v>
      </c>
      <c r="G187" s="1" t="s">
        <v>18</v>
      </c>
      <c r="H187" s="1">
        <v>14470</v>
      </c>
      <c r="I187" s="1" t="s">
        <v>22</v>
      </c>
      <c r="J187" s="1">
        <v>0.1</v>
      </c>
      <c r="K187" s="1">
        <v>13000</v>
      </c>
      <c r="L187" s="2">
        <v>45314</v>
      </c>
      <c r="M187" s="11">
        <f>IF(OR(I187="",ISNA(MATCH(I187,{"DISC10","DISC15","DISC20","DISC30"},0))),0,J187)</f>
        <v>0.1</v>
      </c>
    </row>
    <row r="188" spans="1:13" x14ac:dyDescent="0.35">
      <c r="A188" s="1" t="s">
        <v>347</v>
      </c>
      <c r="B188" s="1" t="s">
        <v>144</v>
      </c>
      <c r="C188" s="1" t="s">
        <v>30</v>
      </c>
      <c r="D188" s="1" t="s">
        <v>31</v>
      </c>
      <c r="E188" s="1" t="s">
        <v>32</v>
      </c>
      <c r="F188" s="1" t="s">
        <v>17</v>
      </c>
      <c r="G188" s="1" t="s">
        <v>26</v>
      </c>
      <c r="H188" s="1">
        <v>15926</v>
      </c>
      <c r="I188" s="1"/>
      <c r="J188" s="1"/>
      <c r="K188" s="1">
        <v>17000</v>
      </c>
      <c r="L188" s="2">
        <v>45346</v>
      </c>
      <c r="M188" s="11">
        <f>IF(OR(I188="",ISNA(MATCH(I188,{"DISC10","DISC15","DISC20","DISC30"},0))),0,J188)</f>
        <v>0</v>
      </c>
    </row>
    <row r="189" spans="1:13" x14ac:dyDescent="0.35">
      <c r="A189" s="1" t="s">
        <v>348</v>
      </c>
      <c r="B189" s="1" t="s">
        <v>82</v>
      </c>
      <c r="C189" s="1" t="s">
        <v>14</v>
      </c>
      <c r="D189" s="1" t="s">
        <v>15</v>
      </c>
      <c r="E189" s="1" t="s">
        <v>16</v>
      </c>
      <c r="F189" s="1" t="s">
        <v>39</v>
      </c>
      <c r="G189" s="1" t="s">
        <v>26</v>
      </c>
      <c r="H189" s="1">
        <v>13095</v>
      </c>
      <c r="I189" s="1" t="s">
        <v>22</v>
      </c>
      <c r="J189" s="1">
        <v>0.1</v>
      </c>
      <c r="K189" s="1">
        <v>14000</v>
      </c>
      <c r="L189" s="2">
        <v>45303</v>
      </c>
      <c r="M189" s="11">
        <f>IF(OR(I189="",ISNA(MATCH(I189,{"DISC10","DISC15","DISC20","DISC30"},0))),0,J189)</f>
        <v>0.1</v>
      </c>
    </row>
    <row r="190" spans="1:13" x14ac:dyDescent="0.35">
      <c r="A190" s="1" t="s">
        <v>349</v>
      </c>
      <c r="B190" s="1" t="s">
        <v>350</v>
      </c>
      <c r="C190" s="1" t="s">
        <v>30</v>
      </c>
      <c r="D190" s="1" t="s">
        <v>31</v>
      </c>
      <c r="E190" s="1" t="s">
        <v>46</v>
      </c>
      <c r="F190" s="1" t="s">
        <v>17</v>
      </c>
      <c r="G190" s="1" t="s">
        <v>18</v>
      </c>
      <c r="H190" s="1">
        <v>15743</v>
      </c>
      <c r="I190" s="1" t="s">
        <v>19</v>
      </c>
      <c r="J190" s="1">
        <v>0.2</v>
      </c>
      <c r="K190" s="1">
        <v>17000</v>
      </c>
      <c r="L190" s="2">
        <v>45328</v>
      </c>
      <c r="M190" s="11">
        <f>IF(OR(I190="",ISNA(MATCH(I190,{"DISC10","DISC15","DISC20","DISC30"},0))),0,J190)</f>
        <v>0.2</v>
      </c>
    </row>
    <row r="191" spans="1:13" x14ac:dyDescent="0.35">
      <c r="A191" s="1" t="s">
        <v>351</v>
      </c>
      <c r="B191" s="1" t="s">
        <v>90</v>
      </c>
      <c r="C191" s="1" t="s">
        <v>14</v>
      </c>
      <c r="D191" s="1" t="s">
        <v>15</v>
      </c>
      <c r="E191" s="1" t="s">
        <v>32</v>
      </c>
      <c r="F191" s="1" t="s">
        <v>39</v>
      </c>
      <c r="G191" s="1" t="s">
        <v>26</v>
      </c>
      <c r="H191" s="1">
        <v>15980</v>
      </c>
      <c r="I191" s="1" t="s">
        <v>22</v>
      </c>
      <c r="J191" s="1">
        <v>0.1</v>
      </c>
      <c r="K191" s="1">
        <v>14000</v>
      </c>
      <c r="L191" s="2">
        <v>45297</v>
      </c>
      <c r="M191" s="11">
        <f>IF(OR(I191="",ISNA(MATCH(I191,{"DISC10","DISC15","DISC20","DISC30"},0))),0,J191)</f>
        <v>0.1</v>
      </c>
    </row>
    <row r="192" spans="1:13" x14ac:dyDescent="0.35">
      <c r="A192" s="1" t="s">
        <v>352</v>
      </c>
      <c r="B192" s="1" t="s">
        <v>103</v>
      </c>
      <c r="C192" s="1" t="s">
        <v>44</v>
      </c>
      <c r="D192" s="1" t="s">
        <v>45</v>
      </c>
      <c r="E192" s="1" t="s">
        <v>46</v>
      </c>
      <c r="F192" s="1" t="s">
        <v>17</v>
      </c>
      <c r="G192" s="1" t="s">
        <v>36</v>
      </c>
      <c r="H192" s="1">
        <v>12396</v>
      </c>
      <c r="I192" s="1" t="s">
        <v>19</v>
      </c>
      <c r="J192" s="1">
        <v>0.2</v>
      </c>
      <c r="K192" s="1">
        <v>13000</v>
      </c>
      <c r="L192" s="2">
        <v>45315</v>
      </c>
      <c r="M192" s="11">
        <f>IF(OR(I192="",ISNA(MATCH(I192,{"DISC10","DISC15","DISC20","DISC30"},0))),0,J192)</f>
        <v>0.2</v>
      </c>
    </row>
    <row r="193" spans="1:13" x14ac:dyDescent="0.35">
      <c r="A193" s="1" t="s">
        <v>353</v>
      </c>
      <c r="B193" s="1" t="s">
        <v>350</v>
      </c>
      <c r="C193" s="1" t="s">
        <v>30</v>
      </c>
      <c r="D193" s="1" t="s">
        <v>31</v>
      </c>
      <c r="E193" s="1" t="s">
        <v>16</v>
      </c>
      <c r="F193" s="1" t="s">
        <v>39</v>
      </c>
      <c r="G193" s="1" t="s">
        <v>18</v>
      </c>
      <c r="H193" s="1">
        <v>18618</v>
      </c>
      <c r="I193" s="1" t="s">
        <v>22</v>
      </c>
      <c r="J193" s="1">
        <v>0.1</v>
      </c>
      <c r="K193" s="1">
        <v>17000</v>
      </c>
      <c r="L193" s="2">
        <v>45301</v>
      </c>
      <c r="M193" s="11">
        <f>IF(OR(I193="",ISNA(MATCH(I193,{"DISC10","DISC15","DISC20","DISC30"},0))),0,J193)</f>
        <v>0.1</v>
      </c>
    </row>
    <row r="194" spans="1:13" x14ac:dyDescent="0.35">
      <c r="A194" s="1" t="s">
        <v>354</v>
      </c>
      <c r="B194" s="1" t="s">
        <v>135</v>
      </c>
      <c r="C194" s="1" t="s">
        <v>14</v>
      </c>
      <c r="D194" s="1" t="s">
        <v>15</v>
      </c>
      <c r="E194" s="1" t="s">
        <v>16</v>
      </c>
      <c r="F194" s="1" t="s">
        <v>25</v>
      </c>
      <c r="G194" s="1" t="s">
        <v>36</v>
      </c>
      <c r="H194" s="1">
        <v>13814</v>
      </c>
      <c r="I194" s="1"/>
      <c r="J194" s="1"/>
      <c r="K194" s="1">
        <v>14000</v>
      </c>
      <c r="L194" s="2">
        <v>45323</v>
      </c>
      <c r="M194" s="11">
        <f>IF(OR(I194="",ISNA(MATCH(I194,{"DISC10","DISC15","DISC20","DISC30"},0))),0,J194)</f>
        <v>0</v>
      </c>
    </row>
    <row r="195" spans="1:13" x14ac:dyDescent="0.35">
      <c r="A195" s="1" t="s">
        <v>355</v>
      </c>
      <c r="B195" s="1" t="s">
        <v>356</v>
      </c>
      <c r="C195" s="1" t="s">
        <v>61</v>
      </c>
      <c r="D195" s="1" t="s">
        <v>62</v>
      </c>
      <c r="E195" s="1" t="s">
        <v>46</v>
      </c>
      <c r="F195" s="1" t="s">
        <v>25</v>
      </c>
      <c r="G195" s="1" t="s">
        <v>26</v>
      </c>
      <c r="H195" s="1">
        <v>7466</v>
      </c>
      <c r="I195" s="1" t="s">
        <v>33</v>
      </c>
      <c r="J195" s="1">
        <v>0.3</v>
      </c>
      <c r="K195" s="1">
        <v>9000</v>
      </c>
      <c r="L195" s="2">
        <v>45319</v>
      </c>
      <c r="M195" s="11">
        <f>IF(OR(I195="",ISNA(MATCH(I195,{"DISC10","DISC15","DISC20","DISC30"},0))),0,J195)</f>
        <v>0.3</v>
      </c>
    </row>
    <row r="196" spans="1:13" x14ac:dyDescent="0.35">
      <c r="A196" s="1" t="s">
        <v>357</v>
      </c>
      <c r="B196" s="1" t="s">
        <v>263</v>
      </c>
      <c r="C196" s="1" t="s">
        <v>61</v>
      </c>
      <c r="D196" s="1" t="s">
        <v>62</v>
      </c>
      <c r="E196" s="1" t="s">
        <v>16</v>
      </c>
      <c r="F196" s="1" t="s">
        <v>39</v>
      </c>
      <c r="G196" s="1" t="s">
        <v>36</v>
      </c>
      <c r="H196" s="1">
        <v>7186</v>
      </c>
      <c r="I196" s="1" t="s">
        <v>19</v>
      </c>
      <c r="J196" s="1">
        <v>0.2</v>
      </c>
      <c r="K196" s="1">
        <v>9000</v>
      </c>
      <c r="L196" s="2">
        <v>45317</v>
      </c>
      <c r="M196" s="11">
        <f>IF(OR(I196="",ISNA(MATCH(I196,{"DISC10","DISC15","DISC20","DISC30"},0))),0,J196)</f>
        <v>0.2</v>
      </c>
    </row>
    <row r="197" spans="1:13" x14ac:dyDescent="0.35">
      <c r="A197" s="1" t="s">
        <v>358</v>
      </c>
      <c r="B197" s="1" t="s">
        <v>359</v>
      </c>
      <c r="C197" s="1" t="s">
        <v>14</v>
      </c>
      <c r="D197" s="1" t="s">
        <v>15</v>
      </c>
      <c r="E197" s="1" t="s">
        <v>32</v>
      </c>
      <c r="F197" s="1" t="s">
        <v>17</v>
      </c>
      <c r="G197" s="1" t="s">
        <v>18</v>
      </c>
      <c r="H197" s="1">
        <v>15143</v>
      </c>
      <c r="I197" s="1" t="s">
        <v>19</v>
      </c>
      <c r="J197" s="1">
        <v>0.2</v>
      </c>
      <c r="K197" s="1">
        <v>14000</v>
      </c>
      <c r="L197" s="2">
        <v>45340</v>
      </c>
      <c r="M197" s="11">
        <f>IF(OR(I197="",ISNA(MATCH(I197,{"DISC10","DISC15","DISC20","DISC30"},0))),0,J197)</f>
        <v>0.2</v>
      </c>
    </row>
    <row r="198" spans="1:13" x14ac:dyDescent="0.35">
      <c r="A198" s="1" t="s">
        <v>360</v>
      </c>
      <c r="B198" s="1" t="s">
        <v>361</v>
      </c>
      <c r="C198" s="1" t="s">
        <v>30</v>
      </c>
      <c r="D198" s="1" t="s">
        <v>31</v>
      </c>
      <c r="E198" s="1" t="s">
        <v>32</v>
      </c>
      <c r="F198" s="1" t="s">
        <v>25</v>
      </c>
      <c r="G198" s="1" t="s">
        <v>36</v>
      </c>
      <c r="H198" s="1">
        <v>18059</v>
      </c>
      <c r="I198" s="1"/>
      <c r="J198" s="1"/>
      <c r="K198" s="1">
        <v>17000</v>
      </c>
      <c r="L198" s="2">
        <v>45303</v>
      </c>
      <c r="M198" s="11">
        <f>IF(OR(I198="",ISNA(MATCH(I198,{"DISC10","DISC15","DISC20","DISC30"},0))),0,J198)</f>
        <v>0</v>
      </c>
    </row>
    <row r="199" spans="1:13" x14ac:dyDescent="0.35">
      <c r="A199" s="1" t="s">
        <v>362</v>
      </c>
      <c r="B199" s="1" t="s">
        <v>363</v>
      </c>
      <c r="C199" s="1" t="s">
        <v>44</v>
      </c>
      <c r="D199" s="1" t="s">
        <v>45</v>
      </c>
      <c r="E199" s="1" t="s">
        <v>16</v>
      </c>
      <c r="F199" s="1" t="s">
        <v>39</v>
      </c>
      <c r="G199" s="1" t="s">
        <v>26</v>
      </c>
      <c r="H199" s="1">
        <v>14302</v>
      </c>
      <c r="I199" s="1" t="s">
        <v>33</v>
      </c>
      <c r="J199" s="1">
        <v>0.3</v>
      </c>
      <c r="K199" s="1">
        <v>13000</v>
      </c>
      <c r="L199" s="2">
        <v>45296</v>
      </c>
      <c r="M199" s="11">
        <f>IF(OR(I199="",ISNA(MATCH(I199,{"DISC10","DISC15","DISC20","DISC30"},0))),0,J199)</f>
        <v>0.3</v>
      </c>
    </row>
    <row r="200" spans="1:13" x14ac:dyDescent="0.35">
      <c r="A200" s="1" t="s">
        <v>364</v>
      </c>
      <c r="B200" s="1" t="s">
        <v>309</v>
      </c>
      <c r="C200" s="1" t="s">
        <v>14</v>
      </c>
      <c r="D200" s="1" t="s">
        <v>15</v>
      </c>
      <c r="E200" s="1" t="s">
        <v>46</v>
      </c>
      <c r="F200" s="1" t="s">
        <v>25</v>
      </c>
      <c r="G200" s="1" t="s">
        <v>36</v>
      </c>
      <c r="H200" s="1">
        <v>15773</v>
      </c>
      <c r="I200" s="1" t="s">
        <v>22</v>
      </c>
      <c r="J200" s="1">
        <v>0.1</v>
      </c>
      <c r="K200" s="1">
        <v>14000</v>
      </c>
      <c r="L200" s="2">
        <v>45347</v>
      </c>
      <c r="M200" s="11">
        <f>IF(OR(I200="",ISNA(MATCH(I200,{"DISC10","DISC15","DISC20","DISC30"},0))),0,J200)</f>
        <v>0.1</v>
      </c>
    </row>
    <row r="201" spans="1:13" x14ac:dyDescent="0.35">
      <c r="A201" s="1" t="s">
        <v>365</v>
      </c>
      <c r="B201" s="1" t="s">
        <v>38</v>
      </c>
      <c r="C201" s="1" t="s">
        <v>61</v>
      </c>
      <c r="D201" s="1" t="s">
        <v>62</v>
      </c>
      <c r="E201" s="1" t="s">
        <v>16</v>
      </c>
      <c r="F201" s="1" t="s">
        <v>17</v>
      </c>
      <c r="G201" s="1" t="s">
        <v>26</v>
      </c>
      <c r="H201" s="1">
        <v>9622</v>
      </c>
      <c r="I201" s="1"/>
      <c r="J201" s="1"/>
      <c r="K201" s="1">
        <v>9000</v>
      </c>
      <c r="L201" s="2">
        <v>45310</v>
      </c>
      <c r="M201" s="11">
        <f>IF(OR(I201="",ISNA(MATCH(I201,{"DISC10","DISC15","DISC20","DISC30"},0))),0,J201)</f>
        <v>0</v>
      </c>
    </row>
    <row r="202" spans="1:13" x14ac:dyDescent="0.35">
      <c r="A202" s="1" t="s">
        <v>366</v>
      </c>
      <c r="B202" s="1" t="s">
        <v>66</v>
      </c>
      <c r="C202" s="1" t="s">
        <v>14</v>
      </c>
      <c r="D202" s="1" t="s">
        <v>15</v>
      </c>
      <c r="E202" s="1" t="s">
        <v>46</v>
      </c>
      <c r="F202" s="1" t="s">
        <v>25</v>
      </c>
      <c r="G202" s="1" t="s">
        <v>26</v>
      </c>
      <c r="H202" s="1">
        <v>13884</v>
      </c>
      <c r="I202" s="1" t="s">
        <v>33</v>
      </c>
      <c r="J202" s="1">
        <v>0.3</v>
      </c>
      <c r="K202" s="1">
        <v>14000</v>
      </c>
      <c r="L202" s="2">
        <v>45297</v>
      </c>
      <c r="M202" s="11">
        <f>IF(OR(I202="",ISNA(MATCH(I202,{"DISC10","DISC15","DISC20","DISC30"},0))),0,J202)</f>
        <v>0.3</v>
      </c>
    </row>
    <row r="203" spans="1:13" x14ac:dyDescent="0.35">
      <c r="A203" s="1" t="s">
        <v>367</v>
      </c>
      <c r="B203" s="1" t="s">
        <v>309</v>
      </c>
      <c r="C203" s="1" t="s">
        <v>14</v>
      </c>
      <c r="D203" s="1" t="s">
        <v>15</v>
      </c>
      <c r="E203" s="1" t="s">
        <v>32</v>
      </c>
      <c r="F203" s="1" t="s">
        <v>17</v>
      </c>
      <c r="G203" s="1" t="s">
        <v>26</v>
      </c>
      <c r="H203" s="1">
        <v>13640</v>
      </c>
      <c r="I203" s="1" t="s">
        <v>27</v>
      </c>
      <c r="J203" s="1"/>
      <c r="K203" s="1">
        <v>14000</v>
      </c>
      <c r="L203" s="2">
        <v>45297</v>
      </c>
      <c r="M203" s="11">
        <f>IF(OR(I203="",ISNA(MATCH(I203,{"DISC10","DISC15","DISC20","DISC30"},0))),0,J203)</f>
        <v>0</v>
      </c>
    </row>
    <row r="204" spans="1:13" x14ac:dyDescent="0.35">
      <c r="A204" s="1" t="s">
        <v>368</v>
      </c>
      <c r="B204" s="1" t="s">
        <v>309</v>
      </c>
      <c r="C204" s="1" t="s">
        <v>30</v>
      </c>
      <c r="D204" s="1" t="s">
        <v>31</v>
      </c>
      <c r="E204" s="1" t="s">
        <v>16</v>
      </c>
      <c r="F204" s="1" t="s">
        <v>17</v>
      </c>
      <c r="G204" s="1" t="s">
        <v>18</v>
      </c>
      <c r="H204" s="1">
        <v>16364</v>
      </c>
      <c r="I204" s="1" t="s">
        <v>19</v>
      </c>
      <c r="J204" s="1">
        <v>0.2</v>
      </c>
      <c r="K204" s="1">
        <v>17000</v>
      </c>
      <c r="L204" s="2">
        <v>45296</v>
      </c>
      <c r="M204" s="11">
        <f>IF(OR(I204="",ISNA(MATCH(I204,{"DISC10","DISC15","DISC20","DISC30"},0))),0,J204)</f>
        <v>0.2</v>
      </c>
    </row>
    <row r="205" spans="1:13" x14ac:dyDescent="0.35">
      <c r="A205" s="1" t="s">
        <v>369</v>
      </c>
      <c r="B205" s="1" t="s">
        <v>202</v>
      </c>
      <c r="C205" s="1" t="s">
        <v>14</v>
      </c>
      <c r="D205" s="1" t="s">
        <v>15</v>
      </c>
      <c r="E205" s="1" t="s">
        <v>16</v>
      </c>
      <c r="F205" s="1" t="s">
        <v>39</v>
      </c>
      <c r="G205" s="1" t="s">
        <v>18</v>
      </c>
      <c r="H205" s="1">
        <v>15710</v>
      </c>
      <c r="I205" s="1" t="s">
        <v>33</v>
      </c>
      <c r="J205" s="1">
        <v>0.3</v>
      </c>
      <c r="K205" s="1">
        <v>14000</v>
      </c>
      <c r="L205" s="2">
        <v>45314</v>
      </c>
      <c r="M205" s="11">
        <f>IF(OR(I205="",ISNA(MATCH(I205,{"DISC10","DISC15","DISC20","DISC30"},0))),0,J205)</f>
        <v>0.3</v>
      </c>
    </row>
    <row r="206" spans="1:13" x14ac:dyDescent="0.35">
      <c r="A206" s="1" t="s">
        <v>370</v>
      </c>
      <c r="B206" s="1" t="s">
        <v>371</v>
      </c>
      <c r="C206" s="1" t="s">
        <v>44</v>
      </c>
      <c r="D206" s="1" t="s">
        <v>45</v>
      </c>
      <c r="E206" s="1" t="s">
        <v>32</v>
      </c>
      <c r="F206" s="1" t="s">
        <v>25</v>
      </c>
      <c r="G206" s="1" t="s">
        <v>18</v>
      </c>
      <c r="H206" s="1">
        <v>12048</v>
      </c>
      <c r="I206" s="1" t="s">
        <v>19</v>
      </c>
      <c r="J206" s="1">
        <v>0.2</v>
      </c>
      <c r="K206" s="1">
        <v>13000</v>
      </c>
      <c r="L206" s="2">
        <v>45303</v>
      </c>
      <c r="M206" s="11">
        <f>IF(OR(I206="",ISNA(MATCH(I206,{"DISC10","DISC15","DISC20","DISC30"},0))),0,J206)</f>
        <v>0.2</v>
      </c>
    </row>
    <row r="207" spans="1:13" x14ac:dyDescent="0.35">
      <c r="A207" s="1" t="s">
        <v>372</v>
      </c>
      <c r="B207" s="1" t="s">
        <v>373</v>
      </c>
      <c r="C207" s="1" t="s">
        <v>14</v>
      </c>
      <c r="D207" s="1" t="s">
        <v>15</v>
      </c>
      <c r="E207" s="1" t="s">
        <v>32</v>
      </c>
      <c r="F207" s="1" t="s">
        <v>39</v>
      </c>
      <c r="G207" s="1" t="s">
        <v>36</v>
      </c>
      <c r="H207" s="1">
        <v>13900</v>
      </c>
      <c r="I207" s="1" t="s">
        <v>27</v>
      </c>
      <c r="J207" s="1"/>
      <c r="K207" s="1">
        <v>14000</v>
      </c>
      <c r="L207" s="2">
        <v>45340</v>
      </c>
      <c r="M207" s="11">
        <f>IF(OR(I207="",ISNA(MATCH(I207,{"DISC10","DISC15","DISC20","DISC30"},0))),0,J207)</f>
        <v>0</v>
      </c>
    </row>
    <row r="208" spans="1:13" x14ac:dyDescent="0.35">
      <c r="A208" s="1" t="s">
        <v>374</v>
      </c>
      <c r="B208" s="1" t="s">
        <v>356</v>
      </c>
      <c r="C208" s="1" t="s">
        <v>30</v>
      </c>
      <c r="D208" s="1" t="s">
        <v>31</v>
      </c>
      <c r="E208" s="1" t="s">
        <v>16</v>
      </c>
      <c r="F208" s="1" t="s">
        <v>17</v>
      </c>
      <c r="G208" s="1" t="s">
        <v>18</v>
      </c>
      <c r="H208" s="1">
        <v>16801</v>
      </c>
      <c r="I208" s="1" t="s">
        <v>22</v>
      </c>
      <c r="J208" s="1">
        <v>0.1</v>
      </c>
      <c r="K208" s="1">
        <v>17000</v>
      </c>
      <c r="L208" s="2">
        <v>45322</v>
      </c>
      <c r="M208" s="11">
        <f>IF(OR(I208="",ISNA(MATCH(I208,{"DISC10","DISC15","DISC20","DISC30"},0))),0,J208)</f>
        <v>0.1</v>
      </c>
    </row>
    <row r="209" spans="1:13" x14ac:dyDescent="0.35">
      <c r="A209" s="1" t="s">
        <v>375</v>
      </c>
      <c r="B209" s="1" t="s">
        <v>332</v>
      </c>
      <c r="C209" s="1" t="s">
        <v>30</v>
      </c>
      <c r="D209" s="1" t="s">
        <v>31</v>
      </c>
      <c r="E209" s="1" t="s">
        <v>46</v>
      </c>
      <c r="F209" s="1" t="s">
        <v>39</v>
      </c>
      <c r="G209" s="1" t="s">
        <v>18</v>
      </c>
      <c r="H209" s="1">
        <v>16441</v>
      </c>
      <c r="I209" s="1" t="s">
        <v>27</v>
      </c>
      <c r="J209" s="1"/>
      <c r="K209" s="1">
        <v>17000</v>
      </c>
      <c r="L209" s="2">
        <v>45296</v>
      </c>
      <c r="M209" s="11">
        <f>IF(OR(I209="",ISNA(MATCH(I209,{"DISC10","DISC15","DISC20","DISC30"},0))),0,J209)</f>
        <v>0</v>
      </c>
    </row>
    <row r="210" spans="1:13" x14ac:dyDescent="0.35">
      <c r="A210" s="1" t="s">
        <v>376</v>
      </c>
      <c r="B210" s="1" t="s">
        <v>48</v>
      </c>
      <c r="C210" s="1" t="s">
        <v>61</v>
      </c>
      <c r="D210" s="1" t="s">
        <v>62</v>
      </c>
      <c r="E210" s="1" t="s">
        <v>32</v>
      </c>
      <c r="F210" s="1" t="s">
        <v>25</v>
      </c>
      <c r="G210" s="1" t="s">
        <v>36</v>
      </c>
      <c r="H210" s="1">
        <v>10406</v>
      </c>
      <c r="I210" s="1" t="s">
        <v>33</v>
      </c>
      <c r="J210" s="1">
        <v>0.3</v>
      </c>
      <c r="K210" s="1">
        <v>9000</v>
      </c>
      <c r="L210" s="2">
        <v>45296</v>
      </c>
      <c r="M210" s="11">
        <f>IF(OR(I210="",ISNA(MATCH(I210,{"DISC10","DISC15","DISC20","DISC30"},0))),0,J210)</f>
        <v>0.3</v>
      </c>
    </row>
    <row r="211" spans="1:13" x14ac:dyDescent="0.35">
      <c r="A211" s="1" t="s">
        <v>377</v>
      </c>
      <c r="B211" s="1" t="s">
        <v>204</v>
      </c>
      <c r="C211" s="1" t="s">
        <v>14</v>
      </c>
      <c r="D211" s="1" t="s">
        <v>15</v>
      </c>
      <c r="E211" s="1" t="s">
        <v>16</v>
      </c>
      <c r="F211" s="1" t="s">
        <v>39</v>
      </c>
      <c r="G211" s="1" t="s">
        <v>26</v>
      </c>
      <c r="H211" s="1">
        <v>13574</v>
      </c>
      <c r="I211" s="1"/>
      <c r="J211" s="1"/>
      <c r="K211" s="1">
        <v>14000</v>
      </c>
      <c r="L211" s="2">
        <v>45329</v>
      </c>
      <c r="M211" s="11">
        <f>IF(OR(I211="",ISNA(MATCH(I211,{"DISC10","DISC15","DISC20","DISC30"},0))),0,J211)</f>
        <v>0</v>
      </c>
    </row>
    <row r="212" spans="1:13" x14ac:dyDescent="0.35">
      <c r="A212" s="1" t="s">
        <v>378</v>
      </c>
      <c r="B212" s="1" t="s">
        <v>82</v>
      </c>
      <c r="C212" s="1" t="s">
        <v>14</v>
      </c>
      <c r="D212" s="1" t="s">
        <v>15</v>
      </c>
      <c r="E212" s="1" t="s">
        <v>46</v>
      </c>
      <c r="F212" s="1" t="s">
        <v>39</v>
      </c>
      <c r="G212" s="1" t="s">
        <v>26</v>
      </c>
      <c r="H212" s="1">
        <v>12771</v>
      </c>
      <c r="I212" s="1" t="s">
        <v>33</v>
      </c>
      <c r="J212" s="1">
        <v>0.3</v>
      </c>
      <c r="K212" s="1">
        <v>14000</v>
      </c>
      <c r="L212" s="2">
        <v>45330</v>
      </c>
      <c r="M212" s="11">
        <f>IF(OR(I212="",ISNA(MATCH(I212,{"DISC10","DISC15","DISC20","DISC30"},0))),0,J212)</f>
        <v>0.3</v>
      </c>
    </row>
    <row r="213" spans="1:13" x14ac:dyDescent="0.35">
      <c r="A213" s="1" t="s">
        <v>379</v>
      </c>
      <c r="B213" s="1" t="s">
        <v>330</v>
      </c>
      <c r="C213" s="1" t="s">
        <v>44</v>
      </c>
      <c r="D213" s="1" t="s">
        <v>45</v>
      </c>
      <c r="E213" s="1" t="s">
        <v>32</v>
      </c>
      <c r="F213" s="1" t="s">
        <v>17</v>
      </c>
      <c r="G213" s="1" t="s">
        <v>18</v>
      </c>
      <c r="H213" s="1">
        <v>14321</v>
      </c>
      <c r="I213" s="1" t="s">
        <v>33</v>
      </c>
      <c r="J213" s="1">
        <v>0.3</v>
      </c>
      <c r="K213" s="1">
        <v>13000</v>
      </c>
      <c r="L213" s="2">
        <v>45337</v>
      </c>
      <c r="M213" s="11">
        <f>IF(OR(I213="",ISNA(MATCH(I213,{"DISC10","DISC15","DISC20","DISC30"},0))),0,J213)</f>
        <v>0.3</v>
      </c>
    </row>
    <row r="214" spans="1:13" x14ac:dyDescent="0.35">
      <c r="A214" s="1" t="s">
        <v>380</v>
      </c>
      <c r="B214" s="1" t="s">
        <v>241</v>
      </c>
      <c r="C214" s="1" t="s">
        <v>44</v>
      </c>
      <c r="D214" s="1" t="s">
        <v>45</v>
      </c>
      <c r="E214" s="1" t="s">
        <v>32</v>
      </c>
      <c r="F214" s="1" t="s">
        <v>25</v>
      </c>
      <c r="G214" s="1" t="s">
        <v>26</v>
      </c>
      <c r="H214" s="1">
        <v>12793</v>
      </c>
      <c r="I214" s="1"/>
      <c r="J214" s="1"/>
      <c r="K214" s="1">
        <v>13000</v>
      </c>
      <c r="L214" s="2">
        <v>45325</v>
      </c>
      <c r="M214" s="11">
        <f>IF(OR(I214="",ISNA(MATCH(I214,{"DISC10","DISC15","DISC20","DISC30"},0))),0,J214)</f>
        <v>0</v>
      </c>
    </row>
    <row r="215" spans="1:13" x14ac:dyDescent="0.35">
      <c r="A215" s="1" t="s">
        <v>381</v>
      </c>
      <c r="B215" s="1" t="s">
        <v>382</v>
      </c>
      <c r="C215" s="1" t="s">
        <v>44</v>
      </c>
      <c r="D215" s="1" t="s">
        <v>45</v>
      </c>
      <c r="E215" s="1" t="s">
        <v>46</v>
      </c>
      <c r="F215" s="1" t="s">
        <v>17</v>
      </c>
      <c r="G215" s="1" t="s">
        <v>36</v>
      </c>
      <c r="H215" s="1">
        <v>12586</v>
      </c>
      <c r="I215" s="1"/>
      <c r="J215" s="1"/>
      <c r="K215" s="1">
        <v>13000</v>
      </c>
      <c r="L215" s="2">
        <v>45341</v>
      </c>
      <c r="M215" s="11">
        <f>IF(OR(I215="",ISNA(MATCH(I215,{"DISC10","DISC15","DISC20","DISC30"},0))),0,J215)</f>
        <v>0</v>
      </c>
    </row>
    <row r="216" spans="1:13" x14ac:dyDescent="0.35">
      <c r="A216" s="1" t="s">
        <v>383</v>
      </c>
      <c r="B216" s="1" t="s">
        <v>150</v>
      </c>
      <c r="C216" s="1" t="s">
        <v>14</v>
      </c>
      <c r="D216" s="1" t="s">
        <v>15</v>
      </c>
      <c r="E216" s="1" t="s">
        <v>16</v>
      </c>
      <c r="F216" s="1" t="s">
        <v>39</v>
      </c>
      <c r="G216" s="1" t="s">
        <v>36</v>
      </c>
      <c r="H216" s="1">
        <v>12269</v>
      </c>
      <c r="I216" s="1" t="s">
        <v>33</v>
      </c>
      <c r="J216" s="1">
        <v>0.3</v>
      </c>
      <c r="K216" s="1">
        <v>14000</v>
      </c>
      <c r="L216" s="2">
        <v>45298</v>
      </c>
      <c r="M216" s="11">
        <f>IF(OR(I216="",ISNA(MATCH(I216,{"DISC10","DISC15","DISC20","DISC30"},0))),0,J216)</f>
        <v>0.3</v>
      </c>
    </row>
    <row r="217" spans="1:13" x14ac:dyDescent="0.35">
      <c r="A217" s="1" t="s">
        <v>384</v>
      </c>
      <c r="B217" s="1" t="s">
        <v>202</v>
      </c>
      <c r="C217" s="1" t="s">
        <v>61</v>
      </c>
      <c r="D217" s="1" t="s">
        <v>62</v>
      </c>
      <c r="E217" s="1" t="s">
        <v>46</v>
      </c>
      <c r="F217" s="1" t="s">
        <v>17</v>
      </c>
      <c r="G217" s="1" t="s">
        <v>26</v>
      </c>
      <c r="H217" s="1">
        <v>10488</v>
      </c>
      <c r="I217" s="1" t="s">
        <v>27</v>
      </c>
      <c r="J217" s="1"/>
      <c r="K217" s="1">
        <v>9000</v>
      </c>
      <c r="L217" s="2">
        <v>45347</v>
      </c>
      <c r="M217" s="11">
        <f>IF(OR(I217="",ISNA(MATCH(I217,{"DISC10","DISC15","DISC20","DISC30"},0))),0,J217)</f>
        <v>0</v>
      </c>
    </row>
    <row r="218" spans="1:13" x14ac:dyDescent="0.35">
      <c r="A218" s="1" t="s">
        <v>385</v>
      </c>
      <c r="B218" s="1" t="s">
        <v>74</v>
      </c>
      <c r="C218" s="1" t="s">
        <v>14</v>
      </c>
      <c r="D218" s="1" t="s">
        <v>15</v>
      </c>
      <c r="E218" s="1" t="s">
        <v>16</v>
      </c>
      <c r="F218" s="1" t="s">
        <v>39</v>
      </c>
      <c r="G218" s="1" t="s">
        <v>18</v>
      </c>
      <c r="H218" s="1">
        <v>15754</v>
      </c>
      <c r="I218" s="1" t="s">
        <v>33</v>
      </c>
      <c r="J218" s="1">
        <v>0.3</v>
      </c>
      <c r="K218" s="1">
        <v>14000</v>
      </c>
      <c r="L218" s="2">
        <v>45311</v>
      </c>
      <c r="M218" s="11">
        <f>IF(OR(I218="",ISNA(MATCH(I218,{"DISC10","DISC15","DISC20","DISC30"},0))),0,J218)</f>
        <v>0.3</v>
      </c>
    </row>
    <row r="219" spans="1:13" x14ac:dyDescent="0.35">
      <c r="A219" s="1" t="s">
        <v>386</v>
      </c>
      <c r="B219" s="1" t="s">
        <v>305</v>
      </c>
      <c r="C219" s="1" t="s">
        <v>61</v>
      </c>
      <c r="D219" s="1" t="s">
        <v>62</v>
      </c>
      <c r="E219" s="1" t="s">
        <v>32</v>
      </c>
      <c r="F219" s="1" t="s">
        <v>39</v>
      </c>
      <c r="G219" s="1" t="s">
        <v>26</v>
      </c>
      <c r="H219" s="1">
        <v>10842</v>
      </c>
      <c r="I219" s="1" t="s">
        <v>22</v>
      </c>
      <c r="J219" s="1">
        <v>0.1</v>
      </c>
      <c r="K219" s="1">
        <v>9000</v>
      </c>
      <c r="L219" s="2">
        <v>45311</v>
      </c>
      <c r="M219" s="11">
        <f>IF(OR(I219="",ISNA(MATCH(I219,{"DISC10","DISC15","DISC20","DISC30"},0))),0,J219)</f>
        <v>0.1</v>
      </c>
    </row>
    <row r="220" spans="1:13" x14ac:dyDescent="0.35">
      <c r="A220" s="1" t="s">
        <v>387</v>
      </c>
      <c r="B220" s="1" t="s">
        <v>388</v>
      </c>
      <c r="C220" s="1" t="s">
        <v>30</v>
      </c>
      <c r="D220" s="1" t="s">
        <v>31</v>
      </c>
      <c r="E220" s="1" t="s">
        <v>32</v>
      </c>
      <c r="F220" s="1" t="s">
        <v>39</v>
      </c>
      <c r="G220" s="1" t="s">
        <v>26</v>
      </c>
      <c r="H220" s="1">
        <v>18395</v>
      </c>
      <c r="I220" s="1" t="s">
        <v>27</v>
      </c>
      <c r="J220" s="1"/>
      <c r="K220" s="1">
        <v>17000</v>
      </c>
      <c r="L220" s="2">
        <v>45297</v>
      </c>
      <c r="M220" s="11">
        <f>IF(OR(I220="",ISNA(MATCH(I220,{"DISC10","DISC15","DISC20","DISC30"},0))),0,J220)</f>
        <v>0</v>
      </c>
    </row>
    <row r="221" spans="1:13" x14ac:dyDescent="0.35">
      <c r="A221" s="1" t="s">
        <v>389</v>
      </c>
      <c r="B221" s="1" t="s">
        <v>92</v>
      </c>
      <c r="C221" s="1" t="s">
        <v>61</v>
      </c>
      <c r="D221" s="1" t="s">
        <v>62</v>
      </c>
      <c r="E221" s="1" t="s">
        <v>16</v>
      </c>
      <c r="F221" s="1" t="s">
        <v>17</v>
      </c>
      <c r="G221" s="1" t="s">
        <v>18</v>
      </c>
      <c r="H221" s="1">
        <v>8485</v>
      </c>
      <c r="I221" s="1" t="s">
        <v>33</v>
      </c>
      <c r="J221" s="1">
        <v>0.3</v>
      </c>
      <c r="K221" s="1">
        <v>9000</v>
      </c>
      <c r="L221" s="2">
        <v>45303</v>
      </c>
      <c r="M221" s="11">
        <f>IF(OR(I221="",ISNA(MATCH(I221,{"DISC10","DISC15","DISC20","DISC30"},0))),0,J221)</f>
        <v>0.3</v>
      </c>
    </row>
    <row r="222" spans="1:13" x14ac:dyDescent="0.35">
      <c r="A222" s="1" t="s">
        <v>390</v>
      </c>
      <c r="B222" s="1" t="s">
        <v>391</v>
      </c>
      <c r="C222" s="1" t="s">
        <v>61</v>
      </c>
      <c r="D222" s="1" t="s">
        <v>62</v>
      </c>
      <c r="E222" s="1" t="s">
        <v>32</v>
      </c>
      <c r="F222" s="1" t="s">
        <v>25</v>
      </c>
      <c r="G222" s="1" t="s">
        <v>18</v>
      </c>
      <c r="H222" s="1">
        <v>7634</v>
      </c>
      <c r="I222" s="1" t="s">
        <v>22</v>
      </c>
      <c r="J222" s="1">
        <v>0.1</v>
      </c>
      <c r="K222" s="1">
        <v>9000</v>
      </c>
      <c r="L222" s="2">
        <v>45310</v>
      </c>
      <c r="M222" s="11">
        <f>IF(OR(I222="",ISNA(MATCH(I222,{"DISC10","DISC15","DISC20","DISC30"},0))),0,J222)</f>
        <v>0.1</v>
      </c>
    </row>
    <row r="223" spans="1:13" x14ac:dyDescent="0.35">
      <c r="A223" s="1" t="s">
        <v>392</v>
      </c>
      <c r="B223" s="1" t="s">
        <v>393</v>
      </c>
      <c r="C223" s="1" t="s">
        <v>14</v>
      </c>
      <c r="D223" s="1" t="s">
        <v>15</v>
      </c>
      <c r="E223" s="1" t="s">
        <v>16</v>
      </c>
      <c r="F223" s="1" t="s">
        <v>39</v>
      </c>
      <c r="G223" s="1" t="s">
        <v>26</v>
      </c>
      <c r="H223" s="1">
        <v>15619</v>
      </c>
      <c r="I223" s="1" t="s">
        <v>27</v>
      </c>
      <c r="J223" s="1"/>
      <c r="K223" s="1">
        <v>14000</v>
      </c>
      <c r="L223" s="2">
        <v>45294</v>
      </c>
      <c r="M223" s="11">
        <f>IF(OR(I223="",ISNA(MATCH(I223,{"DISC10","DISC15","DISC20","DISC30"},0))),0,J223)</f>
        <v>0</v>
      </c>
    </row>
    <row r="224" spans="1:13" x14ac:dyDescent="0.35">
      <c r="A224" s="1" t="s">
        <v>394</v>
      </c>
      <c r="B224" s="1" t="s">
        <v>317</v>
      </c>
      <c r="C224" s="1" t="s">
        <v>44</v>
      </c>
      <c r="D224" s="1" t="s">
        <v>45</v>
      </c>
      <c r="E224" s="1" t="s">
        <v>16</v>
      </c>
      <c r="F224" s="1" t="s">
        <v>17</v>
      </c>
      <c r="G224" s="1" t="s">
        <v>18</v>
      </c>
      <c r="H224" s="1">
        <v>11664</v>
      </c>
      <c r="I224" s="1" t="s">
        <v>19</v>
      </c>
      <c r="J224" s="1">
        <v>0.2</v>
      </c>
      <c r="K224" s="1">
        <v>13000</v>
      </c>
      <c r="L224" s="2">
        <v>45345</v>
      </c>
      <c r="M224" s="11">
        <f>IF(OR(I224="",ISNA(MATCH(I224,{"DISC10","DISC15","DISC20","DISC30"},0))),0,J224)</f>
        <v>0.2</v>
      </c>
    </row>
    <row r="225" spans="1:13" x14ac:dyDescent="0.35">
      <c r="A225" s="1" t="s">
        <v>395</v>
      </c>
      <c r="B225" s="1" t="s">
        <v>276</v>
      </c>
      <c r="C225" s="1" t="s">
        <v>44</v>
      </c>
      <c r="D225" s="1" t="s">
        <v>45</v>
      </c>
      <c r="E225" s="1" t="s">
        <v>16</v>
      </c>
      <c r="F225" s="1" t="s">
        <v>17</v>
      </c>
      <c r="G225" s="1" t="s">
        <v>18</v>
      </c>
      <c r="H225" s="1">
        <v>12682</v>
      </c>
      <c r="I225" s="1" t="s">
        <v>33</v>
      </c>
      <c r="J225" s="1">
        <v>0.3</v>
      </c>
      <c r="K225" s="1">
        <v>13000</v>
      </c>
      <c r="L225" s="2">
        <v>45335</v>
      </c>
      <c r="M225" s="11">
        <f>IF(OR(I225="",ISNA(MATCH(I225,{"DISC10","DISC15","DISC20","DISC30"},0))),0,J225)</f>
        <v>0.3</v>
      </c>
    </row>
    <row r="226" spans="1:13" x14ac:dyDescent="0.35">
      <c r="A226" s="1" t="s">
        <v>396</v>
      </c>
      <c r="B226" s="1" t="s">
        <v>397</v>
      </c>
      <c r="C226" s="1" t="s">
        <v>61</v>
      </c>
      <c r="D226" s="1" t="s">
        <v>62</v>
      </c>
      <c r="E226" s="1" t="s">
        <v>16</v>
      </c>
      <c r="F226" s="1" t="s">
        <v>17</v>
      </c>
      <c r="G226" s="1" t="s">
        <v>26</v>
      </c>
      <c r="H226" s="1">
        <v>10210</v>
      </c>
      <c r="I226" s="1"/>
      <c r="J226" s="1"/>
      <c r="K226" s="1">
        <v>9000</v>
      </c>
      <c r="L226" s="2">
        <v>45306</v>
      </c>
      <c r="M226" s="11">
        <f>IF(OR(I226="",ISNA(MATCH(I226,{"DISC10","DISC15","DISC20","DISC30"},0))),0,J226)</f>
        <v>0</v>
      </c>
    </row>
    <row r="227" spans="1:13" x14ac:dyDescent="0.35">
      <c r="A227" s="1" t="s">
        <v>398</v>
      </c>
      <c r="B227" s="1" t="s">
        <v>346</v>
      </c>
      <c r="C227" s="1" t="s">
        <v>30</v>
      </c>
      <c r="D227" s="1" t="s">
        <v>31</v>
      </c>
      <c r="E227" s="1" t="s">
        <v>46</v>
      </c>
      <c r="F227" s="1" t="s">
        <v>25</v>
      </c>
      <c r="G227" s="1" t="s">
        <v>36</v>
      </c>
      <c r="H227" s="1">
        <v>17778</v>
      </c>
      <c r="I227" s="1" t="s">
        <v>27</v>
      </c>
      <c r="J227" s="1"/>
      <c r="K227" s="1">
        <v>17000</v>
      </c>
      <c r="L227" s="2">
        <v>45320</v>
      </c>
      <c r="M227" s="11">
        <f>IF(OR(I227="",ISNA(MATCH(I227,{"DISC10","DISC15","DISC20","DISC30"},0))),0,J227)</f>
        <v>0</v>
      </c>
    </row>
    <row r="228" spans="1:13" x14ac:dyDescent="0.35">
      <c r="A228" s="1" t="s">
        <v>399</v>
      </c>
      <c r="B228" s="1" t="s">
        <v>157</v>
      </c>
      <c r="C228" s="1" t="s">
        <v>30</v>
      </c>
      <c r="D228" s="1" t="s">
        <v>31</v>
      </c>
      <c r="E228" s="1" t="s">
        <v>46</v>
      </c>
      <c r="F228" s="1" t="s">
        <v>39</v>
      </c>
      <c r="G228" s="1" t="s">
        <v>26</v>
      </c>
      <c r="H228" s="1">
        <v>16714</v>
      </c>
      <c r="I228" s="1" t="s">
        <v>19</v>
      </c>
      <c r="J228" s="1">
        <v>0.2</v>
      </c>
      <c r="K228" s="1">
        <v>17000</v>
      </c>
      <c r="L228" s="2">
        <v>45344</v>
      </c>
      <c r="M228" s="11">
        <f>IF(OR(I228="",ISNA(MATCH(I228,{"DISC10","DISC15","DISC20","DISC30"},0))),0,J228)</f>
        <v>0.2</v>
      </c>
    </row>
    <row r="229" spans="1:13" x14ac:dyDescent="0.35">
      <c r="A229" s="1" t="s">
        <v>400</v>
      </c>
      <c r="B229" s="1" t="s">
        <v>401</v>
      </c>
      <c r="C229" s="1" t="s">
        <v>44</v>
      </c>
      <c r="D229" s="1" t="s">
        <v>45</v>
      </c>
      <c r="E229" s="1" t="s">
        <v>46</v>
      </c>
      <c r="F229" s="1" t="s">
        <v>25</v>
      </c>
      <c r="G229" s="1" t="s">
        <v>26</v>
      </c>
      <c r="H229" s="1">
        <v>12968</v>
      </c>
      <c r="I229" s="1" t="s">
        <v>33</v>
      </c>
      <c r="J229" s="1">
        <v>0.3</v>
      </c>
      <c r="K229" s="1">
        <v>13000</v>
      </c>
      <c r="L229" s="2">
        <v>45327</v>
      </c>
      <c r="M229" s="11">
        <f>IF(OR(I229="",ISNA(MATCH(I229,{"DISC10","DISC15","DISC20","DISC30"},0))),0,J229)</f>
        <v>0.3</v>
      </c>
    </row>
    <row r="230" spans="1:13" x14ac:dyDescent="0.35">
      <c r="A230" s="1" t="s">
        <v>402</v>
      </c>
      <c r="B230" s="1" t="s">
        <v>403</v>
      </c>
      <c r="C230" s="1" t="s">
        <v>14</v>
      </c>
      <c r="D230" s="1" t="s">
        <v>15</v>
      </c>
      <c r="E230" s="1" t="s">
        <v>46</v>
      </c>
      <c r="F230" s="1" t="s">
        <v>25</v>
      </c>
      <c r="G230" s="1" t="s">
        <v>18</v>
      </c>
      <c r="H230" s="1">
        <v>13117</v>
      </c>
      <c r="I230" s="1"/>
      <c r="J230" s="1"/>
      <c r="K230" s="1">
        <v>14000</v>
      </c>
      <c r="L230" s="2">
        <v>45349</v>
      </c>
      <c r="M230" s="11">
        <f>IF(OR(I230="",ISNA(MATCH(I230,{"DISC10","DISC15","DISC20","DISC30"},0))),0,J230)</f>
        <v>0</v>
      </c>
    </row>
    <row r="231" spans="1:13" x14ac:dyDescent="0.35">
      <c r="A231" s="1" t="s">
        <v>404</v>
      </c>
      <c r="B231" s="1" t="s">
        <v>80</v>
      </c>
      <c r="C231" s="1" t="s">
        <v>61</v>
      </c>
      <c r="D231" s="1" t="s">
        <v>62</v>
      </c>
      <c r="E231" s="1" t="s">
        <v>32</v>
      </c>
      <c r="F231" s="1" t="s">
        <v>25</v>
      </c>
      <c r="G231" s="1" t="s">
        <v>36</v>
      </c>
      <c r="H231" s="1">
        <v>10623</v>
      </c>
      <c r="I231" s="1" t="s">
        <v>33</v>
      </c>
      <c r="J231" s="1">
        <v>0.3</v>
      </c>
      <c r="K231" s="1">
        <v>9000</v>
      </c>
      <c r="L231" s="2">
        <v>45351</v>
      </c>
      <c r="M231" s="11">
        <f>IF(OR(I231="",ISNA(MATCH(I231,{"DISC10","DISC15","DISC20","DISC30"},0))),0,J231)</f>
        <v>0.3</v>
      </c>
    </row>
    <row r="232" spans="1:13" x14ac:dyDescent="0.35">
      <c r="A232" s="1" t="s">
        <v>405</v>
      </c>
      <c r="B232" s="1" t="s">
        <v>406</v>
      </c>
      <c r="C232" s="1" t="s">
        <v>14</v>
      </c>
      <c r="D232" s="1" t="s">
        <v>15</v>
      </c>
      <c r="E232" s="1" t="s">
        <v>46</v>
      </c>
      <c r="F232" s="1" t="s">
        <v>39</v>
      </c>
      <c r="G232" s="1" t="s">
        <v>36</v>
      </c>
      <c r="H232" s="1">
        <v>12965</v>
      </c>
      <c r="I232" s="1"/>
      <c r="J232" s="1"/>
      <c r="K232" s="1">
        <v>14000</v>
      </c>
      <c r="L232" s="2">
        <v>45297</v>
      </c>
      <c r="M232" s="11">
        <f>IF(OR(I232="",ISNA(MATCH(I232,{"DISC10","DISC15","DISC20","DISC30"},0))),0,J232)</f>
        <v>0</v>
      </c>
    </row>
    <row r="233" spans="1:13" x14ac:dyDescent="0.35">
      <c r="A233" s="1" t="s">
        <v>407</v>
      </c>
      <c r="B233" s="1" t="s">
        <v>408</v>
      </c>
      <c r="C233" s="1" t="s">
        <v>14</v>
      </c>
      <c r="D233" s="1" t="s">
        <v>15</v>
      </c>
      <c r="E233" s="1" t="s">
        <v>46</v>
      </c>
      <c r="F233" s="1" t="s">
        <v>25</v>
      </c>
      <c r="G233" s="1" t="s">
        <v>26</v>
      </c>
      <c r="H233" s="1">
        <v>14662</v>
      </c>
      <c r="I233" s="1" t="s">
        <v>33</v>
      </c>
      <c r="J233" s="1">
        <v>0.3</v>
      </c>
      <c r="K233" s="1">
        <v>14000</v>
      </c>
      <c r="L233" s="2">
        <v>45342</v>
      </c>
      <c r="M233" s="11">
        <f>IF(OR(I233="",ISNA(MATCH(I233,{"DISC10","DISC15","DISC20","DISC30"},0))),0,J233)</f>
        <v>0.3</v>
      </c>
    </row>
    <row r="234" spans="1:13" x14ac:dyDescent="0.35">
      <c r="A234" s="1" t="s">
        <v>409</v>
      </c>
      <c r="B234" s="1" t="s">
        <v>175</v>
      </c>
      <c r="C234" s="1" t="s">
        <v>14</v>
      </c>
      <c r="D234" s="1" t="s">
        <v>15</v>
      </c>
      <c r="E234" s="1" t="s">
        <v>46</v>
      </c>
      <c r="F234" s="1" t="s">
        <v>17</v>
      </c>
      <c r="G234" s="1" t="s">
        <v>26</v>
      </c>
      <c r="H234" s="1">
        <v>15404</v>
      </c>
      <c r="I234" s="1" t="s">
        <v>19</v>
      </c>
      <c r="J234" s="1">
        <v>0.2</v>
      </c>
      <c r="K234" s="1">
        <v>14000</v>
      </c>
      <c r="L234" s="2">
        <v>45340</v>
      </c>
      <c r="M234" s="11">
        <f>IF(OR(I234="",ISNA(MATCH(I234,{"DISC10","DISC15","DISC20","DISC30"},0))),0,J234)</f>
        <v>0.2</v>
      </c>
    </row>
    <row r="235" spans="1:13" x14ac:dyDescent="0.35">
      <c r="A235" s="1" t="s">
        <v>410</v>
      </c>
      <c r="B235" s="1" t="s">
        <v>334</v>
      </c>
      <c r="C235" s="1" t="s">
        <v>61</v>
      </c>
      <c r="D235" s="1" t="s">
        <v>62</v>
      </c>
      <c r="E235" s="1" t="s">
        <v>16</v>
      </c>
      <c r="F235" s="1" t="s">
        <v>25</v>
      </c>
      <c r="G235" s="1" t="s">
        <v>18</v>
      </c>
      <c r="H235" s="1">
        <v>7077</v>
      </c>
      <c r="I235" s="1" t="s">
        <v>33</v>
      </c>
      <c r="J235" s="1">
        <v>0.3</v>
      </c>
      <c r="K235" s="1">
        <v>9000</v>
      </c>
      <c r="L235" s="2">
        <v>45305</v>
      </c>
      <c r="M235" s="11">
        <f>IF(OR(I235="",ISNA(MATCH(I235,{"DISC10","DISC15","DISC20","DISC30"},0))),0,J235)</f>
        <v>0.3</v>
      </c>
    </row>
    <row r="236" spans="1:13" x14ac:dyDescent="0.35">
      <c r="A236" s="1" t="s">
        <v>411</v>
      </c>
      <c r="B236" s="1" t="s">
        <v>412</v>
      </c>
      <c r="C236" s="1" t="s">
        <v>61</v>
      </c>
      <c r="D236" s="1" t="s">
        <v>62</v>
      </c>
      <c r="E236" s="1" t="s">
        <v>32</v>
      </c>
      <c r="F236" s="1" t="s">
        <v>17</v>
      </c>
      <c r="G236" s="1" t="s">
        <v>18</v>
      </c>
      <c r="H236" s="1">
        <v>8233</v>
      </c>
      <c r="I236" s="1" t="s">
        <v>22</v>
      </c>
      <c r="J236" s="1">
        <v>0.1</v>
      </c>
      <c r="K236" s="1">
        <v>9000</v>
      </c>
      <c r="L236" s="2">
        <v>45295</v>
      </c>
      <c r="M236" s="11">
        <f>IF(OR(I236="",ISNA(MATCH(I236,{"DISC10","DISC15","DISC20","DISC30"},0))),0,J236)</f>
        <v>0.1</v>
      </c>
    </row>
    <row r="237" spans="1:13" x14ac:dyDescent="0.35">
      <c r="A237" s="1" t="s">
        <v>413</v>
      </c>
      <c r="B237" s="1" t="s">
        <v>414</v>
      </c>
      <c r="C237" s="1" t="s">
        <v>61</v>
      </c>
      <c r="D237" s="1" t="s">
        <v>62</v>
      </c>
      <c r="E237" s="1" t="s">
        <v>32</v>
      </c>
      <c r="F237" s="1" t="s">
        <v>25</v>
      </c>
      <c r="G237" s="1" t="s">
        <v>36</v>
      </c>
      <c r="H237" s="1">
        <v>9444</v>
      </c>
      <c r="I237" s="1" t="s">
        <v>27</v>
      </c>
      <c r="J237" s="1"/>
      <c r="K237" s="1">
        <v>9000</v>
      </c>
      <c r="L237" s="2">
        <v>45293</v>
      </c>
      <c r="M237" s="11">
        <f>IF(OR(I237="",ISNA(MATCH(I237,{"DISC10","DISC15","DISC20","DISC30"},0))),0,J237)</f>
        <v>0</v>
      </c>
    </row>
    <row r="238" spans="1:13" x14ac:dyDescent="0.35">
      <c r="A238" s="1" t="s">
        <v>415</v>
      </c>
      <c r="B238" s="1" t="s">
        <v>416</v>
      </c>
      <c r="C238" s="1" t="s">
        <v>44</v>
      </c>
      <c r="D238" s="1" t="s">
        <v>45</v>
      </c>
      <c r="E238" s="1" t="s">
        <v>16</v>
      </c>
      <c r="F238" s="1" t="s">
        <v>25</v>
      </c>
      <c r="G238" s="1" t="s">
        <v>36</v>
      </c>
      <c r="H238" s="1">
        <v>12758</v>
      </c>
      <c r="I238" s="1" t="s">
        <v>22</v>
      </c>
      <c r="J238" s="1">
        <v>0.1</v>
      </c>
      <c r="K238" s="1">
        <v>13000</v>
      </c>
      <c r="L238" s="2">
        <v>45331</v>
      </c>
      <c r="M238" s="11">
        <f>IF(OR(I238="",ISNA(MATCH(I238,{"DISC10","DISC15","DISC20","DISC30"},0))),0,J238)</f>
        <v>0.1</v>
      </c>
    </row>
    <row r="239" spans="1:13" x14ac:dyDescent="0.35">
      <c r="A239" s="1" t="s">
        <v>417</v>
      </c>
      <c r="B239" s="1" t="s">
        <v>408</v>
      </c>
      <c r="C239" s="1" t="s">
        <v>61</v>
      </c>
      <c r="D239" s="1" t="s">
        <v>62</v>
      </c>
      <c r="E239" s="1" t="s">
        <v>32</v>
      </c>
      <c r="F239" s="1" t="s">
        <v>39</v>
      </c>
      <c r="G239" s="1" t="s">
        <v>26</v>
      </c>
      <c r="H239" s="1">
        <v>7350</v>
      </c>
      <c r="I239" s="1" t="s">
        <v>27</v>
      </c>
      <c r="J239" s="1"/>
      <c r="K239" s="1">
        <v>9000</v>
      </c>
      <c r="L239" s="2">
        <v>45315</v>
      </c>
      <c r="M239" s="11">
        <f>IF(OR(I239="",ISNA(MATCH(I239,{"DISC10","DISC15","DISC20","DISC30"},0))),0,J239)</f>
        <v>0</v>
      </c>
    </row>
    <row r="240" spans="1:13" x14ac:dyDescent="0.35">
      <c r="A240" s="1" t="s">
        <v>418</v>
      </c>
      <c r="B240" s="1" t="s">
        <v>241</v>
      </c>
      <c r="C240" s="1" t="s">
        <v>14</v>
      </c>
      <c r="D240" s="1" t="s">
        <v>15</v>
      </c>
      <c r="E240" s="1" t="s">
        <v>46</v>
      </c>
      <c r="F240" s="1" t="s">
        <v>17</v>
      </c>
      <c r="G240" s="1" t="s">
        <v>18</v>
      </c>
      <c r="H240" s="1">
        <v>14603</v>
      </c>
      <c r="I240" s="1"/>
      <c r="J240" s="1"/>
      <c r="K240" s="1">
        <v>14000</v>
      </c>
      <c r="L240" s="2">
        <v>45315</v>
      </c>
      <c r="M240" s="11">
        <f>IF(OR(I240="",ISNA(MATCH(I240,{"DISC10","DISC15","DISC20","DISC30"},0))),0,J240)</f>
        <v>0</v>
      </c>
    </row>
    <row r="241" spans="1:13" x14ac:dyDescent="0.35">
      <c r="A241" s="1" t="s">
        <v>419</v>
      </c>
      <c r="B241" s="1" t="s">
        <v>350</v>
      </c>
      <c r="C241" s="1" t="s">
        <v>14</v>
      </c>
      <c r="D241" s="1" t="s">
        <v>15</v>
      </c>
      <c r="E241" s="1" t="s">
        <v>46</v>
      </c>
      <c r="F241" s="1" t="s">
        <v>25</v>
      </c>
      <c r="G241" s="1" t="s">
        <v>36</v>
      </c>
      <c r="H241" s="1">
        <v>12987</v>
      </c>
      <c r="I241" s="1" t="s">
        <v>22</v>
      </c>
      <c r="J241" s="1">
        <v>0.1</v>
      </c>
      <c r="K241" s="1">
        <v>14000</v>
      </c>
      <c r="L241" s="2">
        <v>45341</v>
      </c>
      <c r="M241" s="11">
        <f>IF(OR(I241="",ISNA(MATCH(I241,{"DISC10","DISC15","DISC20","DISC30"},0))),0,J241)</f>
        <v>0.1</v>
      </c>
    </row>
    <row r="242" spans="1:13" x14ac:dyDescent="0.35">
      <c r="A242" s="1" t="s">
        <v>420</v>
      </c>
      <c r="B242" s="1" t="s">
        <v>233</v>
      </c>
      <c r="C242" s="1" t="s">
        <v>30</v>
      </c>
      <c r="D242" s="1" t="s">
        <v>31</v>
      </c>
      <c r="E242" s="1" t="s">
        <v>32</v>
      </c>
      <c r="F242" s="1" t="s">
        <v>25</v>
      </c>
      <c r="G242" s="1" t="s">
        <v>36</v>
      </c>
      <c r="H242" s="1">
        <v>17236</v>
      </c>
      <c r="I242" s="1" t="s">
        <v>33</v>
      </c>
      <c r="J242" s="1">
        <v>0.3</v>
      </c>
      <c r="K242" s="1">
        <v>17000</v>
      </c>
      <c r="L242" s="2">
        <v>45344</v>
      </c>
      <c r="M242" s="11">
        <f>IF(OR(I242="",ISNA(MATCH(I242,{"DISC10","DISC15","DISC20","DISC30"},0))),0,J242)</f>
        <v>0.3</v>
      </c>
    </row>
    <row r="243" spans="1:13" x14ac:dyDescent="0.35">
      <c r="A243" s="1" t="s">
        <v>421</v>
      </c>
      <c r="B243" s="1" t="s">
        <v>422</v>
      </c>
      <c r="C243" s="1" t="s">
        <v>61</v>
      </c>
      <c r="D243" s="1" t="s">
        <v>62</v>
      </c>
      <c r="E243" s="1" t="s">
        <v>16</v>
      </c>
      <c r="F243" s="1" t="s">
        <v>17</v>
      </c>
      <c r="G243" s="1" t="s">
        <v>26</v>
      </c>
      <c r="H243" s="1">
        <v>7746</v>
      </c>
      <c r="I243" s="1" t="s">
        <v>19</v>
      </c>
      <c r="J243" s="1">
        <v>0.2</v>
      </c>
      <c r="K243" s="1">
        <v>9000</v>
      </c>
      <c r="L243" s="2">
        <v>45296</v>
      </c>
      <c r="M243" s="11">
        <f>IF(OR(I243="",ISNA(MATCH(I243,{"DISC10","DISC15","DISC20","DISC30"},0))),0,J243)</f>
        <v>0.2</v>
      </c>
    </row>
    <row r="244" spans="1:13" x14ac:dyDescent="0.35">
      <c r="A244" s="1" t="s">
        <v>423</v>
      </c>
      <c r="B244" s="1" t="s">
        <v>276</v>
      </c>
      <c r="C244" s="1" t="s">
        <v>61</v>
      </c>
      <c r="D244" s="1" t="s">
        <v>62</v>
      </c>
      <c r="E244" s="1" t="s">
        <v>32</v>
      </c>
      <c r="F244" s="1" t="s">
        <v>17</v>
      </c>
      <c r="G244" s="1" t="s">
        <v>18</v>
      </c>
      <c r="H244" s="1">
        <v>7179</v>
      </c>
      <c r="I244" s="1" t="s">
        <v>19</v>
      </c>
      <c r="J244" s="1">
        <v>0.2</v>
      </c>
      <c r="K244" s="1">
        <v>9000</v>
      </c>
      <c r="L244" s="2">
        <v>45348</v>
      </c>
      <c r="M244" s="11">
        <f>IF(OR(I244="",ISNA(MATCH(I244,{"DISC10","DISC15","DISC20","DISC30"},0))),0,J244)</f>
        <v>0.2</v>
      </c>
    </row>
    <row r="245" spans="1:13" x14ac:dyDescent="0.35">
      <c r="A245" s="1" t="s">
        <v>424</v>
      </c>
      <c r="B245" s="1" t="s">
        <v>125</v>
      </c>
      <c r="C245" s="1" t="s">
        <v>30</v>
      </c>
      <c r="D245" s="1" t="s">
        <v>31</v>
      </c>
      <c r="E245" s="1" t="s">
        <v>16</v>
      </c>
      <c r="F245" s="1" t="s">
        <v>17</v>
      </c>
      <c r="G245" s="1" t="s">
        <v>26</v>
      </c>
      <c r="H245" s="1">
        <v>16939</v>
      </c>
      <c r="I245" s="1" t="s">
        <v>33</v>
      </c>
      <c r="J245" s="1">
        <v>0.3</v>
      </c>
      <c r="K245" s="1">
        <v>17000</v>
      </c>
      <c r="L245" s="2">
        <v>45294</v>
      </c>
      <c r="M245" s="11">
        <f>IF(OR(I245="",ISNA(MATCH(I245,{"DISC10","DISC15","DISC20","DISC30"},0))),0,J245)</f>
        <v>0.3</v>
      </c>
    </row>
    <row r="246" spans="1:13" x14ac:dyDescent="0.35">
      <c r="A246" s="1" t="s">
        <v>425</v>
      </c>
      <c r="B246" s="1" t="s">
        <v>426</v>
      </c>
      <c r="C246" s="1" t="s">
        <v>44</v>
      </c>
      <c r="D246" s="1" t="s">
        <v>45</v>
      </c>
      <c r="E246" s="1" t="s">
        <v>46</v>
      </c>
      <c r="F246" s="1" t="s">
        <v>17</v>
      </c>
      <c r="G246" s="1" t="s">
        <v>18</v>
      </c>
      <c r="H246" s="1">
        <v>14546</v>
      </c>
      <c r="I246" s="1" t="s">
        <v>33</v>
      </c>
      <c r="J246" s="1">
        <v>0.3</v>
      </c>
      <c r="K246" s="1">
        <v>13000</v>
      </c>
      <c r="L246" s="2">
        <v>45309</v>
      </c>
      <c r="M246" s="11">
        <f>IF(OR(I246="",ISNA(MATCH(I246,{"DISC10","DISC15","DISC20","DISC30"},0))),0,J246)</f>
        <v>0.3</v>
      </c>
    </row>
    <row r="247" spans="1:13" x14ac:dyDescent="0.35">
      <c r="A247" s="1" t="s">
        <v>427</v>
      </c>
      <c r="B247" s="1" t="s">
        <v>200</v>
      </c>
      <c r="C247" s="1" t="s">
        <v>30</v>
      </c>
      <c r="D247" s="1" t="s">
        <v>31</v>
      </c>
      <c r="E247" s="1" t="s">
        <v>46</v>
      </c>
      <c r="F247" s="1" t="s">
        <v>17</v>
      </c>
      <c r="G247" s="1" t="s">
        <v>26</v>
      </c>
      <c r="H247" s="1">
        <v>16801</v>
      </c>
      <c r="I247" s="1"/>
      <c r="J247" s="1"/>
      <c r="K247" s="1">
        <v>17000</v>
      </c>
      <c r="L247" s="2">
        <v>45313</v>
      </c>
      <c r="M247" s="11">
        <f>IF(OR(I247="",ISNA(MATCH(I247,{"DISC10","DISC15","DISC20","DISC30"},0))),0,J247)</f>
        <v>0</v>
      </c>
    </row>
    <row r="248" spans="1:13" x14ac:dyDescent="0.35">
      <c r="A248" s="1" t="s">
        <v>428</v>
      </c>
      <c r="B248" s="1" t="s">
        <v>429</v>
      </c>
      <c r="C248" s="1" t="s">
        <v>61</v>
      </c>
      <c r="D248" s="1" t="s">
        <v>62</v>
      </c>
      <c r="E248" s="1" t="s">
        <v>46</v>
      </c>
      <c r="F248" s="1" t="s">
        <v>39</v>
      </c>
      <c r="G248" s="1" t="s">
        <v>36</v>
      </c>
      <c r="H248" s="1">
        <v>10281</v>
      </c>
      <c r="I248" s="1" t="s">
        <v>22</v>
      </c>
      <c r="J248" s="1">
        <v>0.1</v>
      </c>
      <c r="K248" s="1">
        <v>9000</v>
      </c>
      <c r="L248" s="2">
        <v>45338</v>
      </c>
      <c r="M248" s="11">
        <f>IF(OR(I248="",ISNA(MATCH(I248,{"DISC10","DISC15","DISC20","DISC30"},0))),0,J248)</f>
        <v>0.1</v>
      </c>
    </row>
    <row r="249" spans="1:13" x14ac:dyDescent="0.35">
      <c r="A249" s="1" t="s">
        <v>430</v>
      </c>
      <c r="B249" s="1" t="s">
        <v>41</v>
      </c>
      <c r="C249" s="1" t="s">
        <v>61</v>
      </c>
      <c r="D249" s="1" t="s">
        <v>62</v>
      </c>
      <c r="E249" s="1" t="s">
        <v>16</v>
      </c>
      <c r="F249" s="1" t="s">
        <v>25</v>
      </c>
      <c r="G249" s="1" t="s">
        <v>26</v>
      </c>
      <c r="H249" s="1">
        <v>8203</v>
      </c>
      <c r="I249" s="1" t="s">
        <v>33</v>
      </c>
      <c r="J249" s="1">
        <v>0.3</v>
      </c>
      <c r="K249" s="1">
        <v>9000</v>
      </c>
      <c r="L249" s="2">
        <v>45298</v>
      </c>
      <c r="M249" s="11">
        <f>IF(OR(I249="",ISNA(MATCH(I249,{"DISC10","DISC15","DISC20","DISC30"},0))),0,J249)</f>
        <v>0.3</v>
      </c>
    </row>
    <row r="250" spans="1:13" x14ac:dyDescent="0.35">
      <c r="A250" s="1" t="s">
        <v>431</v>
      </c>
      <c r="B250" s="1" t="s">
        <v>432</v>
      </c>
      <c r="C250" s="1" t="s">
        <v>30</v>
      </c>
      <c r="D250" s="1" t="s">
        <v>31</v>
      </c>
      <c r="E250" s="1" t="s">
        <v>46</v>
      </c>
      <c r="F250" s="1" t="s">
        <v>17</v>
      </c>
      <c r="G250" s="1" t="s">
        <v>26</v>
      </c>
      <c r="H250" s="1">
        <v>17939</v>
      </c>
      <c r="I250" s="1"/>
      <c r="J250" s="1"/>
      <c r="K250" s="1">
        <v>17000</v>
      </c>
      <c r="L250" s="2">
        <v>45302</v>
      </c>
      <c r="M250" s="11">
        <f>IF(OR(I250="",ISNA(MATCH(I250,{"DISC10","DISC15","DISC20","DISC30"},0))),0,J250)</f>
        <v>0</v>
      </c>
    </row>
    <row r="251" spans="1:13" x14ac:dyDescent="0.35">
      <c r="A251" s="1" t="s">
        <v>433</v>
      </c>
      <c r="B251" s="1" t="s">
        <v>334</v>
      </c>
      <c r="C251" s="1" t="s">
        <v>30</v>
      </c>
      <c r="D251" s="1" t="s">
        <v>31</v>
      </c>
      <c r="E251" s="1" t="s">
        <v>46</v>
      </c>
      <c r="F251" s="1" t="s">
        <v>25</v>
      </c>
      <c r="G251" s="1" t="s">
        <v>26</v>
      </c>
      <c r="H251" s="1">
        <v>18563</v>
      </c>
      <c r="I251" s="1" t="s">
        <v>33</v>
      </c>
      <c r="J251" s="1">
        <v>0.3</v>
      </c>
      <c r="K251" s="1">
        <v>17000</v>
      </c>
      <c r="L251" s="2">
        <v>45331</v>
      </c>
      <c r="M251" s="11">
        <f>IF(OR(I251="",ISNA(MATCH(I251,{"DISC10","DISC15","DISC20","DISC30"},0))),0,J251)</f>
        <v>0.3</v>
      </c>
    </row>
    <row r="252" spans="1:13" x14ac:dyDescent="0.35">
      <c r="A252" s="1" t="s">
        <v>434</v>
      </c>
      <c r="B252" s="1" t="s">
        <v>435</v>
      </c>
      <c r="C252" s="1" t="s">
        <v>14</v>
      </c>
      <c r="D252" s="1" t="s">
        <v>15</v>
      </c>
      <c r="E252" s="1" t="s">
        <v>32</v>
      </c>
      <c r="F252" s="1" t="s">
        <v>39</v>
      </c>
      <c r="G252" s="1" t="s">
        <v>26</v>
      </c>
      <c r="H252" s="1">
        <v>13663</v>
      </c>
      <c r="I252" s="1" t="s">
        <v>33</v>
      </c>
      <c r="J252" s="1">
        <v>0.3</v>
      </c>
      <c r="K252" s="1">
        <v>14000</v>
      </c>
      <c r="L252" s="2">
        <v>45324</v>
      </c>
      <c r="M252" s="11">
        <f>IF(OR(I252="",ISNA(MATCH(I252,{"DISC10","DISC15","DISC20","DISC30"},0))),0,J252)</f>
        <v>0.3</v>
      </c>
    </row>
    <row r="253" spans="1:13" x14ac:dyDescent="0.35">
      <c r="A253" s="1" t="s">
        <v>436</v>
      </c>
      <c r="B253" s="1" t="s">
        <v>296</v>
      </c>
      <c r="C253" s="1" t="s">
        <v>44</v>
      </c>
      <c r="D253" s="1" t="s">
        <v>45</v>
      </c>
      <c r="E253" s="1" t="s">
        <v>32</v>
      </c>
      <c r="F253" s="1" t="s">
        <v>25</v>
      </c>
      <c r="G253" s="1" t="s">
        <v>26</v>
      </c>
      <c r="H253" s="1">
        <v>13777</v>
      </c>
      <c r="I253" s="1"/>
      <c r="J253" s="1"/>
      <c r="K253" s="1">
        <v>13000</v>
      </c>
      <c r="L253" s="2">
        <v>45294</v>
      </c>
      <c r="M253" s="11">
        <f>IF(OR(I253="",ISNA(MATCH(I253,{"DISC10","DISC15","DISC20","DISC30"},0))),0,J253)</f>
        <v>0</v>
      </c>
    </row>
    <row r="254" spans="1:13" x14ac:dyDescent="0.35">
      <c r="A254" s="1" t="s">
        <v>437</v>
      </c>
      <c r="B254" s="1" t="s">
        <v>325</v>
      </c>
      <c r="C254" s="1" t="s">
        <v>44</v>
      </c>
      <c r="D254" s="1" t="s">
        <v>45</v>
      </c>
      <c r="E254" s="1" t="s">
        <v>16</v>
      </c>
      <c r="F254" s="1" t="s">
        <v>17</v>
      </c>
      <c r="G254" s="1" t="s">
        <v>36</v>
      </c>
      <c r="H254" s="1">
        <v>12568</v>
      </c>
      <c r="I254" s="1" t="s">
        <v>27</v>
      </c>
      <c r="J254" s="1"/>
      <c r="K254" s="1">
        <v>13000</v>
      </c>
      <c r="L254" s="2">
        <v>45294</v>
      </c>
      <c r="M254" s="11">
        <f>IF(OR(I254="",ISNA(MATCH(I254,{"DISC10","DISC15","DISC20","DISC30"},0))),0,J254)</f>
        <v>0</v>
      </c>
    </row>
    <row r="255" spans="1:13" x14ac:dyDescent="0.35">
      <c r="A255" s="1" t="s">
        <v>438</v>
      </c>
      <c r="B255" s="1" t="s">
        <v>373</v>
      </c>
      <c r="C255" s="1" t="s">
        <v>61</v>
      </c>
      <c r="D255" s="1" t="s">
        <v>62</v>
      </c>
      <c r="E255" s="1" t="s">
        <v>46</v>
      </c>
      <c r="F255" s="1" t="s">
        <v>17</v>
      </c>
      <c r="G255" s="1" t="s">
        <v>36</v>
      </c>
      <c r="H255" s="1">
        <v>10125</v>
      </c>
      <c r="I255" s="1" t="s">
        <v>22</v>
      </c>
      <c r="J255" s="1">
        <v>0.1</v>
      </c>
      <c r="K255" s="1">
        <v>9000</v>
      </c>
      <c r="L255" s="2">
        <v>45328</v>
      </c>
      <c r="M255" s="11">
        <f>IF(OR(I255="",ISNA(MATCH(I255,{"DISC10","DISC15","DISC20","DISC30"},0))),0,J255)</f>
        <v>0.1</v>
      </c>
    </row>
    <row r="256" spans="1:13" x14ac:dyDescent="0.35">
      <c r="A256" s="1" t="s">
        <v>439</v>
      </c>
      <c r="B256" s="1" t="s">
        <v>440</v>
      </c>
      <c r="C256" s="1" t="s">
        <v>30</v>
      </c>
      <c r="D256" s="1" t="s">
        <v>31</v>
      </c>
      <c r="E256" s="1" t="s">
        <v>46</v>
      </c>
      <c r="F256" s="1" t="s">
        <v>17</v>
      </c>
      <c r="G256" s="1" t="s">
        <v>26</v>
      </c>
      <c r="H256" s="1">
        <v>16141</v>
      </c>
      <c r="I256" s="1" t="s">
        <v>19</v>
      </c>
      <c r="J256" s="1">
        <v>0.2</v>
      </c>
      <c r="K256" s="1">
        <v>17000</v>
      </c>
      <c r="L256" s="2">
        <v>45299</v>
      </c>
      <c r="M256" s="11">
        <f>IF(OR(I256="",ISNA(MATCH(I256,{"DISC10","DISC15","DISC20","DISC30"},0))),0,J256)</f>
        <v>0.2</v>
      </c>
    </row>
    <row r="257" spans="1:13" x14ac:dyDescent="0.35">
      <c r="A257" s="1" t="s">
        <v>441</v>
      </c>
      <c r="B257" s="1" t="s">
        <v>190</v>
      </c>
      <c r="C257" s="1" t="s">
        <v>44</v>
      </c>
      <c r="D257" s="1" t="s">
        <v>45</v>
      </c>
      <c r="E257" s="1" t="s">
        <v>46</v>
      </c>
      <c r="F257" s="1" t="s">
        <v>39</v>
      </c>
      <c r="G257" s="1" t="s">
        <v>36</v>
      </c>
      <c r="H257" s="1">
        <v>14741</v>
      </c>
      <c r="I257" s="1" t="s">
        <v>27</v>
      </c>
      <c r="J257" s="1"/>
      <c r="K257" s="1">
        <v>13000</v>
      </c>
      <c r="L257" s="2">
        <v>45299</v>
      </c>
      <c r="M257" s="11">
        <f>IF(OR(I257="",ISNA(MATCH(I257,{"DISC10","DISC15","DISC20","DISC30"},0))),0,J257)</f>
        <v>0</v>
      </c>
    </row>
    <row r="258" spans="1:13" x14ac:dyDescent="0.35">
      <c r="A258" s="1" t="s">
        <v>442</v>
      </c>
      <c r="B258" s="1" t="s">
        <v>443</v>
      </c>
      <c r="C258" s="1" t="s">
        <v>30</v>
      </c>
      <c r="D258" s="1" t="s">
        <v>31</v>
      </c>
      <c r="E258" s="1" t="s">
        <v>16</v>
      </c>
      <c r="F258" s="1" t="s">
        <v>17</v>
      </c>
      <c r="G258" s="1" t="s">
        <v>18</v>
      </c>
      <c r="H258" s="1">
        <v>17506</v>
      </c>
      <c r="I258" s="1" t="s">
        <v>33</v>
      </c>
      <c r="J258" s="1">
        <v>0.3</v>
      </c>
      <c r="K258" s="1">
        <v>17000</v>
      </c>
      <c r="L258" s="2">
        <v>45336</v>
      </c>
      <c r="M258" s="11">
        <f>IF(OR(I258="",ISNA(MATCH(I258,{"DISC10","DISC15","DISC20","DISC30"},0))),0,J258)</f>
        <v>0.3</v>
      </c>
    </row>
    <row r="259" spans="1:13" x14ac:dyDescent="0.35">
      <c r="A259" s="1" t="s">
        <v>444</v>
      </c>
      <c r="B259" s="1" t="s">
        <v>445</v>
      </c>
      <c r="C259" s="1" t="s">
        <v>44</v>
      </c>
      <c r="D259" s="1" t="s">
        <v>45</v>
      </c>
      <c r="E259" s="1" t="s">
        <v>32</v>
      </c>
      <c r="F259" s="1" t="s">
        <v>25</v>
      </c>
      <c r="G259" s="1" t="s">
        <v>18</v>
      </c>
      <c r="H259" s="1">
        <v>12851</v>
      </c>
      <c r="I259" s="1" t="s">
        <v>19</v>
      </c>
      <c r="J259" s="1">
        <v>0.2</v>
      </c>
      <c r="K259" s="1">
        <v>13000</v>
      </c>
      <c r="L259" s="2">
        <v>45349</v>
      </c>
      <c r="M259" s="11">
        <f>IF(OR(I259="",ISNA(MATCH(I259,{"DISC10","DISC15","DISC20","DISC30"},0))),0,J259)</f>
        <v>0.2</v>
      </c>
    </row>
    <row r="260" spans="1:13" x14ac:dyDescent="0.35">
      <c r="A260" s="1" t="s">
        <v>446</v>
      </c>
      <c r="B260" s="1" t="s">
        <v>334</v>
      </c>
      <c r="C260" s="1" t="s">
        <v>14</v>
      </c>
      <c r="D260" s="1" t="s">
        <v>15</v>
      </c>
      <c r="E260" s="1" t="s">
        <v>16</v>
      </c>
      <c r="F260" s="1" t="s">
        <v>17</v>
      </c>
      <c r="G260" s="1" t="s">
        <v>26</v>
      </c>
      <c r="H260" s="1">
        <v>13423</v>
      </c>
      <c r="I260" s="1" t="s">
        <v>22</v>
      </c>
      <c r="J260" s="1">
        <v>0.1</v>
      </c>
      <c r="K260" s="1">
        <v>14000</v>
      </c>
      <c r="L260" s="2">
        <v>45327</v>
      </c>
      <c r="M260" s="11">
        <f>IF(OR(I260="",ISNA(MATCH(I260,{"DISC10","DISC15","DISC20","DISC30"},0))),0,J260)</f>
        <v>0.1</v>
      </c>
    </row>
    <row r="261" spans="1:13" x14ac:dyDescent="0.35">
      <c r="A261" s="1" t="s">
        <v>447</v>
      </c>
      <c r="B261" s="1" t="s">
        <v>448</v>
      </c>
      <c r="C261" s="1" t="s">
        <v>30</v>
      </c>
      <c r="D261" s="1" t="s">
        <v>31</v>
      </c>
      <c r="E261" s="1" t="s">
        <v>32</v>
      </c>
      <c r="F261" s="1" t="s">
        <v>39</v>
      </c>
      <c r="G261" s="1" t="s">
        <v>26</v>
      </c>
      <c r="H261" s="1">
        <v>18798</v>
      </c>
      <c r="I261" s="1" t="s">
        <v>19</v>
      </c>
      <c r="J261" s="1">
        <v>0.2</v>
      </c>
      <c r="K261" s="1">
        <v>17000</v>
      </c>
      <c r="L261" s="2">
        <v>45342</v>
      </c>
      <c r="M261" s="11">
        <f>IF(OR(I261="",ISNA(MATCH(I261,{"DISC10","DISC15","DISC20","DISC30"},0))),0,J261)</f>
        <v>0.2</v>
      </c>
    </row>
    <row r="262" spans="1:13" x14ac:dyDescent="0.35">
      <c r="A262" s="1" t="s">
        <v>449</v>
      </c>
      <c r="B262" s="1" t="s">
        <v>301</v>
      </c>
      <c r="C262" s="1" t="s">
        <v>44</v>
      </c>
      <c r="D262" s="1" t="s">
        <v>45</v>
      </c>
      <c r="E262" s="1" t="s">
        <v>32</v>
      </c>
      <c r="F262" s="1" t="s">
        <v>25</v>
      </c>
      <c r="G262" s="1" t="s">
        <v>18</v>
      </c>
      <c r="H262" s="1">
        <v>11969</v>
      </c>
      <c r="I262" s="1"/>
      <c r="J262" s="1"/>
      <c r="K262" s="1">
        <v>13000</v>
      </c>
      <c r="L262" s="2">
        <v>45293</v>
      </c>
      <c r="M262" s="11">
        <f>IF(OR(I262="",ISNA(MATCH(I262,{"DISC10","DISC15","DISC20","DISC30"},0))),0,J262)</f>
        <v>0</v>
      </c>
    </row>
    <row r="263" spans="1:13" x14ac:dyDescent="0.35">
      <c r="A263" s="1" t="s">
        <v>450</v>
      </c>
      <c r="B263" s="1" t="s">
        <v>301</v>
      </c>
      <c r="C263" s="1" t="s">
        <v>30</v>
      </c>
      <c r="D263" s="1" t="s">
        <v>31</v>
      </c>
      <c r="E263" s="1" t="s">
        <v>46</v>
      </c>
      <c r="F263" s="1" t="s">
        <v>39</v>
      </c>
      <c r="G263" s="1" t="s">
        <v>18</v>
      </c>
      <c r="H263" s="1">
        <v>17506</v>
      </c>
      <c r="I263" s="1" t="s">
        <v>22</v>
      </c>
      <c r="J263" s="1">
        <v>0.1</v>
      </c>
      <c r="K263" s="1">
        <v>17000</v>
      </c>
      <c r="L263" s="2">
        <v>45296</v>
      </c>
      <c r="M263" s="11">
        <f>IF(OR(I263="",ISNA(MATCH(I263,{"DISC10","DISC15","DISC20","DISC30"},0))),0,J263)</f>
        <v>0.1</v>
      </c>
    </row>
    <row r="264" spans="1:13" x14ac:dyDescent="0.35">
      <c r="A264" s="1" t="s">
        <v>451</v>
      </c>
      <c r="B264" s="1" t="s">
        <v>70</v>
      </c>
      <c r="C264" s="1" t="s">
        <v>61</v>
      </c>
      <c r="D264" s="1" t="s">
        <v>62</v>
      </c>
      <c r="E264" s="1" t="s">
        <v>16</v>
      </c>
      <c r="F264" s="1" t="s">
        <v>17</v>
      </c>
      <c r="G264" s="1" t="s">
        <v>36</v>
      </c>
      <c r="H264" s="1">
        <v>10372</v>
      </c>
      <c r="I264" s="1" t="s">
        <v>27</v>
      </c>
      <c r="J264" s="1"/>
      <c r="K264" s="1">
        <v>9000</v>
      </c>
      <c r="L264" s="2">
        <v>45296</v>
      </c>
      <c r="M264" s="11">
        <f>IF(OR(I264="",ISNA(MATCH(I264,{"DISC10","DISC15","DISC20","DISC30"},0))),0,J264)</f>
        <v>0</v>
      </c>
    </row>
    <row r="265" spans="1:13" x14ac:dyDescent="0.35">
      <c r="A265" s="1" t="s">
        <v>452</v>
      </c>
      <c r="B265" s="1" t="s">
        <v>74</v>
      </c>
      <c r="C265" s="1" t="s">
        <v>14</v>
      </c>
      <c r="D265" s="1" t="s">
        <v>15</v>
      </c>
      <c r="E265" s="1" t="s">
        <v>46</v>
      </c>
      <c r="F265" s="1" t="s">
        <v>17</v>
      </c>
      <c r="G265" s="1" t="s">
        <v>26</v>
      </c>
      <c r="H265" s="1">
        <v>14119</v>
      </c>
      <c r="I265" s="1" t="s">
        <v>33</v>
      </c>
      <c r="J265" s="1">
        <v>0.3</v>
      </c>
      <c r="K265" s="1">
        <v>14000</v>
      </c>
      <c r="L265" s="2">
        <v>45300</v>
      </c>
      <c r="M265" s="11">
        <f>IF(OR(I265="",ISNA(MATCH(I265,{"DISC10","DISC15","DISC20","DISC30"},0))),0,J265)</f>
        <v>0.3</v>
      </c>
    </row>
    <row r="266" spans="1:13" x14ac:dyDescent="0.35">
      <c r="A266" s="1" t="s">
        <v>453</v>
      </c>
      <c r="B266" s="1" t="s">
        <v>454</v>
      </c>
      <c r="C266" s="1" t="s">
        <v>44</v>
      </c>
      <c r="D266" s="1" t="s">
        <v>45</v>
      </c>
      <c r="E266" s="1" t="s">
        <v>32</v>
      </c>
      <c r="F266" s="1" t="s">
        <v>17</v>
      </c>
      <c r="G266" s="1" t="s">
        <v>26</v>
      </c>
      <c r="H266" s="1">
        <v>14730</v>
      </c>
      <c r="I266" s="1" t="s">
        <v>22</v>
      </c>
      <c r="J266" s="1">
        <v>0.1</v>
      </c>
      <c r="K266" s="1">
        <v>13000</v>
      </c>
      <c r="L266" s="2">
        <v>45345</v>
      </c>
      <c r="M266" s="11">
        <f>IF(OR(I266="",ISNA(MATCH(I266,{"DISC10","DISC15","DISC20","DISC30"},0))),0,J266)</f>
        <v>0.1</v>
      </c>
    </row>
    <row r="267" spans="1:13" x14ac:dyDescent="0.35">
      <c r="A267" s="1" t="s">
        <v>455</v>
      </c>
      <c r="B267" s="1" t="s">
        <v>241</v>
      </c>
      <c r="C267" s="1" t="s">
        <v>44</v>
      </c>
      <c r="D267" s="1" t="s">
        <v>45</v>
      </c>
      <c r="E267" s="1" t="s">
        <v>46</v>
      </c>
      <c r="F267" s="1" t="s">
        <v>25</v>
      </c>
      <c r="G267" s="1" t="s">
        <v>18</v>
      </c>
      <c r="H267" s="1">
        <v>12321</v>
      </c>
      <c r="I267" s="1" t="s">
        <v>19</v>
      </c>
      <c r="J267" s="1">
        <v>0.2</v>
      </c>
      <c r="K267" s="1">
        <v>13000</v>
      </c>
      <c r="L267" s="2">
        <v>45314</v>
      </c>
      <c r="M267" s="11">
        <f>IF(OR(I267="",ISNA(MATCH(I267,{"DISC10","DISC15","DISC20","DISC30"},0))),0,J267)</f>
        <v>0.2</v>
      </c>
    </row>
    <row r="268" spans="1:13" x14ac:dyDescent="0.35">
      <c r="A268" s="1" t="s">
        <v>456</v>
      </c>
      <c r="B268" s="1" t="s">
        <v>448</v>
      </c>
      <c r="C268" s="1" t="s">
        <v>14</v>
      </c>
      <c r="D268" s="1" t="s">
        <v>15</v>
      </c>
      <c r="E268" s="1" t="s">
        <v>46</v>
      </c>
      <c r="F268" s="1" t="s">
        <v>25</v>
      </c>
      <c r="G268" s="1" t="s">
        <v>26</v>
      </c>
      <c r="H268" s="1">
        <v>15917</v>
      </c>
      <c r="I268" s="1" t="s">
        <v>27</v>
      </c>
      <c r="J268" s="1"/>
      <c r="K268" s="1">
        <v>14000</v>
      </c>
      <c r="L268" s="2">
        <v>45309</v>
      </c>
      <c r="M268" s="11">
        <f>IF(OR(I268="",ISNA(MATCH(I268,{"DISC10","DISC15","DISC20","DISC30"},0))),0,J268)</f>
        <v>0</v>
      </c>
    </row>
    <row r="269" spans="1:13" x14ac:dyDescent="0.35">
      <c r="A269" s="1" t="s">
        <v>457</v>
      </c>
      <c r="B269" s="1" t="s">
        <v>113</v>
      </c>
      <c r="C269" s="1" t="s">
        <v>30</v>
      </c>
      <c r="D269" s="1" t="s">
        <v>31</v>
      </c>
      <c r="E269" s="1" t="s">
        <v>16</v>
      </c>
      <c r="F269" s="1" t="s">
        <v>39</v>
      </c>
      <c r="G269" s="1" t="s">
        <v>18</v>
      </c>
      <c r="H269" s="1">
        <v>17058</v>
      </c>
      <c r="I269" s="1" t="s">
        <v>19</v>
      </c>
      <c r="J269" s="1">
        <v>0.2</v>
      </c>
      <c r="K269" s="1">
        <v>17000</v>
      </c>
      <c r="L269" s="2">
        <v>45329</v>
      </c>
      <c r="M269" s="11">
        <f>IF(OR(I269="",ISNA(MATCH(I269,{"DISC10","DISC15","DISC20","DISC30"},0))),0,J269)</f>
        <v>0.2</v>
      </c>
    </row>
    <row r="270" spans="1:13" x14ac:dyDescent="0.35">
      <c r="A270" s="1" t="s">
        <v>458</v>
      </c>
      <c r="B270" s="1" t="s">
        <v>373</v>
      </c>
      <c r="C270" s="1" t="s">
        <v>44</v>
      </c>
      <c r="D270" s="1" t="s">
        <v>45</v>
      </c>
      <c r="E270" s="1" t="s">
        <v>16</v>
      </c>
      <c r="F270" s="1" t="s">
        <v>39</v>
      </c>
      <c r="G270" s="1" t="s">
        <v>26</v>
      </c>
      <c r="H270" s="1">
        <v>14694</v>
      </c>
      <c r="I270" s="1" t="s">
        <v>27</v>
      </c>
      <c r="J270" s="1"/>
      <c r="K270" s="1">
        <v>13000</v>
      </c>
      <c r="L270" s="2">
        <v>45313</v>
      </c>
      <c r="M270" s="11">
        <f>IF(OR(I270="",ISNA(MATCH(I270,{"DISC10","DISC15","DISC20","DISC30"},0))),0,J270)</f>
        <v>0</v>
      </c>
    </row>
    <row r="271" spans="1:13" x14ac:dyDescent="0.35">
      <c r="A271" s="1" t="s">
        <v>459</v>
      </c>
      <c r="B271" s="1" t="s">
        <v>460</v>
      </c>
      <c r="C271" s="1" t="s">
        <v>14</v>
      </c>
      <c r="D271" s="1" t="s">
        <v>15</v>
      </c>
      <c r="E271" s="1" t="s">
        <v>32</v>
      </c>
      <c r="F271" s="1" t="s">
        <v>25</v>
      </c>
      <c r="G271" s="1" t="s">
        <v>18</v>
      </c>
      <c r="H271" s="1">
        <v>15885</v>
      </c>
      <c r="I271" s="1" t="s">
        <v>27</v>
      </c>
      <c r="J271" s="1"/>
      <c r="K271" s="1">
        <v>14000</v>
      </c>
      <c r="L271" s="2">
        <v>45308</v>
      </c>
      <c r="M271" s="11">
        <f>IF(OR(I271="",ISNA(MATCH(I271,{"DISC10","DISC15","DISC20","DISC30"},0))),0,J271)</f>
        <v>0</v>
      </c>
    </row>
    <row r="272" spans="1:13" x14ac:dyDescent="0.35">
      <c r="A272" s="1" t="s">
        <v>461</v>
      </c>
      <c r="B272" s="1" t="s">
        <v>239</v>
      </c>
      <c r="C272" s="1" t="s">
        <v>61</v>
      </c>
      <c r="D272" s="1" t="s">
        <v>62</v>
      </c>
      <c r="E272" s="1" t="s">
        <v>16</v>
      </c>
      <c r="F272" s="1" t="s">
        <v>39</v>
      </c>
      <c r="G272" s="1" t="s">
        <v>18</v>
      </c>
      <c r="H272" s="1">
        <v>9039</v>
      </c>
      <c r="I272" s="1" t="s">
        <v>27</v>
      </c>
      <c r="J272" s="1"/>
      <c r="K272" s="1">
        <v>9000</v>
      </c>
      <c r="L272" s="2">
        <v>45310</v>
      </c>
      <c r="M272" s="11">
        <f>IF(OR(I272="",ISNA(MATCH(I272,{"DISC10","DISC15","DISC20","DISC30"},0))),0,J272)</f>
        <v>0</v>
      </c>
    </row>
    <row r="273" spans="1:13" x14ac:dyDescent="0.35">
      <c r="A273" s="1" t="s">
        <v>462</v>
      </c>
      <c r="B273" s="1" t="s">
        <v>278</v>
      </c>
      <c r="C273" s="1" t="s">
        <v>61</v>
      </c>
      <c r="D273" s="1" t="s">
        <v>62</v>
      </c>
      <c r="E273" s="1" t="s">
        <v>32</v>
      </c>
      <c r="F273" s="1" t="s">
        <v>39</v>
      </c>
      <c r="G273" s="1" t="s">
        <v>36</v>
      </c>
      <c r="H273" s="1">
        <v>8218</v>
      </c>
      <c r="I273" s="1"/>
      <c r="J273" s="1"/>
      <c r="K273" s="1">
        <v>9000</v>
      </c>
      <c r="L273" s="2">
        <v>45296</v>
      </c>
      <c r="M273" s="11">
        <f>IF(OR(I273="",ISNA(MATCH(I273,{"DISC10","DISC15","DISC20","DISC30"},0))),0,J273)</f>
        <v>0</v>
      </c>
    </row>
    <row r="274" spans="1:13" x14ac:dyDescent="0.35">
      <c r="A274" s="1" t="s">
        <v>463</v>
      </c>
      <c r="B274" s="1" t="s">
        <v>464</v>
      </c>
      <c r="C274" s="1" t="s">
        <v>44</v>
      </c>
      <c r="D274" s="1" t="s">
        <v>45</v>
      </c>
      <c r="E274" s="1" t="s">
        <v>46</v>
      </c>
      <c r="F274" s="1" t="s">
        <v>17</v>
      </c>
      <c r="G274" s="1" t="s">
        <v>36</v>
      </c>
      <c r="H274" s="1">
        <v>12902</v>
      </c>
      <c r="I274" s="1" t="s">
        <v>19</v>
      </c>
      <c r="J274" s="1">
        <v>0.2</v>
      </c>
      <c r="K274" s="1">
        <v>13000</v>
      </c>
      <c r="L274" s="2">
        <v>45313</v>
      </c>
      <c r="M274" s="11">
        <f>IF(OR(I274="",ISNA(MATCH(I274,{"DISC10","DISC15","DISC20","DISC30"},0))),0,J274)</f>
        <v>0.2</v>
      </c>
    </row>
    <row r="275" spans="1:13" x14ac:dyDescent="0.35">
      <c r="A275" s="1" t="s">
        <v>465</v>
      </c>
      <c r="B275" s="1" t="s">
        <v>373</v>
      </c>
      <c r="C275" s="1" t="s">
        <v>30</v>
      </c>
      <c r="D275" s="1" t="s">
        <v>31</v>
      </c>
      <c r="E275" s="1" t="s">
        <v>16</v>
      </c>
      <c r="F275" s="1" t="s">
        <v>17</v>
      </c>
      <c r="G275" s="1" t="s">
        <v>26</v>
      </c>
      <c r="H275" s="1">
        <v>18525</v>
      </c>
      <c r="I275" s="1" t="s">
        <v>33</v>
      </c>
      <c r="J275" s="1">
        <v>0.3</v>
      </c>
      <c r="K275" s="1">
        <v>17000</v>
      </c>
      <c r="L275" s="2">
        <v>45317</v>
      </c>
      <c r="M275" s="11">
        <f>IF(OR(I275="",ISNA(MATCH(I275,{"DISC10","DISC15","DISC20","DISC30"},0))),0,J275)</f>
        <v>0.3</v>
      </c>
    </row>
    <row r="276" spans="1:13" x14ac:dyDescent="0.35">
      <c r="A276" s="1" t="s">
        <v>466</v>
      </c>
      <c r="B276" s="1" t="s">
        <v>135</v>
      </c>
      <c r="C276" s="1" t="s">
        <v>30</v>
      </c>
      <c r="D276" s="1" t="s">
        <v>31</v>
      </c>
      <c r="E276" s="1" t="s">
        <v>16</v>
      </c>
      <c r="F276" s="1" t="s">
        <v>39</v>
      </c>
      <c r="G276" s="1" t="s">
        <v>18</v>
      </c>
      <c r="H276" s="1">
        <v>16307</v>
      </c>
      <c r="I276" s="1" t="s">
        <v>19</v>
      </c>
      <c r="J276" s="1">
        <v>0.2</v>
      </c>
      <c r="K276" s="1">
        <v>17000</v>
      </c>
      <c r="L276" s="2">
        <v>45321</v>
      </c>
      <c r="M276" s="11">
        <f>IF(OR(I276="",ISNA(MATCH(I276,{"DISC10","DISC15","DISC20","DISC30"},0))),0,J276)</f>
        <v>0.2</v>
      </c>
    </row>
    <row r="277" spans="1:13" x14ac:dyDescent="0.35">
      <c r="A277" s="1" t="s">
        <v>467</v>
      </c>
      <c r="B277" s="1" t="s">
        <v>263</v>
      </c>
      <c r="C277" s="1" t="s">
        <v>61</v>
      </c>
      <c r="D277" s="1" t="s">
        <v>62</v>
      </c>
      <c r="E277" s="1" t="s">
        <v>32</v>
      </c>
      <c r="F277" s="1" t="s">
        <v>25</v>
      </c>
      <c r="G277" s="1" t="s">
        <v>18</v>
      </c>
      <c r="H277" s="1">
        <v>7207</v>
      </c>
      <c r="I277" s="1" t="s">
        <v>33</v>
      </c>
      <c r="J277" s="1">
        <v>0.3</v>
      </c>
      <c r="K277" s="1">
        <v>9000</v>
      </c>
      <c r="L277" s="2">
        <v>45352</v>
      </c>
      <c r="M277" s="11">
        <f>IF(OR(I277="",ISNA(MATCH(I277,{"DISC10","DISC15","DISC20","DISC30"},0))),0,J277)</f>
        <v>0.3</v>
      </c>
    </row>
    <row r="278" spans="1:13" x14ac:dyDescent="0.35">
      <c r="A278" s="1" t="s">
        <v>468</v>
      </c>
      <c r="B278" s="1" t="s">
        <v>309</v>
      </c>
      <c r="C278" s="1" t="s">
        <v>61</v>
      </c>
      <c r="D278" s="1" t="s">
        <v>62</v>
      </c>
      <c r="E278" s="1" t="s">
        <v>32</v>
      </c>
      <c r="F278" s="1" t="s">
        <v>25</v>
      </c>
      <c r="G278" s="1" t="s">
        <v>36</v>
      </c>
      <c r="H278" s="1">
        <v>10824</v>
      </c>
      <c r="I278" s="1" t="s">
        <v>27</v>
      </c>
      <c r="J278" s="1"/>
      <c r="K278" s="1">
        <v>9000</v>
      </c>
      <c r="L278" s="2">
        <v>45338</v>
      </c>
      <c r="M278" s="11">
        <f>IF(OR(I278="",ISNA(MATCH(I278,{"DISC10","DISC15","DISC20","DISC30"},0))),0,J278)</f>
        <v>0</v>
      </c>
    </row>
    <row r="279" spans="1:13" x14ac:dyDescent="0.35">
      <c r="A279" s="1" t="s">
        <v>469</v>
      </c>
      <c r="B279" s="1" t="s">
        <v>408</v>
      </c>
      <c r="C279" s="1" t="s">
        <v>44</v>
      </c>
      <c r="D279" s="1" t="s">
        <v>45</v>
      </c>
      <c r="E279" s="1" t="s">
        <v>46</v>
      </c>
      <c r="F279" s="1" t="s">
        <v>39</v>
      </c>
      <c r="G279" s="1" t="s">
        <v>36</v>
      </c>
      <c r="H279" s="1">
        <v>13042</v>
      </c>
      <c r="I279" s="1" t="s">
        <v>33</v>
      </c>
      <c r="J279" s="1">
        <v>0.3</v>
      </c>
      <c r="K279" s="1">
        <v>13000</v>
      </c>
      <c r="L279" s="2">
        <v>45323</v>
      </c>
      <c r="M279" s="11">
        <f>IF(OR(I279="",ISNA(MATCH(I279,{"DISC10","DISC15","DISC20","DISC30"},0))),0,J279)</f>
        <v>0.3</v>
      </c>
    </row>
    <row r="280" spans="1:13" x14ac:dyDescent="0.35">
      <c r="A280" s="1" t="s">
        <v>470</v>
      </c>
      <c r="B280" s="1" t="s">
        <v>76</v>
      </c>
      <c r="C280" s="1" t="s">
        <v>61</v>
      </c>
      <c r="D280" s="1" t="s">
        <v>62</v>
      </c>
      <c r="E280" s="1" t="s">
        <v>16</v>
      </c>
      <c r="F280" s="1" t="s">
        <v>17</v>
      </c>
      <c r="G280" s="1" t="s">
        <v>18</v>
      </c>
      <c r="H280" s="1">
        <v>7881</v>
      </c>
      <c r="I280" s="1" t="s">
        <v>27</v>
      </c>
      <c r="J280" s="1"/>
      <c r="K280" s="1">
        <v>9000</v>
      </c>
      <c r="L280" s="2">
        <v>45314</v>
      </c>
      <c r="M280" s="11">
        <f>IF(OR(I280="",ISNA(MATCH(I280,{"DISC10","DISC15","DISC20","DISC30"},0))),0,J280)</f>
        <v>0</v>
      </c>
    </row>
    <row r="281" spans="1:13" x14ac:dyDescent="0.35">
      <c r="A281" s="1" t="s">
        <v>471</v>
      </c>
      <c r="B281" s="1" t="s">
        <v>161</v>
      </c>
      <c r="C281" s="1" t="s">
        <v>30</v>
      </c>
      <c r="D281" s="1" t="s">
        <v>31</v>
      </c>
      <c r="E281" s="1" t="s">
        <v>46</v>
      </c>
      <c r="F281" s="1" t="s">
        <v>39</v>
      </c>
      <c r="G281" s="1" t="s">
        <v>26</v>
      </c>
      <c r="H281" s="1">
        <v>17754</v>
      </c>
      <c r="I281" s="1"/>
      <c r="J281" s="1"/>
      <c r="K281" s="1">
        <v>17000</v>
      </c>
      <c r="L281" s="2">
        <v>45310</v>
      </c>
      <c r="M281" s="11">
        <f>IF(OR(I281="",ISNA(MATCH(I281,{"DISC10","DISC15","DISC20","DISC30"},0))),0,J281)</f>
        <v>0</v>
      </c>
    </row>
    <row r="282" spans="1:13" x14ac:dyDescent="0.35">
      <c r="A282" s="1" t="s">
        <v>472</v>
      </c>
      <c r="B282" s="1" t="s">
        <v>184</v>
      </c>
      <c r="C282" s="1" t="s">
        <v>14</v>
      </c>
      <c r="D282" s="1" t="s">
        <v>15</v>
      </c>
      <c r="E282" s="1" t="s">
        <v>46</v>
      </c>
      <c r="F282" s="1" t="s">
        <v>25</v>
      </c>
      <c r="G282" s="1" t="s">
        <v>36</v>
      </c>
      <c r="H282" s="1">
        <v>14979</v>
      </c>
      <c r="I282" s="1" t="s">
        <v>33</v>
      </c>
      <c r="J282" s="1">
        <v>0.3</v>
      </c>
      <c r="K282" s="1">
        <v>14000</v>
      </c>
      <c r="L282" s="2">
        <v>45340</v>
      </c>
      <c r="M282" s="11">
        <f>IF(OR(I282="",ISNA(MATCH(I282,{"DISC10","DISC15","DISC20","DISC30"},0))),0,J282)</f>
        <v>0.3</v>
      </c>
    </row>
    <row r="283" spans="1:13" x14ac:dyDescent="0.35">
      <c r="A283" s="1" t="s">
        <v>473</v>
      </c>
      <c r="B283" s="1" t="s">
        <v>474</v>
      </c>
      <c r="C283" s="1" t="s">
        <v>14</v>
      </c>
      <c r="D283" s="1" t="s">
        <v>15</v>
      </c>
      <c r="E283" s="1" t="s">
        <v>46</v>
      </c>
      <c r="F283" s="1" t="s">
        <v>25</v>
      </c>
      <c r="G283" s="1" t="s">
        <v>26</v>
      </c>
      <c r="H283" s="1">
        <v>14301</v>
      </c>
      <c r="I283" s="1" t="s">
        <v>19</v>
      </c>
      <c r="J283" s="1">
        <v>0.2</v>
      </c>
      <c r="K283" s="1">
        <v>14000</v>
      </c>
      <c r="L283" s="2">
        <v>45315</v>
      </c>
      <c r="M283" s="11">
        <f>IF(OR(I283="",ISNA(MATCH(I283,{"DISC10","DISC15","DISC20","DISC30"},0))),0,J283)</f>
        <v>0.2</v>
      </c>
    </row>
    <row r="284" spans="1:13" x14ac:dyDescent="0.35">
      <c r="A284" s="1" t="s">
        <v>475</v>
      </c>
      <c r="B284" s="1" t="s">
        <v>448</v>
      </c>
      <c r="C284" s="1" t="s">
        <v>14</v>
      </c>
      <c r="D284" s="1" t="s">
        <v>15</v>
      </c>
      <c r="E284" s="1" t="s">
        <v>46</v>
      </c>
      <c r="F284" s="1" t="s">
        <v>39</v>
      </c>
      <c r="G284" s="1" t="s">
        <v>36</v>
      </c>
      <c r="H284" s="1">
        <v>15130</v>
      </c>
      <c r="I284" s="1" t="s">
        <v>27</v>
      </c>
      <c r="J284" s="1"/>
      <c r="K284" s="1">
        <v>14000</v>
      </c>
      <c r="L284" s="2">
        <v>45309</v>
      </c>
      <c r="M284" s="11">
        <f>IF(OR(I284="",ISNA(MATCH(I284,{"DISC10","DISC15","DISC20","DISC30"},0))),0,J284)</f>
        <v>0</v>
      </c>
    </row>
    <row r="285" spans="1:13" x14ac:dyDescent="0.35">
      <c r="A285" s="1" t="s">
        <v>476</v>
      </c>
      <c r="B285" s="1" t="s">
        <v>460</v>
      </c>
      <c r="C285" s="1" t="s">
        <v>14</v>
      </c>
      <c r="D285" s="1" t="s">
        <v>15</v>
      </c>
      <c r="E285" s="1" t="s">
        <v>32</v>
      </c>
      <c r="F285" s="1" t="s">
        <v>25</v>
      </c>
      <c r="G285" s="1" t="s">
        <v>36</v>
      </c>
      <c r="H285" s="1">
        <v>13528</v>
      </c>
      <c r="I285" s="1" t="s">
        <v>33</v>
      </c>
      <c r="J285" s="1">
        <v>0.3</v>
      </c>
      <c r="K285" s="1">
        <v>14000</v>
      </c>
      <c r="L285" s="2">
        <v>45327</v>
      </c>
      <c r="M285" s="11">
        <f>IF(OR(I285="",ISNA(MATCH(I285,{"DISC10","DISC15","DISC20","DISC30"},0))),0,J285)</f>
        <v>0.3</v>
      </c>
    </row>
    <row r="286" spans="1:13" x14ac:dyDescent="0.35">
      <c r="A286" s="1" t="s">
        <v>477</v>
      </c>
      <c r="B286" s="1" t="s">
        <v>478</v>
      </c>
      <c r="C286" s="1" t="s">
        <v>44</v>
      </c>
      <c r="D286" s="1" t="s">
        <v>45</v>
      </c>
      <c r="E286" s="1" t="s">
        <v>32</v>
      </c>
      <c r="F286" s="1" t="s">
        <v>39</v>
      </c>
      <c r="G286" s="1" t="s">
        <v>26</v>
      </c>
      <c r="H286" s="1">
        <v>12644</v>
      </c>
      <c r="I286" s="1" t="s">
        <v>27</v>
      </c>
      <c r="J286" s="1"/>
      <c r="K286" s="1">
        <v>13000</v>
      </c>
      <c r="L286" s="2">
        <v>45294</v>
      </c>
      <c r="M286" s="11">
        <f>IF(OR(I286="",ISNA(MATCH(I286,{"DISC10","DISC15","DISC20","DISC30"},0))),0,J286)</f>
        <v>0</v>
      </c>
    </row>
    <row r="287" spans="1:13" x14ac:dyDescent="0.35">
      <c r="A287" s="1" t="s">
        <v>479</v>
      </c>
      <c r="B287" s="1" t="s">
        <v>161</v>
      </c>
      <c r="C287" s="1" t="s">
        <v>44</v>
      </c>
      <c r="D287" s="1" t="s">
        <v>45</v>
      </c>
      <c r="E287" s="1" t="s">
        <v>16</v>
      </c>
      <c r="F287" s="1" t="s">
        <v>17</v>
      </c>
      <c r="G287" s="1" t="s">
        <v>36</v>
      </c>
      <c r="H287" s="1">
        <v>13127</v>
      </c>
      <c r="I287" s="1"/>
      <c r="J287" s="1"/>
      <c r="K287" s="1">
        <v>13000</v>
      </c>
      <c r="L287" s="2">
        <v>45301</v>
      </c>
      <c r="M287" s="11">
        <f>IF(OR(I287="",ISNA(MATCH(I287,{"DISC10","DISC15","DISC20","DISC30"},0))),0,J287)</f>
        <v>0</v>
      </c>
    </row>
    <row r="288" spans="1:13" x14ac:dyDescent="0.35">
      <c r="A288" s="1" t="s">
        <v>480</v>
      </c>
      <c r="B288" s="1" t="s">
        <v>86</v>
      </c>
      <c r="C288" s="1" t="s">
        <v>44</v>
      </c>
      <c r="D288" s="1" t="s">
        <v>45</v>
      </c>
      <c r="E288" s="1" t="s">
        <v>46</v>
      </c>
      <c r="F288" s="1" t="s">
        <v>39</v>
      </c>
      <c r="G288" s="1" t="s">
        <v>36</v>
      </c>
      <c r="H288" s="1">
        <v>11665</v>
      </c>
      <c r="I288" s="1"/>
      <c r="J288" s="1"/>
      <c r="K288" s="1">
        <v>13000</v>
      </c>
      <c r="L288" s="2">
        <v>45331</v>
      </c>
      <c r="M288" s="11">
        <f>IF(OR(I288="",ISNA(MATCH(I288,{"DISC10","DISC15","DISC20","DISC30"},0))),0,J288)</f>
        <v>0</v>
      </c>
    </row>
    <row r="289" spans="1:13" x14ac:dyDescent="0.35">
      <c r="A289" s="1" t="s">
        <v>481</v>
      </c>
      <c r="B289" s="1" t="s">
        <v>371</v>
      </c>
      <c r="C289" s="1" t="s">
        <v>30</v>
      </c>
      <c r="D289" s="1" t="s">
        <v>31</v>
      </c>
      <c r="E289" s="1" t="s">
        <v>16</v>
      </c>
      <c r="F289" s="1" t="s">
        <v>17</v>
      </c>
      <c r="G289" s="1" t="s">
        <v>26</v>
      </c>
      <c r="H289" s="1">
        <v>18392</v>
      </c>
      <c r="I289" s="1" t="s">
        <v>27</v>
      </c>
      <c r="J289" s="1"/>
      <c r="K289" s="1">
        <v>17000</v>
      </c>
      <c r="L289" s="2">
        <v>45326</v>
      </c>
      <c r="M289" s="11">
        <f>IF(OR(I289="",ISNA(MATCH(I289,{"DISC10","DISC15","DISC20","DISC30"},0))),0,J289)</f>
        <v>0</v>
      </c>
    </row>
    <row r="290" spans="1:13" x14ac:dyDescent="0.35">
      <c r="A290" s="1" t="s">
        <v>482</v>
      </c>
      <c r="B290" s="1" t="s">
        <v>483</v>
      </c>
      <c r="C290" s="1" t="s">
        <v>30</v>
      </c>
      <c r="D290" s="1" t="s">
        <v>31</v>
      </c>
      <c r="E290" s="1" t="s">
        <v>46</v>
      </c>
      <c r="F290" s="1" t="s">
        <v>25</v>
      </c>
      <c r="G290" s="1" t="s">
        <v>36</v>
      </c>
      <c r="H290" s="1">
        <v>16356</v>
      </c>
      <c r="I290" s="1" t="s">
        <v>22</v>
      </c>
      <c r="J290" s="1">
        <v>0.1</v>
      </c>
      <c r="K290" s="1">
        <v>17000</v>
      </c>
      <c r="L290" s="2">
        <v>45318</v>
      </c>
      <c r="M290" s="11">
        <f>IF(OR(I290="",ISNA(MATCH(I290,{"DISC10","DISC15","DISC20","DISC30"},0))),0,J290)</f>
        <v>0.1</v>
      </c>
    </row>
    <row r="291" spans="1:13" x14ac:dyDescent="0.35">
      <c r="A291" s="1" t="s">
        <v>484</v>
      </c>
      <c r="B291" s="1" t="s">
        <v>291</v>
      </c>
      <c r="C291" s="1" t="s">
        <v>14</v>
      </c>
      <c r="D291" s="1" t="s">
        <v>15</v>
      </c>
      <c r="E291" s="1" t="s">
        <v>16</v>
      </c>
      <c r="F291" s="1" t="s">
        <v>17</v>
      </c>
      <c r="G291" s="1" t="s">
        <v>36</v>
      </c>
      <c r="H291" s="1">
        <v>15961</v>
      </c>
      <c r="I291" s="1" t="s">
        <v>27</v>
      </c>
      <c r="J291" s="1"/>
      <c r="K291" s="1">
        <v>14000</v>
      </c>
      <c r="L291" s="2">
        <v>45328</v>
      </c>
      <c r="M291" s="11">
        <f>IF(OR(I291="",ISNA(MATCH(I291,{"DISC10","DISC15","DISC20","DISC30"},0))),0,J291)</f>
        <v>0</v>
      </c>
    </row>
    <row r="292" spans="1:13" x14ac:dyDescent="0.35">
      <c r="A292" s="1" t="s">
        <v>485</v>
      </c>
      <c r="B292" s="1" t="s">
        <v>220</v>
      </c>
      <c r="C292" s="1" t="s">
        <v>14</v>
      </c>
      <c r="D292" s="1" t="s">
        <v>15</v>
      </c>
      <c r="E292" s="1" t="s">
        <v>16</v>
      </c>
      <c r="F292" s="1" t="s">
        <v>17</v>
      </c>
      <c r="G292" s="1" t="s">
        <v>18</v>
      </c>
      <c r="H292" s="1">
        <v>14147</v>
      </c>
      <c r="I292" s="1" t="s">
        <v>27</v>
      </c>
      <c r="J292" s="1"/>
      <c r="K292" s="1">
        <v>14000</v>
      </c>
      <c r="L292" s="2">
        <v>45341</v>
      </c>
      <c r="M292" s="11">
        <f>IF(OR(I292="",ISNA(MATCH(I292,{"DISC10","DISC15","DISC20","DISC30"},0))),0,J292)</f>
        <v>0</v>
      </c>
    </row>
    <row r="293" spans="1:13" x14ac:dyDescent="0.35">
      <c r="A293" s="1" t="s">
        <v>486</v>
      </c>
      <c r="B293" s="1" t="s">
        <v>487</v>
      </c>
      <c r="C293" s="1" t="s">
        <v>44</v>
      </c>
      <c r="D293" s="1" t="s">
        <v>45</v>
      </c>
      <c r="E293" s="1" t="s">
        <v>16</v>
      </c>
      <c r="F293" s="1" t="s">
        <v>25</v>
      </c>
      <c r="G293" s="1" t="s">
        <v>18</v>
      </c>
      <c r="H293" s="1">
        <v>13345</v>
      </c>
      <c r="I293" s="1" t="s">
        <v>22</v>
      </c>
      <c r="J293" s="1">
        <v>0.1</v>
      </c>
      <c r="K293" s="1">
        <v>13000</v>
      </c>
      <c r="L293" s="2">
        <v>45304</v>
      </c>
      <c r="M293" s="11">
        <f>IF(OR(I293="",ISNA(MATCH(I293,{"DISC10","DISC15","DISC20","DISC30"},0))),0,J293)</f>
        <v>0.1</v>
      </c>
    </row>
    <row r="294" spans="1:13" x14ac:dyDescent="0.35">
      <c r="A294" s="1" t="s">
        <v>488</v>
      </c>
      <c r="B294" s="1" t="s">
        <v>489</v>
      </c>
      <c r="C294" s="1" t="s">
        <v>30</v>
      </c>
      <c r="D294" s="1" t="s">
        <v>31</v>
      </c>
      <c r="E294" s="1" t="s">
        <v>46</v>
      </c>
      <c r="F294" s="1" t="s">
        <v>25</v>
      </c>
      <c r="G294" s="1" t="s">
        <v>36</v>
      </c>
      <c r="H294" s="1">
        <v>17828</v>
      </c>
      <c r="I294" s="1" t="s">
        <v>19</v>
      </c>
      <c r="J294" s="1">
        <v>0.2</v>
      </c>
      <c r="K294" s="1">
        <v>17000</v>
      </c>
      <c r="L294" s="2">
        <v>45318</v>
      </c>
      <c r="M294" s="11">
        <f>IF(OR(I294="",ISNA(MATCH(I294,{"DISC10","DISC15","DISC20","DISC30"},0))),0,J294)</f>
        <v>0.2</v>
      </c>
    </row>
    <row r="295" spans="1:13" x14ac:dyDescent="0.35">
      <c r="A295" s="1" t="s">
        <v>490</v>
      </c>
      <c r="B295" s="1" t="s">
        <v>82</v>
      </c>
      <c r="C295" s="1" t="s">
        <v>61</v>
      </c>
      <c r="D295" s="1" t="s">
        <v>62</v>
      </c>
      <c r="E295" s="1" t="s">
        <v>16</v>
      </c>
      <c r="F295" s="1" t="s">
        <v>39</v>
      </c>
      <c r="G295" s="1" t="s">
        <v>18</v>
      </c>
      <c r="H295" s="1">
        <v>9890</v>
      </c>
      <c r="I295" s="1" t="s">
        <v>19</v>
      </c>
      <c r="J295" s="1">
        <v>0.2</v>
      </c>
      <c r="K295" s="1">
        <v>9000</v>
      </c>
      <c r="L295" s="2">
        <v>45325</v>
      </c>
      <c r="M295" s="11">
        <f>IF(OR(I295="",ISNA(MATCH(I295,{"DISC10","DISC15","DISC20","DISC30"},0))),0,J295)</f>
        <v>0.2</v>
      </c>
    </row>
    <row r="296" spans="1:13" x14ac:dyDescent="0.35">
      <c r="A296" s="1" t="s">
        <v>491</v>
      </c>
      <c r="B296" s="1" t="s">
        <v>24</v>
      </c>
      <c r="C296" s="1" t="s">
        <v>30</v>
      </c>
      <c r="D296" s="1" t="s">
        <v>31</v>
      </c>
      <c r="E296" s="1" t="s">
        <v>16</v>
      </c>
      <c r="F296" s="1" t="s">
        <v>17</v>
      </c>
      <c r="G296" s="1" t="s">
        <v>26</v>
      </c>
      <c r="H296" s="1">
        <v>16543</v>
      </c>
      <c r="I296" s="1" t="s">
        <v>33</v>
      </c>
      <c r="J296" s="1">
        <v>0.3</v>
      </c>
      <c r="K296" s="1">
        <v>17000</v>
      </c>
      <c r="L296" s="2">
        <v>45303</v>
      </c>
      <c r="M296" s="11">
        <f>IF(OR(I296="",ISNA(MATCH(I296,{"DISC10","DISC15","DISC20","DISC30"},0))),0,J296)</f>
        <v>0.3</v>
      </c>
    </row>
    <row r="297" spans="1:13" x14ac:dyDescent="0.35">
      <c r="A297" s="1" t="s">
        <v>492</v>
      </c>
      <c r="B297" s="1" t="s">
        <v>330</v>
      </c>
      <c r="C297" s="1" t="s">
        <v>30</v>
      </c>
      <c r="D297" s="1" t="s">
        <v>31</v>
      </c>
      <c r="E297" s="1" t="s">
        <v>16</v>
      </c>
      <c r="F297" s="1" t="s">
        <v>17</v>
      </c>
      <c r="G297" s="1" t="s">
        <v>26</v>
      </c>
      <c r="H297" s="1">
        <v>18162</v>
      </c>
      <c r="I297" s="1" t="s">
        <v>33</v>
      </c>
      <c r="J297" s="1">
        <v>0.3</v>
      </c>
      <c r="K297" s="1">
        <v>17000</v>
      </c>
      <c r="L297" s="2">
        <v>45331</v>
      </c>
      <c r="M297" s="11">
        <f>IF(OR(I297="",ISNA(MATCH(I297,{"DISC10","DISC15","DISC20","DISC30"},0))),0,J297)</f>
        <v>0.3</v>
      </c>
    </row>
    <row r="298" spans="1:13" x14ac:dyDescent="0.35">
      <c r="A298" s="1" t="s">
        <v>493</v>
      </c>
      <c r="B298" s="1" t="s">
        <v>211</v>
      </c>
      <c r="C298" s="1" t="s">
        <v>44</v>
      </c>
      <c r="D298" s="1" t="s">
        <v>45</v>
      </c>
      <c r="E298" s="1" t="s">
        <v>46</v>
      </c>
      <c r="F298" s="1" t="s">
        <v>39</v>
      </c>
      <c r="G298" s="1" t="s">
        <v>36</v>
      </c>
      <c r="H298" s="1">
        <v>11921</v>
      </c>
      <c r="I298" s="1" t="s">
        <v>33</v>
      </c>
      <c r="J298" s="1">
        <v>0.3</v>
      </c>
      <c r="K298" s="1">
        <v>13000</v>
      </c>
      <c r="L298" s="2">
        <v>45341</v>
      </c>
      <c r="M298" s="11">
        <f>IF(OR(I298="",ISNA(MATCH(I298,{"DISC10","DISC15","DISC20","DISC30"},0))),0,J298)</f>
        <v>0.3</v>
      </c>
    </row>
    <row r="299" spans="1:13" x14ac:dyDescent="0.35">
      <c r="A299" s="1" t="s">
        <v>494</v>
      </c>
      <c r="B299" s="1" t="s">
        <v>350</v>
      </c>
      <c r="C299" s="1" t="s">
        <v>44</v>
      </c>
      <c r="D299" s="1" t="s">
        <v>45</v>
      </c>
      <c r="E299" s="1" t="s">
        <v>16</v>
      </c>
      <c r="F299" s="1" t="s">
        <v>39</v>
      </c>
      <c r="G299" s="1" t="s">
        <v>36</v>
      </c>
      <c r="H299" s="1">
        <v>12298</v>
      </c>
      <c r="I299" s="1"/>
      <c r="J299" s="1"/>
      <c r="K299" s="1">
        <v>13000</v>
      </c>
      <c r="L299" s="2">
        <v>45314</v>
      </c>
      <c r="M299" s="11">
        <f>IF(OR(I299="",ISNA(MATCH(I299,{"DISC10","DISC15","DISC20","DISC30"},0))),0,J299)</f>
        <v>0</v>
      </c>
    </row>
    <row r="300" spans="1:13" x14ac:dyDescent="0.35">
      <c r="A300" s="1" t="s">
        <v>495</v>
      </c>
      <c r="B300" s="1" t="s">
        <v>82</v>
      </c>
      <c r="C300" s="1" t="s">
        <v>30</v>
      </c>
      <c r="D300" s="1" t="s">
        <v>31</v>
      </c>
      <c r="E300" s="1" t="s">
        <v>46</v>
      </c>
      <c r="F300" s="1" t="s">
        <v>25</v>
      </c>
      <c r="G300" s="1" t="s">
        <v>26</v>
      </c>
      <c r="H300" s="1">
        <v>17771</v>
      </c>
      <c r="I300" s="1" t="s">
        <v>27</v>
      </c>
      <c r="J300" s="1"/>
      <c r="K300" s="1">
        <v>17000</v>
      </c>
      <c r="L300" s="2">
        <v>45316</v>
      </c>
      <c r="M300" s="11">
        <f>IF(OR(I300="",ISNA(MATCH(I300,{"DISC10","DISC15","DISC20","DISC30"},0))),0,J300)</f>
        <v>0</v>
      </c>
    </row>
    <row r="301" spans="1:13" x14ac:dyDescent="0.35">
      <c r="A301" s="1" t="s">
        <v>496</v>
      </c>
      <c r="B301" s="1" t="s">
        <v>137</v>
      </c>
      <c r="C301" s="1" t="s">
        <v>30</v>
      </c>
      <c r="D301" s="1" t="s">
        <v>31</v>
      </c>
      <c r="E301" s="1" t="s">
        <v>32</v>
      </c>
      <c r="F301" s="1" t="s">
        <v>17</v>
      </c>
      <c r="G301" s="1" t="s">
        <v>18</v>
      </c>
      <c r="H301" s="1">
        <v>16178</v>
      </c>
      <c r="I301" s="1" t="s">
        <v>22</v>
      </c>
      <c r="J301" s="1">
        <v>0.1</v>
      </c>
      <c r="K301" s="1">
        <v>17000</v>
      </c>
      <c r="L301" s="2">
        <v>45314</v>
      </c>
      <c r="M301" s="11">
        <f>IF(OR(I301="",ISNA(MATCH(I301,{"DISC10","DISC15","DISC20","DISC30"},0))),0,J301)</f>
        <v>0.1</v>
      </c>
    </row>
    <row r="302" spans="1:13" x14ac:dyDescent="0.35">
      <c r="A302" s="1" t="s">
        <v>497</v>
      </c>
      <c r="B302" s="1" t="s">
        <v>445</v>
      </c>
      <c r="C302" s="1" t="s">
        <v>30</v>
      </c>
      <c r="D302" s="1" t="s">
        <v>31</v>
      </c>
      <c r="E302" s="1" t="s">
        <v>16</v>
      </c>
      <c r="F302" s="1" t="s">
        <v>17</v>
      </c>
      <c r="G302" s="1" t="s">
        <v>18</v>
      </c>
      <c r="H302" s="1">
        <v>15827</v>
      </c>
      <c r="I302" s="1" t="s">
        <v>27</v>
      </c>
      <c r="J302" s="1"/>
      <c r="K302" s="1">
        <v>17000</v>
      </c>
      <c r="L302" s="2">
        <v>45309</v>
      </c>
      <c r="M302" s="11">
        <f>IF(OR(I302="",ISNA(MATCH(I302,{"DISC10","DISC15","DISC20","DISC30"},0))),0,J302)</f>
        <v>0</v>
      </c>
    </row>
    <row r="303" spans="1:13" x14ac:dyDescent="0.35">
      <c r="A303" s="1" t="s">
        <v>498</v>
      </c>
      <c r="B303" s="1" t="s">
        <v>84</v>
      </c>
      <c r="C303" s="1" t="s">
        <v>30</v>
      </c>
      <c r="D303" s="1" t="s">
        <v>31</v>
      </c>
      <c r="E303" s="1" t="s">
        <v>32</v>
      </c>
      <c r="F303" s="1" t="s">
        <v>25</v>
      </c>
      <c r="G303" s="1" t="s">
        <v>26</v>
      </c>
      <c r="H303" s="1">
        <v>18034</v>
      </c>
      <c r="I303" s="1" t="s">
        <v>27</v>
      </c>
      <c r="J303" s="1"/>
      <c r="K303" s="1">
        <v>17000</v>
      </c>
      <c r="L303" s="2">
        <v>45307</v>
      </c>
      <c r="M303" s="11">
        <f>IF(OR(I303="",ISNA(MATCH(I303,{"DISC10","DISC15","DISC20","DISC30"},0))),0,J303)</f>
        <v>0</v>
      </c>
    </row>
    <row r="304" spans="1:13" x14ac:dyDescent="0.35">
      <c r="A304" s="1" t="s">
        <v>499</v>
      </c>
      <c r="B304" s="1" t="s">
        <v>500</v>
      </c>
      <c r="C304" s="1" t="s">
        <v>44</v>
      </c>
      <c r="D304" s="1" t="s">
        <v>45</v>
      </c>
      <c r="E304" s="1" t="s">
        <v>16</v>
      </c>
      <c r="F304" s="1" t="s">
        <v>25</v>
      </c>
      <c r="G304" s="1" t="s">
        <v>18</v>
      </c>
      <c r="H304" s="1">
        <v>11410</v>
      </c>
      <c r="I304" s="1"/>
      <c r="J304" s="1"/>
      <c r="K304" s="1">
        <v>13000</v>
      </c>
      <c r="L304" s="2">
        <v>45313</v>
      </c>
      <c r="M304" s="11">
        <f>IF(OR(I304="",ISNA(MATCH(I304,{"DISC10","DISC15","DISC20","DISC30"},0))),0,J304)</f>
        <v>0</v>
      </c>
    </row>
    <row r="305" spans="1:13" x14ac:dyDescent="0.35">
      <c r="A305" s="1" t="s">
        <v>501</v>
      </c>
      <c r="B305" s="1" t="s">
        <v>334</v>
      </c>
      <c r="C305" s="1" t="s">
        <v>14</v>
      </c>
      <c r="D305" s="1" t="s">
        <v>15</v>
      </c>
      <c r="E305" s="1" t="s">
        <v>16</v>
      </c>
      <c r="F305" s="1" t="s">
        <v>25</v>
      </c>
      <c r="G305" s="1" t="s">
        <v>18</v>
      </c>
      <c r="H305" s="1">
        <v>15950</v>
      </c>
      <c r="I305" s="1" t="s">
        <v>27</v>
      </c>
      <c r="J305" s="1"/>
      <c r="K305" s="1">
        <v>14000</v>
      </c>
      <c r="L305" s="2">
        <v>45351</v>
      </c>
      <c r="M305" s="11">
        <f>IF(OR(I305="",ISNA(MATCH(I305,{"DISC10","DISC15","DISC20","DISC30"},0))),0,J305)</f>
        <v>0</v>
      </c>
    </row>
    <row r="306" spans="1:13" x14ac:dyDescent="0.35">
      <c r="A306" s="1" t="s">
        <v>502</v>
      </c>
      <c r="B306" s="1" t="s">
        <v>363</v>
      </c>
      <c r="C306" s="1" t="s">
        <v>61</v>
      </c>
      <c r="D306" s="1" t="s">
        <v>62</v>
      </c>
      <c r="E306" s="1" t="s">
        <v>46</v>
      </c>
      <c r="F306" s="1" t="s">
        <v>39</v>
      </c>
      <c r="G306" s="1" t="s">
        <v>18</v>
      </c>
      <c r="H306" s="1">
        <v>10096</v>
      </c>
      <c r="I306" s="1" t="s">
        <v>33</v>
      </c>
      <c r="J306" s="1">
        <v>0.3</v>
      </c>
      <c r="K306" s="1">
        <v>9000</v>
      </c>
      <c r="L306" s="2">
        <v>45312</v>
      </c>
      <c r="M306" s="11">
        <f>IF(OR(I306="",ISNA(MATCH(I306,{"DISC10","DISC15","DISC20","DISC30"},0))),0,J306)</f>
        <v>0.3</v>
      </c>
    </row>
    <row r="307" spans="1:13" x14ac:dyDescent="0.35">
      <c r="A307" s="1" t="s">
        <v>503</v>
      </c>
      <c r="B307" s="1" t="s">
        <v>286</v>
      </c>
      <c r="C307" s="1" t="s">
        <v>14</v>
      </c>
      <c r="D307" s="1" t="s">
        <v>15</v>
      </c>
      <c r="E307" s="1" t="s">
        <v>32</v>
      </c>
      <c r="F307" s="1" t="s">
        <v>39</v>
      </c>
      <c r="G307" s="1" t="s">
        <v>26</v>
      </c>
      <c r="H307" s="1">
        <v>12951</v>
      </c>
      <c r="I307" s="1" t="s">
        <v>27</v>
      </c>
      <c r="J307" s="1"/>
      <c r="K307" s="1">
        <v>14000</v>
      </c>
      <c r="L307" s="2">
        <v>45339</v>
      </c>
      <c r="M307" s="11">
        <f>IF(OR(I307="",ISNA(MATCH(I307,{"DISC10","DISC15","DISC20","DISC30"},0))),0,J307)</f>
        <v>0</v>
      </c>
    </row>
    <row r="308" spans="1:13" x14ac:dyDescent="0.35">
      <c r="A308" s="1" t="s">
        <v>504</v>
      </c>
      <c r="B308" s="1" t="s">
        <v>371</v>
      </c>
      <c r="C308" s="1" t="s">
        <v>14</v>
      </c>
      <c r="D308" s="1" t="s">
        <v>15</v>
      </c>
      <c r="E308" s="1" t="s">
        <v>32</v>
      </c>
      <c r="F308" s="1" t="s">
        <v>17</v>
      </c>
      <c r="G308" s="1" t="s">
        <v>18</v>
      </c>
      <c r="H308" s="1">
        <v>15825</v>
      </c>
      <c r="I308" s="1" t="s">
        <v>22</v>
      </c>
      <c r="J308" s="1">
        <v>0.1</v>
      </c>
      <c r="K308" s="1">
        <v>14000</v>
      </c>
      <c r="L308" s="2">
        <v>45345</v>
      </c>
      <c r="M308" s="11">
        <f>IF(OR(I308="",ISNA(MATCH(I308,{"DISC10","DISC15","DISC20","DISC30"},0))),0,J308)</f>
        <v>0.1</v>
      </c>
    </row>
    <row r="309" spans="1:13" x14ac:dyDescent="0.35">
      <c r="A309" s="1" t="s">
        <v>505</v>
      </c>
      <c r="B309" s="1" t="s">
        <v>155</v>
      </c>
      <c r="C309" s="1" t="s">
        <v>61</v>
      </c>
      <c r="D309" s="1" t="s">
        <v>62</v>
      </c>
      <c r="E309" s="1" t="s">
        <v>32</v>
      </c>
      <c r="F309" s="1" t="s">
        <v>39</v>
      </c>
      <c r="G309" s="1" t="s">
        <v>36</v>
      </c>
      <c r="H309" s="1">
        <v>10591</v>
      </c>
      <c r="I309" s="1" t="s">
        <v>22</v>
      </c>
      <c r="J309" s="1">
        <v>0.1</v>
      </c>
      <c r="K309" s="1">
        <v>9000</v>
      </c>
      <c r="L309" s="2">
        <v>45292</v>
      </c>
      <c r="M309" s="11">
        <f>IF(OR(I309="",ISNA(MATCH(I309,{"DISC10","DISC15","DISC20","DISC30"},0))),0,J309)</f>
        <v>0.1</v>
      </c>
    </row>
    <row r="310" spans="1:13" x14ac:dyDescent="0.35">
      <c r="A310" s="1" t="s">
        <v>506</v>
      </c>
      <c r="B310" s="1" t="s">
        <v>118</v>
      </c>
      <c r="C310" s="1" t="s">
        <v>14</v>
      </c>
      <c r="D310" s="1" t="s">
        <v>15</v>
      </c>
      <c r="E310" s="1" t="s">
        <v>46</v>
      </c>
      <c r="F310" s="1" t="s">
        <v>17</v>
      </c>
      <c r="G310" s="1" t="s">
        <v>36</v>
      </c>
      <c r="H310" s="1">
        <v>14626</v>
      </c>
      <c r="I310" s="1" t="s">
        <v>27</v>
      </c>
      <c r="J310" s="1"/>
      <c r="K310" s="1">
        <v>14000</v>
      </c>
      <c r="L310" s="2">
        <v>45325</v>
      </c>
      <c r="M310" s="11">
        <f>IF(OR(I310="",ISNA(MATCH(I310,{"DISC10","DISC15","DISC20","DISC30"},0))),0,J310)</f>
        <v>0</v>
      </c>
    </row>
    <row r="311" spans="1:13" x14ac:dyDescent="0.35">
      <c r="A311" s="1" t="s">
        <v>507</v>
      </c>
      <c r="B311" s="1" t="s">
        <v>508</v>
      </c>
      <c r="C311" s="1" t="s">
        <v>61</v>
      </c>
      <c r="D311" s="1" t="s">
        <v>62</v>
      </c>
      <c r="E311" s="1" t="s">
        <v>46</v>
      </c>
      <c r="F311" s="1" t="s">
        <v>25</v>
      </c>
      <c r="G311" s="1" t="s">
        <v>18</v>
      </c>
      <c r="H311" s="1">
        <v>8354</v>
      </c>
      <c r="I311" s="1" t="s">
        <v>19</v>
      </c>
      <c r="J311" s="1">
        <v>0.2</v>
      </c>
      <c r="K311" s="1">
        <v>9000</v>
      </c>
      <c r="L311" s="2">
        <v>45338</v>
      </c>
      <c r="M311" s="11">
        <f>IF(OR(I311="",ISNA(MATCH(I311,{"DISC10","DISC15","DISC20","DISC30"},0))),0,J311)</f>
        <v>0.2</v>
      </c>
    </row>
    <row r="312" spans="1:13" x14ac:dyDescent="0.35">
      <c r="A312" s="1" t="s">
        <v>509</v>
      </c>
      <c r="B312" s="1" t="s">
        <v>332</v>
      </c>
      <c r="C312" s="1" t="s">
        <v>30</v>
      </c>
      <c r="D312" s="1" t="s">
        <v>31</v>
      </c>
      <c r="E312" s="1" t="s">
        <v>16</v>
      </c>
      <c r="F312" s="1" t="s">
        <v>25</v>
      </c>
      <c r="G312" s="1" t="s">
        <v>18</v>
      </c>
      <c r="H312" s="1">
        <v>18017</v>
      </c>
      <c r="I312" s="1" t="s">
        <v>33</v>
      </c>
      <c r="J312" s="1">
        <v>0.3</v>
      </c>
      <c r="K312" s="1">
        <v>17000</v>
      </c>
      <c r="L312" s="2">
        <v>45342</v>
      </c>
      <c r="M312" s="11">
        <f>IF(OR(I312="",ISNA(MATCH(I312,{"DISC10","DISC15","DISC20","DISC30"},0))),0,J312)</f>
        <v>0.3</v>
      </c>
    </row>
    <row r="313" spans="1:13" x14ac:dyDescent="0.35">
      <c r="A313" s="1" t="s">
        <v>510</v>
      </c>
      <c r="B313" s="1" t="s">
        <v>118</v>
      </c>
      <c r="C313" s="1" t="s">
        <v>44</v>
      </c>
      <c r="D313" s="1" t="s">
        <v>45</v>
      </c>
      <c r="E313" s="1" t="s">
        <v>32</v>
      </c>
      <c r="F313" s="1" t="s">
        <v>39</v>
      </c>
      <c r="G313" s="1" t="s">
        <v>26</v>
      </c>
      <c r="H313" s="1">
        <v>14674</v>
      </c>
      <c r="I313" s="1"/>
      <c r="J313" s="1"/>
      <c r="K313" s="1">
        <v>13000</v>
      </c>
      <c r="L313" s="2">
        <v>45344</v>
      </c>
      <c r="M313" s="11">
        <f>IF(OR(I313="",ISNA(MATCH(I313,{"DISC10","DISC15","DISC20","DISC30"},0))),0,J313)</f>
        <v>0</v>
      </c>
    </row>
    <row r="314" spans="1:13" x14ac:dyDescent="0.35">
      <c r="A314" s="1" t="s">
        <v>511</v>
      </c>
      <c r="B314" s="1" t="s">
        <v>512</v>
      </c>
      <c r="C314" s="1" t="s">
        <v>30</v>
      </c>
      <c r="D314" s="1" t="s">
        <v>31</v>
      </c>
      <c r="E314" s="1" t="s">
        <v>32</v>
      </c>
      <c r="F314" s="1" t="s">
        <v>17</v>
      </c>
      <c r="G314" s="1" t="s">
        <v>26</v>
      </c>
      <c r="H314" s="1">
        <v>15390</v>
      </c>
      <c r="I314" s="1" t="s">
        <v>19</v>
      </c>
      <c r="J314" s="1">
        <v>0.2</v>
      </c>
      <c r="K314" s="1">
        <v>17000</v>
      </c>
      <c r="L314" s="2">
        <v>45300</v>
      </c>
      <c r="M314" s="11">
        <f>IF(OR(I314="",ISNA(MATCH(I314,{"DISC10","DISC15","DISC20","DISC30"},0))),0,J314)</f>
        <v>0.2</v>
      </c>
    </row>
    <row r="315" spans="1:13" x14ac:dyDescent="0.35">
      <c r="A315" s="1" t="s">
        <v>513</v>
      </c>
      <c r="B315" s="1" t="s">
        <v>188</v>
      </c>
      <c r="C315" s="1" t="s">
        <v>44</v>
      </c>
      <c r="D315" s="1" t="s">
        <v>45</v>
      </c>
      <c r="E315" s="1" t="s">
        <v>32</v>
      </c>
      <c r="F315" s="1" t="s">
        <v>17</v>
      </c>
      <c r="G315" s="1" t="s">
        <v>36</v>
      </c>
      <c r="H315" s="1">
        <v>11964</v>
      </c>
      <c r="I315" s="1"/>
      <c r="J315" s="1"/>
      <c r="K315" s="1">
        <v>13000</v>
      </c>
      <c r="L315" s="2">
        <v>45340</v>
      </c>
      <c r="M315" s="11">
        <f>IF(OR(I315="",ISNA(MATCH(I315,{"DISC10","DISC15","DISC20","DISC30"},0))),0,J315)</f>
        <v>0</v>
      </c>
    </row>
    <row r="316" spans="1:13" x14ac:dyDescent="0.35">
      <c r="A316" s="1" t="s">
        <v>514</v>
      </c>
      <c r="B316" s="1" t="s">
        <v>131</v>
      </c>
      <c r="C316" s="1" t="s">
        <v>30</v>
      </c>
      <c r="D316" s="1" t="s">
        <v>31</v>
      </c>
      <c r="E316" s="1" t="s">
        <v>16</v>
      </c>
      <c r="F316" s="1" t="s">
        <v>39</v>
      </c>
      <c r="G316" s="1" t="s">
        <v>26</v>
      </c>
      <c r="H316" s="1">
        <v>15046</v>
      </c>
      <c r="I316" s="1" t="s">
        <v>33</v>
      </c>
      <c r="J316" s="1">
        <v>0.3</v>
      </c>
      <c r="K316" s="1">
        <v>17000</v>
      </c>
      <c r="L316" s="2">
        <v>45333</v>
      </c>
      <c r="M316" s="11">
        <f>IF(OR(I316="",ISNA(MATCH(I316,{"DISC10","DISC15","DISC20","DISC30"},0))),0,J316)</f>
        <v>0.3</v>
      </c>
    </row>
    <row r="317" spans="1:13" x14ac:dyDescent="0.35">
      <c r="A317" s="1" t="s">
        <v>515</v>
      </c>
      <c r="B317" s="1" t="s">
        <v>516</v>
      </c>
      <c r="C317" s="1" t="s">
        <v>44</v>
      </c>
      <c r="D317" s="1" t="s">
        <v>45</v>
      </c>
      <c r="E317" s="1" t="s">
        <v>32</v>
      </c>
      <c r="F317" s="1" t="s">
        <v>39</v>
      </c>
      <c r="G317" s="1" t="s">
        <v>18</v>
      </c>
      <c r="H317" s="1">
        <v>12906</v>
      </c>
      <c r="I317" s="1" t="s">
        <v>33</v>
      </c>
      <c r="J317" s="1">
        <v>0.3</v>
      </c>
      <c r="K317" s="1">
        <v>13000</v>
      </c>
      <c r="L317" s="2">
        <v>45302</v>
      </c>
      <c r="M317" s="11">
        <f>IF(OR(I317="",ISNA(MATCH(I317,{"DISC10","DISC15","DISC20","DISC30"},0))),0,J317)</f>
        <v>0.3</v>
      </c>
    </row>
    <row r="318" spans="1:13" x14ac:dyDescent="0.35">
      <c r="A318" s="1" t="s">
        <v>517</v>
      </c>
      <c r="B318" s="1" t="s">
        <v>274</v>
      </c>
      <c r="C318" s="1" t="s">
        <v>30</v>
      </c>
      <c r="D318" s="1" t="s">
        <v>31</v>
      </c>
      <c r="E318" s="1" t="s">
        <v>16</v>
      </c>
      <c r="F318" s="1" t="s">
        <v>25</v>
      </c>
      <c r="G318" s="1" t="s">
        <v>26</v>
      </c>
      <c r="H318" s="1">
        <v>18752</v>
      </c>
      <c r="I318" s="1" t="s">
        <v>33</v>
      </c>
      <c r="J318" s="1">
        <v>0.3</v>
      </c>
      <c r="K318" s="1">
        <v>17000</v>
      </c>
      <c r="L318" s="2">
        <v>45315</v>
      </c>
      <c r="M318" s="11">
        <f>IF(OR(I318="",ISNA(MATCH(I318,{"DISC10","DISC15","DISC20","DISC30"},0))),0,J318)</f>
        <v>0.3</v>
      </c>
    </row>
    <row r="319" spans="1:13" x14ac:dyDescent="0.35">
      <c r="A319" s="1" t="s">
        <v>518</v>
      </c>
      <c r="B319" s="1" t="s">
        <v>519</v>
      </c>
      <c r="C319" s="1" t="s">
        <v>44</v>
      </c>
      <c r="D319" s="1" t="s">
        <v>45</v>
      </c>
      <c r="E319" s="1" t="s">
        <v>32</v>
      </c>
      <c r="F319" s="1" t="s">
        <v>17</v>
      </c>
      <c r="G319" s="1" t="s">
        <v>18</v>
      </c>
      <c r="H319" s="1">
        <v>12863</v>
      </c>
      <c r="I319" s="1" t="s">
        <v>27</v>
      </c>
      <c r="J319" s="1"/>
      <c r="K319" s="1">
        <v>13000</v>
      </c>
      <c r="L319" s="2">
        <v>45315</v>
      </c>
      <c r="M319" s="11">
        <f>IF(OR(I319="",ISNA(MATCH(I319,{"DISC10","DISC15","DISC20","DISC30"},0))),0,J319)</f>
        <v>0</v>
      </c>
    </row>
    <row r="320" spans="1:13" x14ac:dyDescent="0.35">
      <c r="A320" s="1" t="s">
        <v>520</v>
      </c>
      <c r="B320" s="1" t="s">
        <v>101</v>
      </c>
      <c r="C320" s="1" t="s">
        <v>61</v>
      </c>
      <c r="D320" s="1" t="s">
        <v>62</v>
      </c>
      <c r="E320" s="1" t="s">
        <v>16</v>
      </c>
      <c r="F320" s="1" t="s">
        <v>39</v>
      </c>
      <c r="G320" s="1" t="s">
        <v>18</v>
      </c>
      <c r="H320" s="1">
        <v>10120</v>
      </c>
      <c r="I320" s="1" t="s">
        <v>19</v>
      </c>
      <c r="J320" s="1">
        <v>0.2</v>
      </c>
      <c r="K320" s="1">
        <v>9000</v>
      </c>
      <c r="L320" s="2">
        <v>45335</v>
      </c>
      <c r="M320" s="11">
        <f>IF(OR(I320="",ISNA(MATCH(I320,{"DISC10","DISC15","DISC20","DISC30"},0))),0,J320)</f>
        <v>0.2</v>
      </c>
    </row>
    <row r="321" spans="1:13" x14ac:dyDescent="0.35">
      <c r="A321" s="1" t="s">
        <v>521</v>
      </c>
      <c r="B321" s="1" t="s">
        <v>522</v>
      </c>
      <c r="C321" s="1" t="s">
        <v>14</v>
      </c>
      <c r="D321" s="1" t="s">
        <v>15</v>
      </c>
      <c r="E321" s="1" t="s">
        <v>16</v>
      </c>
      <c r="F321" s="1" t="s">
        <v>17</v>
      </c>
      <c r="G321" s="1" t="s">
        <v>26</v>
      </c>
      <c r="H321" s="1">
        <v>14882</v>
      </c>
      <c r="I321" s="1" t="s">
        <v>33</v>
      </c>
      <c r="J321" s="1">
        <v>0.3</v>
      </c>
      <c r="K321" s="1">
        <v>14000</v>
      </c>
      <c r="L321" s="2">
        <v>45296</v>
      </c>
      <c r="M321" s="11">
        <f>IF(OR(I321="",ISNA(MATCH(I321,{"DISC10","DISC15","DISC20","DISC30"},0))),0,J321)</f>
        <v>0.3</v>
      </c>
    </row>
    <row r="322" spans="1:13" x14ac:dyDescent="0.35">
      <c r="A322" s="1" t="s">
        <v>523</v>
      </c>
      <c r="B322" s="1" t="s">
        <v>60</v>
      </c>
      <c r="C322" s="1" t="s">
        <v>14</v>
      </c>
      <c r="D322" s="1" t="s">
        <v>15</v>
      </c>
      <c r="E322" s="1" t="s">
        <v>32</v>
      </c>
      <c r="F322" s="1" t="s">
        <v>39</v>
      </c>
      <c r="G322" s="1" t="s">
        <v>26</v>
      </c>
      <c r="H322" s="1">
        <v>12828</v>
      </c>
      <c r="I322" s="1" t="s">
        <v>27</v>
      </c>
      <c r="J322" s="1"/>
      <c r="K322" s="1">
        <v>14000</v>
      </c>
      <c r="L322" s="2">
        <v>45326</v>
      </c>
      <c r="M322" s="11">
        <f>IF(OR(I322="",ISNA(MATCH(I322,{"DISC10","DISC15","DISC20","DISC30"},0))),0,J322)</f>
        <v>0</v>
      </c>
    </row>
    <row r="323" spans="1:13" x14ac:dyDescent="0.35">
      <c r="A323" s="1" t="s">
        <v>524</v>
      </c>
      <c r="B323" s="1" t="s">
        <v>175</v>
      </c>
      <c r="C323" s="1" t="s">
        <v>30</v>
      </c>
      <c r="D323" s="1" t="s">
        <v>31</v>
      </c>
      <c r="E323" s="1" t="s">
        <v>16</v>
      </c>
      <c r="F323" s="1" t="s">
        <v>17</v>
      </c>
      <c r="G323" s="1" t="s">
        <v>18</v>
      </c>
      <c r="H323" s="1">
        <v>17786</v>
      </c>
      <c r="I323" s="1" t="s">
        <v>19</v>
      </c>
      <c r="J323" s="1">
        <v>0.2</v>
      </c>
      <c r="K323" s="1">
        <v>17000</v>
      </c>
      <c r="L323" s="2">
        <v>45337</v>
      </c>
      <c r="M323" s="11">
        <f>IF(OR(I323="",ISNA(MATCH(I323,{"DISC10","DISC15","DISC20","DISC30"},0))),0,J323)</f>
        <v>0.2</v>
      </c>
    </row>
    <row r="324" spans="1:13" x14ac:dyDescent="0.35">
      <c r="A324" s="1" t="s">
        <v>525</v>
      </c>
      <c r="B324" s="1" t="s">
        <v>356</v>
      </c>
      <c r="C324" s="1" t="s">
        <v>14</v>
      </c>
      <c r="D324" s="1" t="s">
        <v>15</v>
      </c>
      <c r="E324" s="1" t="s">
        <v>16</v>
      </c>
      <c r="F324" s="1" t="s">
        <v>17</v>
      </c>
      <c r="G324" s="1" t="s">
        <v>18</v>
      </c>
      <c r="H324" s="1">
        <v>13857</v>
      </c>
      <c r="I324" s="1" t="s">
        <v>19</v>
      </c>
      <c r="J324" s="1">
        <v>0.2</v>
      </c>
      <c r="K324" s="1">
        <v>14000</v>
      </c>
      <c r="L324" s="2">
        <v>45324</v>
      </c>
      <c r="M324" s="11">
        <f>IF(OR(I324="",ISNA(MATCH(I324,{"DISC10","DISC15","DISC20","DISC30"},0))),0,J324)</f>
        <v>0.2</v>
      </c>
    </row>
    <row r="325" spans="1:13" x14ac:dyDescent="0.35">
      <c r="A325" s="1" t="s">
        <v>526</v>
      </c>
      <c r="B325" s="1" t="s">
        <v>527</v>
      </c>
      <c r="C325" s="1" t="s">
        <v>14</v>
      </c>
      <c r="D325" s="1" t="s">
        <v>15</v>
      </c>
      <c r="E325" s="1" t="s">
        <v>16</v>
      </c>
      <c r="F325" s="1" t="s">
        <v>17</v>
      </c>
      <c r="G325" s="1" t="s">
        <v>26</v>
      </c>
      <c r="H325" s="1">
        <v>15305</v>
      </c>
      <c r="I325" s="1" t="s">
        <v>33</v>
      </c>
      <c r="J325" s="1">
        <v>0.3</v>
      </c>
      <c r="K325" s="1">
        <v>14000</v>
      </c>
      <c r="L325" s="2">
        <v>45338</v>
      </c>
      <c r="M325" s="11">
        <f>IF(OR(I325="",ISNA(MATCH(I325,{"DISC10","DISC15","DISC20","DISC30"},0))),0,J325)</f>
        <v>0.3</v>
      </c>
    </row>
    <row r="326" spans="1:13" x14ac:dyDescent="0.35">
      <c r="A326" s="1" t="s">
        <v>528</v>
      </c>
      <c r="B326" s="1" t="s">
        <v>406</v>
      </c>
      <c r="C326" s="1" t="s">
        <v>30</v>
      </c>
      <c r="D326" s="1" t="s">
        <v>31</v>
      </c>
      <c r="E326" s="1" t="s">
        <v>32</v>
      </c>
      <c r="F326" s="1" t="s">
        <v>39</v>
      </c>
      <c r="G326" s="1" t="s">
        <v>18</v>
      </c>
      <c r="H326" s="1">
        <v>17368</v>
      </c>
      <c r="I326" s="1" t="s">
        <v>22</v>
      </c>
      <c r="J326" s="1">
        <v>0.1</v>
      </c>
      <c r="K326" s="1">
        <v>17000</v>
      </c>
      <c r="L326" s="2">
        <v>45294</v>
      </c>
      <c r="M326" s="11">
        <f>IF(OR(I326="",ISNA(MATCH(I326,{"DISC10","DISC15","DISC20","DISC30"},0))),0,J326)</f>
        <v>0.1</v>
      </c>
    </row>
    <row r="327" spans="1:13" x14ac:dyDescent="0.35">
      <c r="A327" s="1" t="s">
        <v>529</v>
      </c>
      <c r="B327" s="1" t="s">
        <v>474</v>
      </c>
      <c r="C327" s="1" t="s">
        <v>14</v>
      </c>
      <c r="D327" s="1" t="s">
        <v>15</v>
      </c>
      <c r="E327" s="1" t="s">
        <v>16</v>
      </c>
      <c r="F327" s="1" t="s">
        <v>25</v>
      </c>
      <c r="G327" s="1" t="s">
        <v>18</v>
      </c>
      <c r="H327" s="1">
        <v>15824</v>
      </c>
      <c r="I327" s="1"/>
      <c r="J327" s="1"/>
      <c r="K327" s="1">
        <v>14000</v>
      </c>
      <c r="L327" s="2">
        <v>45294</v>
      </c>
      <c r="M327" s="11">
        <f>IF(OR(I327="",ISNA(MATCH(I327,{"DISC10","DISC15","DISC20","DISC30"},0))),0,J327)</f>
        <v>0</v>
      </c>
    </row>
    <row r="328" spans="1:13" x14ac:dyDescent="0.35">
      <c r="A328" s="1" t="s">
        <v>530</v>
      </c>
      <c r="B328" s="1" t="s">
        <v>70</v>
      </c>
      <c r="C328" s="1" t="s">
        <v>44</v>
      </c>
      <c r="D328" s="1" t="s">
        <v>45</v>
      </c>
      <c r="E328" s="1" t="s">
        <v>32</v>
      </c>
      <c r="F328" s="1" t="s">
        <v>39</v>
      </c>
      <c r="G328" s="1" t="s">
        <v>26</v>
      </c>
      <c r="H328" s="1">
        <v>13645</v>
      </c>
      <c r="I328" s="1"/>
      <c r="J328" s="1"/>
      <c r="K328" s="1">
        <v>13000</v>
      </c>
      <c r="L328" s="2">
        <v>45315</v>
      </c>
      <c r="M328" s="11">
        <f>IF(OR(I328="",ISNA(MATCH(I328,{"DISC10","DISC15","DISC20","DISC30"},0))),0,J328)</f>
        <v>0</v>
      </c>
    </row>
    <row r="329" spans="1:13" x14ac:dyDescent="0.35">
      <c r="A329" s="1" t="s">
        <v>531</v>
      </c>
      <c r="B329" s="1" t="s">
        <v>137</v>
      </c>
      <c r="C329" s="1" t="s">
        <v>61</v>
      </c>
      <c r="D329" s="1" t="s">
        <v>62</v>
      </c>
      <c r="E329" s="1" t="s">
        <v>46</v>
      </c>
      <c r="F329" s="1" t="s">
        <v>17</v>
      </c>
      <c r="G329" s="1" t="s">
        <v>18</v>
      </c>
      <c r="H329" s="1">
        <v>9796</v>
      </c>
      <c r="I329" s="1" t="s">
        <v>27</v>
      </c>
      <c r="J329" s="1"/>
      <c r="K329" s="1">
        <v>9000</v>
      </c>
      <c r="L329" s="2">
        <v>45300</v>
      </c>
      <c r="M329" s="11">
        <f>IF(OR(I329="",ISNA(MATCH(I329,{"DISC10","DISC15","DISC20","DISC30"},0))),0,J329)</f>
        <v>0</v>
      </c>
    </row>
    <row r="330" spans="1:13" x14ac:dyDescent="0.35">
      <c r="A330" s="1" t="s">
        <v>532</v>
      </c>
      <c r="B330" s="1" t="s">
        <v>204</v>
      </c>
      <c r="C330" s="1" t="s">
        <v>30</v>
      </c>
      <c r="D330" s="1" t="s">
        <v>31</v>
      </c>
      <c r="E330" s="1" t="s">
        <v>32</v>
      </c>
      <c r="F330" s="1" t="s">
        <v>25</v>
      </c>
      <c r="G330" s="1" t="s">
        <v>26</v>
      </c>
      <c r="H330" s="1">
        <v>16609</v>
      </c>
      <c r="I330" s="1" t="s">
        <v>27</v>
      </c>
      <c r="J330" s="1"/>
      <c r="K330" s="1">
        <v>17000</v>
      </c>
      <c r="L330" s="2">
        <v>45300</v>
      </c>
      <c r="M330" s="11">
        <f>IF(OR(I330="",ISNA(MATCH(I330,{"DISC10","DISC15","DISC20","DISC30"},0))),0,J330)</f>
        <v>0</v>
      </c>
    </row>
    <row r="331" spans="1:13" x14ac:dyDescent="0.35">
      <c r="A331" s="1" t="s">
        <v>533</v>
      </c>
      <c r="B331" s="1" t="s">
        <v>397</v>
      </c>
      <c r="C331" s="1" t="s">
        <v>14</v>
      </c>
      <c r="D331" s="1" t="s">
        <v>15</v>
      </c>
      <c r="E331" s="1" t="s">
        <v>32</v>
      </c>
      <c r="F331" s="1" t="s">
        <v>17</v>
      </c>
      <c r="G331" s="1" t="s">
        <v>36</v>
      </c>
      <c r="H331" s="1">
        <v>14758</v>
      </c>
      <c r="I331" s="1" t="s">
        <v>27</v>
      </c>
      <c r="J331" s="1"/>
      <c r="K331" s="1">
        <v>14000</v>
      </c>
      <c r="L331" s="2">
        <v>45319</v>
      </c>
      <c r="M331" s="11">
        <f>IF(OR(I331="",ISNA(MATCH(I331,{"DISC10","DISC15","DISC20","DISC30"},0))),0,J331)</f>
        <v>0</v>
      </c>
    </row>
    <row r="332" spans="1:13" x14ac:dyDescent="0.35">
      <c r="A332" s="1" t="s">
        <v>534</v>
      </c>
      <c r="B332" s="1" t="s">
        <v>388</v>
      </c>
      <c r="C332" s="1" t="s">
        <v>44</v>
      </c>
      <c r="D332" s="1" t="s">
        <v>45</v>
      </c>
      <c r="E332" s="1" t="s">
        <v>32</v>
      </c>
      <c r="F332" s="1" t="s">
        <v>17</v>
      </c>
      <c r="G332" s="1" t="s">
        <v>36</v>
      </c>
      <c r="H332" s="1">
        <v>11635</v>
      </c>
      <c r="I332" s="1" t="s">
        <v>33</v>
      </c>
      <c r="J332" s="1">
        <v>0.3</v>
      </c>
      <c r="K332" s="1">
        <v>13000</v>
      </c>
      <c r="L332" s="2">
        <v>45304</v>
      </c>
      <c r="M332" s="11">
        <f>IF(OR(I332="",ISNA(MATCH(I332,{"DISC10","DISC15","DISC20","DISC30"},0))),0,J332)</f>
        <v>0.3</v>
      </c>
    </row>
    <row r="333" spans="1:13" x14ac:dyDescent="0.35">
      <c r="A333" s="1" t="s">
        <v>535</v>
      </c>
      <c r="B333" s="1" t="s">
        <v>260</v>
      </c>
      <c r="C333" s="1" t="s">
        <v>14</v>
      </c>
      <c r="D333" s="1" t="s">
        <v>15</v>
      </c>
      <c r="E333" s="1" t="s">
        <v>32</v>
      </c>
      <c r="F333" s="1" t="s">
        <v>39</v>
      </c>
      <c r="G333" s="1" t="s">
        <v>36</v>
      </c>
      <c r="H333" s="1">
        <v>14518</v>
      </c>
      <c r="I333" s="1" t="s">
        <v>22</v>
      </c>
      <c r="J333" s="1">
        <v>0.1</v>
      </c>
      <c r="K333" s="1">
        <v>14000</v>
      </c>
      <c r="L333" s="2">
        <v>45307</v>
      </c>
      <c r="M333" s="11">
        <f>IF(OR(I333="",ISNA(MATCH(I333,{"DISC10","DISC15","DISC20","DISC30"},0))),0,J333)</f>
        <v>0.1</v>
      </c>
    </row>
    <row r="334" spans="1:13" x14ac:dyDescent="0.35">
      <c r="A334" s="1" t="s">
        <v>536</v>
      </c>
      <c r="B334" s="1" t="s">
        <v>229</v>
      </c>
      <c r="C334" s="1" t="s">
        <v>14</v>
      </c>
      <c r="D334" s="1" t="s">
        <v>15</v>
      </c>
      <c r="E334" s="1" t="s">
        <v>16</v>
      </c>
      <c r="F334" s="1" t="s">
        <v>25</v>
      </c>
      <c r="G334" s="1" t="s">
        <v>36</v>
      </c>
      <c r="H334" s="1">
        <v>14448</v>
      </c>
      <c r="I334" s="1" t="s">
        <v>22</v>
      </c>
      <c r="J334" s="1">
        <v>0.1</v>
      </c>
      <c r="K334" s="1">
        <v>14000</v>
      </c>
      <c r="L334" s="2">
        <v>45307</v>
      </c>
      <c r="M334" s="11">
        <f>IF(OR(I334="",ISNA(MATCH(I334,{"DISC10","DISC15","DISC20","DISC30"},0))),0,J334)</f>
        <v>0.1</v>
      </c>
    </row>
    <row r="335" spans="1:13" x14ac:dyDescent="0.35">
      <c r="A335" s="1" t="s">
        <v>537</v>
      </c>
      <c r="B335" s="1" t="s">
        <v>464</v>
      </c>
      <c r="C335" s="1" t="s">
        <v>61</v>
      </c>
      <c r="D335" s="1" t="s">
        <v>62</v>
      </c>
      <c r="E335" s="1" t="s">
        <v>46</v>
      </c>
      <c r="F335" s="1" t="s">
        <v>25</v>
      </c>
      <c r="G335" s="1" t="s">
        <v>26</v>
      </c>
      <c r="H335" s="1">
        <v>7889</v>
      </c>
      <c r="I335" s="1" t="s">
        <v>22</v>
      </c>
      <c r="J335" s="1">
        <v>0.1</v>
      </c>
      <c r="K335" s="1">
        <v>9000</v>
      </c>
      <c r="L335" s="2">
        <v>45300</v>
      </c>
      <c r="M335" s="11">
        <f>IF(OR(I335="",ISNA(MATCH(I335,{"DISC10","DISC15","DISC20","DISC30"},0))),0,J335)</f>
        <v>0.1</v>
      </c>
    </row>
    <row r="336" spans="1:13" x14ac:dyDescent="0.35">
      <c r="A336" s="1" t="s">
        <v>538</v>
      </c>
      <c r="B336" s="1" t="s">
        <v>448</v>
      </c>
      <c r="C336" s="1" t="s">
        <v>44</v>
      </c>
      <c r="D336" s="1" t="s">
        <v>45</v>
      </c>
      <c r="E336" s="1" t="s">
        <v>16</v>
      </c>
      <c r="F336" s="1" t="s">
        <v>39</v>
      </c>
      <c r="G336" s="1" t="s">
        <v>36</v>
      </c>
      <c r="H336" s="1">
        <v>13365</v>
      </c>
      <c r="I336" s="1" t="s">
        <v>27</v>
      </c>
      <c r="J336" s="1"/>
      <c r="K336" s="1">
        <v>13000</v>
      </c>
      <c r="L336" s="2">
        <v>45341</v>
      </c>
      <c r="M336" s="11">
        <f>IF(OR(I336="",ISNA(MATCH(I336,{"DISC10","DISC15","DISC20","DISC30"},0))),0,J336)</f>
        <v>0</v>
      </c>
    </row>
    <row r="337" spans="1:13" x14ac:dyDescent="0.35">
      <c r="A337" s="1" t="s">
        <v>539</v>
      </c>
      <c r="B337" s="1" t="s">
        <v>204</v>
      </c>
      <c r="C337" s="1" t="s">
        <v>30</v>
      </c>
      <c r="D337" s="1" t="s">
        <v>31</v>
      </c>
      <c r="E337" s="1" t="s">
        <v>32</v>
      </c>
      <c r="F337" s="1" t="s">
        <v>17</v>
      </c>
      <c r="G337" s="1" t="s">
        <v>18</v>
      </c>
      <c r="H337" s="1">
        <v>17704</v>
      </c>
      <c r="I337" s="1" t="s">
        <v>27</v>
      </c>
      <c r="J337" s="1"/>
      <c r="K337" s="1">
        <v>17000</v>
      </c>
      <c r="L337" s="2">
        <v>45306</v>
      </c>
      <c r="M337" s="11">
        <f>IF(OR(I337="",ISNA(MATCH(I337,{"DISC10","DISC15","DISC20","DISC30"},0))),0,J337)</f>
        <v>0</v>
      </c>
    </row>
    <row r="338" spans="1:13" x14ac:dyDescent="0.35">
      <c r="A338" s="1" t="s">
        <v>540</v>
      </c>
      <c r="B338" s="1" t="s">
        <v>435</v>
      </c>
      <c r="C338" s="1" t="s">
        <v>30</v>
      </c>
      <c r="D338" s="1" t="s">
        <v>31</v>
      </c>
      <c r="E338" s="1" t="s">
        <v>32</v>
      </c>
      <c r="F338" s="1" t="s">
        <v>39</v>
      </c>
      <c r="G338" s="1" t="s">
        <v>26</v>
      </c>
      <c r="H338" s="1">
        <v>18603</v>
      </c>
      <c r="I338" s="1" t="s">
        <v>19</v>
      </c>
      <c r="J338" s="1">
        <v>0.2</v>
      </c>
      <c r="K338" s="1">
        <v>17000</v>
      </c>
      <c r="L338" s="2">
        <v>45332</v>
      </c>
      <c r="M338" s="11">
        <f>IF(OR(I338="",ISNA(MATCH(I338,{"DISC10","DISC15","DISC20","DISC30"},0))),0,J338)</f>
        <v>0.2</v>
      </c>
    </row>
    <row r="339" spans="1:13" x14ac:dyDescent="0.35">
      <c r="A339" s="1" t="s">
        <v>541</v>
      </c>
      <c r="B339" s="1" t="s">
        <v>90</v>
      </c>
      <c r="C339" s="1" t="s">
        <v>61</v>
      </c>
      <c r="D339" s="1" t="s">
        <v>62</v>
      </c>
      <c r="E339" s="1" t="s">
        <v>32</v>
      </c>
      <c r="F339" s="1" t="s">
        <v>17</v>
      </c>
      <c r="G339" s="1" t="s">
        <v>26</v>
      </c>
      <c r="H339" s="1">
        <v>9749</v>
      </c>
      <c r="I339" s="1"/>
      <c r="J339" s="1"/>
      <c r="K339" s="1">
        <v>9000</v>
      </c>
      <c r="L339" s="2">
        <v>45342</v>
      </c>
      <c r="M339" s="11">
        <f>IF(OR(I339="",ISNA(MATCH(I339,{"DISC10","DISC15","DISC20","DISC30"},0))),0,J339)</f>
        <v>0</v>
      </c>
    </row>
    <row r="340" spans="1:13" x14ac:dyDescent="0.35">
      <c r="A340" s="1" t="s">
        <v>542</v>
      </c>
      <c r="B340" s="1" t="s">
        <v>217</v>
      </c>
      <c r="C340" s="1" t="s">
        <v>61</v>
      </c>
      <c r="D340" s="1" t="s">
        <v>62</v>
      </c>
      <c r="E340" s="1" t="s">
        <v>46</v>
      </c>
      <c r="F340" s="1" t="s">
        <v>25</v>
      </c>
      <c r="G340" s="1" t="s">
        <v>36</v>
      </c>
      <c r="H340" s="1">
        <v>8541</v>
      </c>
      <c r="I340" s="1" t="s">
        <v>19</v>
      </c>
      <c r="J340" s="1">
        <v>0.2</v>
      </c>
      <c r="K340" s="1">
        <v>9000</v>
      </c>
      <c r="L340" s="2">
        <v>45340</v>
      </c>
      <c r="M340" s="11">
        <f>IF(OR(I340="",ISNA(MATCH(I340,{"DISC10","DISC15","DISC20","DISC30"},0))),0,J340)</f>
        <v>0.2</v>
      </c>
    </row>
    <row r="341" spans="1:13" x14ac:dyDescent="0.35">
      <c r="A341" s="1" t="s">
        <v>543</v>
      </c>
      <c r="B341" s="1" t="s">
        <v>544</v>
      </c>
      <c r="C341" s="1" t="s">
        <v>44</v>
      </c>
      <c r="D341" s="1" t="s">
        <v>45</v>
      </c>
      <c r="E341" s="1" t="s">
        <v>32</v>
      </c>
      <c r="F341" s="1" t="s">
        <v>17</v>
      </c>
      <c r="G341" s="1" t="s">
        <v>26</v>
      </c>
      <c r="H341" s="1">
        <v>11591</v>
      </c>
      <c r="I341" s="1"/>
      <c r="J341" s="1"/>
      <c r="K341" s="1">
        <v>13000</v>
      </c>
      <c r="L341" s="2">
        <v>45350</v>
      </c>
      <c r="M341" s="11">
        <f>IF(OR(I341="",ISNA(MATCH(I341,{"DISC10","DISC15","DISC20","DISC30"},0))),0,J341)</f>
        <v>0</v>
      </c>
    </row>
    <row r="342" spans="1:13" x14ac:dyDescent="0.35">
      <c r="A342" s="1" t="s">
        <v>545</v>
      </c>
      <c r="B342" s="1" t="s">
        <v>166</v>
      </c>
      <c r="C342" s="1" t="s">
        <v>61</v>
      </c>
      <c r="D342" s="1" t="s">
        <v>62</v>
      </c>
      <c r="E342" s="1" t="s">
        <v>46</v>
      </c>
      <c r="F342" s="1" t="s">
        <v>39</v>
      </c>
      <c r="G342" s="1" t="s">
        <v>26</v>
      </c>
      <c r="H342" s="1">
        <v>7549</v>
      </c>
      <c r="I342" s="1"/>
      <c r="J342" s="1"/>
      <c r="K342" s="1">
        <v>9000</v>
      </c>
      <c r="L342" s="2">
        <v>45307</v>
      </c>
      <c r="M342" s="11">
        <f>IF(OR(I342="",ISNA(MATCH(I342,{"DISC10","DISC15","DISC20","DISC30"},0))),0,J342)</f>
        <v>0</v>
      </c>
    </row>
    <row r="343" spans="1:13" x14ac:dyDescent="0.35">
      <c r="A343" s="1" t="s">
        <v>546</v>
      </c>
      <c r="B343" s="1" t="s">
        <v>289</v>
      </c>
      <c r="C343" s="1" t="s">
        <v>30</v>
      </c>
      <c r="D343" s="1" t="s">
        <v>31</v>
      </c>
      <c r="E343" s="1" t="s">
        <v>16</v>
      </c>
      <c r="F343" s="1" t="s">
        <v>25</v>
      </c>
      <c r="G343" s="1" t="s">
        <v>36</v>
      </c>
      <c r="H343" s="1">
        <v>18469</v>
      </c>
      <c r="I343" s="1" t="s">
        <v>33</v>
      </c>
      <c r="J343" s="1">
        <v>0.3</v>
      </c>
      <c r="K343" s="1">
        <v>17000</v>
      </c>
      <c r="L343" s="2">
        <v>45297</v>
      </c>
      <c r="M343" s="11">
        <f>IF(OR(I343="",ISNA(MATCH(I343,{"DISC10","DISC15","DISC20","DISC30"},0))),0,J343)</f>
        <v>0.3</v>
      </c>
    </row>
    <row r="344" spans="1:13" x14ac:dyDescent="0.35">
      <c r="A344" s="1" t="s">
        <v>547</v>
      </c>
      <c r="B344" s="1" t="s">
        <v>548</v>
      </c>
      <c r="C344" s="1" t="s">
        <v>44</v>
      </c>
      <c r="D344" s="1" t="s">
        <v>45</v>
      </c>
      <c r="E344" s="1" t="s">
        <v>32</v>
      </c>
      <c r="F344" s="1" t="s">
        <v>17</v>
      </c>
      <c r="G344" s="1" t="s">
        <v>36</v>
      </c>
      <c r="H344" s="1">
        <v>13759</v>
      </c>
      <c r="I344" s="1" t="s">
        <v>27</v>
      </c>
      <c r="J344" s="1"/>
      <c r="K344" s="1">
        <v>13000</v>
      </c>
      <c r="L344" s="2">
        <v>45330</v>
      </c>
      <c r="M344" s="11">
        <f>IF(OR(I344="",ISNA(MATCH(I344,{"DISC10","DISC15","DISC20","DISC30"},0))),0,J344)</f>
        <v>0</v>
      </c>
    </row>
    <row r="345" spans="1:13" x14ac:dyDescent="0.35">
      <c r="A345" s="1" t="s">
        <v>549</v>
      </c>
      <c r="B345" s="1" t="s">
        <v>129</v>
      </c>
      <c r="C345" s="1" t="s">
        <v>14</v>
      </c>
      <c r="D345" s="1" t="s">
        <v>15</v>
      </c>
      <c r="E345" s="1" t="s">
        <v>32</v>
      </c>
      <c r="F345" s="1" t="s">
        <v>39</v>
      </c>
      <c r="G345" s="1" t="s">
        <v>26</v>
      </c>
      <c r="H345" s="1">
        <v>14750</v>
      </c>
      <c r="I345" s="1" t="s">
        <v>27</v>
      </c>
      <c r="J345" s="1"/>
      <c r="K345" s="1">
        <v>14000</v>
      </c>
      <c r="L345" s="2">
        <v>45305</v>
      </c>
      <c r="M345" s="11">
        <f>IF(OR(I345="",ISNA(MATCH(I345,{"DISC10","DISC15","DISC20","DISC30"},0))),0,J345)</f>
        <v>0</v>
      </c>
    </row>
    <row r="346" spans="1:13" x14ac:dyDescent="0.35">
      <c r="A346" s="1" t="s">
        <v>550</v>
      </c>
      <c r="B346" s="1" t="s">
        <v>211</v>
      </c>
      <c r="C346" s="1" t="s">
        <v>30</v>
      </c>
      <c r="D346" s="1" t="s">
        <v>31</v>
      </c>
      <c r="E346" s="1" t="s">
        <v>46</v>
      </c>
      <c r="F346" s="1" t="s">
        <v>25</v>
      </c>
      <c r="G346" s="1" t="s">
        <v>18</v>
      </c>
      <c r="H346" s="1">
        <v>18838</v>
      </c>
      <c r="I346" s="1" t="s">
        <v>19</v>
      </c>
      <c r="J346" s="1">
        <v>0.2</v>
      </c>
      <c r="K346" s="1">
        <v>17000</v>
      </c>
      <c r="L346" s="2">
        <v>45339</v>
      </c>
      <c r="M346" s="11">
        <f>IF(OR(I346="",ISNA(MATCH(I346,{"DISC10","DISC15","DISC20","DISC30"},0))),0,J346)</f>
        <v>0.2</v>
      </c>
    </row>
    <row r="347" spans="1:13" x14ac:dyDescent="0.35">
      <c r="A347" s="1" t="s">
        <v>551</v>
      </c>
      <c r="B347" s="1" t="s">
        <v>173</v>
      </c>
      <c r="C347" s="1" t="s">
        <v>61</v>
      </c>
      <c r="D347" s="1" t="s">
        <v>62</v>
      </c>
      <c r="E347" s="1" t="s">
        <v>32</v>
      </c>
      <c r="F347" s="1" t="s">
        <v>39</v>
      </c>
      <c r="G347" s="1" t="s">
        <v>26</v>
      </c>
      <c r="H347" s="1">
        <v>9882</v>
      </c>
      <c r="I347" s="1" t="s">
        <v>19</v>
      </c>
      <c r="J347" s="1">
        <v>0.2</v>
      </c>
      <c r="K347" s="1">
        <v>9000</v>
      </c>
      <c r="L347" s="2">
        <v>45317</v>
      </c>
      <c r="M347" s="11">
        <f>IF(OR(I347="",ISNA(MATCH(I347,{"DISC10","DISC15","DISC20","DISC30"},0))),0,J347)</f>
        <v>0.2</v>
      </c>
    </row>
    <row r="348" spans="1:13" x14ac:dyDescent="0.35">
      <c r="A348" s="1" t="s">
        <v>552</v>
      </c>
      <c r="B348" s="1" t="s">
        <v>553</v>
      </c>
      <c r="C348" s="1" t="s">
        <v>30</v>
      </c>
      <c r="D348" s="1" t="s">
        <v>31</v>
      </c>
      <c r="E348" s="1" t="s">
        <v>46</v>
      </c>
      <c r="F348" s="1" t="s">
        <v>17</v>
      </c>
      <c r="G348" s="1" t="s">
        <v>36</v>
      </c>
      <c r="H348" s="1">
        <v>17185</v>
      </c>
      <c r="I348" s="1" t="s">
        <v>33</v>
      </c>
      <c r="J348" s="1">
        <v>0.3</v>
      </c>
      <c r="K348" s="1">
        <v>17000</v>
      </c>
      <c r="L348" s="2">
        <v>45311</v>
      </c>
      <c r="M348" s="11">
        <f>IF(OR(I348="",ISNA(MATCH(I348,{"DISC10","DISC15","DISC20","DISC30"},0))),0,J348)</f>
        <v>0.3</v>
      </c>
    </row>
    <row r="349" spans="1:13" x14ac:dyDescent="0.35">
      <c r="A349" s="1" t="s">
        <v>554</v>
      </c>
      <c r="B349" s="1" t="s">
        <v>131</v>
      </c>
      <c r="C349" s="1" t="s">
        <v>61</v>
      </c>
      <c r="D349" s="1" t="s">
        <v>62</v>
      </c>
      <c r="E349" s="1" t="s">
        <v>46</v>
      </c>
      <c r="F349" s="1" t="s">
        <v>25</v>
      </c>
      <c r="G349" s="1" t="s">
        <v>26</v>
      </c>
      <c r="H349" s="1">
        <v>8923</v>
      </c>
      <c r="I349" s="1" t="s">
        <v>33</v>
      </c>
      <c r="J349" s="1">
        <v>0.3</v>
      </c>
      <c r="K349" s="1">
        <v>9000</v>
      </c>
      <c r="L349" s="2">
        <v>45350</v>
      </c>
      <c r="M349" s="11">
        <f>IF(OR(I349="",ISNA(MATCH(I349,{"DISC10","DISC15","DISC20","DISC30"},0))),0,J349)</f>
        <v>0.3</v>
      </c>
    </row>
    <row r="350" spans="1:13" x14ac:dyDescent="0.35">
      <c r="A350" s="1" t="s">
        <v>555</v>
      </c>
      <c r="B350" s="1" t="s">
        <v>391</v>
      </c>
      <c r="C350" s="1" t="s">
        <v>30</v>
      </c>
      <c r="D350" s="1" t="s">
        <v>31</v>
      </c>
      <c r="E350" s="1" t="s">
        <v>46</v>
      </c>
      <c r="F350" s="1" t="s">
        <v>25</v>
      </c>
      <c r="G350" s="1" t="s">
        <v>26</v>
      </c>
      <c r="H350" s="1">
        <v>18539</v>
      </c>
      <c r="I350" s="1" t="s">
        <v>19</v>
      </c>
      <c r="J350" s="1">
        <v>0.2</v>
      </c>
      <c r="K350" s="1">
        <v>17000</v>
      </c>
      <c r="L350" s="2">
        <v>45339</v>
      </c>
      <c r="M350" s="11">
        <f>IF(OR(I350="",ISNA(MATCH(I350,{"DISC10","DISC15","DISC20","DISC30"},0))),0,J350)</f>
        <v>0.2</v>
      </c>
    </row>
    <row r="351" spans="1:13" x14ac:dyDescent="0.35">
      <c r="A351" s="1" t="s">
        <v>556</v>
      </c>
      <c r="B351" s="1" t="s">
        <v>557</v>
      </c>
      <c r="C351" s="1" t="s">
        <v>30</v>
      </c>
      <c r="D351" s="1" t="s">
        <v>31</v>
      </c>
      <c r="E351" s="1" t="s">
        <v>16</v>
      </c>
      <c r="F351" s="1" t="s">
        <v>39</v>
      </c>
      <c r="G351" s="1" t="s">
        <v>26</v>
      </c>
      <c r="H351" s="1">
        <v>17949</v>
      </c>
      <c r="I351" s="1"/>
      <c r="J351" s="1"/>
      <c r="K351" s="1">
        <v>17000</v>
      </c>
      <c r="L351" s="2">
        <v>45310</v>
      </c>
      <c r="M351" s="11">
        <f>IF(OR(I351="",ISNA(MATCH(I351,{"DISC10","DISC15","DISC20","DISC30"},0))),0,J351)</f>
        <v>0</v>
      </c>
    </row>
    <row r="352" spans="1:13" x14ac:dyDescent="0.35">
      <c r="A352" s="1" t="s">
        <v>558</v>
      </c>
      <c r="B352" s="1" t="s">
        <v>35</v>
      </c>
      <c r="C352" s="1" t="s">
        <v>30</v>
      </c>
      <c r="D352" s="1" t="s">
        <v>31</v>
      </c>
      <c r="E352" s="1" t="s">
        <v>32</v>
      </c>
      <c r="F352" s="1" t="s">
        <v>17</v>
      </c>
      <c r="G352" s="1" t="s">
        <v>26</v>
      </c>
      <c r="H352" s="1">
        <v>18413</v>
      </c>
      <c r="I352" s="1" t="s">
        <v>19</v>
      </c>
      <c r="J352" s="1">
        <v>0.2</v>
      </c>
      <c r="K352" s="1">
        <v>17000</v>
      </c>
      <c r="L352" s="2">
        <v>45323</v>
      </c>
      <c r="M352" s="11">
        <f>IF(OR(I352="",ISNA(MATCH(I352,{"DISC10","DISC15","DISC20","DISC30"},0))),0,J352)</f>
        <v>0.2</v>
      </c>
    </row>
    <row r="353" spans="1:13" x14ac:dyDescent="0.35">
      <c r="A353" s="1" t="s">
        <v>559</v>
      </c>
      <c r="B353" s="1" t="s">
        <v>202</v>
      </c>
      <c r="C353" s="1" t="s">
        <v>30</v>
      </c>
      <c r="D353" s="1" t="s">
        <v>31</v>
      </c>
      <c r="E353" s="1" t="s">
        <v>46</v>
      </c>
      <c r="F353" s="1" t="s">
        <v>17</v>
      </c>
      <c r="G353" s="1" t="s">
        <v>26</v>
      </c>
      <c r="H353" s="1">
        <v>17628</v>
      </c>
      <c r="I353" s="1"/>
      <c r="J353" s="1"/>
      <c r="K353" s="1">
        <v>17000</v>
      </c>
      <c r="L353" s="2">
        <v>45321</v>
      </c>
      <c r="M353" s="11">
        <f>IF(OR(I353="",ISNA(MATCH(I353,{"DISC10","DISC15","DISC20","DISC30"},0))),0,J353)</f>
        <v>0</v>
      </c>
    </row>
    <row r="354" spans="1:13" x14ac:dyDescent="0.35">
      <c r="A354" s="1" t="s">
        <v>560</v>
      </c>
      <c r="B354" s="1" t="s">
        <v>280</v>
      </c>
      <c r="C354" s="1" t="s">
        <v>30</v>
      </c>
      <c r="D354" s="1" t="s">
        <v>31</v>
      </c>
      <c r="E354" s="1" t="s">
        <v>32</v>
      </c>
      <c r="F354" s="1" t="s">
        <v>25</v>
      </c>
      <c r="G354" s="1" t="s">
        <v>26</v>
      </c>
      <c r="H354" s="1">
        <v>17238</v>
      </c>
      <c r="I354" s="1"/>
      <c r="J354" s="1"/>
      <c r="K354" s="1">
        <v>17000</v>
      </c>
      <c r="L354" s="2">
        <v>45303</v>
      </c>
      <c r="M354" s="11">
        <f>IF(OR(I354="",ISNA(MATCH(I354,{"DISC10","DISC15","DISC20","DISC30"},0))),0,J354)</f>
        <v>0</v>
      </c>
    </row>
    <row r="355" spans="1:13" x14ac:dyDescent="0.35">
      <c r="A355" s="1" t="s">
        <v>561</v>
      </c>
      <c r="B355" s="1" t="s">
        <v>84</v>
      </c>
      <c r="C355" s="1" t="s">
        <v>14</v>
      </c>
      <c r="D355" s="1" t="s">
        <v>15</v>
      </c>
      <c r="E355" s="1" t="s">
        <v>16</v>
      </c>
      <c r="F355" s="1" t="s">
        <v>25</v>
      </c>
      <c r="G355" s="1" t="s">
        <v>18</v>
      </c>
      <c r="H355" s="1">
        <v>15871</v>
      </c>
      <c r="I355" s="1" t="s">
        <v>22</v>
      </c>
      <c r="J355" s="1">
        <v>0.1</v>
      </c>
      <c r="K355" s="1">
        <v>14000</v>
      </c>
      <c r="L355" s="2">
        <v>45340</v>
      </c>
      <c r="M355" s="11">
        <f>IF(OR(I355="",ISNA(MATCH(I355,{"DISC10","DISC15","DISC20","DISC30"},0))),0,J355)</f>
        <v>0.1</v>
      </c>
    </row>
    <row r="356" spans="1:13" x14ac:dyDescent="0.35">
      <c r="A356" s="1" t="s">
        <v>562</v>
      </c>
      <c r="B356" s="1" t="s">
        <v>406</v>
      </c>
      <c r="C356" s="1" t="s">
        <v>44</v>
      </c>
      <c r="D356" s="1" t="s">
        <v>45</v>
      </c>
      <c r="E356" s="1" t="s">
        <v>16</v>
      </c>
      <c r="F356" s="1" t="s">
        <v>25</v>
      </c>
      <c r="G356" s="1" t="s">
        <v>18</v>
      </c>
      <c r="H356" s="1">
        <v>13896</v>
      </c>
      <c r="I356" s="1" t="s">
        <v>19</v>
      </c>
      <c r="J356" s="1">
        <v>0.2</v>
      </c>
      <c r="K356" s="1">
        <v>13000</v>
      </c>
      <c r="L356" s="2">
        <v>45292</v>
      </c>
      <c r="M356" s="11">
        <f>IF(OR(I356="",ISNA(MATCH(I356,{"DISC10","DISC15","DISC20","DISC30"},0))),0,J356)</f>
        <v>0.2</v>
      </c>
    </row>
    <row r="357" spans="1:13" x14ac:dyDescent="0.35">
      <c r="A357" s="1" t="s">
        <v>563</v>
      </c>
      <c r="B357" s="1" t="s">
        <v>24</v>
      </c>
      <c r="C357" s="1" t="s">
        <v>61</v>
      </c>
      <c r="D357" s="1" t="s">
        <v>62</v>
      </c>
      <c r="E357" s="1" t="s">
        <v>46</v>
      </c>
      <c r="F357" s="1" t="s">
        <v>25</v>
      </c>
      <c r="G357" s="1" t="s">
        <v>26</v>
      </c>
      <c r="H357" s="1">
        <v>9612</v>
      </c>
      <c r="I357" s="1" t="s">
        <v>27</v>
      </c>
      <c r="J357" s="1"/>
      <c r="K357" s="1">
        <v>9000</v>
      </c>
      <c r="L357" s="2">
        <v>45350</v>
      </c>
      <c r="M357" s="11">
        <f>IF(OR(I357="",ISNA(MATCH(I357,{"DISC10","DISC15","DISC20","DISC30"},0))),0,J357)</f>
        <v>0</v>
      </c>
    </row>
    <row r="358" spans="1:13" x14ac:dyDescent="0.35">
      <c r="A358" s="1" t="s">
        <v>564</v>
      </c>
      <c r="B358" s="1" t="s">
        <v>332</v>
      </c>
      <c r="C358" s="1" t="s">
        <v>61</v>
      </c>
      <c r="D358" s="1" t="s">
        <v>62</v>
      </c>
      <c r="E358" s="1" t="s">
        <v>32</v>
      </c>
      <c r="F358" s="1" t="s">
        <v>25</v>
      </c>
      <c r="G358" s="1" t="s">
        <v>26</v>
      </c>
      <c r="H358" s="1">
        <v>9259</v>
      </c>
      <c r="I358" s="1"/>
      <c r="J358" s="1"/>
      <c r="K358" s="1">
        <v>9000</v>
      </c>
      <c r="L358" s="2">
        <v>45292</v>
      </c>
      <c r="M358" s="11">
        <f>IF(OR(I358="",ISNA(MATCH(I358,{"DISC10","DISC15","DISC20","DISC30"},0))),0,J358)</f>
        <v>0</v>
      </c>
    </row>
    <row r="359" spans="1:13" x14ac:dyDescent="0.35">
      <c r="A359" s="1" t="s">
        <v>565</v>
      </c>
      <c r="B359" s="1" t="s">
        <v>166</v>
      </c>
      <c r="C359" s="1" t="s">
        <v>30</v>
      </c>
      <c r="D359" s="1" t="s">
        <v>31</v>
      </c>
      <c r="E359" s="1" t="s">
        <v>16</v>
      </c>
      <c r="F359" s="1" t="s">
        <v>17</v>
      </c>
      <c r="G359" s="1" t="s">
        <v>18</v>
      </c>
      <c r="H359" s="1">
        <v>17057</v>
      </c>
      <c r="I359" s="1"/>
      <c r="J359" s="1"/>
      <c r="K359" s="1">
        <v>17000</v>
      </c>
      <c r="L359" s="2">
        <v>45343</v>
      </c>
      <c r="M359" s="11">
        <f>IF(OR(I359="",ISNA(MATCH(I359,{"DISC10","DISC15","DISC20","DISC30"},0))),0,J359)</f>
        <v>0</v>
      </c>
    </row>
    <row r="360" spans="1:13" x14ac:dyDescent="0.35">
      <c r="A360" s="1" t="s">
        <v>566</v>
      </c>
      <c r="B360" s="1" t="s">
        <v>120</v>
      </c>
      <c r="C360" s="1" t="s">
        <v>14</v>
      </c>
      <c r="D360" s="1" t="s">
        <v>15</v>
      </c>
      <c r="E360" s="1" t="s">
        <v>32</v>
      </c>
      <c r="F360" s="1" t="s">
        <v>39</v>
      </c>
      <c r="G360" s="1" t="s">
        <v>18</v>
      </c>
      <c r="H360" s="1">
        <v>12987</v>
      </c>
      <c r="I360" s="1" t="s">
        <v>19</v>
      </c>
      <c r="J360" s="1">
        <v>0.2</v>
      </c>
      <c r="K360" s="1">
        <v>14000</v>
      </c>
      <c r="L360" s="2">
        <v>45331</v>
      </c>
      <c r="M360" s="11">
        <f>IF(OR(I360="",ISNA(MATCH(I360,{"DISC10","DISC15","DISC20","DISC30"},0))),0,J360)</f>
        <v>0.2</v>
      </c>
    </row>
    <row r="361" spans="1:13" x14ac:dyDescent="0.35">
      <c r="A361" s="1" t="s">
        <v>567</v>
      </c>
      <c r="B361" s="1" t="s">
        <v>448</v>
      </c>
      <c r="C361" s="1" t="s">
        <v>30</v>
      </c>
      <c r="D361" s="1" t="s">
        <v>31</v>
      </c>
      <c r="E361" s="1" t="s">
        <v>46</v>
      </c>
      <c r="F361" s="1" t="s">
        <v>17</v>
      </c>
      <c r="G361" s="1" t="s">
        <v>18</v>
      </c>
      <c r="H361" s="1">
        <v>16528</v>
      </c>
      <c r="I361" s="1"/>
      <c r="J361" s="1"/>
      <c r="K361" s="1">
        <v>17000</v>
      </c>
      <c r="L361" s="2">
        <v>45321</v>
      </c>
      <c r="M361" s="11">
        <f>IF(OR(I361="",ISNA(MATCH(I361,{"DISC10","DISC15","DISC20","DISC30"},0))),0,J361)</f>
        <v>0</v>
      </c>
    </row>
    <row r="362" spans="1:13" x14ac:dyDescent="0.35">
      <c r="A362" s="1" t="s">
        <v>568</v>
      </c>
      <c r="B362" s="1" t="s">
        <v>519</v>
      </c>
      <c r="C362" s="1" t="s">
        <v>44</v>
      </c>
      <c r="D362" s="1" t="s">
        <v>45</v>
      </c>
      <c r="E362" s="1" t="s">
        <v>46</v>
      </c>
      <c r="F362" s="1" t="s">
        <v>39</v>
      </c>
      <c r="G362" s="1" t="s">
        <v>18</v>
      </c>
      <c r="H362" s="1">
        <v>13677</v>
      </c>
      <c r="I362" s="1" t="s">
        <v>22</v>
      </c>
      <c r="J362" s="1">
        <v>0.1</v>
      </c>
      <c r="K362" s="1">
        <v>13000</v>
      </c>
      <c r="L362" s="2">
        <v>45297</v>
      </c>
      <c r="M362" s="11">
        <f>IF(OR(I362="",ISNA(MATCH(I362,{"DISC10","DISC15","DISC20","DISC30"},0))),0,J362)</f>
        <v>0.1</v>
      </c>
    </row>
    <row r="363" spans="1:13" x14ac:dyDescent="0.35">
      <c r="A363" s="1" t="s">
        <v>569</v>
      </c>
      <c r="B363" s="1" t="s">
        <v>177</v>
      </c>
      <c r="C363" s="1" t="s">
        <v>61</v>
      </c>
      <c r="D363" s="1" t="s">
        <v>62</v>
      </c>
      <c r="E363" s="1" t="s">
        <v>16</v>
      </c>
      <c r="F363" s="1" t="s">
        <v>17</v>
      </c>
      <c r="G363" s="1" t="s">
        <v>18</v>
      </c>
      <c r="H363" s="1">
        <v>9608</v>
      </c>
      <c r="I363" s="1" t="s">
        <v>22</v>
      </c>
      <c r="J363" s="1">
        <v>0.1</v>
      </c>
      <c r="K363" s="1">
        <v>9000</v>
      </c>
      <c r="L363" s="2">
        <v>45336</v>
      </c>
      <c r="M363" s="11">
        <f>IF(OR(I363="",ISNA(MATCH(I363,{"DISC10","DISC15","DISC20","DISC30"},0))),0,J363)</f>
        <v>0.1</v>
      </c>
    </row>
    <row r="364" spans="1:13" x14ac:dyDescent="0.35">
      <c r="A364" s="1" t="s">
        <v>570</v>
      </c>
      <c r="B364" s="1" t="s">
        <v>325</v>
      </c>
      <c r="C364" s="1" t="s">
        <v>61</v>
      </c>
      <c r="D364" s="1" t="s">
        <v>62</v>
      </c>
      <c r="E364" s="1" t="s">
        <v>46</v>
      </c>
      <c r="F364" s="1" t="s">
        <v>39</v>
      </c>
      <c r="G364" s="1" t="s">
        <v>36</v>
      </c>
      <c r="H364" s="1">
        <v>9317</v>
      </c>
      <c r="I364" s="1" t="s">
        <v>22</v>
      </c>
      <c r="J364" s="1">
        <v>0.1</v>
      </c>
      <c r="K364" s="1">
        <v>9000</v>
      </c>
      <c r="L364" s="2">
        <v>45349</v>
      </c>
      <c r="M364" s="11">
        <f>IF(OR(I364="",ISNA(MATCH(I364,{"DISC10","DISC15","DISC20","DISC30"},0))),0,J364)</f>
        <v>0.1</v>
      </c>
    </row>
    <row r="365" spans="1:13" x14ac:dyDescent="0.35">
      <c r="A365" s="1" t="s">
        <v>571</v>
      </c>
      <c r="B365" s="1" t="s">
        <v>184</v>
      </c>
      <c r="C365" s="1" t="s">
        <v>44</v>
      </c>
      <c r="D365" s="1" t="s">
        <v>45</v>
      </c>
      <c r="E365" s="1" t="s">
        <v>32</v>
      </c>
      <c r="F365" s="1" t="s">
        <v>39</v>
      </c>
      <c r="G365" s="1" t="s">
        <v>26</v>
      </c>
      <c r="H365" s="1">
        <v>12947</v>
      </c>
      <c r="I365" s="1" t="s">
        <v>33</v>
      </c>
      <c r="J365" s="1">
        <v>0.3</v>
      </c>
      <c r="K365" s="1">
        <v>13000</v>
      </c>
      <c r="L365" s="2">
        <v>45294</v>
      </c>
      <c r="M365" s="11">
        <f>IF(OR(I365="",ISNA(MATCH(I365,{"DISC10","DISC15","DISC20","DISC30"},0))),0,J365)</f>
        <v>0.3</v>
      </c>
    </row>
    <row r="366" spans="1:13" x14ac:dyDescent="0.35">
      <c r="A366" s="1" t="s">
        <v>572</v>
      </c>
      <c r="B366" s="1" t="s">
        <v>403</v>
      </c>
      <c r="C366" s="1" t="s">
        <v>30</v>
      </c>
      <c r="D366" s="1" t="s">
        <v>31</v>
      </c>
      <c r="E366" s="1" t="s">
        <v>16</v>
      </c>
      <c r="F366" s="1" t="s">
        <v>39</v>
      </c>
      <c r="G366" s="1" t="s">
        <v>26</v>
      </c>
      <c r="H366" s="1">
        <v>15134</v>
      </c>
      <c r="I366" s="1" t="s">
        <v>19</v>
      </c>
      <c r="J366" s="1">
        <v>0.2</v>
      </c>
      <c r="K366" s="1">
        <v>17000</v>
      </c>
      <c r="L366" s="2">
        <v>45351</v>
      </c>
      <c r="M366" s="11">
        <f>IF(OR(I366="",ISNA(MATCH(I366,{"DISC10","DISC15","DISC20","DISC30"},0))),0,J366)</f>
        <v>0.2</v>
      </c>
    </row>
    <row r="367" spans="1:13" x14ac:dyDescent="0.35">
      <c r="A367" s="1" t="s">
        <v>573</v>
      </c>
      <c r="B367" s="1" t="s">
        <v>303</v>
      </c>
      <c r="C367" s="1" t="s">
        <v>14</v>
      </c>
      <c r="D367" s="1" t="s">
        <v>15</v>
      </c>
      <c r="E367" s="1" t="s">
        <v>32</v>
      </c>
      <c r="F367" s="1" t="s">
        <v>39</v>
      </c>
      <c r="G367" s="1" t="s">
        <v>18</v>
      </c>
      <c r="H367" s="1">
        <v>15081</v>
      </c>
      <c r="I367" s="1"/>
      <c r="J367" s="1"/>
      <c r="K367" s="1">
        <v>14000</v>
      </c>
      <c r="L367" s="2">
        <v>45351</v>
      </c>
      <c r="M367" s="11">
        <f>IF(OR(I367="",ISNA(MATCH(I367,{"DISC10","DISC15","DISC20","DISC30"},0))),0,J367)</f>
        <v>0</v>
      </c>
    </row>
    <row r="368" spans="1:13" x14ac:dyDescent="0.35">
      <c r="A368" s="1" t="s">
        <v>574</v>
      </c>
      <c r="B368" s="1" t="s">
        <v>263</v>
      </c>
      <c r="C368" s="1" t="s">
        <v>44</v>
      </c>
      <c r="D368" s="1" t="s">
        <v>45</v>
      </c>
      <c r="E368" s="1" t="s">
        <v>16</v>
      </c>
      <c r="F368" s="1" t="s">
        <v>25</v>
      </c>
      <c r="G368" s="1" t="s">
        <v>26</v>
      </c>
      <c r="H368" s="1">
        <v>14418</v>
      </c>
      <c r="I368" s="1"/>
      <c r="J368" s="1"/>
      <c r="K368" s="1">
        <v>13000</v>
      </c>
      <c r="L368" s="2">
        <v>45335</v>
      </c>
      <c r="M368" s="11">
        <f>IF(OR(I368="",ISNA(MATCH(I368,{"DISC10","DISC15","DISC20","DISC30"},0))),0,J368)</f>
        <v>0</v>
      </c>
    </row>
    <row r="369" spans="1:13" x14ac:dyDescent="0.35">
      <c r="A369" s="1" t="s">
        <v>575</v>
      </c>
      <c r="B369" s="1" t="s">
        <v>84</v>
      </c>
      <c r="C369" s="1" t="s">
        <v>30</v>
      </c>
      <c r="D369" s="1" t="s">
        <v>31</v>
      </c>
      <c r="E369" s="1" t="s">
        <v>46</v>
      </c>
      <c r="F369" s="1" t="s">
        <v>39</v>
      </c>
      <c r="G369" s="1" t="s">
        <v>18</v>
      </c>
      <c r="H369" s="1">
        <v>18237</v>
      </c>
      <c r="I369" s="1" t="s">
        <v>22</v>
      </c>
      <c r="J369" s="1">
        <v>0.1</v>
      </c>
      <c r="K369" s="1">
        <v>17000</v>
      </c>
      <c r="L369" s="2">
        <v>45324</v>
      </c>
      <c r="M369" s="11">
        <f>IF(OR(I369="",ISNA(MATCH(I369,{"DISC10","DISC15","DISC20","DISC30"},0))),0,J369)</f>
        <v>0.1</v>
      </c>
    </row>
    <row r="370" spans="1:13" x14ac:dyDescent="0.35">
      <c r="A370" s="1" t="s">
        <v>576</v>
      </c>
      <c r="B370" s="1" t="s">
        <v>577</v>
      </c>
      <c r="C370" s="1" t="s">
        <v>14</v>
      </c>
      <c r="D370" s="1" t="s">
        <v>15</v>
      </c>
      <c r="E370" s="1" t="s">
        <v>32</v>
      </c>
      <c r="F370" s="1" t="s">
        <v>17</v>
      </c>
      <c r="G370" s="1" t="s">
        <v>18</v>
      </c>
      <c r="H370" s="1">
        <v>15435</v>
      </c>
      <c r="I370" s="1" t="s">
        <v>22</v>
      </c>
      <c r="J370" s="1">
        <v>0.1</v>
      </c>
      <c r="K370" s="1">
        <v>14000</v>
      </c>
      <c r="L370" s="2">
        <v>45313</v>
      </c>
      <c r="M370" s="11">
        <f>IF(OR(I370="",ISNA(MATCH(I370,{"DISC10","DISC15","DISC20","DISC30"},0))),0,J370)</f>
        <v>0.1</v>
      </c>
    </row>
    <row r="371" spans="1:13" x14ac:dyDescent="0.35">
      <c r="A371" s="1" t="s">
        <v>578</v>
      </c>
      <c r="B371" s="1" t="s">
        <v>579</v>
      </c>
      <c r="C371" s="1" t="s">
        <v>61</v>
      </c>
      <c r="D371" s="1" t="s">
        <v>62</v>
      </c>
      <c r="E371" s="1" t="s">
        <v>46</v>
      </c>
      <c r="F371" s="1" t="s">
        <v>25</v>
      </c>
      <c r="G371" s="1" t="s">
        <v>26</v>
      </c>
      <c r="H371" s="1">
        <v>8119</v>
      </c>
      <c r="I371" s="1"/>
      <c r="J371" s="1"/>
      <c r="K371" s="1">
        <v>9000</v>
      </c>
      <c r="L371" s="2">
        <v>45323</v>
      </c>
      <c r="M371" s="11">
        <f>IF(OR(I371="",ISNA(MATCH(I371,{"DISC10","DISC15","DISC20","DISC30"},0))),0,J371)</f>
        <v>0</v>
      </c>
    </row>
    <row r="372" spans="1:13" x14ac:dyDescent="0.35">
      <c r="A372" s="1" t="s">
        <v>580</v>
      </c>
      <c r="B372" s="1" t="s">
        <v>391</v>
      </c>
      <c r="C372" s="1" t="s">
        <v>61</v>
      </c>
      <c r="D372" s="1" t="s">
        <v>62</v>
      </c>
      <c r="E372" s="1" t="s">
        <v>46</v>
      </c>
      <c r="F372" s="1" t="s">
        <v>25</v>
      </c>
      <c r="G372" s="1" t="s">
        <v>26</v>
      </c>
      <c r="H372" s="1">
        <v>9399</v>
      </c>
      <c r="I372" s="1"/>
      <c r="J372" s="1"/>
      <c r="K372" s="1">
        <v>9000</v>
      </c>
      <c r="L372" s="2">
        <v>45297</v>
      </c>
      <c r="M372" s="11">
        <f>IF(OR(I372="",ISNA(MATCH(I372,{"DISC10","DISC15","DISC20","DISC30"},0))),0,J372)</f>
        <v>0</v>
      </c>
    </row>
    <row r="373" spans="1:13" x14ac:dyDescent="0.35">
      <c r="A373" s="1" t="s">
        <v>581</v>
      </c>
      <c r="B373" s="1" t="s">
        <v>522</v>
      </c>
      <c r="C373" s="1" t="s">
        <v>30</v>
      </c>
      <c r="D373" s="1" t="s">
        <v>31</v>
      </c>
      <c r="E373" s="1" t="s">
        <v>32</v>
      </c>
      <c r="F373" s="1" t="s">
        <v>39</v>
      </c>
      <c r="G373" s="1" t="s">
        <v>18</v>
      </c>
      <c r="H373" s="1">
        <v>15336</v>
      </c>
      <c r="I373" s="1" t="s">
        <v>33</v>
      </c>
      <c r="J373" s="1">
        <v>0.3</v>
      </c>
      <c r="K373" s="1">
        <v>17000</v>
      </c>
      <c r="L373" s="2">
        <v>45301</v>
      </c>
      <c r="M373" s="11">
        <f>IF(OR(I373="",ISNA(MATCH(I373,{"DISC10","DISC15","DISC20","DISC30"},0))),0,J373)</f>
        <v>0.3</v>
      </c>
    </row>
    <row r="374" spans="1:13" x14ac:dyDescent="0.35">
      <c r="A374" s="1" t="s">
        <v>582</v>
      </c>
      <c r="B374" s="1" t="s">
        <v>101</v>
      </c>
      <c r="C374" s="1" t="s">
        <v>44</v>
      </c>
      <c r="D374" s="1" t="s">
        <v>45</v>
      </c>
      <c r="E374" s="1" t="s">
        <v>16</v>
      </c>
      <c r="F374" s="1" t="s">
        <v>17</v>
      </c>
      <c r="G374" s="1" t="s">
        <v>36</v>
      </c>
      <c r="H374" s="1">
        <v>12477</v>
      </c>
      <c r="I374" s="1" t="s">
        <v>22</v>
      </c>
      <c r="J374" s="1">
        <v>0.1</v>
      </c>
      <c r="K374" s="1">
        <v>13000</v>
      </c>
      <c r="L374" s="2">
        <v>45297</v>
      </c>
      <c r="M374" s="11">
        <f>IF(OR(I374="",ISNA(MATCH(I374,{"DISC10","DISC15","DISC20","DISC30"},0))),0,J374)</f>
        <v>0.1</v>
      </c>
    </row>
    <row r="375" spans="1:13" x14ac:dyDescent="0.35">
      <c r="A375" s="1" t="s">
        <v>583</v>
      </c>
      <c r="B375" s="1" t="s">
        <v>584</v>
      </c>
      <c r="C375" s="1" t="s">
        <v>61</v>
      </c>
      <c r="D375" s="1" t="s">
        <v>62</v>
      </c>
      <c r="E375" s="1" t="s">
        <v>46</v>
      </c>
      <c r="F375" s="1" t="s">
        <v>17</v>
      </c>
      <c r="G375" s="1" t="s">
        <v>18</v>
      </c>
      <c r="H375" s="1">
        <v>7542</v>
      </c>
      <c r="I375" s="1" t="s">
        <v>22</v>
      </c>
      <c r="J375" s="1">
        <v>0.1</v>
      </c>
      <c r="K375" s="1">
        <v>9000</v>
      </c>
      <c r="L375" s="2">
        <v>45303</v>
      </c>
      <c r="M375" s="11">
        <f>IF(OR(I375="",ISNA(MATCH(I375,{"DISC10","DISC15","DISC20","DISC30"},0))),0,J375)</f>
        <v>0.1</v>
      </c>
    </row>
    <row r="376" spans="1:13" x14ac:dyDescent="0.35">
      <c r="A376" s="1" t="s">
        <v>585</v>
      </c>
      <c r="B376" s="1" t="s">
        <v>527</v>
      </c>
      <c r="C376" s="1" t="s">
        <v>61</v>
      </c>
      <c r="D376" s="1" t="s">
        <v>62</v>
      </c>
      <c r="E376" s="1" t="s">
        <v>32</v>
      </c>
      <c r="F376" s="1" t="s">
        <v>25</v>
      </c>
      <c r="G376" s="1" t="s">
        <v>18</v>
      </c>
      <c r="H376" s="1">
        <v>8449</v>
      </c>
      <c r="I376" s="1" t="s">
        <v>27</v>
      </c>
      <c r="J376" s="1"/>
      <c r="K376" s="1">
        <v>9000</v>
      </c>
      <c r="L376" s="2">
        <v>45297</v>
      </c>
      <c r="M376" s="11">
        <f>IF(OR(I376="",ISNA(MATCH(I376,{"DISC10","DISC15","DISC20","DISC30"},0))),0,J376)</f>
        <v>0</v>
      </c>
    </row>
    <row r="377" spans="1:13" x14ac:dyDescent="0.35">
      <c r="A377" s="1" t="s">
        <v>586</v>
      </c>
      <c r="B377" s="1" t="s">
        <v>195</v>
      </c>
      <c r="C377" s="1" t="s">
        <v>30</v>
      </c>
      <c r="D377" s="1" t="s">
        <v>31</v>
      </c>
      <c r="E377" s="1" t="s">
        <v>46</v>
      </c>
      <c r="F377" s="1" t="s">
        <v>25</v>
      </c>
      <c r="G377" s="1" t="s">
        <v>36</v>
      </c>
      <c r="H377" s="1">
        <v>16694</v>
      </c>
      <c r="I377" s="1"/>
      <c r="J377" s="1"/>
      <c r="K377" s="1">
        <v>17000</v>
      </c>
      <c r="L377" s="2">
        <v>45341</v>
      </c>
      <c r="M377" s="11">
        <f>IF(OR(I377="",ISNA(MATCH(I377,{"DISC10","DISC15","DISC20","DISC30"},0))),0,J377)</f>
        <v>0</v>
      </c>
    </row>
    <row r="378" spans="1:13" x14ac:dyDescent="0.35">
      <c r="A378" s="1" t="s">
        <v>587</v>
      </c>
      <c r="B378" s="1" t="s">
        <v>173</v>
      </c>
      <c r="C378" s="1" t="s">
        <v>44</v>
      </c>
      <c r="D378" s="1" t="s">
        <v>45</v>
      </c>
      <c r="E378" s="1" t="s">
        <v>16</v>
      </c>
      <c r="F378" s="1" t="s">
        <v>39</v>
      </c>
      <c r="G378" s="1" t="s">
        <v>18</v>
      </c>
      <c r="H378" s="1">
        <v>13807</v>
      </c>
      <c r="I378" s="1"/>
      <c r="J378" s="1"/>
      <c r="K378" s="1">
        <v>13000</v>
      </c>
      <c r="L378" s="2">
        <v>45302</v>
      </c>
      <c r="M378" s="11">
        <f>IF(OR(I378="",ISNA(MATCH(I378,{"DISC10","DISC15","DISC20","DISC30"},0))),0,J378)</f>
        <v>0</v>
      </c>
    </row>
    <row r="379" spans="1:13" x14ac:dyDescent="0.35">
      <c r="A379" s="1" t="s">
        <v>588</v>
      </c>
      <c r="B379" s="1" t="s">
        <v>256</v>
      </c>
      <c r="C379" s="1" t="s">
        <v>30</v>
      </c>
      <c r="D379" s="1" t="s">
        <v>31</v>
      </c>
      <c r="E379" s="1" t="s">
        <v>46</v>
      </c>
      <c r="F379" s="1" t="s">
        <v>17</v>
      </c>
      <c r="G379" s="1" t="s">
        <v>18</v>
      </c>
      <c r="H379" s="1">
        <v>15259</v>
      </c>
      <c r="I379" s="1" t="s">
        <v>19</v>
      </c>
      <c r="J379" s="1">
        <v>0.2</v>
      </c>
      <c r="K379" s="1">
        <v>17000</v>
      </c>
      <c r="L379" s="2">
        <v>45319</v>
      </c>
      <c r="M379" s="11">
        <f>IF(OR(I379="",ISNA(MATCH(I379,{"DISC10","DISC15","DISC20","DISC30"},0))),0,J379)</f>
        <v>0.2</v>
      </c>
    </row>
    <row r="380" spans="1:13" x14ac:dyDescent="0.35">
      <c r="A380" s="1" t="s">
        <v>589</v>
      </c>
      <c r="B380" s="1" t="s">
        <v>70</v>
      </c>
      <c r="C380" s="1" t="s">
        <v>30</v>
      </c>
      <c r="D380" s="1" t="s">
        <v>31</v>
      </c>
      <c r="E380" s="1" t="s">
        <v>46</v>
      </c>
      <c r="F380" s="1" t="s">
        <v>25</v>
      </c>
      <c r="G380" s="1" t="s">
        <v>36</v>
      </c>
      <c r="H380" s="1">
        <v>16030</v>
      </c>
      <c r="I380" s="1" t="s">
        <v>19</v>
      </c>
      <c r="J380" s="1">
        <v>0.2</v>
      </c>
      <c r="K380" s="1">
        <v>17000</v>
      </c>
      <c r="L380" s="2">
        <v>45338</v>
      </c>
      <c r="M380" s="11">
        <f>IF(OR(I380="",ISNA(MATCH(I380,{"DISC10","DISC15","DISC20","DISC30"},0))),0,J380)</f>
        <v>0.2</v>
      </c>
    </row>
    <row r="381" spans="1:13" x14ac:dyDescent="0.35">
      <c r="A381" s="1" t="s">
        <v>590</v>
      </c>
      <c r="B381" s="1" t="s">
        <v>591</v>
      </c>
      <c r="C381" s="1" t="s">
        <v>44</v>
      </c>
      <c r="D381" s="1" t="s">
        <v>45</v>
      </c>
      <c r="E381" s="1" t="s">
        <v>46</v>
      </c>
      <c r="F381" s="1" t="s">
        <v>25</v>
      </c>
      <c r="G381" s="1" t="s">
        <v>18</v>
      </c>
      <c r="H381" s="1">
        <v>12247</v>
      </c>
      <c r="I381" s="1" t="s">
        <v>22</v>
      </c>
      <c r="J381" s="1">
        <v>0.1</v>
      </c>
      <c r="K381" s="1">
        <v>13000</v>
      </c>
      <c r="L381" s="2">
        <v>45352</v>
      </c>
      <c r="M381" s="11">
        <f>IF(OR(I381="",ISNA(MATCH(I381,{"DISC10","DISC15","DISC20","DISC30"},0))),0,J381)</f>
        <v>0.1</v>
      </c>
    </row>
    <row r="382" spans="1:13" x14ac:dyDescent="0.35">
      <c r="A382" s="1" t="s">
        <v>592</v>
      </c>
      <c r="B382" s="1" t="s">
        <v>474</v>
      </c>
      <c r="C382" s="1" t="s">
        <v>61</v>
      </c>
      <c r="D382" s="1" t="s">
        <v>62</v>
      </c>
      <c r="E382" s="1" t="s">
        <v>46</v>
      </c>
      <c r="F382" s="1" t="s">
        <v>17</v>
      </c>
      <c r="G382" s="1" t="s">
        <v>36</v>
      </c>
      <c r="H382" s="1">
        <v>8763</v>
      </c>
      <c r="I382" s="1" t="s">
        <v>27</v>
      </c>
      <c r="J382" s="1"/>
      <c r="K382" s="1">
        <v>9000</v>
      </c>
      <c r="L382" s="2">
        <v>45300</v>
      </c>
      <c r="M382" s="11">
        <f>IF(OR(I382="",ISNA(MATCH(I382,{"DISC10","DISC15","DISC20","DISC30"},0))),0,J382)</f>
        <v>0</v>
      </c>
    </row>
    <row r="383" spans="1:13" x14ac:dyDescent="0.35">
      <c r="A383" s="1" t="s">
        <v>593</v>
      </c>
      <c r="B383" s="1" t="s">
        <v>131</v>
      </c>
      <c r="C383" s="1" t="s">
        <v>44</v>
      </c>
      <c r="D383" s="1" t="s">
        <v>45</v>
      </c>
      <c r="E383" s="1" t="s">
        <v>46</v>
      </c>
      <c r="F383" s="1" t="s">
        <v>17</v>
      </c>
      <c r="G383" s="1" t="s">
        <v>18</v>
      </c>
      <c r="H383" s="1">
        <v>14950</v>
      </c>
      <c r="I383" s="1"/>
      <c r="J383" s="1"/>
      <c r="K383" s="1">
        <v>13000</v>
      </c>
      <c r="L383" s="2">
        <v>45312</v>
      </c>
      <c r="M383" s="11">
        <f>IF(OR(I383="",ISNA(MATCH(I383,{"DISC10","DISC15","DISC20","DISC30"},0))),0,J383)</f>
        <v>0</v>
      </c>
    </row>
    <row r="384" spans="1:13" x14ac:dyDescent="0.35">
      <c r="A384" s="1" t="s">
        <v>594</v>
      </c>
      <c r="B384" s="1" t="s">
        <v>350</v>
      </c>
      <c r="C384" s="1" t="s">
        <v>61</v>
      </c>
      <c r="D384" s="1" t="s">
        <v>62</v>
      </c>
      <c r="E384" s="1" t="s">
        <v>16</v>
      </c>
      <c r="F384" s="1" t="s">
        <v>25</v>
      </c>
      <c r="G384" s="1" t="s">
        <v>36</v>
      </c>
      <c r="H384" s="1">
        <v>8540</v>
      </c>
      <c r="I384" s="1" t="s">
        <v>33</v>
      </c>
      <c r="J384" s="1">
        <v>0.3</v>
      </c>
      <c r="K384" s="1">
        <v>9000</v>
      </c>
      <c r="L384" s="2">
        <v>45344</v>
      </c>
      <c r="M384" s="11">
        <f>IF(OR(I384="",ISNA(MATCH(I384,{"DISC10","DISC15","DISC20","DISC30"},0))),0,J384)</f>
        <v>0.3</v>
      </c>
    </row>
    <row r="385" spans="1:13" x14ac:dyDescent="0.35">
      <c r="A385" s="1" t="s">
        <v>595</v>
      </c>
      <c r="B385" s="1" t="s">
        <v>180</v>
      </c>
      <c r="C385" s="1" t="s">
        <v>30</v>
      </c>
      <c r="D385" s="1" t="s">
        <v>31</v>
      </c>
      <c r="E385" s="1" t="s">
        <v>32</v>
      </c>
      <c r="F385" s="1" t="s">
        <v>39</v>
      </c>
      <c r="G385" s="1" t="s">
        <v>18</v>
      </c>
      <c r="H385" s="1">
        <v>17425</v>
      </c>
      <c r="I385" s="1" t="s">
        <v>27</v>
      </c>
      <c r="J385" s="1"/>
      <c r="K385" s="1">
        <v>17000</v>
      </c>
      <c r="L385" s="2">
        <v>45303</v>
      </c>
      <c r="M385" s="11">
        <f>IF(OR(I385="",ISNA(MATCH(I385,{"DISC10","DISC15","DISC20","DISC30"},0))),0,J385)</f>
        <v>0</v>
      </c>
    </row>
    <row r="386" spans="1:13" x14ac:dyDescent="0.35">
      <c r="A386" s="1" t="s">
        <v>596</v>
      </c>
      <c r="B386" s="1" t="s">
        <v>270</v>
      </c>
      <c r="C386" s="1" t="s">
        <v>14</v>
      </c>
      <c r="D386" s="1" t="s">
        <v>15</v>
      </c>
      <c r="E386" s="1" t="s">
        <v>16</v>
      </c>
      <c r="F386" s="1" t="s">
        <v>17</v>
      </c>
      <c r="G386" s="1" t="s">
        <v>26</v>
      </c>
      <c r="H386" s="1">
        <v>12858</v>
      </c>
      <c r="I386" s="1"/>
      <c r="J386" s="1"/>
      <c r="K386" s="1">
        <v>14000</v>
      </c>
      <c r="L386" s="2">
        <v>45343</v>
      </c>
      <c r="M386" s="11">
        <f>IF(OR(I386="",ISNA(MATCH(I386,{"DISC10","DISC15","DISC20","DISC30"},0))),0,J386)</f>
        <v>0</v>
      </c>
    </row>
    <row r="387" spans="1:13" x14ac:dyDescent="0.35">
      <c r="A387" s="1" t="s">
        <v>597</v>
      </c>
      <c r="B387" s="1" t="s">
        <v>142</v>
      </c>
      <c r="C387" s="1" t="s">
        <v>14</v>
      </c>
      <c r="D387" s="1" t="s">
        <v>15</v>
      </c>
      <c r="E387" s="1" t="s">
        <v>46</v>
      </c>
      <c r="F387" s="1" t="s">
        <v>39</v>
      </c>
      <c r="G387" s="1" t="s">
        <v>36</v>
      </c>
      <c r="H387" s="1">
        <v>12570</v>
      </c>
      <c r="I387" s="1" t="s">
        <v>33</v>
      </c>
      <c r="J387" s="1">
        <v>0.3</v>
      </c>
      <c r="K387" s="1">
        <v>14000</v>
      </c>
      <c r="L387" s="2">
        <v>45307</v>
      </c>
      <c r="M387" s="11">
        <f>IF(OR(I387="",ISNA(MATCH(I387,{"DISC10","DISC15","DISC20","DISC30"},0))),0,J387)</f>
        <v>0.3</v>
      </c>
    </row>
    <row r="388" spans="1:13" x14ac:dyDescent="0.35">
      <c r="A388" s="1" t="s">
        <v>598</v>
      </c>
      <c r="B388" s="1" t="s">
        <v>286</v>
      </c>
      <c r="C388" s="1" t="s">
        <v>44</v>
      </c>
      <c r="D388" s="1" t="s">
        <v>45</v>
      </c>
      <c r="E388" s="1" t="s">
        <v>16</v>
      </c>
      <c r="F388" s="1" t="s">
        <v>17</v>
      </c>
      <c r="G388" s="1" t="s">
        <v>36</v>
      </c>
      <c r="H388" s="1">
        <v>11302</v>
      </c>
      <c r="I388" s="1"/>
      <c r="J388" s="1"/>
      <c r="K388" s="1">
        <v>13000</v>
      </c>
      <c r="L388" s="2">
        <v>45330</v>
      </c>
      <c r="M388" s="11">
        <f>IF(OR(I388="",ISNA(MATCH(I388,{"DISC10","DISC15","DISC20","DISC30"},0))),0,J388)</f>
        <v>0</v>
      </c>
    </row>
    <row r="389" spans="1:13" x14ac:dyDescent="0.35">
      <c r="A389" s="1" t="s">
        <v>599</v>
      </c>
      <c r="B389" s="1" t="s">
        <v>600</v>
      </c>
      <c r="C389" s="1" t="s">
        <v>61</v>
      </c>
      <c r="D389" s="1" t="s">
        <v>62</v>
      </c>
      <c r="E389" s="1" t="s">
        <v>16</v>
      </c>
      <c r="F389" s="1" t="s">
        <v>39</v>
      </c>
      <c r="G389" s="1" t="s">
        <v>26</v>
      </c>
      <c r="H389" s="1">
        <v>8713</v>
      </c>
      <c r="I389" s="1" t="s">
        <v>27</v>
      </c>
      <c r="J389" s="1"/>
      <c r="K389" s="1">
        <v>9000</v>
      </c>
      <c r="L389" s="2">
        <v>45294</v>
      </c>
      <c r="M389" s="11">
        <f>IF(OR(I389="",ISNA(MATCH(I389,{"DISC10","DISC15","DISC20","DISC30"},0))),0,J389)</f>
        <v>0</v>
      </c>
    </row>
    <row r="390" spans="1:13" x14ac:dyDescent="0.35">
      <c r="A390" s="1" t="s">
        <v>601</v>
      </c>
      <c r="B390" s="1" t="s">
        <v>602</v>
      </c>
      <c r="C390" s="1" t="s">
        <v>14</v>
      </c>
      <c r="D390" s="1" t="s">
        <v>15</v>
      </c>
      <c r="E390" s="1" t="s">
        <v>32</v>
      </c>
      <c r="F390" s="1" t="s">
        <v>25</v>
      </c>
      <c r="G390" s="1" t="s">
        <v>26</v>
      </c>
      <c r="H390" s="1">
        <v>14722</v>
      </c>
      <c r="I390" s="1" t="s">
        <v>33</v>
      </c>
      <c r="J390" s="1">
        <v>0.3</v>
      </c>
      <c r="K390" s="1">
        <v>14000</v>
      </c>
      <c r="L390" s="2">
        <v>45302</v>
      </c>
      <c r="M390" s="11">
        <f>IF(OR(I390="",ISNA(MATCH(I390,{"DISC10","DISC15","DISC20","DISC30"},0))),0,J390)</f>
        <v>0.3</v>
      </c>
    </row>
    <row r="391" spans="1:13" x14ac:dyDescent="0.35">
      <c r="A391" s="1" t="s">
        <v>603</v>
      </c>
      <c r="B391" s="1" t="s">
        <v>163</v>
      </c>
      <c r="C391" s="1" t="s">
        <v>14</v>
      </c>
      <c r="D391" s="1" t="s">
        <v>15</v>
      </c>
      <c r="E391" s="1" t="s">
        <v>16</v>
      </c>
      <c r="F391" s="1" t="s">
        <v>39</v>
      </c>
      <c r="G391" s="1" t="s">
        <v>26</v>
      </c>
      <c r="H391" s="1">
        <v>14649</v>
      </c>
      <c r="I391" s="1"/>
      <c r="J391" s="1"/>
      <c r="K391" s="1">
        <v>14000</v>
      </c>
      <c r="L391" s="2">
        <v>45340</v>
      </c>
      <c r="M391" s="11">
        <f>IF(OR(I391="",ISNA(MATCH(I391,{"DISC10","DISC15","DISC20","DISC30"},0))),0,J391)</f>
        <v>0</v>
      </c>
    </row>
    <row r="392" spans="1:13" x14ac:dyDescent="0.35">
      <c r="A392" s="1" t="s">
        <v>604</v>
      </c>
      <c r="B392" s="1" t="s">
        <v>478</v>
      </c>
      <c r="C392" s="1" t="s">
        <v>61</v>
      </c>
      <c r="D392" s="1" t="s">
        <v>62</v>
      </c>
      <c r="E392" s="1" t="s">
        <v>32</v>
      </c>
      <c r="F392" s="1" t="s">
        <v>25</v>
      </c>
      <c r="G392" s="1" t="s">
        <v>18</v>
      </c>
      <c r="H392" s="1">
        <v>8059</v>
      </c>
      <c r="I392" s="1" t="s">
        <v>19</v>
      </c>
      <c r="J392" s="1">
        <v>0.2</v>
      </c>
      <c r="K392" s="1">
        <v>9000</v>
      </c>
      <c r="L392" s="2">
        <v>45324</v>
      </c>
      <c r="M392" s="11">
        <f>IF(OR(I392="",ISNA(MATCH(I392,{"DISC10","DISC15","DISC20","DISC30"},0))),0,J392)</f>
        <v>0.2</v>
      </c>
    </row>
    <row r="393" spans="1:13" x14ac:dyDescent="0.35">
      <c r="A393" s="1" t="s">
        <v>605</v>
      </c>
      <c r="B393" s="1" t="s">
        <v>103</v>
      </c>
      <c r="C393" s="1" t="s">
        <v>44</v>
      </c>
      <c r="D393" s="1" t="s">
        <v>45</v>
      </c>
      <c r="E393" s="1" t="s">
        <v>46</v>
      </c>
      <c r="F393" s="1" t="s">
        <v>17</v>
      </c>
      <c r="G393" s="1" t="s">
        <v>36</v>
      </c>
      <c r="H393" s="1">
        <v>12896</v>
      </c>
      <c r="I393" s="1" t="s">
        <v>27</v>
      </c>
      <c r="J393" s="1"/>
      <c r="K393" s="1">
        <v>13000</v>
      </c>
      <c r="L393" s="2">
        <v>45336</v>
      </c>
      <c r="M393" s="11">
        <f>IF(OR(I393="",ISNA(MATCH(I393,{"DISC10","DISC15","DISC20","DISC30"},0))),0,J393)</f>
        <v>0</v>
      </c>
    </row>
    <row r="394" spans="1:13" x14ac:dyDescent="0.35">
      <c r="A394" s="1" t="s">
        <v>606</v>
      </c>
      <c r="B394" s="1" t="s">
        <v>80</v>
      </c>
      <c r="C394" s="1" t="s">
        <v>30</v>
      </c>
      <c r="D394" s="1" t="s">
        <v>31</v>
      </c>
      <c r="E394" s="1" t="s">
        <v>32</v>
      </c>
      <c r="F394" s="1" t="s">
        <v>17</v>
      </c>
      <c r="G394" s="1" t="s">
        <v>18</v>
      </c>
      <c r="H394" s="1">
        <v>16210</v>
      </c>
      <c r="I394" s="1"/>
      <c r="J394" s="1"/>
      <c r="K394" s="1">
        <v>17000</v>
      </c>
      <c r="L394" s="2">
        <v>45350</v>
      </c>
      <c r="M394" s="11">
        <f>IF(OR(I394="",ISNA(MATCH(I394,{"DISC10","DISC15","DISC20","DISC30"},0))),0,J394)</f>
        <v>0</v>
      </c>
    </row>
    <row r="395" spans="1:13" x14ac:dyDescent="0.35">
      <c r="A395" s="1" t="s">
        <v>607</v>
      </c>
      <c r="B395" s="1" t="s">
        <v>78</v>
      </c>
      <c r="C395" s="1" t="s">
        <v>44</v>
      </c>
      <c r="D395" s="1" t="s">
        <v>45</v>
      </c>
      <c r="E395" s="1" t="s">
        <v>46</v>
      </c>
      <c r="F395" s="1" t="s">
        <v>17</v>
      </c>
      <c r="G395" s="1" t="s">
        <v>36</v>
      </c>
      <c r="H395" s="1">
        <v>12865</v>
      </c>
      <c r="I395" s="1" t="s">
        <v>19</v>
      </c>
      <c r="J395" s="1">
        <v>0.2</v>
      </c>
      <c r="K395" s="1">
        <v>13000</v>
      </c>
      <c r="L395" s="2">
        <v>45325</v>
      </c>
      <c r="M395" s="11">
        <f>IF(OR(I395="",ISNA(MATCH(I395,{"DISC10","DISC15","DISC20","DISC30"},0))),0,J395)</f>
        <v>0.2</v>
      </c>
    </row>
    <row r="396" spans="1:13" x14ac:dyDescent="0.35">
      <c r="A396" s="1" t="s">
        <v>608</v>
      </c>
      <c r="B396" s="1" t="s">
        <v>188</v>
      </c>
      <c r="C396" s="1" t="s">
        <v>61</v>
      </c>
      <c r="D396" s="1" t="s">
        <v>62</v>
      </c>
      <c r="E396" s="1" t="s">
        <v>32</v>
      </c>
      <c r="F396" s="1" t="s">
        <v>17</v>
      </c>
      <c r="G396" s="1" t="s">
        <v>26</v>
      </c>
      <c r="H396" s="1">
        <v>9853</v>
      </c>
      <c r="I396" s="1"/>
      <c r="J396" s="1"/>
      <c r="K396" s="1">
        <v>9000</v>
      </c>
      <c r="L396" s="2">
        <v>45312</v>
      </c>
      <c r="M396" s="11">
        <f>IF(OR(I396="",ISNA(MATCH(I396,{"DISC10","DISC15","DISC20","DISC30"},0))),0,J396)</f>
        <v>0</v>
      </c>
    </row>
    <row r="397" spans="1:13" x14ac:dyDescent="0.35">
      <c r="A397" s="1" t="s">
        <v>609</v>
      </c>
      <c r="B397" s="1" t="s">
        <v>263</v>
      </c>
      <c r="C397" s="1" t="s">
        <v>14</v>
      </c>
      <c r="D397" s="1" t="s">
        <v>15</v>
      </c>
      <c r="E397" s="1" t="s">
        <v>16</v>
      </c>
      <c r="F397" s="1" t="s">
        <v>25</v>
      </c>
      <c r="G397" s="1" t="s">
        <v>18</v>
      </c>
      <c r="H397" s="1">
        <v>15478</v>
      </c>
      <c r="I397" s="1" t="s">
        <v>33</v>
      </c>
      <c r="J397" s="1">
        <v>0.3</v>
      </c>
      <c r="K397" s="1">
        <v>14000</v>
      </c>
      <c r="L397" s="2">
        <v>45333</v>
      </c>
      <c r="M397" s="11">
        <f>IF(OR(I397="",ISNA(MATCH(I397,{"DISC10","DISC15","DISC20","DISC30"},0))),0,J397)</f>
        <v>0.3</v>
      </c>
    </row>
    <row r="398" spans="1:13" x14ac:dyDescent="0.35">
      <c r="A398" s="1" t="s">
        <v>610</v>
      </c>
      <c r="B398" s="1" t="s">
        <v>21</v>
      </c>
      <c r="C398" s="1" t="s">
        <v>44</v>
      </c>
      <c r="D398" s="1" t="s">
        <v>45</v>
      </c>
      <c r="E398" s="1" t="s">
        <v>16</v>
      </c>
      <c r="F398" s="1" t="s">
        <v>25</v>
      </c>
      <c r="G398" s="1" t="s">
        <v>26</v>
      </c>
      <c r="H398" s="1">
        <v>11714</v>
      </c>
      <c r="I398" s="1" t="s">
        <v>27</v>
      </c>
      <c r="J398" s="1"/>
      <c r="K398" s="1">
        <v>13000</v>
      </c>
      <c r="L398" s="2">
        <v>45302</v>
      </c>
      <c r="M398" s="11">
        <f>IF(OR(I398="",ISNA(MATCH(I398,{"DISC10","DISC15","DISC20","DISC30"},0))),0,J398)</f>
        <v>0</v>
      </c>
    </row>
    <row r="399" spans="1:13" x14ac:dyDescent="0.35">
      <c r="A399" s="1" t="s">
        <v>611</v>
      </c>
      <c r="B399" s="1" t="s">
        <v>301</v>
      </c>
      <c r="C399" s="1" t="s">
        <v>61</v>
      </c>
      <c r="D399" s="1" t="s">
        <v>62</v>
      </c>
      <c r="E399" s="1" t="s">
        <v>46</v>
      </c>
      <c r="F399" s="1" t="s">
        <v>25</v>
      </c>
      <c r="G399" s="1" t="s">
        <v>36</v>
      </c>
      <c r="H399" s="1">
        <v>9579</v>
      </c>
      <c r="I399" s="1" t="s">
        <v>19</v>
      </c>
      <c r="J399" s="1">
        <v>0.2</v>
      </c>
      <c r="K399" s="1">
        <v>9000</v>
      </c>
      <c r="L399" s="2">
        <v>45303</v>
      </c>
      <c r="M399" s="11">
        <f>IF(OR(I399="",ISNA(MATCH(I399,{"DISC10","DISC15","DISC20","DISC30"},0))),0,J399)</f>
        <v>0.2</v>
      </c>
    </row>
    <row r="400" spans="1:13" x14ac:dyDescent="0.35">
      <c r="A400" s="1" t="s">
        <v>612</v>
      </c>
      <c r="B400" s="1" t="s">
        <v>92</v>
      </c>
      <c r="C400" s="1" t="s">
        <v>61</v>
      </c>
      <c r="D400" s="1" t="s">
        <v>62</v>
      </c>
      <c r="E400" s="1" t="s">
        <v>46</v>
      </c>
      <c r="F400" s="1" t="s">
        <v>25</v>
      </c>
      <c r="G400" s="1" t="s">
        <v>26</v>
      </c>
      <c r="H400" s="1">
        <v>9515</v>
      </c>
      <c r="I400" s="1" t="s">
        <v>19</v>
      </c>
      <c r="J400" s="1">
        <v>0.2</v>
      </c>
      <c r="K400" s="1">
        <v>9000</v>
      </c>
      <c r="L400" s="2">
        <v>45320</v>
      </c>
      <c r="M400" s="11">
        <f>IF(OR(I400="",ISNA(MATCH(I400,{"DISC10","DISC15","DISC20","DISC30"},0))),0,J400)</f>
        <v>0.2</v>
      </c>
    </row>
    <row r="401" spans="1:13" x14ac:dyDescent="0.35">
      <c r="A401" s="1" t="s">
        <v>613</v>
      </c>
      <c r="B401" s="1" t="s">
        <v>337</v>
      </c>
      <c r="C401" s="1" t="s">
        <v>61</v>
      </c>
      <c r="D401" s="1" t="s">
        <v>62</v>
      </c>
      <c r="E401" s="1" t="s">
        <v>32</v>
      </c>
      <c r="F401" s="1" t="s">
        <v>39</v>
      </c>
      <c r="G401" s="1" t="s">
        <v>18</v>
      </c>
      <c r="H401" s="1">
        <v>7842</v>
      </c>
      <c r="I401" s="1" t="s">
        <v>33</v>
      </c>
      <c r="J401" s="1">
        <v>0.3</v>
      </c>
      <c r="K401" s="1">
        <v>9000</v>
      </c>
      <c r="L401" s="2">
        <v>45340</v>
      </c>
      <c r="M401" s="11">
        <f>IF(OR(I401="",ISNA(MATCH(I401,{"DISC10","DISC15","DISC20","DISC30"},0))),0,J401)</f>
        <v>0.3</v>
      </c>
    </row>
    <row r="402" spans="1:13" x14ac:dyDescent="0.35">
      <c r="A402" s="1" t="s">
        <v>614</v>
      </c>
      <c r="B402" s="1" t="s">
        <v>276</v>
      </c>
      <c r="C402" s="1" t="s">
        <v>14</v>
      </c>
      <c r="D402" s="1" t="s">
        <v>15</v>
      </c>
      <c r="E402" s="1" t="s">
        <v>16</v>
      </c>
      <c r="F402" s="1" t="s">
        <v>25</v>
      </c>
      <c r="G402" s="1" t="s">
        <v>26</v>
      </c>
      <c r="H402" s="1">
        <v>12765</v>
      </c>
      <c r="I402" s="1" t="s">
        <v>33</v>
      </c>
      <c r="J402" s="1">
        <v>0.3</v>
      </c>
      <c r="K402" s="1">
        <v>14000</v>
      </c>
      <c r="L402" s="2">
        <v>45312</v>
      </c>
      <c r="M402" s="11">
        <f>IF(OR(I402="",ISNA(MATCH(I402,{"DISC10","DISC15","DISC20","DISC30"},0))),0,J402)</f>
        <v>0.3</v>
      </c>
    </row>
    <row r="403" spans="1:13" x14ac:dyDescent="0.35">
      <c r="A403" s="1" t="s">
        <v>615</v>
      </c>
      <c r="B403" s="1" t="s">
        <v>29</v>
      </c>
      <c r="C403" s="1" t="s">
        <v>14</v>
      </c>
      <c r="D403" s="1" t="s">
        <v>15</v>
      </c>
      <c r="E403" s="1" t="s">
        <v>46</v>
      </c>
      <c r="F403" s="1" t="s">
        <v>39</v>
      </c>
      <c r="G403" s="1" t="s">
        <v>36</v>
      </c>
      <c r="H403" s="1">
        <v>14161</v>
      </c>
      <c r="I403" s="1" t="s">
        <v>33</v>
      </c>
      <c r="J403" s="1">
        <v>0.3</v>
      </c>
      <c r="K403" s="1">
        <v>14000</v>
      </c>
      <c r="L403" s="2">
        <v>45330</v>
      </c>
      <c r="M403" s="11">
        <f>IF(OR(I403="",ISNA(MATCH(I403,{"DISC10","DISC15","DISC20","DISC30"},0))),0,J403)</f>
        <v>0.3</v>
      </c>
    </row>
    <row r="404" spans="1:13" x14ac:dyDescent="0.35">
      <c r="A404" s="1" t="s">
        <v>616</v>
      </c>
      <c r="B404" s="1" t="s">
        <v>617</v>
      </c>
      <c r="C404" s="1" t="s">
        <v>61</v>
      </c>
      <c r="D404" s="1" t="s">
        <v>62</v>
      </c>
      <c r="E404" s="1" t="s">
        <v>16</v>
      </c>
      <c r="F404" s="1" t="s">
        <v>25</v>
      </c>
      <c r="G404" s="1" t="s">
        <v>36</v>
      </c>
      <c r="H404" s="1">
        <v>8441</v>
      </c>
      <c r="I404" s="1"/>
      <c r="J404" s="1"/>
      <c r="K404" s="1">
        <v>9000</v>
      </c>
      <c r="L404" s="2">
        <v>45331</v>
      </c>
      <c r="M404" s="11">
        <f>IF(OR(I404="",ISNA(MATCH(I404,{"DISC10","DISC15","DISC20","DISC30"},0))),0,J404)</f>
        <v>0</v>
      </c>
    </row>
    <row r="405" spans="1:13" x14ac:dyDescent="0.35">
      <c r="A405" s="1" t="s">
        <v>618</v>
      </c>
      <c r="B405" s="1" t="s">
        <v>619</v>
      </c>
      <c r="C405" s="1" t="s">
        <v>30</v>
      </c>
      <c r="D405" s="1" t="s">
        <v>31</v>
      </c>
      <c r="E405" s="1" t="s">
        <v>16</v>
      </c>
      <c r="F405" s="1" t="s">
        <v>39</v>
      </c>
      <c r="G405" s="1" t="s">
        <v>18</v>
      </c>
      <c r="H405" s="1">
        <v>17752</v>
      </c>
      <c r="I405" s="1" t="s">
        <v>19</v>
      </c>
      <c r="J405" s="1">
        <v>0.2</v>
      </c>
      <c r="K405" s="1">
        <v>17000</v>
      </c>
      <c r="L405" s="2">
        <v>45312</v>
      </c>
      <c r="M405" s="11">
        <f>IF(OR(I405="",ISNA(MATCH(I405,{"DISC10","DISC15","DISC20","DISC30"},0))),0,J405)</f>
        <v>0.2</v>
      </c>
    </row>
    <row r="406" spans="1:13" x14ac:dyDescent="0.35">
      <c r="A406" s="1" t="s">
        <v>620</v>
      </c>
      <c r="B406" s="1" t="s">
        <v>248</v>
      </c>
      <c r="C406" s="1" t="s">
        <v>30</v>
      </c>
      <c r="D406" s="1" t="s">
        <v>31</v>
      </c>
      <c r="E406" s="1" t="s">
        <v>32</v>
      </c>
      <c r="F406" s="1" t="s">
        <v>25</v>
      </c>
      <c r="G406" s="1" t="s">
        <v>36</v>
      </c>
      <c r="H406" s="1">
        <v>17840</v>
      </c>
      <c r="I406" s="1" t="s">
        <v>19</v>
      </c>
      <c r="J406" s="1">
        <v>0.2</v>
      </c>
      <c r="K406" s="1">
        <v>17000</v>
      </c>
      <c r="L406" s="2">
        <v>45324</v>
      </c>
      <c r="M406" s="11">
        <f>IF(OR(I406="",ISNA(MATCH(I406,{"DISC10","DISC15","DISC20","DISC30"},0))),0,J406)</f>
        <v>0.2</v>
      </c>
    </row>
    <row r="407" spans="1:13" x14ac:dyDescent="0.35">
      <c r="A407" s="1" t="s">
        <v>621</v>
      </c>
      <c r="B407" s="1" t="s">
        <v>177</v>
      </c>
      <c r="C407" s="1" t="s">
        <v>44</v>
      </c>
      <c r="D407" s="1" t="s">
        <v>45</v>
      </c>
      <c r="E407" s="1" t="s">
        <v>16</v>
      </c>
      <c r="F407" s="1" t="s">
        <v>17</v>
      </c>
      <c r="G407" s="1" t="s">
        <v>36</v>
      </c>
      <c r="H407" s="1">
        <v>11760</v>
      </c>
      <c r="I407" s="1"/>
      <c r="J407" s="1"/>
      <c r="K407" s="1">
        <v>13000</v>
      </c>
      <c r="L407" s="2">
        <v>45332</v>
      </c>
      <c r="M407" s="11">
        <f>IF(OR(I407="",ISNA(MATCH(I407,{"DISC10","DISC15","DISC20","DISC30"},0))),0,J407)</f>
        <v>0</v>
      </c>
    </row>
    <row r="408" spans="1:13" x14ac:dyDescent="0.35">
      <c r="A408" s="1" t="s">
        <v>622</v>
      </c>
      <c r="B408" s="1" t="s">
        <v>548</v>
      </c>
      <c r="C408" s="1" t="s">
        <v>44</v>
      </c>
      <c r="D408" s="1" t="s">
        <v>45</v>
      </c>
      <c r="E408" s="1" t="s">
        <v>16</v>
      </c>
      <c r="F408" s="1" t="s">
        <v>25</v>
      </c>
      <c r="G408" s="1" t="s">
        <v>36</v>
      </c>
      <c r="H408" s="1">
        <v>12183</v>
      </c>
      <c r="I408" s="1" t="s">
        <v>19</v>
      </c>
      <c r="J408" s="1">
        <v>0.2</v>
      </c>
      <c r="K408" s="1">
        <v>13000</v>
      </c>
      <c r="L408" s="2">
        <v>45303</v>
      </c>
      <c r="M408" s="11">
        <f>IF(OR(I408="",ISNA(MATCH(I408,{"DISC10","DISC15","DISC20","DISC30"},0))),0,J408)</f>
        <v>0.2</v>
      </c>
    </row>
    <row r="409" spans="1:13" x14ac:dyDescent="0.35">
      <c r="A409" s="1" t="s">
        <v>623</v>
      </c>
      <c r="B409" s="1" t="s">
        <v>624</v>
      </c>
      <c r="C409" s="1" t="s">
        <v>61</v>
      </c>
      <c r="D409" s="1" t="s">
        <v>62</v>
      </c>
      <c r="E409" s="1" t="s">
        <v>16</v>
      </c>
      <c r="F409" s="1" t="s">
        <v>25</v>
      </c>
      <c r="G409" s="1" t="s">
        <v>36</v>
      </c>
      <c r="H409" s="1">
        <v>10898</v>
      </c>
      <c r="I409" s="1" t="s">
        <v>22</v>
      </c>
      <c r="J409" s="1">
        <v>0.1</v>
      </c>
      <c r="K409" s="1">
        <v>9000</v>
      </c>
      <c r="L409" s="2">
        <v>45323</v>
      </c>
      <c r="M409" s="11">
        <f>IF(OR(I409="",ISNA(MATCH(I409,{"DISC10","DISC15","DISC20","DISC30"},0))),0,J409)</f>
        <v>0.1</v>
      </c>
    </row>
    <row r="410" spans="1:13" x14ac:dyDescent="0.35">
      <c r="A410" s="1" t="s">
        <v>625</v>
      </c>
      <c r="B410" s="1" t="s">
        <v>35</v>
      </c>
      <c r="C410" s="1" t="s">
        <v>61</v>
      </c>
      <c r="D410" s="1" t="s">
        <v>62</v>
      </c>
      <c r="E410" s="1" t="s">
        <v>16</v>
      </c>
      <c r="F410" s="1" t="s">
        <v>39</v>
      </c>
      <c r="G410" s="1" t="s">
        <v>26</v>
      </c>
      <c r="H410" s="1">
        <v>9027</v>
      </c>
      <c r="I410" s="1"/>
      <c r="J410" s="1"/>
      <c r="K410" s="1">
        <v>9000</v>
      </c>
      <c r="L410" s="2">
        <v>45335</v>
      </c>
      <c r="M410" s="11">
        <f>IF(OR(I410="",ISNA(MATCH(I410,{"DISC10","DISC15","DISC20","DISC30"},0))),0,J410)</f>
        <v>0</v>
      </c>
    </row>
    <row r="411" spans="1:13" x14ac:dyDescent="0.35">
      <c r="A411" s="1" t="s">
        <v>626</v>
      </c>
      <c r="B411" s="1" t="s">
        <v>52</v>
      </c>
      <c r="C411" s="1" t="s">
        <v>61</v>
      </c>
      <c r="D411" s="1" t="s">
        <v>62</v>
      </c>
      <c r="E411" s="1" t="s">
        <v>46</v>
      </c>
      <c r="F411" s="1" t="s">
        <v>25</v>
      </c>
      <c r="G411" s="1" t="s">
        <v>18</v>
      </c>
      <c r="H411" s="1">
        <v>9315</v>
      </c>
      <c r="I411" s="1" t="s">
        <v>22</v>
      </c>
      <c r="J411" s="1">
        <v>0.1</v>
      </c>
      <c r="K411" s="1">
        <v>9000</v>
      </c>
      <c r="L411" s="2">
        <v>45342</v>
      </c>
      <c r="M411" s="11">
        <f>IF(OR(I411="",ISNA(MATCH(I411,{"DISC10","DISC15","DISC20","DISC30"},0))),0,J411)</f>
        <v>0.1</v>
      </c>
    </row>
    <row r="412" spans="1:13" x14ac:dyDescent="0.35">
      <c r="A412" s="1" t="s">
        <v>627</v>
      </c>
      <c r="B412" s="1" t="s">
        <v>294</v>
      </c>
      <c r="C412" s="1" t="s">
        <v>30</v>
      </c>
      <c r="D412" s="1" t="s">
        <v>31</v>
      </c>
      <c r="E412" s="1" t="s">
        <v>32</v>
      </c>
      <c r="F412" s="1" t="s">
        <v>17</v>
      </c>
      <c r="G412" s="1" t="s">
        <v>18</v>
      </c>
      <c r="H412" s="1">
        <v>17202</v>
      </c>
      <c r="I412" s="1" t="s">
        <v>33</v>
      </c>
      <c r="J412" s="1">
        <v>0.3</v>
      </c>
      <c r="K412" s="1">
        <v>17000</v>
      </c>
      <c r="L412" s="2">
        <v>45302</v>
      </c>
      <c r="M412" s="11">
        <f>IF(OR(I412="",ISNA(MATCH(I412,{"DISC10","DISC15","DISC20","DISC30"},0))),0,J412)</f>
        <v>0.3</v>
      </c>
    </row>
    <row r="413" spans="1:13" x14ac:dyDescent="0.35">
      <c r="A413" s="1" t="s">
        <v>628</v>
      </c>
      <c r="B413" s="1" t="s">
        <v>298</v>
      </c>
      <c r="C413" s="1" t="s">
        <v>61</v>
      </c>
      <c r="D413" s="1" t="s">
        <v>62</v>
      </c>
      <c r="E413" s="1" t="s">
        <v>16</v>
      </c>
      <c r="F413" s="1" t="s">
        <v>39</v>
      </c>
      <c r="G413" s="1" t="s">
        <v>18</v>
      </c>
      <c r="H413" s="1">
        <v>9345</v>
      </c>
      <c r="I413" s="1" t="s">
        <v>22</v>
      </c>
      <c r="J413" s="1">
        <v>0.1</v>
      </c>
      <c r="K413" s="1">
        <v>9000</v>
      </c>
      <c r="L413" s="2">
        <v>45309</v>
      </c>
      <c r="M413" s="11">
        <f>IF(OR(I413="",ISNA(MATCH(I413,{"DISC10","DISC15","DISC20","DISC30"},0))),0,J413)</f>
        <v>0.1</v>
      </c>
    </row>
    <row r="414" spans="1:13" x14ac:dyDescent="0.35">
      <c r="A414" s="1" t="s">
        <v>629</v>
      </c>
      <c r="B414" s="1" t="s">
        <v>133</v>
      </c>
      <c r="C414" s="1" t="s">
        <v>30</v>
      </c>
      <c r="D414" s="1" t="s">
        <v>31</v>
      </c>
      <c r="E414" s="1" t="s">
        <v>16</v>
      </c>
      <c r="F414" s="1" t="s">
        <v>25</v>
      </c>
      <c r="G414" s="1" t="s">
        <v>26</v>
      </c>
      <c r="H414" s="1">
        <v>16807</v>
      </c>
      <c r="I414" s="1" t="s">
        <v>27</v>
      </c>
      <c r="J414" s="1"/>
      <c r="K414" s="1">
        <v>17000</v>
      </c>
      <c r="L414" s="2">
        <v>45305</v>
      </c>
      <c r="M414" s="11">
        <f>IF(OR(I414="",ISNA(MATCH(I414,{"DISC10","DISC15","DISC20","DISC30"},0))),0,J414)</f>
        <v>0</v>
      </c>
    </row>
    <row r="415" spans="1:13" x14ac:dyDescent="0.35">
      <c r="A415" s="1" t="s">
        <v>630</v>
      </c>
      <c r="B415" s="1" t="s">
        <v>41</v>
      </c>
      <c r="C415" s="1" t="s">
        <v>44</v>
      </c>
      <c r="D415" s="1" t="s">
        <v>45</v>
      </c>
      <c r="E415" s="1" t="s">
        <v>46</v>
      </c>
      <c r="F415" s="1" t="s">
        <v>25</v>
      </c>
      <c r="G415" s="1" t="s">
        <v>36</v>
      </c>
      <c r="H415" s="1">
        <v>12076</v>
      </c>
      <c r="I415" s="1" t="s">
        <v>33</v>
      </c>
      <c r="J415" s="1">
        <v>0.3</v>
      </c>
      <c r="K415" s="1">
        <v>13000</v>
      </c>
      <c r="L415" s="2">
        <v>45347</v>
      </c>
      <c r="M415" s="11">
        <f>IF(OR(I415="",ISNA(MATCH(I415,{"DISC10","DISC15","DISC20","DISC30"},0))),0,J415)</f>
        <v>0.3</v>
      </c>
    </row>
    <row r="416" spans="1:13" x14ac:dyDescent="0.35">
      <c r="A416" s="1" t="s">
        <v>631</v>
      </c>
      <c r="B416" s="1" t="s">
        <v>96</v>
      </c>
      <c r="C416" s="1" t="s">
        <v>61</v>
      </c>
      <c r="D416" s="1" t="s">
        <v>62</v>
      </c>
      <c r="E416" s="1" t="s">
        <v>32</v>
      </c>
      <c r="F416" s="1" t="s">
        <v>25</v>
      </c>
      <c r="G416" s="1" t="s">
        <v>18</v>
      </c>
      <c r="H416" s="1">
        <v>10320</v>
      </c>
      <c r="I416" s="1" t="s">
        <v>27</v>
      </c>
      <c r="J416" s="1"/>
      <c r="K416" s="1">
        <v>9000</v>
      </c>
      <c r="L416" s="2">
        <v>45336</v>
      </c>
      <c r="M416" s="11">
        <f>IF(OR(I416="",ISNA(MATCH(I416,{"DISC10","DISC15","DISC20","DISC30"},0))),0,J416)</f>
        <v>0</v>
      </c>
    </row>
    <row r="417" spans="1:13" x14ac:dyDescent="0.35">
      <c r="A417" s="1" t="s">
        <v>632</v>
      </c>
      <c r="B417" s="1" t="s">
        <v>624</v>
      </c>
      <c r="C417" s="1" t="s">
        <v>61</v>
      </c>
      <c r="D417" s="1" t="s">
        <v>62</v>
      </c>
      <c r="E417" s="1" t="s">
        <v>32</v>
      </c>
      <c r="F417" s="1" t="s">
        <v>39</v>
      </c>
      <c r="G417" s="1" t="s">
        <v>18</v>
      </c>
      <c r="H417" s="1">
        <v>10214</v>
      </c>
      <c r="I417" s="1" t="s">
        <v>19</v>
      </c>
      <c r="J417" s="1">
        <v>0.2</v>
      </c>
      <c r="K417" s="1">
        <v>9000</v>
      </c>
      <c r="L417" s="2">
        <v>45344</v>
      </c>
      <c r="M417" s="11">
        <f>IF(OR(I417="",ISNA(MATCH(I417,{"DISC10","DISC15","DISC20","DISC30"},0))),0,J417)</f>
        <v>0.2</v>
      </c>
    </row>
    <row r="418" spans="1:13" x14ac:dyDescent="0.35">
      <c r="A418" s="1" t="s">
        <v>633</v>
      </c>
      <c r="B418" s="1" t="s">
        <v>401</v>
      </c>
      <c r="C418" s="1" t="s">
        <v>14</v>
      </c>
      <c r="D418" s="1" t="s">
        <v>15</v>
      </c>
      <c r="E418" s="1" t="s">
        <v>16</v>
      </c>
      <c r="F418" s="1" t="s">
        <v>17</v>
      </c>
      <c r="G418" s="1" t="s">
        <v>26</v>
      </c>
      <c r="H418" s="1">
        <v>13151</v>
      </c>
      <c r="I418" s="1" t="s">
        <v>27</v>
      </c>
      <c r="J418" s="1"/>
      <c r="K418" s="1">
        <v>14000</v>
      </c>
      <c r="L418" s="2">
        <v>45326</v>
      </c>
      <c r="M418" s="11">
        <f>IF(OR(I418="",ISNA(MATCH(I418,{"DISC10","DISC15","DISC20","DISC30"},0))),0,J418)</f>
        <v>0</v>
      </c>
    </row>
    <row r="419" spans="1:13" x14ac:dyDescent="0.35">
      <c r="A419" s="1" t="s">
        <v>634</v>
      </c>
      <c r="B419" s="1" t="s">
        <v>74</v>
      </c>
      <c r="C419" s="1" t="s">
        <v>30</v>
      </c>
      <c r="D419" s="1" t="s">
        <v>31</v>
      </c>
      <c r="E419" s="1" t="s">
        <v>46</v>
      </c>
      <c r="F419" s="1" t="s">
        <v>39</v>
      </c>
      <c r="G419" s="1" t="s">
        <v>36</v>
      </c>
      <c r="H419" s="1">
        <v>18901</v>
      </c>
      <c r="I419" s="1" t="s">
        <v>27</v>
      </c>
      <c r="J419" s="1"/>
      <c r="K419" s="1">
        <v>17000</v>
      </c>
      <c r="L419" s="2">
        <v>45349</v>
      </c>
      <c r="M419" s="11">
        <f>IF(OR(I419="",ISNA(MATCH(I419,{"DISC10","DISC15","DISC20","DISC30"},0))),0,J419)</f>
        <v>0</v>
      </c>
    </row>
    <row r="420" spans="1:13" x14ac:dyDescent="0.35">
      <c r="A420" s="1" t="s">
        <v>635</v>
      </c>
      <c r="B420" s="1" t="s">
        <v>204</v>
      </c>
      <c r="C420" s="1" t="s">
        <v>14</v>
      </c>
      <c r="D420" s="1" t="s">
        <v>15</v>
      </c>
      <c r="E420" s="1" t="s">
        <v>32</v>
      </c>
      <c r="F420" s="1" t="s">
        <v>17</v>
      </c>
      <c r="G420" s="1" t="s">
        <v>18</v>
      </c>
      <c r="H420" s="1">
        <v>13135</v>
      </c>
      <c r="I420" s="1" t="s">
        <v>19</v>
      </c>
      <c r="J420" s="1">
        <v>0.2</v>
      </c>
      <c r="K420" s="1">
        <v>14000</v>
      </c>
      <c r="L420" s="2">
        <v>45336</v>
      </c>
      <c r="M420" s="11">
        <f>IF(OR(I420="",ISNA(MATCH(I420,{"DISC10","DISC15","DISC20","DISC30"},0))),0,J420)</f>
        <v>0.2</v>
      </c>
    </row>
    <row r="421" spans="1:13" x14ac:dyDescent="0.35">
      <c r="A421" s="1" t="s">
        <v>636</v>
      </c>
      <c r="B421" s="1" t="s">
        <v>412</v>
      </c>
      <c r="C421" s="1" t="s">
        <v>44</v>
      </c>
      <c r="D421" s="1" t="s">
        <v>45</v>
      </c>
      <c r="E421" s="1" t="s">
        <v>32</v>
      </c>
      <c r="F421" s="1" t="s">
        <v>39</v>
      </c>
      <c r="G421" s="1" t="s">
        <v>36</v>
      </c>
      <c r="H421" s="1">
        <v>14393</v>
      </c>
      <c r="I421" s="1" t="s">
        <v>19</v>
      </c>
      <c r="J421" s="1">
        <v>0.2</v>
      </c>
      <c r="K421" s="1">
        <v>13000</v>
      </c>
      <c r="L421" s="2">
        <v>45340</v>
      </c>
      <c r="M421" s="11">
        <f>IF(OR(I421="",ISNA(MATCH(I421,{"DISC10","DISC15","DISC20","DISC30"},0))),0,J421)</f>
        <v>0.2</v>
      </c>
    </row>
    <row r="422" spans="1:13" x14ac:dyDescent="0.35">
      <c r="A422" s="1" t="s">
        <v>637</v>
      </c>
      <c r="B422" s="1" t="s">
        <v>198</v>
      </c>
      <c r="C422" s="1" t="s">
        <v>61</v>
      </c>
      <c r="D422" s="1" t="s">
        <v>62</v>
      </c>
      <c r="E422" s="1" t="s">
        <v>46</v>
      </c>
      <c r="F422" s="1" t="s">
        <v>25</v>
      </c>
      <c r="G422" s="1" t="s">
        <v>26</v>
      </c>
      <c r="H422" s="1">
        <v>9590</v>
      </c>
      <c r="I422" s="1" t="s">
        <v>33</v>
      </c>
      <c r="J422" s="1">
        <v>0.3</v>
      </c>
      <c r="K422" s="1">
        <v>9000</v>
      </c>
      <c r="L422" s="2">
        <v>45332</v>
      </c>
      <c r="M422" s="11">
        <f>IF(OR(I422="",ISNA(MATCH(I422,{"DISC10","DISC15","DISC20","DISC30"},0))),0,J422)</f>
        <v>0.3</v>
      </c>
    </row>
    <row r="423" spans="1:13" x14ac:dyDescent="0.35">
      <c r="A423" s="1" t="s">
        <v>638</v>
      </c>
      <c r="B423" s="1" t="s">
        <v>177</v>
      </c>
      <c r="C423" s="1" t="s">
        <v>61</v>
      </c>
      <c r="D423" s="1" t="s">
        <v>62</v>
      </c>
      <c r="E423" s="1" t="s">
        <v>32</v>
      </c>
      <c r="F423" s="1" t="s">
        <v>39</v>
      </c>
      <c r="G423" s="1" t="s">
        <v>18</v>
      </c>
      <c r="H423" s="1">
        <v>8650</v>
      </c>
      <c r="I423" s="1" t="s">
        <v>27</v>
      </c>
      <c r="J423" s="1"/>
      <c r="K423" s="1">
        <v>9000</v>
      </c>
      <c r="L423" s="2">
        <v>45339</v>
      </c>
      <c r="M423" s="11">
        <f>IF(OR(I423="",ISNA(MATCH(I423,{"DISC10","DISC15","DISC20","DISC30"},0))),0,J423)</f>
        <v>0</v>
      </c>
    </row>
    <row r="424" spans="1:13" x14ac:dyDescent="0.35">
      <c r="A424" s="1" t="s">
        <v>639</v>
      </c>
      <c r="B424" s="1" t="s">
        <v>350</v>
      </c>
      <c r="C424" s="1" t="s">
        <v>30</v>
      </c>
      <c r="D424" s="1" t="s">
        <v>31</v>
      </c>
      <c r="E424" s="1" t="s">
        <v>46</v>
      </c>
      <c r="F424" s="1" t="s">
        <v>17</v>
      </c>
      <c r="G424" s="1" t="s">
        <v>36</v>
      </c>
      <c r="H424" s="1">
        <v>17383</v>
      </c>
      <c r="I424" s="1" t="s">
        <v>22</v>
      </c>
      <c r="J424" s="1">
        <v>0.1</v>
      </c>
      <c r="K424" s="1">
        <v>17000</v>
      </c>
      <c r="L424" s="2">
        <v>45347</v>
      </c>
      <c r="M424" s="11">
        <f>IF(OR(I424="",ISNA(MATCH(I424,{"DISC10","DISC15","DISC20","DISC30"},0))),0,J424)</f>
        <v>0.1</v>
      </c>
    </row>
    <row r="425" spans="1:13" x14ac:dyDescent="0.35">
      <c r="A425" s="1" t="s">
        <v>640</v>
      </c>
      <c r="B425" s="1" t="s">
        <v>140</v>
      </c>
      <c r="C425" s="1" t="s">
        <v>14</v>
      </c>
      <c r="D425" s="1" t="s">
        <v>15</v>
      </c>
      <c r="E425" s="1" t="s">
        <v>16</v>
      </c>
      <c r="F425" s="1" t="s">
        <v>17</v>
      </c>
      <c r="G425" s="1" t="s">
        <v>26</v>
      </c>
      <c r="H425" s="1">
        <v>14720</v>
      </c>
      <c r="I425" s="1" t="s">
        <v>33</v>
      </c>
      <c r="J425" s="1">
        <v>0.3</v>
      </c>
      <c r="K425" s="1">
        <v>14000</v>
      </c>
      <c r="L425" s="2">
        <v>45346</v>
      </c>
      <c r="M425" s="11">
        <f>IF(OR(I425="",ISNA(MATCH(I425,{"DISC10","DISC15","DISC20","DISC30"},0))),0,J425)</f>
        <v>0.3</v>
      </c>
    </row>
    <row r="426" spans="1:13" x14ac:dyDescent="0.35">
      <c r="A426" s="1" t="s">
        <v>641</v>
      </c>
      <c r="B426" s="1" t="s">
        <v>200</v>
      </c>
      <c r="C426" s="1" t="s">
        <v>61</v>
      </c>
      <c r="D426" s="1" t="s">
        <v>62</v>
      </c>
      <c r="E426" s="1" t="s">
        <v>32</v>
      </c>
      <c r="F426" s="1" t="s">
        <v>17</v>
      </c>
      <c r="G426" s="1" t="s">
        <v>18</v>
      </c>
      <c r="H426" s="1">
        <v>9026</v>
      </c>
      <c r="I426" s="1" t="s">
        <v>33</v>
      </c>
      <c r="J426" s="1">
        <v>0.3</v>
      </c>
      <c r="K426" s="1">
        <v>9000</v>
      </c>
      <c r="L426" s="2">
        <v>45312</v>
      </c>
      <c r="M426" s="11">
        <f>IF(OR(I426="",ISNA(MATCH(I426,{"DISC10","DISC15","DISC20","DISC30"},0))),0,J426)</f>
        <v>0.3</v>
      </c>
    </row>
    <row r="427" spans="1:13" x14ac:dyDescent="0.35">
      <c r="A427" s="1" t="s">
        <v>642</v>
      </c>
      <c r="B427" s="1" t="s">
        <v>643</v>
      </c>
      <c r="C427" s="1" t="s">
        <v>30</v>
      </c>
      <c r="D427" s="1" t="s">
        <v>31</v>
      </c>
      <c r="E427" s="1" t="s">
        <v>16</v>
      </c>
      <c r="F427" s="1" t="s">
        <v>39</v>
      </c>
      <c r="G427" s="1" t="s">
        <v>18</v>
      </c>
      <c r="H427" s="1">
        <v>17318</v>
      </c>
      <c r="I427" s="1"/>
      <c r="J427" s="1"/>
      <c r="K427" s="1">
        <v>17000</v>
      </c>
      <c r="L427" s="2">
        <v>45342</v>
      </c>
      <c r="M427" s="11">
        <f>IF(OR(I427="",ISNA(MATCH(I427,{"DISC10","DISC15","DISC20","DISC30"},0))),0,J427)</f>
        <v>0</v>
      </c>
    </row>
    <row r="428" spans="1:13" x14ac:dyDescent="0.35">
      <c r="A428" s="1" t="s">
        <v>644</v>
      </c>
      <c r="B428" s="1" t="s">
        <v>150</v>
      </c>
      <c r="C428" s="1" t="s">
        <v>14</v>
      </c>
      <c r="D428" s="1" t="s">
        <v>15</v>
      </c>
      <c r="E428" s="1" t="s">
        <v>32</v>
      </c>
      <c r="F428" s="1" t="s">
        <v>25</v>
      </c>
      <c r="G428" s="1" t="s">
        <v>26</v>
      </c>
      <c r="H428" s="1">
        <v>15210</v>
      </c>
      <c r="I428" s="1"/>
      <c r="J428" s="1"/>
      <c r="K428" s="1">
        <v>14000</v>
      </c>
      <c r="L428" s="2">
        <v>45293</v>
      </c>
      <c r="M428" s="11">
        <f>IF(OR(I428="",ISNA(MATCH(I428,{"DISC10","DISC15","DISC20","DISC30"},0))),0,J428)</f>
        <v>0</v>
      </c>
    </row>
    <row r="429" spans="1:13" x14ac:dyDescent="0.35">
      <c r="A429" s="1" t="s">
        <v>645</v>
      </c>
      <c r="B429" s="1" t="s">
        <v>159</v>
      </c>
      <c r="C429" s="1" t="s">
        <v>44</v>
      </c>
      <c r="D429" s="1" t="s">
        <v>45</v>
      </c>
      <c r="E429" s="1" t="s">
        <v>46</v>
      </c>
      <c r="F429" s="1" t="s">
        <v>17</v>
      </c>
      <c r="G429" s="1" t="s">
        <v>18</v>
      </c>
      <c r="H429" s="1">
        <v>14924</v>
      </c>
      <c r="I429" s="1"/>
      <c r="J429" s="1"/>
      <c r="K429" s="1">
        <v>13000</v>
      </c>
      <c r="L429" s="2">
        <v>45304</v>
      </c>
      <c r="M429" s="11">
        <f>IF(OR(I429="",ISNA(MATCH(I429,{"DISC10","DISC15","DISC20","DISC30"},0))),0,J429)</f>
        <v>0</v>
      </c>
    </row>
    <row r="430" spans="1:13" x14ac:dyDescent="0.35">
      <c r="A430" s="1" t="s">
        <v>646</v>
      </c>
      <c r="B430" s="1" t="s">
        <v>153</v>
      </c>
      <c r="C430" s="1" t="s">
        <v>30</v>
      </c>
      <c r="D430" s="1" t="s">
        <v>31</v>
      </c>
      <c r="E430" s="1" t="s">
        <v>32</v>
      </c>
      <c r="F430" s="1" t="s">
        <v>17</v>
      </c>
      <c r="G430" s="1" t="s">
        <v>18</v>
      </c>
      <c r="H430" s="1">
        <v>17681</v>
      </c>
      <c r="I430" s="1" t="s">
        <v>33</v>
      </c>
      <c r="J430" s="1">
        <v>0.3</v>
      </c>
      <c r="K430" s="1">
        <v>17000</v>
      </c>
      <c r="L430" s="2">
        <v>45308</v>
      </c>
      <c r="M430" s="11">
        <f>IF(OR(I430="",ISNA(MATCH(I430,{"DISC10","DISC15","DISC20","DISC30"},0))),0,J430)</f>
        <v>0.3</v>
      </c>
    </row>
    <row r="431" spans="1:13" x14ac:dyDescent="0.35">
      <c r="A431" s="1" t="s">
        <v>647</v>
      </c>
      <c r="B431" s="1" t="s">
        <v>432</v>
      </c>
      <c r="C431" s="1" t="s">
        <v>44</v>
      </c>
      <c r="D431" s="1" t="s">
        <v>45</v>
      </c>
      <c r="E431" s="1" t="s">
        <v>32</v>
      </c>
      <c r="F431" s="1" t="s">
        <v>17</v>
      </c>
      <c r="G431" s="1" t="s">
        <v>26</v>
      </c>
      <c r="H431" s="1">
        <v>12251</v>
      </c>
      <c r="I431" s="1" t="s">
        <v>19</v>
      </c>
      <c r="J431" s="1">
        <v>0.2</v>
      </c>
      <c r="K431" s="1">
        <v>13000</v>
      </c>
      <c r="L431" s="2">
        <v>45319</v>
      </c>
      <c r="M431" s="11">
        <f>IF(OR(I431="",ISNA(MATCH(I431,{"DISC10","DISC15","DISC20","DISC30"},0))),0,J431)</f>
        <v>0.2</v>
      </c>
    </row>
    <row r="432" spans="1:13" x14ac:dyDescent="0.35">
      <c r="A432" s="1" t="s">
        <v>648</v>
      </c>
      <c r="B432" s="1" t="s">
        <v>13</v>
      </c>
      <c r="C432" s="1" t="s">
        <v>14</v>
      </c>
      <c r="D432" s="1" t="s">
        <v>15</v>
      </c>
      <c r="E432" s="1" t="s">
        <v>32</v>
      </c>
      <c r="F432" s="1" t="s">
        <v>25</v>
      </c>
      <c r="G432" s="1" t="s">
        <v>36</v>
      </c>
      <c r="H432" s="1">
        <v>12319</v>
      </c>
      <c r="I432" s="1" t="s">
        <v>19</v>
      </c>
      <c r="J432" s="1">
        <v>0.2</v>
      </c>
      <c r="K432" s="1">
        <v>14000</v>
      </c>
      <c r="L432" s="2">
        <v>45329</v>
      </c>
      <c r="M432" s="11">
        <f>IF(OR(I432="",ISNA(MATCH(I432,{"DISC10","DISC15","DISC20","DISC30"},0))),0,J432)</f>
        <v>0.2</v>
      </c>
    </row>
    <row r="433" spans="1:13" x14ac:dyDescent="0.35">
      <c r="A433" s="1" t="s">
        <v>649</v>
      </c>
      <c r="B433" s="1" t="s">
        <v>24</v>
      </c>
      <c r="C433" s="1" t="s">
        <v>61</v>
      </c>
      <c r="D433" s="1" t="s">
        <v>62</v>
      </c>
      <c r="E433" s="1" t="s">
        <v>32</v>
      </c>
      <c r="F433" s="1" t="s">
        <v>25</v>
      </c>
      <c r="G433" s="1" t="s">
        <v>26</v>
      </c>
      <c r="H433" s="1">
        <v>8407</v>
      </c>
      <c r="I433" s="1" t="s">
        <v>22</v>
      </c>
      <c r="J433" s="1">
        <v>0.1</v>
      </c>
      <c r="K433" s="1">
        <v>9000</v>
      </c>
      <c r="L433" s="2">
        <v>45347</v>
      </c>
      <c r="M433" s="11">
        <f>IF(OR(I433="",ISNA(MATCH(I433,{"DISC10","DISC15","DISC20","DISC30"},0))),0,J433)</f>
        <v>0.1</v>
      </c>
    </row>
    <row r="434" spans="1:13" x14ac:dyDescent="0.35">
      <c r="A434" s="1" t="s">
        <v>650</v>
      </c>
      <c r="B434" s="1" t="s">
        <v>101</v>
      </c>
      <c r="C434" s="1" t="s">
        <v>44</v>
      </c>
      <c r="D434" s="1" t="s">
        <v>45</v>
      </c>
      <c r="E434" s="1" t="s">
        <v>46</v>
      </c>
      <c r="F434" s="1" t="s">
        <v>25</v>
      </c>
      <c r="G434" s="1" t="s">
        <v>18</v>
      </c>
      <c r="H434" s="1">
        <v>12569</v>
      </c>
      <c r="I434" s="1" t="s">
        <v>22</v>
      </c>
      <c r="J434" s="1">
        <v>0.1</v>
      </c>
      <c r="K434" s="1">
        <v>13000</v>
      </c>
      <c r="L434" s="2">
        <v>45338</v>
      </c>
      <c r="M434" s="11">
        <f>IF(OR(I434="",ISNA(MATCH(I434,{"DISC10","DISC15","DISC20","DISC30"},0))),0,J434)</f>
        <v>0.1</v>
      </c>
    </row>
    <row r="435" spans="1:13" x14ac:dyDescent="0.35">
      <c r="A435" s="1" t="s">
        <v>651</v>
      </c>
      <c r="B435" s="1" t="s">
        <v>652</v>
      </c>
      <c r="C435" s="1" t="s">
        <v>14</v>
      </c>
      <c r="D435" s="1" t="s">
        <v>15</v>
      </c>
      <c r="E435" s="1" t="s">
        <v>46</v>
      </c>
      <c r="F435" s="1" t="s">
        <v>17</v>
      </c>
      <c r="G435" s="1" t="s">
        <v>36</v>
      </c>
      <c r="H435" s="1">
        <v>12561</v>
      </c>
      <c r="I435" s="1"/>
      <c r="J435" s="1"/>
      <c r="K435" s="1">
        <v>14000</v>
      </c>
      <c r="L435" s="2">
        <v>45341</v>
      </c>
      <c r="M435" s="11">
        <f>IF(OR(I435="",ISNA(MATCH(I435,{"DISC10","DISC15","DISC20","DISC30"},0))),0,J435)</f>
        <v>0</v>
      </c>
    </row>
    <row r="436" spans="1:13" x14ac:dyDescent="0.35">
      <c r="A436" s="1" t="s">
        <v>653</v>
      </c>
      <c r="B436" s="1" t="s">
        <v>393</v>
      </c>
      <c r="C436" s="1" t="s">
        <v>44</v>
      </c>
      <c r="D436" s="1" t="s">
        <v>45</v>
      </c>
      <c r="E436" s="1" t="s">
        <v>16</v>
      </c>
      <c r="F436" s="1" t="s">
        <v>39</v>
      </c>
      <c r="G436" s="1" t="s">
        <v>18</v>
      </c>
      <c r="H436" s="1">
        <v>11280</v>
      </c>
      <c r="I436" s="1" t="s">
        <v>27</v>
      </c>
      <c r="J436" s="1"/>
      <c r="K436" s="1">
        <v>13000</v>
      </c>
      <c r="L436" s="2">
        <v>45328</v>
      </c>
      <c r="M436" s="11">
        <f>IF(OR(I436="",ISNA(MATCH(I436,{"DISC10","DISC15","DISC20","DISC30"},0))),0,J436)</f>
        <v>0</v>
      </c>
    </row>
    <row r="437" spans="1:13" x14ac:dyDescent="0.35">
      <c r="A437" s="1" t="s">
        <v>654</v>
      </c>
      <c r="B437" s="1" t="s">
        <v>109</v>
      </c>
      <c r="C437" s="1" t="s">
        <v>44</v>
      </c>
      <c r="D437" s="1" t="s">
        <v>45</v>
      </c>
      <c r="E437" s="1" t="s">
        <v>46</v>
      </c>
      <c r="F437" s="1" t="s">
        <v>17</v>
      </c>
      <c r="G437" s="1" t="s">
        <v>26</v>
      </c>
      <c r="H437" s="1">
        <v>11872</v>
      </c>
      <c r="I437" s="1" t="s">
        <v>19</v>
      </c>
      <c r="J437" s="1">
        <v>0.2</v>
      </c>
      <c r="K437" s="1">
        <v>13000</v>
      </c>
      <c r="L437" s="2">
        <v>45350</v>
      </c>
      <c r="M437" s="11">
        <f>IF(OR(I437="",ISNA(MATCH(I437,{"DISC10","DISC15","DISC20","DISC30"},0))),0,J437)</f>
        <v>0.2</v>
      </c>
    </row>
    <row r="438" spans="1:13" x14ac:dyDescent="0.35">
      <c r="A438" s="1" t="s">
        <v>655</v>
      </c>
      <c r="B438" s="1" t="s">
        <v>617</v>
      </c>
      <c r="C438" s="1" t="s">
        <v>61</v>
      </c>
      <c r="D438" s="1" t="s">
        <v>62</v>
      </c>
      <c r="E438" s="1" t="s">
        <v>32</v>
      </c>
      <c r="F438" s="1" t="s">
        <v>25</v>
      </c>
      <c r="G438" s="1" t="s">
        <v>18</v>
      </c>
      <c r="H438" s="1">
        <v>7573</v>
      </c>
      <c r="I438" s="1" t="s">
        <v>22</v>
      </c>
      <c r="J438" s="1">
        <v>0.1</v>
      </c>
      <c r="K438" s="1">
        <v>9000</v>
      </c>
      <c r="L438" s="2">
        <v>45329</v>
      </c>
      <c r="M438" s="11">
        <f>IF(OR(I438="",ISNA(MATCH(I438,{"DISC10","DISC15","DISC20","DISC30"},0))),0,J438)</f>
        <v>0.1</v>
      </c>
    </row>
    <row r="439" spans="1:13" x14ac:dyDescent="0.35">
      <c r="A439" s="1" t="s">
        <v>656</v>
      </c>
      <c r="B439" s="1" t="s">
        <v>127</v>
      </c>
      <c r="C439" s="1" t="s">
        <v>30</v>
      </c>
      <c r="D439" s="1" t="s">
        <v>31</v>
      </c>
      <c r="E439" s="1" t="s">
        <v>46</v>
      </c>
      <c r="F439" s="1" t="s">
        <v>17</v>
      </c>
      <c r="G439" s="1" t="s">
        <v>18</v>
      </c>
      <c r="H439" s="1">
        <v>16014</v>
      </c>
      <c r="I439" s="1" t="s">
        <v>33</v>
      </c>
      <c r="J439" s="1">
        <v>0.3</v>
      </c>
      <c r="K439" s="1">
        <v>17000</v>
      </c>
      <c r="L439" s="2">
        <v>45333</v>
      </c>
      <c r="M439" s="11">
        <f>IF(OR(I439="",ISNA(MATCH(I439,{"DISC10","DISC15","DISC20","DISC30"},0))),0,J439)</f>
        <v>0.3</v>
      </c>
    </row>
    <row r="440" spans="1:13" x14ac:dyDescent="0.35">
      <c r="A440" s="1" t="s">
        <v>657</v>
      </c>
      <c r="B440" s="1" t="s">
        <v>248</v>
      </c>
      <c r="C440" s="1" t="s">
        <v>30</v>
      </c>
      <c r="D440" s="1" t="s">
        <v>31</v>
      </c>
      <c r="E440" s="1" t="s">
        <v>16</v>
      </c>
      <c r="F440" s="1" t="s">
        <v>25</v>
      </c>
      <c r="G440" s="1" t="s">
        <v>26</v>
      </c>
      <c r="H440" s="1">
        <v>18587</v>
      </c>
      <c r="I440" s="1" t="s">
        <v>33</v>
      </c>
      <c r="J440" s="1">
        <v>0.3</v>
      </c>
      <c r="K440" s="1">
        <v>17000</v>
      </c>
      <c r="L440" s="2">
        <v>45305</v>
      </c>
      <c r="M440" s="11">
        <f>IF(OR(I440="",ISNA(MATCH(I440,{"DISC10","DISC15","DISC20","DISC30"},0))),0,J440)</f>
        <v>0.3</v>
      </c>
    </row>
    <row r="441" spans="1:13" x14ac:dyDescent="0.35">
      <c r="A441" s="1" t="s">
        <v>658</v>
      </c>
      <c r="B441" s="1" t="s">
        <v>382</v>
      </c>
      <c r="C441" s="1" t="s">
        <v>44</v>
      </c>
      <c r="D441" s="1" t="s">
        <v>45</v>
      </c>
      <c r="E441" s="1" t="s">
        <v>16</v>
      </c>
      <c r="F441" s="1" t="s">
        <v>17</v>
      </c>
      <c r="G441" s="1" t="s">
        <v>36</v>
      </c>
      <c r="H441" s="1">
        <v>13646</v>
      </c>
      <c r="I441" s="1" t="s">
        <v>22</v>
      </c>
      <c r="J441" s="1">
        <v>0.1</v>
      </c>
      <c r="K441" s="1">
        <v>13000</v>
      </c>
      <c r="L441" s="2">
        <v>45342</v>
      </c>
      <c r="M441" s="11">
        <f>IF(OR(I441="",ISNA(MATCH(I441,{"DISC10","DISC15","DISC20","DISC30"},0))),0,J441)</f>
        <v>0.1</v>
      </c>
    </row>
    <row r="442" spans="1:13" x14ac:dyDescent="0.35">
      <c r="A442" s="1" t="s">
        <v>659</v>
      </c>
      <c r="B442" s="1" t="s">
        <v>148</v>
      </c>
      <c r="C442" s="1" t="s">
        <v>44</v>
      </c>
      <c r="D442" s="1" t="s">
        <v>45</v>
      </c>
      <c r="E442" s="1" t="s">
        <v>46</v>
      </c>
      <c r="F442" s="1" t="s">
        <v>17</v>
      </c>
      <c r="G442" s="1" t="s">
        <v>18</v>
      </c>
      <c r="H442" s="1">
        <v>11987</v>
      </c>
      <c r="I442" s="1"/>
      <c r="J442" s="1"/>
      <c r="K442" s="1">
        <v>13000</v>
      </c>
      <c r="L442" s="2">
        <v>45332</v>
      </c>
      <c r="M442" s="11">
        <f>IF(OR(I442="",ISNA(MATCH(I442,{"DISC10","DISC15","DISC20","DISC30"},0))),0,J442)</f>
        <v>0</v>
      </c>
    </row>
    <row r="443" spans="1:13" x14ac:dyDescent="0.35">
      <c r="A443" s="1" t="s">
        <v>660</v>
      </c>
      <c r="B443" s="1" t="s">
        <v>107</v>
      </c>
      <c r="C443" s="1" t="s">
        <v>14</v>
      </c>
      <c r="D443" s="1" t="s">
        <v>15</v>
      </c>
      <c r="E443" s="1" t="s">
        <v>46</v>
      </c>
      <c r="F443" s="1" t="s">
        <v>17</v>
      </c>
      <c r="G443" s="1" t="s">
        <v>18</v>
      </c>
      <c r="H443" s="1">
        <v>13584</v>
      </c>
      <c r="I443" s="1" t="s">
        <v>27</v>
      </c>
      <c r="J443" s="1"/>
      <c r="K443" s="1">
        <v>14000</v>
      </c>
      <c r="L443" s="2">
        <v>45318</v>
      </c>
      <c r="M443" s="11">
        <f>IF(OR(I443="",ISNA(MATCH(I443,{"DISC10","DISC15","DISC20","DISC30"},0))),0,J443)</f>
        <v>0</v>
      </c>
    </row>
    <row r="444" spans="1:13" x14ac:dyDescent="0.35">
      <c r="A444" s="1" t="s">
        <v>661</v>
      </c>
      <c r="B444" s="1" t="s">
        <v>301</v>
      </c>
      <c r="C444" s="1" t="s">
        <v>44</v>
      </c>
      <c r="D444" s="1" t="s">
        <v>45</v>
      </c>
      <c r="E444" s="1" t="s">
        <v>46</v>
      </c>
      <c r="F444" s="1" t="s">
        <v>25</v>
      </c>
      <c r="G444" s="1" t="s">
        <v>18</v>
      </c>
      <c r="H444" s="1">
        <v>13405</v>
      </c>
      <c r="I444" s="1" t="s">
        <v>22</v>
      </c>
      <c r="J444" s="1">
        <v>0.1</v>
      </c>
      <c r="K444" s="1">
        <v>13000</v>
      </c>
      <c r="L444" s="2">
        <v>45292</v>
      </c>
      <c r="M444" s="11">
        <f>IF(OR(I444="",ISNA(MATCH(I444,{"DISC10","DISC15","DISC20","DISC30"},0))),0,J444)</f>
        <v>0.1</v>
      </c>
    </row>
    <row r="445" spans="1:13" x14ac:dyDescent="0.35">
      <c r="A445" s="1" t="s">
        <v>662</v>
      </c>
      <c r="B445" s="1" t="s">
        <v>289</v>
      </c>
      <c r="C445" s="1" t="s">
        <v>14</v>
      </c>
      <c r="D445" s="1" t="s">
        <v>15</v>
      </c>
      <c r="E445" s="1" t="s">
        <v>32</v>
      </c>
      <c r="F445" s="1" t="s">
        <v>17</v>
      </c>
      <c r="G445" s="1" t="s">
        <v>26</v>
      </c>
      <c r="H445" s="1">
        <v>13173</v>
      </c>
      <c r="I445" s="1" t="s">
        <v>27</v>
      </c>
      <c r="J445" s="1"/>
      <c r="K445" s="1">
        <v>14000</v>
      </c>
      <c r="L445" s="2">
        <v>45341</v>
      </c>
      <c r="M445" s="11">
        <f>IF(OR(I445="",ISNA(MATCH(I445,{"DISC10","DISC15","DISC20","DISC30"},0))),0,J445)</f>
        <v>0</v>
      </c>
    </row>
    <row r="446" spans="1:13" x14ac:dyDescent="0.35">
      <c r="A446" s="1" t="s">
        <v>663</v>
      </c>
      <c r="B446" s="1" t="s">
        <v>177</v>
      </c>
      <c r="C446" s="1" t="s">
        <v>61</v>
      </c>
      <c r="D446" s="1" t="s">
        <v>62</v>
      </c>
      <c r="E446" s="1" t="s">
        <v>32</v>
      </c>
      <c r="F446" s="1" t="s">
        <v>39</v>
      </c>
      <c r="G446" s="1" t="s">
        <v>26</v>
      </c>
      <c r="H446" s="1">
        <v>9202</v>
      </c>
      <c r="I446" s="1" t="s">
        <v>27</v>
      </c>
      <c r="J446" s="1"/>
      <c r="K446" s="1">
        <v>9000</v>
      </c>
      <c r="L446" s="2">
        <v>45301</v>
      </c>
      <c r="M446" s="11">
        <f>IF(OR(I446="",ISNA(MATCH(I446,{"DISC10","DISC15","DISC20","DISC30"},0))),0,J446)</f>
        <v>0</v>
      </c>
    </row>
    <row r="447" spans="1:13" x14ac:dyDescent="0.35">
      <c r="A447" s="1" t="s">
        <v>664</v>
      </c>
      <c r="B447" s="1" t="s">
        <v>222</v>
      </c>
      <c r="C447" s="1" t="s">
        <v>30</v>
      </c>
      <c r="D447" s="1" t="s">
        <v>31</v>
      </c>
      <c r="E447" s="1" t="s">
        <v>32</v>
      </c>
      <c r="F447" s="1" t="s">
        <v>39</v>
      </c>
      <c r="G447" s="1" t="s">
        <v>18</v>
      </c>
      <c r="H447" s="1">
        <v>18990</v>
      </c>
      <c r="I447" s="1" t="s">
        <v>19</v>
      </c>
      <c r="J447" s="1">
        <v>0.2</v>
      </c>
      <c r="K447" s="1">
        <v>17000</v>
      </c>
      <c r="L447" s="2">
        <v>45326</v>
      </c>
      <c r="M447" s="11">
        <f>IF(OR(I447="",ISNA(MATCH(I447,{"DISC10","DISC15","DISC20","DISC30"},0))),0,J447)</f>
        <v>0.2</v>
      </c>
    </row>
    <row r="448" spans="1:13" x14ac:dyDescent="0.35">
      <c r="A448" s="1" t="s">
        <v>665</v>
      </c>
      <c r="B448" s="1" t="s">
        <v>666</v>
      </c>
      <c r="C448" s="1" t="s">
        <v>14</v>
      </c>
      <c r="D448" s="1" t="s">
        <v>15</v>
      </c>
      <c r="E448" s="1" t="s">
        <v>46</v>
      </c>
      <c r="F448" s="1" t="s">
        <v>39</v>
      </c>
      <c r="G448" s="1" t="s">
        <v>36</v>
      </c>
      <c r="H448" s="1">
        <v>14989</v>
      </c>
      <c r="I448" s="1" t="s">
        <v>19</v>
      </c>
      <c r="J448" s="1">
        <v>0.2</v>
      </c>
      <c r="K448" s="1">
        <v>14000</v>
      </c>
      <c r="L448" s="2">
        <v>45295</v>
      </c>
      <c r="M448" s="11">
        <f>IF(OR(I448="",ISNA(MATCH(I448,{"DISC10","DISC15","DISC20","DISC30"},0))),0,J448)</f>
        <v>0.2</v>
      </c>
    </row>
    <row r="449" spans="1:13" x14ac:dyDescent="0.35">
      <c r="A449" s="1" t="s">
        <v>667</v>
      </c>
      <c r="B449" s="1" t="s">
        <v>229</v>
      </c>
      <c r="C449" s="1" t="s">
        <v>61</v>
      </c>
      <c r="D449" s="1" t="s">
        <v>62</v>
      </c>
      <c r="E449" s="1" t="s">
        <v>32</v>
      </c>
      <c r="F449" s="1" t="s">
        <v>17</v>
      </c>
      <c r="G449" s="1" t="s">
        <v>26</v>
      </c>
      <c r="H449" s="1">
        <v>9493</v>
      </c>
      <c r="I449" s="1" t="s">
        <v>22</v>
      </c>
      <c r="J449" s="1">
        <v>0.1</v>
      </c>
      <c r="K449" s="1">
        <v>9000</v>
      </c>
      <c r="L449" s="2">
        <v>45311</v>
      </c>
      <c r="M449" s="11">
        <f>IF(OR(I449="",ISNA(MATCH(I449,{"DISC10","DISC15","DISC20","DISC30"},0))),0,J449)</f>
        <v>0.1</v>
      </c>
    </row>
    <row r="450" spans="1:13" x14ac:dyDescent="0.35">
      <c r="A450" s="1" t="s">
        <v>668</v>
      </c>
      <c r="B450" s="1" t="s">
        <v>305</v>
      </c>
      <c r="C450" s="1" t="s">
        <v>44</v>
      </c>
      <c r="D450" s="1" t="s">
        <v>45</v>
      </c>
      <c r="E450" s="1" t="s">
        <v>32</v>
      </c>
      <c r="F450" s="1" t="s">
        <v>25</v>
      </c>
      <c r="G450" s="1" t="s">
        <v>26</v>
      </c>
      <c r="H450" s="1">
        <v>11562</v>
      </c>
      <c r="I450" s="1" t="s">
        <v>22</v>
      </c>
      <c r="J450" s="1">
        <v>0.1</v>
      </c>
      <c r="K450" s="1">
        <v>13000</v>
      </c>
      <c r="L450" s="2">
        <v>45302</v>
      </c>
      <c r="M450" s="11">
        <f>IF(OR(I450="",ISNA(MATCH(I450,{"DISC10","DISC15","DISC20","DISC30"},0))),0,J450)</f>
        <v>0.1</v>
      </c>
    </row>
    <row r="451" spans="1:13" x14ac:dyDescent="0.35">
      <c r="A451" s="1" t="s">
        <v>669</v>
      </c>
      <c r="B451" s="1" t="s">
        <v>188</v>
      </c>
      <c r="C451" s="1" t="s">
        <v>30</v>
      </c>
      <c r="D451" s="1" t="s">
        <v>31</v>
      </c>
      <c r="E451" s="1" t="s">
        <v>32</v>
      </c>
      <c r="F451" s="1" t="s">
        <v>17</v>
      </c>
      <c r="G451" s="1" t="s">
        <v>18</v>
      </c>
      <c r="H451" s="1">
        <v>18071</v>
      </c>
      <c r="I451" s="1" t="s">
        <v>33</v>
      </c>
      <c r="J451" s="1">
        <v>0.3</v>
      </c>
      <c r="K451" s="1">
        <v>17000</v>
      </c>
      <c r="L451" s="2">
        <v>45338</v>
      </c>
      <c r="M451" s="11">
        <f>IF(OR(I451="",ISNA(MATCH(I451,{"DISC10","DISC15","DISC20","DISC30"},0))),0,J451)</f>
        <v>0.3</v>
      </c>
    </row>
    <row r="452" spans="1:13" x14ac:dyDescent="0.35">
      <c r="A452" s="1" t="s">
        <v>670</v>
      </c>
      <c r="B452" s="1" t="s">
        <v>403</v>
      </c>
      <c r="C452" s="1" t="s">
        <v>14</v>
      </c>
      <c r="D452" s="1" t="s">
        <v>15</v>
      </c>
      <c r="E452" s="1" t="s">
        <v>46</v>
      </c>
      <c r="F452" s="1" t="s">
        <v>17</v>
      </c>
      <c r="G452" s="1" t="s">
        <v>36</v>
      </c>
      <c r="H452" s="1">
        <v>14145</v>
      </c>
      <c r="I452" s="1" t="s">
        <v>22</v>
      </c>
      <c r="J452" s="1">
        <v>0.1</v>
      </c>
      <c r="K452" s="1">
        <v>14000</v>
      </c>
      <c r="L452" s="2">
        <v>45308</v>
      </c>
      <c r="M452" s="11">
        <f>IF(OR(I452="",ISNA(MATCH(I452,{"DISC10","DISC15","DISC20","DISC30"},0))),0,J452)</f>
        <v>0.1</v>
      </c>
    </row>
    <row r="453" spans="1:13" x14ac:dyDescent="0.35">
      <c r="A453" s="1" t="s">
        <v>671</v>
      </c>
      <c r="B453" s="1" t="s">
        <v>672</v>
      </c>
      <c r="C453" s="1" t="s">
        <v>14</v>
      </c>
      <c r="D453" s="1" t="s">
        <v>15</v>
      </c>
      <c r="E453" s="1" t="s">
        <v>46</v>
      </c>
      <c r="F453" s="1" t="s">
        <v>17</v>
      </c>
      <c r="G453" s="1" t="s">
        <v>26</v>
      </c>
      <c r="H453" s="1">
        <v>13475</v>
      </c>
      <c r="I453" s="1" t="s">
        <v>22</v>
      </c>
      <c r="J453" s="1">
        <v>0.1</v>
      </c>
      <c r="K453" s="1">
        <v>14000</v>
      </c>
      <c r="L453" s="2">
        <v>45323</v>
      </c>
      <c r="M453" s="11">
        <f>IF(OR(I453="",ISNA(MATCH(I453,{"DISC10","DISC15","DISC20","DISC30"},0))),0,J453)</f>
        <v>0.1</v>
      </c>
    </row>
    <row r="454" spans="1:13" x14ac:dyDescent="0.35">
      <c r="A454" s="1" t="s">
        <v>673</v>
      </c>
      <c r="B454" s="1" t="s">
        <v>460</v>
      </c>
      <c r="C454" s="1" t="s">
        <v>44</v>
      </c>
      <c r="D454" s="1" t="s">
        <v>45</v>
      </c>
      <c r="E454" s="1" t="s">
        <v>46</v>
      </c>
      <c r="F454" s="1" t="s">
        <v>25</v>
      </c>
      <c r="G454" s="1" t="s">
        <v>36</v>
      </c>
      <c r="H454" s="1">
        <v>14167</v>
      </c>
      <c r="I454" s="1" t="s">
        <v>22</v>
      </c>
      <c r="J454" s="1">
        <v>0.1</v>
      </c>
      <c r="K454" s="1">
        <v>13000</v>
      </c>
      <c r="L454" s="2">
        <v>45349</v>
      </c>
      <c r="M454" s="11">
        <f>IF(OR(I454="",ISNA(MATCH(I454,{"DISC10","DISC15","DISC20","DISC30"},0))),0,J454)</f>
        <v>0.1</v>
      </c>
    </row>
    <row r="455" spans="1:13" x14ac:dyDescent="0.35">
      <c r="A455" s="1" t="s">
        <v>674</v>
      </c>
      <c r="B455" s="1" t="s">
        <v>209</v>
      </c>
      <c r="C455" s="1" t="s">
        <v>14</v>
      </c>
      <c r="D455" s="1" t="s">
        <v>15</v>
      </c>
      <c r="E455" s="1" t="s">
        <v>32</v>
      </c>
      <c r="F455" s="1" t="s">
        <v>39</v>
      </c>
      <c r="G455" s="1" t="s">
        <v>26</v>
      </c>
      <c r="H455" s="1">
        <v>12010</v>
      </c>
      <c r="I455" s="1" t="s">
        <v>22</v>
      </c>
      <c r="J455" s="1">
        <v>0.1</v>
      </c>
      <c r="K455" s="1">
        <v>14000</v>
      </c>
      <c r="L455" s="2">
        <v>45346</v>
      </c>
      <c r="M455" s="11">
        <f>IF(OR(I455="",ISNA(MATCH(I455,{"DISC10","DISC15","DISC20","DISC30"},0))),0,J455)</f>
        <v>0.1</v>
      </c>
    </row>
    <row r="456" spans="1:13" x14ac:dyDescent="0.35">
      <c r="A456" s="1" t="s">
        <v>675</v>
      </c>
      <c r="B456" s="1" t="s">
        <v>676</v>
      </c>
      <c r="C456" s="1" t="s">
        <v>44</v>
      </c>
      <c r="D456" s="1" t="s">
        <v>45</v>
      </c>
      <c r="E456" s="1" t="s">
        <v>32</v>
      </c>
      <c r="F456" s="1" t="s">
        <v>17</v>
      </c>
      <c r="G456" s="1" t="s">
        <v>36</v>
      </c>
      <c r="H456" s="1">
        <v>12568</v>
      </c>
      <c r="I456" s="1" t="s">
        <v>19</v>
      </c>
      <c r="J456" s="1">
        <v>0.2</v>
      </c>
      <c r="K456" s="1">
        <v>13000</v>
      </c>
      <c r="L456" s="2">
        <v>45303</v>
      </c>
      <c r="M456" s="11">
        <f>IF(OR(I456="",ISNA(MATCH(I456,{"DISC10","DISC15","DISC20","DISC30"},0))),0,J456)</f>
        <v>0.2</v>
      </c>
    </row>
    <row r="457" spans="1:13" x14ac:dyDescent="0.35">
      <c r="A457" s="1" t="s">
        <v>677</v>
      </c>
      <c r="B457" s="1" t="s">
        <v>454</v>
      </c>
      <c r="C457" s="1" t="s">
        <v>14</v>
      </c>
      <c r="D457" s="1" t="s">
        <v>15</v>
      </c>
      <c r="E457" s="1" t="s">
        <v>16</v>
      </c>
      <c r="F457" s="1" t="s">
        <v>39</v>
      </c>
      <c r="G457" s="1" t="s">
        <v>26</v>
      </c>
      <c r="H457" s="1">
        <v>14685</v>
      </c>
      <c r="I457" s="1"/>
      <c r="J457" s="1"/>
      <c r="K457" s="1">
        <v>14000</v>
      </c>
      <c r="L457" s="2">
        <v>45306</v>
      </c>
      <c r="M457" s="11">
        <f>IF(OR(I457="",ISNA(MATCH(I457,{"DISC10","DISC15","DISC20","DISC30"},0))),0,J457)</f>
        <v>0</v>
      </c>
    </row>
    <row r="458" spans="1:13" x14ac:dyDescent="0.35">
      <c r="A458" s="1" t="s">
        <v>678</v>
      </c>
      <c r="B458" s="1" t="s">
        <v>408</v>
      </c>
      <c r="C458" s="1" t="s">
        <v>61</v>
      </c>
      <c r="D458" s="1" t="s">
        <v>62</v>
      </c>
      <c r="E458" s="1" t="s">
        <v>16</v>
      </c>
      <c r="F458" s="1" t="s">
        <v>17</v>
      </c>
      <c r="G458" s="1" t="s">
        <v>36</v>
      </c>
      <c r="H458" s="1">
        <v>10383</v>
      </c>
      <c r="I458" s="1" t="s">
        <v>22</v>
      </c>
      <c r="J458" s="1">
        <v>0.1</v>
      </c>
      <c r="K458" s="1">
        <v>9000</v>
      </c>
      <c r="L458" s="2">
        <v>45328</v>
      </c>
      <c r="M458" s="11">
        <f>IF(OR(I458="",ISNA(MATCH(I458,{"DISC10","DISC15","DISC20","DISC30"},0))),0,J458)</f>
        <v>0.1</v>
      </c>
    </row>
    <row r="459" spans="1:13" x14ac:dyDescent="0.35">
      <c r="A459" s="1" t="s">
        <v>679</v>
      </c>
      <c r="B459" s="1" t="s">
        <v>116</v>
      </c>
      <c r="C459" s="1" t="s">
        <v>14</v>
      </c>
      <c r="D459" s="1" t="s">
        <v>15</v>
      </c>
      <c r="E459" s="1" t="s">
        <v>32</v>
      </c>
      <c r="F459" s="1" t="s">
        <v>25</v>
      </c>
      <c r="G459" s="1" t="s">
        <v>26</v>
      </c>
      <c r="H459" s="1">
        <v>12188</v>
      </c>
      <c r="I459" s="1"/>
      <c r="J459" s="1"/>
      <c r="K459" s="1">
        <v>14000</v>
      </c>
      <c r="L459" s="2">
        <v>45296</v>
      </c>
      <c r="M459" s="11">
        <f>IF(OR(I459="",ISNA(MATCH(I459,{"DISC10","DISC15","DISC20","DISC30"},0))),0,J459)</f>
        <v>0</v>
      </c>
    </row>
    <row r="460" spans="1:13" x14ac:dyDescent="0.35">
      <c r="A460" s="1" t="s">
        <v>680</v>
      </c>
      <c r="B460" s="1" t="s">
        <v>445</v>
      </c>
      <c r="C460" s="1" t="s">
        <v>30</v>
      </c>
      <c r="D460" s="1" t="s">
        <v>31</v>
      </c>
      <c r="E460" s="1" t="s">
        <v>46</v>
      </c>
      <c r="F460" s="1" t="s">
        <v>17</v>
      </c>
      <c r="G460" s="1" t="s">
        <v>18</v>
      </c>
      <c r="H460" s="1">
        <v>17265</v>
      </c>
      <c r="I460" s="1"/>
      <c r="J460" s="1"/>
      <c r="K460" s="1">
        <v>17000</v>
      </c>
      <c r="L460" s="2">
        <v>45292</v>
      </c>
      <c r="M460" s="11">
        <f>IF(OR(I460="",ISNA(MATCH(I460,{"DISC10","DISC15","DISC20","DISC30"},0))),0,J460)</f>
        <v>0</v>
      </c>
    </row>
    <row r="461" spans="1:13" x14ac:dyDescent="0.35">
      <c r="A461" s="1" t="s">
        <v>681</v>
      </c>
      <c r="B461" s="1" t="s">
        <v>408</v>
      </c>
      <c r="C461" s="1" t="s">
        <v>30</v>
      </c>
      <c r="D461" s="1" t="s">
        <v>31</v>
      </c>
      <c r="E461" s="1" t="s">
        <v>16</v>
      </c>
      <c r="F461" s="1" t="s">
        <v>17</v>
      </c>
      <c r="G461" s="1" t="s">
        <v>26</v>
      </c>
      <c r="H461" s="1">
        <v>17550</v>
      </c>
      <c r="I461" s="1" t="s">
        <v>19</v>
      </c>
      <c r="J461" s="1">
        <v>0.2</v>
      </c>
      <c r="K461" s="1">
        <v>17000</v>
      </c>
      <c r="L461" s="2">
        <v>45321</v>
      </c>
      <c r="M461" s="11">
        <f>IF(OR(I461="",ISNA(MATCH(I461,{"DISC10","DISC15","DISC20","DISC30"},0))),0,J461)</f>
        <v>0.2</v>
      </c>
    </row>
    <row r="462" spans="1:13" x14ac:dyDescent="0.35">
      <c r="A462" s="1" t="s">
        <v>682</v>
      </c>
      <c r="B462" s="1" t="s">
        <v>38</v>
      </c>
      <c r="C462" s="1" t="s">
        <v>61</v>
      </c>
      <c r="D462" s="1" t="s">
        <v>62</v>
      </c>
      <c r="E462" s="1" t="s">
        <v>32</v>
      </c>
      <c r="F462" s="1" t="s">
        <v>39</v>
      </c>
      <c r="G462" s="1" t="s">
        <v>26</v>
      </c>
      <c r="H462" s="1">
        <v>10114</v>
      </c>
      <c r="I462" s="1" t="s">
        <v>19</v>
      </c>
      <c r="J462" s="1">
        <v>0.2</v>
      </c>
      <c r="K462" s="1">
        <v>9000</v>
      </c>
      <c r="L462" s="2">
        <v>45301</v>
      </c>
      <c r="M462" s="11">
        <f>IF(OR(I462="",ISNA(MATCH(I462,{"DISC10","DISC15","DISC20","DISC30"},0))),0,J462)</f>
        <v>0.2</v>
      </c>
    </row>
    <row r="463" spans="1:13" x14ac:dyDescent="0.35">
      <c r="A463" s="1" t="s">
        <v>683</v>
      </c>
      <c r="B463" s="1" t="s">
        <v>406</v>
      </c>
      <c r="C463" s="1" t="s">
        <v>14</v>
      </c>
      <c r="D463" s="1" t="s">
        <v>15</v>
      </c>
      <c r="E463" s="1" t="s">
        <v>32</v>
      </c>
      <c r="F463" s="1" t="s">
        <v>39</v>
      </c>
      <c r="G463" s="1" t="s">
        <v>36</v>
      </c>
      <c r="H463" s="1">
        <v>14604</v>
      </c>
      <c r="I463" s="1" t="s">
        <v>22</v>
      </c>
      <c r="J463" s="1">
        <v>0.1</v>
      </c>
      <c r="K463" s="1">
        <v>14000</v>
      </c>
      <c r="L463" s="2">
        <v>45352</v>
      </c>
      <c r="M463" s="11">
        <f>IF(OR(I463="",ISNA(MATCH(I463,{"DISC10","DISC15","DISC20","DISC30"},0))),0,J463)</f>
        <v>0.1</v>
      </c>
    </row>
    <row r="464" spans="1:13" x14ac:dyDescent="0.35">
      <c r="A464" s="1" t="s">
        <v>684</v>
      </c>
      <c r="B464" s="1" t="s">
        <v>327</v>
      </c>
      <c r="C464" s="1" t="s">
        <v>61</v>
      </c>
      <c r="D464" s="1" t="s">
        <v>62</v>
      </c>
      <c r="E464" s="1" t="s">
        <v>16</v>
      </c>
      <c r="F464" s="1" t="s">
        <v>39</v>
      </c>
      <c r="G464" s="1" t="s">
        <v>36</v>
      </c>
      <c r="H464" s="1">
        <v>7425</v>
      </c>
      <c r="I464" s="1" t="s">
        <v>19</v>
      </c>
      <c r="J464" s="1">
        <v>0.2</v>
      </c>
      <c r="K464" s="1">
        <v>9000</v>
      </c>
      <c r="L464" s="2">
        <v>45325</v>
      </c>
      <c r="M464" s="11">
        <f>IF(OR(I464="",ISNA(MATCH(I464,{"DISC10","DISC15","DISC20","DISC30"},0))),0,J464)</f>
        <v>0.2</v>
      </c>
    </row>
    <row r="465" spans="1:13" x14ac:dyDescent="0.35">
      <c r="A465" s="1" t="s">
        <v>685</v>
      </c>
      <c r="B465" s="1" t="s">
        <v>414</v>
      </c>
      <c r="C465" s="1" t="s">
        <v>61</v>
      </c>
      <c r="D465" s="1" t="s">
        <v>62</v>
      </c>
      <c r="E465" s="1" t="s">
        <v>32</v>
      </c>
      <c r="F465" s="1" t="s">
        <v>25</v>
      </c>
      <c r="G465" s="1" t="s">
        <v>26</v>
      </c>
      <c r="H465" s="1">
        <v>8146</v>
      </c>
      <c r="I465" s="1" t="s">
        <v>22</v>
      </c>
      <c r="J465" s="1">
        <v>0.1</v>
      </c>
      <c r="K465" s="1">
        <v>9000</v>
      </c>
      <c r="L465" s="2">
        <v>45294</v>
      </c>
      <c r="M465" s="11">
        <f>IF(OR(I465="",ISNA(MATCH(I465,{"DISC10","DISC15","DISC20","DISC30"},0))),0,J465)</f>
        <v>0.1</v>
      </c>
    </row>
    <row r="466" spans="1:13" x14ac:dyDescent="0.35">
      <c r="A466" s="1" t="s">
        <v>686</v>
      </c>
      <c r="B466" s="1" t="s">
        <v>553</v>
      </c>
      <c r="C466" s="1" t="s">
        <v>61</v>
      </c>
      <c r="D466" s="1" t="s">
        <v>62</v>
      </c>
      <c r="E466" s="1" t="s">
        <v>16</v>
      </c>
      <c r="F466" s="1" t="s">
        <v>17</v>
      </c>
      <c r="G466" s="1" t="s">
        <v>36</v>
      </c>
      <c r="H466" s="1">
        <v>10991</v>
      </c>
      <c r="I466" s="1" t="s">
        <v>22</v>
      </c>
      <c r="J466" s="1">
        <v>0.1</v>
      </c>
      <c r="K466" s="1">
        <v>9000</v>
      </c>
      <c r="L466" s="2">
        <v>45329</v>
      </c>
      <c r="M466" s="11">
        <f>IF(OR(I466="",ISNA(MATCH(I466,{"DISC10","DISC15","DISC20","DISC30"},0))),0,J466)</f>
        <v>0.1</v>
      </c>
    </row>
    <row r="467" spans="1:13" x14ac:dyDescent="0.35">
      <c r="A467" s="1" t="s">
        <v>687</v>
      </c>
      <c r="B467" s="1" t="s">
        <v>241</v>
      </c>
      <c r="C467" s="1" t="s">
        <v>44</v>
      </c>
      <c r="D467" s="1" t="s">
        <v>45</v>
      </c>
      <c r="E467" s="1" t="s">
        <v>16</v>
      </c>
      <c r="F467" s="1" t="s">
        <v>17</v>
      </c>
      <c r="G467" s="1" t="s">
        <v>18</v>
      </c>
      <c r="H467" s="1">
        <v>13424</v>
      </c>
      <c r="I467" s="1" t="s">
        <v>27</v>
      </c>
      <c r="J467" s="1"/>
      <c r="K467" s="1">
        <v>13000</v>
      </c>
      <c r="L467" s="2">
        <v>45295</v>
      </c>
      <c r="M467" s="11">
        <f>IF(OR(I467="",ISNA(MATCH(I467,{"DISC10","DISC15","DISC20","DISC30"},0))),0,J467)</f>
        <v>0</v>
      </c>
    </row>
    <row r="468" spans="1:13" x14ac:dyDescent="0.35">
      <c r="A468" s="1" t="s">
        <v>688</v>
      </c>
      <c r="B468" s="1" t="s">
        <v>274</v>
      </c>
      <c r="C468" s="1" t="s">
        <v>44</v>
      </c>
      <c r="D468" s="1" t="s">
        <v>45</v>
      </c>
      <c r="E468" s="1" t="s">
        <v>32</v>
      </c>
      <c r="F468" s="1" t="s">
        <v>17</v>
      </c>
      <c r="G468" s="1" t="s">
        <v>36</v>
      </c>
      <c r="H468" s="1">
        <v>14485</v>
      </c>
      <c r="I468" s="1" t="s">
        <v>33</v>
      </c>
      <c r="J468" s="1">
        <v>0.3</v>
      </c>
      <c r="K468" s="1">
        <v>13000</v>
      </c>
      <c r="L468" s="2">
        <v>45351</v>
      </c>
      <c r="M468" s="11">
        <f>IF(OR(I468="",ISNA(MATCH(I468,{"DISC10","DISC15","DISC20","DISC30"},0))),0,J468)</f>
        <v>0.3</v>
      </c>
    </row>
    <row r="469" spans="1:13" x14ac:dyDescent="0.35">
      <c r="A469" s="1" t="s">
        <v>689</v>
      </c>
      <c r="B469" s="1" t="s">
        <v>180</v>
      </c>
      <c r="C469" s="1" t="s">
        <v>30</v>
      </c>
      <c r="D469" s="1" t="s">
        <v>31</v>
      </c>
      <c r="E469" s="1" t="s">
        <v>46</v>
      </c>
      <c r="F469" s="1" t="s">
        <v>17</v>
      </c>
      <c r="G469" s="1" t="s">
        <v>36</v>
      </c>
      <c r="H469" s="1">
        <v>15956</v>
      </c>
      <c r="I469" s="1" t="s">
        <v>22</v>
      </c>
      <c r="J469" s="1">
        <v>0.1</v>
      </c>
      <c r="K469" s="1">
        <v>17000</v>
      </c>
      <c r="L469" s="2">
        <v>45352</v>
      </c>
      <c r="M469" s="11">
        <f>IF(OR(I469="",ISNA(MATCH(I469,{"DISC10","DISC15","DISC20","DISC30"},0))),0,J469)</f>
        <v>0.1</v>
      </c>
    </row>
    <row r="470" spans="1:13" x14ac:dyDescent="0.35">
      <c r="A470" s="1" t="s">
        <v>690</v>
      </c>
      <c r="B470" s="1" t="s">
        <v>235</v>
      </c>
      <c r="C470" s="1" t="s">
        <v>14</v>
      </c>
      <c r="D470" s="1" t="s">
        <v>15</v>
      </c>
      <c r="E470" s="1" t="s">
        <v>32</v>
      </c>
      <c r="F470" s="1" t="s">
        <v>25</v>
      </c>
      <c r="G470" s="1" t="s">
        <v>18</v>
      </c>
      <c r="H470" s="1">
        <v>13841</v>
      </c>
      <c r="I470" s="1"/>
      <c r="J470" s="1"/>
      <c r="K470" s="1">
        <v>14000</v>
      </c>
      <c r="L470" s="2">
        <v>45312</v>
      </c>
      <c r="M470" s="11">
        <f>IF(OR(I470="",ISNA(MATCH(I470,{"DISC10","DISC15","DISC20","DISC30"},0))),0,J470)</f>
        <v>0</v>
      </c>
    </row>
    <row r="471" spans="1:13" x14ac:dyDescent="0.35">
      <c r="A471" s="1" t="s">
        <v>691</v>
      </c>
      <c r="B471" s="1" t="s">
        <v>41</v>
      </c>
      <c r="C471" s="1" t="s">
        <v>30</v>
      </c>
      <c r="D471" s="1" t="s">
        <v>31</v>
      </c>
      <c r="E471" s="1" t="s">
        <v>32</v>
      </c>
      <c r="F471" s="1" t="s">
        <v>17</v>
      </c>
      <c r="G471" s="1" t="s">
        <v>36</v>
      </c>
      <c r="H471" s="1">
        <v>16897</v>
      </c>
      <c r="I471" s="1" t="s">
        <v>33</v>
      </c>
      <c r="J471" s="1">
        <v>0.3</v>
      </c>
      <c r="K471" s="1">
        <v>17000</v>
      </c>
      <c r="L471" s="2">
        <v>45346</v>
      </c>
      <c r="M471" s="11">
        <f>IF(OR(I471="",ISNA(MATCH(I471,{"DISC10","DISC15","DISC20","DISC30"},0))),0,J471)</f>
        <v>0.3</v>
      </c>
    </row>
    <row r="472" spans="1:13" x14ac:dyDescent="0.35">
      <c r="A472" s="1" t="s">
        <v>692</v>
      </c>
      <c r="B472" s="1" t="s">
        <v>78</v>
      </c>
      <c r="C472" s="1" t="s">
        <v>44</v>
      </c>
      <c r="D472" s="1" t="s">
        <v>45</v>
      </c>
      <c r="E472" s="1" t="s">
        <v>16</v>
      </c>
      <c r="F472" s="1" t="s">
        <v>17</v>
      </c>
      <c r="G472" s="1" t="s">
        <v>26</v>
      </c>
      <c r="H472" s="1">
        <v>13854</v>
      </c>
      <c r="I472" s="1" t="s">
        <v>27</v>
      </c>
      <c r="J472" s="1"/>
      <c r="K472" s="1">
        <v>13000</v>
      </c>
      <c r="L472" s="2">
        <v>45294</v>
      </c>
      <c r="M472" s="11">
        <f>IF(OR(I472="",ISNA(MATCH(I472,{"DISC10","DISC15","DISC20","DISC30"},0))),0,J472)</f>
        <v>0</v>
      </c>
    </row>
    <row r="473" spans="1:13" x14ac:dyDescent="0.35">
      <c r="A473" s="1" t="s">
        <v>693</v>
      </c>
      <c r="B473" s="1" t="s">
        <v>171</v>
      </c>
      <c r="C473" s="1" t="s">
        <v>30</v>
      </c>
      <c r="D473" s="1" t="s">
        <v>31</v>
      </c>
      <c r="E473" s="1" t="s">
        <v>32</v>
      </c>
      <c r="F473" s="1" t="s">
        <v>25</v>
      </c>
      <c r="G473" s="1" t="s">
        <v>26</v>
      </c>
      <c r="H473" s="1">
        <v>16016</v>
      </c>
      <c r="I473" s="1" t="s">
        <v>33</v>
      </c>
      <c r="J473" s="1">
        <v>0.3</v>
      </c>
      <c r="K473" s="1">
        <v>17000</v>
      </c>
      <c r="L473" s="2">
        <v>45317</v>
      </c>
      <c r="M473" s="11">
        <f>IF(OR(I473="",ISNA(MATCH(I473,{"DISC10","DISC15","DISC20","DISC30"},0))),0,J473)</f>
        <v>0.3</v>
      </c>
    </row>
    <row r="474" spans="1:13" x14ac:dyDescent="0.35">
      <c r="A474" s="1" t="s">
        <v>694</v>
      </c>
      <c r="B474" s="1" t="s">
        <v>184</v>
      </c>
      <c r="C474" s="1" t="s">
        <v>30</v>
      </c>
      <c r="D474" s="1" t="s">
        <v>31</v>
      </c>
      <c r="E474" s="1" t="s">
        <v>46</v>
      </c>
      <c r="F474" s="1" t="s">
        <v>25</v>
      </c>
      <c r="G474" s="1" t="s">
        <v>18</v>
      </c>
      <c r="H474" s="1">
        <v>18899</v>
      </c>
      <c r="I474" s="1"/>
      <c r="J474" s="1"/>
      <c r="K474" s="1">
        <v>17000</v>
      </c>
      <c r="L474" s="2">
        <v>45346</v>
      </c>
      <c r="M474" s="11">
        <f>IF(OR(I474="",ISNA(MATCH(I474,{"DISC10","DISC15","DISC20","DISC30"},0))),0,J474)</f>
        <v>0</v>
      </c>
    </row>
    <row r="475" spans="1:13" x14ac:dyDescent="0.35">
      <c r="A475" s="1" t="s">
        <v>695</v>
      </c>
      <c r="B475" s="1" t="s">
        <v>330</v>
      </c>
      <c r="C475" s="1" t="s">
        <v>44</v>
      </c>
      <c r="D475" s="1" t="s">
        <v>45</v>
      </c>
      <c r="E475" s="1" t="s">
        <v>32</v>
      </c>
      <c r="F475" s="1" t="s">
        <v>17</v>
      </c>
      <c r="G475" s="1" t="s">
        <v>18</v>
      </c>
      <c r="H475" s="1">
        <v>14292</v>
      </c>
      <c r="I475" s="1" t="s">
        <v>19</v>
      </c>
      <c r="J475" s="1">
        <v>0.2</v>
      </c>
      <c r="K475" s="1">
        <v>13000</v>
      </c>
      <c r="L475" s="2">
        <v>45299</v>
      </c>
      <c r="M475" s="11">
        <f>IF(OR(I475="",ISNA(MATCH(I475,{"DISC10","DISC15","DISC20","DISC30"},0))),0,J475)</f>
        <v>0.2</v>
      </c>
    </row>
    <row r="476" spans="1:13" x14ac:dyDescent="0.35">
      <c r="A476" s="1" t="s">
        <v>696</v>
      </c>
      <c r="B476" s="1" t="s">
        <v>161</v>
      </c>
      <c r="C476" s="1" t="s">
        <v>44</v>
      </c>
      <c r="D476" s="1" t="s">
        <v>45</v>
      </c>
      <c r="E476" s="1" t="s">
        <v>32</v>
      </c>
      <c r="F476" s="1" t="s">
        <v>25</v>
      </c>
      <c r="G476" s="1" t="s">
        <v>36</v>
      </c>
      <c r="H476" s="1">
        <v>12524</v>
      </c>
      <c r="I476" s="1" t="s">
        <v>22</v>
      </c>
      <c r="J476" s="1">
        <v>0.1</v>
      </c>
      <c r="K476" s="1">
        <v>13000</v>
      </c>
      <c r="L476" s="2">
        <v>45329</v>
      </c>
      <c r="M476" s="11">
        <f>IF(OR(I476="",ISNA(MATCH(I476,{"DISC10","DISC15","DISC20","DISC30"},0))),0,J476)</f>
        <v>0.1</v>
      </c>
    </row>
    <row r="477" spans="1:13" x14ac:dyDescent="0.35">
      <c r="A477" s="1" t="s">
        <v>697</v>
      </c>
      <c r="B477" s="1" t="s">
        <v>291</v>
      </c>
      <c r="C477" s="1" t="s">
        <v>14</v>
      </c>
      <c r="D477" s="1" t="s">
        <v>15</v>
      </c>
      <c r="E477" s="1" t="s">
        <v>32</v>
      </c>
      <c r="F477" s="1" t="s">
        <v>25</v>
      </c>
      <c r="G477" s="1" t="s">
        <v>18</v>
      </c>
      <c r="H477" s="1">
        <v>15696</v>
      </c>
      <c r="I477" s="1"/>
      <c r="J477" s="1"/>
      <c r="K477" s="1">
        <v>14000</v>
      </c>
      <c r="L477" s="2">
        <v>45343</v>
      </c>
      <c r="M477" s="11">
        <f>IF(OR(I477="",ISNA(MATCH(I477,{"DISC10","DISC15","DISC20","DISC30"},0))),0,J477)</f>
        <v>0</v>
      </c>
    </row>
    <row r="478" spans="1:13" x14ac:dyDescent="0.35">
      <c r="A478" s="1" t="s">
        <v>698</v>
      </c>
      <c r="B478" s="1" t="s">
        <v>325</v>
      </c>
      <c r="C478" s="1" t="s">
        <v>30</v>
      </c>
      <c r="D478" s="1" t="s">
        <v>31</v>
      </c>
      <c r="E478" s="1" t="s">
        <v>32</v>
      </c>
      <c r="F478" s="1" t="s">
        <v>25</v>
      </c>
      <c r="G478" s="1" t="s">
        <v>36</v>
      </c>
      <c r="H478" s="1">
        <v>15207</v>
      </c>
      <c r="I478" s="1" t="s">
        <v>19</v>
      </c>
      <c r="J478" s="1">
        <v>0.2</v>
      </c>
      <c r="K478" s="1">
        <v>17000</v>
      </c>
      <c r="L478" s="2">
        <v>45351</v>
      </c>
      <c r="M478" s="11">
        <f>IF(OR(I478="",ISNA(MATCH(I478,{"DISC10","DISC15","DISC20","DISC30"},0))),0,J478)</f>
        <v>0.2</v>
      </c>
    </row>
    <row r="479" spans="1:13" x14ac:dyDescent="0.35">
      <c r="A479" s="1" t="s">
        <v>699</v>
      </c>
      <c r="B479" s="1" t="s">
        <v>337</v>
      </c>
      <c r="C479" s="1" t="s">
        <v>61</v>
      </c>
      <c r="D479" s="1" t="s">
        <v>62</v>
      </c>
      <c r="E479" s="1" t="s">
        <v>46</v>
      </c>
      <c r="F479" s="1" t="s">
        <v>25</v>
      </c>
      <c r="G479" s="1" t="s">
        <v>36</v>
      </c>
      <c r="H479" s="1">
        <v>9798</v>
      </c>
      <c r="I479" s="1"/>
      <c r="J479" s="1"/>
      <c r="K479" s="1">
        <v>9000</v>
      </c>
      <c r="L479" s="2">
        <v>45303</v>
      </c>
      <c r="M479" s="11">
        <f>IF(OR(I479="",ISNA(MATCH(I479,{"DISC10","DISC15","DISC20","DISC30"},0))),0,J479)</f>
        <v>0</v>
      </c>
    </row>
    <row r="480" spans="1:13" x14ac:dyDescent="0.35">
      <c r="A480" s="1" t="s">
        <v>700</v>
      </c>
      <c r="B480" s="1" t="s">
        <v>408</v>
      </c>
      <c r="C480" s="1" t="s">
        <v>44</v>
      </c>
      <c r="D480" s="1" t="s">
        <v>45</v>
      </c>
      <c r="E480" s="1" t="s">
        <v>46</v>
      </c>
      <c r="F480" s="1" t="s">
        <v>17</v>
      </c>
      <c r="G480" s="1" t="s">
        <v>36</v>
      </c>
      <c r="H480" s="1">
        <v>14618</v>
      </c>
      <c r="I480" s="1" t="s">
        <v>19</v>
      </c>
      <c r="J480" s="1">
        <v>0.2</v>
      </c>
      <c r="K480" s="1">
        <v>13000</v>
      </c>
      <c r="L480" s="2">
        <v>45294</v>
      </c>
      <c r="M480" s="11">
        <f>IF(OR(I480="",ISNA(MATCH(I480,{"DISC10","DISC15","DISC20","DISC30"},0))),0,J480)</f>
        <v>0.2</v>
      </c>
    </row>
    <row r="481" spans="1:13" x14ac:dyDescent="0.35">
      <c r="A481" s="1" t="s">
        <v>701</v>
      </c>
      <c r="B481" s="1" t="s">
        <v>195</v>
      </c>
      <c r="C481" s="1" t="s">
        <v>44</v>
      </c>
      <c r="D481" s="1" t="s">
        <v>45</v>
      </c>
      <c r="E481" s="1" t="s">
        <v>16</v>
      </c>
      <c r="F481" s="1" t="s">
        <v>17</v>
      </c>
      <c r="G481" s="1" t="s">
        <v>36</v>
      </c>
      <c r="H481" s="1">
        <v>12687</v>
      </c>
      <c r="I481" s="1" t="s">
        <v>27</v>
      </c>
      <c r="J481" s="1"/>
      <c r="K481" s="1">
        <v>13000</v>
      </c>
      <c r="L481" s="2">
        <v>45322</v>
      </c>
      <c r="M481" s="11">
        <f>IF(OR(I481="",ISNA(MATCH(I481,{"DISC10","DISC15","DISC20","DISC30"},0))),0,J481)</f>
        <v>0</v>
      </c>
    </row>
    <row r="482" spans="1:13" x14ac:dyDescent="0.35">
      <c r="A482" s="1" t="s">
        <v>702</v>
      </c>
      <c r="B482" s="1" t="s">
        <v>76</v>
      </c>
      <c r="C482" s="1" t="s">
        <v>30</v>
      </c>
      <c r="D482" s="1" t="s">
        <v>31</v>
      </c>
      <c r="E482" s="1" t="s">
        <v>46</v>
      </c>
      <c r="F482" s="1" t="s">
        <v>25</v>
      </c>
      <c r="G482" s="1" t="s">
        <v>36</v>
      </c>
      <c r="H482" s="1">
        <v>15816</v>
      </c>
      <c r="I482" s="1" t="s">
        <v>27</v>
      </c>
      <c r="J482" s="1"/>
      <c r="K482" s="1">
        <v>17000</v>
      </c>
      <c r="L482" s="2">
        <v>45307</v>
      </c>
      <c r="M482" s="11">
        <f>IF(OR(I482="",ISNA(MATCH(I482,{"DISC10","DISC15","DISC20","DISC30"},0))),0,J482)</f>
        <v>0</v>
      </c>
    </row>
    <row r="483" spans="1:13" x14ac:dyDescent="0.35">
      <c r="A483" s="1" t="s">
        <v>703</v>
      </c>
      <c r="B483" s="1" t="s">
        <v>270</v>
      </c>
      <c r="C483" s="1" t="s">
        <v>14</v>
      </c>
      <c r="D483" s="1" t="s">
        <v>15</v>
      </c>
      <c r="E483" s="1" t="s">
        <v>46</v>
      </c>
      <c r="F483" s="1" t="s">
        <v>39</v>
      </c>
      <c r="G483" s="1" t="s">
        <v>36</v>
      </c>
      <c r="H483" s="1">
        <v>13964</v>
      </c>
      <c r="I483" s="1" t="s">
        <v>27</v>
      </c>
      <c r="J483" s="1"/>
      <c r="K483" s="1">
        <v>14000</v>
      </c>
      <c r="L483" s="2">
        <v>45342</v>
      </c>
      <c r="M483" s="11">
        <f>IF(OR(I483="",ISNA(MATCH(I483,{"DISC10","DISC15","DISC20","DISC30"},0))),0,J483)</f>
        <v>0</v>
      </c>
    </row>
    <row r="484" spans="1:13" x14ac:dyDescent="0.35">
      <c r="A484" s="1" t="s">
        <v>704</v>
      </c>
      <c r="B484" s="1" t="s">
        <v>188</v>
      </c>
      <c r="C484" s="1" t="s">
        <v>30</v>
      </c>
      <c r="D484" s="1" t="s">
        <v>31</v>
      </c>
      <c r="E484" s="1" t="s">
        <v>46</v>
      </c>
      <c r="F484" s="1" t="s">
        <v>17</v>
      </c>
      <c r="G484" s="1" t="s">
        <v>18</v>
      </c>
      <c r="H484" s="1">
        <v>15106</v>
      </c>
      <c r="I484" s="1" t="s">
        <v>33</v>
      </c>
      <c r="J484" s="1">
        <v>0.3</v>
      </c>
      <c r="K484" s="1">
        <v>17000</v>
      </c>
      <c r="L484" s="2">
        <v>45330</v>
      </c>
      <c r="M484" s="11">
        <f>IF(OR(I484="",ISNA(MATCH(I484,{"DISC10","DISC15","DISC20","DISC30"},0))),0,J484)</f>
        <v>0.3</v>
      </c>
    </row>
    <row r="485" spans="1:13" x14ac:dyDescent="0.35">
      <c r="A485" s="1" t="s">
        <v>705</v>
      </c>
      <c r="B485" s="1" t="s">
        <v>500</v>
      </c>
      <c r="C485" s="1" t="s">
        <v>30</v>
      </c>
      <c r="D485" s="1" t="s">
        <v>31</v>
      </c>
      <c r="E485" s="1" t="s">
        <v>32</v>
      </c>
      <c r="F485" s="1" t="s">
        <v>17</v>
      </c>
      <c r="G485" s="1" t="s">
        <v>26</v>
      </c>
      <c r="H485" s="1">
        <v>16464</v>
      </c>
      <c r="I485" s="1" t="s">
        <v>27</v>
      </c>
      <c r="J485" s="1"/>
      <c r="K485" s="1">
        <v>17000</v>
      </c>
      <c r="L485" s="2">
        <v>45306</v>
      </c>
      <c r="M485" s="11">
        <f>IF(OR(I485="",ISNA(MATCH(I485,{"DISC10","DISC15","DISC20","DISC30"},0))),0,J485)</f>
        <v>0</v>
      </c>
    </row>
    <row r="486" spans="1:13" x14ac:dyDescent="0.35">
      <c r="A486" s="1" t="s">
        <v>706</v>
      </c>
      <c r="B486" s="1" t="s">
        <v>325</v>
      </c>
      <c r="C486" s="1" t="s">
        <v>44</v>
      </c>
      <c r="D486" s="1" t="s">
        <v>45</v>
      </c>
      <c r="E486" s="1" t="s">
        <v>16</v>
      </c>
      <c r="F486" s="1" t="s">
        <v>25</v>
      </c>
      <c r="G486" s="1" t="s">
        <v>36</v>
      </c>
      <c r="H486" s="1">
        <v>13185</v>
      </c>
      <c r="I486" s="1" t="s">
        <v>22</v>
      </c>
      <c r="J486" s="1">
        <v>0.1</v>
      </c>
      <c r="K486" s="1">
        <v>13000</v>
      </c>
      <c r="L486" s="2">
        <v>45340</v>
      </c>
      <c r="M486" s="11">
        <f>IF(OR(I486="",ISNA(MATCH(I486,{"DISC10","DISC15","DISC20","DISC30"},0))),0,J486)</f>
        <v>0.1</v>
      </c>
    </row>
    <row r="487" spans="1:13" x14ac:dyDescent="0.35">
      <c r="A487" s="1" t="s">
        <v>707</v>
      </c>
      <c r="B487" s="1" t="s">
        <v>56</v>
      </c>
      <c r="C487" s="1" t="s">
        <v>61</v>
      </c>
      <c r="D487" s="1" t="s">
        <v>62</v>
      </c>
      <c r="E487" s="1" t="s">
        <v>46</v>
      </c>
      <c r="F487" s="1" t="s">
        <v>25</v>
      </c>
      <c r="G487" s="1" t="s">
        <v>18</v>
      </c>
      <c r="H487" s="1">
        <v>7968</v>
      </c>
      <c r="I487" s="1" t="s">
        <v>27</v>
      </c>
      <c r="J487" s="1"/>
      <c r="K487" s="1">
        <v>9000</v>
      </c>
      <c r="L487" s="2">
        <v>45312</v>
      </c>
      <c r="M487" s="11">
        <f>IF(OR(I487="",ISNA(MATCH(I487,{"DISC10","DISC15","DISC20","DISC30"},0))),0,J487)</f>
        <v>0</v>
      </c>
    </row>
    <row r="488" spans="1:13" x14ac:dyDescent="0.35">
      <c r="A488" s="1" t="s">
        <v>708</v>
      </c>
      <c r="B488" s="1" t="s">
        <v>296</v>
      </c>
      <c r="C488" s="1" t="s">
        <v>30</v>
      </c>
      <c r="D488" s="1" t="s">
        <v>31</v>
      </c>
      <c r="E488" s="1" t="s">
        <v>16</v>
      </c>
      <c r="F488" s="1" t="s">
        <v>25</v>
      </c>
      <c r="G488" s="1" t="s">
        <v>26</v>
      </c>
      <c r="H488" s="1">
        <v>17869</v>
      </c>
      <c r="I488" s="1" t="s">
        <v>33</v>
      </c>
      <c r="J488" s="1">
        <v>0.3</v>
      </c>
      <c r="K488" s="1">
        <v>17000</v>
      </c>
      <c r="L488" s="2">
        <v>45352</v>
      </c>
      <c r="M488" s="11">
        <f>IF(OR(I488="",ISNA(MATCH(I488,{"DISC10","DISC15","DISC20","DISC30"},0))),0,J488)</f>
        <v>0.3</v>
      </c>
    </row>
    <row r="489" spans="1:13" x14ac:dyDescent="0.35">
      <c r="A489" s="1" t="s">
        <v>709</v>
      </c>
      <c r="B489" s="1" t="s">
        <v>195</v>
      </c>
      <c r="C489" s="1" t="s">
        <v>44</v>
      </c>
      <c r="D489" s="1" t="s">
        <v>45</v>
      </c>
      <c r="E489" s="1" t="s">
        <v>16</v>
      </c>
      <c r="F489" s="1" t="s">
        <v>25</v>
      </c>
      <c r="G489" s="1" t="s">
        <v>36</v>
      </c>
      <c r="H489" s="1">
        <v>13220</v>
      </c>
      <c r="I489" s="1" t="s">
        <v>33</v>
      </c>
      <c r="J489" s="1">
        <v>0.3</v>
      </c>
      <c r="K489" s="1">
        <v>13000</v>
      </c>
      <c r="L489" s="2">
        <v>45303</v>
      </c>
      <c r="M489" s="11">
        <f>IF(OR(I489="",ISNA(MATCH(I489,{"DISC10","DISC15","DISC20","DISC30"},0))),0,J489)</f>
        <v>0.3</v>
      </c>
    </row>
    <row r="490" spans="1:13" x14ac:dyDescent="0.35">
      <c r="A490" s="1" t="s">
        <v>710</v>
      </c>
      <c r="B490" s="1" t="s">
        <v>711</v>
      </c>
      <c r="C490" s="1" t="s">
        <v>14</v>
      </c>
      <c r="D490" s="1" t="s">
        <v>15</v>
      </c>
      <c r="E490" s="1" t="s">
        <v>32</v>
      </c>
      <c r="F490" s="1" t="s">
        <v>25</v>
      </c>
      <c r="G490" s="1" t="s">
        <v>26</v>
      </c>
      <c r="H490" s="1">
        <v>12896</v>
      </c>
      <c r="I490" s="1" t="s">
        <v>22</v>
      </c>
      <c r="J490" s="1">
        <v>0.1</v>
      </c>
      <c r="K490" s="1">
        <v>14000</v>
      </c>
      <c r="L490" s="2">
        <v>45325</v>
      </c>
      <c r="M490" s="11">
        <f>IF(OR(I490="",ISNA(MATCH(I490,{"DISC10","DISC15","DISC20","DISC30"},0))),0,J490)</f>
        <v>0.1</v>
      </c>
    </row>
    <row r="491" spans="1:13" x14ac:dyDescent="0.35">
      <c r="A491" s="1" t="s">
        <v>712</v>
      </c>
      <c r="B491" s="1" t="s">
        <v>711</v>
      </c>
      <c r="C491" s="1" t="s">
        <v>30</v>
      </c>
      <c r="D491" s="1" t="s">
        <v>31</v>
      </c>
      <c r="E491" s="1" t="s">
        <v>16</v>
      </c>
      <c r="F491" s="1" t="s">
        <v>25</v>
      </c>
      <c r="G491" s="1" t="s">
        <v>18</v>
      </c>
      <c r="H491" s="1">
        <v>16395</v>
      </c>
      <c r="I491" s="1" t="s">
        <v>19</v>
      </c>
      <c r="J491" s="1">
        <v>0.2</v>
      </c>
      <c r="K491" s="1">
        <v>17000</v>
      </c>
      <c r="L491" s="2">
        <v>45350</v>
      </c>
      <c r="M491" s="11">
        <f>IF(OR(I491="",ISNA(MATCH(I491,{"DISC10","DISC15","DISC20","DISC30"},0))),0,J491)</f>
        <v>0.2</v>
      </c>
    </row>
    <row r="492" spans="1:13" x14ac:dyDescent="0.35">
      <c r="A492" s="1" t="s">
        <v>713</v>
      </c>
      <c r="B492" s="1" t="s">
        <v>140</v>
      </c>
      <c r="C492" s="1" t="s">
        <v>30</v>
      </c>
      <c r="D492" s="1" t="s">
        <v>31</v>
      </c>
      <c r="E492" s="1" t="s">
        <v>32</v>
      </c>
      <c r="F492" s="1" t="s">
        <v>25</v>
      </c>
      <c r="G492" s="1" t="s">
        <v>18</v>
      </c>
      <c r="H492" s="1">
        <v>17402</v>
      </c>
      <c r="I492" s="1" t="s">
        <v>19</v>
      </c>
      <c r="J492" s="1">
        <v>0.2</v>
      </c>
      <c r="K492" s="1">
        <v>17000</v>
      </c>
      <c r="L492" s="2">
        <v>45341</v>
      </c>
      <c r="M492" s="11">
        <f>IF(OR(I492="",ISNA(MATCH(I492,{"DISC10","DISC15","DISC20","DISC30"},0))),0,J492)</f>
        <v>0.2</v>
      </c>
    </row>
    <row r="493" spans="1:13" x14ac:dyDescent="0.35">
      <c r="A493" s="1" t="s">
        <v>714</v>
      </c>
      <c r="B493" s="1" t="s">
        <v>159</v>
      </c>
      <c r="C493" s="1" t="s">
        <v>30</v>
      </c>
      <c r="D493" s="1" t="s">
        <v>31</v>
      </c>
      <c r="E493" s="1" t="s">
        <v>32</v>
      </c>
      <c r="F493" s="1" t="s">
        <v>17</v>
      </c>
      <c r="G493" s="1" t="s">
        <v>26</v>
      </c>
      <c r="H493" s="1">
        <v>18858</v>
      </c>
      <c r="I493" s="1"/>
      <c r="J493" s="1"/>
      <c r="K493" s="1">
        <v>17000</v>
      </c>
      <c r="L493" s="2">
        <v>45329</v>
      </c>
      <c r="M493" s="11">
        <f>IF(OR(I493="",ISNA(MATCH(I493,{"DISC10","DISC15","DISC20","DISC30"},0))),0,J493)</f>
        <v>0</v>
      </c>
    </row>
    <row r="494" spans="1:13" x14ac:dyDescent="0.35">
      <c r="A494" s="1" t="s">
        <v>715</v>
      </c>
      <c r="B494" s="1" t="s">
        <v>432</v>
      </c>
      <c r="C494" s="1" t="s">
        <v>30</v>
      </c>
      <c r="D494" s="1" t="s">
        <v>31</v>
      </c>
      <c r="E494" s="1" t="s">
        <v>46</v>
      </c>
      <c r="F494" s="1" t="s">
        <v>25</v>
      </c>
      <c r="G494" s="1" t="s">
        <v>18</v>
      </c>
      <c r="H494" s="1">
        <v>17999</v>
      </c>
      <c r="I494" s="1"/>
      <c r="J494" s="1"/>
      <c r="K494" s="1">
        <v>17000</v>
      </c>
      <c r="L494" s="2">
        <v>45342</v>
      </c>
      <c r="M494" s="11">
        <f>IF(OR(I494="",ISNA(MATCH(I494,{"DISC10","DISC15","DISC20","DISC30"},0))),0,J494)</f>
        <v>0</v>
      </c>
    </row>
    <row r="495" spans="1:13" x14ac:dyDescent="0.35">
      <c r="A495" s="1" t="s">
        <v>716</v>
      </c>
      <c r="B495" s="1" t="s">
        <v>591</v>
      </c>
      <c r="C495" s="1" t="s">
        <v>30</v>
      </c>
      <c r="D495" s="1" t="s">
        <v>31</v>
      </c>
      <c r="E495" s="1" t="s">
        <v>32</v>
      </c>
      <c r="F495" s="1" t="s">
        <v>39</v>
      </c>
      <c r="G495" s="1" t="s">
        <v>26</v>
      </c>
      <c r="H495" s="1">
        <v>17840</v>
      </c>
      <c r="I495" s="1" t="s">
        <v>27</v>
      </c>
      <c r="J495" s="1"/>
      <c r="K495" s="1">
        <v>17000</v>
      </c>
      <c r="L495" s="2">
        <v>45342</v>
      </c>
      <c r="M495" s="11">
        <f>IF(OR(I495="",ISNA(MATCH(I495,{"DISC10","DISC15","DISC20","DISC30"},0))),0,J495)</f>
        <v>0</v>
      </c>
    </row>
    <row r="496" spans="1:13" x14ac:dyDescent="0.35">
      <c r="A496" s="1" t="s">
        <v>717</v>
      </c>
      <c r="B496" s="1" t="s">
        <v>408</v>
      </c>
      <c r="C496" s="1" t="s">
        <v>44</v>
      </c>
      <c r="D496" s="1" t="s">
        <v>45</v>
      </c>
      <c r="E496" s="1" t="s">
        <v>46</v>
      </c>
      <c r="F496" s="1" t="s">
        <v>17</v>
      </c>
      <c r="G496" s="1" t="s">
        <v>26</v>
      </c>
      <c r="H496" s="1">
        <v>13820</v>
      </c>
      <c r="I496" s="1" t="s">
        <v>33</v>
      </c>
      <c r="J496" s="1">
        <v>0.3</v>
      </c>
      <c r="K496" s="1">
        <v>13000</v>
      </c>
      <c r="L496" s="2">
        <v>45300</v>
      </c>
      <c r="M496" s="11">
        <f>IF(OR(I496="",ISNA(MATCH(I496,{"DISC10","DISC15","DISC20","DISC30"},0))),0,J496)</f>
        <v>0.3</v>
      </c>
    </row>
    <row r="497" spans="1:13" x14ac:dyDescent="0.35">
      <c r="A497" s="1" t="s">
        <v>718</v>
      </c>
      <c r="B497" s="1" t="s">
        <v>280</v>
      </c>
      <c r="C497" s="1" t="s">
        <v>14</v>
      </c>
      <c r="D497" s="1" t="s">
        <v>15</v>
      </c>
      <c r="E497" s="1" t="s">
        <v>16</v>
      </c>
      <c r="F497" s="1" t="s">
        <v>39</v>
      </c>
      <c r="G497" s="1" t="s">
        <v>36</v>
      </c>
      <c r="H497" s="1">
        <v>15484</v>
      </c>
      <c r="I497" s="1" t="s">
        <v>27</v>
      </c>
      <c r="J497" s="1"/>
      <c r="K497" s="1">
        <v>14000</v>
      </c>
      <c r="L497" s="2">
        <v>45294</v>
      </c>
      <c r="M497" s="11">
        <f>IF(OR(I497="",ISNA(MATCH(I497,{"DISC10","DISC15","DISC20","DISC30"},0))),0,J497)</f>
        <v>0</v>
      </c>
    </row>
    <row r="498" spans="1:13" x14ac:dyDescent="0.35">
      <c r="A498" s="1" t="s">
        <v>719</v>
      </c>
      <c r="B498" s="1" t="s">
        <v>720</v>
      </c>
      <c r="C498" s="1" t="s">
        <v>30</v>
      </c>
      <c r="D498" s="1" t="s">
        <v>31</v>
      </c>
      <c r="E498" s="1" t="s">
        <v>16</v>
      </c>
      <c r="F498" s="1" t="s">
        <v>25</v>
      </c>
      <c r="G498" s="1" t="s">
        <v>26</v>
      </c>
      <c r="H498" s="1">
        <v>17316</v>
      </c>
      <c r="I498" s="1" t="s">
        <v>22</v>
      </c>
      <c r="J498" s="1">
        <v>0.1</v>
      </c>
      <c r="K498" s="1">
        <v>17000</v>
      </c>
      <c r="L498" s="2">
        <v>45351</v>
      </c>
      <c r="M498" s="11">
        <f>IF(OR(I498="",ISNA(MATCH(I498,{"DISC10","DISC15","DISC20","DISC30"},0))),0,J498)</f>
        <v>0.1</v>
      </c>
    </row>
    <row r="499" spans="1:13" x14ac:dyDescent="0.35">
      <c r="A499" s="1" t="s">
        <v>721</v>
      </c>
      <c r="B499" s="1" t="s">
        <v>508</v>
      </c>
      <c r="C499" s="1" t="s">
        <v>30</v>
      </c>
      <c r="D499" s="1" t="s">
        <v>31</v>
      </c>
      <c r="E499" s="1" t="s">
        <v>16</v>
      </c>
      <c r="F499" s="1" t="s">
        <v>25</v>
      </c>
      <c r="G499" s="1" t="s">
        <v>18</v>
      </c>
      <c r="H499" s="1">
        <v>16420</v>
      </c>
      <c r="I499" s="1" t="s">
        <v>33</v>
      </c>
      <c r="J499" s="1">
        <v>0.3</v>
      </c>
      <c r="K499" s="1">
        <v>17000</v>
      </c>
      <c r="L499" s="2">
        <v>45302</v>
      </c>
      <c r="M499" s="11">
        <f>IF(OR(I499="",ISNA(MATCH(I499,{"DISC10","DISC15","DISC20","DISC30"},0))),0,J499)</f>
        <v>0.3</v>
      </c>
    </row>
    <row r="500" spans="1:13" x14ac:dyDescent="0.35">
      <c r="A500" s="1" t="s">
        <v>722</v>
      </c>
      <c r="B500" s="1" t="s">
        <v>13</v>
      </c>
      <c r="C500" s="1" t="s">
        <v>30</v>
      </c>
      <c r="D500" s="1" t="s">
        <v>31</v>
      </c>
      <c r="E500" s="1" t="s">
        <v>46</v>
      </c>
      <c r="F500" s="1" t="s">
        <v>25</v>
      </c>
      <c r="G500" s="1" t="s">
        <v>36</v>
      </c>
      <c r="H500" s="1">
        <v>15858</v>
      </c>
      <c r="I500" s="1" t="s">
        <v>19</v>
      </c>
      <c r="J500" s="1">
        <v>0.2</v>
      </c>
      <c r="K500" s="1">
        <v>17000</v>
      </c>
      <c r="L500" s="2">
        <v>45336</v>
      </c>
      <c r="M500" s="11">
        <f>IF(OR(I500="",ISNA(MATCH(I500,{"DISC10","DISC15","DISC20","DISC30"},0))),0,J500)</f>
        <v>0.2</v>
      </c>
    </row>
    <row r="501" spans="1:13" x14ac:dyDescent="0.35">
      <c r="A501" s="1" t="s">
        <v>723</v>
      </c>
      <c r="B501" s="1" t="s">
        <v>432</v>
      </c>
      <c r="C501" s="1" t="s">
        <v>30</v>
      </c>
      <c r="D501" s="1" t="s">
        <v>31</v>
      </c>
      <c r="E501" s="1" t="s">
        <v>32</v>
      </c>
      <c r="F501" s="1" t="s">
        <v>39</v>
      </c>
      <c r="G501" s="1" t="s">
        <v>18</v>
      </c>
      <c r="H501" s="1">
        <v>15197</v>
      </c>
      <c r="I501" s="1"/>
      <c r="J501" s="1"/>
      <c r="K501" s="1">
        <v>17000</v>
      </c>
      <c r="L501" s="2">
        <v>45320</v>
      </c>
      <c r="M501" s="11">
        <f>IF(OR(I501="",ISNA(MATCH(I501,{"DISC10","DISC15","DISC20","DISC30"},0))),0,J501)</f>
        <v>0</v>
      </c>
    </row>
    <row r="502" spans="1:13" x14ac:dyDescent="0.35">
      <c r="A502" s="1" t="s">
        <v>724</v>
      </c>
      <c r="B502" s="1" t="s">
        <v>127</v>
      </c>
      <c r="C502" s="1" t="s">
        <v>44</v>
      </c>
      <c r="D502" s="1" t="s">
        <v>45</v>
      </c>
      <c r="E502" s="1" t="s">
        <v>46</v>
      </c>
      <c r="F502" s="1" t="s">
        <v>17</v>
      </c>
      <c r="G502" s="1" t="s">
        <v>36</v>
      </c>
      <c r="H502" s="1">
        <v>12438</v>
      </c>
      <c r="I502" s="1" t="s">
        <v>27</v>
      </c>
      <c r="J502" s="1"/>
      <c r="K502" s="1">
        <v>13000</v>
      </c>
      <c r="L502" s="2">
        <v>45316</v>
      </c>
      <c r="M502" s="11">
        <f>IF(OR(I502="",ISNA(MATCH(I502,{"DISC10","DISC15","DISC20","DISC30"},0))),0,J502)</f>
        <v>0</v>
      </c>
    </row>
    <row r="503" spans="1:13" x14ac:dyDescent="0.35">
      <c r="A503" s="1" t="s">
        <v>725</v>
      </c>
      <c r="B503" s="1" t="s">
        <v>159</v>
      </c>
      <c r="C503" s="1" t="s">
        <v>61</v>
      </c>
      <c r="D503" s="1" t="s">
        <v>62</v>
      </c>
      <c r="E503" s="1" t="s">
        <v>16</v>
      </c>
      <c r="F503" s="1" t="s">
        <v>39</v>
      </c>
      <c r="G503" s="1" t="s">
        <v>26</v>
      </c>
      <c r="H503" s="1">
        <v>7923</v>
      </c>
      <c r="I503" s="1" t="s">
        <v>19</v>
      </c>
      <c r="J503" s="1">
        <v>0.2</v>
      </c>
      <c r="K503" s="1">
        <v>9000</v>
      </c>
      <c r="L503" s="2">
        <v>45320</v>
      </c>
      <c r="M503" s="11">
        <f>IF(OR(I503="",ISNA(MATCH(I503,{"DISC10","DISC15","DISC20","DISC30"},0))),0,J503)</f>
        <v>0.2</v>
      </c>
    </row>
    <row r="504" spans="1:13" x14ac:dyDescent="0.35">
      <c r="A504" s="1" t="s">
        <v>726</v>
      </c>
      <c r="B504" s="1" t="s">
        <v>200</v>
      </c>
      <c r="C504" s="1" t="s">
        <v>14</v>
      </c>
      <c r="D504" s="1" t="s">
        <v>15</v>
      </c>
      <c r="E504" s="1" t="s">
        <v>46</v>
      </c>
      <c r="F504" s="1" t="s">
        <v>25</v>
      </c>
      <c r="G504" s="1" t="s">
        <v>36</v>
      </c>
      <c r="H504" s="1">
        <v>13069</v>
      </c>
      <c r="I504" s="1" t="s">
        <v>22</v>
      </c>
      <c r="J504" s="1">
        <v>0.1</v>
      </c>
      <c r="K504" s="1">
        <v>14000</v>
      </c>
      <c r="L504" s="2">
        <v>45296</v>
      </c>
      <c r="M504" s="11">
        <f>IF(OR(I504="",ISNA(MATCH(I504,{"DISC10","DISC15","DISC20","DISC30"},0))),0,J504)</f>
        <v>0.1</v>
      </c>
    </row>
    <row r="505" spans="1:13" x14ac:dyDescent="0.35">
      <c r="A505" s="1" t="s">
        <v>727</v>
      </c>
      <c r="B505" s="1" t="s">
        <v>728</v>
      </c>
      <c r="C505" s="1" t="s">
        <v>61</v>
      </c>
      <c r="D505" s="1" t="s">
        <v>62</v>
      </c>
      <c r="E505" s="1" t="s">
        <v>32</v>
      </c>
      <c r="F505" s="1" t="s">
        <v>39</v>
      </c>
      <c r="G505" s="1" t="s">
        <v>18</v>
      </c>
      <c r="H505" s="1">
        <v>9240</v>
      </c>
      <c r="I505" s="1" t="s">
        <v>22</v>
      </c>
      <c r="J505" s="1">
        <v>0.1</v>
      </c>
      <c r="K505" s="1">
        <v>9000</v>
      </c>
      <c r="L505" s="2">
        <v>45313</v>
      </c>
      <c r="M505" s="11">
        <f>IF(OR(I505="",ISNA(MATCH(I505,{"DISC10","DISC15","DISC20","DISC30"},0))),0,J505)</f>
        <v>0.1</v>
      </c>
    </row>
    <row r="506" spans="1:13" x14ac:dyDescent="0.35">
      <c r="A506" s="1" t="s">
        <v>729</v>
      </c>
      <c r="B506" s="1" t="s">
        <v>195</v>
      </c>
      <c r="C506" s="1" t="s">
        <v>61</v>
      </c>
      <c r="D506" s="1" t="s">
        <v>62</v>
      </c>
      <c r="E506" s="1" t="s">
        <v>16</v>
      </c>
      <c r="F506" s="1" t="s">
        <v>25</v>
      </c>
      <c r="G506" s="1" t="s">
        <v>36</v>
      </c>
      <c r="H506" s="1">
        <v>10860</v>
      </c>
      <c r="I506" s="1" t="s">
        <v>19</v>
      </c>
      <c r="J506" s="1">
        <v>0.2</v>
      </c>
      <c r="K506" s="1">
        <v>9000</v>
      </c>
      <c r="L506" s="2">
        <v>45330</v>
      </c>
      <c r="M506" s="11">
        <f>IF(OR(I506="",ISNA(MATCH(I506,{"DISC10","DISC15","DISC20","DISC30"},0))),0,J506)</f>
        <v>0.2</v>
      </c>
    </row>
    <row r="507" spans="1:13" x14ac:dyDescent="0.35">
      <c r="A507" s="1" t="s">
        <v>730</v>
      </c>
      <c r="B507" s="1" t="s">
        <v>137</v>
      </c>
      <c r="C507" s="1" t="s">
        <v>44</v>
      </c>
      <c r="D507" s="1" t="s">
        <v>45</v>
      </c>
      <c r="E507" s="1" t="s">
        <v>32</v>
      </c>
      <c r="F507" s="1" t="s">
        <v>25</v>
      </c>
      <c r="G507" s="1" t="s">
        <v>36</v>
      </c>
      <c r="H507" s="1">
        <v>11841</v>
      </c>
      <c r="I507" s="1" t="s">
        <v>19</v>
      </c>
      <c r="J507" s="1">
        <v>0.2</v>
      </c>
      <c r="K507" s="1">
        <v>13000</v>
      </c>
      <c r="L507" s="2">
        <v>45318</v>
      </c>
      <c r="M507" s="11">
        <f>IF(OR(I507="",ISNA(MATCH(I507,{"DISC10","DISC15","DISC20","DISC30"},0))),0,J507)</f>
        <v>0.2</v>
      </c>
    </row>
    <row r="508" spans="1:13" x14ac:dyDescent="0.35">
      <c r="A508" s="1" t="s">
        <v>731</v>
      </c>
      <c r="B508" s="1" t="s">
        <v>103</v>
      </c>
      <c r="C508" s="1" t="s">
        <v>30</v>
      </c>
      <c r="D508" s="1" t="s">
        <v>31</v>
      </c>
      <c r="E508" s="1" t="s">
        <v>16</v>
      </c>
      <c r="F508" s="1" t="s">
        <v>17</v>
      </c>
      <c r="G508" s="1" t="s">
        <v>36</v>
      </c>
      <c r="H508" s="1">
        <v>15972</v>
      </c>
      <c r="I508" s="1" t="s">
        <v>22</v>
      </c>
      <c r="J508" s="1">
        <v>0.1</v>
      </c>
      <c r="K508" s="1">
        <v>17000</v>
      </c>
      <c r="L508" s="2">
        <v>45295</v>
      </c>
      <c r="M508" s="11">
        <f>IF(OR(I508="",ISNA(MATCH(I508,{"DISC10","DISC15","DISC20","DISC30"},0))),0,J508)</f>
        <v>0.1</v>
      </c>
    </row>
    <row r="509" spans="1:13" x14ac:dyDescent="0.35">
      <c r="A509" s="1" t="s">
        <v>732</v>
      </c>
      <c r="B509" s="1" t="s">
        <v>617</v>
      </c>
      <c r="C509" s="1" t="s">
        <v>61</v>
      </c>
      <c r="D509" s="1" t="s">
        <v>62</v>
      </c>
      <c r="E509" s="1" t="s">
        <v>32</v>
      </c>
      <c r="F509" s="1" t="s">
        <v>25</v>
      </c>
      <c r="G509" s="1" t="s">
        <v>36</v>
      </c>
      <c r="H509" s="1">
        <v>7015</v>
      </c>
      <c r="I509" s="1"/>
      <c r="J509" s="1"/>
      <c r="K509" s="1">
        <v>9000</v>
      </c>
      <c r="L509" s="2">
        <v>45297</v>
      </c>
      <c r="M509" s="11">
        <f>IF(OR(I509="",ISNA(MATCH(I509,{"DISC10","DISC15","DISC20","DISC30"},0))),0,J509)</f>
        <v>0</v>
      </c>
    </row>
    <row r="510" spans="1:13" x14ac:dyDescent="0.35">
      <c r="A510" s="1" t="s">
        <v>733</v>
      </c>
      <c r="B510" s="1" t="s">
        <v>142</v>
      </c>
      <c r="C510" s="1" t="s">
        <v>61</v>
      </c>
      <c r="D510" s="1" t="s">
        <v>62</v>
      </c>
      <c r="E510" s="1" t="s">
        <v>32</v>
      </c>
      <c r="F510" s="1" t="s">
        <v>25</v>
      </c>
      <c r="G510" s="1" t="s">
        <v>18</v>
      </c>
      <c r="H510" s="1">
        <v>7847</v>
      </c>
      <c r="I510" s="1" t="s">
        <v>19</v>
      </c>
      <c r="J510" s="1">
        <v>0.2</v>
      </c>
      <c r="K510" s="1">
        <v>9000</v>
      </c>
      <c r="L510" s="2">
        <v>45332</v>
      </c>
      <c r="M510" s="11">
        <f>IF(OR(I510="",ISNA(MATCH(I510,{"DISC10","DISC15","DISC20","DISC30"},0))),0,J510)</f>
        <v>0.2</v>
      </c>
    </row>
    <row r="511" spans="1:13" x14ac:dyDescent="0.35">
      <c r="A511" s="1" t="s">
        <v>734</v>
      </c>
      <c r="B511" s="1" t="s">
        <v>222</v>
      </c>
      <c r="C511" s="1" t="s">
        <v>61</v>
      </c>
      <c r="D511" s="1" t="s">
        <v>62</v>
      </c>
      <c r="E511" s="1" t="s">
        <v>32</v>
      </c>
      <c r="F511" s="1" t="s">
        <v>17</v>
      </c>
      <c r="G511" s="1" t="s">
        <v>36</v>
      </c>
      <c r="H511" s="1">
        <v>8928</v>
      </c>
      <c r="I511" s="1"/>
      <c r="J511" s="1"/>
      <c r="K511" s="1">
        <v>9000</v>
      </c>
      <c r="L511" s="2">
        <v>45349</v>
      </c>
      <c r="M511" s="11">
        <f>IF(OR(I511="",ISNA(MATCH(I511,{"DISC10","DISC15","DISC20","DISC30"},0))),0,J511)</f>
        <v>0</v>
      </c>
    </row>
    <row r="512" spans="1:13" x14ac:dyDescent="0.35">
      <c r="A512" s="1" t="s">
        <v>735</v>
      </c>
      <c r="B512" s="1" t="s">
        <v>278</v>
      </c>
      <c r="C512" s="1" t="s">
        <v>14</v>
      </c>
      <c r="D512" s="1" t="s">
        <v>15</v>
      </c>
      <c r="E512" s="1" t="s">
        <v>16</v>
      </c>
      <c r="F512" s="1" t="s">
        <v>39</v>
      </c>
      <c r="G512" s="1" t="s">
        <v>36</v>
      </c>
      <c r="H512" s="1">
        <v>12757</v>
      </c>
      <c r="I512" s="1" t="s">
        <v>33</v>
      </c>
      <c r="J512" s="1">
        <v>0.3</v>
      </c>
      <c r="K512" s="1">
        <v>14000</v>
      </c>
      <c r="L512" s="2">
        <v>45348</v>
      </c>
      <c r="M512" s="11">
        <f>IF(OR(I512="",ISNA(MATCH(I512,{"DISC10","DISC15","DISC20","DISC30"},0))),0,J512)</f>
        <v>0.3</v>
      </c>
    </row>
    <row r="513" spans="1:13" x14ac:dyDescent="0.35">
      <c r="A513" s="1" t="s">
        <v>736</v>
      </c>
      <c r="B513" s="1" t="s">
        <v>474</v>
      </c>
      <c r="C513" s="1" t="s">
        <v>44</v>
      </c>
      <c r="D513" s="1" t="s">
        <v>45</v>
      </c>
      <c r="E513" s="1" t="s">
        <v>46</v>
      </c>
      <c r="F513" s="1" t="s">
        <v>25</v>
      </c>
      <c r="G513" s="1" t="s">
        <v>36</v>
      </c>
      <c r="H513" s="1">
        <v>12801</v>
      </c>
      <c r="I513" s="1"/>
      <c r="J513" s="1"/>
      <c r="K513" s="1">
        <v>13000</v>
      </c>
      <c r="L513" s="2">
        <v>45308</v>
      </c>
      <c r="M513" s="11">
        <f>IF(OR(I513="",ISNA(MATCH(I513,{"DISC10","DISC15","DISC20","DISC30"},0))),0,J513)</f>
        <v>0</v>
      </c>
    </row>
    <row r="514" spans="1:13" x14ac:dyDescent="0.35">
      <c r="A514" s="1" t="s">
        <v>737</v>
      </c>
      <c r="B514" s="1" t="s">
        <v>171</v>
      </c>
      <c r="C514" s="1" t="s">
        <v>30</v>
      </c>
      <c r="D514" s="1" t="s">
        <v>31</v>
      </c>
      <c r="E514" s="1" t="s">
        <v>16</v>
      </c>
      <c r="F514" s="1" t="s">
        <v>25</v>
      </c>
      <c r="G514" s="1" t="s">
        <v>18</v>
      </c>
      <c r="H514" s="1">
        <v>18081</v>
      </c>
      <c r="I514" s="1" t="s">
        <v>22</v>
      </c>
      <c r="J514" s="1">
        <v>0.1</v>
      </c>
      <c r="K514" s="1">
        <v>17000</v>
      </c>
      <c r="L514" s="2">
        <v>45297</v>
      </c>
      <c r="M514" s="11">
        <f>IF(OR(I514="",ISNA(MATCH(I514,{"DISC10","DISC15","DISC20","DISC30"},0))),0,J514)</f>
        <v>0.1</v>
      </c>
    </row>
    <row r="515" spans="1:13" x14ac:dyDescent="0.35">
      <c r="A515" s="1" t="s">
        <v>738</v>
      </c>
      <c r="B515" s="1" t="s">
        <v>317</v>
      </c>
      <c r="C515" s="1" t="s">
        <v>61</v>
      </c>
      <c r="D515" s="1" t="s">
        <v>62</v>
      </c>
      <c r="E515" s="1" t="s">
        <v>16</v>
      </c>
      <c r="F515" s="1" t="s">
        <v>25</v>
      </c>
      <c r="G515" s="1" t="s">
        <v>26</v>
      </c>
      <c r="H515" s="1">
        <v>7249</v>
      </c>
      <c r="I515" s="1"/>
      <c r="J515" s="1"/>
      <c r="K515" s="1">
        <v>9000</v>
      </c>
      <c r="L515" s="2">
        <v>45344</v>
      </c>
      <c r="M515" s="11">
        <f>IF(OR(I515="",ISNA(MATCH(I515,{"DISC10","DISC15","DISC20","DISC30"},0))),0,J515)</f>
        <v>0</v>
      </c>
    </row>
    <row r="516" spans="1:13" x14ac:dyDescent="0.35">
      <c r="A516" s="1" t="s">
        <v>739</v>
      </c>
      <c r="B516" s="1" t="s">
        <v>388</v>
      </c>
      <c r="C516" s="1" t="s">
        <v>61</v>
      </c>
      <c r="D516" s="1" t="s">
        <v>62</v>
      </c>
      <c r="E516" s="1" t="s">
        <v>16</v>
      </c>
      <c r="F516" s="1" t="s">
        <v>25</v>
      </c>
      <c r="G516" s="1" t="s">
        <v>36</v>
      </c>
      <c r="H516" s="1">
        <v>8224</v>
      </c>
      <c r="I516" s="1" t="s">
        <v>22</v>
      </c>
      <c r="J516" s="1">
        <v>0.1</v>
      </c>
      <c r="K516" s="1">
        <v>9000</v>
      </c>
      <c r="L516" s="2">
        <v>45317</v>
      </c>
      <c r="M516" s="11">
        <f>IF(OR(I516="",ISNA(MATCH(I516,{"DISC10","DISC15","DISC20","DISC30"},0))),0,J516)</f>
        <v>0.1</v>
      </c>
    </row>
    <row r="517" spans="1:13" x14ac:dyDescent="0.35">
      <c r="A517" s="1" t="s">
        <v>740</v>
      </c>
      <c r="B517" s="1" t="s">
        <v>454</v>
      </c>
      <c r="C517" s="1" t="s">
        <v>14</v>
      </c>
      <c r="D517" s="1" t="s">
        <v>15</v>
      </c>
      <c r="E517" s="1" t="s">
        <v>16</v>
      </c>
      <c r="F517" s="1" t="s">
        <v>39</v>
      </c>
      <c r="G517" s="1" t="s">
        <v>26</v>
      </c>
      <c r="H517" s="1">
        <v>15278</v>
      </c>
      <c r="I517" s="1" t="s">
        <v>27</v>
      </c>
      <c r="J517" s="1"/>
      <c r="K517" s="1">
        <v>14000</v>
      </c>
      <c r="L517" s="2">
        <v>45335</v>
      </c>
      <c r="M517" s="11">
        <f>IF(OR(I517="",ISNA(MATCH(I517,{"DISC10","DISC15","DISC20","DISC30"},0))),0,J517)</f>
        <v>0</v>
      </c>
    </row>
    <row r="518" spans="1:13" x14ac:dyDescent="0.35">
      <c r="A518" s="1" t="s">
        <v>741</v>
      </c>
      <c r="B518" s="1" t="s">
        <v>373</v>
      </c>
      <c r="C518" s="1" t="s">
        <v>14</v>
      </c>
      <c r="D518" s="1" t="s">
        <v>15</v>
      </c>
      <c r="E518" s="1" t="s">
        <v>46</v>
      </c>
      <c r="F518" s="1" t="s">
        <v>25</v>
      </c>
      <c r="G518" s="1" t="s">
        <v>18</v>
      </c>
      <c r="H518" s="1">
        <v>15981</v>
      </c>
      <c r="I518" s="1" t="s">
        <v>19</v>
      </c>
      <c r="J518" s="1">
        <v>0.2</v>
      </c>
      <c r="K518" s="1">
        <v>14000</v>
      </c>
      <c r="L518" s="2">
        <v>45343</v>
      </c>
      <c r="M518" s="11">
        <f>IF(OR(I518="",ISNA(MATCH(I518,{"DISC10","DISC15","DISC20","DISC30"},0))),0,J518)</f>
        <v>0.2</v>
      </c>
    </row>
    <row r="519" spans="1:13" x14ac:dyDescent="0.35">
      <c r="A519" s="1" t="s">
        <v>742</v>
      </c>
      <c r="B519" s="1" t="s">
        <v>235</v>
      </c>
      <c r="C519" s="1" t="s">
        <v>14</v>
      </c>
      <c r="D519" s="1" t="s">
        <v>15</v>
      </c>
      <c r="E519" s="1" t="s">
        <v>46</v>
      </c>
      <c r="F519" s="1" t="s">
        <v>25</v>
      </c>
      <c r="G519" s="1" t="s">
        <v>26</v>
      </c>
      <c r="H519" s="1">
        <v>13783</v>
      </c>
      <c r="I519" s="1" t="s">
        <v>19</v>
      </c>
      <c r="J519" s="1">
        <v>0.2</v>
      </c>
      <c r="K519" s="1">
        <v>14000</v>
      </c>
      <c r="L519" s="2">
        <v>45344</v>
      </c>
      <c r="M519" s="11">
        <f>IF(OR(I519="",ISNA(MATCH(I519,{"DISC10","DISC15","DISC20","DISC30"},0))),0,J519)</f>
        <v>0.2</v>
      </c>
    </row>
    <row r="520" spans="1:13" x14ac:dyDescent="0.35">
      <c r="A520" s="1" t="s">
        <v>743</v>
      </c>
      <c r="B520" s="1" t="s">
        <v>422</v>
      </c>
      <c r="C520" s="1" t="s">
        <v>30</v>
      </c>
      <c r="D520" s="1" t="s">
        <v>31</v>
      </c>
      <c r="E520" s="1" t="s">
        <v>46</v>
      </c>
      <c r="F520" s="1" t="s">
        <v>39</v>
      </c>
      <c r="G520" s="1" t="s">
        <v>18</v>
      </c>
      <c r="H520" s="1">
        <v>15356</v>
      </c>
      <c r="I520" s="1"/>
      <c r="J520" s="1"/>
      <c r="K520" s="1">
        <v>17000</v>
      </c>
      <c r="L520" s="2">
        <v>45327</v>
      </c>
      <c r="M520" s="11">
        <f>IF(OR(I520="",ISNA(MATCH(I520,{"DISC10","DISC15","DISC20","DISC30"},0))),0,J520)</f>
        <v>0</v>
      </c>
    </row>
    <row r="521" spans="1:13" x14ac:dyDescent="0.35">
      <c r="A521" s="1" t="s">
        <v>744</v>
      </c>
      <c r="B521" s="1" t="s">
        <v>512</v>
      </c>
      <c r="C521" s="1" t="s">
        <v>30</v>
      </c>
      <c r="D521" s="1" t="s">
        <v>31</v>
      </c>
      <c r="E521" s="1" t="s">
        <v>46</v>
      </c>
      <c r="F521" s="1" t="s">
        <v>39</v>
      </c>
      <c r="G521" s="1" t="s">
        <v>36</v>
      </c>
      <c r="H521" s="1">
        <v>18756</v>
      </c>
      <c r="I521" s="1" t="s">
        <v>22</v>
      </c>
      <c r="J521" s="1">
        <v>0.1</v>
      </c>
      <c r="K521" s="1">
        <v>17000</v>
      </c>
      <c r="L521" s="2">
        <v>45342</v>
      </c>
      <c r="M521" s="11">
        <f>IF(OR(I521="",ISNA(MATCH(I521,{"DISC10","DISC15","DISC20","DISC30"},0))),0,J521)</f>
        <v>0.1</v>
      </c>
    </row>
    <row r="522" spans="1:13" x14ac:dyDescent="0.35">
      <c r="A522" s="1" t="s">
        <v>745</v>
      </c>
      <c r="B522" s="1" t="s">
        <v>672</v>
      </c>
      <c r="C522" s="1" t="s">
        <v>61</v>
      </c>
      <c r="D522" s="1" t="s">
        <v>62</v>
      </c>
      <c r="E522" s="1" t="s">
        <v>32</v>
      </c>
      <c r="F522" s="1" t="s">
        <v>17</v>
      </c>
      <c r="G522" s="1" t="s">
        <v>18</v>
      </c>
      <c r="H522" s="1">
        <v>7607</v>
      </c>
      <c r="I522" s="1" t="s">
        <v>27</v>
      </c>
      <c r="J522" s="1"/>
      <c r="K522" s="1">
        <v>9000</v>
      </c>
      <c r="L522" s="2">
        <v>45329</v>
      </c>
      <c r="M522" s="11">
        <f>IF(OR(I522="",ISNA(MATCH(I522,{"DISC10","DISC15","DISC20","DISC30"},0))),0,J522)</f>
        <v>0</v>
      </c>
    </row>
    <row r="523" spans="1:13" x14ac:dyDescent="0.35">
      <c r="A523" s="1" t="s">
        <v>746</v>
      </c>
      <c r="B523" s="1" t="s">
        <v>579</v>
      </c>
      <c r="C523" s="1" t="s">
        <v>14</v>
      </c>
      <c r="D523" s="1" t="s">
        <v>15</v>
      </c>
      <c r="E523" s="1" t="s">
        <v>32</v>
      </c>
      <c r="F523" s="1" t="s">
        <v>39</v>
      </c>
      <c r="G523" s="1" t="s">
        <v>18</v>
      </c>
      <c r="H523" s="1">
        <v>15218</v>
      </c>
      <c r="I523" s="1" t="s">
        <v>33</v>
      </c>
      <c r="J523" s="1">
        <v>0.3</v>
      </c>
      <c r="K523" s="1">
        <v>14000</v>
      </c>
      <c r="L523" s="2">
        <v>45347</v>
      </c>
      <c r="M523" s="11">
        <f>IF(OR(I523="",ISNA(MATCH(I523,{"DISC10","DISC15","DISC20","DISC30"},0))),0,J523)</f>
        <v>0.3</v>
      </c>
    </row>
    <row r="524" spans="1:13" x14ac:dyDescent="0.35">
      <c r="A524" s="1" t="s">
        <v>747</v>
      </c>
      <c r="B524" s="1" t="s">
        <v>217</v>
      </c>
      <c r="C524" s="1" t="s">
        <v>61</v>
      </c>
      <c r="D524" s="1" t="s">
        <v>62</v>
      </c>
      <c r="E524" s="1" t="s">
        <v>46</v>
      </c>
      <c r="F524" s="1" t="s">
        <v>17</v>
      </c>
      <c r="G524" s="1" t="s">
        <v>26</v>
      </c>
      <c r="H524" s="1">
        <v>8988</v>
      </c>
      <c r="I524" s="1" t="s">
        <v>27</v>
      </c>
      <c r="J524" s="1"/>
      <c r="K524" s="1">
        <v>9000</v>
      </c>
      <c r="L524" s="2">
        <v>45330</v>
      </c>
      <c r="M524" s="11">
        <f>IF(OR(I524="",ISNA(MATCH(I524,{"DISC10","DISC15","DISC20","DISC30"},0))),0,J524)</f>
        <v>0</v>
      </c>
    </row>
    <row r="525" spans="1:13" x14ac:dyDescent="0.35">
      <c r="A525" s="1" t="s">
        <v>748</v>
      </c>
      <c r="B525" s="1" t="s">
        <v>711</v>
      </c>
      <c r="C525" s="1" t="s">
        <v>44</v>
      </c>
      <c r="D525" s="1" t="s">
        <v>45</v>
      </c>
      <c r="E525" s="1" t="s">
        <v>46</v>
      </c>
      <c r="F525" s="1" t="s">
        <v>17</v>
      </c>
      <c r="G525" s="1" t="s">
        <v>18</v>
      </c>
      <c r="H525" s="1">
        <v>13532</v>
      </c>
      <c r="I525" s="1" t="s">
        <v>27</v>
      </c>
      <c r="J525" s="1"/>
      <c r="K525" s="1">
        <v>13000</v>
      </c>
      <c r="L525" s="2">
        <v>45335</v>
      </c>
      <c r="M525" s="11">
        <f>IF(OR(I525="",ISNA(MATCH(I525,{"DISC10","DISC15","DISC20","DISC30"},0))),0,J525)</f>
        <v>0</v>
      </c>
    </row>
    <row r="526" spans="1:13" x14ac:dyDescent="0.35">
      <c r="A526" s="1" t="s">
        <v>749</v>
      </c>
      <c r="B526" s="1" t="s">
        <v>127</v>
      </c>
      <c r="C526" s="1" t="s">
        <v>14</v>
      </c>
      <c r="D526" s="1" t="s">
        <v>15</v>
      </c>
      <c r="E526" s="1" t="s">
        <v>46</v>
      </c>
      <c r="F526" s="1" t="s">
        <v>17</v>
      </c>
      <c r="G526" s="1" t="s">
        <v>26</v>
      </c>
      <c r="H526" s="1">
        <v>12973</v>
      </c>
      <c r="I526" s="1" t="s">
        <v>22</v>
      </c>
      <c r="J526" s="1">
        <v>0.1</v>
      </c>
      <c r="K526" s="1">
        <v>14000</v>
      </c>
      <c r="L526" s="2">
        <v>45339</v>
      </c>
      <c r="M526" s="11">
        <f>IF(OR(I526="",ISNA(MATCH(I526,{"DISC10","DISC15","DISC20","DISC30"},0))),0,J526)</f>
        <v>0.1</v>
      </c>
    </row>
    <row r="527" spans="1:13" x14ac:dyDescent="0.35">
      <c r="A527" s="1" t="s">
        <v>750</v>
      </c>
      <c r="B527" s="1" t="s">
        <v>123</v>
      </c>
      <c r="C527" s="1" t="s">
        <v>30</v>
      </c>
      <c r="D527" s="1" t="s">
        <v>31</v>
      </c>
      <c r="E527" s="1" t="s">
        <v>32</v>
      </c>
      <c r="F527" s="1" t="s">
        <v>17</v>
      </c>
      <c r="G527" s="1" t="s">
        <v>36</v>
      </c>
      <c r="H527" s="1">
        <v>16273</v>
      </c>
      <c r="I527" s="1" t="s">
        <v>33</v>
      </c>
      <c r="J527" s="1">
        <v>0.3</v>
      </c>
      <c r="K527" s="1">
        <v>17000</v>
      </c>
      <c r="L527" s="2">
        <v>45345</v>
      </c>
      <c r="M527" s="11">
        <f>IF(OR(I527="",ISNA(MATCH(I527,{"DISC10","DISC15","DISC20","DISC30"},0))),0,J527)</f>
        <v>0.3</v>
      </c>
    </row>
    <row r="528" spans="1:13" x14ac:dyDescent="0.35">
      <c r="A528" s="1" t="s">
        <v>751</v>
      </c>
      <c r="B528" s="1" t="s">
        <v>752</v>
      </c>
      <c r="C528" s="1" t="s">
        <v>14</v>
      </c>
      <c r="D528" s="1" t="s">
        <v>15</v>
      </c>
      <c r="E528" s="1" t="s">
        <v>32</v>
      </c>
      <c r="F528" s="1" t="s">
        <v>25</v>
      </c>
      <c r="G528" s="1" t="s">
        <v>36</v>
      </c>
      <c r="H528" s="1">
        <v>15990</v>
      </c>
      <c r="I528" s="1"/>
      <c r="J528" s="1"/>
      <c r="K528" s="1">
        <v>14000</v>
      </c>
      <c r="L528" s="2">
        <v>45341</v>
      </c>
      <c r="M528" s="11">
        <f>IF(OR(I528="",ISNA(MATCH(I528,{"DISC10","DISC15","DISC20","DISC30"},0))),0,J528)</f>
        <v>0</v>
      </c>
    </row>
    <row r="529" spans="1:13" x14ac:dyDescent="0.35">
      <c r="A529" s="1" t="s">
        <v>753</v>
      </c>
      <c r="B529" s="1" t="s">
        <v>303</v>
      </c>
      <c r="C529" s="1" t="s">
        <v>30</v>
      </c>
      <c r="D529" s="1" t="s">
        <v>31</v>
      </c>
      <c r="E529" s="1" t="s">
        <v>16</v>
      </c>
      <c r="F529" s="1" t="s">
        <v>17</v>
      </c>
      <c r="G529" s="1" t="s">
        <v>26</v>
      </c>
      <c r="H529" s="1">
        <v>17644</v>
      </c>
      <c r="I529" s="1" t="s">
        <v>22</v>
      </c>
      <c r="J529" s="1">
        <v>0.1</v>
      </c>
      <c r="K529" s="1">
        <v>17000</v>
      </c>
      <c r="L529" s="2">
        <v>45304</v>
      </c>
      <c r="M529" s="11">
        <f>IF(OR(I529="",ISNA(MATCH(I529,{"DISC10","DISC15","DISC20","DISC30"},0))),0,J529)</f>
        <v>0.1</v>
      </c>
    </row>
    <row r="530" spans="1:13" x14ac:dyDescent="0.35">
      <c r="A530" s="1" t="s">
        <v>754</v>
      </c>
      <c r="B530" s="1" t="s">
        <v>211</v>
      </c>
      <c r="C530" s="1" t="s">
        <v>61</v>
      </c>
      <c r="D530" s="1" t="s">
        <v>62</v>
      </c>
      <c r="E530" s="1" t="s">
        <v>16</v>
      </c>
      <c r="F530" s="1" t="s">
        <v>17</v>
      </c>
      <c r="G530" s="1" t="s">
        <v>26</v>
      </c>
      <c r="H530" s="1">
        <v>10552</v>
      </c>
      <c r="I530" s="1" t="s">
        <v>33</v>
      </c>
      <c r="J530" s="1">
        <v>0.3</v>
      </c>
      <c r="K530" s="1">
        <v>9000</v>
      </c>
      <c r="L530" s="2">
        <v>45344</v>
      </c>
      <c r="M530" s="11">
        <f>IF(OR(I530="",ISNA(MATCH(I530,{"DISC10","DISC15","DISC20","DISC30"},0))),0,J530)</f>
        <v>0.3</v>
      </c>
    </row>
    <row r="531" spans="1:13" x14ac:dyDescent="0.35">
      <c r="A531" s="1" t="s">
        <v>755</v>
      </c>
      <c r="B531" s="1" t="s">
        <v>166</v>
      </c>
      <c r="C531" s="1" t="s">
        <v>44</v>
      </c>
      <c r="D531" s="1" t="s">
        <v>45</v>
      </c>
      <c r="E531" s="1" t="s">
        <v>32</v>
      </c>
      <c r="F531" s="1" t="s">
        <v>17</v>
      </c>
      <c r="G531" s="1" t="s">
        <v>26</v>
      </c>
      <c r="H531" s="1">
        <v>13075</v>
      </c>
      <c r="I531" s="1"/>
      <c r="J531" s="1"/>
      <c r="K531" s="1">
        <v>13000</v>
      </c>
      <c r="L531" s="2">
        <v>45300</v>
      </c>
      <c r="M531" s="11">
        <f>IF(OR(I531="",ISNA(MATCH(I531,{"DISC10","DISC15","DISC20","DISC30"},0))),0,J531)</f>
        <v>0</v>
      </c>
    </row>
    <row r="532" spans="1:13" x14ac:dyDescent="0.35">
      <c r="A532" s="1" t="s">
        <v>756</v>
      </c>
      <c r="B532" s="1" t="s">
        <v>140</v>
      </c>
      <c r="C532" s="1" t="s">
        <v>14</v>
      </c>
      <c r="D532" s="1" t="s">
        <v>15</v>
      </c>
      <c r="E532" s="1" t="s">
        <v>32</v>
      </c>
      <c r="F532" s="1" t="s">
        <v>25</v>
      </c>
      <c r="G532" s="1" t="s">
        <v>18</v>
      </c>
      <c r="H532" s="1">
        <v>15428</v>
      </c>
      <c r="I532" s="1" t="s">
        <v>22</v>
      </c>
      <c r="J532" s="1">
        <v>0.1</v>
      </c>
      <c r="K532" s="1">
        <v>14000</v>
      </c>
      <c r="L532" s="2">
        <v>45307</v>
      </c>
      <c r="M532" s="11">
        <f>IF(OR(I532="",ISNA(MATCH(I532,{"DISC10","DISC15","DISC20","DISC30"},0))),0,J532)</f>
        <v>0.1</v>
      </c>
    </row>
    <row r="533" spans="1:13" x14ac:dyDescent="0.35">
      <c r="A533" s="1" t="s">
        <v>757</v>
      </c>
      <c r="B533" s="1" t="s">
        <v>489</v>
      </c>
      <c r="C533" s="1" t="s">
        <v>14</v>
      </c>
      <c r="D533" s="1" t="s">
        <v>15</v>
      </c>
      <c r="E533" s="1" t="s">
        <v>46</v>
      </c>
      <c r="F533" s="1" t="s">
        <v>39</v>
      </c>
      <c r="G533" s="1" t="s">
        <v>18</v>
      </c>
      <c r="H533" s="1">
        <v>13122</v>
      </c>
      <c r="I533" s="1" t="s">
        <v>33</v>
      </c>
      <c r="J533" s="1">
        <v>0.3</v>
      </c>
      <c r="K533" s="1">
        <v>14000</v>
      </c>
      <c r="L533" s="2">
        <v>45344</v>
      </c>
      <c r="M533" s="11">
        <f>IF(OR(I533="",ISNA(MATCH(I533,{"DISC10","DISC15","DISC20","DISC30"},0))),0,J533)</f>
        <v>0.3</v>
      </c>
    </row>
    <row r="534" spans="1:13" x14ac:dyDescent="0.35">
      <c r="A534" s="1" t="s">
        <v>758</v>
      </c>
      <c r="B534" s="1" t="s">
        <v>330</v>
      </c>
      <c r="C534" s="1" t="s">
        <v>61</v>
      </c>
      <c r="D534" s="1" t="s">
        <v>62</v>
      </c>
      <c r="E534" s="1" t="s">
        <v>16</v>
      </c>
      <c r="F534" s="1" t="s">
        <v>25</v>
      </c>
      <c r="G534" s="1" t="s">
        <v>26</v>
      </c>
      <c r="H534" s="1">
        <v>7125</v>
      </c>
      <c r="I534" s="1" t="s">
        <v>19</v>
      </c>
      <c r="J534" s="1">
        <v>0.2</v>
      </c>
      <c r="K534" s="1">
        <v>9000</v>
      </c>
      <c r="L534" s="2">
        <v>45315</v>
      </c>
      <c r="M534" s="11">
        <f>IF(OR(I534="",ISNA(MATCH(I534,{"DISC10","DISC15","DISC20","DISC30"},0))),0,J534)</f>
        <v>0.2</v>
      </c>
    </row>
    <row r="535" spans="1:13" x14ac:dyDescent="0.35">
      <c r="A535" s="1" t="s">
        <v>759</v>
      </c>
      <c r="B535" s="1" t="s">
        <v>600</v>
      </c>
      <c r="C535" s="1" t="s">
        <v>61</v>
      </c>
      <c r="D535" s="1" t="s">
        <v>62</v>
      </c>
      <c r="E535" s="1" t="s">
        <v>32</v>
      </c>
      <c r="F535" s="1" t="s">
        <v>17</v>
      </c>
      <c r="G535" s="1" t="s">
        <v>26</v>
      </c>
      <c r="H535" s="1">
        <v>9258</v>
      </c>
      <c r="I535" s="1" t="s">
        <v>33</v>
      </c>
      <c r="J535" s="1">
        <v>0.3</v>
      </c>
      <c r="K535" s="1">
        <v>9000</v>
      </c>
      <c r="L535" s="2">
        <v>45314</v>
      </c>
      <c r="M535" s="11">
        <f>IF(OR(I535="",ISNA(MATCH(I535,{"DISC10","DISC15","DISC20","DISC30"},0))),0,J535)</f>
        <v>0.3</v>
      </c>
    </row>
    <row r="536" spans="1:13" x14ac:dyDescent="0.35">
      <c r="A536" s="1" t="s">
        <v>760</v>
      </c>
      <c r="B536" s="1" t="s">
        <v>619</v>
      </c>
      <c r="C536" s="1" t="s">
        <v>30</v>
      </c>
      <c r="D536" s="1" t="s">
        <v>31</v>
      </c>
      <c r="E536" s="1" t="s">
        <v>16</v>
      </c>
      <c r="F536" s="1" t="s">
        <v>39</v>
      </c>
      <c r="G536" s="1" t="s">
        <v>18</v>
      </c>
      <c r="H536" s="1">
        <v>16167</v>
      </c>
      <c r="I536" s="1" t="s">
        <v>22</v>
      </c>
      <c r="J536" s="1">
        <v>0.1</v>
      </c>
      <c r="K536" s="1">
        <v>17000</v>
      </c>
      <c r="L536" s="2">
        <v>45316</v>
      </c>
      <c r="M536" s="11">
        <f>IF(OR(I536="",ISNA(MATCH(I536,{"DISC10","DISC15","DISC20","DISC30"},0))),0,J536)</f>
        <v>0.1</v>
      </c>
    </row>
    <row r="537" spans="1:13" x14ac:dyDescent="0.35">
      <c r="A537" s="1" t="s">
        <v>761</v>
      </c>
      <c r="B537" s="1" t="s">
        <v>243</v>
      </c>
      <c r="C537" s="1" t="s">
        <v>44</v>
      </c>
      <c r="D537" s="1" t="s">
        <v>45</v>
      </c>
      <c r="E537" s="1" t="s">
        <v>32</v>
      </c>
      <c r="F537" s="1" t="s">
        <v>39</v>
      </c>
      <c r="G537" s="1" t="s">
        <v>18</v>
      </c>
      <c r="H537" s="1">
        <v>13775</v>
      </c>
      <c r="I537" s="1" t="s">
        <v>19</v>
      </c>
      <c r="J537" s="1">
        <v>0.2</v>
      </c>
      <c r="K537" s="1">
        <v>13000</v>
      </c>
      <c r="L537" s="2">
        <v>45309</v>
      </c>
      <c r="M537" s="11">
        <f>IF(OR(I537="",ISNA(MATCH(I537,{"DISC10","DISC15","DISC20","DISC30"},0))),0,J537)</f>
        <v>0.2</v>
      </c>
    </row>
    <row r="538" spans="1:13" x14ac:dyDescent="0.35">
      <c r="A538" s="1" t="s">
        <v>762</v>
      </c>
      <c r="B538" s="1" t="s">
        <v>90</v>
      </c>
      <c r="C538" s="1" t="s">
        <v>14</v>
      </c>
      <c r="D538" s="1" t="s">
        <v>15</v>
      </c>
      <c r="E538" s="1" t="s">
        <v>16</v>
      </c>
      <c r="F538" s="1" t="s">
        <v>25</v>
      </c>
      <c r="G538" s="1" t="s">
        <v>36</v>
      </c>
      <c r="H538" s="1">
        <v>15733</v>
      </c>
      <c r="I538" s="1" t="s">
        <v>19</v>
      </c>
      <c r="J538" s="1">
        <v>0.2</v>
      </c>
      <c r="K538" s="1">
        <v>14000</v>
      </c>
      <c r="L538" s="2">
        <v>45333</v>
      </c>
      <c r="M538" s="11">
        <f>IF(OR(I538="",ISNA(MATCH(I538,{"DISC10","DISC15","DISC20","DISC30"},0))),0,J538)</f>
        <v>0.2</v>
      </c>
    </row>
    <row r="539" spans="1:13" x14ac:dyDescent="0.35">
      <c r="A539" s="1" t="s">
        <v>763</v>
      </c>
      <c r="B539" s="1" t="s">
        <v>720</v>
      </c>
      <c r="C539" s="1" t="s">
        <v>14</v>
      </c>
      <c r="D539" s="1" t="s">
        <v>15</v>
      </c>
      <c r="E539" s="1" t="s">
        <v>32</v>
      </c>
      <c r="F539" s="1" t="s">
        <v>17</v>
      </c>
      <c r="G539" s="1" t="s">
        <v>26</v>
      </c>
      <c r="H539" s="1">
        <v>15297</v>
      </c>
      <c r="I539" s="1" t="s">
        <v>33</v>
      </c>
      <c r="J539" s="1">
        <v>0.3</v>
      </c>
      <c r="K539" s="1">
        <v>14000</v>
      </c>
      <c r="L539" s="2">
        <v>45337</v>
      </c>
      <c r="M539" s="11">
        <f>IF(OR(I539="",ISNA(MATCH(I539,{"DISC10","DISC15","DISC20","DISC30"},0))),0,J539)</f>
        <v>0.3</v>
      </c>
    </row>
    <row r="540" spans="1:13" x14ac:dyDescent="0.35">
      <c r="A540" s="1" t="s">
        <v>764</v>
      </c>
      <c r="B540" s="1" t="s">
        <v>765</v>
      </c>
      <c r="C540" s="1" t="s">
        <v>30</v>
      </c>
      <c r="D540" s="1" t="s">
        <v>31</v>
      </c>
      <c r="E540" s="1" t="s">
        <v>46</v>
      </c>
      <c r="F540" s="1" t="s">
        <v>17</v>
      </c>
      <c r="G540" s="1" t="s">
        <v>36</v>
      </c>
      <c r="H540" s="1">
        <v>16880</v>
      </c>
      <c r="I540" s="1" t="s">
        <v>33</v>
      </c>
      <c r="J540" s="1">
        <v>0.3</v>
      </c>
      <c r="K540" s="1">
        <v>17000</v>
      </c>
      <c r="L540" s="2">
        <v>45305</v>
      </c>
      <c r="M540" s="11">
        <f>IF(OR(I540="",ISNA(MATCH(I540,{"DISC10","DISC15","DISC20","DISC30"},0))),0,J540)</f>
        <v>0.3</v>
      </c>
    </row>
    <row r="541" spans="1:13" x14ac:dyDescent="0.35">
      <c r="A541" s="1" t="s">
        <v>766</v>
      </c>
      <c r="B541" s="1" t="s">
        <v>123</v>
      </c>
      <c r="C541" s="1" t="s">
        <v>61</v>
      </c>
      <c r="D541" s="1" t="s">
        <v>62</v>
      </c>
      <c r="E541" s="1" t="s">
        <v>16</v>
      </c>
      <c r="F541" s="1" t="s">
        <v>25</v>
      </c>
      <c r="G541" s="1" t="s">
        <v>18</v>
      </c>
      <c r="H541" s="1">
        <v>9095</v>
      </c>
      <c r="I541" s="1" t="s">
        <v>33</v>
      </c>
      <c r="J541" s="1">
        <v>0.3</v>
      </c>
      <c r="K541" s="1">
        <v>9000</v>
      </c>
      <c r="L541" s="2">
        <v>45327</v>
      </c>
      <c r="M541" s="11">
        <f>IF(OR(I541="",ISNA(MATCH(I541,{"DISC10","DISC15","DISC20","DISC30"},0))),0,J541)</f>
        <v>0.3</v>
      </c>
    </row>
    <row r="542" spans="1:13" x14ac:dyDescent="0.35">
      <c r="A542" s="1" t="s">
        <v>767</v>
      </c>
      <c r="B542" s="1" t="s">
        <v>163</v>
      </c>
      <c r="C542" s="1" t="s">
        <v>30</v>
      </c>
      <c r="D542" s="1" t="s">
        <v>31</v>
      </c>
      <c r="E542" s="1" t="s">
        <v>46</v>
      </c>
      <c r="F542" s="1" t="s">
        <v>39</v>
      </c>
      <c r="G542" s="1" t="s">
        <v>18</v>
      </c>
      <c r="H542" s="1">
        <v>16973</v>
      </c>
      <c r="I542" s="1" t="s">
        <v>22</v>
      </c>
      <c r="J542" s="1">
        <v>0.1</v>
      </c>
      <c r="K542" s="1">
        <v>17000</v>
      </c>
      <c r="L542" s="2">
        <v>45313</v>
      </c>
      <c r="M542" s="11">
        <f>IF(OR(I542="",ISNA(MATCH(I542,{"DISC10","DISC15","DISC20","DISC30"},0))),0,J542)</f>
        <v>0.1</v>
      </c>
    </row>
    <row r="543" spans="1:13" x14ac:dyDescent="0.35">
      <c r="A543" s="1" t="s">
        <v>768</v>
      </c>
      <c r="B543" s="1" t="s">
        <v>286</v>
      </c>
      <c r="C543" s="1" t="s">
        <v>30</v>
      </c>
      <c r="D543" s="1" t="s">
        <v>31</v>
      </c>
      <c r="E543" s="1" t="s">
        <v>46</v>
      </c>
      <c r="F543" s="1" t="s">
        <v>17</v>
      </c>
      <c r="G543" s="1" t="s">
        <v>26</v>
      </c>
      <c r="H543" s="1">
        <v>17912</v>
      </c>
      <c r="I543" s="1" t="s">
        <v>33</v>
      </c>
      <c r="J543" s="1">
        <v>0.3</v>
      </c>
      <c r="K543" s="1">
        <v>17000</v>
      </c>
      <c r="L543" s="2">
        <v>45304</v>
      </c>
      <c r="M543" s="11">
        <f>IF(OR(I543="",ISNA(MATCH(I543,{"DISC10","DISC15","DISC20","DISC30"},0))),0,J543)</f>
        <v>0.3</v>
      </c>
    </row>
    <row r="544" spans="1:13" x14ac:dyDescent="0.35">
      <c r="A544" s="1" t="s">
        <v>769</v>
      </c>
      <c r="B544" s="1" t="s">
        <v>440</v>
      </c>
      <c r="C544" s="1" t="s">
        <v>44</v>
      </c>
      <c r="D544" s="1" t="s">
        <v>45</v>
      </c>
      <c r="E544" s="1" t="s">
        <v>32</v>
      </c>
      <c r="F544" s="1" t="s">
        <v>39</v>
      </c>
      <c r="G544" s="1" t="s">
        <v>36</v>
      </c>
      <c r="H544" s="1">
        <v>13705</v>
      </c>
      <c r="I544" s="1" t="s">
        <v>33</v>
      </c>
      <c r="J544" s="1">
        <v>0.3</v>
      </c>
      <c r="K544" s="1">
        <v>13000</v>
      </c>
      <c r="L544" s="2">
        <v>45335</v>
      </c>
      <c r="M544" s="11">
        <f>IF(OR(I544="",ISNA(MATCH(I544,{"DISC10","DISC15","DISC20","DISC30"},0))),0,J544)</f>
        <v>0.3</v>
      </c>
    </row>
    <row r="545" spans="1:13" x14ac:dyDescent="0.35">
      <c r="A545" s="1" t="s">
        <v>770</v>
      </c>
      <c r="B545" s="1" t="s">
        <v>280</v>
      </c>
      <c r="C545" s="1" t="s">
        <v>14</v>
      </c>
      <c r="D545" s="1" t="s">
        <v>15</v>
      </c>
      <c r="E545" s="1" t="s">
        <v>16</v>
      </c>
      <c r="F545" s="1" t="s">
        <v>17</v>
      </c>
      <c r="G545" s="1" t="s">
        <v>36</v>
      </c>
      <c r="H545" s="1">
        <v>13062</v>
      </c>
      <c r="I545" s="1"/>
      <c r="J545" s="1"/>
      <c r="K545" s="1">
        <v>14000</v>
      </c>
      <c r="L545" s="2">
        <v>45317</v>
      </c>
      <c r="M545" s="11">
        <f>IF(OR(I545="",ISNA(MATCH(I545,{"DISC10","DISC15","DISC20","DISC30"},0))),0,J545)</f>
        <v>0</v>
      </c>
    </row>
    <row r="546" spans="1:13" x14ac:dyDescent="0.35">
      <c r="A546" s="1" t="s">
        <v>771</v>
      </c>
      <c r="B546" s="1" t="s">
        <v>101</v>
      </c>
      <c r="C546" s="1" t="s">
        <v>14</v>
      </c>
      <c r="D546" s="1" t="s">
        <v>15</v>
      </c>
      <c r="E546" s="1" t="s">
        <v>16</v>
      </c>
      <c r="F546" s="1" t="s">
        <v>39</v>
      </c>
      <c r="G546" s="1" t="s">
        <v>26</v>
      </c>
      <c r="H546" s="1">
        <v>15342</v>
      </c>
      <c r="I546" s="1" t="s">
        <v>19</v>
      </c>
      <c r="J546" s="1">
        <v>0.2</v>
      </c>
      <c r="K546" s="1">
        <v>14000</v>
      </c>
      <c r="L546" s="2">
        <v>45313</v>
      </c>
      <c r="M546" s="11">
        <f>IF(OR(I546="",ISNA(MATCH(I546,{"DISC10","DISC15","DISC20","DISC30"},0))),0,J546)</f>
        <v>0.2</v>
      </c>
    </row>
    <row r="547" spans="1:13" x14ac:dyDescent="0.35">
      <c r="A547" s="1" t="s">
        <v>772</v>
      </c>
      <c r="B547" s="1" t="s">
        <v>342</v>
      </c>
      <c r="C547" s="1" t="s">
        <v>44</v>
      </c>
      <c r="D547" s="1" t="s">
        <v>45</v>
      </c>
      <c r="E547" s="1" t="s">
        <v>16</v>
      </c>
      <c r="F547" s="1" t="s">
        <v>39</v>
      </c>
      <c r="G547" s="1" t="s">
        <v>26</v>
      </c>
      <c r="H547" s="1">
        <v>14214</v>
      </c>
      <c r="I547" s="1"/>
      <c r="J547" s="1"/>
      <c r="K547" s="1">
        <v>13000</v>
      </c>
      <c r="L547" s="2">
        <v>45350</v>
      </c>
      <c r="M547" s="11">
        <f>IF(OR(I547="",ISNA(MATCH(I547,{"DISC10","DISC15","DISC20","DISC30"},0))),0,J547)</f>
        <v>0</v>
      </c>
    </row>
    <row r="548" spans="1:13" x14ac:dyDescent="0.35">
      <c r="A548" s="1" t="s">
        <v>773</v>
      </c>
      <c r="B548" s="1" t="s">
        <v>317</v>
      </c>
      <c r="C548" s="1" t="s">
        <v>30</v>
      </c>
      <c r="D548" s="1" t="s">
        <v>31</v>
      </c>
      <c r="E548" s="1" t="s">
        <v>32</v>
      </c>
      <c r="F548" s="1" t="s">
        <v>39</v>
      </c>
      <c r="G548" s="1" t="s">
        <v>26</v>
      </c>
      <c r="H548" s="1">
        <v>15741</v>
      </c>
      <c r="I548" s="1" t="s">
        <v>33</v>
      </c>
      <c r="J548" s="1">
        <v>0.3</v>
      </c>
      <c r="K548" s="1">
        <v>17000</v>
      </c>
      <c r="L548" s="2">
        <v>45298</v>
      </c>
      <c r="M548" s="11">
        <f>IF(OR(I548="",ISNA(MATCH(I548,{"DISC10","DISC15","DISC20","DISC30"},0))),0,J548)</f>
        <v>0.3</v>
      </c>
    </row>
    <row r="549" spans="1:13" x14ac:dyDescent="0.35">
      <c r="A549" s="1" t="s">
        <v>774</v>
      </c>
      <c r="B549" s="1" t="s">
        <v>508</v>
      </c>
      <c r="C549" s="1" t="s">
        <v>30</v>
      </c>
      <c r="D549" s="1" t="s">
        <v>31</v>
      </c>
      <c r="E549" s="1" t="s">
        <v>16</v>
      </c>
      <c r="F549" s="1" t="s">
        <v>39</v>
      </c>
      <c r="G549" s="1" t="s">
        <v>18</v>
      </c>
      <c r="H549" s="1">
        <v>18878</v>
      </c>
      <c r="I549" s="1" t="s">
        <v>33</v>
      </c>
      <c r="J549" s="1">
        <v>0.3</v>
      </c>
      <c r="K549" s="1">
        <v>17000</v>
      </c>
      <c r="L549" s="2">
        <v>45333</v>
      </c>
      <c r="M549" s="11">
        <f>IF(OR(I549="",ISNA(MATCH(I549,{"DISC10","DISC15","DISC20","DISC30"},0))),0,J549)</f>
        <v>0.3</v>
      </c>
    </row>
    <row r="550" spans="1:13" x14ac:dyDescent="0.35">
      <c r="A550" s="1" t="s">
        <v>775</v>
      </c>
      <c r="B550" s="1" t="s">
        <v>248</v>
      </c>
      <c r="C550" s="1" t="s">
        <v>30</v>
      </c>
      <c r="D550" s="1" t="s">
        <v>31</v>
      </c>
      <c r="E550" s="1" t="s">
        <v>32</v>
      </c>
      <c r="F550" s="1" t="s">
        <v>39</v>
      </c>
      <c r="G550" s="1" t="s">
        <v>36</v>
      </c>
      <c r="H550" s="1">
        <v>16722</v>
      </c>
      <c r="I550" s="1" t="s">
        <v>33</v>
      </c>
      <c r="J550" s="1">
        <v>0.3</v>
      </c>
      <c r="K550" s="1">
        <v>17000</v>
      </c>
      <c r="L550" s="2">
        <v>45315</v>
      </c>
      <c r="M550" s="11">
        <f>IF(OR(I550="",ISNA(MATCH(I550,{"DISC10","DISC15","DISC20","DISC30"},0))),0,J550)</f>
        <v>0.3</v>
      </c>
    </row>
    <row r="551" spans="1:13" x14ac:dyDescent="0.35">
      <c r="A551" s="1" t="s">
        <v>776</v>
      </c>
      <c r="B551" s="1" t="s">
        <v>118</v>
      </c>
      <c r="C551" s="1" t="s">
        <v>30</v>
      </c>
      <c r="D551" s="1" t="s">
        <v>31</v>
      </c>
      <c r="E551" s="1" t="s">
        <v>46</v>
      </c>
      <c r="F551" s="1" t="s">
        <v>25</v>
      </c>
      <c r="G551" s="1" t="s">
        <v>36</v>
      </c>
      <c r="H551" s="1">
        <v>15219</v>
      </c>
      <c r="I551" s="1" t="s">
        <v>27</v>
      </c>
      <c r="J551" s="1"/>
      <c r="K551" s="1">
        <v>17000</v>
      </c>
      <c r="L551" s="2">
        <v>45329</v>
      </c>
      <c r="M551" s="11">
        <f>IF(OR(I551="",ISNA(MATCH(I551,{"DISC10","DISC15","DISC20","DISC30"},0))),0,J551)</f>
        <v>0</v>
      </c>
    </row>
    <row r="552" spans="1:13" x14ac:dyDescent="0.35">
      <c r="A552" s="1" t="s">
        <v>777</v>
      </c>
      <c r="B552" s="1" t="s">
        <v>107</v>
      </c>
      <c r="C552" s="1" t="s">
        <v>61</v>
      </c>
      <c r="D552" s="1" t="s">
        <v>62</v>
      </c>
      <c r="E552" s="1" t="s">
        <v>32</v>
      </c>
      <c r="F552" s="1" t="s">
        <v>39</v>
      </c>
      <c r="G552" s="1" t="s">
        <v>18</v>
      </c>
      <c r="H552" s="1">
        <v>10553</v>
      </c>
      <c r="I552" s="1"/>
      <c r="J552" s="1"/>
      <c r="K552" s="1">
        <v>9000</v>
      </c>
      <c r="L552" s="2">
        <v>45325</v>
      </c>
      <c r="M552" s="11">
        <f>IF(OR(I552="",ISNA(MATCH(I552,{"DISC10","DISC15","DISC20","DISC30"},0))),0,J552)</f>
        <v>0</v>
      </c>
    </row>
    <row r="553" spans="1:13" x14ac:dyDescent="0.35">
      <c r="A553" s="1" t="s">
        <v>778</v>
      </c>
      <c r="B553" s="1" t="s">
        <v>70</v>
      </c>
      <c r="C553" s="1" t="s">
        <v>14</v>
      </c>
      <c r="D553" s="1" t="s">
        <v>15</v>
      </c>
      <c r="E553" s="1" t="s">
        <v>32</v>
      </c>
      <c r="F553" s="1" t="s">
        <v>25</v>
      </c>
      <c r="G553" s="1" t="s">
        <v>18</v>
      </c>
      <c r="H553" s="1">
        <v>13403</v>
      </c>
      <c r="I553" s="1"/>
      <c r="J553" s="1"/>
      <c r="K553" s="1">
        <v>14000</v>
      </c>
      <c r="L553" s="2">
        <v>45328</v>
      </c>
      <c r="M553" s="11">
        <f>IF(OR(I553="",ISNA(MATCH(I553,{"DISC10","DISC15","DISC20","DISC30"},0))),0,J553)</f>
        <v>0</v>
      </c>
    </row>
    <row r="554" spans="1:13" x14ac:dyDescent="0.35">
      <c r="A554" s="1" t="s">
        <v>779</v>
      </c>
      <c r="B554" s="1" t="s">
        <v>445</v>
      </c>
      <c r="C554" s="1" t="s">
        <v>44</v>
      </c>
      <c r="D554" s="1" t="s">
        <v>45</v>
      </c>
      <c r="E554" s="1" t="s">
        <v>46</v>
      </c>
      <c r="F554" s="1" t="s">
        <v>39</v>
      </c>
      <c r="G554" s="1" t="s">
        <v>18</v>
      </c>
      <c r="H554" s="1">
        <v>14190</v>
      </c>
      <c r="I554" s="1" t="s">
        <v>22</v>
      </c>
      <c r="J554" s="1">
        <v>0.1</v>
      </c>
      <c r="K554" s="1">
        <v>13000</v>
      </c>
      <c r="L554" s="2">
        <v>45323</v>
      </c>
      <c r="M554" s="11">
        <f>IF(OR(I554="",ISNA(MATCH(I554,{"DISC10","DISC15","DISC20","DISC30"},0))),0,J554)</f>
        <v>0.1</v>
      </c>
    </row>
    <row r="555" spans="1:13" x14ac:dyDescent="0.35">
      <c r="A555" s="1" t="s">
        <v>780</v>
      </c>
      <c r="B555" s="1" t="s">
        <v>150</v>
      </c>
      <c r="C555" s="1" t="s">
        <v>44</v>
      </c>
      <c r="D555" s="1" t="s">
        <v>45</v>
      </c>
      <c r="E555" s="1" t="s">
        <v>46</v>
      </c>
      <c r="F555" s="1" t="s">
        <v>39</v>
      </c>
      <c r="G555" s="1" t="s">
        <v>18</v>
      </c>
      <c r="H555" s="1">
        <v>11019</v>
      </c>
      <c r="I555" s="1"/>
      <c r="J555" s="1"/>
      <c r="K555" s="1">
        <v>13000</v>
      </c>
      <c r="L555" s="2">
        <v>45309</v>
      </c>
      <c r="M555" s="11">
        <f>IF(OR(I555="",ISNA(MATCH(I555,{"DISC10","DISC15","DISC20","DISC30"},0))),0,J555)</f>
        <v>0</v>
      </c>
    </row>
    <row r="556" spans="1:13" x14ac:dyDescent="0.35">
      <c r="A556" s="1" t="s">
        <v>781</v>
      </c>
      <c r="B556" s="1" t="s">
        <v>401</v>
      </c>
      <c r="C556" s="1" t="s">
        <v>44</v>
      </c>
      <c r="D556" s="1" t="s">
        <v>45</v>
      </c>
      <c r="E556" s="1" t="s">
        <v>16</v>
      </c>
      <c r="F556" s="1" t="s">
        <v>25</v>
      </c>
      <c r="G556" s="1" t="s">
        <v>36</v>
      </c>
      <c r="H556" s="1">
        <v>14216</v>
      </c>
      <c r="I556" s="1" t="s">
        <v>22</v>
      </c>
      <c r="J556" s="1">
        <v>0.1</v>
      </c>
      <c r="K556" s="1">
        <v>13000</v>
      </c>
      <c r="L556" s="2">
        <v>45300</v>
      </c>
      <c r="M556" s="11">
        <f>IF(OR(I556="",ISNA(MATCH(I556,{"DISC10","DISC15","DISC20","DISC30"},0))),0,J556)</f>
        <v>0.1</v>
      </c>
    </row>
    <row r="557" spans="1:13" x14ac:dyDescent="0.35">
      <c r="A557" s="1" t="s">
        <v>782</v>
      </c>
      <c r="B557" s="1" t="s">
        <v>337</v>
      </c>
      <c r="C557" s="1" t="s">
        <v>61</v>
      </c>
      <c r="D557" s="1" t="s">
        <v>62</v>
      </c>
      <c r="E557" s="1" t="s">
        <v>46</v>
      </c>
      <c r="F557" s="1" t="s">
        <v>17</v>
      </c>
      <c r="G557" s="1" t="s">
        <v>36</v>
      </c>
      <c r="H557" s="1">
        <v>8570</v>
      </c>
      <c r="I557" s="1" t="s">
        <v>22</v>
      </c>
      <c r="J557" s="1">
        <v>0.1</v>
      </c>
      <c r="K557" s="1">
        <v>9000</v>
      </c>
      <c r="L557" s="2">
        <v>45294</v>
      </c>
      <c r="M557" s="11">
        <f>IF(OR(I557="",ISNA(MATCH(I557,{"DISC10","DISC15","DISC20","DISC30"},0))),0,J557)</f>
        <v>0.1</v>
      </c>
    </row>
    <row r="558" spans="1:13" x14ac:dyDescent="0.35">
      <c r="A558" s="1" t="s">
        <v>783</v>
      </c>
      <c r="B558" s="1" t="s">
        <v>346</v>
      </c>
      <c r="C558" s="1" t="s">
        <v>30</v>
      </c>
      <c r="D558" s="1" t="s">
        <v>31</v>
      </c>
      <c r="E558" s="1" t="s">
        <v>32</v>
      </c>
      <c r="F558" s="1" t="s">
        <v>17</v>
      </c>
      <c r="G558" s="1" t="s">
        <v>26</v>
      </c>
      <c r="H558" s="1">
        <v>15780</v>
      </c>
      <c r="I558" s="1" t="s">
        <v>22</v>
      </c>
      <c r="J558" s="1">
        <v>0.1</v>
      </c>
      <c r="K558" s="1">
        <v>17000</v>
      </c>
      <c r="L558" s="2">
        <v>45335</v>
      </c>
      <c r="M558" s="11">
        <f>IF(OR(I558="",ISNA(MATCH(I558,{"DISC10","DISC15","DISC20","DISC30"},0))),0,J558)</f>
        <v>0.1</v>
      </c>
    </row>
    <row r="559" spans="1:13" x14ac:dyDescent="0.35">
      <c r="A559" s="1" t="s">
        <v>784</v>
      </c>
      <c r="B559" s="1" t="s">
        <v>68</v>
      </c>
      <c r="C559" s="1" t="s">
        <v>44</v>
      </c>
      <c r="D559" s="1" t="s">
        <v>45</v>
      </c>
      <c r="E559" s="1" t="s">
        <v>32</v>
      </c>
      <c r="F559" s="1" t="s">
        <v>39</v>
      </c>
      <c r="G559" s="1" t="s">
        <v>36</v>
      </c>
      <c r="H559" s="1">
        <v>12278</v>
      </c>
      <c r="I559" s="1" t="s">
        <v>19</v>
      </c>
      <c r="J559" s="1">
        <v>0.2</v>
      </c>
      <c r="K559" s="1">
        <v>13000</v>
      </c>
      <c r="L559" s="2">
        <v>45298</v>
      </c>
      <c r="M559" s="11">
        <f>IF(OR(I559="",ISNA(MATCH(I559,{"DISC10","DISC15","DISC20","DISC30"},0))),0,J559)</f>
        <v>0.2</v>
      </c>
    </row>
    <row r="560" spans="1:13" x14ac:dyDescent="0.35">
      <c r="A560" s="1" t="s">
        <v>785</v>
      </c>
      <c r="B560" s="1" t="s">
        <v>512</v>
      </c>
      <c r="C560" s="1" t="s">
        <v>30</v>
      </c>
      <c r="D560" s="1" t="s">
        <v>31</v>
      </c>
      <c r="E560" s="1" t="s">
        <v>32</v>
      </c>
      <c r="F560" s="1" t="s">
        <v>25</v>
      </c>
      <c r="G560" s="1" t="s">
        <v>18</v>
      </c>
      <c r="H560" s="1">
        <v>16221</v>
      </c>
      <c r="I560" s="1" t="s">
        <v>33</v>
      </c>
      <c r="J560" s="1">
        <v>0.3</v>
      </c>
      <c r="K560" s="1">
        <v>17000</v>
      </c>
      <c r="L560" s="2">
        <v>45321</v>
      </c>
      <c r="M560" s="11">
        <f>IF(OR(I560="",ISNA(MATCH(I560,{"DISC10","DISC15","DISC20","DISC30"},0))),0,J560)</f>
        <v>0.3</v>
      </c>
    </row>
    <row r="561" spans="1:13" x14ac:dyDescent="0.35">
      <c r="A561" s="1" t="s">
        <v>786</v>
      </c>
      <c r="B561" s="1" t="s">
        <v>103</v>
      </c>
      <c r="C561" s="1" t="s">
        <v>30</v>
      </c>
      <c r="D561" s="1" t="s">
        <v>31</v>
      </c>
      <c r="E561" s="1" t="s">
        <v>46</v>
      </c>
      <c r="F561" s="1" t="s">
        <v>39</v>
      </c>
      <c r="G561" s="1" t="s">
        <v>18</v>
      </c>
      <c r="H561" s="1">
        <v>16403</v>
      </c>
      <c r="I561" s="1"/>
      <c r="J561" s="1"/>
      <c r="K561" s="1">
        <v>17000</v>
      </c>
      <c r="L561" s="2">
        <v>45314</v>
      </c>
      <c r="M561" s="11">
        <f>IF(OR(I561="",ISNA(MATCH(I561,{"DISC10","DISC15","DISC20","DISC30"},0))),0,J561)</f>
        <v>0</v>
      </c>
    </row>
    <row r="562" spans="1:13" x14ac:dyDescent="0.35">
      <c r="A562" s="1" t="s">
        <v>787</v>
      </c>
      <c r="B562" s="1" t="s">
        <v>294</v>
      </c>
      <c r="C562" s="1" t="s">
        <v>44</v>
      </c>
      <c r="D562" s="1" t="s">
        <v>45</v>
      </c>
      <c r="E562" s="1" t="s">
        <v>46</v>
      </c>
      <c r="F562" s="1" t="s">
        <v>25</v>
      </c>
      <c r="G562" s="1" t="s">
        <v>18</v>
      </c>
      <c r="H562" s="1">
        <v>11918</v>
      </c>
      <c r="I562" s="1" t="s">
        <v>19</v>
      </c>
      <c r="J562" s="1">
        <v>0.2</v>
      </c>
      <c r="K562" s="1">
        <v>13000</v>
      </c>
      <c r="L562" s="2">
        <v>45305</v>
      </c>
      <c r="M562" s="11">
        <f>IF(OR(I562="",ISNA(MATCH(I562,{"DISC10","DISC15","DISC20","DISC30"},0))),0,J562)</f>
        <v>0.2</v>
      </c>
    </row>
    <row r="563" spans="1:13" x14ac:dyDescent="0.35">
      <c r="A563" s="1" t="s">
        <v>788</v>
      </c>
      <c r="B563" s="1" t="s">
        <v>464</v>
      </c>
      <c r="C563" s="1" t="s">
        <v>44</v>
      </c>
      <c r="D563" s="1" t="s">
        <v>45</v>
      </c>
      <c r="E563" s="1" t="s">
        <v>32</v>
      </c>
      <c r="F563" s="1" t="s">
        <v>17</v>
      </c>
      <c r="G563" s="1" t="s">
        <v>26</v>
      </c>
      <c r="H563" s="1">
        <v>13664</v>
      </c>
      <c r="I563" s="1" t="s">
        <v>22</v>
      </c>
      <c r="J563" s="1">
        <v>0.1</v>
      </c>
      <c r="K563" s="1">
        <v>13000</v>
      </c>
      <c r="L563" s="2">
        <v>45316</v>
      </c>
      <c r="M563" s="11">
        <f>IF(OR(I563="",ISNA(MATCH(I563,{"DISC10","DISC15","DISC20","DISC30"},0))),0,J563)</f>
        <v>0.1</v>
      </c>
    </row>
    <row r="564" spans="1:13" x14ac:dyDescent="0.35">
      <c r="A564" s="1" t="s">
        <v>789</v>
      </c>
      <c r="B564" s="1" t="s">
        <v>50</v>
      </c>
      <c r="C564" s="1" t="s">
        <v>30</v>
      </c>
      <c r="D564" s="1" t="s">
        <v>31</v>
      </c>
      <c r="E564" s="1" t="s">
        <v>16</v>
      </c>
      <c r="F564" s="1" t="s">
        <v>39</v>
      </c>
      <c r="G564" s="1" t="s">
        <v>18</v>
      </c>
      <c r="H564" s="1">
        <v>17432</v>
      </c>
      <c r="I564" s="1" t="s">
        <v>22</v>
      </c>
      <c r="J564" s="1">
        <v>0.1</v>
      </c>
      <c r="K564" s="1">
        <v>17000</v>
      </c>
      <c r="L564" s="2">
        <v>45334</v>
      </c>
      <c r="M564" s="11">
        <f>IF(OR(I564="",ISNA(MATCH(I564,{"DISC10","DISC15","DISC20","DISC30"},0))),0,J564)</f>
        <v>0.1</v>
      </c>
    </row>
    <row r="565" spans="1:13" x14ac:dyDescent="0.35">
      <c r="A565" s="1" t="s">
        <v>790</v>
      </c>
      <c r="B565" s="1" t="s">
        <v>21</v>
      </c>
      <c r="C565" s="1" t="s">
        <v>14</v>
      </c>
      <c r="D565" s="1" t="s">
        <v>15</v>
      </c>
      <c r="E565" s="1" t="s">
        <v>32</v>
      </c>
      <c r="F565" s="1" t="s">
        <v>39</v>
      </c>
      <c r="G565" s="1" t="s">
        <v>18</v>
      </c>
      <c r="H565" s="1">
        <v>13707</v>
      </c>
      <c r="I565" s="1"/>
      <c r="J565" s="1"/>
      <c r="K565" s="1">
        <v>14000</v>
      </c>
      <c r="L565" s="2">
        <v>45316</v>
      </c>
      <c r="M565" s="11">
        <f>IF(OR(I565="",ISNA(MATCH(I565,{"DISC10","DISC15","DISC20","DISC30"},0))),0,J565)</f>
        <v>0</v>
      </c>
    </row>
    <row r="566" spans="1:13" x14ac:dyDescent="0.35">
      <c r="A566" s="1" t="s">
        <v>791</v>
      </c>
      <c r="B566" s="1" t="s">
        <v>241</v>
      </c>
      <c r="C566" s="1" t="s">
        <v>30</v>
      </c>
      <c r="D566" s="1" t="s">
        <v>31</v>
      </c>
      <c r="E566" s="1" t="s">
        <v>46</v>
      </c>
      <c r="F566" s="1" t="s">
        <v>39</v>
      </c>
      <c r="G566" s="1" t="s">
        <v>18</v>
      </c>
      <c r="H566" s="1">
        <v>15841</v>
      </c>
      <c r="I566" s="1" t="s">
        <v>22</v>
      </c>
      <c r="J566" s="1">
        <v>0.1</v>
      </c>
      <c r="K566" s="1">
        <v>17000</v>
      </c>
      <c r="L566" s="2">
        <v>45311</v>
      </c>
      <c r="M566" s="11">
        <f>IF(OR(I566="",ISNA(MATCH(I566,{"DISC10","DISC15","DISC20","DISC30"},0))),0,J566)</f>
        <v>0.1</v>
      </c>
    </row>
    <row r="567" spans="1:13" x14ac:dyDescent="0.35">
      <c r="A567" s="1" t="s">
        <v>792</v>
      </c>
      <c r="B567" s="1" t="s">
        <v>274</v>
      </c>
      <c r="C567" s="1" t="s">
        <v>14</v>
      </c>
      <c r="D567" s="1" t="s">
        <v>15</v>
      </c>
      <c r="E567" s="1" t="s">
        <v>16</v>
      </c>
      <c r="F567" s="1" t="s">
        <v>39</v>
      </c>
      <c r="G567" s="1" t="s">
        <v>36</v>
      </c>
      <c r="H567" s="1">
        <v>14550</v>
      </c>
      <c r="I567" s="1" t="s">
        <v>27</v>
      </c>
      <c r="J567" s="1"/>
      <c r="K567" s="1">
        <v>14000</v>
      </c>
      <c r="L567" s="2">
        <v>45336</v>
      </c>
      <c r="M567" s="11">
        <f>IF(OR(I567="",ISNA(MATCH(I567,{"DISC10","DISC15","DISC20","DISC30"},0))),0,J567)</f>
        <v>0</v>
      </c>
    </row>
    <row r="568" spans="1:13" x14ac:dyDescent="0.35">
      <c r="A568" s="1" t="s">
        <v>793</v>
      </c>
      <c r="B568" s="1" t="s">
        <v>363</v>
      </c>
      <c r="C568" s="1" t="s">
        <v>14</v>
      </c>
      <c r="D568" s="1" t="s">
        <v>15</v>
      </c>
      <c r="E568" s="1" t="s">
        <v>16</v>
      </c>
      <c r="F568" s="1" t="s">
        <v>39</v>
      </c>
      <c r="G568" s="1" t="s">
        <v>26</v>
      </c>
      <c r="H568" s="1">
        <v>12482</v>
      </c>
      <c r="I568" s="1" t="s">
        <v>33</v>
      </c>
      <c r="J568" s="1">
        <v>0.3</v>
      </c>
      <c r="K568" s="1">
        <v>14000</v>
      </c>
      <c r="L568" s="2">
        <v>45299</v>
      </c>
      <c r="M568" s="11">
        <f>IF(OR(I568="",ISNA(MATCH(I568,{"DISC10","DISC15","DISC20","DISC30"},0))),0,J568)</f>
        <v>0.3</v>
      </c>
    </row>
    <row r="569" spans="1:13" x14ac:dyDescent="0.35">
      <c r="A569" s="1" t="s">
        <v>794</v>
      </c>
      <c r="B569" s="1" t="s">
        <v>652</v>
      </c>
      <c r="C569" s="1" t="s">
        <v>61</v>
      </c>
      <c r="D569" s="1" t="s">
        <v>62</v>
      </c>
      <c r="E569" s="1" t="s">
        <v>32</v>
      </c>
      <c r="F569" s="1" t="s">
        <v>39</v>
      </c>
      <c r="G569" s="1" t="s">
        <v>18</v>
      </c>
      <c r="H569" s="1">
        <v>10186</v>
      </c>
      <c r="I569" s="1" t="s">
        <v>33</v>
      </c>
      <c r="J569" s="1">
        <v>0.3</v>
      </c>
      <c r="K569" s="1">
        <v>9000</v>
      </c>
      <c r="L569" s="2">
        <v>45345</v>
      </c>
      <c r="M569" s="11">
        <f>IF(OR(I569="",ISNA(MATCH(I569,{"DISC10","DISC15","DISC20","DISC30"},0))),0,J569)</f>
        <v>0.3</v>
      </c>
    </row>
    <row r="570" spans="1:13" x14ac:dyDescent="0.35">
      <c r="A570" s="1" t="s">
        <v>795</v>
      </c>
      <c r="B570" s="1" t="s">
        <v>346</v>
      </c>
      <c r="C570" s="1" t="s">
        <v>30</v>
      </c>
      <c r="D570" s="1" t="s">
        <v>31</v>
      </c>
      <c r="E570" s="1" t="s">
        <v>16</v>
      </c>
      <c r="F570" s="1" t="s">
        <v>17</v>
      </c>
      <c r="G570" s="1" t="s">
        <v>36</v>
      </c>
      <c r="H570" s="1">
        <v>15656</v>
      </c>
      <c r="I570" s="1" t="s">
        <v>22</v>
      </c>
      <c r="J570" s="1">
        <v>0.1</v>
      </c>
      <c r="K570" s="1">
        <v>17000</v>
      </c>
      <c r="L570" s="2">
        <v>45327</v>
      </c>
      <c r="M570" s="11">
        <f>IF(OR(I570="",ISNA(MATCH(I570,{"DISC10","DISC15","DISC20","DISC30"},0))),0,J570)</f>
        <v>0.1</v>
      </c>
    </row>
    <row r="571" spans="1:13" x14ac:dyDescent="0.35">
      <c r="A571" s="1" t="s">
        <v>796</v>
      </c>
      <c r="B571" s="1" t="s">
        <v>211</v>
      </c>
      <c r="C571" s="1" t="s">
        <v>61</v>
      </c>
      <c r="D571" s="1" t="s">
        <v>62</v>
      </c>
      <c r="E571" s="1" t="s">
        <v>46</v>
      </c>
      <c r="F571" s="1" t="s">
        <v>25</v>
      </c>
      <c r="G571" s="1" t="s">
        <v>18</v>
      </c>
      <c r="H571" s="1">
        <v>7052</v>
      </c>
      <c r="I571" s="1" t="s">
        <v>22</v>
      </c>
      <c r="J571" s="1">
        <v>0.1</v>
      </c>
      <c r="K571" s="1">
        <v>9000</v>
      </c>
      <c r="L571" s="2">
        <v>45350</v>
      </c>
      <c r="M571" s="11">
        <f>IF(OR(I571="",ISNA(MATCH(I571,{"DISC10","DISC15","DISC20","DISC30"},0))),0,J571)</f>
        <v>0.1</v>
      </c>
    </row>
    <row r="572" spans="1:13" x14ac:dyDescent="0.35">
      <c r="A572" s="1" t="s">
        <v>797</v>
      </c>
      <c r="B572" s="1" t="s">
        <v>159</v>
      </c>
      <c r="C572" s="1" t="s">
        <v>61</v>
      </c>
      <c r="D572" s="1" t="s">
        <v>62</v>
      </c>
      <c r="E572" s="1" t="s">
        <v>32</v>
      </c>
      <c r="F572" s="1" t="s">
        <v>25</v>
      </c>
      <c r="G572" s="1" t="s">
        <v>26</v>
      </c>
      <c r="H572" s="1">
        <v>7307</v>
      </c>
      <c r="I572" s="1" t="s">
        <v>22</v>
      </c>
      <c r="J572" s="1">
        <v>0.1</v>
      </c>
      <c r="K572" s="1">
        <v>9000</v>
      </c>
      <c r="L572" s="2">
        <v>45349</v>
      </c>
      <c r="M572" s="11">
        <f>IF(OR(I572="",ISNA(MATCH(I572,{"DISC10","DISC15","DISC20","DISC30"},0))),0,J572)</f>
        <v>0.1</v>
      </c>
    </row>
    <row r="573" spans="1:13" x14ac:dyDescent="0.35">
      <c r="A573" s="1" t="s">
        <v>798</v>
      </c>
      <c r="B573" s="1" t="s">
        <v>286</v>
      </c>
      <c r="C573" s="1" t="s">
        <v>44</v>
      </c>
      <c r="D573" s="1" t="s">
        <v>45</v>
      </c>
      <c r="E573" s="1" t="s">
        <v>46</v>
      </c>
      <c r="F573" s="1" t="s">
        <v>17</v>
      </c>
      <c r="G573" s="1" t="s">
        <v>36</v>
      </c>
      <c r="H573" s="1">
        <v>12901</v>
      </c>
      <c r="I573" s="1" t="s">
        <v>22</v>
      </c>
      <c r="J573" s="1">
        <v>0.1</v>
      </c>
      <c r="K573" s="1">
        <v>13000</v>
      </c>
      <c r="L573" s="2">
        <v>45298</v>
      </c>
      <c r="M573" s="11">
        <f>IF(OR(I573="",ISNA(MATCH(I573,{"DISC10","DISC15","DISC20","DISC30"},0))),0,J573)</f>
        <v>0.1</v>
      </c>
    </row>
    <row r="574" spans="1:13" x14ac:dyDescent="0.35">
      <c r="A574" s="1" t="s">
        <v>799</v>
      </c>
      <c r="B574" s="1" t="s">
        <v>412</v>
      </c>
      <c r="C574" s="1" t="s">
        <v>14</v>
      </c>
      <c r="D574" s="1" t="s">
        <v>15</v>
      </c>
      <c r="E574" s="1" t="s">
        <v>46</v>
      </c>
      <c r="F574" s="1" t="s">
        <v>17</v>
      </c>
      <c r="G574" s="1" t="s">
        <v>26</v>
      </c>
      <c r="H574" s="1">
        <v>13280</v>
      </c>
      <c r="I574" s="1"/>
      <c r="J574" s="1"/>
      <c r="K574" s="1">
        <v>14000</v>
      </c>
      <c r="L574" s="2">
        <v>45339</v>
      </c>
      <c r="M574" s="11">
        <f>IF(OR(I574="",ISNA(MATCH(I574,{"DISC10","DISC15","DISC20","DISC30"},0))),0,J574)</f>
        <v>0</v>
      </c>
    </row>
    <row r="575" spans="1:13" x14ac:dyDescent="0.35">
      <c r="A575" s="1" t="s">
        <v>800</v>
      </c>
      <c r="B575" s="1" t="s">
        <v>78</v>
      </c>
      <c r="C575" s="1" t="s">
        <v>14</v>
      </c>
      <c r="D575" s="1" t="s">
        <v>15</v>
      </c>
      <c r="E575" s="1" t="s">
        <v>32</v>
      </c>
      <c r="F575" s="1" t="s">
        <v>25</v>
      </c>
      <c r="G575" s="1" t="s">
        <v>26</v>
      </c>
      <c r="H575" s="1">
        <v>14650</v>
      </c>
      <c r="I575" s="1" t="s">
        <v>19</v>
      </c>
      <c r="J575" s="1">
        <v>0.2</v>
      </c>
      <c r="K575" s="1">
        <v>14000</v>
      </c>
      <c r="L575" s="2">
        <v>45313</v>
      </c>
      <c r="M575" s="11">
        <f>IF(OR(I575="",ISNA(MATCH(I575,{"DISC10","DISC15","DISC20","DISC30"},0))),0,J575)</f>
        <v>0.2</v>
      </c>
    </row>
    <row r="576" spans="1:13" x14ac:dyDescent="0.35">
      <c r="A576" s="1" t="s">
        <v>801</v>
      </c>
      <c r="B576" s="1" t="s">
        <v>802</v>
      </c>
      <c r="C576" s="1" t="s">
        <v>30</v>
      </c>
      <c r="D576" s="1" t="s">
        <v>31</v>
      </c>
      <c r="E576" s="1" t="s">
        <v>16</v>
      </c>
      <c r="F576" s="1" t="s">
        <v>25</v>
      </c>
      <c r="G576" s="1" t="s">
        <v>36</v>
      </c>
      <c r="H576" s="1">
        <v>18338</v>
      </c>
      <c r="I576" s="1" t="s">
        <v>33</v>
      </c>
      <c r="J576" s="1">
        <v>0.3</v>
      </c>
      <c r="K576" s="1">
        <v>17000</v>
      </c>
      <c r="L576" s="2">
        <v>45303</v>
      </c>
      <c r="M576" s="11">
        <f>IF(OR(I576="",ISNA(MATCH(I576,{"DISC10","DISC15","DISC20","DISC30"},0))),0,J576)</f>
        <v>0.3</v>
      </c>
    </row>
    <row r="577" spans="1:13" x14ac:dyDescent="0.35">
      <c r="A577" s="1" t="s">
        <v>803</v>
      </c>
      <c r="B577" s="1" t="s">
        <v>66</v>
      </c>
      <c r="C577" s="1" t="s">
        <v>61</v>
      </c>
      <c r="D577" s="1" t="s">
        <v>62</v>
      </c>
      <c r="E577" s="1" t="s">
        <v>46</v>
      </c>
      <c r="F577" s="1" t="s">
        <v>17</v>
      </c>
      <c r="G577" s="1" t="s">
        <v>36</v>
      </c>
      <c r="H577" s="1">
        <v>9825</v>
      </c>
      <c r="I577" s="1"/>
      <c r="J577" s="1"/>
      <c r="K577" s="1">
        <v>9000</v>
      </c>
      <c r="L577" s="2">
        <v>45343</v>
      </c>
      <c r="M577" s="11">
        <f>IF(OR(I577="",ISNA(MATCH(I577,{"DISC10","DISC15","DISC20","DISC30"},0))),0,J577)</f>
        <v>0</v>
      </c>
    </row>
    <row r="578" spans="1:13" x14ac:dyDescent="0.35">
      <c r="A578" s="1" t="s">
        <v>804</v>
      </c>
      <c r="B578" s="1" t="s">
        <v>274</v>
      </c>
      <c r="C578" s="1" t="s">
        <v>44</v>
      </c>
      <c r="D578" s="1" t="s">
        <v>45</v>
      </c>
      <c r="E578" s="1" t="s">
        <v>32</v>
      </c>
      <c r="F578" s="1" t="s">
        <v>25</v>
      </c>
      <c r="G578" s="1" t="s">
        <v>26</v>
      </c>
      <c r="H578" s="1">
        <v>13975</v>
      </c>
      <c r="I578" s="1" t="s">
        <v>22</v>
      </c>
      <c r="J578" s="1">
        <v>0.1</v>
      </c>
      <c r="K578" s="1">
        <v>13000</v>
      </c>
      <c r="L578" s="2">
        <v>45352</v>
      </c>
      <c r="M578" s="11">
        <f>IF(OR(I578="",ISNA(MATCH(I578,{"DISC10","DISC15","DISC20","DISC30"},0))),0,J578)</f>
        <v>0.1</v>
      </c>
    </row>
    <row r="579" spans="1:13" x14ac:dyDescent="0.35">
      <c r="A579" s="1" t="s">
        <v>805</v>
      </c>
      <c r="B579" s="1" t="s">
        <v>412</v>
      </c>
      <c r="C579" s="1" t="s">
        <v>14</v>
      </c>
      <c r="D579" s="1" t="s">
        <v>15</v>
      </c>
      <c r="E579" s="1" t="s">
        <v>46</v>
      </c>
      <c r="F579" s="1" t="s">
        <v>39</v>
      </c>
      <c r="G579" s="1" t="s">
        <v>36</v>
      </c>
      <c r="H579" s="1">
        <v>15286</v>
      </c>
      <c r="I579" s="1" t="s">
        <v>27</v>
      </c>
      <c r="J579" s="1"/>
      <c r="K579" s="1">
        <v>14000</v>
      </c>
      <c r="L579" s="2">
        <v>45335</v>
      </c>
      <c r="M579" s="11">
        <f>IF(OR(I579="",ISNA(MATCH(I579,{"DISC10","DISC15","DISC20","DISC30"},0))),0,J579)</f>
        <v>0</v>
      </c>
    </row>
    <row r="580" spans="1:13" x14ac:dyDescent="0.35">
      <c r="A580" s="1" t="s">
        <v>806</v>
      </c>
      <c r="B580" s="1" t="s">
        <v>508</v>
      </c>
      <c r="C580" s="1" t="s">
        <v>61</v>
      </c>
      <c r="D580" s="1" t="s">
        <v>62</v>
      </c>
      <c r="E580" s="1" t="s">
        <v>46</v>
      </c>
      <c r="F580" s="1" t="s">
        <v>39</v>
      </c>
      <c r="G580" s="1" t="s">
        <v>18</v>
      </c>
      <c r="H580" s="1">
        <v>10533</v>
      </c>
      <c r="I580" s="1" t="s">
        <v>19</v>
      </c>
      <c r="J580" s="1">
        <v>0.2</v>
      </c>
      <c r="K580" s="1">
        <v>9000</v>
      </c>
      <c r="L580" s="2">
        <v>45322</v>
      </c>
      <c r="M580" s="11">
        <f>IF(OR(I580="",ISNA(MATCH(I580,{"DISC10","DISC15","DISC20","DISC30"},0))),0,J580)</f>
        <v>0.2</v>
      </c>
    </row>
    <row r="581" spans="1:13" x14ac:dyDescent="0.35">
      <c r="A581" s="1" t="s">
        <v>807</v>
      </c>
      <c r="B581" s="1" t="s">
        <v>445</v>
      </c>
      <c r="C581" s="1" t="s">
        <v>14</v>
      </c>
      <c r="D581" s="1" t="s">
        <v>15</v>
      </c>
      <c r="E581" s="1" t="s">
        <v>46</v>
      </c>
      <c r="F581" s="1" t="s">
        <v>17</v>
      </c>
      <c r="G581" s="1" t="s">
        <v>18</v>
      </c>
      <c r="H581" s="1">
        <v>12259</v>
      </c>
      <c r="I581" s="1" t="s">
        <v>33</v>
      </c>
      <c r="J581" s="1">
        <v>0.3</v>
      </c>
      <c r="K581" s="1">
        <v>14000</v>
      </c>
      <c r="L581" s="2">
        <v>45333</v>
      </c>
      <c r="M581" s="11">
        <f>IF(OR(I581="",ISNA(MATCH(I581,{"DISC10","DISC15","DISC20","DISC30"},0))),0,J581)</f>
        <v>0.3</v>
      </c>
    </row>
    <row r="582" spans="1:13" x14ac:dyDescent="0.35">
      <c r="A582" s="1" t="s">
        <v>808</v>
      </c>
      <c r="B582" s="1" t="s">
        <v>327</v>
      </c>
      <c r="C582" s="1" t="s">
        <v>44</v>
      </c>
      <c r="D582" s="1" t="s">
        <v>45</v>
      </c>
      <c r="E582" s="1" t="s">
        <v>16</v>
      </c>
      <c r="F582" s="1" t="s">
        <v>17</v>
      </c>
      <c r="G582" s="1" t="s">
        <v>26</v>
      </c>
      <c r="H582" s="1">
        <v>13142</v>
      </c>
      <c r="I582" s="1" t="s">
        <v>27</v>
      </c>
      <c r="J582" s="1"/>
      <c r="K582" s="1">
        <v>13000</v>
      </c>
      <c r="L582" s="2">
        <v>45298</v>
      </c>
      <c r="M582" s="11">
        <f>IF(OR(I582="",ISNA(MATCH(I582,{"DISC10","DISC15","DISC20","DISC30"},0))),0,J582)</f>
        <v>0</v>
      </c>
    </row>
    <row r="583" spans="1:13" x14ac:dyDescent="0.35">
      <c r="A583" s="1" t="s">
        <v>809</v>
      </c>
      <c r="B583" s="1" t="s">
        <v>274</v>
      </c>
      <c r="C583" s="1" t="s">
        <v>44</v>
      </c>
      <c r="D583" s="1" t="s">
        <v>45</v>
      </c>
      <c r="E583" s="1" t="s">
        <v>46</v>
      </c>
      <c r="F583" s="1" t="s">
        <v>17</v>
      </c>
      <c r="G583" s="1" t="s">
        <v>26</v>
      </c>
      <c r="H583" s="1">
        <v>13770</v>
      </c>
      <c r="I583" s="1"/>
      <c r="J583" s="1"/>
      <c r="K583" s="1">
        <v>13000</v>
      </c>
      <c r="L583" s="2">
        <v>45301</v>
      </c>
      <c r="M583" s="11">
        <f>IF(OR(I583="",ISNA(MATCH(I583,{"DISC10","DISC15","DISC20","DISC30"},0))),0,J583)</f>
        <v>0</v>
      </c>
    </row>
    <row r="584" spans="1:13" x14ac:dyDescent="0.35">
      <c r="A584" s="1" t="s">
        <v>810</v>
      </c>
      <c r="B584" s="1" t="s">
        <v>319</v>
      </c>
      <c r="C584" s="1" t="s">
        <v>14</v>
      </c>
      <c r="D584" s="1" t="s">
        <v>15</v>
      </c>
      <c r="E584" s="1" t="s">
        <v>32</v>
      </c>
      <c r="F584" s="1" t="s">
        <v>39</v>
      </c>
      <c r="G584" s="1" t="s">
        <v>18</v>
      </c>
      <c r="H584" s="1">
        <v>14070</v>
      </c>
      <c r="I584" s="1"/>
      <c r="J584" s="1"/>
      <c r="K584" s="1">
        <v>14000</v>
      </c>
      <c r="L584" s="2">
        <v>45346</v>
      </c>
      <c r="M584" s="11">
        <f>IF(OR(I584="",ISNA(MATCH(I584,{"DISC10","DISC15","DISC20","DISC30"},0))),0,J584)</f>
        <v>0</v>
      </c>
    </row>
    <row r="585" spans="1:13" x14ac:dyDescent="0.35">
      <c r="A585" s="1" t="s">
        <v>811</v>
      </c>
      <c r="B585" s="1" t="s">
        <v>752</v>
      </c>
      <c r="C585" s="1" t="s">
        <v>44</v>
      </c>
      <c r="D585" s="1" t="s">
        <v>45</v>
      </c>
      <c r="E585" s="1" t="s">
        <v>32</v>
      </c>
      <c r="F585" s="1" t="s">
        <v>17</v>
      </c>
      <c r="G585" s="1" t="s">
        <v>36</v>
      </c>
      <c r="H585" s="1">
        <v>11986</v>
      </c>
      <c r="I585" s="1" t="s">
        <v>33</v>
      </c>
      <c r="J585" s="1">
        <v>0.3</v>
      </c>
      <c r="K585" s="1">
        <v>13000</v>
      </c>
      <c r="L585" s="2">
        <v>45309</v>
      </c>
      <c r="M585" s="11">
        <f>IF(OR(I585="",ISNA(MATCH(I585,{"DISC10","DISC15","DISC20","DISC30"},0))),0,J585)</f>
        <v>0.3</v>
      </c>
    </row>
    <row r="586" spans="1:13" x14ac:dyDescent="0.35">
      <c r="A586" s="1" t="s">
        <v>812</v>
      </c>
      <c r="B586" s="1" t="s">
        <v>166</v>
      </c>
      <c r="C586" s="1" t="s">
        <v>44</v>
      </c>
      <c r="D586" s="1" t="s">
        <v>45</v>
      </c>
      <c r="E586" s="1" t="s">
        <v>16</v>
      </c>
      <c r="F586" s="1" t="s">
        <v>39</v>
      </c>
      <c r="G586" s="1" t="s">
        <v>36</v>
      </c>
      <c r="H586" s="1">
        <v>12651</v>
      </c>
      <c r="I586" s="1" t="s">
        <v>19</v>
      </c>
      <c r="J586" s="1">
        <v>0.2</v>
      </c>
      <c r="K586" s="1">
        <v>13000</v>
      </c>
      <c r="L586" s="2">
        <v>45297</v>
      </c>
      <c r="M586" s="11">
        <f>IF(OR(I586="",ISNA(MATCH(I586,{"DISC10","DISC15","DISC20","DISC30"},0))),0,J586)</f>
        <v>0.2</v>
      </c>
    </row>
    <row r="587" spans="1:13" x14ac:dyDescent="0.35">
      <c r="A587" s="1" t="s">
        <v>813</v>
      </c>
      <c r="B587" s="1" t="s">
        <v>231</v>
      </c>
      <c r="C587" s="1" t="s">
        <v>61</v>
      </c>
      <c r="D587" s="1" t="s">
        <v>62</v>
      </c>
      <c r="E587" s="1" t="s">
        <v>32</v>
      </c>
      <c r="F587" s="1" t="s">
        <v>17</v>
      </c>
      <c r="G587" s="1" t="s">
        <v>36</v>
      </c>
      <c r="H587" s="1">
        <v>8294</v>
      </c>
      <c r="I587" s="1" t="s">
        <v>22</v>
      </c>
      <c r="J587" s="1">
        <v>0.1</v>
      </c>
      <c r="K587" s="1">
        <v>9000</v>
      </c>
      <c r="L587" s="2">
        <v>45323</v>
      </c>
      <c r="M587" s="11">
        <f>IF(OR(I587="",ISNA(MATCH(I587,{"DISC10","DISC15","DISC20","DISC30"},0))),0,J587)</f>
        <v>0.1</v>
      </c>
    </row>
    <row r="588" spans="1:13" x14ac:dyDescent="0.35">
      <c r="A588" s="1" t="s">
        <v>814</v>
      </c>
      <c r="B588" s="1" t="s">
        <v>765</v>
      </c>
      <c r="C588" s="1" t="s">
        <v>14</v>
      </c>
      <c r="D588" s="1" t="s">
        <v>15</v>
      </c>
      <c r="E588" s="1" t="s">
        <v>32</v>
      </c>
      <c r="F588" s="1" t="s">
        <v>17</v>
      </c>
      <c r="G588" s="1" t="s">
        <v>36</v>
      </c>
      <c r="H588" s="1">
        <v>12146</v>
      </c>
      <c r="I588" s="1" t="s">
        <v>27</v>
      </c>
      <c r="J588" s="1"/>
      <c r="K588" s="1">
        <v>14000</v>
      </c>
      <c r="L588" s="2">
        <v>45327</v>
      </c>
      <c r="M588" s="11">
        <f>IF(OR(I588="",ISNA(MATCH(I588,{"DISC10","DISC15","DISC20","DISC30"},0))),0,J588)</f>
        <v>0</v>
      </c>
    </row>
    <row r="589" spans="1:13" x14ac:dyDescent="0.35">
      <c r="A589" s="1" t="s">
        <v>815</v>
      </c>
      <c r="B589" s="1" t="s">
        <v>129</v>
      </c>
      <c r="C589" s="1" t="s">
        <v>14</v>
      </c>
      <c r="D589" s="1" t="s">
        <v>15</v>
      </c>
      <c r="E589" s="1" t="s">
        <v>16</v>
      </c>
      <c r="F589" s="1" t="s">
        <v>39</v>
      </c>
      <c r="G589" s="1" t="s">
        <v>26</v>
      </c>
      <c r="H589" s="1">
        <v>13247</v>
      </c>
      <c r="I589" s="1" t="s">
        <v>27</v>
      </c>
      <c r="J589" s="1"/>
      <c r="K589" s="1">
        <v>14000</v>
      </c>
      <c r="L589" s="2">
        <v>45327</v>
      </c>
      <c r="M589" s="11">
        <f>IF(OR(I589="",ISNA(MATCH(I589,{"DISC10","DISC15","DISC20","DISC30"},0))),0,J589)</f>
        <v>0</v>
      </c>
    </row>
    <row r="590" spans="1:13" x14ac:dyDescent="0.35">
      <c r="A590" s="1" t="s">
        <v>816</v>
      </c>
      <c r="B590" s="1" t="s">
        <v>817</v>
      </c>
      <c r="C590" s="1" t="s">
        <v>61</v>
      </c>
      <c r="D590" s="1" t="s">
        <v>62</v>
      </c>
      <c r="E590" s="1" t="s">
        <v>46</v>
      </c>
      <c r="F590" s="1" t="s">
        <v>17</v>
      </c>
      <c r="G590" s="1" t="s">
        <v>18</v>
      </c>
      <c r="H590" s="1">
        <v>10344</v>
      </c>
      <c r="I590" s="1" t="s">
        <v>19</v>
      </c>
      <c r="J590" s="1">
        <v>0.2</v>
      </c>
      <c r="K590" s="1">
        <v>9000</v>
      </c>
      <c r="L590" s="2">
        <v>45346</v>
      </c>
      <c r="M590" s="11">
        <f>IF(OR(I590="",ISNA(MATCH(I590,{"DISC10","DISC15","DISC20","DISC30"},0))),0,J590)</f>
        <v>0.2</v>
      </c>
    </row>
    <row r="591" spans="1:13" x14ac:dyDescent="0.35">
      <c r="A591" s="1" t="s">
        <v>818</v>
      </c>
      <c r="B591" s="1" t="s">
        <v>188</v>
      </c>
      <c r="C591" s="1" t="s">
        <v>61</v>
      </c>
      <c r="D591" s="1" t="s">
        <v>62</v>
      </c>
      <c r="E591" s="1" t="s">
        <v>16</v>
      </c>
      <c r="F591" s="1" t="s">
        <v>39</v>
      </c>
      <c r="G591" s="1" t="s">
        <v>36</v>
      </c>
      <c r="H591" s="1">
        <v>9932</v>
      </c>
      <c r="I591" s="1"/>
      <c r="J591" s="1"/>
      <c r="K591" s="1">
        <v>9000</v>
      </c>
      <c r="L591" s="2">
        <v>45299</v>
      </c>
      <c r="M591" s="11">
        <f>IF(OR(I591="",ISNA(MATCH(I591,{"DISC10","DISC15","DISC20","DISC30"},0))),0,J591)</f>
        <v>0</v>
      </c>
    </row>
    <row r="592" spans="1:13" x14ac:dyDescent="0.35">
      <c r="A592" s="1" t="s">
        <v>819</v>
      </c>
      <c r="B592" s="1" t="s">
        <v>200</v>
      </c>
      <c r="C592" s="1" t="s">
        <v>44</v>
      </c>
      <c r="D592" s="1" t="s">
        <v>45</v>
      </c>
      <c r="E592" s="1" t="s">
        <v>32</v>
      </c>
      <c r="F592" s="1" t="s">
        <v>17</v>
      </c>
      <c r="G592" s="1" t="s">
        <v>36</v>
      </c>
      <c r="H592" s="1">
        <v>14399</v>
      </c>
      <c r="I592" s="1" t="s">
        <v>33</v>
      </c>
      <c r="J592" s="1">
        <v>0.3</v>
      </c>
      <c r="K592" s="1">
        <v>13000</v>
      </c>
      <c r="L592" s="2">
        <v>45327</v>
      </c>
      <c r="M592" s="11">
        <f>IF(OR(I592="",ISNA(MATCH(I592,{"DISC10","DISC15","DISC20","DISC30"},0))),0,J592)</f>
        <v>0.3</v>
      </c>
    </row>
    <row r="593" spans="1:13" x14ac:dyDescent="0.35">
      <c r="A593" s="1" t="s">
        <v>820</v>
      </c>
      <c r="B593" s="1" t="s">
        <v>217</v>
      </c>
      <c r="C593" s="1" t="s">
        <v>14</v>
      </c>
      <c r="D593" s="1" t="s">
        <v>15</v>
      </c>
      <c r="E593" s="1" t="s">
        <v>32</v>
      </c>
      <c r="F593" s="1" t="s">
        <v>25</v>
      </c>
      <c r="G593" s="1" t="s">
        <v>36</v>
      </c>
      <c r="H593" s="1">
        <v>12575</v>
      </c>
      <c r="I593" s="1"/>
      <c r="J593" s="1"/>
      <c r="K593" s="1">
        <v>14000</v>
      </c>
      <c r="L593" s="2">
        <v>45298</v>
      </c>
      <c r="M593" s="11">
        <f>IF(OR(I593="",ISNA(MATCH(I593,{"DISC10","DISC15","DISC20","DISC30"},0))),0,J593)</f>
        <v>0</v>
      </c>
    </row>
    <row r="594" spans="1:13" x14ac:dyDescent="0.35">
      <c r="A594" s="1" t="s">
        <v>821</v>
      </c>
      <c r="B594" s="1" t="s">
        <v>118</v>
      </c>
      <c r="C594" s="1" t="s">
        <v>44</v>
      </c>
      <c r="D594" s="1" t="s">
        <v>45</v>
      </c>
      <c r="E594" s="1" t="s">
        <v>32</v>
      </c>
      <c r="F594" s="1" t="s">
        <v>25</v>
      </c>
      <c r="G594" s="1" t="s">
        <v>36</v>
      </c>
      <c r="H594" s="1">
        <v>11883</v>
      </c>
      <c r="I594" s="1"/>
      <c r="J594" s="1"/>
      <c r="K594" s="1">
        <v>13000</v>
      </c>
      <c r="L594" s="2">
        <v>45344</v>
      </c>
      <c r="M594" s="11">
        <f>IF(OR(I594="",ISNA(MATCH(I594,{"DISC10","DISC15","DISC20","DISC30"},0))),0,J594)</f>
        <v>0</v>
      </c>
    </row>
    <row r="595" spans="1:13" x14ac:dyDescent="0.35">
      <c r="A595" s="1" t="s">
        <v>822</v>
      </c>
      <c r="B595" s="1" t="s">
        <v>294</v>
      </c>
      <c r="C595" s="1" t="s">
        <v>30</v>
      </c>
      <c r="D595" s="1" t="s">
        <v>31</v>
      </c>
      <c r="E595" s="1" t="s">
        <v>32</v>
      </c>
      <c r="F595" s="1" t="s">
        <v>17</v>
      </c>
      <c r="G595" s="1" t="s">
        <v>18</v>
      </c>
      <c r="H595" s="1">
        <v>18795</v>
      </c>
      <c r="I595" s="1" t="s">
        <v>27</v>
      </c>
      <c r="J595" s="1"/>
      <c r="K595" s="1">
        <v>17000</v>
      </c>
      <c r="L595" s="2">
        <v>45299</v>
      </c>
      <c r="M595" s="11">
        <f>IF(OR(I595="",ISNA(MATCH(I595,{"DISC10","DISC15","DISC20","DISC30"},0))),0,J595)</f>
        <v>0</v>
      </c>
    </row>
    <row r="596" spans="1:13" x14ac:dyDescent="0.35">
      <c r="A596" s="1" t="s">
        <v>823</v>
      </c>
      <c r="B596" s="1" t="s">
        <v>298</v>
      </c>
      <c r="C596" s="1" t="s">
        <v>61</v>
      </c>
      <c r="D596" s="1" t="s">
        <v>62</v>
      </c>
      <c r="E596" s="1" t="s">
        <v>16</v>
      </c>
      <c r="F596" s="1" t="s">
        <v>39</v>
      </c>
      <c r="G596" s="1" t="s">
        <v>26</v>
      </c>
      <c r="H596" s="1">
        <v>7551</v>
      </c>
      <c r="I596" s="1"/>
      <c r="J596" s="1"/>
      <c r="K596" s="1">
        <v>9000</v>
      </c>
      <c r="L596" s="2">
        <v>45292</v>
      </c>
      <c r="M596" s="11">
        <f>IF(OR(I596="",ISNA(MATCH(I596,{"DISC10","DISC15","DISC20","DISC30"},0))),0,J596)</f>
        <v>0</v>
      </c>
    </row>
    <row r="597" spans="1:13" x14ac:dyDescent="0.35">
      <c r="A597" s="1" t="s">
        <v>824</v>
      </c>
      <c r="B597" s="1" t="s">
        <v>548</v>
      </c>
      <c r="C597" s="1" t="s">
        <v>14</v>
      </c>
      <c r="D597" s="1" t="s">
        <v>15</v>
      </c>
      <c r="E597" s="1" t="s">
        <v>16</v>
      </c>
      <c r="F597" s="1" t="s">
        <v>17</v>
      </c>
      <c r="G597" s="1" t="s">
        <v>26</v>
      </c>
      <c r="H597" s="1">
        <v>13978</v>
      </c>
      <c r="I597" s="1" t="s">
        <v>27</v>
      </c>
      <c r="J597" s="1"/>
      <c r="K597" s="1">
        <v>14000</v>
      </c>
      <c r="L597" s="2">
        <v>45341</v>
      </c>
      <c r="M597" s="11">
        <f>IF(OR(I597="",ISNA(MATCH(I597,{"DISC10","DISC15","DISC20","DISC30"},0))),0,J597)</f>
        <v>0</v>
      </c>
    </row>
    <row r="598" spans="1:13" x14ac:dyDescent="0.35">
      <c r="A598" s="1" t="s">
        <v>825</v>
      </c>
      <c r="B598" s="1" t="s">
        <v>120</v>
      </c>
      <c r="C598" s="1" t="s">
        <v>44</v>
      </c>
      <c r="D598" s="1" t="s">
        <v>45</v>
      </c>
      <c r="E598" s="1" t="s">
        <v>16</v>
      </c>
      <c r="F598" s="1" t="s">
        <v>25</v>
      </c>
      <c r="G598" s="1" t="s">
        <v>18</v>
      </c>
      <c r="H598" s="1">
        <v>12586</v>
      </c>
      <c r="I598" s="1" t="s">
        <v>27</v>
      </c>
      <c r="J598" s="1"/>
      <c r="K598" s="1">
        <v>13000</v>
      </c>
      <c r="L598" s="2">
        <v>45330</v>
      </c>
      <c r="M598" s="11">
        <f>IF(OR(I598="",ISNA(MATCH(I598,{"DISC10","DISC15","DISC20","DISC30"},0))),0,J598)</f>
        <v>0</v>
      </c>
    </row>
    <row r="599" spans="1:13" x14ac:dyDescent="0.35">
      <c r="A599" s="1" t="s">
        <v>826</v>
      </c>
      <c r="B599" s="1" t="s">
        <v>827</v>
      </c>
      <c r="C599" s="1" t="s">
        <v>61</v>
      </c>
      <c r="D599" s="1" t="s">
        <v>62</v>
      </c>
      <c r="E599" s="1" t="s">
        <v>46</v>
      </c>
      <c r="F599" s="1" t="s">
        <v>39</v>
      </c>
      <c r="G599" s="1" t="s">
        <v>26</v>
      </c>
      <c r="H599" s="1">
        <v>10122</v>
      </c>
      <c r="I599" s="1" t="s">
        <v>19</v>
      </c>
      <c r="J599" s="1">
        <v>0.2</v>
      </c>
      <c r="K599" s="1">
        <v>9000</v>
      </c>
      <c r="L599" s="2">
        <v>45309</v>
      </c>
      <c r="M599" s="11">
        <f>IF(OR(I599="",ISNA(MATCH(I599,{"DISC10","DISC15","DISC20","DISC30"},0))),0,J599)</f>
        <v>0.2</v>
      </c>
    </row>
    <row r="600" spans="1:13" x14ac:dyDescent="0.35">
      <c r="A600" s="1" t="s">
        <v>828</v>
      </c>
      <c r="B600" s="1" t="s">
        <v>474</v>
      </c>
      <c r="C600" s="1" t="s">
        <v>30</v>
      </c>
      <c r="D600" s="1" t="s">
        <v>31</v>
      </c>
      <c r="E600" s="1" t="s">
        <v>46</v>
      </c>
      <c r="F600" s="1" t="s">
        <v>25</v>
      </c>
      <c r="G600" s="1" t="s">
        <v>18</v>
      </c>
      <c r="H600" s="1">
        <v>16690</v>
      </c>
      <c r="I600" s="1" t="s">
        <v>27</v>
      </c>
      <c r="J600" s="1"/>
      <c r="K600" s="1">
        <v>17000</v>
      </c>
      <c r="L600" s="2">
        <v>45336</v>
      </c>
      <c r="M600" s="11">
        <f>IF(OR(I600="",ISNA(MATCH(I600,{"DISC10","DISC15","DISC20","DISC30"},0))),0,J600)</f>
        <v>0</v>
      </c>
    </row>
    <row r="601" spans="1:13" x14ac:dyDescent="0.35">
      <c r="A601" s="1" t="s">
        <v>829</v>
      </c>
      <c r="B601" s="1" t="s">
        <v>260</v>
      </c>
      <c r="C601" s="1" t="s">
        <v>30</v>
      </c>
      <c r="D601" s="1" t="s">
        <v>31</v>
      </c>
      <c r="E601" s="1" t="s">
        <v>16</v>
      </c>
      <c r="F601" s="1" t="s">
        <v>39</v>
      </c>
      <c r="G601" s="1" t="s">
        <v>36</v>
      </c>
      <c r="H601" s="1">
        <v>17915</v>
      </c>
      <c r="I601" s="1" t="s">
        <v>27</v>
      </c>
      <c r="J601" s="1"/>
      <c r="K601" s="1">
        <v>17000</v>
      </c>
      <c r="L601" s="2">
        <v>45332</v>
      </c>
      <c r="M601" s="11">
        <f>IF(OR(I601="",ISNA(MATCH(I601,{"DISC10","DISC15","DISC20","DISC30"},0))),0,J601)</f>
        <v>0</v>
      </c>
    </row>
    <row r="602" spans="1:13" x14ac:dyDescent="0.35">
      <c r="A602" s="1" t="s">
        <v>830</v>
      </c>
      <c r="B602" s="1" t="s">
        <v>94</v>
      </c>
      <c r="C602" s="1" t="s">
        <v>44</v>
      </c>
      <c r="D602" s="1" t="s">
        <v>45</v>
      </c>
      <c r="E602" s="1" t="s">
        <v>16</v>
      </c>
      <c r="F602" s="1" t="s">
        <v>39</v>
      </c>
      <c r="G602" s="1" t="s">
        <v>36</v>
      </c>
      <c r="H602" s="1">
        <v>13812</v>
      </c>
      <c r="I602" s="1" t="s">
        <v>33</v>
      </c>
      <c r="J602" s="1">
        <v>0.3</v>
      </c>
      <c r="K602" s="1">
        <v>13000</v>
      </c>
      <c r="L602" s="2">
        <v>45350</v>
      </c>
      <c r="M602" s="11">
        <f>IF(OR(I602="",ISNA(MATCH(I602,{"DISC10","DISC15","DISC20","DISC30"},0))),0,J602)</f>
        <v>0.3</v>
      </c>
    </row>
    <row r="603" spans="1:13" x14ac:dyDescent="0.35">
      <c r="A603" s="1" t="s">
        <v>831</v>
      </c>
      <c r="B603" s="1" t="s">
        <v>422</v>
      </c>
      <c r="C603" s="1" t="s">
        <v>44</v>
      </c>
      <c r="D603" s="1" t="s">
        <v>45</v>
      </c>
      <c r="E603" s="1" t="s">
        <v>16</v>
      </c>
      <c r="F603" s="1" t="s">
        <v>39</v>
      </c>
      <c r="G603" s="1" t="s">
        <v>26</v>
      </c>
      <c r="H603" s="1">
        <v>13608</v>
      </c>
      <c r="I603" s="1" t="s">
        <v>33</v>
      </c>
      <c r="J603" s="1">
        <v>0.3</v>
      </c>
      <c r="K603" s="1">
        <v>13000</v>
      </c>
      <c r="L603" s="2">
        <v>45337</v>
      </c>
      <c r="M603" s="11">
        <f>IF(OR(I603="",ISNA(MATCH(I603,{"DISC10","DISC15","DISC20","DISC30"},0))),0,J603)</f>
        <v>0.3</v>
      </c>
    </row>
    <row r="604" spans="1:13" x14ac:dyDescent="0.35">
      <c r="A604" s="1" t="s">
        <v>832</v>
      </c>
      <c r="B604" s="1" t="s">
        <v>200</v>
      </c>
      <c r="C604" s="1" t="s">
        <v>30</v>
      </c>
      <c r="D604" s="1" t="s">
        <v>31</v>
      </c>
      <c r="E604" s="1" t="s">
        <v>16</v>
      </c>
      <c r="F604" s="1" t="s">
        <v>17</v>
      </c>
      <c r="G604" s="1" t="s">
        <v>26</v>
      </c>
      <c r="H604" s="1">
        <v>17337</v>
      </c>
      <c r="I604" s="1"/>
      <c r="J604" s="1"/>
      <c r="K604" s="1">
        <v>17000</v>
      </c>
      <c r="L604" s="2">
        <v>45335</v>
      </c>
      <c r="M604" s="11">
        <f>IF(OR(I604="",ISNA(MATCH(I604,{"DISC10","DISC15","DISC20","DISC30"},0))),0,J604)</f>
        <v>0</v>
      </c>
    </row>
    <row r="605" spans="1:13" x14ac:dyDescent="0.35">
      <c r="A605" s="1" t="s">
        <v>833</v>
      </c>
      <c r="B605" s="1" t="s">
        <v>371</v>
      </c>
      <c r="C605" s="1" t="s">
        <v>30</v>
      </c>
      <c r="D605" s="1" t="s">
        <v>31</v>
      </c>
      <c r="E605" s="1" t="s">
        <v>46</v>
      </c>
      <c r="F605" s="1" t="s">
        <v>25</v>
      </c>
      <c r="G605" s="1" t="s">
        <v>26</v>
      </c>
      <c r="H605" s="1">
        <v>15436</v>
      </c>
      <c r="I605" s="1" t="s">
        <v>22</v>
      </c>
      <c r="J605" s="1">
        <v>0.1</v>
      </c>
      <c r="K605" s="1">
        <v>17000</v>
      </c>
      <c r="L605" s="2">
        <v>45316</v>
      </c>
      <c r="M605" s="11">
        <f>IF(OR(I605="",ISNA(MATCH(I605,{"DISC10","DISC15","DISC20","DISC30"},0))),0,J605)</f>
        <v>0.1</v>
      </c>
    </row>
    <row r="606" spans="1:13" x14ac:dyDescent="0.35">
      <c r="A606" s="1" t="s">
        <v>834</v>
      </c>
      <c r="B606" s="1" t="s">
        <v>557</v>
      </c>
      <c r="C606" s="1" t="s">
        <v>14</v>
      </c>
      <c r="D606" s="1" t="s">
        <v>15</v>
      </c>
      <c r="E606" s="1" t="s">
        <v>32</v>
      </c>
      <c r="F606" s="1" t="s">
        <v>17</v>
      </c>
      <c r="G606" s="1" t="s">
        <v>18</v>
      </c>
      <c r="H606" s="1">
        <v>13173</v>
      </c>
      <c r="I606" s="1" t="s">
        <v>33</v>
      </c>
      <c r="J606" s="1">
        <v>0.3</v>
      </c>
      <c r="K606" s="1">
        <v>14000</v>
      </c>
      <c r="L606" s="2">
        <v>45301</v>
      </c>
      <c r="M606" s="11">
        <f>IF(OR(I606="",ISNA(MATCH(I606,{"DISC10","DISC15","DISC20","DISC30"},0))),0,J606)</f>
        <v>0.3</v>
      </c>
    </row>
    <row r="607" spans="1:13" x14ac:dyDescent="0.35">
      <c r="A607" s="1" t="s">
        <v>835</v>
      </c>
      <c r="B607" s="1" t="s">
        <v>676</v>
      </c>
      <c r="C607" s="1" t="s">
        <v>30</v>
      </c>
      <c r="D607" s="1" t="s">
        <v>31</v>
      </c>
      <c r="E607" s="1" t="s">
        <v>32</v>
      </c>
      <c r="F607" s="1" t="s">
        <v>39</v>
      </c>
      <c r="G607" s="1" t="s">
        <v>18</v>
      </c>
      <c r="H607" s="1">
        <v>16469</v>
      </c>
      <c r="I607" s="1"/>
      <c r="J607" s="1"/>
      <c r="K607" s="1">
        <v>17000</v>
      </c>
      <c r="L607" s="2">
        <v>45298</v>
      </c>
      <c r="M607" s="11">
        <f>IF(OR(I607="",ISNA(MATCH(I607,{"DISC10","DISC15","DISC20","DISC30"},0))),0,J607)</f>
        <v>0</v>
      </c>
    </row>
    <row r="608" spans="1:13" x14ac:dyDescent="0.35">
      <c r="A608" s="1" t="s">
        <v>836</v>
      </c>
      <c r="B608" s="1" t="s">
        <v>837</v>
      </c>
      <c r="C608" s="1" t="s">
        <v>44</v>
      </c>
      <c r="D608" s="1" t="s">
        <v>45</v>
      </c>
      <c r="E608" s="1" t="s">
        <v>16</v>
      </c>
      <c r="F608" s="1" t="s">
        <v>39</v>
      </c>
      <c r="G608" s="1" t="s">
        <v>26</v>
      </c>
      <c r="H608" s="1">
        <v>12592</v>
      </c>
      <c r="I608" s="1" t="s">
        <v>19</v>
      </c>
      <c r="J608" s="1">
        <v>0.2</v>
      </c>
      <c r="K608" s="1">
        <v>13000</v>
      </c>
      <c r="L608" s="2">
        <v>45324</v>
      </c>
      <c r="M608" s="11">
        <f>IF(OR(I608="",ISNA(MATCH(I608,{"DISC10","DISC15","DISC20","DISC30"},0))),0,J608)</f>
        <v>0.2</v>
      </c>
    </row>
    <row r="609" spans="1:13" x14ac:dyDescent="0.35">
      <c r="A609" s="1" t="s">
        <v>838</v>
      </c>
      <c r="B609" s="1" t="s">
        <v>54</v>
      </c>
      <c r="C609" s="1" t="s">
        <v>30</v>
      </c>
      <c r="D609" s="1" t="s">
        <v>31</v>
      </c>
      <c r="E609" s="1" t="s">
        <v>16</v>
      </c>
      <c r="F609" s="1" t="s">
        <v>39</v>
      </c>
      <c r="G609" s="1" t="s">
        <v>18</v>
      </c>
      <c r="H609" s="1">
        <v>18794</v>
      </c>
      <c r="I609" s="1"/>
      <c r="J609" s="1"/>
      <c r="K609" s="1">
        <v>17000</v>
      </c>
      <c r="L609" s="2">
        <v>45316</v>
      </c>
      <c r="M609" s="11">
        <f>IF(OR(I609="",ISNA(MATCH(I609,{"DISC10","DISC15","DISC20","DISC30"},0))),0,J609)</f>
        <v>0</v>
      </c>
    </row>
    <row r="610" spans="1:13" x14ac:dyDescent="0.35">
      <c r="A610" s="1" t="s">
        <v>839</v>
      </c>
      <c r="B610" s="1" t="s">
        <v>155</v>
      </c>
      <c r="C610" s="1" t="s">
        <v>30</v>
      </c>
      <c r="D610" s="1" t="s">
        <v>31</v>
      </c>
      <c r="E610" s="1" t="s">
        <v>16</v>
      </c>
      <c r="F610" s="1" t="s">
        <v>25</v>
      </c>
      <c r="G610" s="1" t="s">
        <v>18</v>
      </c>
      <c r="H610" s="1">
        <v>18046</v>
      </c>
      <c r="I610" s="1" t="s">
        <v>33</v>
      </c>
      <c r="J610" s="1">
        <v>0.3</v>
      </c>
      <c r="K610" s="1">
        <v>17000</v>
      </c>
      <c r="L610" s="2">
        <v>45304</v>
      </c>
      <c r="M610" s="11">
        <f>IF(OR(I610="",ISNA(MATCH(I610,{"DISC10","DISC15","DISC20","DISC30"},0))),0,J610)</f>
        <v>0.3</v>
      </c>
    </row>
    <row r="611" spans="1:13" x14ac:dyDescent="0.35">
      <c r="A611" s="1" t="s">
        <v>840</v>
      </c>
      <c r="B611" s="1" t="s">
        <v>837</v>
      </c>
      <c r="C611" s="1" t="s">
        <v>61</v>
      </c>
      <c r="D611" s="1" t="s">
        <v>62</v>
      </c>
      <c r="E611" s="1" t="s">
        <v>32</v>
      </c>
      <c r="F611" s="1" t="s">
        <v>39</v>
      </c>
      <c r="G611" s="1" t="s">
        <v>26</v>
      </c>
      <c r="H611" s="1">
        <v>9906</v>
      </c>
      <c r="I611" s="1" t="s">
        <v>33</v>
      </c>
      <c r="J611" s="1">
        <v>0.3</v>
      </c>
      <c r="K611" s="1">
        <v>9000</v>
      </c>
      <c r="L611" s="2">
        <v>45340</v>
      </c>
      <c r="M611" s="11">
        <f>IF(OR(I611="",ISNA(MATCH(I611,{"DISC10","DISC15","DISC20","DISC30"},0))),0,J611)</f>
        <v>0.3</v>
      </c>
    </row>
    <row r="612" spans="1:13" x14ac:dyDescent="0.35">
      <c r="A612" s="1" t="s">
        <v>841</v>
      </c>
      <c r="B612" s="1" t="s">
        <v>86</v>
      </c>
      <c r="C612" s="1" t="s">
        <v>44</v>
      </c>
      <c r="D612" s="1" t="s">
        <v>45</v>
      </c>
      <c r="E612" s="1" t="s">
        <v>16</v>
      </c>
      <c r="F612" s="1" t="s">
        <v>25</v>
      </c>
      <c r="G612" s="1" t="s">
        <v>36</v>
      </c>
      <c r="H612" s="1">
        <v>12838</v>
      </c>
      <c r="I612" s="1" t="s">
        <v>19</v>
      </c>
      <c r="J612" s="1">
        <v>0.2</v>
      </c>
      <c r="K612" s="1">
        <v>13000</v>
      </c>
      <c r="L612" s="2">
        <v>45335</v>
      </c>
      <c r="M612" s="11">
        <f>IF(OR(I612="",ISNA(MATCH(I612,{"DISC10","DISC15","DISC20","DISC30"},0))),0,J612)</f>
        <v>0.2</v>
      </c>
    </row>
    <row r="613" spans="1:13" x14ac:dyDescent="0.35">
      <c r="A613" s="1" t="s">
        <v>842</v>
      </c>
      <c r="B613" s="1" t="s">
        <v>843</v>
      </c>
      <c r="C613" s="1" t="s">
        <v>44</v>
      </c>
      <c r="D613" s="1" t="s">
        <v>45</v>
      </c>
      <c r="E613" s="1" t="s">
        <v>16</v>
      </c>
      <c r="F613" s="1" t="s">
        <v>39</v>
      </c>
      <c r="G613" s="1" t="s">
        <v>18</v>
      </c>
      <c r="H613" s="1">
        <v>12545</v>
      </c>
      <c r="I613" s="1" t="s">
        <v>22</v>
      </c>
      <c r="J613" s="1">
        <v>0.1</v>
      </c>
      <c r="K613" s="1">
        <v>13000</v>
      </c>
      <c r="L613" s="2">
        <v>45319</v>
      </c>
      <c r="M613" s="11">
        <f>IF(OR(I613="",ISNA(MATCH(I613,{"DISC10","DISC15","DISC20","DISC30"},0))),0,J613)</f>
        <v>0.1</v>
      </c>
    </row>
    <row r="614" spans="1:13" x14ac:dyDescent="0.35">
      <c r="A614" s="1" t="s">
        <v>844</v>
      </c>
      <c r="B614" s="1" t="s">
        <v>307</v>
      </c>
      <c r="C614" s="1" t="s">
        <v>30</v>
      </c>
      <c r="D614" s="1" t="s">
        <v>31</v>
      </c>
      <c r="E614" s="1" t="s">
        <v>32</v>
      </c>
      <c r="F614" s="1" t="s">
        <v>25</v>
      </c>
      <c r="G614" s="1" t="s">
        <v>26</v>
      </c>
      <c r="H614" s="1">
        <v>18465</v>
      </c>
      <c r="I614" s="1" t="s">
        <v>33</v>
      </c>
      <c r="J614" s="1">
        <v>0.3</v>
      </c>
      <c r="K614" s="1">
        <v>17000</v>
      </c>
      <c r="L614" s="2">
        <v>45292</v>
      </c>
      <c r="M614" s="11">
        <f>IF(OR(I614="",ISNA(MATCH(I614,{"DISC10","DISC15","DISC20","DISC30"},0))),0,J614)</f>
        <v>0.3</v>
      </c>
    </row>
    <row r="615" spans="1:13" x14ac:dyDescent="0.35">
      <c r="A615" s="1" t="s">
        <v>845</v>
      </c>
      <c r="B615" s="1" t="s">
        <v>802</v>
      </c>
      <c r="C615" s="1" t="s">
        <v>44</v>
      </c>
      <c r="D615" s="1" t="s">
        <v>45</v>
      </c>
      <c r="E615" s="1" t="s">
        <v>32</v>
      </c>
      <c r="F615" s="1" t="s">
        <v>25</v>
      </c>
      <c r="G615" s="1" t="s">
        <v>36</v>
      </c>
      <c r="H615" s="1">
        <v>13444</v>
      </c>
      <c r="I615" s="1" t="s">
        <v>22</v>
      </c>
      <c r="J615" s="1">
        <v>0.1</v>
      </c>
      <c r="K615" s="1">
        <v>13000</v>
      </c>
      <c r="L615" s="2">
        <v>45341</v>
      </c>
      <c r="M615" s="11">
        <f>IF(OR(I615="",ISNA(MATCH(I615,{"DISC10","DISC15","DISC20","DISC30"},0))),0,J615)</f>
        <v>0.1</v>
      </c>
    </row>
    <row r="616" spans="1:13" x14ac:dyDescent="0.35">
      <c r="A616" s="1" t="s">
        <v>846</v>
      </c>
      <c r="B616" s="1" t="s">
        <v>50</v>
      </c>
      <c r="C616" s="1" t="s">
        <v>30</v>
      </c>
      <c r="D616" s="1" t="s">
        <v>31</v>
      </c>
      <c r="E616" s="1" t="s">
        <v>46</v>
      </c>
      <c r="F616" s="1" t="s">
        <v>39</v>
      </c>
      <c r="G616" s="1" t="s">
        <v>26</v>
      </c>
      <c r="H616" s="1">
        <v>16466</v>
      </c>
      <c r="I616" s="1" t="s">
        <v>22</v>
      </c>
      <c r="J616" s="1">
        <v>0.1</v>
      </c>
      <c r="K616" s="1">
        <v>17000</v>
      </c>
      <c r="L616" s="2">
        <v>45342</v>
      </c>
      <c r="M616" s="11">
        <f>IF(OR(I616="",ISNA(MATCH(I616,{"DISC10","DISC15","DISC20","DISC30"},0))),0,J616)</f>
        <v>0.1</v>
      </c>
    </row>
    <row r="617" spans="1:13" x14ac:dyDescent="0.35">
      <c r="A617" s="1" t="s">
        <v>847</v>
      </c>
      <c r="B617" s="1" t="s">
        <v>577</v>
      </c>
      <c r="C617" s="1" t="s">
        <v>44</v>
      </c>
      <c r="D617" s="1" t="s">
        <v>45</v>
      </c>
      <c r="E617" s="1" t="s">
        <v>32</v>
      </c>
      <c r="F617" s="1" t="s">
        <v>39</v>
      </c>
      <c r="G617" s="1" t="s">
        <v>18</v>
      </c>
      <c r="H617" s="1">
        <v>14220</v>
      </c>
      <c r="I617" s="1" t="s">
        <v>27</v>
      </c>
      <c r="J617" s="1"/>
      <c r="K617" s="1">
        <v>13000</v>
      </c>
      <c r="L617" s="2">
        <v>45302</v>
      </c>
      <c r="M617" s="11">
        <f>IF(OR(I617="",ISNA(MATCH(I617,{"DISC10","DISC15","DISC20","DISC30"},0))),0,J617)</f>
        <v>0</v>
      </c>
    </row>
    <row r="618" spans="1:13" x14ac:dyDescent="0.35">
      <c r="A618" s="1" t="s">
        <v>848</v>
      </c>
      <c r="B618" s="1" t="s">
        <v>512</v>
      </c>
      <c r="C618" s="1" t="s">
        <v>61</v>
      </c>
      <c r="D618" s="1" t="s">
        <v>62</v>
      </c>
      <c r="E618" s="1" t="s">
        <v>32</v>
      </c>
      <c r="F618" s="1" t="s">
        <v>17</v>
      </c>
      <c r="G618" s="1" t="s">
        <v>18</v>
      </c>
      <c r="H618" s="1">
        <v>10618</v>
      </c>
      <c r="I618" s="1" t="s">
        <v>19</v>
      </c>
      <c r="J618" s="1">
        <v>0.2</v>
      </c>
      <c r="K618" s="1">
        <v>9000</v>
      </c>
      <c r="L618" s="2">
        <v>45334</v>
      </c>
      <c r="M618" s="11">
        <f>IF(OR(I618="",ISNA(MATCH(I618,{"DISC10","DISC15","DISC20","DISC30"},0))),0,J618)</f>
        <v>0.2</v>
      </c>
    </row>
    <row r="619" spans="1:13" x14ac:dyDescent="0.35">
      <c r="A619" s="1" t="s">
        <v>849</v>
      </c>
      <c r="B619" s="1" t="s">
        <v>282</v>
      </c>
      <c r="C619" s="1" t="s">
        <v>30</v>
      </c>
      <c r="D619" s="1" t="s">
        <v>31</v>
      </c>
      <c r="E619" s="1" t="s">
        <v>46</v>
      </c>
      <c r="F619" s="1" t="s">
        <v>25</v>
      </c>
      <c r="G619" s="1" t="s">
        <v>26</v>
      </c>
      <c r="H619" s="1">
        <v>17172</v>
      </c>
      <c r="I619" s="1"/>
      <c r="J619" s="1"/>
      <c r="K619" s="1">
        <v>17000</v>
      </c>
      <c r="L619" s="2">
        <v>45327</v>
      </c>
      <c r="M619" s="11">
        <f>IF(OR(I619="",ISNA(MATCH(I619,{"DISC10","DISC15","DISC20","DISC30"},0))),0,J619)</f>
        <v>0</v>
      </c>
    </row>
    <row r="620" spans="1:13" x14ac:dyDescent="0.35">
      <c r="A620" s="1" t="s">
        <v>850</v>
      </c>
      <c r="B620" s="1" t="s">
        <v>393</v>
      </c>
      <c r="C620" s="1" t="s">
        <v>14</v>
      </c>
      <c r="D620" s="1" t="s">
        <v>15</v>
      </c>
      <c r="E620" s="1" t="s">
        <v>32</v>
      </c>
      <c r="F620" s="1" t="s">
        <v>39</v>
      </c>
      <c r="G620" s="1" t="s">
        <v>36</v>
      </c>
      <c r="H620" s="1">
        <v>13825</v>
      </c>
      <c r="I620" s="1" t="s">
        <v>19</v>
      </c>
      <c r="J620" s="1">
        <v>0.2</v>
      </c>
      <c r="K620" s="1">
        <v>14000</v>
      </c>
      <c r="L620" s="2">
        <v>45349</v>
      </c>
      <c r="M620" s="11">
        <f>IF(OR(I620="",ISNA(MATCH(I620,{"DISC10","DISC15","DISC20","DISC30"},0))),0,J620)</f>
        <v>0.2</v>
      </c>
    </row>
    <row r="621" spans="1:13" x14ac:dyDescent="0.35">
      <c r="A621" s="1" t="s">
        <v>851</v>
      </c>
      <c r="B621" s="1" t="s">
        <v>163</v>
      </c>
      <c r="C621" s="1" t="s">
        <v>44</v>
      </c>
      <c r="D621" s="1" t="s">
        <v>45</v>
      </c>
      <c r="E621" s="1" t="s">
        <v>32</v>
      </c>
      <c r="F621" s="1" t="s">
        <v>39</v>
      </c>
      <c r="G621" s="1" t="s">
        <v>36</v>
      </c>
      <c r="H621" s="1">
        <v>12562</v>
      </c>
      <c r="I621" s="1" t="s">
        <v>22</v>
      </c>
      <c r="J621" s="1">
        <v>0.1</v>
      </c>
      <c r="K621" s="1">
        <v>13000</v>
      </c>
      <c r="L621" s="2">
        <v>45316</v>
      </c>
      <c r="M621" s="11">
        <f>IF(OR(I621="",ISNA(MATCH(I621,{"DISC10","DISC15","DISC20","DISC30"},0))),0,J621)</f>
        <v>0.1</v>
      </c>
    </row>
    <row r="622" spans="1:13" x14ac:dyDescent="0.35">
      <c r="A622" s="1" t="s">
        <v>852</v>
      </c>
      <c r="B622" s="1" t="s">
        <v>307</v>
      </c>
      <c r="C622" s="1" t="s">
        <v>30</v>
      </c>
      <c r="D622" s="1" t="s">
        <v>31</v>
      </c>
      <c r="E622" s="1" t="s">
        <v>32</v>
      </c>
      <c r="F622" s="1" t="s">
        <v>39</v>
      </c>
      <c r="G622" s="1" t="s">
        <v>36</v>
      </c>
      <c r="H622" s="1">
        <v>17106</v>
      </c>
      <c r="I622" s="1" t="s">
        <v>27</v>
      </c>
      <c r="J622" s="1"/>
      <c r="K622" s="1">
        <v>17000</v>
      </c>
      <c r="L622" s="2">
        <v>45320</v>
      </c>
      <c r="M622" s="11">
        <f>IF(OR(I622="",ISNA(MATCH(I622,{"DISC10","DISC15","DISC20","DISC30"},0))),0,J622)</f>
        <v>0</v>
      </c>
    </row>
    <row r="623" spans="1:13" x14ac:dyDescent="0.35">
      <c r="A623" s="1" t="s">
        <v>853</v>
      </c>
      <c r="B623" s="1" t="s">
        <v>711</v>
      </c>
      <c r="C623" s="1" t="s">
        <v>30</v>
      </c>
      <c r="D623" s="1" t="s">
        <v>31</v>
      </c>
      <c r="E623" s="1" t="s">
        <v>16</v>
      </c>
      <c r="F623" s="1" t="s">
        <v>25</v>
      </c>
      <c r="G623" s="1" t="s">
        <v>36</v>
      </c>
      <c r="H623" s="1">
        <v>17104</v>
      </c>
      <c r="I623" s="1" t="s">
        <v>22</v>
      </c>
      <c r="J623" s="1">
        <v>0.1</v>
      </c>
      <c r="K623" s="1">
        <v>17000</v>
      </c>
      <c r="L623" s="2">
        <v>45352</v>
      </c>
      <c r="M623" s="11">
        <f>IF(OR(I623="",ISNA(MATCH(I623,{"DISC10","DISC15","DISC20","DISC30"},0))),0,J623)</f>
        <v>0.1</v>
      </c>
    </row>
    <row r="624" spans="1:13" x14ac:dyDescent="0.35">
      <c r="A624" s="1" t="s">
        <v>854</v>
      </c>
      <c r="B624" s="1" t="s">
        <v>843</v>
      </c>
      <c r="C624" s="1" t="s">
        <v>14</v>
      </c>
      <c r="D624" s="1" t="s">
        <v>15</v>
      </c>
      <c r="E624" s="1" t="s">
        <v>16</v>
      </c>
      <c r="F624" s="1" t="s">
        <v>25</v>
      </c>
      <c r="G624" s="1" t="s">
        <v>18</v>
      </c>
      <c r="H624" s="1">
        <v>14745</v>
      </c>
      <c r="I624" s="1" t="s">
        <v>19</v>
      </c>
      <c r="J624" s="1">
        <v>0.2</v>
      </c>
      <c r="K624" s="1">
        <v>14000</v>
      </c>
      <c r="L624" s="2">
        <v>45347</v>
      </c>
      <c r="M624" s="11">
        <f>IF(OR(I624="",ISNA(MATCH(I624,{"DISC10","DISC15","DISC20","DISC30"},0))),0,J624)</f>
        <v>0.2</v>
      </c>
    </row>
    <row r="625" spans="1:13" x14ac:dyDescent="0.35">
      <c r="A625" s="1" t="s">
        <v>855</v>
      </c>
      <c r="B625" s="1" t="s">
        <v>90</v>
      </c>
      <c r="C625" s="1" t="s">
        <v>14</v>
      </c>
      <c r="D625" s="1" t="s">
        <v>15</v>
      </c>
      <c r="E625" s="1" t="s">
        <v>32</v>
      </c>
      <c r="F625" s="1" t="s">
        <v>39</v>
      </c>
      <c r="G625" s="1" t="s">
        <v>26</v>
      </c>
      <c r="H625" s="1">
        <v>15598</v>
      </c>
      <c r="I625" s="1"/>
      <c r="J625" s="1"/>
      <c r="K625" s="1">
        <v>14000</v>
      </c>
      <c r="L625" s="2">
        <v>45333</v>
      </c>
      <c r="M625" s="11">
        <f>IF(OR(I625="",ISNA(MATCH(I625,{"DISC10","DISC15","DISC20","DISC30"},0))),0,J625)</f>
        <v>0</v>
      </c>
    </row>
    <row r="626" spans="1:13" x14ac:dyDescent="0.35">
      <c r="A626" s="1" t="s">
        <v>856</v>
      </c>
      <c r="B626" s="1" t="s">
        <v>96</v>
      </c>
      <c r="C626" s="1" t="s">
        <v>44</v>
      </c>
      <c r="D626" s="1" t="s">
        <v>45</v>
      </c>
      <c r="E626" s="1" t="s">
        <v>32</v>
      </c>
      <c r="F626" s="1" t="s">
        <v>17</v>
      </c>
      <c r="G626" s="1" t="s">
        <v>26</v>
      </c>
      <c r="H626" s="1">
        <v>12358</v>
      </c>
      <c r="I626" s="1" t="s">
        <v>22</v>
      </c>
      <c r="J626" s="1">
        <v>0.1</v>
      </c>
      <c r="K626" s="1">
        <v>13000</v>
      </c>
      <c r="L626" s="2">
        <v>45297</v>
      </c>
      <c r="M626" s="11">
        <f>IF(OR(I626="",ISNA(MATCH(I626,{"DISC10","DISC15","DISC20","DISC30"},0))),0,J626)</f>
        <v>0.1</v>
      </c>
    </row>
    <row r="627" spans="1:13" x14ac:dyDescent="0.35">
      <c r="A627" s="1" t="s">
        <v>857</v>
      </c>
      <c r="B627" s="1" t="s">
        <v>43</v>
      </c>
      <c r="C627" s="1" t="s">
        <v>44</v>
      </c>
      <c r="D627" s="1" t="s">
        <v>45</v>
      </c>
      <c r="E627" s="1" t="s">
        <v>46</v>
      </c>
      <c r="F627" s="1" t="s">
        <v>39</v>
      </c>
      <c r="G627" s="1" t="s">
        <v>18</v>
      </c>
      <c r="H627" s="1">
        <v>13355</v>
      </c>
      <c r="I627" s="1" t="s">
        <v>19</v>
      </c>
      <c r="J627" s="1">
        <v>0.2</v>
      </c>
      <c r="K627" s="1">
        <v>13000</v>
      </c>
      <c r="L627" s="2">
        <v>45350</v>
      </c>
      <c r="M627" s="11">
        <f>IF(OR(I627="",ISNA(MATCH(I627,{"DISC10","DISC15","DISC20","DISC30"},0))),0,J627)</f>
        <v>0.2</v>
      </c>
    </row>
    <row r="628" spans="1:13" x14ac:dyDescent="0.35">
      <c r="A628" s="1" t="s">
        <v>858</v>
      </c>
      <c r="B628" s="1" t="s">
        <v>70</v>
      </c>
      <c r="C628" s="1" t="s">
        <v>61</v>
      </c>
      <c r="D628" s="1" t="s">
        <v>62</v>
      </c>
      <c r="E628" s="1" t="s">
        <v>46</v>
      </c>
      <c r="F628" s="1" t="s">
        <v>39</v>
      </c>
      <c r="G628" s="1" t="s">
        <v>36</v>
      </c>
      <c r="H628" s="1">
        <v>8773</v>
      </c>
      <c r="I628" s="1" t="s">
        <v>33</v>
      </c>
      <c r="J628" s="1">
        <v>0.3</v>
      </c>
      <c r="K628" s="1">
        <v>9000</v>
      </c>
      <c r="L628" s="2">
        <v>45293</v>
      </c>
      <c r="M628" s="11">
        <f>IF(OR(I628="",ISNA(MATCH(I628,{"DISC10","DISC15","DISC20","DISC30"},0))),0,J628)</f>
        <v>0.3</v>
      </c>
    </row>
    <row r="629" spans="1:13" x14ac:dyDescent="0.35">
      <c r="A629" s="1" t="s">
        <v>859</v>
      </c>
      <c r="B629" s="1" t="s">
        <v>274</v>
      </c>
      <c r="C629" s="1" t="s">
        <v>14</v>
      </c>
      <c r="D629" s="1" t="s">
        <v>15</v>
      </c>
      <c r="E629" s="1" t="s">
        <v>16</v>
      </c>
      <c r="F629" s="1" t="s">
        <v>25</v>
      </c>
      <c r="G629" s="1" t="s">
        <v>26</v>
      </c>
      <c r="H629" s="1">
        <v>14950</v>
      </c>
      <c r="I629" s="1" t="s">
        <v>27</v>
      </c>
      <c r="J629" s="1"/>
      <c r="K629" s="1">
        <v>14000</v>
      </c>
      <c r="L629" s="2">
        <v>45296</v>
      </c>
      <c r="M629" s="11">
        <f>IF(OR(I629="",ISNA(MATCH(I629,{"DISC10","DISC15","DISC20","DISC30"},0))),0,J629)</f>
        <v>0</v>
      </c>
    </row>
    <row r="630" spans="1:13" x14ac:dyDescent="0.35">
      <c r="A630" s="1" t="s">
        <v>860</v>
      </c>
      <c r="B630" s="1" t="s">
        <v>296</v>
      </c>
      <c r="C630" s="1" t="s">
        <v>14</v>
      </c>
      <c r="D630" s="1" t="s">
        <v>15</v>
      </c>
      <c r="E630" s="1" t="s">
        <v>16</v>
      </c>
      <c r="F630" s="1" t="s">
        <v>25</v>
      </c>
      <c r="G630" s="1" t="s">
        <v>36</v>
      </c>
      <c r="H630" s="1">
        <v>15801</v>
      </c>
      <c r="I630" s="1" t="s">
        <v>27</v>
      </c>
      <c r="J630" s="1"/>
      <c r="K630" s="1">
        <v>14000</v>
      </c>
      <c r="L630" s="2">
        <v>45298</v>
      </c>
      <c r="M630" s="11">
        <f>IF(OR(I630="",ISNA(MATCH(I630,{"DISC10","DISC15","DISC20","DISC30"},0))),0,J630)</f>
        <v>0</v>
      </c>
    </row>
    <row r="631" spans="1:13" x14ac:dyDescent="0.35">
      <c r="A631" s="1" t="s">
        <v>861</v>
      </c>
      <c r="B631" s="1" t="s">
        <v>443</v>
      </c>
      <c r="C631" s="1" t="s">
        <v>30</v>
      </c>
      <c r="D631" s="1" t="s">
        <v>31</v>
      </c>
      <c r="E631" s="1" t="s">
        <v>16</v>
      </c>
      <c r="F631" s="1" t="s">
        <v>25</v>
      </c>
      <c r="G631" s="1" t="s">
        <v>36</v>
      </c>
      <c r="H631" s="1">
        <v>18134</v>
      </c>
      <c r="I631" s="1"/>
      <c r="J631" s="1"/>
      <c r="K631" s="1">
        <v>17000</v>
      </c>
      <c r="L631" s="2">
        <v>45316</v>
      </c>
      <c r="M631" s="11">
        <f>IF(OR(I631="",ISNA(MATCH(I631,{"DISC10","DISC15","DISC20","DISC30"},0))),0,J631)</f>
        <v>0</v>
      </c>
    </row>
    <row r="632" spans="1:13" x14ac:dyDescent="0.35">
      <c r="A632" s="1" t="s">
        <v>862</v>
      </c>
      <c r="B632" s="1" t="s">
        <v>309</v>
      </c>
      <c r="C632" s="1" t="s">
        <v>14</v>
      </c>
      <c r="D632" s="1" t="s">
        <v>15</v>
      </c>
      <c r="E632" s="1" t="s">
        <v>46</v>
      </c>
      <c r="F632" s="1" t="s">
        <v>25</v>
      </c>
      <c r="G632" s="1" t="s">
        <v>26</v>
      </c>
      <c r="H632" s="1">
        <v>12900</v>
      </c>
      <c r="I632" s="1" t="s">
        <v>19</v>
      </c>
      <c r="J632" s="1">
        <v>0.2</v>
      </c>
      <c r="K632" s="1">
        <v>14000</v>
      </c>
      <c r="L632" s="2">
        <v>45339</v>
      </c>
      <c r="M632" s="11">
        <f>IF(OR(I632="",ISNA(MATCH(I632,{"DISC10","DISC15","DISC20","DISC30"},0))),0,J632)</f>
        <v>0.2</v>
      </c>
    </row>
    <row r="633" spans="1:13" x14ac:dyDescent="0.35">
      <c r="A633" s="1" t="s">
        <v>863</v>
      </c>
      <c r="B633" s="1" t="s">
        <v>155</v>
      </c>
      <c r="C633" s="1" t="s">
        <v>30</v>
      </c>
      <c r="D633" s="1" t="s">
        <v>31</v>
      </c>
      <c r="E633" s="1" t="s">
        <v>16</v>
      </c>
      <c r="F633" s="1" t="s">
        <v>25</v>
      </c>
      <c r="G633" s="1" t="s">
        <v>36</v>
      </c>
      <c r="H633" s="1">
        <v>17774</v>
      </c>
      <c r="I633" s="1" t="s">
        <v>33</v>
      </c>
      <c r="J633" s="1">
        <v>0.3</v>
      </c>
      <c r="K633" s="1">
        <v>17000</v>
      </c>
      <c r="L633" s="2">
        <v>45352</v>
      </c>
      <c r="M633" s="11">
        <f>IF(OR(I633="",ISNA(MATCH(I633,{"DISC10","DISC15","DISC20","DISC30"},0))),0,J633)</f>
        <v>0.3</v>
      </c>
    </row>
    <row r="634" spans="1:13" x14ac:dyDescent="0.35">
      <c r="A634" s="1" t="s">
        <v>864</v>
      </c>
      <c r="B634" s="1" t="s">
        <v>166</v>
      </c>
      <c r="C634" s="1" t="s">
        <v>44</v>
      </c>
      <c r="D634" s="1" t="s">
        <v>45</v>
      </c>
      <c r="E634" s="1" t="s">
        <v>32</v>
      </c>
      <c r="F634" s="1" t="s">
        <v>25</v>
      </c>
      <c r="G634" s="1" t="s">
        <v>18</v>
      </c>
      <c r="H634" s="1">
        <v>13345</v>
      </c>
      <c r="I634" s="1" t="s">
        <v>27</v>
      </c>
      <c r="J634" s="1"/>
      <c r="K634" s="1">
        <v>13000</v>
      </c>
      <c r="L634" s="2">
        <v>45317</v>
      </c>
      <c r="M634" s="11">
        <f>IF(OR(I634="",ISNA(MATCH(I634,{"DISC10","DISC15","DISC20","DISC30"},0))),0,J634)</f>
        <v>0</v>
      </c>
    </row>
    <row r="635" spans="1:13" x14ac:dyDescent="0.35">
      <c r="A635" s="1" t="s">
        <v>865</v>
      </c>
      <c r="B635" s="1" t="s">
        <v>168</v>
      </c>
      <c r="C635" s="1" t="s">
        <v>14</v>
      </c>
      <c r="D635" s="1" t="s">
        <v>15</v>
      </c>
      <c r="E635" s="1" t="s">
        <v>46</v>
      </c>
      <c r="F635" s="1" t="s">
        <v>25</v>
      </c>
      <c r="G635" s="1" t="s">
        <v>26</v>
      </c>
      <c r="H635" s="1">
        <v>15036</v>
      </c>
      <c r="I635" s="1" t="s">
        <v>33</v>
      </c>
      <c r="J635" s="1">
        <v>0.3</v>
      </c>
      <c r="K635" s="1">
        <v>14000</v>
      </c>
      <c r="L635" s="2">
        <v>45305</v>
      </c>
      <c r="M635" s="11">
        <f>IF(OR(I635="",ISNA(MATCH(I635,{"DISC10","DISC15","DISC20","DISC30"},0))),0,J635)</f>
        <v>0.3</v>
      </c>
    </row>
    <row r="636" spans="1:13" x14ac:dyDescent="0.35">
      <c r="A636" s="1" t="s">
        <v>866</v>
      </c>
      <c r="B636" s="1" t="s">
        <v>274</v>
      </c>
      <c r="C636" s="1" t="s">
        <v>44</v>
      </c>
      <c r="D636" s="1" t="s">
        <v>45</v>
      </c>
      <c r="E636" s="1" t="s">
        <v>32</v>
      </c>
      <c r="F636" s="1" t="s">
        <v>25</v>
      </c>
      <c r="G636" s="1" t="s">
        <v>18</v>
      </c>
      <c r="H636" s="1">
        <v>13526</v>
      </c>
      <c r="I636" s="1" t="s">
        <v>33</v>
      </c>
      <c r="J636" s="1">
        <v>0.3</v>
      </c>
      <c r="K636" s="1">
        <v>13000</v>
      </c>
      <c r="L636" s="2">
        <v>45304</v>
      </c>
      <c r="M636" s="11">
        <f>IF(OR(I636="",ISNA(MATCH(I636,{"DISC10","DISC15","DISC20","DISC30"},0))),0,J636)</f>
        <v>0.3</v>
      </c>
    </row>
    <row r="637" spans="1:13" x14ac:dyDescent="0.35">
      <c r="A637" s="1" t="s">
        <v>867</v>
      </c>
      <c r="B637" s="1" t="s">
        <v>843</v>
      </c>
      <c r="C637" s="1" t="s">
        <v>14</v>
      </c>
      <c r="D637" s="1" t="s">
        <v>15</v>
      </c>
      <c r="E637" s="1" t="s">
        <v>16</v>
      </c>
      <c r="F637" s="1" t="s">
        <v>17</v>
      </c>
      <c r="G637" s="1" t="s">
        <v>26</v>
      </c>
      <c r="H637" s="1">
        <v>14251</v>
      </c>
      <c r="I637" s="1" t="s">
        <v>22</v>
      </c>
      <c r="J637" s="1">
        <v>0.1</v>
      </c>
      <c r="K637" s="1">
        <v>14000</v>
      </c>
      <c r="L637" s="2">
        <v>45310</v>
      </c>
      <c r="M637" s="11">
        <f>IF(OR(I637="",ISNA(MATCH(I637,{"DISC10","DISC15","DISC20","DISC30"},0))),0,J637)</f>
        <v>0.1</v>
      </c>
    </row>
    <row r="638" spans="1:13" x14ac:dyDescent="0.35">
      <c r="A638" s="1" t="s">
        <v>868</v>
      </c>
      <c r="B638" s="1" t="s">
        <v>13</v>
      </c>
      <c r="C638" s="1" t="s">
        <v>30</v>
      </c>
      <c r="D638" s="1" t="s">
        <v>31</v>
      </c>
      <c r="E638" s="1" t="s">
        <v>32</v>
      </c>
      <c r="F638" s="1" t="s">
        <v>25</v>
      </c>
      <c r="G638" s="1" t="s">
        <v>26</v>
      </c>
      <c r="H638" s="1">
        <v>17378</v>
      </c>
      <c r="I638" s="1"/>
      <c r="J638" s="1"/>
      <c r="K638" s="1">
        <v>17000</v>
      </c>
      <c r="L638" s="2">
        <v>45352</v>
      </c>
      <c r="M638" s="11">
        <f>IF(OR(I638="",ISNA(MATCH(I638,{"DISC10","DISC15","DISC20","DISC30"},0))),0,J638)</f>
        <v>0</v>
      </c>
    </row>
    <row r="639" spans="1:13" x14ac:dyDescent="0.35">
      <c r="A639" s="1" t="s">
        <v>869</v>
      </c>
      <c r="B639" s="1" t="s">
        <v>282</v>
      </c>
      <c r="C639" s="1" t="s">
        <v>44</v>
      </c>
      <c r="D639" s="1" t="s">
        <v>45</v>
      </c>
      <c r="E639" s="1" t="s">
        <v>16</v>
      </c>
      <c r="F639" s="1" t="s">
        <v>39</v>
      </c>
      <c r="G639" s="1" t="s">
        <v>18</v>
      </c>
      <c r="H639" s="1">
        <v>11409</v>
      </c>
      <c r="I639" s="1" t="s">
        <v>33</v>
      </c>
      <c r="J639" s="1">
        <v>0.3</v>
      </c>
      <c r="K639" s="1">
        <v>13000</v>
      </c>
      <c r="L639" s="2">
        <v>45331</v>
      </c>
      <c r="M639" s="11">
        <f>IF(OR(I639="",ISNA(MATCH(I639,{"DISC10","DISC15","DISC20","DISC30"},0))),0,J639)</f>
        <v>0.3</v>
      </c>
    </row>
    <row r="640" spans="1:13" x14ac:dyDescent="0.35">
      <c r="A640" s="1" t="s">
        <v>870</v>
      </c>
      <c r="B640" s="1" t="s">
        <v>248</v>
      </c>
      <c r="C640" s="1" t="s">
        <v>30</v>
      </c>
      <c r="D640" s="1" t="s">
        <v>31</v>
      </c>
      <c r="E640" s="1" t="s">
        <v>46</v>
      </c>
      <c r="F640" s="1" t="s">
        <v>17</v>
      </c>
      <c r="G640" s="1" t="s">
        <v>36</v>
      </c>
      <c r="H640" s="1">
        <v>17524</v>
      </c>
      <c r="I640" s="1" t="s">
        <v>33</v>
      </c>
      <c r="J640" s="1">
        <v>0.3</v>
      </c>
      <c r="K640" s="1">
        <v>17000</v>
      </c>
      <c r="L640" s="2">
        <v>45336</v>
      </c>
      <c r="M640" s="11">
        <f>IF(OR(I640="",ISNA(MATCH(I640,{"DISC10","DISC15","DISC20","DISC30"},0))),0,J640)</f>
        <v>0.3</v>
      </c>
    </row>
    <row r="641" spans="1:13" x14ac:dyDescent="0.35">
      <c r="A641" s="1" t="s">
        <v>871</v>
      </c>
      <c r="B641" s="1" t="s">
        <v>373</v>
      </c>
      <c r="C641" s="1" t="s">
        <v>30</v>
      </c>
      <c r="D641" s="1" t="s">
        <v>31</v>
      </c>
      <c r="E641" s="1" t="s">
        <v>46</v>
      </c>
      <c r="F641" s="1" t="s">
        <v>17</v>
      </c>
      <c r="G641" s="1" t="s">
        <v>18</v>
      </c>
      <c r="H641" s="1">
        <v>15019</v>
      </c>
      <c r="I641" s="1" t="s">
        <v>33</v>
      </c>
      <c r="J641" s="1">
        <v>0.3</v>
      </c>
      <c r="K641" s="1">
        <v>17000</v>
      </c>
      <c r="L641" s="2">
        <v>45307</v>
      </c>
      <c r="M641" s="11">
        <f>IF(OR(I641="",ISNA(MATCH(I641,{"DISC10","DISC15","DISC20","DISC30"},0))),0,J641)</f>
        <v>0.3</v>
      </c>
    </row>
    <row r="642" spans="1:13" x14ac:dyDescent="0.35">
      <c r="A642" s="1" t="s">
        <v>872</v>
      </c>
      <c r="B642" s="1" t="s">
        <v>294</v>
      </c>
      <c r="C642" s="1" t="s">
        <v>61</v>
      </c>
      <c r="D642" s="1" t="s">
        <v>62</v>
      </c>
      <c r="E642" s="1" t="s">
        <v>46</v>
      </c>
      <c r="F642" s="1" t="s">
        <v>17</v>
      </c>
      <c r="G642" s="1" t="s">
        <v>18</v>
      </c>
      <c r="H642" s="1">
        <v>9783</v>
      </c>
      <c r="I642" s="1" t="s">
        <v>33</v>
      </c>
      <c r="J642" s="1">
        <v>0.3</v>
      </c>
      <c r="K642" s="1">
        <v>9000</v>
      </c>
      <c r="L642" s="2">
        <v>45348</v>
      </c>
      <c r="M642" s="11">
        <f>IF(OR(I642="",ISNA(MATCH(I642,{"DISC10","DISC15","DISC20","DISC30"},0))),0,J642)</f>
        <v>0.3</v>
      </c>
    </row>
    <row r="643" spans="1:13" x14ac:dyDescent="0.35">
      <c r="A643" s="1" t="s">
        <v>873</v>
      </c>
      <c r="B643" s="1" t="s">
        <v>231</v>
      </c>
      <c r="C643" s="1" t="s">
        <v>61</v>
      </c>
      <c r="D643" s="1" t="s">
        <v>62</v>
      </c>
      <c r="E643" s="1" t="s">
        <v>46</v>
      </c>
      <c r="F643" s="1" t="s">
        <v>17</v>
      </c>
      <c r="G643" s="1" t="s">
        <v>36</v>
      </c>
      <c r="H643" s="1">
        <v>9259</v>
      </c>
      <c r="I643" s="1" t="s">
        <v>22</v>
      </c>
      <c r="J643" s="1">
        <v>0.1</v>
      </c>
      <c r="K643" s="1">
        <v>9000</v>
      </c>
      <c r="L643" s="2">
        <v>45303</v>
      </c>
      <c r="M643" s="11">
        <f>IF(OR(I643="",ISNA(MATCH(I643,{"DISC10","DISC15","DISC20","DISC30"},0))),0,J643)</f>
        <v>0.1</v>
      </c>
    </row>
    <row r="644" spans="1:13" x14ac:dyDescent="0.35">
      <c r="A644" s="1" t="s">
        <v>874</v>
      </c>
      <c r="B644" s="1" t="s">
        <v>163</v>
      </c>
      <c r="C644" s="1" t="s">
        <v>14</v>
      </c>
      <c r="D644" s="1" t="s">
        <v>15</v>
      </c>
      <c r="E644" s="1" t="s">
        <v>46</v>
      </c>
      <c r="F644" s="1" t="s">
        <v>25</v>
      </c>
      <c r="G644" s="1" t="s">
        <v>26</v>
      </c>
      <c r="H644" s="1">
        <v>12804</v>
      </c>
      <c r="I644" s="1" t="s">
        <v>33</v>
      </c>
      <c r="J644" s="1">
        <v>0.3</v>
      </c>
      <c r="K644" s="1">
        <v>14000</v>
      </c>
      <c r="L644" s="2">
        <v>45338</v>
      </c>
      <c r="M644" s="11">
        <f>IF(OR(I644="",ISNA(MATCH(I644,{"DISC10","DISC15","DISC20","DISC30"},0))),0,J644)</f>
        <v>0.3</v>
      </c>
    </row>
    <row r="645" spans="1:13" x14ac:dyDescent="0.35">
      <c r="A645" s="1" t="s">
        <v>875</v>
      </c>
      <c r="B645" s="1" t="s">
        <v>50</v>
      </c>
      <c r="C645" s="1" t="s">
        <v>14</v>
      </c>
      <c r="D645" s="1" t="s">
        <v>15</v>
      </c>
      <c r="E645" s="1" t="s">
        <v>16</v>
      </c>
      <c r="F645" s="1" t="s">
        <v>25</v>
      </c>
      <c r="G645" s="1" t="s">
        <v>18</v>
      </c>
      <c r="H645" s="1">
        <v>15479</v>
      </c>
      <c r="I645" s="1" t="s">
        <v>27</v>
      </c>
      <c r="J645" s="1"/>
      <c r="K645" s="1">
        <v>14000</v>
      </c>
      <c r="L645" s="2">
        <v>45332</v>
      </c>
      <c r="M645" s="11">
        <f>IF(OR(I645="",ISNA(MATCH(I645,{"DISC10","DISC15","DISC20","DISC30"},0))),0,J645)</f>
        <v>0</v>
      </c>
    </row>
    <row r="646" spans="1:13" x14ac:dyDescent="0.35">
      <c r="A646" s="1" t="s">
        <v>876</v>
      </c>
      <c r="B646" s="1" t="s">
        <v>129</v>
      </c>
      <c r="C646" s="1" t="s">
        <v>61</v>
      </c>
      <c r="D646" s="1" t="s">
        <v>62</v>
      </c>
      <c r="E646" s="1" t="s">
        <v>16</v>
      </c>
      <c r="F646" s="1" t="s">
        <v>25</v>
      </c>
      <c r="G646" s="1" t="s">
        <v>18</v>
      </c>
      <c r="H646" s="1">
        <v>9259</v>
      </c>
      <c r="I646" s="1" t="s">
        <v>33</v>
      </c>
      <c r="J646" s="1">
        <v>0.3</v>
      </c>
      <c r="K646" s="1">
        <v>9000</v>
      </c>
      <c r="L646" s="2">
        <v>45326</v>
      </c>
      <c r="M646" s="11">
        <f>IF(OR(I646="",ISNA(MATCH(I646,{"DISC10","DISC15","DISC20","DISC30"},0))),0,J646)</f>
        <v>0.3</v>
      </c>
    </row>
    <row r="647" spans="1:13" x14ac:dyDescent="0.35">
      <c r="A647" s="1" t="s">
        <v>877</v>
      </c>
      <c r="B647" s="1" t="s">
        <v>84</v>
      </c>
      <c r="C647" s="1" t="s">
        <v>61</v>
      </c>
      <c r="D647" s="1" t="s">
        <v>62</v>
      </c>
      <c r="E647" s="1" t="s">
        <v>16</v>
      </c>
      <c r="F647" s="1" t="s">
        <v>25</v>
      </c>
      <c r="G647" s="1" t="s">
        <v>36</v>
      </c>
      <c r="H647" s="1">
        <v>8607</v>
      </c>
      <c r="I647" s="1" t="s">
        <v>19</v>
      </c>
      <c r="J647" s="1">
        <v>0.2</v>
      </c>
      <c r="K647" s="1">
        <v>9000</v>
      </c>
      <c r="L647" s="2">
        <v>45349</v>
      </c>
      <c r="M647" s="11">
        <f>IF(OR(I647="",ISNA(MATCH(I647,{"DISC10","DISC15","DISC20","DISC30"},0))),0,J647)</f>
        <v>0.2</v>
      </c>
    </row>
    <row r="648" spans="1:13" x14ac:dyDescent="0.35">
      <c r="A648" s="1" t="s">
        <v>878</v>
      </c>
      <c r="B648" s="1" t="s">
        <v>522</v>
      </c>
      <c r="C648" s="1" t="s">
        <v>30</v>
      </c>
      <c r="D648" s="1" t="s">
        <v>31</v>
      </c>
      <c r="E648" s="1" t="s">
        <v>32</v>
      </c>
      <c r="F648" s="1" t="s">
        <v>17</v>
      </c>
      <c r="G648" s="1" t="s">
        <v>26</v>
      </c>
      <c r="H648" s="1">
        <v>17090</v>
      </c>
      <c r="I648" s="1" t="s">
        <v>22</v>
      </c>
      <c r="J648" s="1">
        <v>0.1</v>
      </c>
      <c r="K648" s="1">
        <v>17000</v>
      </c>
      <c r="L648" s="2">
        <v>45317</v>
      </c>
      <c r="M648" s="11">
        <f>IF(OR(I648="",ISNA(MATCH(I648,{"DISC10","DISC15","DISC20","DISC30"},0))),0,J648)</f>
        <v>0.1</v>
      </c>
    </row>
    <row r="649" spans="1:13" x14ac:dyDescent="0.35">
      <c r="A649" s="1" t="s">
        <v>879</v>
      </c>
      <c r="B649" s="1" t="s">
        <v>301</v>
      </c>
      <c r="C649" s="1" t="s">
        <v>14</v>
      </c>
      <c r="D649" s="1" t="s">
        <v>15</v>
      </c>
      <c r="E649" s="1" t="s">
        <v>16</v>
      </c>
      <c r="F649" s="1" t="s">
        <v>25</v>
      </c>
      <c r="G649" s="1" t="s">
        <v>26</v>
      </c>
      <c r="H649" s="1">
        <v>14802</v>
      </c>
      <c r="I649" s="1" t="s">
        <v>19</v>
      </c>
      <c r="J649" s="1">
        <v>0.2</v>
      </c>
      <c r="K649" s="1">
        <v>14000</v>
      </c>
      <c r="L649" s="2">
        <v>45340</v>
      </c>
      <c r="M649" s="11">
        <f>IF(OR(I649="",ISNA(MATCH(I649,{"DISC10","DISC15","DISC20","DISC30"},0))),0,J649)</f>
        <v>0.2</v>
      </c>
    </row>
    <row r="650" spans="1:13" x14ac:dyDescent="0.35">
      <c r="A650" s="1" t="s">
        <v>880</v>
      </c>
      <c r="B650" s="1" t="s">
        <v>80</v>
      </c>
      <c r="C650" s="1" t="s">
        <v>61</v>
      </c>
      <c r="D650" s="1" t="s">
        <v>62</v>
      </c>
      <c r="E650" s="1" t="s">
        <v>32</v>
      </c>
      <c r="F650" s="1" t="s">
        <v>25</v>
      </c>
      <c r="G650" s="1" t="s">
        <v>26</v>
      </c>
      <c r="H650" s="1">
        <v>10885</v>
      </c>
      <c r="I650" s="1" t="s">
        <v>27</v>
      </c>
      <c r="J650" s="1"/>
      <c r="K650" s="1">
        <v>9000</v>
      </c>
      <c r="L650" s="2">
        <v>45334</v>
      </c>
      <c r="M650" s="11">
        <f>IF(OR(I650="",ISNA(MATCH(I650,{"DISC10","DISC15","DISC20","DISC30"},0))),0,J650)</f>
        <v>0</v>
      </c>
    </row>
    <row r="651" spans="1:13" x14ac:dyDescent="0.35">
      <c r="A651" s="1" t="s">
        <v>881</v>
      </c>
      <c r="B651" s="1" t="s">
        <v>412</v>
      </c>
      <c r="C651" s="1" t="s">
        <v>61</v>
      </c>
      <c r="D651" s="1" t="s">
        <v>62</v>
      </c>
      <c r="E651" s="1" t="s">
        <v>46</v>
      </c>
      <c r="F651" s="1" t="s">
        <v>25</v>
      </c>
      <c r="G651" s="1" t="s">
        <v>18</v>
      </c>
      <c r="H651" s="1">
        <v>10118</v>
      </c>
      <c r="I651" s="1"/>
      <c r="J651" s="1"/>
      <c r="K651" s="1">
        <v>9000</v>
      </c>
      <c r="L651" s="2">
        <v>45306</v>
      </c>
      <c r="M651" s="11">
        <f>IF(OR(I651="",ISNA(MATCH(I651,{"DISC10","DISC15","DISC20","DISC30"},0))),0,J651)</f>
        <v>0</v>
      </c>
    </row>
    <row r="652" spans="1:13" x14ac:dyDescent="0.35">
      <c r="A652" s="1" t="s">
        <v>882</v>
      </c>
      <c r="B652" s="1" t="s">
        <v>263</v>
      </c>
      <c r="C652" s="1" t="s">
        <v>30</v>
      </c>
      <c r="D652" s="1" t="s">
        <v>31</v>
      </c>
      <c r="E652" s="1" t="s">
        <v>32</v>
      </c>
      <c r="F652" s="1" t="s">
        <v>25</v>
      </c>
      <c r="G652" s="1" t="s">
        <v>26</v>
      </c>
      <c r="H652" s="1">
        <v>15846</v>
      </c>
      <c r="I652" s="1" t="s">
        <v>27</v>
      </c>
      <c r="J652" s="1"/>
      <c r="K652" s="1">
        <v>17000</v>
      </c>
      <c r="L652" s="2">
        <v>45350</v>
      </c>
      <c r="M652" s="11">
        <f>IF(OR(I652="",ISNA(MATCH(I652,{"DISC10","DISC15","DISC20","DISC30"},0))),0,J652)</f>
        <v>0</v>
      </c>
    </row>
    <row r="653" spans="1:13" x14ac:dyDescent="0.35">
      <c r="A653" s="1" t="s">
        <v>883</v>
      </c>
      <c r="B653" s="1" t="s">
        <v>602</v>
      </c>
      <c r="C653" s="1" t="s">
        <v>61</v>
      </c>
      <c r="D653" s="1" t="s">
        <v>62</v>
      </c>
      <c r="E653" s="1" t="s">
        <v>46</v>
      </c>
      <c r="F653" s="1" t="s">
        <v>17</v>
      </c>
      <c r="G653" s="1" t="s">
        <v>18</v>
      </c>
      <c r="H653" s="1">
        <v>7163</v>
      </c>
      <c r="I653" s="1" t="s">
        <v>33</v>
      </c>
      <c r="J653" s="1">
        <v>0.3</v>
      </c>
      <c r="K653" s="1">
        <v>9000</v>
      </c>
      <c r="L653" s="2">
        <v>45298</v>
      </c>
      <c r="M653" s="11">
        <f>IF(OR(I653="",ISNA(MATCH(I653,{"DISC10","DISC15","DISC20","DISC30"},0))),0,J653)</f>
        <v>0.3</v>
      </c>
    </row>
    <row r="654" spans="1:13" x14ac:dyDescent="0.35">
      <c r="A654" s="1" t="s">
        <v>884</v>
      </c>
      <c r="B654" s="1" t="s">
        <v>103</v>
      </c>
      <c r="C654" s="1" t="s">
        <v>30</v>
      </c>
      <c r="D654" s="1" t="s">
        <v>31</v>
      </c>
      <c r="E654" s="1" t="s">
        <v>16</v>
      </c>
      <c r="F654" s="1" t="s">
        <v>17</v>
      </c>
      <c r="G654" s="1" t="s">
        <v>26</v>
      </c>
      <c r="H654" s="1">
        <v>17229</v>
      </c>
      <c r="I654" s="1" t="s">
        <v>27</v>
      </c>
      <c r="J654" s="1"/>
      <c r="K654" s="1">
        <v>17000</v>
      </c>
      <c r="L654" s="2">
        <v>45303</v>
      </c>
      <c r="M654" s="11">
        <f>IF(OR(I654="",ISNA(MATCH(I654,{"DISC10","DISC15","DISC20","DISC30"},0))),0,J654)</f>
        <v>0</v>
      </c>
    </row>
    <row r="655" spans="1:13" x14ac:dyDescent="0.35">
      <c r="A655" s="1" t="s">
        <v>885</v>
      </c>
      <c r="B655" s="1" t="s">
        <v>274</v>
      </c>
      <c r="C655" s="1" t="s">
        <v>61</v>
      </c>
      <c r="D655" s="1" t="s">
        <v>62</v>
      </c>
      <c r="E655" s="1" t="s">
        <v>46</v>
      </c>
      <c r="F655" s="1" t="s">
        <v>39</v>
      </c>
      <c r="G655" s="1" t="s">
        <v>26</v>
      </c>
      <c r="H655" s="1">
        <v>10679</v>
      </c>
      <c r="I655" s="1" t="s">
        <v>22</v>
      </c>
      <c r="J655" s="1">
        <v>0.1</v>
      </c>
      <c r="K655" s="1">
        <v>9000</v>
      </c>
      <c r="L655" s="2">
        <v>45325</v>
      </c>
      <c r="M655" s="11">
        <f>IF(OR(I655="",ISNA(MATCH(I655,{"DISC10","DISC15","DISC20","DISC30"},0))),0,J655)</f>
        <v>0.1</v>
      </c>
    </row>
    <row r="656" spans="1:13" x14ac:dyDescent="0.35">
      <c r="A656" s="1" t="s">
        <v>886</v>
      </c>
      <c r="B656" s="1" t="s">
        <v>70</v>
      </c>
      <c r="C656" s="1" t="s">
        <v>44</v>
      </c>
      <c r="D656" s="1" t="s">
        <v>45</v>
      </c>
      <c r="E656" s="1" t="s">
        <v>16</v>
      </c>
      <c r="F656" s="1" t="s">
        <v>17</v>
      </c>
      <c r="G656" s="1" t="s">
        <v>36</v>
      </c>
      <c r="H656" s="1">
        <v>14347</v>
      </c>
      <c r="I656" s="1" t="s">
        <v>33</v>
      </c>
      <c r="J656" s="1">
        <v>0.3</v>
      </c>
      <c r="K656" s="1">
        <v>13000</v>
      </c>
      <c r="L656" s="2">
        <v>45323</v>
      </c>
      <c r="M656" s="11">
        <f>IF(OR(I656="",ISNA(MATCH(I656,{"DISC10","DISC15","DISC20","DISC30"},0))),0,J656)</f>
        <v>0.3</v>
      </c>
    </row>
    <row r="657" spans="1:13" x14ac:dyDescent="0.35">
      <c r="A657" s="1" t="s">
        <v>887</v>
      </c>
      <c r="B657" s="1" t="s">
        <v>298</v>
      </c>
      <c r="C657" s="1" t="s">
        <v>14</v>
      </c>
      <c r="D657" s="1" t="s">
        <v>15</v>
      </c>
      <c r="E657" s="1" t="s">
        <v>16</v>
      </c>
      <c r="F657" s="1" t="s">
        <v>25</v>
      </c>
      <c r="G657" s="1" t="s">
        <v>36</v>
      </c>
      <c r="H657" s="1">
        <v>12678</v>
      </c>
      <c r="I657" s="1" t="s">
        <v>19</v>
      </c>
      <c r="J657" s="1">
        <v>0.2</v>
      </c>
      <c r="K657" s="1">
        <v>14000</v>
      </c>
      <c r="L657" s="2">
        <v>45296</v>
      </c>
      <c r="M657" s="11">
        <f>IF(OR(I657="",ISNA(MATCH(I657,{"DISC10","DISC15","DISC20","DISC30"},0))),0,J657)</f>
        <v>0.2</v>
      </c>
    </row>
    <row r="658" spans="1:13" x14ac:dyDescent="0.35">
      <c r="A658" s="1" t="s">
        <v>888</v>
      </c>
      <c r="B658" s="1" t="s">
        <v>202</v>
      </c>
      <c r="C658" s="1" t="s">
        <v>30</v>
      </c>
      <c r="D658" s="1" t="s">
        <v>31</v>
      </c>
      <c r="E658" s="1" t="s">
        <v>32</v>
      </c>
      <c r="F658" s="1" t="s">
        <v>25</v>
      </c>
      <c r="G658" s="1" t="s">
        <v>18</v>
      </c>
      <c r="H658" s="1">
        <v>15644</v>
      </c>
      <c r="I658" s="1" t="s">
        <v>33</v>
      </c>
      <c r="J658" s="1">
        <v>0.3</v>
      </c>
      <c r="K658" s="1">
        <v>17000</v>
      </c>
      <c r="L658" s="2">
        <v>45330</v>
      </c>
      <c r="M658" s="11">
        <f>IF(OR(I658="",ISNA(MATCH(I658,{"DISC10","DISC15","DISC20","DISC30"},0))),0,J658)</f>
        <v>0.3</v>
      </c>
    </row>
    <row r="659" spans="1:13" x14ac:dyDescent="0.35">
      <c r="A659" s="1" t="s">
        <v>889</v>
      </c>
      <c r="B659" s="1" t="s">
        <v>371</v>
      </c>
      <c r="C659" s="1" t="s">
        <v>14</v>
      </c>
      <c r="D659" s="1" t="s">
        <v>15</v>
      </c>
      <c r="E659" s="1" t="s">
        <v>16</v>
      </c>
      <c r="F659" s="1" t="s">
        <v>25</v>
      </c>
      <c r="G659" s="1" t="s">
        <v>36</v>
      </c>
      <c r="H659" s="1">
        <v>15322</v>
      </c>
      <c r="I659" s="1" t="s">
        <v>33</v>
      </c>
      <c r="J659" s="1">
        <v>0.3</v>
      </c>
      <c r="K659" s="1">
        <v>14000</v>
      </c>
      <c r="L659" s="2">
        <v>45338</v>
      </c>
      <c r="M659" s="11">
        <f>IF(OR(I659="",ISNA(MATCH(I659,{"DISC10","DISC15","DISC20","DISC30"},0))),0,J659)</f>
        <v>0.3</v>
      </c>
    </row>
    <row r="660" spans="1:13" x14ac:dyDescent="0.35">
      <c r="A660" s="1" t="s">
        <v>890</v>
      </c>
      <c r="B660" s="1" t="s">
        <v>245</v>
      </c>
      <c r="C660" s="1" t="s">
        <v>61</v>
      </c>
      <c r="D660" s="1" t="s">
        <v>62</v>
      </c>
      <c r="E660" s="1" t="s">
        <v>46</v>
      </c>
      <c r="F660" s="1" t="s">
        <v>25</v>
      </c>
      <c r="G660" s="1" t="s">
        <v>26</v>
      </c>
      <c r="H660" s="1">
        <v>7660</v>
      </c>
      <c r="I660" s="1"/>
      <c r="J660" s="1"/>
      <c r="K660" s="1">
        <v>9000</v>
      </c>
      <c r="L660" s="2">
        <v>45293</v>
      </c>
      <c r="M660" s="11">
        <f>IF(OR(I660="",ISNA(MATCH(I660,{"DISC10","DISC15","DISC20","DISC30"},0))),0,J660)</f>
        <v>0</v>
      </c>
    </row>
    <row r="661" spans="1:13" x14ac:dyDescent="0.35">
      <c r="A661" s="1" t="s">
        <v>891</v>
      </c>
      <c r="B661" s="1" t="s">
        <v>500</v>
      </c>
      <c r="C661" s="1" t="s">
        <v>44</v>
      </c>
      <c r="D661" s="1" t="s">
        <v>45</v>
      </c>
      <c r="E661" s="1" t="s">
        <v>16</v>
      </c>
      <c r="F661" s="1" t="s">
        <v>39</v>
      </c>
      <c r="G661" s="1" t="s">
        <v>18</v>
      </c>
      <c r="H661" s="1">
        <v>11551</v>
      </c>
      <c r="I661" s="1" t="s">
        <v>27</v>
      </c>
      <c r="J661" s="1"/>
      <c r="K661" s="1">
        <v>13000</v>
      </c>
      <c r="L661" s="2">
        <v>45294</v>
      </c>
      <c r="M661" s="11">
        <f>IF(OR(I661="",ISNA(MATCH(I661,{"DISC10","DISC15","DISC20","DISC30"},0))),0,J661)</f>
        <v>0</v>
      </c>
    </row>
    <row r="662" spans="1:13" x14ac:dyDescent="0.35">
      <c r="A662" s="1" t="s">
        <v>892</v>
      </c>
      <c r="B662" s="1" t="s">
        <v>60</v>
      </c>
      <c r="C662" s="1" t="s">
        <v>44</v>
      </c>
      <c r="D662" s="1" t="s">
        <v>45</v>
      </c>
      <c r="E662" s="1" t="s">
        <v>32</v>
      </c>
      <c r="F662" s="1" t="s">
        <v>25</v>
      </c>
      <c r="G662" s="1" t="s">
        <v>36</v>
      </c>
      <c r="H662" s="1">
        <v>14778</v>
      </c>
      <c r="I662" s="1" t="s">
        <v>19</v>
      </c>
      <c r="J662" s="1">
        <v>0.2</v>
      </c>
      <c r="K662" s="1">
        <v>13000</v>
      </c>
      <c r="L662" s="2">
        <v>45325</v>
      </c>
      <c r="M662" s="11">
        <f>IF(OR(I662="",ISNA(MATCH(I662,{"DISC10","DISC15","DISC20","DISC30"},0))),0,J662)</f>
        <v>0.2</v>
      </c>
    </row>
    <row r="663" spans="1:13" x14ac:dyDescent="0.35">
      <c r="A663" s="1" t="s">
        <v>893</v>
      </c>
      <c r="B663" s="1" t="s">
        <v>617</v>
      </c>
      <c r="C663" s="1" t="s">
        <v>14</v>
      </c>
      <c r="D663" s="1" t="s">
        <v>15</v>
      </c>
      <c r="E663" s="1" t="s">
        <v>16</v>
      </c>
      <c r="F663" s="1" t="s">
        <v>39</v>
      </c>
      <c r="G663" s="1" t="s">
        <v>26</v>
      </c>
      <c r="H663" s="1">
        <v>15364</v>
      </c>
      <c r="I663" s="1" t="s">
        <v>33</v>
      </c>
      <c r="J663" s="1">
        <v>0.3</v>
      </c>
      <c r="K663" s="1">
        <v>14000</v>
      </c>
      <c r="L663" s="2">
        <v>45352</v>
      </c>
      <c r="M663" s="11">
        <f>IF(OR(I663="",ISNA(MATCH(I663,{"DISC10","DISC15","DISC20","DISC30"},0))),0,J663)</f>
        <v>0.3</v>
      </c>
    </row>
    <row r="664" spans="1:13" x14ac:dyDescent="0.35">
      <c r="A664" s="1" t="s">
        <v>894</v>
      </c>
      <c r="B664" s="1" t="s">
        <v>248</v>
      </c>
      <c r="C664" s="1" t="s">
        <v>61</v>
      </c>
      <c r="D664" s="1" t="s">
        <v>62</v>
      </c>
      <c r="E664" s="1" t="s">
        <v>16</v>
      </c>
      <c r="F664" s="1" t="s">
        <v>17</v>
      </c>
      <c r="G664" s="1" t="s">
        <v>36</v>
      </c>
      <c r="H664" s="1">
        <v>7698</v>
      </c>
      <c r="I664" s="1" t="s">
        <v>19</v>
      </c>
      <c r="J664" s="1">
        <v>0.2</v>
      </c>
      <c r="K664" s="1">
        <v>9000</v>
      </c>
      <c r="L664" s="2">
        <v>45345</v>
      </c>
      <c r="M664" s="11">
        <f>IF(OR(I664="",ISNA(MATCH(I664,{"DISC10","DISC15","DISC20","DISC30"},0))),0,J664)</f>
        <v>0.2</v>
      </c>
    </row>
    <row r="665" spans="1:13" x14ac:dyDescent="0.35">
      <c r="A665" s="1" t="s">
        <v>895</v>
      </c>
      <c r="B665" s="1" t="s">
        <v>617</v>
      </c>
      <c r="C665" s="1" t="s">
        <v>44</v>
      </c>
      <c r="D665" s="1" t="s">
        <v>45</v>
      </c>
      <c r="E665" s="1" t="s">
        <v>16</v>
      </c>
      <c r="F665" s="1" t="s">
        <v>25</v>
      </c>
      <c r="G665" s="1" t="s">
        <v>26</v>
      </c>
      <c r="H665" s="1">
        <v>13701</v>
      </c>
      <c r="I665" s="1" t="s">
        <v>27</v>
      </c>
      <c r="J665" s="1"/>
      <c r="K665" s="1">
        <v>13000</v>
      </c>
      <c r="L665" s="2">
        <v>45308</v>
      </c>
      <c r="M665" s="11">
        <f>IF(OR(I665="",ISNA(MATCH(I665,{"DISC10","DISC15","DISC20","DISC30"},0))),0,J665)</f>
        <v>0</v>
      </c>
    </row>
    <row r="666" spans="1:13" x14ac:dyDescent="0.35">
      <c r="A666" s="1" t="s">
        <v>896</v>
      </c>
      <c r="B666" s="1" t="s">
        <v>280</v>
      </c>
      <c r="C666" s="1" t="s">
        <v>30</v>
      </c>
      <c r="D666" s="1" t="s">
        <v>31</v>
      </c>
      <c r="E666" s="1" t="s">
        <v>46</v>
      </c>
      <c r="F666" s="1" t="s">
        <v>39</v>
      </c>
      <c r="G666" s="1" t="s">
        <v>26</v>
      </c>
      <c r="H666" s="1">
        <v>15281</v>
      </c>
      <c r="I666" s="1" t="s">
        <v>19</v>
      </c>
      <c r="J666" s="1">
        <v>0.2</v>
      </c>
      <c r="K666" s="1">
        <v>17000</v>
      </c>
      <c r="L666" s="2">
        <v>45316</v>
      </c>
      <c r="M666" s="11">
        <f>IF(OR(I666="",ISNA(MATCH(I666,{"DISC10","DISC15","DISC20","DISC30"},0))),0,J666)</f>
        <v>0.2</v>
      </c>
    </row>
    <row r="667" spans="1:13" x14ac:dyDescent="0.35">
      <c r="A667" s="1" t="s">
        <v>897</v>
      </c>
      <c r="B667" s="1" t="s">
        <v>186</v>
      </c>
      <c r="C667" s="1" t="s">
        <v>14</v>
      </c>
      <c r="D667" s="1" t="s">
        <v>15</v>
      </c>
      <c r="E667" s="1" t="s">
        <v>32</v>
      </c>
      <c r="F667" s="1" t="s">
        <v>25</v>
      </c>
      <c r="G667" s="1" t="s">
        <v>26</v>
      </c>
      <c r="H667" s="1">
        <v>15520</v>
      </c>
      <c r="I667" s="1" t="s">
        <v>27</v>
      </c>
      <c r="J667" s="1"/>
      <c r="K667" s="1">
        <v>14000</v>
      </c>
      <c r="L667" s="2">
        <v>45335</v>
      </c>
      <c r="M667" s="11">
        <f>IF(OR(I667="",ISNA(MATCH(I667,{"DISC10","DISC15","DISC20","DISC30"},0))),0,J667)</f>
        <v>0</v>
      </c>
    </row>
    <row r="668" spans="1:13" x14ac:dyDescent="0.35">
      <c r="A668" s="1" t="s">
        <v>898</v>
      </c>
      <c r="B668" s="1" t="s">
        <v>309</v>
      </c>
      <c r="C668" s="1" t="s">
        <v>44</v>
      </c>
      <c r="D668" s="1" t="s">
        <v>45</v>
      </c>
      <c r="E668" s="1" t="s">
        <v>16</v>
      </c>
      <c r="F668" s="1" t="s">
        <v>25</v>
      </c>
      <c r="G668" s="1" t="s">
        <v>18</v>
      </c>
      <c r="H668" s="1">
        <v>12949</v>
      </c>
      <c r="I668" s="1" t="s">
        <v>27</v>
      </c>
      <c r="J668" s="1"/>
      <c r="K668" s="1">
        <v>13000</v>
      </c>
      <c r="L668" s="2">
        <v>45330</v>
      </c>
      <c r="M668" s="11">
        <f>IF(OR(I668="",ISNA(MATCH(I668,{"DISC10","DISC15","DISC20","DISC30"},0))),0,J668)</f>
        <v>0</v>
      </c>
    </row>
    <row r="669" spans="1:13" x14ac:dyDescent="0.35">
      <c r="A669" s="1" t="s">
        <v>899</v>
      </c>
      <c r="B669" s="1" t="s">
        <v>321</v>
      </c>
      <c r="C669" s="1" t="s">
        <v>14</v>
      </c>
      <c r="D669" s="1" t="s">
        <v>15</v>
      </c>
      <c r="E669" s="1" t="s">
        <v>32</v>
      </c>
      <c r="F669" s="1" t="s">
        <v>17</v>
      </c>
      <c r="G669" s="1" t="s">
        <v>26</v>
      </c>
      <c r="H669" s="1">
        <v>12533</v>
      </c>
      <c r="I669" s="1" t="s">
        <v>27</v>
      </c>
      <c r="J669" s="1"/>
      <c r="K669" s="1">
        <v>14000</v>
      </c>
      <c r="L669" s="2">
        <v>45326</v>
      </c>
      <c r="M669" s="11">
        <f>IF(OR(I669="",ISNA(MATCH(I669,{"DISC10","DISC15","DISC20","DISC30"},0))),0,J669)</f>
        <v>0</v>
      </c>
    </row>
    <row r="670" spans="1:13" x14ac:dyDescent="0.35">
      <c r="A670" s="1" t="s">
        <v>900</v>
      </c>
      <c r="B670" s="1" t="s">
        <v>676</v>
      </c>
      <c r="C670" s="1" t="s">
        <v>61</v>
      </c>
      <c r="D670" s="1" t="s">
        <v>62</v>
      </c>
      <c r="E670" s="1" t="s">
        <v>16</v>
      </c>
      <c r="F670" s="1" t="s">
        <v>17</v>
      </c>
      <c r="G670" s="1" t="s">
        <v>36</v>
      </c>
      <c r="H670" s="1">
        <v>10583</v>
      </c>
      <c r="I670" s="1" t="s">
        <v>22</v>
      </c>
      <c r="J670" s="1">
        <v>0.1</v>
      </c>
      <c r="K670" s="1">
        <v>9000</v>
      </c>
      <c r="L670" s="2">
        <v>45336</v>
      </c>
      <c r="M670" s="11">
        <f>IF(OR(I670="",ISNA(MATCH(I670,{"DISC10","DISC15","DISC20","DISC30"},0))),0,J670)</f>
        <v>0.1</v>
      </c>
    </row>
    <row r="671" spans="1:13" x14ac:dyDescent="0.35">
      <c r="A671" s="1" t="s">
        <v>901</v>
      </c>
      <c r="B671" s="1" t="s">
        <v>388</v>
      </c>
      <c r="C671" s="1" t="s">
        <v>44</v>
      </c>
      <c r="D671" s="1" t="s">
        <v>45</v>
      </c>
      <c r="E671" s="1" t="s">
        <v>46</v>
      </c>
      <c r="F671" s="1" t="s">
        <v>17</v>
      </c>
      <c r="G671" s="1" t="s">
        <v>36</v>
      </c>
      <c r="H671" s="1">
        <v>13412</v>
      </c>
      <c r="I671" s="1" t="s">
        <v>27</v>
      </c>
      <c r="J671" s="1"/>
      <c r="K671" s="1">
        <v>13000</v>
      </c>
      <c r="L671" s="2">
        <v>45298</v>
      </c>
      <c r="M671" s="11">
        <f>IF(OR(I671="",ISNA(MATCH(I671,{"DISC10","DISC15","DISC20","DISC30"},0))),0,J671)</f>
        <v>0</v>
      </c>
    </row>
    <row r="672" spans="1:13" x14ac:dyDescent="0.35">
      <c r="A672" s="1" t="s">
        <v>902</v>
      </c>
      <c r="B672" s="1" t="s">
        <v>186</v>
      </c>
      <c r="C672" s="1" t="s">
        <v>30</v>
      </c>
      <c r="D672" s="1" t="s">
        <v>31</v>
      </c>
      <c r="E672" s="1" t="s">
        <v>46</v>
      </c>
      <c r="F672" s="1" t="s">
        <v>25</v>
      </c>
      <c r="G672" s="1" t="s">
        <v>18</v>
      </c>
      <c r="H672" s="1">
        <v>16160</v>
      </c>
      <c r="I672" s="1" t="s">
        <v>27</v>
      </c>
      <c r="J672" s="1"/>
      <c r="K672" s="1">
        <v>17000</v>
      </c>
      <c r="L672" s="2">
        <v>45348</v>
      </c>
      <c r="M672" s="11">
        <f>IF(OR(I672="",ISNA(MATCH(I672,{"DISC10","DISC15","DISC20","DISC30"},0))),0,J672)</f>
        <v>0</v>
      </c>
    </row>
    <row r="673" spans="1:13" x14ac:dyDescent="0.35">
      <c r="A673" s="1" t="s">
        <v>903</v>
      </c>
      <c r="B673" s="1" t="s">
        <v>388</v>
      </c>
      <c r="C673" s="1" t="s">
        <v>30</v>
      </c>
      <c r="D673" s="1" t="s">
        <v>31</v>
      </c>
      <c r="E673" s="1" t="s">
        <v>32</v>
      </c>
      <c r="F673" s="1" t="s">
        <v>25</v>
      </c>
      <c r="G673" s="1" t="s">
        <v>26</v>
      </c>
      <c r="H673" s="1">
        <v>18045</v>
      </c>
      <c r="I673" s="1" t="s">
        <v>22</v>
      </c>
      <c r="J673" s="1">
        <v>0.1</v>
      </c>
      <c r="K673" s="1">
        <v>17000</v>
      </c>
      <c r="L673" s="2">
        <v>45328</v>
      </c>
      <c r="M673" s="11">
        <f>IF(OR(I673="",ISNA(MATCH(I673,{"DISC10","DISC15","DISC20","DISC30"},0))),0,J673)</f>
        <v>0.1</v>
      </c>
    </row>
    <row r="674" spans="1:13" x14ac:dyDescent="0.35">
      <c r="A674" s="1" t="s">
        <v>904</v>
      </c>
      <c r="B674" s="1" t="s">
        <v>905</v>
      </c>
      <c r="C674" s="1" t="s">
        <v>14</v>
      </c>
      <c r="D674" s="1" t="s">
        <v>15</v>
      </c>
      <c r="E674" s="1" t="s">
        <v>46</v>
      </c>
      <c r="F674" s="1" t="s">
        <v>39</v>
      </c>
      <c r="G674" s="1" t="s">
        <v>18</v>
      </c>
      <c r="H674" s="1">
        <v>14817</v>
      </c>
      <c r="I674" s="1" t="s">
        <v>33</v>
      </c>
      <c r="J674" s="1">
        <v>0.3</v>
      </c>
      <c r="K674" s="1">
        <v>14000</v>
      </c>
      <c r="L674" s="2">
        <v>45318</v>
      </c>
      <c r="M674" s="11">
        <f>IF(OR(I674="",ISNA(MATCH(I674,{"DISC10","DISC15","DISC20","DISC30"},0))),0,J674)</f>
        <v>0.3</v>
      </c>
    </row>
    <row r="675" spans="1:13" x14ac:dyDescent="0.35">
      <c r="A675" s="1" t="s">
        <v>906</v>
      </c>
      <c r="B675" s="1" t="s">
        <v>116</v>
      </c>
      <c r="C675" s="1" t="s">
        <v>44</v>
      </c>
      <c r="D675" s="1" t="s">
        <v>45</v>
      </c>
      <c r="E675" s="1" t="s">
        <v>46</v>
      </c>
      <c r="F675" s="1" t="s">
        <v>39</v>
      </c>
      <c r="G675" s="1" t="s">
        <v>26</v>
      </c>
      <c r="H675" s="1">
        <v>12038</v>
      </c>
      <c r="I675" s="1" t="s">
        <v>33</v>
      </c>
      <c r="J675" s="1">
        <v>0.3</v>
      </c>
      <c r="K675" s="1">
        <v>13000</v>
      </c>
      <c r="L675" s="2">
        <v>45346</v>
      </c>
      <c r="M675" s="11">
        <f>IF(OR(I675="",ISNA(MATCH(I675,{"DISC10","DISC15","DISC20","DISC30"},0))),0,J675)</f>
        <v>0.3</v>
      </c>
    </row>
    <row r="676" spans="1:13" x14ac:dyDescent="0.35">
      <c r="A676" s="1" t="s">
        <v>907</v>
      </c>
      <c r="B676" s="1" t="s">
        <v>388</v>
      </c>
      <c r="C676" s="1" t="s">
        <v>30</v>
      </c>
      <c r="D676" s="1" t="s">
        <v>31</v>
      </c>
      <c r="E676" s="1" t="s">
        <v>16</v>
      </c>
      <c r="F676" s="1" t="s">
        <v>17</v>
      </c>
      <c r="G676" s="1" t="s">
        <v>26</v>
      </c>
      <c r="H676" s="1">
        <v>16627</v>
      </c>
      <c r="I676" s="1" t="s">
        <v>19</v>
      </c>
      <c r="J676" s="1">
        <v>0.2</v>
      </c>
      <c r="K676" s="1">
        <v>17000</v>
      </c>
      <c r="L676" s="2">
        <v>45318</v>
      </c>
      <c r="M676" s="11">
        <f>IF(OR(I676="",ISNA(MATCH(I676,{"DISC10","DISC15","DISC20","DISC30"},0))),0,J676)</f>
        <v>0.2</v>
      </c>
    </row>
    <row r="677" spans="1:13" x14ac:dyDescent="0.35">
      <c r="A677" s="1" t="s">
        <v>908</v>
      </c>
      <c r="B677" s="1" t="s">
        <v>82</v>
      </c>
      <c r="C677" s="1" t="s">
        <v>61</v>
      </c>
      <c r="D677" s="1" t="s">
        <v>62</v>
      </c>
      <c r="E677" s="1" t="s">
        <v>32</v>
      </c>
      <c r="F677" s="1" t="s">
        <v>17</v>
      </c>
      <c r="G677" s="1" t="s">
        <v>26</v>
      </c>
      <c r="H677" s="1">
        <v>9272</v>
      </c>
      <c r="I677" s="1"/>
      <c r="J677" s="1"/>
      <c r="K677" s="1">
        <v>9000</v>
      </c>
      <c r="L677" s="2">
        <v>45308</v>
      </c>
      <c r="M677" s="11">
        <f>IF(OR(I677="",ISNA(MATCH(I677,{"DISC10","DISC15","DISC20","DISC30"},0))),0,J677)</f>
        <v>0</v>
      </c>
    </row>
    <row r="678" spans="1:13" x14ac:dyDescent="0.35">
      <c r="A678" s="1" t="s">
        <v>909</v>
      </c>
      <c r="B678" s="1" t="s">
        <v>118</v>
      </c>
      <c r="C678" s="1" t="s">
        <v>30</v>
      </c>
      <c r="D678" s="1" t="s">
        <v>31</v>
      </c>
      <c r="E678" s="1" t="s">
        <v>16</v>
      </c>
      <c r="F678" s="1" t="s">
        <v>17</v>
      </c>
      <c r="G678" s="1" t="s">
        <v>26</v>
      </c>
      <c r="H678" s="1">
        <v>15565</v>
      </c>
      <c r="I678" s="1" t="s">
        <v>22</v>
      </c>
      <c r="J678" s="1">
        <v>0.1</v>
      </c>
      <c r="K678" s="1">
        <v>17000</v>
      </c>
      <c r="L678" s="2">
        <v>45339</v>
      </c>
      <c r="M678" s="11">
        <f>IF(OR(I678="",ISNA(MATCH(I678,{"DISC10","DISC15","DISC20","DISC30"},0))),0,J678)</f>
        <v>0.1</v>
      </c>
    </row>
    <row r="679" spans="1:13" x14ac:dyDescent="0.35">
      <c r="A679" s="1" t="s">
        <v>910</v>
      </c>
      <c r="B679" s="1" t="s">
        <v>29</v>
      </c>
      <c r="C679" s="1" t="s">
        <v>44</v>
      </c>
      <c r="D679" s="1" t="s">
        <v>45</v>
      </c>
      <c r="E679" s="1" t="s">
        <v>32</v>
      </c>
      <c r="F679" s="1" t="s">
        <v>25</v>
      </c>
      <c r="G679" s="1" t="s">
        <v>26</v>
      </c>
      <c r="H679" s="1">
        <v>12640</v>
      </c>
      <c r="I679" s="1" t="s">
        <v>33</v>
      </c>
      <c r="J679" s="1">
        <v>0.3</v>
      </c>
      <c r="K679" s="1">
        <v>13000</v>
      </c>
      <c r="L679" s="2">
        <v>45343</v>
      </c>
      <c r="M679" s="11">
        <f>IF(OR(I679="",ISNA(MATCH(I679,{"DISC10","DISC15","DISC20","DISC30"},0))),0,J679)</f>
        <v>0.3</v>
      </c>
    </row>
    <row r="680" spans="1:13" x14ac:dyDescent="0.35">
      <c r="A680" s="1" t="s">
        <v>911</v>
      </c>
      <c r="B680" s="1" t="s">
        <v>382</v>
      </c>
      <c r="C680" s="1" t="s">
        <v>14</v>
      </c>
      <c r="D680" s="1" t="s">
        <v>15</v>
      </c>
      <c r="E680" s="1" t="s">
        <v>32</v>
      </c>
      <c r="F680" s="1" t="s">
        <v>17</v>
      </c>
      <c r="G680" s="1" t="s">
        <v>26</v>
      </c>
      <c r="H680" s="1">
        <v>12021</v>
      </c>
      <c r="I680" s="1" t="s">
        <v>22</v>
      </c>
      <c r="J680" s="1">
        <v>0.1</v>
      </c>
      <c r="K680" s="1">
        <v>14000</v>
      </c>
      <c r="L680" s="2">
        <v>45344</v>
      </c>
      <c r="M680" s="11">
        <f>IF(OR(I680="",ISNA(MATCH(I680,{"DISC10","DISC15","DISC20","DISC30"},0))),0,J680)</f>
        <v>0.1</v>
      </c>
    </row>
    <row r="681" spans="1:13" x14ac:dyDescent="0.35">
      <c r="A681" s="1" t="s">
        <v>912</v>
      </c>
      <c r="B681" s="1" t="s">
        <v>429</v>
      </c>
      <c r="C681" s="1" t="s">
        <v>61</v>
      </c>
      <c r="D681" s="1" t="s">
        <v>62</v>
      </c>
      <c r="E681" s="1" t="s">
        <v>32</v>
      </c>
      <c r="F681" s="1" t="s">
        <v>25</v>
      </c>
      <c r="G681" s="1" t="s">
        <v>36</v>
      </c>
      <c r="H681" s="1">
        <v>7908</v>
      </c>
      <c r="I681" s="1" t="s">
        <v>33</v>
      </c>
      <c r="J681" s="1">
        <v>0.3</v>
      </c>
      <c r="K681" s="1">
        <v>9000</v>
      </c>
      <c r="L681" s="2">
        <v>45297</v>
      </c>
      <c r="M681" s="11">
        <f>IF(OR(I681="",ISNA(MATCH(I681,{"DISC10","DISC15","DISC20","DISC30"},0))),0,J681)</f>
        <v>0.3</v>
      </c>
    </row>
    <row r="682" spans="1:13" x14ac:dyDescent="0.35">
      <c r="A682" s="1" t="s">
        <v>913</v>
      </c>
      <c r="B682" s="1" t="s">
        <v>359</v>
      </c>
      <c r="C682" s="1" t="s">
        <v>61</v>
      </c>
      <c r="D682" s="1" t="s">
        <v>62</v>
      </c>
      <c r="E682" s="1" t="s">
        <v>46</v>
      </c>
      <c r="F682" s="1" t="s">
        <v>39</v>
      </c>
      <c r="G682" s="1" t="s">
        <v>26</v>
      </c>
      <c r="H682" s="1">
        <v>9134</v>
      </c>
      <c r="I682" s="1" t="s">
        <v>33</v>
      </c>
      <c r="J682" s="1">
        <v>0.3</v>
      </c>
      <c r="K682" s="1">
        <v>9000</v>
      </c>
      <c r="L682" s="2">
        <v>45337</v>
      </c>
      <c r="M682" s="11">
        <f>IF(OR(I682="",ISNA(MATCH(I682,{"DISC10","DISC15","DISC20","DISC30"},0))),0,J682)</f>
        <v>0.3</v>
      </c>
    </row>
    <row r="683" spans="1:13" x14ac:dyDescent="0.35">
      <c r="A683" s="1" t="s">
        <v>914</v>
      </c>
      <c r="B683" s="1" t="s">
        <v>359</v>
      </c>
      <c r="C683" s="1" t="s">
        <v>44</v>
      </c>
      <c r="D683" s="1" t="s">
        <v>45</v>
      </c>
      <c r="E683" s="1" t="s">
        <v>16</v>
      </c>
      <c r="F683" s="1" t="s">
        <v>17</v>
      </c>
      <c r="G683" s="1" t="s">
        <v>36</v>
      </c>
      <c r="H683" s="1">
        <v>11043</v>
      </c>
      <c r="I683" s="1" t="s">
        <v>19</v>
      </c>
      <c r="J683" s="1">
        <v>0.2</v>
      </c>
      <c r="K683" s="1">
        <v>13000</v>
      </c>
      <c r="L683" s="2">
        <v>45346</v>
      </c>
      <c r="M683" s="11">
        <f>IF(OR(I683="",ISNA(MATCH(I683,{"DISC10","DISC15","DISC20","DISC30"},0))),0,J683)</f>
        <v>0.2</v>
      </c>
    </row>
    <row r="684" spans="1:13" x14ac:dyDescent="0.35">
      <c r="A684" s="1" t="s">
        <v>915</v>
      </c>
      <c r="B684" s="1" t="s">
        <v>270</v>
      </c>
      <c r="C684" s="1" t="s">
        <v>30</v>
      </c>
      <c r="D684" s="1" t="s">
        <v>31</v>
      </c>
      <c r="E684" s="1" t="s">
        <v>32</v>
      </c>
      <c r="F684" s="1" t="s">
        <v>25</v>
      </c>
      <c r="G684" s="1" t="s">
        <v>26</v>
      </c>
      <c r="H684" s="1">
        <v>17091</v>
      </c>
      <c r="I684" s="1" t="s">
        <v>27</v>
      </c>
      <c r="J684" s="1"/>
      <c r="K684" s="1">
        <v>17000</v>
      </c>
      <c r="L684" s="2">
        <v>45336</v>
      </c>
      <c r="M684" s="11">
        <f>IF(OR(I684="",ISNA(MATCH(I684,{"DISC10","DISC15","DISC20","DISC30"},0))),0,J684)</f>
        <v>0</v>
      </c>
    </row>
    <row r="685" spans="1:13" x14ac:dyDescent="0.35">
      <c r="A685" s="1" t="s">
        <v>916</v>
      </c>
      <c r="B685" s="1" t="s">
        <v>56</v>
      </c>
      <c r="C685" s="1" t="s">
        <v>44</v>
      </c>
      <c r="D685" s="1" t="s">
        <v>45</v>
      </c>
      <c r="E685" s="1" t="s">
        <v>16</v>
      </c>
      <c r="F685" s="1" t="s">
        <v>25</v>
      </c>
      <c r="G685" s="1" t="s">
        <v>36</v>
      </c>
      <c r="H685" s="1">
        <v>11979</v>
      </c>
      <c r="I685" s="1" t="s">
        <v>22</v>
      </c>
      <c r="J685" s="1">
        <v>0.1</v>
      </c>
      <c r="K685" s="1">
        <v>13000</v>
      </c>
      <c r="L685" s="2">
        <v>45302</v>
      </c>
      <c r="M685" s="11">
        <f>IF(OR(I685="",ISNA(MATCH(I685,{"DISC10","DISC15","DISC20","DISC30"},0))),0,J685)</f>
        <v>0.1</v>
      </c>
    </row>
    <row r="686" spans="1:13" x14ac:dyDescent="0.35">
      <c r="A686" s="1" t="s">
        <v>917</v>
      </c>
      <c r="B686" s="1" t="s">
        <v>263</v>
      </c>
      <c r="C686" s="1" t="s">
        <v>61</v>
      </c>
      <c r="D686" s="1" t="s">
        <v>62</v>
      </c>
      <c r="E686" s="1" t="s">
        <v>46</v>
      </c>
      <c r="F686" s="1" t="s">
        <v>39</v>
      </c>
      <c r="G686" s="1" t="s">
        <v>36</v>
      </c>
      <c r="H686" s="1">
        <v>8660</v>
      </c>
      <c r="I686" s="1" t="s">
        <v>27</v>
      </c>
      <c r="J686" s="1"/>
      <c r="K686" s="1">
        <v>9000</v>
      </c>
      <c r="L686" s="2">
        <v>45304</v>
      </c>
      <c r="M686" s="11">
        <f>IF(OR(I686="",ISNA(MATCH(I686,{"DISC10","DISC15","DISC20","DISC30"},0))),0,J686)</f>
        <v>0</v>
      </c>
    </row>
    <row r="687" spans="1:13" x14ac:dyDescent="0.35">
      <c r="A687" s="1" t="s">
        <v>918</v>
      </c>
      <c r="B687" s="1" t="s">
        <v>184</v>
      </c>
      <c r="C687" s="1" t="s">
        <v>14</v>
      </c>
      <c r="D687" s="1" t="s">
        <v>15</v>
      </c>
      <c r="E687" s="1" t="s">
        <v>32</v>
      </c>
      <c r="F687" s="1" t="s">
        <v>39</v>
      </c>
      <c r="G687" s="1" t="s">
        <v>36</v>
      </c>
      <c r="H687" s="1">
        <v>14974</v>
      </c>
      <c r="I687" s="1" t="s">
        <v>27</v>
      </c>
      <c r="J687" s="1"/>
      <c r="K687" s="1">
        <v>14000</v>
      </c>
      <c r="L687" s="2">
        <v>45350</v>
      </c>
      <c r="M687" s="11">
        <f>IF(OR(I687="",ISNA(MATCH(I687,{"DISC10","DISC15","DISC20","DISC30"},0))),0,J687)</f>
        <v>0</v>
      </c>
    </row>
    <row r="688" spans="1:13" x14ac:dyDescent="0.35">
      <c r="A688" s="1" t="s">
        <v>919</v>
      </c>
      <c r="B688" s="1" t="s">
        <v>920</v>
      </c>
      <c r="C688" s="1" t="s">
        <v>30</v>
      </c>
      <c r="D688" s="1" t="s">
        <v>31</v>
      </c>
      <c r="E688" s="1" t="s">
        <v>46</v>
      </c>
      <c r="F688" s="1" t="s">
        <v>25</v>
      </c>
      <c r="G688" s="1" t="s">
        <v>26</v>
      </c>
      <c r="H688" s="1">
        <v>18944</v>
      </c>
      <c r="I688" s="1" t="s">
        <v>19</v>
      </c>
      <c r="J688" s="1">
        <v>0.2</v>
      </c>
      <c r="K688" s="1">
        <v>17000</v>
      </c>
      <c r="L688" s="2">
        <v>45321</v>
      </c>
      <c r="M688" s="11">
        <f>IF(OR(I688="",ISNA(MATCH(I688,{"DISC10","DISC15","DISC20","DISC30"},0))),0,J688)</f>
        <v>0.2</v>
      </c>
    </row>
    <row r="689" spans="1:13" x14ac:dyDescent="0.35">
      <c r="A689" s="1" t="s">
        <v>921</v>
      </c>
      <c r="B689" s="1" t="s">
        <v>137</v>
      </c>
      <c r="C689" s="1" t="s">
        <v>14</v>
      </c>
      <c r="D689" s="1" t="s">
        <v>15</v>
      </c>
      <c r="E689" s="1" t="s">
        <v>46</v>
      </c>
      <c r="F689" s="1" t="s">
        <v>25</v>
      </c>
      <c r="G689" s="1" t="s">
        <v>36</v>
      </c>
      <c r="H689" s="1">
        <v>14073</v>
      </c>
      <c r="I689" s="1" t="s">
        <v>22</v>
      </c>
      <c r="J689" s="1">
        <v>0.1</v>
      </c>
      <c r="K689" s="1">
        <v>14000</v>
      </c>
      <c r="L689" s="2">
        <v>45327</v>
      </c>
      <c r="M689" s="11">
        <f>IF(OR(I689="",ISNA(MATCH(I689,{"DISC10","DISC15","DISC20","DISC30"},0))),0,J689)</f>
        <v>0.1</v>
      </c>
    </row>
    <row r="690" spans="1:13" x14ac:dyDescent="0.35">
      <c r="A690" s="1" t="s">
        <v>922</v>
      </c>
      <c r="B690" s="1" t="s">
        <v>241</v>
      </c>
      <c r="C690" s="1" t="s">
        <v>30</v>
      </c>
      <c r="D690" s="1" t="s">
        <v>31</v>
      </c>
      <c r="E690" s="1" t="s">
        <v>46</v>
      </c>
      <c r="F690" s="1" t="s">
        <v>25</v>
      </c>
      <c r="G690" s="1" t="s">
        <v>26</v>
      </c>
      <c r="H690" s="1">
        <v>18918</v>
      </c>
      <c r="I690" s="1" t="s">
        <v>33</v>
      </c>
      <c r="J690" s="1">
        <v>0.3</v>
      </c>
      <c r="K690" s="1">
        <v>17000</v>
      </c>
      <c r="L690" s="2">
        <v>45348</v>
      </c>
      <c r="M690" s="11">
        <f>IF(OR(I690="",ISNA(MATCH(I690,{"DISC10","DISC15","DISC20","DISC30"},0))),0,J690)</f>
        <v>0.3</v>
      </c>
    </row>
    <row r="691" spans="1:13" x14ac:dyDescent="0.35">
      <c r="A691" s="1" t="s">
        <v>923</v>
      </c>
      <c r="B691" s="1" t="s">
        <v>105</v>
      </c>
      <c r="C691" s="1" t="s">
        <v>30</v>
      </c>
      <c r="D691" s="1" t="s">
        <v>31</v>
      </c>
      <c r="E691" s="1" t="s">
        <v>16</v>
      </c>
      <c r="F691" s="1" t="s">
        <v>17</v>
      </c>
      <c r="G691" s="1" t="s">
        <v>36</v>
      </c>
      <c r="H691" s="1">
        <v>17306</v>
      </c>
      <c r="I691" s="1"/>
      <c r="J691" s="1"/>
      <c r="K691" s="1">
        <v>17000</v>
      </c>
      <c r="L691" s="2">
        <v>45341</v>
      </c>
      <c r="M691" s="11">
        <f>IF(OR(I691="",ISNA(MATCH(I691,{"DISC10","DISC15","DISC20","DISC30"},0))),0,J691)</f>
        <v>0</v>
      </c>
    </row>
    <row r="692" spans="1:13" x14ac:dyDescent="0.35">
      <c r="A692" s="1" t="s">
        <v>924</v>
      </c>
      <c r="B692" s="1" t="s">
        <v>401</v>
      </c>
      <c r="C692" s="1" t="s">
        <v>30</v>
      </c>
      <c r="D692" s="1" t="s">
        <v>31</v>
      </c>
      <c r="E692" s="1" t="s">
        <v>46</v>
      </c>
      <c r="F692" s="1" t="s">
        <v>39</v>
      </c>
      <c r="G692" s="1" t="s">
        <v>36</v>
      </c>
      <c r="H692" s="1">
        <v>18672</v>
      </c>
      <c r="I692" s="1" t="s">
        <v>27</v>
      </c>
      <c r="J692" s="1"/>
      <c r="K692" s="1">
        <v>17000</v>
      </c>
      <c r="L692" s="2">
        <v>45347</v>
      </c>
      <c r="M692" s="11">
        <f>IF(OR(I692="",ISNA(MATCH(I692,{"DISC10","DISC15","DISC20","DISC30"},0))),0,J692)</f>
        <v>0</v>
      </c>
    </row>
    <row r="693" spans="1:13" x14ac:dyDescent="0.35">
      <c r="A693" s="1" t="s">
        <v>925</v>
      </c>
      <c r="B693" s="1" t="s">
        <v>489</v>
      </c>
      <c r="C693" s="1" t="s">
        <v>14</v>
      </c>
      <c r="D693" s="1" t="s">
        <v>15</v>
      </c>
      <c r="E693" s="1" t="s">
        <v>46</v>
      </c>
      <c r="F693" s="1" t="s">
        <v>25</v>
      </c>
      <c r="G693" s="1" t="s">
        <v>36</v>
      </c>
      <c r="H693" s="1">
        <v>14595</v>
      </c>
      <c r="I693" s="1" t="s">
        <v>19</v>
      </c>
      <c r="J693" s="1">
        <v>0.2</v>
      </c>
      <c r="K693" s="1">
        <v>14000</v>
      </c>
      <c r="L693" s="2">
        <v>45335</v>
      </c>
      <c r="M693" s="11">
        <f>IF(OR(I693="",ISNA(MATCH(I693,{"DISC10","DISC15","DISC20","DISC30"},0))),0,J693)</f>
        <v>0.2</v>
      </c>
    </row>
    <row r="694" spans="1:13" x14ac:dyDescent="0.35">
      <c r="A694" s="1" t="s">
        <v>926</v>
      </c>
      <c r="B694" s="1" t="s">
        <v>397</v>
      </c>
      <c r="C694" s="1" t="s">
        <v>30</v>
      </c>
      <c r="D694" s="1" t="s">
        <v>31</v>
      </c>
      <c r="E694" s="1" t="s">
        <v>46</v>
      </c>
      <c r="F694" s="1" t="s">
        <v>17</v>
      </c>
      <c r="G694" s="1" t="s">
        <v>26</v>
      </c>
      <c r="H694" s="1">
        <v>17194</v>
      </c>
      <c r="I694" s="1" t="s">
        <v>22</v>
      </c>
      <c r="J694" s="1">
        <v>0.1</v>
      </c>
      <c r="K694" s="1">
        <v>17000</v>
      </c>
      <c r="L694" s="2">
        <v>45336</v>
      </c>
      <c r="M694" s="11">
        <f>IF(OR(I694="",ISNA(MATCH(I694,{"DISC10","DISC15","DISC20","DISC30"},0))),0,J694)</f>
        <v>0.1</v>
      </c>
    </row>
    <row r="695" spans="1:13" x14ac:dyDescent="0.35">
      <c r="A695" s="1" t="s">
        <v>927</v>
      </c>
      <c r="B695" s="1" t="s">
        <v>643</v>
      </c>
      <c r="C695" s="1" t="s">
        <v>44</v>
      </c>
      <c r="D695" s="1" t="s">
        <v>45</v>
      </c>
      <c r="E695" s="1" t="s">
        <v>46</v>
      </c>
      <c r="F695" s="1" t="s">
        <v>25</v>
      </c>
      <c r="G695" s="1" t="s">
        <v>36</v>
      </c>
      <c r="H695" s="1">
        <v>13759</v>
      </c>
      <c r="I695" s="1" t="s">
        <v>33</v>
      </c>
      <c r="J695" s="1">
        <v>0.3</v>
      </c>
      <c r="K695" s="1">
        <v>13000</v>
      </c>
      <c r="L695" s="2">
        <v>45296</v>
      </c>
      <c r="M695" s="11">
        <f>IF(OR(I695="",ISNA(MATCH(I695,{"DISC10","DISC15","DISC20","DISC30"},0))),0,J695)</f>
        <v>0.3</v>
      </c>
    </row>
    <row r="696" spans="1:13" x14ac:dyDescent="0.35">
      <c r="A696" s="1" t="s">
        <v>928</v>
      </c>
      <c r="B696" s="1" t="s">
        <v>80</v>
      </c>
      <c r="C696" s="1" t="s">
        <v>61</v>
      </c>
      <c r="D696" s="1" t="s">
        <v>62</v>
      </c>
      <c r="E696" s="1" t="s">
        <v>46</v>
      </c>
      <c r="F696" s="1" t="s">
        <v>17</v>
      </c>
      <c r="G696" s="1" t="s">
        <v>18</v>
      </c>
      <c r="H696" s="1">
        <v>10663</v>
      </c>
      <c r="I696" s="1" t="s">
        <v>27</v>
      </c>
      <c r="J696" s="1"/>
      <c r="K696" s="1">
        <v>9000</v>
      </c>
      <c r="L696" s="2">
        <v>45309</v>
      </c>
      <c r="M696" s="11">
        <f>IF(OR(I696="",ISNA(MATCH(I696,{"DISC10","DISC15","DISC20","DISC30"},0))),0,J696)</f>
        <v>0</v>
      </c>
    </row>
    <row r="697" spans="1:13" x14ac:dyDescent="0.35">
      <c r="A697" s="1" t="s">
        <v>929</v>
      </c>
      <c r="B697" s="1" t="s">
        <v>280</v>
      </c>
      <c r="C697" s="1" t="s">
        <v>44</v>
      </c>
      <c r="D697" s="1" t="s">
        <v>45</v>
      </c>
      <c r="E697" s="1" t="s">
        <v>46</v>
      </c>
      <c r="F697" s="1" t="s">
        <v>39</v>
      </c>
      <c r="G697" s="1" t="s">
        <v>18</v>
      </c>
      <c r="H697" s="1">
        <v>11961</v>
      </c>
      <c r="I697" s="1" t="s">
        <v>19</v>
      </c>
      <c r="J697" s="1">
        <v>0.2</v>
      </c>
      <c r="K697" s="1">
        <v>13000</v>
      </c>
      <c r="L697" s="2">
        <v>45347</v>
      </c>
      <c r="M697" s="11">
        <f>IF(OR(I697="",ISNA(MATCH(I697,{"DISC10","DISC15","DISC20","DISC30"},0))),0,J697)</f>
        <v>0.2</v>
      </c>
    </row>
    <row r="698" spans="1:13" x14ac:dyDescent="0.35">
      <c r="A698" s="1" t="s">
        <v>930</v>
      </c>
      <c r="B698" s="1" t="s">
        <v>289</v>
      </c>
      <c r="C698" s="1" t="s">
        <v>44</v>
      </c>
      <c r="D698" s="1" t="s">
        <v>45</v>
      </c>
      <c r="E698" s="1" t="s">
        <v>32</v>
      </c>
      <c r="F698" s="1" t="s">
        <v>25</v>
      </c>
      <c r="G698" s="1" t="s">
        <v>26</v>
      </c>
      <c r="H698" s="1">
        <v>12458</v>
      </c>
      <c r="I698" s="1" t="s">
        <v>19</v>
      </c>
      <c r="J698" s="1">
        <v>0.2</v>
      </c>
      <c r="K698" s="1">
        <v>13000</v>
      </c>
      <c r="L698" s="2">
        <v>45341</v>
      </c>
      <c r="M698" s="11">
        <f>IF(OR(I698="",ISNA(MATCH(I698,{"DISC10","DISC15","DISC20","DISC30"},0))),0,J698)</f>
        <v>0.2</v>
      </c>
    </row>
    <row r="699" spans="1:13" x14ac:dyDescent="0.35">
      <c r="A699" s="1" t="s">
        <v>931</v>
      </c>
      <c r="B699" s="1" t="s">
        <v>78</v>
      </c>
      <c r="C699" s="1" t="s">
        <v>14</v>
      </c>
      <c r="D699" s="1" t="s">
        <v>15</v>
      </c>
      <c r="E699" s="1" t="s">
        <v>16</v>
      </c>
      <c r="F699" s="1" t="s">
        <v>39</v>
      </c>
      <c r="G699" s="1" t="s">
        <v>36</v>
      </c>
      <c r="H699" s="1">
        <v>14514</v>
      </c>
      <c r="I699" s="1" t="s">
        <v>22</v>
      </c>
      <c r="J699" s="1">
        <v>0.1</v>
      </c>
      <c r="K699" s="1">
        <v>14000</v>
      </c>
      <c r="L699" s="2">
        <v>45340</v>
      </c>
      <c r="M699" s="11">
        <f>IF(OR(I699="",ISNA(MATCH(I699,{"DISC10","DISC15","DISC20","DISC30"},0))),0,J699)</f>
        <v>0.1</v>
      </c>
    </row>
    <row r="700" spans="1:13" x14ac:dyDescent="0.35">
      <c r="A700" s="1" t="s">
        <v>932</v>
      </c>
      <c r="B700" s="1" t="s">
        <v>144</v>
      </c>
      <c r="C700" s="1" t="s">
        <v>14</v>
      </c>
      <c r="D700" s="1" t="s">
        <v>15</v>
      </c>
      <c r="E700" s="1" t="s">
        <v>46</v>
      </c>
      <c r="F700" s="1" t="s">
        <v>17</v>
      </c>
      <c r="G700" s="1" t="s">
        <v>26</v>
      </c>
      <c r="H700" s="1">
        <v>13291</v>
      </c>
      <c r="I700" s="1"/>
      <c r="J700" s="1"/>
      <c r="K700" s="1">
        <v>14000</v>
      </c>
      <c r="L700" s="2">
        <v>45349</v>
      </c>
      <c r="M700" s="11">
        <f>IF(OR(I700="",ISNA(MATCH(I700,{"DISC10","DISC15","DISC20","DISC30"},0))),0,J700)</f>
        <v>0</v>
      </c>
    </row>
    <row r="701" spans="1:13" x14ac:dyDescent="0.35">
      <c r="A701" s="1" t="s">
        <v>933</v>
      </c>
      <c r="B701" s="1" t="s">
        <v>60</v>
      </c>
      <c r="C701" s="1" t="s">
        <v>30</v>
      </c>
      <c r="D701" s="1" t="s">
        <v>31</v>
      </c>
      <c r="E701" s="1" t="s">
        <v>46</v>
      </c>
      <c r="F701" s="1" t="s">
        <v>25</v>
      </c>
      <c r="G701" s="1" t="s">
        <v>26</v>
      </c>
      <c r="H701" s="1">
        <v>16147</v>
      </c>
      <c r="I701" s="1"/>
      <c r="J701" s="1"/>
      <c r="K701" s="1">
        <v>17000</v>
      </c>
      <c r="L701" s="2">
        <v>45306</v>
      </c>
      <c r="M701" s="11">
        <f>IF(OR(I701="",ISNA(MATCH(I701,{"DISC10","DISC15","DISC20","DISC30"},0))),0,J701)</f>
        <v>0</v>
      </c>
    </row>
    <row r="702" spans="1:13" x14ac:dyDescent="0.35">
      <c r="A702" s="1" t="s">
        <v>934</v>
      </c>
      <c r="B702" s="1" t="s">
        <v>522</v>
      </c>
      <c r="C702" s="1" t="s">
        <v>44</v>
      </c>
      <c r="D702" s="1" t="s">
        <v>45</v>
      </c>
      <c r="E702" s="1" t="s">
        <v>32</v>
      </c>
      <c r="F702" s="1" t="s">
        <v>39</v>
      </c>
      <c r="G702" s="1" t="s">
        <v>36</v>
      </c>
      <c r="H702" s="1">
        <v>12959</v>
      </c>
      <c r="I702" s="1" t="s">
        <v>27</v>
      </c>
      <c r="J702" s="1"/>
      <c r="K702" s="1">
        <v>13000</v>
      </c>
      <c r="L702" s="2">
        <v>45294</v>
      </c>
      <c r="M702" s="11">
        <f>IF(OR(I702="",ISNA(MATCH(I702,{"DISC10","DISC15","DISC20","DISC30"},0))),0,J702)</f>
        <v>0</v>
      </c>
    </row>
    <row r="703" spans="1:13" x14ac:dyDescent="0.35">
      <c r="A703" s="1" t="s">
        <v>935</v>
      </c>
      <c r="B703" s="1" t="s">
        <v>217</v>
      </c>
      <c r="C703" s="1" t="s">
        <v>61</v>
      </c>
      <c r="D703" s="1" t="s">
        <v>62</v>
      </c>
      <c r="E703" s="1" t="s">
        <v>16</v>
      </c>
      <c r="F703" s="1" t="s">
        <v>25</v>
      </c>
      <c r="G703" s="1" t="s">
        <v>36</v>
      </c>
      <c r="H703" s="1">
        <v>10999</v>
      </c>
      <c r="I703" s="1" t="s">
        <v>22</v>
      </c>
      <c r="J703" s="1">
        <v>0.1</v>
      </c>
      <c r="K703" s="1">
        <v>9000</v>
      </c>
      <c r="L703" s="2">
        <v>45336</v>
      </c>
      <c r="M703" s="11">
        <f>IF(OR(I703="",ISNA(MATCH(I703,{"DISC10","DISC15","DISC20","DISC30"},0))),0,J703)</f>
        <v>0.1</v>
      </c>
    </row>
    <row r="704" spans="1:13" x14ac:dyDescent="0.35">
      <c r="A704" s="1" t="s">
        <v>936</v>
      </c>
      <c r="B704" s="1" t="s">
        <v>544</v>
      </c>
      <c r="C704" s="1" t="s">
        <v>30</v>
      </c>
      <c r="D704" s="1" t="s">
        <v>31</v>
      </c>
      <c r="E704" s="1" t="s">
        <v>16</v>
      </c>
      <c r="F704" s="1" t="s">
        <v>25</v>
      </c>
      <c r="G704" s="1" t="s">
        <v>18</v>
      </c>
      <c r="H704" s="1">
        <v>17761</v>
      </c>
      <c r="I704" s="1" t="s">
        <v>19</v>
      </c>
      <c r="J704" s="1">
        <v>0.2</v>
      </c>
      <c r="K704" s="1">
        <v>17000</v>
      </c>
      <c r="L704" s="2">
        <v>45316</v>
      </c>
      <c r="M704" s="11">
        <f>IF(OR(I704="",ISNA(MATCH(I704,{"DISC10","DISC15","DISC20","DISC30"},0))),0,J704)</f>
        <v>0.2</v>
      </c>
    </row>
    <row r="705" spans="1:13" x14ac:dyDescent="0.35">
      <c r="A705" s="1" t="s">
        <v>937</v>
      </c>
      <c r="B705" s="1" t="s">
        <v>107</v>
      </c>
      <c r="C705" s="1" t="s">
        <v>30</v>
      </c>
      <c r="D705" s="1" t="s">
        <v>31</v>
      </c>
      <c r="E705" s="1" t="s">
        <v>46</v>
      </c>
      <c r="F705" s="1" t="s">
        <v>39</v>
      </c>
      <c r="G705" s="1" t="s">
        <v>36</v>
      </c>
      <c r="H705" s="1">
        <v>15766</v>
      </c>
      <c r="I705" s="1" t="s">
        <v>27</v>
      </c>
      <c r="J705" s="1"/>
      <c r="K705" s="1">
        <v>17000</v>
      </c>
      <c r="L705" s="2">
        <v>45308</v>
      </c>
      <c r="M705" s="11">
        <f>IF(OR(I705="",ISNA(MATCH(I705,{"DISC10","DISC15","DISC20","DISC30"},0))),0,J705)</f>
        <v>0</v>
      </c>
    </row>
    <row r="706" spans="1:13" x14ac:dyDescent="0.35">
      <c r="A706" s="1" t="s">
        <v>938</v>
      </c>
      <c r="B706" s="1" t="s">
        <v>939</v>
      </c>
      <c r="C706" s="1" t="s">
        <v>61</v>
      </c>
      <c r="D706" s="1" t="s">
        <v>62</v>
      </c>
      <c r="E706" s="1" t="s">
        <v>16</v>
      </c>
      <c r="F706" s="1" t="s">
        <v>17</v>
      </c>
      <c r="G706" s="1" t="s">
        <v>36</v>
      </c>
      <c r="H706" s="1">
        <v>7753</v>
      </c>
      <c r="I706" s="1"/>
      <c r="J706" s="1"/>
      <c r="K706" s="1">
        <v>9000</v>
      </c>
      <c r="L706" s="2">
        <v>45319</v>
      </c>
      <c r="M706" s="11">
        <f>IF(OR(I706="",ISNA(MATCH(I706,{"DISC10","DISC15","DISC20","DISC30"},0))),0,J706)</f>
        <v>0</v>
      </c>
    </row>
    <row r="707" spans="1:13" x14ac:dyDescent="0.35">
      <c r="A707" s="1" t="s">
        <v>940</v>
      </c>
      <c r="B707" s="1" t="s">
        <v>414</v>
      </c>
      <c r="C707" s="1" t="s">
        <v>30</v>
      </c>
      <c r="D707" s="1" t="s">
        <v>31</v>
      </c>
      <c r="E707" s="1" t="s">
        <v>46</v>
      </c>
      <c r="F707" s="1" t="s">
        <v>17</v>
      </c>
      <c r="G707" s="1" t="s">
        <v>36</v>
      </c>
      <c r="H707" s="1">
        <v>16846</v>
      </c>
      <c r="I707" s="1" t="s">
        <v>19</v>
      </c>
      <c r="J707" s="1">
        <v>0.2</v>
      </c>
      <c r="K707" s="1">
        <v>17000</v>
      </c>
      <c r="L707" s="2">
        <v>45328</v>
      </c>
      <c r="M707" s="11">
        <f>IF(OR(I707="",ISNA(MATCH(I707,{"DISC10","DISC15","DISC20","DISC30"},0))),0,J707)</f>
        <v>0.2</v>
      </c>
    </row>
    <row r="708" spans="1:13" x14ac:dyDescent="0.35">
      <c r="A708" s="1" t="s">
        <v>941</v>
      </c>
      <c r="B708" s="1" t="s">
        <v>720</v>
      </c>
      <c r="C708" s="1" t="s">
        <v>44</v>
      </c>
      <c r="D708" s="1" t="s">
        <v>45</v>
      </c>
      <c r="E708" s="1" t="s">
        <v>32</v>
      </c>
      <c r="F708" s="1" t="s">
        <v>39</v>
      </c>
      <c r="G708" s="1" t="s">
        <v>36</v>
      </c>
      <c r="H708" s="1">
        <v>14293</v>
      </c>
      <c r="I708" s="1" t="s">
        <v>19</v>
      </c>
      <c r="J708" s="1">
        <v>0.2</v>
      </c>
      <c r="K708" s="1">
        <v>13000</v>
      </c>
      <c r="L708" s="2">
        <v>45327</v>
      </c>
      <c r="M708" s="11">
        <f>IF(OR(I708="",ISNA(MATCH(I708,{"DISC10","DISC15","DISC20","DISC30"},0))),0,J708)</f>
        <v>0.2</v>
      </c>
    </row>
    <row r="709" spans="1:13" x14ac:dyDescent="0.35">
      <c r="A709" s="1" t="s">
        <v>942</v>
      </c>
      <c r="B709" s="1" t="s">
        <v>309</v>
      </c>
      <c r="C709" s="1" t="s">
        <v>61</v>
      </c>
      <c r="D709" s="1" t="s">
        <v>62</v>
      </c>
      <c r="E709" s="1" t="s">
        <v>32</v>
      </c>
      <c r="F709" s="1" t="s">
        <v>25</v>
      </c>
      <c r="G709" s="1" t="s">
        <v>26</v>
      </c>
      <c r="H709" s="1">
        <v>7612</v>
      </c>
      <c r="I709" s="1"/>
      <c r="J709" s="1"/>
      <c r="K709" s="1">
        <v>9000</v>
      </c>
      <c r="L709" s="2">
        <v>45343</v>
      </c>
      <c r="M709" s="11">
        <f>IF(OR(I709="",ISNA(MATCH(I709,{"DISC10","DISC15","DISC20","DISC30"},0))),0,J709)</f>
        <v>0</v>
      </c>
    </row>
    <row r="710" spans="1:13" x14ac:dyDescent="0.35">
      <c r="A710" s="1" t="s">
        <v>943</v>
      </c>
      <c r="B710" s="1" t="s">
        <v>243</v>
      </c>
      <c r="C710" s="1" t="s">
        <v>61</v>
      </c>
      <c r="D710" s="1" t="s">
        <v>62</v>
      </c>
      <c r="E710" s="1" t="s">
        <v>46</v>
      </c>
      <c r="F710" s="1" t="s">
        <v>25</v>
      </c>
      <c r="G710" s="1" t="s">
        <v>26</v>
      </c>
      <c r="H710" s="1">
        <v>9117</v>
      </c>
      <c r="I710" s="1" t="s">
        <v>27</v>
      </c>
      <c r="J710" s="1"/>
      <c r="K710" s="1">
        <v>9000</v>
      </c>
      <c r="L710" s="2">
        <v>45338</v>
      </c>
      <c r="M710" s="11">
        <f>IF(OR(I710="",ISNA(MATCH(I710,{"DISC10","DISC15","DISC20","DISC30"},0))),0,J710)</f>
        <v>0</v>
      </c>
    </row>
    <row r="711" spans="1:13" x14ac:dyDescent="0.35">
      <c r="A711" s="1" t="s">
        <v>944</v>
      </c>
      <c r="B711" s="1" t="s">
        <v>478</v>
      </c>
      <c r="C711" s="1" t="s">
        <v>61</v>
      </c>
      <c r="D711" s="1" t="s">
        <v>62</v>
      </c>
      <c r="E711" s="1" t="s">
        <v>46</v>
      </c>
      <c r="F711" s="1" t="s">
        <v>17</v>
      </c>
      <c r="G711" s="1" t="s">
        <v>26</v>
      </c>
      <c r="H711" s="1">
        <v>10516</v>
      </c>
      <c r="I711" s="1" t="s">
        <v>27</v>
      </c>
      <c r="J711" s="1"/>
      <c r="K711" s="1">
        <v>9000</v>
      </c>
      <c r="L711" s="2">
        <v>45295</v>
      </c>
      <c r="M711" s="11">
        <f>IF(OR(I711="",ISNA(MATCH(I711,{"DISC10","DISC15","DISC20","DISC30"},0))),0,J711)</f>
        <v>0</v>
      </c>
    </row>
    <row r="712" spans="1:13" x14ac:dyDescent="0.35">
      <c r="A712" s="1" t="s">
        <v>945</v>
      </c>
      <c r="B712" s="1" t="s">
        <v>41</v>
      </c>
      <c r="C712" s="1" t="s">
        <v>44</v>
      </c>
      <c r="D712" s="1" t="s">
        <v>45</v>
      </c>
      <c r="E712" s="1" t="s">
        <v>32</v>
      </c>
      <c r="F712" s="1" t="s">
        <v>25</v>
      </c>
      <c r="G712" s="1" t="s">
        <v>36</v>
      </c>
      <c r="H712" s="1">
        <v>12951</v>
      </c>
      <c r="I712" s="1" t="s">
        <v>22</v>
      </c>
      <c r="J712" s="1">
        <v>0.1</v>
      </c>
      <c r="K712" s="1">
        <v>13000</v>
      </c>
      <c r="L712" s="2">
        <v>45320</v>
      </c>
      <c r="M712" s="11">
        <f>IF(OR(I712="",ISNA(MATCH(I712,{"DISC10","DISC15","DISC20","DISC30"},0))),0,J712)</f>
        <v>0.1</v>
      </c>
    </row>
    <row r="713" spans="1:13" x14ac:dyDescent="0.35">
      <c r="A713" s="1" t="s">
        <v>946</v>
      </c>
      <c r="B713" s="1" t="s">
        <v>577</v>
      </c>
      <c r="C713" s="1" t="s">
        <v>30</v>
      </c>
      <c r="D713" s="1" t="s">
        <v>31</v>
      </c>
      <c r="E713" s="1" t="s">
        <v>46</v>
      </c>
      <c r="F713" s="1" t="s">
        <v>17</v>
      </c>
      <c r="G713" s="1" t="s">
        <v>26</v>
      </c>
      <c r="H713" s="1">
        <v>17283</v>
      </c>
      <c r="I713" s="1" t="s">
        <v>33</v>
      </c>
      <c r="J713" s="1">
        <v>0.3</v>
      </c>
      <c r="K713" s="1">
        <v>17000</v>
      </c>
      <c r="L713" s="2">
        <v>45314</v>
      </c>
      <c r="M713" s="11">
        <f>IF(OR(I713="",ISNA(MATCH(I713,{"DISC10","DISC15","DISC20","DISC30"},0))),0,J713)</f>
        <v>0.3</v>
      </c>
    </row>
    <row r="714" spans="1:13" x14ac:dyDescent="0.35">
      <c r="A714" s="1" t="s">
        <v>947</v>
      </c>
      <c r="B714" s="1" t="s">
        <v>406</v>
      </c>
      <c r="C714" s="1" t="s">
        <v>14</v>
      </c>
      <c r="D714" s="1" t="s">
        <v>15</v>
      </c>
      <c r="E714" s="1" t="s">
        <v>46</v>
      </c>
      <c r="F714" s="1" t="s">
        <v>39</v>
      </c>
      <c r="G714" s="1" t="s">
        <v>26</v>
      </c>
      <c r="H714" s="1">
        <v>12814</v>
      </c>
      <c r="I714" s="1" t="s">
        <v>27</v>
      </c>
      <c r="J714" s="1"/>
      <c r="K714" s="1">
        <v>14000</v>
      </c>
      <c r="L714" s="2">
        <v>45328</v>
      </c>
      <c r="M714" s="11">
        <f>IF(OR(I714="",ISNA(MATCH(I714,{"DISC10","DISC15","DISC20","DISC30"},0))),0,J714)</f>
        <v>0</v>
      </c>
    </row>
    <row r="715" spans="1:13" x14ac:dyDescent="0.35">
      <c r="A715" s="1" t="s">
        <v>948</v>
      </c>
      <c r="B715" s="1" t="s">
        <v>92</v>
      </c>
      <c r="C715" s="1" t="s">
        <v>44</v>
      </c>
      <c r="D715" s="1" t="s">
        <v>45</v>
      </c>
      <c r="E715" s="1" t="s">
        <v>46</v>
      </c>
      <c r="F715" s="1" t="s">
        <v>17</v>
      </c>
      <c r="G715" s="1" t="s">
        <v>36</v>
      </c>
      <c r="H715" s="1">
        <v>13757</v>
      </c>
      <c r="I715" s="1" t="s">
        <v>27</v>
      </c>
      <c r="J715" s="1"/>
      <c r="K715" s="1">
        <v>13000</v>
      </c>
      <c r="L715" s="2">
        <v>45323</v>
      </c>
      <c r="M715" s="11">
        <f>IF(OR(I715="",ISNA(MATCH(I715,{"DISC10","DISC15","DISC20","DISC30"},0))),0,J715)</f>
        <v>0</v>
      </c>
    </row>
    <row r="716" spans="1:13" x14ac:dyDescent="0.35">
      <c r="A716" s="1" t="s">
        <v>949</v>
      </c>
      <c r="B716" s="1" t="s">
        <v>296</v>
      </c>
      <c r="C716" s="1" t="s">
        <v>61</v>
      </c>
      <c r="D716" s="1" t="s">
        <v>62</v>
      </c>
      <c r="E716" s="1" t="s">
        <v>32</v>
      </c>
      <c r="F716" s="1" t="s">
        <v>17</v>
      </c>
      <c r="G716" s="1" t="s">
        <v>26</v>
      </c>
      <c r="H716" s="1">
        <v>8173</v>
      </c>
      <c r="I716" s="1"/>
      <c r="J716" s="1"/>
      <c r="K716" s="1">
        <v>9000</v>
      </c>
      <c r="L716" s="2">
        <v>45332</v>
      </c>
      <c r="M716" s="11">
        <f>IF(OR(I716="",ISNA(MATCH(I716,{"DISC10","DISC15","DISC20","DISC30"},0))),0,J716)</f>
        <v>0</v>
      </c>
    </row>
    <row r="717" spans="1:13" x14ac:dyDescent="0.35">
      <c r="A717" s="1" t="s">
        <v>950</v>
      </c>
      <c r="B717" s="1" t="s">
        <v>619</v>
      </c>
      <c r="C717" s="1" t="s">
        <v>44</v>
      </c>
      <c r="D717" s="1" t="s">
        <v>45</v>
      </c>
      <c r="E717" s="1" t="s">
        <v>16</v>
      </c>
      <c r="F717" s="1" t="s">
        <v>17</v>
      </c>
      <c r="G717" s="1" t="s">
        <v>36</v>
      </c>
      <c r="H717" s="1">
        <v>13585</v>
      </c>
      <c r="I717" s="1" t="s">
        <v>27</v>
      </c>
      <c r="J717" s="1"/>
      <c r="K717" s="1">
        <v>13000</v>
      </c>
      <c r="L717" s="2">
        <v>45328</v>
      </c>
      <c r="M717" s="11">
        <f>IF(OR(I717="",ISNA(MATCH(I717,{"DISC10","DISC15","DISC20","DISC30"},0))),0,J717)</f>
        <v>0</v>
      </c>
    </row>
    <row r="718" spans="1:13" x14ac:dyDescent="0.35">
      <c r="A718" s="1" t="s">
        <v>951</v>
      </c>
      <c r="B718" s="1" t="s">
        <v>309</v>
      </c>
      <c r="C718" s="1" t="s">
        <v>14</v>
      </c>
      <c r="D718" s="1" t="s">
        <v>15</v>
      </c>
      <c r="E718" s="1" t="s">
        <v>32</v>
      </c>
      <c r="F718" s="1" t="s">
        <v>25</v>
      </c>
      <c r="G718" s="1" t="s">
        <v>36</v>
      </c>
      <c r="H718" s="1">
        <v>12934</v>
      </c>
      <c r="I718" s="1" t="s">
        <v>33</v>
      </c>
      <c r="J718" s="1">
        <v>0.3</v>
      </c>
      <c r="K718" s="1">
        <v>14000</v>
      </c>
      <c r="L718" s="2">
        <v>45312</v>
      </c>
      <c r="M718" s="11">
        <f>IF(OR(I718="",ISNA(MATCH(I718,{"DISC10","DISC15","DISC20","DISC30"},0))),0,J718)</f>
        <v>0.3</v>
      </c>
    </row>
    <row r="719" spans="1:13" x14ac:dyDescent="0.35">
      <c r="A719" s="1" t="s">
        <v>952</v>
      </c>
      <c r="B719" s="1" t="s">
        <v>278</v>
      </c>
      <c r="C719" s="1" t="s">
        <v>30</v>
      </c>
      <c r="D719" s="1" t="s">
        <v>31</v>
      </c>
      <c r="E719" s="1" t="s">
        <v>16</v>
      </c>
      <c r="F719" s="1" t="s">
        <v>39</v>
      </c>
      <c r="G719" s="1" t="s">
        <v>36</v>
      </c>
      <c r="H719" s="1">
        <v>16111</v>
      </c>
      <c r="I719" s="1"/>
      <c r="J719" s="1"/>
      <c r="K719" s="1">
        <v>17000</v>
      </c>
      <c r="L719" s="2">
        <v>45341</v>
      </c>
      <c r="M719" s="11">
        <f>IF(OR(I719="",ISNA(MATCH(I719,{"DISC10","DISC15","DISC20","DISC30"},0))),0,J719)</f>
        <v>0</v>
      </c>
    </row>
    <row r="720" spans="1:13" x14ac:dyDescent="0.35">
      <c r="A720" s="1" t="s">
        <v>953</v>
      </c>
      <c r="B720" s="1" t="s">
        <v>303</v>
      </c>
      <c r="C720" s="1" t="s">
        <v>61</v>
      </c>
      <c r="D720" s="1" t="s">
        <v>62</v>
      </c>
      <c r="E720" s="1" t="s">
        <v>46</v>
      </c>
      <c r="F720" s="1" t="s">
        <v>25</v>
      </c>
      <c r="G720" s="1" t="s">
        <v>18</v>
      </c>
      <c r="H720" s="1">
        <v>10498</v>
      </c>
      <c r="I720" s="1" t="s">
        <v>22</v>
      </c>
      <c r="J720" s="1">
        <v>0.1</v>
      </c>
      <c r="K720" s="1">
        <v>9000</v>
      </c>
      <c r="L720" s="2">
        <v>45300</v>
      </c>
      <c r="M720" s="11">
        <f>IF(OR(I720="",ISNA(MATCH(I720,{"DISC10","DISC15","DISC20","DISC30"},0))),0,J720)</f>
        <v>0.1</v>
      </c>
    </row>
    <row r="721" spans="1:13" x14ac:dyDescent="0.35">
      <c r="A721" s="1" t="s">
        <v>954</v>
      </c>
      <c r="B721" s="1" t="s">
        <v>397</v>
      </c>
      <c r="C721" s="1" t="s">
        <v>30</v>
      </c>
      <c r="D721" s="1" t="s">
        <v>31</v>
      </c>
      <c r="E721" s="1" t="s">
        <v>16</v>
      </c>
      <c r="F721" s="1" t="s">
        <v>39</v>
      </c>
      <c r="G721" s="1" t="s">
        <v>26</v>
      </c>
      <c r="H721" s="1">
        <v>15327</v>
      </c>
      <c r="I721" s="1" t="s">
        <v>19</v>
      </c>
      <c r="J721" s="1">
        <v>0.2</v>
      </c>
      <c r="K721" s="1">
        <v>17000</v>
      </c>
      <c r="L721" s="2">
        <v>45302</v>
      </c>
      <c r="M721" s="11">
        <f>IF(OR(I721="",ISNA(MATCH(I721,{"DISC10","DISC15","DISC20","DISC30"},0))),0,J721)</f>
        <v>0.2</v>
      </c>
    </row>
    <row r="722" spans="1:13" x14ac:dyDescent="0.35">
      <c r="A722" s="1" t="s">
        <v>955</v>
      </c>
      <c r="B722" s="1" t="s">
        <v>41</v>
      </c>
      <c r="C722" s="1" t="s">
        <v>14</v>
      </c>
      <c r="D722" s="1" t="s">
        <v>15</v>
      </c>
      <c r="E722" s="1" t="s">
        <v>32</v>
      </c>
      <c r="F722" s="1" t="s">
        <v>17</v>
      </c>
      <c r="G722" s="1" t="s">
        <v>26</v>
      </c>
      <c r="H722" s="1">
        <v>12220</v>
      </c>
      <c r="I722" s="1" t="s">
        <v>22</v>
      </c>
      <c r="J722" s="1">
        <v>0.1</v>
      </c>
      <c r="K722" s="1">
        <v>14000</v>
      </c>
      <c r="L722" s="2">
        <v>45341</v>
      </c>
      <c r="M722" s="11">
        <f>IF(OR(I722="",ISNA(MATCH(I722,{"DISC10","DISC15","DISC20","DISC30"},0))),0,J722)</f>
        <v>0.1</v>
      </c>
    </row>
    <row r="723" spans="1:13" x14ac:dyDescent="0.35">
      <c r="A723" s="1" t="s">
        <v>956</v>
      </c>
      <c r="B723" s="1" t="s">
        <v>512</v>
      </c>
      <c r="C723" s="1" t="s">
        <v>14</v>
      </c>
      <c r="D723" s="1" t="s">
        <v>15</v>
      </c>
      <c r="E723" s="1" t="s">
        <v>32</v>
      </c>
      <c r="F723" s="1" t="s">
        <v>17</v>
      </c>
      <c r="G723" s="1" t="s">
        <v>26</v>
      </c>
      <c r="H723" s="1">
        <v>12636</v>
      </c>
      <c r="I723" s="1" t="s">
        <v>22</v>
      </c>
      <c r="J723" s="1">
        <v>0.1</v>
      </c>
      <c r="K723" s="1">
        <v>14000</v>
      </c>
      <c r="L723" s="2">
        <v>45333</v>
      </c>
      <c r="M723" s="11">
        <f>IF(OR(I723="",ISNA(MATCH(I723,{"DISC10","DISC15","DISC20","DISC30"},0))),0,J723)</f>
        <v>0.1</v>
      </c>
    </row>
    <row r="724" spans="1:13" x14ac:dyDescent="0.35">
      <c r="A724" s="1" t="s">
        <v>957</v>
      </c>
      <c r="B724" s="1" t="s">
        <v>137</v>
      </c>
      <c r="C724" s="1" t="s">
        <v>30</v>
      </c>
      <c r="D724" s="1" t="s">
        <v>31</v>
      </c>
      <c r="E724" s="1" t="s">
        <v>32</v>
      </c>
      <c r="F724" s="1" t="s">
        <v>25</v>
      </c>
      <c r="G724" s="1" t="s">
        <v>26</v>
      </c>
      <c r="H724" s="1">
        <v>16163</v>
      </c>
      <c r="I724" s="1"/>
      <c r="J724" s="1"/>
      <c r="K724" s="1">
        <v>17000</v>
      </c>
      <c r="L724" s="2">
        <v>45332</v>
      </c>
      <c r="M724" s="11">
        <f>IF(OR(I724="",ISNA(MATCH(I724,{"DISC10","DISC15","DISC20","DISC30"},0))),0,J724)</f>
        <v>0</v>
      </c>
    </row>
    <row r="725" spans="1:13" x14ac:dyDescent="0.35">
      <c r="A725" s="1" t="s">
        <v>958</v>
      </c>
      <c r="B725" s="1" t="s">
        <v>175</v>
      </c>
      <c r="C725" s="1" t="s">
        <v>44</v>
      </c>
      <c r="D725" s="1" t="s">
        <v>45</v>
      </c>
      <c r="E725" s="1" t="s">
        <v>32</v>
      </c>
      <c r="F725" s="1" t="s">
        <v>25</v>
      </c>
      <c r="G725" s="1" t="s">
        <v>26</v>
      </c>
      <c r="H725" s="1">
        <v>12461</v>
      </c>
      <c r="I725" s="1" t="s">
        <v>33</v>
      </c>
      <c r="J725" s="1">
        <v>0.3</v>
      </c>
      <c r="K725" s="1">
        <v>13000</v>
      </c>
      <c r="L725" s="2">
        <v>45347</v>
      </c>
      <c r="M725" s="11">
        <f>IF(OR(I725="",ISNA(MATCH(I725,{"DISC10","DISC15","DISC20","DISC30"},0))),0,J725)</f>
        <v>0.3</v>
      </c>
    </row>
    <row r="726" spans="1:13" x14ac:dyDescent="0.35">
      <c r="A726" s="1" t="s">
        <v>959</v>
      </c>
      <c r="B726" s="1" t="s">
        <v>231</v>
      </c>
      <c r="C726" s="1" t="s">
        <v>30</v>
      </c>
      <c r="D726" s="1" t="s">
        <v>31</v>
      </c>
      <c r="E726" s="1" t="s">
        <v>16</v>
      </c>
      <c r="F726" s="1" t="s">
        <v>17</v>
      </c>
      <c r="G726" s="1" t="s">
        <v>18</v>
      </c>
      <c r="H726" s="1">
        <v>18971</v>
      </c>
      <c r="I726" s="1" t="s">
        <v>27</v>
      </c>
      <c r="J726" s="1"/>
      <c r="K726" s="1">
        <v>17000</v>
      </c>
      <c r="L726" s="2">
        <v>45303</v>
      </c>
      <c r="M726" s="11">
        <f>IF(OR(I726="",ISNA(MATCH(I726,{"DISC10","DISC15","DISC20","DISC30"},0))),0,J726)</f>
        <v>0</v>
      </c>
    </row>
    <row r="727" spans="1:13" x14ac:dyDescent="0.35">
      <c r="A727" s="1" t="s">
        <v>960</v>
      </c>
      <c r="B727" s="1" t="s">
        <v>195</v>
      </c>
      <c r="C727" s="1" t="s">
        <v>61</v>
      </c>
      <c r="D727" s="1" t="s">
        <v>62</v>
      </c>
      <c r="E727" s="1" t="s">
        <v>16</v>
      </c>
      <c r="F727" s="1" t="s">
        <v>39</v>
      </c>
      <c r="G727" s="1" t="s">
        <v>26</v>
      </c>
      <c r="H727" s="1">
        <v>10593</v>
      </c>
      <c r="I727" s="1" t="s">
        <v>27</v>
      </c>
      <c r="J727" s="1"/>
      <c r="K727" s="1">
        <v>9000</v>
      </c>
      <c r="L727" s="2">
        <v>45319</v>
      </c>
      <c r="M727" s="11">
        <f>IF(OR(I727="",ISNA(MATCH(I727,{"DISC10","DISC15","DISC20","DISC30"},0))),0,J727)</f>
        <v>0</v>
      </c>
    </row>
    <row r="728" spans="1:13" x14ac:dyDescent="0.35">
      <c r="A728" s="1" t="s">
        <v>961</v>
      </c>
      <c r="B728" s="1" t="s">
        <v>202</v>
      </c>
      <c r="C728" s="1" t="s">
        <v>30</v>
      </c>
      <c r="D728" s="1" t="s">
        <v>31</v>
      </c>
      <c r="E728" s="1" t="s">
        <v>46</v>
      </c>
      <c r="F728" s="1" t="s">
        <v>17</v>
      </c>
      <c r="G728" s="1" t="s">
        <v>26</v>
      </c>
      <c r="H728" s="1">
        <v>15930</v>
      </c>
      <c r="I728" s="1" t="s">
        <v>22</v>
      </c>
      <c r="J728" s="1">
        <v>0.1</v>
      </c>
      <c r="K728" s="1">
        <v>17000</v>
      </c>
      <c r="L728" s="2">
        <v>45320</v>
      </c>
      <c r="M728" s="11">
        <f>IF(OR(I728="",ISNA(MATCH(I728,{"DISC10","DISC15","DISC20","DISC30"},0))),0,J728)</f>
        <v>0.1</v>
      </c>
    </row>
    <row r="729" spans="1:13" x14ac:dyDescent="0.35">
      <c r="A729" s="1" t="s">
        <v>962</v>
      </c>
      <c r="B729" s="1" t="s">
        <v>131</v>
      </c>
      <c r="C729" s="1" t="s">
        <v>61</v>
      </c>
      <c r="D729" s="1" t="s">
        <v>62</v>
      </c>
      <c r="E729" s="1" t="s">
        <v>46</v>
      </c>
      <c r="F729" s="1" t="s">
        <v>25</v>
      </c>
      <c r="G729" s="1" t="s">
        <v>36</v>
      </c>
      <c r="H729" s="1">
        <v>7043</v>
      </c>
      <c r="I729" s="1" t="s">
        <v>22</v>
      </c>
      <c r="J729" s="1">
        <v>0.1</v>
      </c>
      <c r="K729" s="1">
        <v>9000</v>
      </c>
      <c r="L729" s="2">
        <v>45325</v>
      </c>
      <c r="M729" s="11">
        <f>IF(OR(I729="",ISNA(MATCH(I729,{"DISC10","DISC15","DISC20","DISC30"},0))),0,J729)</f>
        <v>0.1</v>
      </c>
    </row>
    <row r="730" spans="1:13" x14ac:dyDescent="0.35">
      <c r="A730" s="1" t="s">
        <v>963</v>
      </c>
      <c r="B730" s="1" t="s">
        <v>393</v>
      </c>
      <c r="C730" s="1" t="s">
        <v>44</v>
      </c>
      <c r="D730" s="1" t="s">
        <v>45</v>
      </c>
      <c r="E730" s="1" t="s">
        <v>46</v>
      </c>
      <c r="F730" s="1" t="s">
        <v>17</v>
      </c>
      <c r="G730" s="1" t="s">
        <v>36</v>
      </c>
      <c r="H730" s="1">
        <v>13191</v>
      </c>
      <c r="I730" s="1" t="s">
        <v>22</v>
      </c>
      <c r="J730" s="1">
        <v>0.1</v>
      </c>
      <c r="K730" s="1">
        <v>13000</v>
      </c>
      <c r="L730" s="2">
        <v>45336</v>
      </c>
      <c r="M730" s="11">
        <f>IF(OR(I730="",ISNA(MATCH(I730,{"DISC10","DISC15","DISC20","DISC30"},0))),0,J730)</f>
        <v>0.1</v>
      </c>
    </row>
    <row r="731" spans="1:13" x14ac:dyDescent="0.35">
      <c r="A731" s="1" t="s">
        <v>964</v>
      </c>
      <c r="B731" s="1" t="s">
        <v>445</v>
      </c>
      <c r="C731" s="1" t="s">
        <v>61</v>
      </c>
      <c r="D731" s="1" t="s">
        <v>62</v>
      </c>
      <c r="E731" s="1" t="s">
        <v>46</v>
      </c>
      <c r="F731" s="1" t="s">
        <v>25</v>
      </c>
      <c r="G731" s="1" t="s">
        <v>36</v>
      </c>
      <c r="H731" s="1">
        <v>10268</v>
      </c>
      <c r="I731" s="1" t="s">
        <v>33</v>
      </c>
      <c r="J731" s="1">
        <v>0.3</v>
      </c>
      <c r="K731" s="1">
        <v>9000</v>
      </c>
      <c r="L731" s="2">
        <v>45330</v>
      </c>
      <c r="M731" s="11">
        <f>IF(OR(I731="",ISNA(MATCH(I731,{"DISC10","DISC15","DISC20","DISC30"},0))),0,J731)</f>
        <v>0.3</v>
      </c>
    </row>
    <row r="732" spans="1:13" x14ac:dyDescent="0.35">
      <c r="A732" s="1" t="s">
        <v>965</v>
      </c>
      <c r="B732" s="1" t="s">
        <v>401</v>
      </c>
      <c r="C732" s="1" t="s">
        <v>14</v>
      </c>
      <c r="D732" s="1" t="s">
        <v>15</v>
      </c>
      <c r="E732" s="1" t="s">
        <v>16</v>
      </c>
      <c r="F732" s="1" t="s">
        <v>17</v>
      </c>
      <c r="G732" s="1" t="s">
        <v>18</v>
      </c>
      <c r="H732" s="1">
        <v>13686</v>
      </c>
      <c r="I732" s="1" t="s">
        <v>27</v>
      </c>
      <c r="J732" s="1"/>
      <c r="K732" s="1">
        <v>14000</v>
      </c>
      <c r="L732" s="2">
        <v>45319</v>
      </c>
      <c r="M732" s="11">
        <f>IF(OR(I732="",ISNA(MATCH(I732,{"DISC10","DISC15","DISC20","DISC30"},0))),0,J732)</f>
        <v>0</v>
      </c>
    </row>
    <row r="733" spans="1:13" x14ac:dyDescent="0.35">
      <c r="A733" s="1" t="s">
        <v>966</v>
      </c>
      <c r="B733" s="1" t="s">
        <v>268</v>
      </c>
      <c r="C733" s="1" t="s">
        <v>44</v>
      </c>
      <c r="D733" s="1" t="s">
        <v>45</v>
      </c>
      <c r="E733" s="1" t="s">
        <v>16</v>
      </c>
      <c r="F733" s="1" t="s">
        <v>39</v>
      </c>
      <c r="G733" s="1" t="s">
        <v>26</v>
      </c>
      <c r="H733" s="1">
        <v>12596</v>
      </c>
      <c r="I733" s="1"/>
      <c r="J733" s="1"/>
      <c r="K733" s="1">
        <v>13000</v>
      </c>
      <c r="L733" s="2">
        <v>45306</v>
      </c>
      <c r="M733" s="11">
        <f>IF(OR(I733="",ISNA(MATCH(I733,{"DISC10","DISC15","DISC20","DISC30"},0))),0,J733)</f>
        <v>0</v>
      </c>
    </row>
    <row r="734" spans="1:13" x14ac:dyDescent="0.35">
      <c r="A734" s="1" t="s">
        <v>967</v>
      </c>
      <c r="B734" s="1" t="s">
        <v>222</v>
      </c>
      <c r="C734" s="1" t="s">
        <v>61</v>
      </c>
      <c r="D734" s="1" t="s">
        <v>62</v>
      </c>
      <c r="E734" s="1" t="s">
        <v>16</v>
      </c>
      <c r="F734" s="1" t="s">
        <v>25</v>
      </c>
      <c r="G734" s="1" t="s">
        <v>26</v>
      </c>
      <c r="H734" s="1">
        <v>10131</v>
      </c>
      <c r="I734" s="1" t="s">
        <v>27</v>
      </c>
      <c r="J734" s="1"/>
      <c r="K734" s="1">
        <v>9000</v>
      </c>
      <c r="L734" s="2">
        <v>45343</v>
      </c>
      <c r="M734" s="11">
        <f>IF(OR(I734="",ISNA(MATCH(I734,{"DISC10","DISC15","DISC20","DISC30"},0))),0,J734)</f>
        <v>0</v>
      </c>
    </row>
    <row r="735" spans="1:13" x14ac:dyDescent="0.35">
      <c r="A735" s="1" t="s">
        <v>968</v>
      </c>
      <c r="B735" s="1" t="s">
        <v>765</v>
      </c>
      <c r="C735" s="1" t="s">
        <v>30</v>
      </c>
      <c r="D735" s="1" t="s">
        <v>31</v>
      </c>
      <c r="E735" s="1" t="s">
        <v>46</v>
      </c>
      <c r="F735" s="1" t="s">
        <v>39</v>
      </c>
      <c r="G735" s="1" t="s">
        <v>26</v>
      </c>
      <c r="H735" s="1">
        <v>17178</v>
      </c>
      <c r="I735" s="1" t="s">
        <v>33</v>
      </c>
      <c r="J735" s="1">
        <v>0.3</v>
      </c>
      <c r="K735" s="1">
        <v>17000</v>
      </c>
      <c r="L735" s="2">
        <v>45318</v>
      </c>
      <c r="M735" s="11">
        <f>IF(OR(I735="",ISNA(MATCH(I735,{"DISC10","DISC15","DISC20","DISC30"},0))),0,J735)</f>
        <v>0.3</v>
      </c>
    </row>
    <row r="736" spans="1:13" x14ac:dyDescent="0.35">
      <c r="A736" s="1" t="s">
        <v>969</v>
      </c>
      <c r="B736" s="1" t="s">
        <v>171</v>
      </c>
      <c r="C736" s="1" t="s">
        <v>14</v>
      </c>
      <c r="D736" s="1" t="s">
        <v>15</v>
      </c>
      <c r="E736" s="1" t="s">
        <v>32</v>
      </c>
      <c r="F736" s="1" t="s">
        <v>25</v>
      </c>
      <c r="G736" s="1" t="s">
        <v>36</v>
      </c>
      <c r="H736" s="1">
        <v>12452</v>
      </c>
      <c r="I736" s="1"/>
      <c r="J736" s="1"/>
      <c r="K736" s="1">
        <v>14000</v>
      </c>
      <c r="L736" s="2">
        <v>45331</v>
      </c>
      <c r="M736" s="11">
        <f>IF(OR(I736="",ISNA(MATCH(I736,{"DISC10","DISC15","DISC20","DISC30"},0))),0,J736)</f>
        <v>0</v>
      </c>
    </row>
    <row r="737" spans="1:13" x14ac:dyDescent="0.35">
      <c r="A737" s="1" t="s">
        <v>970</v>
      </c>
      <c r="B737" s="1" t="s">
        <v>123</v>
      </c>
      <c r="C737" s="1" t="s">
        <v>61</v>
      </c>
      <c r="D737" s="1" t="s">
        <v>62</v>
      </c>
      <c r="E737" s="1" t="s">
        <v>32</v>
      </c>
      <c r="F737" s="1" t="s">
        <v>17</v>
      </c>
      <c r="G737" s="1" t="s">
        <v>18</v>
      </c>
      <c r="H737" s="1">
        <v>7623</v>
      </c>
      <c r="I737" s="1" t="s">
        <v>22</v>
      </c>
      <c r="J737" s="1">
        <v>0.1</v>
      </c>
      <c r="K737" s="1">
        <v>9000</v>
      </c>
      <c r="L737" s="2">
        <v>45326</v>
      </c>
      <c r="M737" s="11">
        <f>IF(OR(I737="",ISNA(MATCH(I737,{"DISC10","DISC15","DISC20","DISC30"},0))),0,J737)</f>
        <v>0.1</v>
      </c>
    </row>
    <row r="738" spans="1:13" x14ac:dyDescent="0.35">
      <c r="A738" s="1" t="s">
        <v>971</v>
      </c>
      <c r="B738" s="1" t="s">
        <v>243</v>
      </c>
      <c r="C738" s="1" t="s">
        <v>14</v>
      </c>
      <c r="D738" s="1" t="s">
        <v>15</v>
      </c>
      <c r="E738" s="1" t="s">
        <v>46</v>
      </c>
      <c r="F738" s="1" t="s">
        <v>17</v>
      </c>
      <c r="G738" s="1" t="s">
        <v>18</v>
      </c>
      <c r="H738" s="1">
        <v>14929</v>
      </c>
      <c r="I738" s="1"/>
      <c r="J738" s="1"/>
      <c r="K738" s="1">
        <v>14000</v>
      </c>
      <c r="L738" s="2">
        <v>45338</v>
      </c>
      <c r="M738" s="11">
        <f>IF(OR(I738="",ISNA(MATCH(I738,{"DISC10","DISC15","DISC20","DISC30"},0))),0,J738)</f>
        <v>0</v>
      </c>
    </row>
    <row r="739" spans="1:13" x14ac:dyDescent="0.35">
      <c r="A739" s="1" t="s">
        <v>972</v>
      </c>
      <c r="B739" s="1" t="s">
        <v>192</v>
      </c>
      <c r="C739" s="1" t="s">
        <v>14</v>
      </c>
      <c r="D739" s="1" t="s">
        <v>15</v>
      </c>
      <c r="E739" s="1" t="s">
        <v>32</v>
      </c>
      <c r="F739" s="1" t="s">
        <v>25</v>
      </c>
      <c r="G739" s="1" t="s">
        <v>36</v>
      </c>
      <c r="H739" s="1">
        <v>12889</v>
      </c>
      <c r="I739" s="1" t="s">
        <v>33</v>
      </c>
      <c r="J739" s="1">
        <v>0.3</v>
      </c>
      <c r="K739" s="1">
        <v>14000</v>
      </c>
      <c r="L739" s="2">
        <v>45318</v>
      </c>
      <c r="M739" s="11">
        <f>IF(OR(I739="",ISNA(MATCH(I739,{"DISC10","DISC15","DISC20","DISC30"},0))),0,J739)</f>
        <v>0.3</v>
      </c>
    </row>
    <row r="740" spans="1:13" x14ac:dyDescent="0.35">
      <c r="A740" s="1" t="s">
        <v>973</v>
      </c>
      <c r="B740" s="1" t="s">
        <v>443</v>
      </c>
      <c r="C740" s="1" t="s">
        <v>61</v>
      </c>
      <c r="D740" s="1" t="s">
        <v>62</v>
      </c>
      <c r="E740" s="1" t="s">
        <v>46</v>
      </c>
      <c r="F740" s="1" t="s">
        <v>17</v>
      </c>
      <c r="G740" s="1" t="s">
        <v>26</v>
      </c>
      <c r="H740" s="1">
        <v>10241</v>
      </c>
      <c r="I740" s="1" t="s">
        <v>22</v>
      </c>
      <c r="J740" s="1">
        <v>0.1</v>
      </c>
      <c r="K740" s="1">
        <v>9000</v>
      </c>
      <c r="L740" s="2">
        <v>45313</v>
      </c>
      <c r="M740" s="11">
        <f>IF(OR(I740="",ISNA(MATCH(I740,{"DISC10","DISC15","DISC20","DISC30"},0))),0,J740)</f>
        <v>0.1</v>
      </c>
    </row>
    <row r="741" spans="1:13" x14ac:dyDescent="0.35">
      <c r="A741" s="1" t="s">
        <v>974</v>
      </c>
      <c r="B741" s="1" t="s">
        <v>159</v>
      </c>
      <c r="C741" s="1" t="s">
        <v>44</v>
      </c>
      <c r="D741" s="1" t="s">
        <v>45</v>
      </c>
      <c r="E741" s="1" t="s">
        <v>32</v>
      </c>
      <c r="F741" s="1" t="s">
        <v>17</v>
      </c>
      <c r="G741" s="1" t="s">
        <v>36</v>
      </c>
      <c r="H741" s="1">
        <v>11292</v>
      </c>
      <c r="I741" s="1" t="s">
        <v>27</v>
      </c>
      <c r="J741" s="1"/>
      <c r="K741" s="1">
        <v>13000</v>
      </c>
      <c r="L741" s="2">
        <v>45322</v>
      </c>
      <c r="M741" s="11">
        <f>IF(OR(I741="",ISNA(MATCH(I741,{"DISC10","DISC15","DISC20","DISC30"},0))),0,J741)</f>
        <v>0</v>
      </c>
    </row>
    <row r="742" spans="1:13" x14ac:dyDescent="0.35">
      <c r="A742" s="1" t="s">
        <v>975</v>
      </c>
      <c r="B742" s="1" t="s">
        <v>35</v>
      </c>
      <c r="C742" s="1" t="s">
        <v>30</v>
      </c>
      <c r="D742" s="1" t="s">
        <v>31</v>
      </c>
      <c r="E742" s="1" t="s">
        <v>46</v>
      </c>
      <c r="F742" s="1" t="s">
        <v>25</v>
      </c>
      <c r="G742" s="1" t="s">
        <v>18</v>
      </c>
      <c r="H742" s="1">
        <v>18991</v>
      </c>
      <c r="I742" s="1" t="s">
        <v>19</v>
      </c>
      <c r="J742" s="1">
        <v>0.2</v>
      </c>
      <c r="K742" s="1">
        <v>17000</v>
      </c>
      <c r="L742" s="2">
        <v>45316</v>
      </c>
      <c r="M742" s="11">
        <f>IF(OR(I742="",ISNA(MATCH(I742,{"DISC10","DISC15","DISC20","DISC30"},0))),0,J742)</f>
        <v>0.2</v>
      </c>
    </row>
    <row r="743" spans="1:13" x14ac:dyDescent="0.35">
      <c r="A743" s="1" t="s">
        <v>976</v>
      </c>
      <c r="B743" s="1" t="s">
        <v>298</v>
      </c>
      <c r="C743" s="1" t="s">
        <v>44</v>
      </c>
      <c r="D743" s="1" t="s">
        <v>45</v>
      </c>
      <c r="E743" s="1" t="s">
        <v>16</v>
      </c>
      <c r="F743" s="1" t="s">
        <v>25</v>
      </c>
      <c r="G743" s="1" t="s">
        <v>18</v>
      </c>
      <c r="H743" s="1">
        <v>12887</v>
      </c>
      <c r="I743" s="1" t="s">
        <v>22</v>
      </c>
      <c r="J743" s="1">
        <v>0.1</v>
      </c>
      <c r="K743" s="1">
        <v>13000</v>
      </c>
      <c r="L743" s="2">
        <v>45325</v>
      </c>
      <c r="M743" s="11">
        <f>IF(OR(I743="",ISNA(MATCH(I743,{"DISC10","DISC15","DISC20","DISC30"},0))),0,J743)</f>
        <v>0.1</v>
      </c>
    </row>
    <row r="744" spans="1:13" x14ac:dyDescent="0.35">
      <c r="A744" s="1" t="s">
        <v>977</v>
      </c>
      <c r="B744" s="1" t="s">
        <v>239</v>
      </c>
      <c r="C744" s="1" t="s">
        <v>61</v>
      </c>
      <c r="D744" s="1" t="s">
        <v>62</v>
      </c>
      <c r="E744" s="1" t="s">
        <v>46</v>
      </c>
      <c r="F744" s="1" t="s">
        <v>39</v>
      </c>
      <c r="G744" s="1" t="s">
        <v>36</v>
      </c>
      <c r="H744" s="1">
        <v>10834</v>
      </c>
      <c r="I744" s="1" t="s">
        <v>33</v>
      </c>
      <c r="J744" s="1">
        <v>0.3</v>
      </c>
      <c r="K744" s="1">
        <v>9000</v>
      </c>
      <c r="L744" s="2">
        <v>45302</v>
      </c>
      <c r="M744" s="11">
        <f>IF(OR(I744="",ISNA(MATCH(I744,{"DISC10","DISC15","DISC20","DISC30"},0))),0,J744)</f>
        <v>0.3</v>
      </c>
    </row>
    <row r="745" spans="1:13" x14ac:dyDescent="0.35">
      <c r="A745" s="1" t="s">
        <v>978</v>
      </c>
      <c r="B745" s="1" t="s">
        <v>305</v>
      </c>
      <c r="C745" s="1" t="s">
        <v>14</v>
      </c>
      <c r="D745" s="1" t="s">
        <v>15</v>
      </c>
      <c r="E745" s="1" t="s">
        <v>16</v>
      </c>
      <c r="F745" s="1" t="s">
        <v>39</v>
      </c>
      <c r="G745" s="1" t="s">
        <v>26</v>
      </c>
      <c r="H745" s="1">
        <v>12500</v>
      </c>
      <c r="I745" s="1" t="s">
        <v>33</v>
      </c>
      <c r="J745" s="1">
        <v>0.3</v>
      </c>
      <c r="K745" s="1">
        <v>14000</v>
      </c>
      <c r="L745" s="2">
        <v>45322</v>
      </c>
      <c r="M745" s="11">
        <f>IF(OR(I745="",ISNA(MATCH(I745,{"DISC10","DISC15","DISC20","DISC30"},0))),0,J745)</f>
        <v>0.3</v>
      </c>
    </row>
    <row r="746" spans="1:13" x14ac:dyDescent="0.35">
      <c r="A746" s="1" t="s">
        <v>979</v>
      </c>
      <c r="B746" s="1" t="s">
        <v>278</v>
      </c>
      <c r="C746" s="1" t="s">
        <v>44</v>
      </c>
      <c r="D746" s="1" t="s">
        <v>45</v>
      </c>
      <c r="E746" s="1" t="s">
        <v>46</v>
      </c>
      <c r="F746" s="1" t="s">
        <v>25</v>
      </c>
      <c r="G746" s="1" t="s">
        <v>26</v>
      </c>
      <c r="H746" s="1">
        <v>11892</v>
      </c>
      <c r="I746" s="1" t="s">
        <v>22</v>
      </c>
      <c r="J746" s="1">
        <v>0.1</v>
      </c>
      <c r="K746" s="1">
        <v>13000</v>
      </c>
      <c r="L746" s="2">
        <v>45307</v>
      </c>
      <c r="M746" s="11">
        <f>IF(OR(I746="",ISNA(MATCH(I746,{"DISC10","DISC15","DISC20","DISC30"},0))),0,J746)</f>
        <v>0.1</v>
      </c>
    </row>
    <row r="747" spans="1:13" x14ac:dyDescent="0.35">
      <c r="A747" s="1" t="s">
        <v>980</v>
      </c>
      <c r="B747" s="1" t="s">
        <v>90</v>
      </c>
      <c r="C747" s="1" t="s">
        <v>30</v>
      </c>
      <c r="D747" s="1" t="s">
        <v>31</v>
      </c>
      <c r="E747" s="1" t="s">
        <v>32</v>
      </c>
      <c r="F747" s="1" t="s">
        <v>25</v>
      </c>
      <c r="G747" s="1" t="s">
        <v>36</v>
      </c>
      <c r="H747" s="1">
        <v>17394</v>
      </c>
      <c r="I747" s="1" t="s">
        <v>22</v>
      </c>
      <c r="J747" s="1">
        <v>0.1</v>
      </c>
      <c r="K747" s="1">
        <v>17000</v>
      </c>
      <c r="L747" s="2">
        <v>45317</v>
      </c>
      <c r="M747" s="11">
        <f>IF(OR(I747="",ISNA(MATCH(I747,{"DISC10","DISC15","DISC20","DISC30"},0))),0,J747)</f>
        <v>0.1</v>
      </c>
    </row>
    <row r="748" spans="1:13" x14ac:dyDescent="0.35">
      <c r="A748" s="1" t="s">
        <v>981</v>
      </c>
      <c r="B748" s="1" t="s">
        <v>294</v>
      </c>
      <c r="C748" s="1" t="s">
        <v>14</v>
      </c>
      <c r="D748" s="1" t="s">
        <v>15</v>
      </c>
      <c r="E748" s="1" t="s">
        <v>32</v>
      </c>
      <c r="F748" s="1" t="s">
        <v>39</v>
      </c>
      <c r="G748" s="1" t="s">
        <v>26</v>
      </c>
      <c r="H748" s="1">
        <v>13946</v>
      </c>
      <c r="I748" s="1" t="s">
        <v>27</v>
      </c>
      <c r="J748" s="1"/>
      <c r="K748" s="1">
        <v>14000</v>
      </c>
      <c r="L748" s="2">
        <v>45301</v>
      </c>
      <c r="M748" s="11">
        <f>IF(OR(I748="",ISNA(MATCH(I748,{"DISC10","DISC15","DISC20","DISC30"},0))),0,J748)</f>
        <v>0</v>
      </c>
    </row>
    <row r="749" spans="1:13" x14ac:dyDescent="0.35">
      <c r="A749" s="1" t="s">
        <v>982</v>
      </c>
      <c r="B749" s="1" t="s">
        <v>478</v>
      </c>
      <c r="C749" s="1" t="s">
        <v>14</v>
      </c>
      <c r="D749" s="1" t="s">
        <v>15</v>
      </c>
      <c r="E749" s="1" t="s">
        <v>32</v>
      </c>
      <c r="F749" s="1" t="s">
        <v>25</v>
      </c>
      <c r="G749" s="1" t="s">
        <v>36</v>
      </c>
      <c r="H749" s="1">
        <v>12374</v>
      </c>
      <c r="I749" s="1" t="s">
        <v>27</v>
      </c>
      <c r="J749" s="1"/>
      <c r="K749" s="1">
        <v>14000</v>
      </c>
      <c r="L749" s="2">
        <v>45313</v>
      </c>
      <c r="M749" s="11">
        <f>IF(OR(I749="",ISNA(MATCH(I749,{"DISC10","DISC15","DISC20","DISC30"},0))),0,J749)</f>
        <v>0</v>
      </c>
    </row>
    <row r="750" spans="1:13" x14ac:dyDescent="0.35">
      <c r="A750" s="1" t="s">
        <v>983</v>
      </c>
      <c r="B750" s="1" t="s">
        <v>148</v>
      </c>
      <c r="C750" s="1" t="s">
        <v>14</v>
      </c>
      <c r="D750" s="1" t="s">
        <v>15</v>
      </c>
      <c r="E750" s="1" t="s">
        <v>32</v>
      </c>
      <c r="F750" s="1" t="s">
        <v>17</v>
      </c>
      <c r="G750" s="1" t="s">
        <v>26</v>
      </c>
      <c r="H750" s="1">
        <v>12630</v>
      </c>
      <c r="I750" s="1" t="s">
        <v>27</v>
      </c>
      <c r="J750" s="1"/>
      <c r="K750" s="1">
        <v>14000</v>
      </c>
      <c r="L750" s="2">
        <v>45342</v>
      </c>
      <c r="M750" s="11">
        <f>IF(OR(I750="",ISNA(MATCH(I750,{"DISC10","DISC15","DISC20","DISC30"},0))),0,J750)</f>
        <v>0</v>
      </c>
    </row>
    <row r="751" spans="1:13" x14ac:dyDescent="0.35">
      <c r="A751" s="1" t="s">
        <v>984</v>
      </c>
      <c r="B751" s="1" t="s">
        <v>843</v>
      </c>
      <c r="C751" s="1" t="s">
        <v>61</v>
      </c>
      <c r="D751" s="1" t="s">
        <v>62</v>
      </c>
      <c r="E751" s="1" t="s">
        <v>32</v>
      </c>
      <c r="F751" s="1" t="s">
        <v>17</v>
      </c>
      <c r="G751" s="1" t="s">
        <v>26</v>
      </c>
      <c r="H751" s="1">
        <v>10229</v>
      </c>
      <c r="I751" s="1" t="s">
        <v>33</v>
      </c>
      <c r="J751" s="1">
        <v>0.3</v>
      </c>
      <c r="K751" s="1">
        <v>9000</v>
      </c>
      <c r="L751" s="2">
        <v>45343</v>
      </c>
      <c r="M751" s="11">
        <f>IF(OR(I751="",ISNA(MATCH(I751,{"DISC10","DISC15","DISC20","DISC30"},0))),0,J751)</f>
        <v>0.3</v>
      </c>
    </row>
    <row r="752" spans="1:13" x14ac:dyDescent="0.35">
      <c r="A752" s="1" t="s">
        <v>985</v>
      </c>
      <c r="B752" s="1" t="s">
        <v>445</v>
      </c>
      <c r="C752" s="1" t="s">
        <v>44</v>
      </c>
      <c r="D752" s="1" t="s">
        <v>45</v>
      </c>
      <c r="E752" s="1" t="s">
        <v>32</v>
      </c>
      <c r="F752" s="1" t="s">
        <v>39</v>
      </c>
      <c r="G752" s="1" t="s">
        <v>36</v>
      </c>
      <c r="H752" s="1">
        <v>12467</v>
      </c>
      <c r="I752" s="1" t="s">
        <v>19</v>
      </c>
      <c r="J752" s="1">
        <v>0.2</v>
      </c>
      <c r="K752" s="1">
        <v>13000</v>
      </c>
      <c r="L752" s="2">
        <v>45308</v>
      </c>
      <c r="M752" s="11">
        <f>IF(OR(I752="",ISNA(MATCH(I752,{"DISC10","DISC15","DISC20","DISC30"},0))),0,J752)</f>
        <v>0.2</v>
      </c>
    </row>
    <row r="753" spans="1:13" x14ac:dyDescent="0.35">
      <c r="A753" s="1" t="s">
        <v>986</v>
      </c>
      <c r="B753" s="1" t="s">
        <v>987</v>
      </c>
      <c r="C753" s="1" t="s">
        <v>61</v>
      </c>
      <c r="D753" s="1" t="s">
        <v>62</v>
      </c>
      <c r="E753" s="1" t="s">
        <v>16</v>
      </c>
      <c r="F753" s="1" t="s">
        <v>17</v>
      </c>
      <c r="G753" s="1" t="s">
        <v>26</v>
      </c>
      <c r="H753" s="1">
        <v>8207</v>
      </c>
      <c r="I753" s="1" t="s">
        <v>27</v>
      </c>
      <c r="J753" s="1"/>
      <c r="K753" s="1">
        <v>9000</v>
      </c>
      <c r="L753" s="2">
        <v>45336</v>
      </c>
      <c r="M753" s="11">
        <f>IF(OR(I753="",ISNA(MATCH(I753,{"DISC10","DISC15","DISC20","DISC30"},0))),0,J753)</f>
        <v>0</v>
      </c>
    </row>
    <row r="754" spans="1:13" x14ac:dyDescent="0.35">
      <c r="A754" s="1" t="s">
        <v>988</v>
      </c>
      <c r="B754" s="1" t="s">
        <v>211</v>
      </c>
      <c r="C754" s="1" t="s">
        <v>44</v>
      </c>
      <c r="D754" s="1" t="s">
        <v>45</v>
      </c>
      <c r="E754" s="1" t="s">
        <v>16</v>
      </c>
      <c r="F754" s="1" t="s">
        <v>17</v>
      </c>
      <c r="G754" s="1" t="s">
        <v>36</v>
      </c>
      <c r="H754" s="1">
        <v>13999</v>
      </c>
      <c r="I754" s="1"/>
      <c r="J754" s="1"/>
      <c r="K754" s="1">
        <v>13000</v>
      </c>
      <c r="L754" s="2">
        <v>45309</v>
      </c>
      <c r="M754" s="11">
        <f>IF(OR(I754="",ISNA(MATCH(I754,{"DISC10","DISC15","DISC20","DISC30"},0))),0,J754)</f>
        <v>0</v>
      </c>
    </row>
    <row r="755" spans="1:13" x14ac:dyDescent="0.35">
      <c r="A755" s="1" t="s">
        <v>989</v>
      </c>
      <c r="B755" s="1" t="s">
        <v>319</v>
      </c>
      <c r="C755" s="1" t="s">
        <v>44</v>
      </c>
      <c r="D755" s="1" t="s">
        <v>45</v>
      </c>
      <c r="E755" s="1" t="s">
        <v>32</v>
      </c>
      <c r="F755" s="1" t="s">
        <v>39</v>
      </c>
      <c r="G755" s="1" t="s">
        <v>18</v>
      </c>
      <c r="H755" s="1">
        <v>12840</v>
      </c>
      <c r="I755" s="1" t="s">
        <v>33</v>
      </c>
      <c r="J755" s="1">
        <v>0.3</v>
      </c>
      <c r="K755" s="1">
        <v>13000</v>
      </c>
      <c r="L755" s="2">
        <v>45344</v>
      </c>
      <c r="M755" s="11">
        <f>IF(OR(I755="",ISNA(MATCH(I755,{"DISC10","DISC15","DISC20","DISC30"},0))),0,J755)</f>
        <v>0.3</v>
      </c>
    </row>
    <row r="756" spans="1:13" x14ac:dyDescent="0.35">
      <c r="A756" s="1" t="s">
        <v>990</v>
      </c>
      <c r="B756" s="1" t="s">
        <v>307</v>
      </c>
      <c r="C756" s="1" t="s">
        <v>30</v>
      </c>
      <c r="D756" s="1" t="s">
        <v>31</v>
      </c>
      <c r="E756" s="1" t="s">
        <v>46</v>
      </c>
      <c r="F756" s="1" t="s">
        <v>25</v>
      </c>
      <c r="G756" s="1" t="s">
        <v>26</v>
      </c>
      <c r="H756" s="1">
        <v>17072</v>
      </c>
      <c r="I756" s="1"/>
      <c r="J756" s="1"/>
      <c r="K756" s="1">
        <v>17000</v>
      </c>
      <c r="L756" s="2">
        <v>45338</v>
      </c>
      <c r="M756" s="11">
        <f>IF(OR(I756="",ISNA(MATCH(I756,{"DISC10","DISC15","DISC20","DISC30"},0))),0,J756)</f>
        <v>0</v>
      </c>
    </row>
    <row r="757" spans="1:13" x14ac:dyDescent="0.35">
      <c r="A757" s="1" t="s">
        <v>991</v>
      </c>
      <c r="B757" s="1" t="s">
        <v>557</v>
      </c>
      <c r="C757" s="1" t="s">
        <v>30</v>
      </c>
      <c r="D757" s="1" t="s">
        <v>31</v>
      </c>
      <c r="E757" s="1" t="s">
        <v>16</v>
      </c>
      <c r="F757" s="1" t="s">
        <v>25</v>
      </c>
      <c r="G757" s="1" t="s">
        <v>36</v>
      </c>
      <c r="H757" s="1">
        <v>17953</v>
      </c>
      <c r="I757" s="1" t="s">
        <v>22</v>
      </c>
      <c r="J757" s="1">
        <v>0.1</v>
      </c>
      <c r="K757" s="1">
        <v>17000</v>
      </c>
      <c r="L757" s="2">
        <v>45334</v>
      </c>
      <c r="M757" s="11">
        <f>IF(OR(I757="",ISNA(MATCH(I757,{"DISC10","DISC15","DISC20","DISC30"},0))),0,J757)</f>
        <v>0.1</v>
      </c>
    </row>
    <row r="758" spans="1:13" x14ac:dyDescent="0.35">
      <c r="A758" s="1" t="s">
        <v>992</v>
      </c>
      <c r="B758" s="1" t="s">
        <v>105</v>
      </c>
      <c r="C758" s="1" t="s">
        <v>61</v>
      </c>
      <c r="D758" s="1" t="s">
        <v>62</v>
      </c>
      <c r="E758" s="1" t="s">
        <v>32</v>
      </c>
      <c r="F758" s="1" t="s">
        <v>39</v>
      </c>
      <c r="G758" s="1" t="s">
        <v>26</v>
      </c>
      <c r="H758" s="1">
        <v>9037</v>
      </c>
      <c r="I758" s="1" t="s">
        <v>27</v>
      </c>
      <c r="J758" s="1"/>
      <c r="K758" s="1">
        <v>9000</v>
      </c>
      <c r="L758" s="2">
        <v>45301</v>
      </c>
      <c r="M758" s="11">
        <f>IF(OR(I758="",ISNA(MATCH(I758,{"DISC10","DISC15","DISC20","DISC30"},0))),0,J758)</f>
        <v>0</v>
      </c>
    </row>
    <row r="759" spans="1:13" x14ac:dyDescent="0.35">
      <c r="A759" s="1" t="s">
        <v>993</v>
      </c>
      <c r="B759" s="1" t="s">
        <v>291</v>
      </c>
      <c r="C759" s="1" t="s">
        <v>30</v>
      </c>
      <c r="D759" s="1" t="s">
        <v>31</v>
      </c>
      <c r="E759" s="1" t="s">
        <v>46</v>
      </c>
      <c r="F759" s="1" t="s">
        <v>39</v>
      </c>
      <c r="G759" s="1" t="s">
        <v>36</v>
      </c>
      <c r="H759" s="1">
        <v>15452</v>
      </c>
      <c r="I759" s="1" t="s">
        <v>22</v>
      </c>
      <c r="J759" s="1">
        <v>0.1</v>
      </c>
      <c r="K759" s="1">
        <v>17000</v>
      </c>
      <c r="L759" s="2">
        <v>45325</v>
      </c>
      <c r="M759" s="11">
        <f>IF(OR(I759="",ISNA(MATCH(I759,{"DISC10","DISC15","DISC20","DISC30"},0))),0,J759)</f>
        <v>0.1</v>
      </c>
    </row>
    <row r="760" spans="1:13" x14ac:dyDescent="0.35">
      <c r="A760" s="1" t="s">
        <v>994</v>
      </c>
      <c r="B760" s="1" t="s">
        <v>13</v>
      </c>
      <c r="C760" s="1" t="s">
        <v>14</v>
      </c>
      <c r="D760" s="1" t="s">
        <v>15</v>
      </c>
      <c r="E760" s="1" t="s">
        <v>32</v>
      </c>
      <c r="F760" s="1" t="s">
        <v>25</v>
      </c>
      <c r="G760" s="1" t="s">
        <v>18</v>
      </c>
      <c r="H760" s="1">
        <v>12827</v>
      </c>
      <c r="I760" s="1" t="s">
        <v>22</v>
      </c>
      <c r="J760" s="1">
        <v>0.1</v>
      </c>
      <c r="K760" s="1">
        <v>14000</v>
      </c>
      <c r="L760" s="2">
        <v>45323</v>
      </c>
      <c r="M760" s="11">
        <f>IF(OR(I760="",ISNA(MATCH(I760,{"DISC10","DISC15","DISC20","DISC30"},0))),0,J760)</f>
        <v>0.1</v>
      </c>
    </row>
    <row r="761" spans="1:13" x14ac:dyDescent="0.35">
      <c r="A761" s="1" t="s">
        <v>995</v>
      </c>
      <c r="B761" s="1" t="s">
        <v>229</v>
      </c>
      <c r="C761" s="1" t="s">
        <v>14</v>
      </c>
      <c r="D761" s="1" t="s">
        <v>15</v>
      </c>
      <c r="E761" s="1" t="s">
        <v>16</v>
      </c>
      <c r="F761" s="1" t="s">
        <v>39</v>
      </c>
      <c r="G761" s="1" t="s">
        <v>36</v>
      </c>
      <c r="H761" s="1">
        <v>14694</v>
      </c>
      <c r="I761" s="1"/>
      <c r="J761" s="1"/>
      <c r="K761" s="1">
        <v>14000</v>
      </c>
      <c r="L761" s="2">
        <v>45325</v>
      </c>
      <c r="M761" s="11">
        <f>IF(OR(I761="",ISNA(MATCH(I761,{"DISC10","DISC15","DISC20","DISC30"},0))),0,J761)</f>
        <v>0</v>
      </c>
    </row>
    <row r="762" spans="1:13" x14ac:dyDescent="0.35">
      <c r="A762" s="1" t="s">
        <v>996</v>
      </c>
      <c r="B762" s="1" t="s">
        <v>233</v>
      </c>
      <c r="C762" s="1" t="s">
        <v>30</v>
      </c>
      <c r="D762" s="1" t="s">
        <v>31</v>
      </c>
      <c r="E762" s="1" t="s">
        <v>32</v>
      </c>
      <c r="F762" s="1" t="s">
        <v>17</v>
      </c>
      <c r="G762" s="1" t="s">
        <v>18</v>
      </c>
      <c r="H762" s="1">
        <v>17481</v>
      </c>
      <c r="I762" s="1" t="s">
        <v>22</v>
      </c>
      <c r="J762" s="1">
        <v>0.1</v>
      </c>
      <c r="K762" s="1">
        <v>17000</v>
      </c>
      <c r="L762" s="2">
        <v>45292</v>
      </c>
      <c r="M762" s="11">
        <f>IF(OR(I762="",ISNA(MATCH(I762,{"DISC10","DISC15","DISC20","DISC30"},0))),0,J762)</f>
        <v>0.1</v>
      </c>
    </row>
    <row r="763" spans="1:13" x14ac:dyDescent="0.35">
      <c r="A763" s="1" t="s">
        <v>997</v>
      </c>
      <c r="B763" s="1" t="s">
        <v>553</v>
      </c>
      <c r="C763" s="1" t="s">
        <v>61</v>
      </c>
      <c r="D763" s="1" t="s">
        <v>62</v>
      </c>
      <c r="E763" s="1" t="s">
        <v>32</v>
      </c>
      <c r="F763" s="1" t="s">
        <v>17</v>
      </c>
      <c r="G763" s="1" t="s">
        <v>26</v>
      </c>
      <c r="H763" s="1">
        <v>7248</v>
      </c>
      <c r="I763" s="1" t="s">
        <v>33</v>
      </c>
      <c r="J763" s="1">
        <v>0.3</v>
      </c>
      <c r="K763" s="1">
        <v>9000</v>
      </c>
      <c r="L763" s="2">
        <v>45327</v>
      </c>
      <c r="M763" s="11">
        <f>IF(OR(I763="",ISNA(MATCH(I763,{"DISC10","DISC15","DISC20","DISC30"},0))),0,J763)</f>
        <v>0.3</v>
      </c>
    </row>
    <row r="764" spans="1:13" x14ac:dyDescent="0.35">
      <c r="A764" s="1" t="s">
        <v>998</v>
      </c>
      <c r="B764" s="1" t="s">
        <v>127</v>
      </c>
      <c r="C764" s="1" t="s">
        <v>30</v>
      </c>
      <c r="D764" s="1" t="s">
        <v>31</v>
      </c>
      <c r="E764" s="1" t="s">
        <v>16</v>
      </c>
      <c r="F764" s="1" t="s">
        <v>25</v>
      </c>
      <c r="G764" s="1" t="s">
        <v>26</v>
      </c>
      <c r="H764" s="1">
        <v>16088</v>
      </c>
      <c r="I764" s="1" t="s">
        <v>27</v>
      </c>
      <c r="J764" s="1"/>
      <c r="K764" s="1">
        <v>17000</v>
      </c>
      <c r="L764" s="2">
        <v>45294</v>
      </c>
      <c r="M764" s="11">
        <f>IF(OR(I764="",ISNA(MATCH(I764,{"DISC10","DISC15","DISC20","DISC30"},0))),0,J764)</f>
        <v>0</v>
      </c>
    </row>
    <row r="765" spans="1:13" x14ac:dyDescent="0.35">
      <c r="A765" s="1" t="s">
        <v>999</v>
      </c>
      <c r="B765" s="1" t="s">
        <v>1000</v>
      </c>
      <c r="C765" s="1" t="s">
        <v>30</v>
      </c>
      <c r="D765" s="1" t="s">
        <v>31</v>
      </c>
      <c r="E765" s="1" t="s">
        <v>32</v>
      </c>
      <c r="F765" s="1" t="s">
        <v>25</v>
      </c>
      <c r="G765" s="1" t="s">
        <v>26</v>
      </c>
      <c r="H765" s="1">
        <v>15397</v>
      </c>
      <c r="I765" s="1" t="s">
        <v>22</v>
      </c>
      <c r="J765" s="1">
        <v>0.1</v>
      </c>
      <c r="K765" s="1">
        <v>17000</v>
      </c>
      <c r="L765" s="2">
        <v>45338</v>
      </c>
      <c r="M765" s="11">
        <f>IF(OR(I765="",ISNA(MATCH(I765,{"DISC10","DISC15","DISC20","DISC30"},0))),0,J765)</f>
        <v>0.1</v>
      </c>
    </row>
    <row r="766" spans="1:13" x14ac:dyDescent="0.35">
      <c r="A766" s="1" t="s">
        <v>1001</v>
      </c>
      <c r="B766" s="1" t="s">
        <v>24</v>
      </c>
      <c r="C766" s="1" t="s">
        <v>61</v>
      </c>
      <c r="D766" s="1" t="s">
        <v>62</v>
      </c>
      <c r="E766" s="1" t="s">
        <v>32</v>
      </c>
      <c r="F766" s="1" t="s">
        <v>25</v>
      </c>
      <c r="G766" s="1" t="s">
        <v>26</v>
      </c>
      <c r="H766" s="1">
        <v>9690</v>
      </c>
      <c r="I766" s="1" t="s">
        <v>19</v>
      </c>
      <c r="J766" s="1">
        <v>0.2</v>
      </c>
      <c r="K766" s="1">
        <v>9000</v>
      </c>
      <c r="L766" s="2">
        <v>45328</v>
      </c>
      <c r="M766" s="11">
        <f>IF(OR(I766="",ISNA(MATCH(I766,{"DISC10","DISC15","DISC20","DISC30"},0))),0,J766)</f>
        <v>0.2</v>
      </c>
    </row>
    <row r="767" spans="1:13" x14ac:dyDescent="0.35">
      <c r="A767" s="1" t="s">
        <v>1002</v>
      </c>
      <c r="B767" s="1" t="s">
        <v>422</v>
      </c>
      <c r="C767" s="1" t="s">
        <v>61</v>
      </c>
      <c r="D767" s="1" t="s">
        <v>62</v>
      </c>
      <c r="E767" s="1" t="s">
        <v>16</v>
      </c>
      <c r="F767" s="1" t="s">
        <v>25</v>
      </c>
      <c r="G767" s="1" t="s">
        <v>26</v>
      </c>
      <c r="H767" s="1">
        <v>9361</v>
      </c>
      <c r="I767" s="1" t="s">
        <v>33</v>
      </c>
      <c r="J767" s="1">
        <v>0.3</v>
      </c>
      <c r="K767" s="1">
        <v>9000</v>
      </c>
      <c r="L767" s="2">
        <v>45335</v>
      </c>
      <c r="M767" s="11">
        <f>IF(OR(I767="",ISNA(MATCH(I767,{"DISC10","DISC15","DISC20","DISC30"},0))),0,J767)</f>
        <v>0.3</v>
      </c>
    </row>
    <row r="768" spans="1:13" x14ac:dyDescent="0.35">
      <c r="A768" s="1" t="s">
        <v>1003</v>
      </c>
      <c r="B768" s="1" t="s">
        <v>483</v>
      </c>
      <c r="C768" s="1" t="s">
        <v>61</v>
      </c>
      <c r="D768" s="1" t="s">
        <v>62</v>
      </c>
      <c r="E768" s="1" t="s">
        <v>32</v>
      </c>
      <c r="F768" s="1" t="s">
        <v>25</v>
      </c>
      <c r="G768" s="1" t="s">
        <v>18</v>
      </c>
      <c r="H768" s="1">
        <v>9252</v>
      </c>
      <c r="I768" s="1"/>
      <c r="J768" s="1"/>
      <c r="K768" s="1">
        <v>9000</v>
      </c>
      <c r="L768" s="2">
        <v>45324</v>
      </c>
      <c r="M768" s="11">
        <f>IF(OR(I768="",ISNA(MATCH(I768,{"DISC10","DISC15","DISC20","DISC30"},0))),0,J768)</f>
        <v>0</v>
      </c>
    </row>
    <row r="769" spans="1:13" x14ac:dyDescent="0.35">
      <c r="A769" s="1" t="s">
        <v>1004</v>
      </c>
      <c r="B769" s="1" t="s">
        <v>150</v>
      </c>
      <c r="C769" s="1" t="s">
        <v>44</v>
      </c>
      <c r="D769" s="1" t="s">
        <v>45</v>
      </c>
      <c r="E769" s="1" t="s">
        <v>16</v>
      </c>
      <c r="F769" s="1" t="s">
        <v>39</v>
      </c>
      <c r="G769" s="1" t="s">
        <v>36</v>
      </c>
      <c r="H769" s="1">
        <v>14823</v>
      </c>
      <c r="I769" s="1" t="s">
        <v>33</v>
      </c>
      <c r="J769" s="1">
        <v>0.3</v>
      </c>
      <c r="K769" s="1">
        <v>13000</v>
      </c>
      <c r="L769" s="2">
        <v>45349</v>
      </c>
      <c r="M769" s="11">
        <f>IF(OR(I769="",ISNA(MATCH(I769,{"DISC10","DISC15","DISC20","DISC30"},0))),0,J769)</f>
        <v>0.3</v>
      </c>
    </row>
    <row r="770" spans="1:13" x14ac:dyDescent="0.35">
      <c r="A770" s="1" t="s">
        <v>1005</v>
      </c>
      <c r="B770" s="1" t="s">
        <v>301</v>
      </c>
      <c r="C770" s="1" t="s">
        <v>30</v>
      </c>
      <c r="D770" s="1" t="s">
        <v>31</v>
      </c>
      <c r="E770" s="1" t="s">
        <v>46</v>
      </c>
      <c r="F770" s="1" t="s">
        <v>17</v>
      </c>
      <c r="G770" s="1" t="s">
        <v>26</v>
      </c>
      <c r="H770" s="1">
        <v>16763</v>
      </c>
      <c r="I770" s="1" t="s">
        <v>33</v>
      </c>
      <c r="J770" s="1">
        <v>0.3</v>
      </c>
      <c r="K770" s="1">
        <v>17000</v>
      </c>
      <c r="L770" s="2">
        <v>45330</v>
      </c>
      <c r="M770" s="11">
        <f>IF(OR(I770="",ISNA(MATCH(I770,{"DISC10","DISC15","DISC20","DISC30"},0))),0,J770)</f>
        <v>0.3</v>
      </c>
    </row>
    <row r="771" spans="1:13" x14ac:dyDescent="0.35">
      <c r="A771" s="1" t="s">
        <v>1006</v>
      </c>
      <c r="B771" s="1" t="s">
        <v>56</v>
      </c>
      <c r="C771" s="1" t="s">
        <v>44</v>
      </c>
      <c r="D771" s="1" t="s">
        <v>45</v>
      </c>
      <c r="E771" s="1" t="s">
        <v>46</v>
      </c>
      <c r="F771" s="1" t="s">
        <v>39</v>
      </c>
      <c r="G771" s="1" t="s">
        <v>26</v>
      </c>
      <c r="H771" s="1">
        <v>12040</v>
      </c>
      <c r="I771" s="1" t="s">
        <v>33</v>
      </c>
      <c r="J771" s="1">
        <v>0.3</v>
      </c>
      <c r="K771" s="1">
        <v>13000</v>
      </c>
      <c r="L771" s="2">
        <v>45320</v>
      </c>
      <c r="M771" s="11">
        <f>IF(OR(I771="",ISNA(MATCH(I771,{"DISC10","DISC15","DISC20","DISC30"},0))),0,J771)</f>
        <v>0.3</v>
      </c>
    </row>
    <row r="772" spans="1:13" x14ac:dyDescent="0.35">
      <c r="A772" s="1" t="s">
        <v>1007</v>
      </c>
      <c r="B772" s="1" t="s">
        <v>52</v>
      </c>
      <c r="C772" s="1" t="s">
        <v>14</v>
      </c>
      <c r="D772" s="1" t="s">
        <v>15</v>
      </c>
      <c r="E772" s="1" t="s">
        <v>16</v>
      </c>
      <c r="F772" s="1" t="s">
        <v>25</v>
      </c>
      <c r="G772" s="1" t="s">
        <v>36</v>
      </c>
      <c r="H772" s="1">
        <v>14440</v>
      </c>
      <c r="I772" s="1" t="s">
        <v>22</v>
      </c>
      <c r="J772" s="1">
        <v>0.1</v>
      </c>
      <c r="K772" s="1">
        <v>14000</v>
      </c>
      <c r="L772" s="2">
        <v>45325</v>
      </c>
      <c r="M772" s="11">
        <f>IF(OR(I772="",ISNA(MATCH(I772,{"DISC10","DISC15","DISC20","DISC30"},0))),0,J772)</f>
        <v>0.1</v>
      </c>
    </row>
    <row r="773" spans="1:13" x14ac:dyDescent="0.35">
      <c r="A773" s="1" t="s">
        <v>1008</v>
      </c>
      <c r="B773" s="1" t="s">
        <v>256</v>
      </c>
      <c r="C773" s="1" t="s">
        <v>14</v>
      </c>
      <c r="D773" s="1" t="s">
        <v>15</v>
      </c>
      <c r="E773" s="1" t="s">
        <v>46</v>
      </c>
      <c r="F773" s="1" t="s">
        <v>25</v>
      </c>
      <c r="G773" s="1" t="s">
        <v>18</v>
      </c>
      <c r="H773" s="1">
        <v>15505</v>
      </c>
      <c r="I773" s="1" t="s">
        <v>33</v>
      </c>
      <c r="J773" s="1">
        <v>0.3</v>
      </c>
      <c r="K773" s="1">
        <v>14000</v>
      </c>
      <c r="L773" s="2">
        <v>45293</v>
      </c>
      <c r="M773" s="11">
        <f>IF(OR(I773="",ISNA(MATCH(I773,{"DISC10","DISC15","DISC20","DISC30"},0))),0,J773)</f>
        <v>0.3</v>
      </c>
    </row>
    <row r="774" spans="1:13" x14ac:dyDescent="0.35">
      <c r="A774" s="1" t="s">
        <v>1009</v>
      </c>
      <c r="B774" s="1" t="s">
        <v>140</v>
      </c>
      <c r="C774" s="1" t="s">
        <v>30</v>
      </c>
      <c r="D774" s="1" t="s">
        <v>31</v>
      </c>
      <c r="E774" s="1" t="s">
        <v>16</v>
      </c>
      <c r="F774" s="1" t="s">
        <v>39</v>
      </c>
      <c r="G774" s="1" t="s">
        <v>26</v>
      </c>
      <c r="H774" s="1">
        <v>17337</v>
      </c>
      <c r="I774" s="1" t="s">
        <v>27</v>
      </c>
      <c r="J774" s="1"/>
      <c r="K774" s="1">
        <v>17000</v>
      </c>
      <c r="L774" s="2">
        <v>45301</v>
      </c>
      <c r="M774" s="11">
        <f>IF(OR(I774="",ISNA(MATCH(I774,{"DISC10","DISC15","DISC20","DISC30"},0))),0,J774)</f>
        <v>0</v>
      </c>
    </row>
    <row r="775" spans="1:13" x14ac:dyDescent="0.35">
      <c r="A775" s="1" t="s">
        <v>1010</v>
      </c>
      <c r="B775" s="1" t="s">
        <v>43</v>
      </c>
      <c r="C775" s="1" t="s">
        <v>61</v>
      </c>
      <c r="D775" s="1" t="s">
        <v>62</v>
      </c>
      <c r="E775" s="1" t="s">
        <v>46</v>
      </c>
      <c r="F775" s="1" t="s">
        <v>25</v>
      </c>
      <c r="G775" s="1" t="s">
        <v>18</v>
      </c>
      <c r="H775" s="1">
        <v>8085</v>
      </c>
      <c r="I775" s="1" t="s">
        <v>33</v>
      </c>
      <c r="J775" s="1">
        <v>0.3</v>
      </c>
      <c r="K775" s="1">
        <v>9000</v>
      </c>
      <c r="L775" s="2">
        <v>45348</v>
      </c>
      <c r="M775" s="11">
        <f>IF(OR(I775="",ISNA(MATCH(I775,{"DISC10","DISC15","DISC20","DISC30"},0))),0,J775)</f>
        <v>0.3</v>
      </c>
    </row>
    <row r="776" spans="1:13" x14ac:dyDescent="0.35">
      <c r="A776" s="1" t="s">
        <v>1011</v>
      </c>
      <c r="B776" s="1" t="s">
        <v>519</v>
      </c>
      <c r="C776" s="1" t="s">
        <v>44</v>
      </c>
      <c r="D776" s="1" t="s">
        <v>45</v>
      </c>
      <c r="E776" s="1" t="s">
        <v>46</v>
      </c>
      <c r="F776" s="1" t="s">
        <v>17</v>
      </c>
      <c r="G776" s="1" t="s">
        <v>18</v>
      </c>
      <c r="H776" s="1">
        <v>13336</v>
      </c>
      <c r="I776" s="1"/>
      <c r="J776" s="1"/>
      <c r="K776" s="1">
        <v>13000</v>
      </c>
      <c r="L776" s="2">
        <v>45328</v>
      </c>
      <c r="M776" s="11">
        <f>IF(OR(I776="",ISNA(MATCH(I776,{"DISC10","DISC15","DISC20","DISC30"},0))),0,J776)</f>
        <v>0</v>
      </c>
    </row>
    <row r="777" spans="1:13" x14ac:dyDescent="0.35">
      <c r="A777" s="1" t="s">
        <v>1012</v>
      </c>
      <c r="B777" s="1" t="s">
        <v>553</v>
      </c>
      <c r="C777" s="1" t="s">
        <v>14</v>
      </c>
      <c r="D777" s="1" t="s">
        <v>15</v>
      </c>
      <c r="E777" s="1" t="s">
        <v>16</v>
      </c>
      <c r="F777" s="1" t="s">
        <v>17</v>
      </c>
      <c r="G777" s="1" t="s">
        <v>36</v>
      </c>
      <c r="H777" s="1">
        <v>12708</v>
      </c>
      <c r="I777" s="1"/>
      <c r="J777" s="1"/>
      <c r="K777" s="1">
        <v>14000</v>
      </c>
      <c r="L777" s="2">
        <v>45344</v>
      </c>
      <c r="M777" s="11">
        <f>IF(OR(I777="",ISNA(MATCH(I777,{"DISC10","DISC15","DISC20","DISC30"},0))),0,J777)</f>
        <v>0</v>
      </c>
    </row>
    <row r="778" spans="1:13" x14ac:dyDescent="0.35">
      <c r="A778" s="1" t="s">
        <v>1013</v>
      </c>
      <c r="B778" s="1" t="s">
        <v>260</v>
      </c>
      <c r="C778" s="1" t="s">
        <v>14</v>
      </c>
      <c r="D778" s="1" t="s">
        <v>15</v>
      </c>
      <c r="E778" s="1" t="s">
        <v>16</v>
      </c>
      <c r="F778" s="1" t="s">
        <v>39</v>
      </c>
      <c r="G778" s="1" t="s">
        <v>36</v>
      </c>
      <c r="H778" s="1">
        <v>12153</v>
      </c>
      <c r="I778" s="1" t="s">
        <v>27</v>
      </c>
      <c r="J778" s="1"/>
      <c r="K778" s="1">
        <v>14000</v>
      </c>
      <c r="L778" s="2">
        <v>45316</v>
      </c>
      <c r="M778" s="11">
        <f>IF(OR(I778="",ISNA(MATCH(I778,{"DISC10","DISC15","DISC20","DISC30"},0))),0,J778)</f>
        <v>0</v>
      </c>
    </row>
    <row r="779" spans="1:13" x14ac:dyDescent="0.35">
      <c r="A779" s="1" t="s">
        <v>1014</v>
      </c>
      <c r="B779" s="1" t="s">
        <v>200</v>
      </c>
      <c r="C779" s="1" t="s">
        <v>14</v>
      </c>
      <c r="D779" s="1" t="s">
        <v>15</v>
      </c>
      <c r="E779" s="1" t="s">
        <v>46</v>
      </c>
      <c r="F779" s="1" t="s">
        <v>17</v>
      </c>
      <c r="G779" s="1" t="s">
        <v>36</v>
      </c>
      <c r="H779" s="1">
        <v>13706</v>
      </c>
      <c r="I779" s="1" t="s">
        <v>22</v>
      </c>
      <c r="J779" s="1">
        <v>0.1</v>
      </c>
      <c r="K779" s="1">
        <v>14000</v>
      </c>
      <c r="L779" s="2">
        <v>45347</v>
      </c>
      <c r="M779" s="11">
        <f>IF(OR(I779="",ISNA(MATCH(I779,{"DISC10","DISC15","DISC20","DISC30"},0))),0,J779)</f>
        <v>0.1</v>
      </c>
    </row>
    <row r="780" spans="1:13" x14ac:dyDescent="0.35">
      <c r="A780" s="1" t="s">
        <v>1015</v>
      </c>
      <c r="B780" s="1" t="s">
        <v>294</v>
      </c>
      <c r="C780" s="1" t="s">
        <v>14</v>
      </c>
      <c r="D780" s="1" t="s">
        <v>15</v>
      </c>
      <c r="E780" s="1" t="s">
        <v>16</v>
      </c>
      <c r="F780" s="1" t="s">
        <v>39</v>
      </c>
      <c r="G780" s="1" t="s">
        <v>36</v>
      </c>
      <c r="H780" s="1">
        <v>12221</v>
      </c>
      <c r="I780" s="1" t="s">
        <v>33</v>
      </c>
      <c r="J780" s="1">
        <v>0.3</v>
      </c>
      <c r="K780" s="1">
        <v>14000</v>
      </c>
      <c r="L780" s="2">
        <v>45325</v>
      </c>
      <c r="M780" s="11">
        <f>IF(OR(I780="",ISNA(MATCH(I780,{"DISC10","DISC15","DISC20","DISC30"},0))),0,J780)</f>
        <v>0.3</v>
      </c>
    </row>
    <row r="781" spans="1:13" x14ac:dyDescent="0.35">
      <c r="A781" s="1" t="s">
        <v>1016</v>
      </c>
      <c r="B781" s="1" t="s">
        <v>125</v>
      </c>
      <c r="C781" s="1" t="s">
        <v>44</v>
      </c>
      <c r="D781" s="1" t="s">
        <v>45</v>
      </c>
      <c r="E781" s="1" t="s">
        <v>46</v>
      </c>
      <c r="F781" s="1" t="s">
        <v>39</v>
      </c>
      <c r="G781" s="1" t="s">
        <v>26</v>
      </c>
      <c r="H781" s="1">
        <v>11904</v>
      </c>
      <c r="I781" s="1" t="s">
        <v>19</v>
      </c>
      <c r="J781" s="1">
        <v>0.2</v>
      </c>
      <c r="K781" s="1">
        <v>13000</v>
      </c>
      <c r="L781" s="2">
        <v>45295</v>
      </c>
      <c r="M781" s="11">
        <f>IF(OR(I781="",ISNA(MATCH(I781,{"DISC10","DISC15","DISC20","DISC30"},0))),0,J781)</f>
        <v>0.2</v>
      </c>
    </row>
    <row r="782" spans="1:13" x14ac:dyDescent="0.35">
      <c r="A782" s="1" t="s">
        <v>1017</v>
      </c>
      <c r="B782" s="1" t="s">
        <v>305</v>
      </c>
      <c r="C782" s="1" t="s">
        <v>61</v>
      </c>
      <c r="D782" s="1" t="s">
        <v>62</v>
      </c>
      <c r="E782" s="1" t="s">
        <v>46</v>
      </c>
      <c r="F782" s="1" t="s">
        <v>39</v>
      </c>
      <c r="G782" s="1" t="s">
        <v>26</v>
      </c>
      <c r="H782" s="1">
        <v>9067</v>
      </c>
      <c r="I782" s="1" t="s">
        <v>22</v>
      </c>
      <c r="J782" s="1">
        <v>0.1</v>
      </c>
      <c r="K782" s="1">
        <v>9000</v>
      </c>
      <c r="L782" s="2">
        <v>45306</v>
      </c>
      <c r="M782" s="11">
        <f>IF(OR(I782="",ISNA(MATCH(I782,{"DISC10","DISC15","DISC20","DISC30"},0))),0,J782)</f>
        <v>0.1</v>
      </c>
    </row>
    <row r="783" spans="1:13" x14ac:dyDescent="0.35">
      <c r="A783" s="1" t="s">
        <v>1018</v>
      </c>
      <c r="B783" s="1" t="s">
        <v>435</v>
      </c>
      <c r="C783" s="1" t="s">
        <v>61</v>
      </c>
      <c r="D783" s="1" t="s">
        <v>62</v>
      </c>
      <c r="E783" s="1" t="s">
        <v>32</v>
      </c>
      <c r="F783" s="1" t="s">
        <v>25</v>
      </c>
      <c r="G783" s="1" t="s">
        <v>36</v>
      </c>
      <c r="H783" s="1">
        <v>7338</v>
      </c>
      <c r="I783" s="1"/>
      <c r="J783" s="1"/>
      <c r="K783" s="1">
        <v>9000</v>
      </c>
      <c r="L783" s="2">
        <v>45328</v>
      </c>
      <c r="M783" s="11">
        <f>IF(OR(I783="",ISNA(MATCH(I783,{"DISC10","DISC15","DISC20","DISC30"},0))),0,J783)</f>
        <v>0</v>
      </c>
    </row>
    <row r="784" spans="1:13" x14ac:dyDescent="0.35">
      <c r="A784" s="1" t="s">
        <v>1019</v>
      </c>
      <c r="B784" s="1" t="s">
        <v>464</v>
      </c>
      <c r="C784" s="1" t="s">
        <v>61</v>
      </c>
      <c r="D784" s="1" t="s">
        <v>62</v>
      </c>
      <c r="E784" s="1" t="s">
        <v>46</v>
      </c>
      <c r="F784" s="1" t="s">
        <v>25</v>
      </c>
      <c r="G784" s="1" t="s">
        <v>36</v>
      </c>
      <c r="H784" s="1">
        <v>9055</v>
      </c>
      <c r="I784" s="1"/>
      <c r="J784" s="1"/>
      <c r="K784" s="1">
        <v>9000</v>
      </c>
      <c r="L784" s="2">
        <v>45341</v>
      </c>
      <c r="M784" s="11">
        <f>IF(OR(I784="",ISNA(MATCH(I784,{"DISC10","DISC15","DISC20","DISC30"},0))),0,J784)</f>
        <v>0</v>
      </c>
    </row>
    <row r="785" spans="1:13" x14ac:dyDescent="0.35">
      <c r="A785" s="1" t="s">
        <v>1020</v>
      </c>
      <c r="B785" s="1" t="s">
        <v>153</v>
      </c>
      <c r="C785" s="1" t="s">
        <v>44</v>
      </c>
      <c r="D785" s="1" t="s">
        <v>45</v>
      </c>
      <c r="E785" s="1" t="s">
        <v>46</v>
      </c>
      <c r="F785" s="1" t="s">
        <v>39</v>
      </c>
      <c r="G785" s="1" t="s">
        <v>18</v>
      </c>
      <c r="H785" s="1">
        <v>12998</v>
      </c>
      <c r="I785" s="1"/>
      <c r="J785" s="1"/>
      <c r="K785" s="1">
        <v>13000</v>
      </c>
      <c r="L785" s="2">
        <v>45333</v>
      </c>
      <c r="M785" s="11">
        <f>IF(OR(I785="",ISNA(MATCH(I785,{"DISC10","DISC15","DISC20","DISC30"},0))),0,J785)</f>
        <v>0</v>
      </c>
    </row>
    <row r="786" spans="1:13" x14ac:dyDescent="0.35">
      <c r="A786" s="1" t="s">
        <v>1021</v>
      </c>
      <c r="B786" s="1" t="s">
        <v>519</v>
      </c>
      <c r="C786" s="1" t="s">
        <v>44</v>
      </c>
      <c r="D786" s="1" t="s">
        <v>45</v>
      </c>
      <c r="E786" s="1" t="s">
        <v>32</v>
      </c>
      <c r="F786" s="1" t="s">
        <v>25</v>
      </c>
      <c r="G786" s="1" t="s">
        <v>36</v>
      </c>
      <c r="H786" s="1">
        <v>14181</v>
      </c>
      <c r="I786" s="1"/>
      <c r="J786" s="1"/>
      <c r="K786" s="1">
        <v>13000</v>
      </c>
      <c r="L786" s="2">
        <v>45312</v>
      </c>
      <c r="M786" s="11">
        <f>IF(OR(I786="",ISNA(MATCH(I786,{"DISC10","DISC15","DISC20","DISC30"},0))),0,J786)</f>
        <v>0</v>
      </c>
    </row>
    <row r="787" spans="1:13" x14ac:dyDescent="0.35">
      <c r="A787" s="1" t="s">
        <v>1022</v>
      </c>
      <c r="B787" s="1" t="s">
        <v>163</v>
      </c>
      <c r="C787" s="1" t="s">
        <v>14</v>
      </c>
      <c r="D787" s="1" t="s">
        <v>15</v>
      </c>
      <c r="E787" s="1" t="s">
        <v>32</v>
      </c>
      <c r="F787" s="1" t="s">
        <v>39</v>
      </c>
      <c r="G787" s="1" t="s">
        <v>36</v>
      </c>
      <c r="H787" s="1">
        <v>13734</v>
      </c>
      <c r="I787" s="1" t="s">
        <v>33</v>
      </c>
      <c r="J787" s="1">
        <v>0.3</v>
      </c>
      <c r="K787" s="1">
        <v>14000</v>
      </c>
      <c r="L787" s="2">
        <v>45314</v>
      </c>
      <c r="M787" s="11">
        <f>IF(OR(I787="",ISNA(MATCH(I787,{"DISC10","DISC15","DISC20","DISC30"},0))),0,J787)</f>
        <v>0.3</v>
      </c>
    </row>
    <row r="788" spans="1:13" x14ac:dyDescent="0.35">
      <c r="A788" s="1" t="s">
        <v>1023</v>
      </c>
      <c r="B788" s="1" t="s">
        <v>391</v>
      </c>
      <c r="C788" s="1" t="s">
        <v>30</v>
      </c>
      <c r="D788" s="1" t="s">
        <v>31</v>
      </c>
      <c r="E788" s="1" t="s">
        <v>16</v>
      </c>
      <c r="F788" s="1" t="s">
        <v>39</v>
      </c>
      <c r="G788" s="1" t="s">
        <v>18</v>
      </c>
      <c r="H788" s="1">
        <v>18152</v>
      </c>
      <c r="I788" s="1" t="s">
        <v>33</v>
      </c>
      <c r="J788" s="1">
        <v>0.3</v>
      </c>
      <c r="K788" s="1">
        <v>17000</v>
      </c>
      <c r="L788" s="2">
        <v>45302</v>
      </c>
      <c r="M788" s="11">
        <f>IF(OR(I788="",ISNA(MATCH(I788,{"DISC10","DISC15","DISC20","DISC30"},0))),0,J788)</f>
        <v>0.3</v>
      </c>
    </row>
    <row r="789" spans="1:13" x14ac:dyDescent="0.35">
      <c r="A789" s="1" t="s">
        <v>1024</v>
      </c>
      <c r="B789" s="1" t="s">
        <v>38</v>
      </c>
      <c r="C789" s="1" t="s">
        <v>61</v>
      </c>
      <c r="D789" s="1" t="s">
        <v>62</v>
      </c>
      <c r="E789" s="1" t="s">
        <v>16</v>
      </c>
      <c r="F789" s="1" t="s">
        <v>25</v>
      </c>
      <c r="G789" s="1" t="s">
        <v>36</v>
      </c>
      <c r="H789" s="1">
        <v>7183</v>
      </c>
      <c r="I789" s="1" t="s">
        <v>19</v>
      </c>
      <c r="J789" s="1">
        <v>0.2</v>
      </c>
      <c r="K789" s="1">
        <v>9000</v>
      </c>
      <c r="L789" s="2">
        <v>45304</v>
      </c>
      <c r="M789" s="11">
        <f>IF(OR(I789="",ISNA(MATCH(I789,{"DISC10","DISC15","DISC20","DISC30"},0))),0,J789)</f>
        <v>0.2</v>
      </c>
    </row>
    <row r="790" spans="1:13" x14ac:dyDescent="0.35">
      <c r="A790" s="1" t="s">
        <v>1025</v>
      </c>
      <c r="B790" s="1" t="s">
        <v>317</v>
      </c>
      <c r="C790" s="1" t="s">
        <v>44</v>
      </c>
      <c r="D790" s="1" t="s">
        <v>45</v>
      </c>
      <c r="E790" s="1" t="s">
        <v>16</v>
      </c>
      <c r="F790" s="1" t="s">
        <v>25</v>
      </c>
      <c r="G790" s="1" t="s">
        <v>18</v>
      </c>
      <c r="H790" s="1">
        <v>14029</v>
      </c>
      <c r="I790" s="1" t="s">
        <v>22</v>
      </c>
      <c r="J790" s="1">
        <v>0.1</v>
      </c>
      <c r="K790" s="1">
        <v>13000</v>
      </c>
      <c r="L790" s="2">
        <v>45307</v>
      </c>
      <c r="M790" s="11">
        <f>IF(OR(I790="",ISNA(MATCH(I790,{"DISC10","DISC15","DISC20","DISC30"},0))),0,J790)</f>
        <v>0.1</v>
      </c>
    </row>
    <row r="791" spans="1:13" x14ac:dyDescent="0.35">
      <c r="A791" s="1" t="s">
        <v>1026</v>
      </c>
      <c r="B791" s="1" t="s">
        <v>373</v>
      </c>
      <c r="C791" s="1" t="s">
        <v>30</v>
      </c>
      <c r="D791" s="1" t="s">
        <v>31</v>
      </c>
      <c r="E791" s="1" t="s">
        <v>32</v>
      </c>
      <c r="F791" s="1" t="s">
        <v>17</v>
      </c>
      <c r="G791" s="1" t="s">
        <v>26</v>
      </c>
      <c r="H791" s="1">
        <v>18294</v>
      </c>
      <c r="I791" s="1" t="s">
        <v>22</v>
      </c>
      <c r="J791" s="1">
        <v>0.1</v>
      </c>
      <c r="K791" s="1">
        <v>17000</v>
      </c>
      <c r="L791" s="2">
        <v>45311</v>
      </c>
      <c r="M791" s="11">
        <f>IF(OR(I791="",ISNA(MATCH(I791,{"DISC10","DISC15","DISC20","DISC30"},0))),0,J791)</f>
        <v>0.1</v>
      </c>
    </row>
    <row r="792" spans="1:13" x14ac:dyDescent="0.35">
      <c r="A792" s="1" t="s">
        <v>1027</v>
      </c>
      <c r="B792" s="1" t="s">
        <v>231</v>
      </c>
      <c r="C792" s="1" t="s">
        <v>14</v>
      </c>
      <c r="D792" s="1" t="s">
        <v>15</v>
      </c>
      <c r="E792" s="1" t="s">
        <v>46</v>
      </c>
      <c r="F792" s="1" t="s">
        <v>25</v>
      </c>
      <c r="G792" s="1" t="s">
        <v>26</v>
      </c>
      <c r="H792" s="1">
        <v>14203</v>
      </c>
      <c r="I792" s="1" t="s">
        <v>19</v>
      </c>
      <c r="J792" s="1">
        <v>0.2</v>
      </c>
      <c r="K792" s="1">
        <v>14000</v>
      </c>
      <c r="L792" s="2">
        <v>45305</v>
      </c>
      <c r="M792" s="11">
        <f>IF(OR(I792="",ISNA(MATCH(I792,{"DISC10","DISC15","DISC20","DISC30"},0))),0,J792)</f>
        <v>0.2</v>
      </c>
    </row>
    <row r="793" spans="1:13" x14ac:dyDescent="0.35">
      <c r="A793" s="1" t="s">
        <v>1028</v>
      </c>
      <c r="B793" s="1" t="s">
        <v>168</v>
      </c>
      <c r="C793" s="1" t="s">
        <v>30</v>
      </c>
      <c r="D793" s="1" t="s">
        <v>31</v>
      </c>
      <c r="E793" s="1" t="s">
        <v>16</v>
      </c>
      <c r="F793" s="1" t="s">
        <v>17</v>
      </c>
      <c r="G793" s="1" t="s">
        <v>26</v>
      </c>
      <c r="H793" s="1">
        <v>17989</v>
      </c>
      <c r="I793" s="1" t="s">
        <v>19</v>
      </c>
      <c r="J793" s="1">
        <v>0.2</v>
      </c>
      <c r="K793" s="1">
        <v>17000</v>
      </c>
      <c r="L793" s="2">
        <v>45336</v>
      </c>
      <c r="M793" s="11">
        <f>IF(OR(I793="",ISNA(MATCH(I793,{"DISC10","DISC15","DISC20","DISC30"},0))),0,J793)</f>
        <v>0.2</v>
      </c>
    </row>
    <row r="794" spans="1:13" x14ac:dyDescent="0.35">
      <c r="A794" s="1" t="s">
        <v>1029</v>
      </c>
      <c r="B794" s="1" t="s">
        <v>765</v>
      </c>
      <c r="C794" s="1" t="s">
        <v>14</v>
      </c>
      <c r="D794" s="1" t="s">
        <v>15</v>
      </c>
      <c r="E794" s="1" t="s">
        <v>46</v>
      </c>
      <c r="F794" s="1" t="s">
        <v>39</v>
      </c>
      <c r="G794" s="1" t="s">
        <v>26</v>
      </c>
      <c r="H794" s="1">
        <v>14157</v>
      </c>
      <c r="I794" s="1" t="s">
        <v>22</v>
      </c>
      <c r="J794" s="1">
        <v>0.1</v>
      </c>
      <c r="K794" s="1">
        <v>14000</v>
      </c>
      <c r="L794" s="2">
        <v>45308</v>
      </c>
      <c r="M794" s="11">
        <f>IF(OR(I794="",ISNA(MATCH(I794,{"DISC10","DISC15","DISC20","DISC30"},0))),0,J794)</f>
        <v>0.1</v>
      </c>
    </row>
    <row r="795" spans="1:13" x14ac:dyDescent="0.35">
      <c r="A795" s="1" t="s">
        <v>1030</v>
      </c>
      <c r="B795" s="1" t="s">
        <v>557</v>
      </c>
      <c r="C795" s="1" t="s">
        <v>30</v>
      </c>
      <c r="D795" s="1" t="s">
        <v>31</v>
      </c>
      <c r="E795" s="1" t="s">
        <v>32</v>
      </c>
      <c r="F795" s="1" t="s">
        <v>39</v>
      </c>
      <c r="G795" s="1" t="s">
        <v>26</v>
      </c>
      <c r="H795" s="1">
        <v>16111</v>
      </c>
      <c r="I795" s="1" t="s">
        <v>22</v>
      </c>
      <c r="J795" s="1">
        <v>0.1</v>
      </c>
      <c r="K795" s="1">
        <v>17000</v>
      </c>
      <c r="L795" s="2">
        <v>45321</v>
      </c>
      <c r="M795" s="11">
        <f>IF(OR(I795="",ISNA(MATCH(I795,{"DISC10","DISC15","DISC20","DISC30"},0))),0,J795)</f>
        <v>0.1</v>
      </c>
    </row>
    <row r="796" spans="1:13" x14ac:dyDescent="0.35">
      <c r="A796" s="1" t="s">
        <v>1031</v>
      </c>
      <c r="B796" s="1" t="s">
        <v>1032</v>
      </c>
      <c r="C796" s="1" t="s">
        <v>14</v>
      </c>
      <c r="D796" s="1" t="s">
        <v>15</v>
      </c>
      <c r="E796" s="1" t="s">
        <v>46</v>
      </c>
      <c r="F796" s="1" t="s">
        <v>39</v>
      </c>
      <c r="G796" s="1" t="s">
        <v>36</v>
      </c>
      <c r="H796" s="1">
        <v>14715</v>
      </c>
      <c r="I796" s="1" t="s">
        <v>33</v>
      </c>
      <c r="J796" s="1">
        <v>0.3</v>
      </c>
      <c r="K796" s="1">
        <v>14000</v>
      </c>
      <c r="L796" s="2">
        <v>45347</v>
      </c>
      <c r="M796" s="11">
        <f>IF(OR(I796="",ISNA(MATCH(I796,{"DISC10","DISC15","DISC20","DISC30"},0))),0,J796)</f>
        <v>0.3</v>
      </c>
    </row>
    <row r="797" spans="1:13" x14ac:dyDescent="0.35">
      <c r="A797" s="1" t="s">
        <v>1033</v>
      </c>
      <c r="B797" s="1" t="s">
        <v>43</v>
      </c>
      <c r="C797" s="1" t="s">
        <v>30</v>
      </c>
      <c r="D797" s="1" t="s">
        <v>31</v>
      </c>
      <c r="E797" s="1" t="s">
        <v>16</v>
      </c>
      <c r="F797" s="1" t="s">
        <v>17</v>
      </c>
      <c r="G797" s="1" t="s">
        <v>18</v>
      </c>
      <c r="H797" s="1">
        <v>16559</v>
      </c>
      <c r="I797" s="1" t="s">
        <v>27</v>
      </c>
      <c r="J797" s="1"/>
      <c r="K797" s="1">
        <v>17000</v>
      </c>
      <c r="L797" s="2">
        <v>45337</v>
      </c>
      <c r="M797" s="11">
        <f>IF(OR(I797="",ISNA(MATCH(I797,{"DISC10","DISC15","DISC20","DISC30"},0))),0,J797)</f>
        <v>0</v>
      </c>
    </row>
    <row r="798" spans="1:13" x14ac:dyDescent="0.35">
      <c r="A798" s="1" t="s">
        <v>1034</v>
      </c>
      <c r="B798" s="1" t="s">
        <v>432</v>
      </c>
      <c r="C798" s="1" t="s">
        <v>61</v>
      </c>
      <c r="D798" s="1" t="s">
        <v>62</v>
      </c>
      <c r="E798" s="1" t="s">
        <v>16</v>
      </c>
      <c r="F798" s="1" t="s">
        <v>39</v>
      </c>
      <c r="G798" s="1" t="s">
        <v>18</v>
      </c>
      <c r="H798" s="1">
        <v>7763</v>
      </c>
      <c r="I798" s="1" t="s">
        <v>19</v>
      </c>
      <c r="J798" s="1">
        <v>0.2</v>
      </c>
      <c r="K798" s="1">
        <v>9000</v>
      </c>
      <c r="L798" s="2">
        <v>45324</v>
      </c>
      <c r="M798" s="11">
        <f>IF(OR(I798="",ISNA(MATCH(I798,{"DISC10","DISC15","DISC20","DISC30"},0))),0,J798)</f>
        <v>0.2</v>
      </c>
    </row>
    <row r="799" spans="1:13" x14ac:dyDescent="0.35">
      <c r="A799" s="1" t="s">
        <v>1035</v>
      </c>
      <c r="B799" s="1" t="s">
        <v>330</v>
      </c>
      <c r="C799" s="1" t="s">
        <v>14</v>
      </c>
      <c r="D799" s="1" t="s">
        <v>15</v>
      </c>
      <c r="E799" s="1" t="s">
        <v>32</v>
      </c>
      <c r="F799" s="1" t="s">
        <v>25</v>
      </c>
      <c r="G799" s="1" t="s">
        <v>26</v>
      </c>
      <c r="H799" s="1">
        <v>13248</v>
      </c>
      <c r="I799" s="1" t="s">
        <v>33</v>
      </c>
      <c r="J799" s="1">
        <v>0.3</v>
      </c>
      <c r="K799" s="1">
        <v>14000</v>
      </c>
      <c r="L799" s="2">
        <v>45323</v>
      </c>
      <c r="M799" s="11">
        <f>IF(OR(I799="",ISNA(MATCH(I799,{"DISC10","DISC15","DISC20","DISC30"},0))),0,J799)</f>
        <v>0.3</v>
      </c>
    </row>
    <row r="800" spans="1:13" x14ac:dyDescent="0.35">
      <c r="A800" s="1" t="s">
        <v>1036</v>
      </c>
      <c r="B800" s="1" t="s">
        <v>101</v>
      </c>
      <c r="C800" s="1" t="s">
        <v>44</v>
      </c>
      <c r="D800" s="1" t="s">
        <v>45</v>
      </c>
      <c r="E800" s="1" t="s">
        <v>32</v>
      </c>
      <c r="F800" s="1" t="s">
        <v>17</v>
      </c>
      <c r="G800" s="1" t="s">
        <v>26</v>
      </c>
      <c r="H800" s="1">
        <v>12441</v>
      </c>
      <c r="I800" s="1" t="s">
        <v>33</v>
      </c>
      <c r="J800" s="1">
        <v>0.3</v>
      </c>
      <c r="K800" s="1">
        <v>13000</v>
      </c>
      <c r="L800" s="2">
        <v>45332</v>
      </c>
      <c r="M800" s="11">
        <f>IF(OR(I800="",ISNA(MATCH(I800,{"DISC10","DISC15","DISC20","DISC30"},0))),0,J800)</f>
        <v>0.3</v>
      </c>
    </row>
    <row r="801" spans="1:13" x14ac:dyDescent="0.35">
      <c r="A801" s="1" t="s">
        <v>1037</v>
      </c>
      <c r="B801" s="1" t="s">
        <v>289</v>
      </c>
      <c r="C801" s="1" t="s">
        <v>30</v>
      </c>
      <c r="D801" s="1" t="s">
        <v>31</v>
      </c>
      <c r="E801" s="1" t="s">
        <v>32</v>
      </c>
      <c r="F801" s="1" t="s">
        <v>39</v>
      </c>
      <c r="G801" s="1" t="s">
        <v>36</v>
      </c>
      <c r="H801" s="1">
        <v>18599</v>
      </c>
      <c r="I801" s="1"/>
      <c r="J801" s="1"/>
      <c r="K801" s="1">
        <v>17000</v>
      </c>
      <c r="L801" s="2">
        <v>45348</v>
      </c>
      <c r="M801" s="11">
        <f>IF(OR(I801="",ISNA(MATCH(I801,{"DISC10","DISC15","DISC20","DISC30"},0))),0,J801)</f>
        <v>0</v>
      </c>
    </row>
    <row r="802" spans="1:13" x14ac:dyDescent="0.35">
      <c r="A802" s="1" t="s">
        <v>1038</v>
      </c>
      <c r="B802" s="1" t="s">
        <v>676</v>
      </c>
      <c r="C802" s="1" t="s">
        <v>30</v>
      </c>
      <c r="D802" s="1" t="s">
        <v>31</v>
      </c>
      <c r="E802" s="1" t="s">
        <v>32</v>
      </c>
      <c r="F802" s="1" t="s">
        <v>25</v>
      </c>
      <c r="G802" s="1" t="s">
        <v>36</v>
      </c>
      <c r="H802" s="1">
        <v>18674</v>
      </c>
      <c r="I802" s="1"/>
      <c r="J802" s="1"/>
      <c r="K802" s="1">
        <v>17000</v>
      </c>
      <c r="L802" s="2">
        <v>45334</v>
      </c>
      <c r="M802" s="11">
        <f>IF(OR(I802="",ISNA(MATCH(I802,{"DISC10","DISC15","DISC20","DISC30"},0))),0,J802)</f>
        <v>0</v>
      </c>
    </row>
    <row r="803" spans="1:13" x14ac:dyDescent="0.35">
      <c r="A803" s="1" t="s">
        <v>1039</v>
      </c>
      <c r="B803" s="1" t="s">
        <v>325</v>
      </c>
      <c r="C803" s="1" t="s">
        <v>61</v>
      </c>
      <c r="D803" s="1" t="s">
        <v>62</v>
      </c>
      <c r="E803" s="1" t="s">
        <v>16</v>
      </c>
      <c r="F803" s="1" t="s">
        <v>39</v>
      </c>
      <c r="G803" s="1" t="s">
        <v>26</v>
      </c>
      <c r="H803" s="1">
        <v>10574</v>
      </c>
      <c r="I803" s="1" t="s">
        <v>19</v>
      </c>
      <c r="J803" s="1">
        <v>0.2</v>
      </c>
      <c r="K803" s="1">
        <v>9000</v>
      </c>
      <c r="L803" s="2">
        <v>45318</v>
      </c>
      <c r="M803" s="11">
        <f>IF(OR(I803="",ISNA(MATCH(I803,{"DISC10","DISC15","DISC20","DISC30"},0))),0,J803)</f>
        <v>0.2</v>
      </c>
    </row>
    <row r="804" spans="1:13" x14ac:dyDescent="0.35">
      <c r="A804" s="1" t="s">
        <v>1040</v>
      </c>
      <c r="B804" s="1" t="s">
        <v>56</v>
      </c>
      <c r="C804" s="1" t="s">
        <v>44</v>
      </c>
      <c r="D804" s="1" t="s">
        <v>45</v>
      </c>
      <c r="E804" s="1" t="s">
        <v>46</v>
      </c>
      <c r="F804" s="1" t="s">
        <v>17</v>
      </c>
      <c r="G804" s="1" t="s">
        <v>26</v>
      </c>
      <c r="H804" s="1">
        <v>12348</v>
      </c>
      <c r="I804" s="1"/>
      <c r="J804" s="1"/>
      <c r="K804" s="1">
        <v>13000</v>
      </c>
      <c r="L804" s="2">
        <v>45326</v>
      </c>
      <c r="M804" s="11">
        <f>IF(OR(I804="",ISNA(MATCH(I804,{"DISC10","DISC15","DISC20","DISC30"},0))),0,J804)</f>
        <v>0</v>
      </c>
    </row>
    <row r="805" spans="1:13" x14ac:dyDescent="0.35">
      <c r="A805" s="1" t="s">
        <v>1041</v>
      </c>
      <c r="B805" s="1" t="s">
        <v>35</v>
      </c>
      <c r="C805" s="1" t="s">
        <v>44</v>
      </c>
      <c r="D805" s="1" t="s">
        <v>45</v>
      </c>
      <c r="E805" s="1" t="s">
        <v>16</v>
      </c>
      <c r="F805" s="1" t="s">
        <v>39</v>
      </c>
      <c r="G805" s="1" t="s">
        <v>26</v>
      </c>
      <c r="H805" s="1">
        <v>14277</v>
      </c>
      <c r="I805" s="1" t="s">
        <v>19</v>
      </c>
      <c r="J805" s="1">
        <v>0.2</v>
      </c>
      <c r="K805" s="1">
        <v>13000</v>
      </c>
      <c r="L805" s="2">
        <v>45347</v>
      </c>
      <c r="M805" s="11">
        <f>IF(OR(I805="",ISNA(MATCH(I805,{"DISC10","DISC15","DISC20","DISC30"},0))),0,J805)</f>
        <v>0.2</v>
      </c>
    </row>
    <row r="806" spans="1:13" x14ac:dyDescent="0.35">
      <c r="A806" s="1" t="s">
        <v>1042</v>
      </c>
      <c r="B806" s="1" t="s">
        <v>256</v>
      </c>
      <c r="C806" s="1" t="s">
        <v>44</v>
      </c>
      <c r="D806" s="1" t="s">
        <v>45</v>
      </c>
      <c r="E806" s="1" t="s">
        <v>46</v>
      </c>
      <c r="F806" s="1" t="s">
        <v>25</v>
      </c>
      <c r="G806" s="1" t="s">
        <v>26</v>
      </c>
      <c r="H806" s="1">
        <v>14821</v>
      </c>
      <c r="I806" s="1" t="s">
        <v>27</v>
      </c>
      <c r="J806" s="1"/>
      <c r="K806" s="1">
        <v>13000</v>
      </c>
      <c r="L806" s="2">
        <v>45350</v>
      </c>
      <c r="M806" s="11">
        <f>IF(OR(I806="",ISNA(MATCH(I806,{"DISC10","DISC15","DISC20","DISC30"},0))),0,J806)</f>
        <v>0</v>
      </c>
    </row>
    <row r="807" spans="1:13" x14ac:dyDescent="0.35">
      <c r="A807" s="1" t="s">
        <v>1043</v>
      </c>
      <c r="B807" s="1" t="s">
        <v>74</v>
      </c>
      <c r="C807" s="1" t="s">
        <v>14</v>
      </c>
      <c r="D807" s="1" t="s">
        <v>15</v>
      </c>
      <c r="E807" s="1" t="s">
        <v>16</v>
      </c>
      <c r="F807" s="1" t="s">
        <v>39</v>
      </c>
      <c r="G807" s="1" t="s">
        <v>26</v>
      </c>
      <c r="H807" s="1">
        <v>12484</v>
      </c>
      <c r="I807" s="1" t="s">
        <v>19</v>
      </c>
      <c r="J807" s="1">
        <v>0.2</v>
      </c>
      <c r="K807" s="1">
        <v>14000</v>
      </c>
      <c r="L807" s="2">
        <v>45312</v>
      </c>
      <c r="M807" s="11">
        <f>IF(OR(I807="",ISNA(MATCH(I807,{"DISC10","DISC15","DISC20","DISC30"},0))),0,J807)</f>
        <v>0.2</v>
      </c>
    </row>
    <row r="808" spans="1:13" x14ac:dyDescent="0.35">
      <c r="A808" s="1" t="s">
        <v>1044</v>
      </c>
      <c r="B808" s="1" t="s">
        <v>412</v>
      </c>
      <c r="C808" s="1" t="s">
        <v>14</v>
      </c>
      <c r="D808" s="1" t="s">
        <v>15</v>
      </c>
      <c r="E808" s="1" t="s">
        <v>46</v>
      </c>
      <c r="F808" s="1" t="s">
        <v>17</v>
      </c>
      <c r="G808" s="1" t="s">
        <v>36</v>
      </c>
      <c r="H808" s="1">
        <v>13242</v>
      </c>
      <c r="I808" s="1"/>
      <c r="J808" s="1"/>
      <c r="K808" s="1">
        <v>14000</v>
      </c>
      <c r="L808" s="2">
        <v>45339</v>
      </c>
      <c r="M808" s="11">
        <f>IF(OR(I808="",ISNA(MATCH(I808,{"DISC10","DISC15","DISC20","DISC30"},0))),0,J808)</f>
        <v>0</v>
      </c>
    </row>
    <row r="809" spans="1:13" x14ac:dyDescent="0.35">
      <c r="A809" s="1" t="s">
        <v>1045</v>
      </c>
      <c r="B809" s="1" t="s">
        <v>454</v>
      </c>
      <c r="C809" s="1" t="s">
        <v>30</v>
      </c>
      <c r="D809" s="1" t="s">
        <v>31</v>
      </c>
      <c r="E809" s="1" t="s">
        <v>32</v>
      </c>
      <c r="F809" s="1" t="s">
        <v>25</v>
      </c>
      <c r="G809" s="1" t="s">
        <v>18</v>
      </c>
      <c r="H809" s="1">
        <v>15538</v>
      </c>
      <c r="I809" s="1" t="s">
        <v>19</v>
      </c>
      <c r="J809" s="1">
        <v>0.2</v>
      </c>
      <c r="K809" s="1">
        <v>17000</v>
      </c>
      <c r="L809" s="2">
        <v>45293</v>
      </c>
      <c r="M809" s="11">
        <f>IF(OR(I809="",ISNA(MATCH(I809,{"DISC10","DISC15","DISC20","DISC30"},0))),0,J809)</f>
        <v>0.2</v>
      </c>
    </row>
    <row r="810" spans="1:13" x14ac:dyDescent="0.35">
      <c r="A810" s="1" t="s">
        <v>1046</v>
      </c>
      <c r="B810" s="1" t="s">
        <v>522</v>
      </c>
      <c r="C810" s="1" t="s">
        <v>30</v>
      </c>
      <c r="D810" s="1" t="s">
        <v>31</v>
      </c>
      <c r="E810" s="1" t="s">
        <v>16</v>
      </c>
      <c r="F810" s="1" t="s">
        <v>39</v>
      </c>
      <c r="G810" s="1" t="s">
        <v>26</v>
      </c>
      <c r="H810" s="1">
        <v>15945</v>
      </c>
      <c r="I810" s="1" t="s">
        <v>27</v>
      </c>
      <c r="J810" s="1"/>
      <c r="K810" s="1">
        <v>17000</v>
      </c>
      <c r="L810" s="2">
        <v>45306</v>
      </c>
      <c r="M810" s="11">
        <f>IF(OR(I810="",ISNA(MATCH(I810,{"DISC10","DISC15","DISC20","DISC30"},0))),0,J810)</f>
        <v>0</v>
      </c>
    </row>
    <row r="811" spans="1:13" x14ac:dyDescent="0.35">
      <c r="A811" s="1" t="s">
        <v>1047</v>
      </c>
      <c r="B811" s="1" t="s">
        <v>817</v>
      </c>
      <c r="C811" s="1" t="s">
        <v>14</v>
      </c>
      <c r="D811" s="1" t="s">
        <v>15</v>
      </c>
      <c r="E811" s="1" t="s">
        <v>46</v>
      </c>
      <c r="F811" s="1" t="s">
        <v>25</v>
      </c>
      <c r="G811" s="1" t="s">
        <v>26</v>
      </c>
      <c r="H811" s="1">
        <v>15194</v>
      </c>
      <c r="I811" s="1"/>
      <c r="J811" s="1"/>
      <c r="K811" s="1">
        <v>14000</v>
      </c>
      <c r="L811" s="2">
        <v>45300</v>
      </c>
      <c r="M811" s="11">
        <f>IF(OR(I811="",ISNA(MATCH(I811,{"DISC10","DISC15","DISC20","DISC30"},0))),0,J811)</f>
        <v>0</v>
      </c>
    </row>
    <row r="812" spans="1:13" x14ac:dyDescent="0.35">
      <c r="A812" s="1" t="s">
        <v>1048</v>
      </c>
      <c r="B812" s="1" t="s">
        <v>105</v>
      </c>
      <c r="C812" s="1" t="s">
        <v>61</v>
      </c>
      <c r="D812" s="1" t="s">
        <v>62</v>
      </c>
      <c r="E812" s="1" t="s">
        <v>16</v>
      </c>
      <c r="F812" s="1" t="s">
        <v>39</v>
      </c>
      <c r="G812" s="1" t="s">
        <v>36</v>
      </c>
      <c r="H812" s="1">
        <v>7753</v>
      </c>
      <c r="I812" s="1"/>
      <c r="J812" s="1"/>
      <c r="K812" s="1">
        <v>9000</v>
      </c>
      <c r="L812" s="2">
        <v>45323</v>
      </c>
      <c r="M812" s="11">
        <f>IF(OR(I812="",ISNA(MATCH(I812,{"DISC10","DISC15","DISC20","DISC30"},0))),0,J812)</f>
        <v>0</v>
      </c>
    </row>
    <row r="813" spans="1:13" x14ac:dyDescent="0.35">
      <c r="A813" s="1" t="s">
        <v>1049</v>
      </c>
      <c r="B813" s="1" t="s">
        <v>508</v>
      </c>
      <c r="C813" s="1" t="s">
        <v>44</v>
      </c>
      <c r="D813" s="1" t="s">
        <v>45</v>
      </c>
      <c r="E813" s="1" t="s">
        <v>32</v>
      </c>
      <c r="F813" s="1" t="s">
        <v>25</v>
      </c>
      <c r="G813" s="1" t="s">
        <v>18</v>
      </c>
      <c r="H813" s="1">
        <v>12673</v>
      </c>
      <c r="I813" s="1" t="s">
        <v>22</v>
      </c>
      <c r="J813" s="1">
        <v>0.1</v>
      </c>
      <c r="K813" s="1">
        <v>13000</v>
      </c>
      <c r="L813" s="2">
        <v>45351</v>
      </c>
      <c r="M813" s="11">
        <f>IF(OR(I813="",ISNA(MATCH(I813,{"DISC10","DISC15","DISC20","DISC30"},0))),0,J813)</f>
        <v>0.1</v>
      </c>
    </row>
    <row r="814" spans="1:13" x14ac:dyDescent="0.35">
      <c r="A814" s="1" t="s">
        <v>1050</v>
      </c>
      <c r="B814" s="1" t="s">
        <v>70</v>
      </c>
      <c r="C814" s="1" t="s">
        <v>44</v>
      </c>
      <c r="D814" s="1" t="s">
        <v>45</v>
      </c>
      <c r="E814" s="1" t="s">
        <v>16</v>
      </c>
      <c r="F814" s="1" t="s">
        <v>39</v>
      </c>
      <c r="G814" s="1" t="s">
        <v>18</v>
      </c>
      <c r="H814" s="1">
        <v>14103</v>
      </c>
      <c r="I814" s="1" t="s">
        <v>19</v>
      </c>
      <c r="J814" s="1">
        <v>0.2</v>
      </c>
      <c r="K814" s="1">
        <v>13000</v>
      </c>
      <c r="L814" s="2">
        <v>45296</v>
      </c>
      <c r="M814" s="11">
        <f>IF(OR(I814="",ISNA(MATCH(I814,{"DISC10","DISC15","DISC20","DISC30"},0))),0,J814)</f>
        <v>0.2</v>
      </c>
    </row>
    <row r="815" spans="1:13" x14ac:dyDescent="0.35">
      <c r="A815" s="1" t="s">
        <v>1051</v>
      </c>
      <c r="B815" s="1" t="s">
        <v>429</v>
      </c>
      <c r="C815" s="1" t="s">
        <v>61</v>
      </c>
      <c r="D815" s="1" t="s">
        <v>62</v>
      </c>
      <c r="E815" s="1" t="s">
        <v>16</v>
      </c>
      <c r="F815" s="1" t="s">
        <v>17</v>
      </c>
      <c r="G815" s="1" t="s">
        <v>36</v>
      </c>
      <c r="H815" s="1">
        <v>10635</v>
      </c>
      <c r="I815" s="1" t="s">
        <v>19</v>
      </c>
      <c r="J815" s="1">
        <v>0.2</v>
      </c>
      <c r="K815" s="1">
        <v>9000</v>
      </c>
      <c r="L815" s="2">
        <v>45319</v>
      </c>
      <c r="M815" s="11">
        <f>IF(OR(I815="",ISNA(MATCH(I815,{"DISC10","DISC15","DISC20","DISC30"},0))),0,J815)</f>
        <v>0.2</v>
      </c>
    </row>
    <row r="816" spans="1:13" x14ac:dyDescent="0.35">
      <c r="A816" s="1" t="s">
        <v>1052</v>
      </c>
      <c r="B816" s="1" t="s">
        <v>155</v>
      </c>
      <c r="C816" s="1" t="s">
        <v>14</v>
      </c>
      <c r="D816" s="1" t="s">
        <v>15</v>
      </c>
      <c r="E816" s="1" t="s">
        <v>16</v>
      </c>
      <c r="F816" s="1" t="s">
        <v>39</v>
      </c>
      <c r="G816" s="1" t="s">
        <v>36</v>
      </c>
      <c r="H816" s="1">
        <v>14949</v>
      </c>
      <c r="I816" s="1" t="s">
        <v>33</v>
      </c>
      <c r="J816" s="1">
        <v>0.3</v>
      </c>
      <c r="K816" s="1">
        <v>14000</v>
      </c>
      <c r="L816" s="2">
        <v>45317</v>
      </c>
      <c r="M816" s="11">
        <f>IF(OR(I816="",ISNA(MATCH(I816,{"DISC10","DISC15","DISC20","DISC30"},0))),0,J816)</f>
        <v>0.3</v>
      </c>
    </row>
    <row r="817" spans="1:13" x14ac:dyDescent="0.35">
      <c r="A817" s="1" t="s">
        <v>1053</v>
      </c>
      <c r="B817" s="1" t="s">
        <v>233</v>
      </c>
      <c r="C817" s="1" t="s">
        <v>14</v>
      </c>
      <c r="D817" s="1" t="s">
        <v>15</v>
      </c>
      <c r="E817" s="1" t="s">
        <v>16</v>
      </c>
      <c r="F817" s="1" t="s">
        <v>25</v>
      </c>
      <c r="G817" s="1" t="s">
        <v>36</v>
      </c>
      <c r="H817" s="1">
        <v>13871</v>
      </c>
      <c r="I817" s="1" t="s">
        <v>22</v>
      </c>
      <c r="J817" s="1">
        <v>0.1</v>
      </c>
      <c r="K817" s="1">
        <v>14000</v>
      </c>
      <c r="L817" s="2">
        <v>45348</v>
      </c>
      <c r="M817" s="11">
        <f>IF(OR(I817="",ISNA(MATCH(I817,{"DISC10","DISC15","DISC20","DISC30"},0))),0,J817)</f>
        <v>0.1</v>
      </c>
    </row>
    <row r="818" spans="1:13" x14ac:dyDescent="0.35">
      <c r="A818" s="1" t="s">
        <v>1054</v>
      </c>
      <c r="B818" s="1" t="s">
        <v>24</v>
      </c>
      <c r="C818" s="1" t="s">
        <v>61</v>
      </c>
      <c r="D818" s="1" t="s">
        <v>62</v>
      </c>
      <c r="E818" s="1" t="s">
        <v>16</v>
      </c>
      <c r="F818" s="1" t="s">
        <v>25</v>
      </c>
      <c r="G818" s="1" t="s">
        <v>26</v>
      </c>
      <c r="H818" s="1">
        <v>8586</v>
      </c>
      <c r="I818" s="1" t="s">
        <v>27</v>
      </c>
      <c r="J818" s="1"/>
      <c r="K818" s="1">
        <v>9000</v>
      </c>
      <c r="L818" s="2">
        <v>45340</v>
      </c>
      <c r="M818" s="11">
        <f>IF(OR(I818="",ISNA(MATCH(I818,{"DISC10","DISC15","DISC20","DISC30"},0))),0,J818)</f>
        <v>0</v>
      </c>
    </row>
    <row r="819" spans="1:13" x14ac:dyDescent="0.35">
      <c r="A819" s="1" t="s">
        <v>1055</v>
      </c>
      <c r="B819" s="1" t="s">
        <v>1032</v>
      </c>
      <c r="C819" s="1" t="s">
        <v>44</v>
      </c>
      <c r="D819" s="1" t="s">
        <v>45</v>
      </c>
      <c r="E819" s="1" t="s">
        <v>46</v>
      </c>
      <c r="F819" s="1" t="s">
        <v>17</v>
      </c>
      <c r="G819" s="1" t="s">
        <v>36</v>
      </c>
      <c r="H819" s="1">
        <v>14622</v>
      </c>
      <c r="I819" s="1" t="s">
        <v>33</v>
      </c>
      <c r="J819" s="1">
        <v>0.3</v>
      </c>
      <c r="K819" s="1">
        <v>13000</v>
      </c>
      <c r="L819" s="2">
        <v>45341</v>
      </c>
      <c r="M819" s="11">
        <f>IF(OR(I819="",ISNA(MATCH(I819,{"DISC10","DISC15","DISC20","DISC30"},0))),0,J819)</f>
        <v>0.3</v>
      </c>
    </row>
    <row r="820" spans="1:13" x14ac:dyDescent="0.35">
      <c r="A820" s="1" t="s">
        <v>1056</v>
      </c>
      <c r="B820" s="1" t="s">
        <v>643</v>
      </c>
      <c r="C820" s="1" t="s">
        <v>61</v>
      </c>
      <c r="D820" s="1" t="s">
        <v>62</v>
      </c>
      <c r="E820" s="1" t="s">
        <v>32</v>
      </c>
      <c r="F820" s="1" t="s">
        <v>17</v>
      </c>
      <c r="G820" s="1" t="s">
        <v>36</v>
      </c>
      <c r="H820" s="1">
        <v>9511</v>
      </c>
      <c r="I820" s="1" t="s">
        <v>22</v>
      </c>
      <c r="J820" s="1">
        <v>0.1</v>
      </c>
      <c r="K820" s="1">
        <v>9000</v>
      </c>
      <c r="L820" s="2">
        <v>45336</v>
      </c>
      <c r="M820" s="11">
        <f>IF(OR(I820="",ISNA(MATCH(I820,{"DISC10","DISC15","DISC20","DISC30"},0))),0,J820)</f>
        <v>0.1</v>
      </c>
    </row>
    <row r="821" spans="1:13" x14ac:dyDescent="0.35">
      <c r="A821" s="1" t="s">
        <v>1057</v>
      </c>
      <c r="B821" s="1" t="s">
        <v>80</v>
      </c>
      <c r="C821" s="1" t="s">
        <v>61</v>
      </c>
      <c r="D821" s="1" t="s">
        <v>62</v>
      </c>
      <c r="E821" s="1" t="s">
        <v>16</v>
      </c>
      <c r="F821" s="1" t="s">
        <v>17</v>
      </c>
      <c r="G821" s="1" t="s">
        <v>18</v>
      </c>
      <c r="H821" s="1">
        <v>9959</v>
      </c>
      <c r="I821" s="1" t="s">
        <v>27</v>
      </c>
      <c r="J821" s="1"/>
      <c r="K821" s="1">
        <v>9000</v>
      </c>
      <c r="L821" s="2">
        <v>45299</v>
      </c>
      <c r="M821" s="11">
        <f>IF(OR(I821="",ISNA(MATCH(I821,{"DISC10","DISC15","DISC20","DISC30"},0))),0,J821)</f>
        <v>0</v>
      </c>
    </row>
    <row r="822" spans="1:13" x14ac:dyDescent="0.35">
      <c r="A822" s="1" t="s">
        <v>1058</v>
      </c>
      <c r="B822" s="1" t="s">
        <v>135</v>
      </c>
      <c r="C822" s="1" t="s">
        <v>44</v>
      </c>
      <c r="D822" s="1" t="s">
        <v>45</v>
      </c>
      <c r="E822" s="1" t="s">
        <v>46</v>
      </c>
      <c r="F822" s="1" t="s">
        <v>17</v>
      </c>
      <c r="G822" s="1" t="s">
        <v>36</v>
      </c>
      <c r="H822" s="1">
        <v>12846</v>
      </c>
      <c r="I822" s="1" t="s">
        <v>22</v>
      </c>
      <c r="J822" s="1">
        <v>0.1</v>
      </c>
      <c r="K822" s="1">
        <v>13000</v>
      </c>
      <c r="L822" s="2">
        <v>45303</v>
      </c>
      <c r="M822" s="11">
        <f>IF(OR(I822="",ISNA(MATCH(I822,{"DISC10","DISC15","DISC20","DISC30"},0))),0,J822)</f>
        <v>0.1</v>
      </c>
    </row>
    <row r="823" spans="1:13" x14ac:dyDescent="0.35">
      <c r="A823" s="1" t="s">
        <v>1059</v>
      </c>
      <c r="B823" s="1" t="s">
        <v>600</v>
      </c>
      <c r="C823" s="1" t="s">
        <v>44</v>
      </c>
      <c r="D823" s="1" t="s">
        <v>45</v>
      </c>
      <c r="E823" s="1" t="s">
        <v>46</v>
      </c>
      <c r="F823" s="1" t="s">
        <v>25</v>
      </c>
      <c r="G823" s="1" t="s">
        <v>36</v>
      </c>
      <c r="H823" s="1">
        <v>12327</v>
      </c>
      <c r="I823" s="1" t="s">
        <v>19</v>
      </c>
      <c r="J823" s="1">
        <v>0.2</v>
      </c>
      <c r="K823" s="1">
        <v>13000</v>
      </c>
      <c r="L823" s="2">
        <v>45337</v>
      </c>
      <c r="M823" s="11">
        <f>IF(OR(I823="",ISNA(MATCH(I823,{"DISC10","DISC15","DISC20","DISC30"},0))),0,J823)</f>
        <v>0.2</v>
      </c>
    </row>
    <row r="824" spans="1:13" x14ac:dyDescent="0.35">
      <c r="A824" s="1" t="s">
        <v>1060</v>
      </c>
      <c r="B824" s="1" t="s">
        <v>1000</v>
      </c>
      <c r="C824" s="1" t="s">
        <v>14</v>
      </c>
      <c r="D824" s="1" t="s">
        <v>15</v>
      </c>
      <c r="E824" s="1" t="s">
        <v>32</v>
      </c>
      <c r="F824" s="1" t="s">
        <v>39</v>
      </c>
      <c r="G824" s="1" t="s">
        <v>36</v>
      </c>
      <c r="H824" s="1">
        <v>14597</v>
      </c>
      <c r="I824" s="1" t="s">
        <v>33</v>
      </c>
      <c r="J824" s="1">
        <v>0.3</v>
      </c>
      <c r="K824" s="1">
        <v>14000</v>
      </c>
      <c r="L824" s="2">
        <v>45297</v>
      </c>
      <c r="M824" s="11">
        <f>IF(OR(I824="",ISNA(MATCH(I824,{"DISC10","DISC15","DISC20","DISC30"},0))),0,J824)</f>
        <v>0.3</v>
      </c>
    </row>
    <row r="825" spans="1:13" x14ac:dyDescent="0.35">
      <c r="A825" s="1" t="s">
        <v>1061</v>
      </c>
      <c r="B825" s="1" t="s">
        <v>548</v>
      </c>
      <c r="C825" s="1" t="s">
        <v>61</v>
      </c>
      <c r="D825" s="1" t="s">
        <v>62</v>
      </c>
      <c r="E825" s="1" t="s">
        <v>16</v>
      </c>
      <c r="F825" s="1" t="s">
        <v>39</v>
      </c>
      <c r="G825" s="1" t="s">
        <v>26</v>
      </c>
      <c r="H825" s="1">
        <v>10890</v>
      </c>
      <c r="I825" s="1" t="s">
        <v>19</v>
      </c>
      <c r="J825" s="1">
        <v>0.2</v>
      </c>
      <c r="K825" s="1">
        <v>9000</v>
      </c>
      <c r="L825" s="2">
        <v>45316</v>
      </c>
      <c r="M825" s="11">
        <f>IF(OR(I825="",ISNA(MATCH(I825,{"DISC10","DISC15","DISC20","DISC30"},0))),0,J825)</f>
        <v>0.2</v>
      </c>
    </row>
    <row r="826" spans="1:13" x14ac:dyDescent="0.35">
      <c r="A826" s="1" t="s">
        <v>1062</v>
      </c>
      <c r="B826" s="1" t="s">
        <v>388</v>
      </c>
      <c r="C826" s="1" t="s">
        <v>14</v>
      </c>
      <c r="D826" s="1" t="s">
        <v>15</v>
      </c>
      <c r="E826" s="1" t="s">
        <v>32</v>
      </c>
      <c r="F826" s="1" t="s">
        <v>17</v>
      </c>
      <c r="G826" s="1" t="s">
        <v>26</v>
      </c>
      <c r="H826" s="1">
        <v>15568</v>
      </c>
      <c r="I826" s="1" t="s">
        <v>19</v>
      </c>
      <c r="J826" s="1">
        <v>0.2</v>
      </c>
      <c r="K826" s="1">
        <v>14000</v>
      </c>
      <c r="L826" s="2">
        <v>45302</v>
      </c>
      <c r="M826" s="11">
        <f>IF(OR(I826="",ISNA(MATCH(I826,{"DISC10","DISC15","DISC20","DISC30"},0))),0,J826)</f>
        <v>0.2</v>
      </c>
    </row>
    <row r="827" spans="1:13" x14ac:dyDescent="0.35">
      <c r="A827" s="1" t="s">
        <v>1063</v>
      </c>
      <c r="B827" s="1" t="s">
        <v>412</v>
      </c>
      <c r="C827" s="1" t="s">
        <v>44</v>
      </c>
      <c r="D827" s="1" t="s">
        <v>45</v>
      </c>
      <c r="E827" s="1" t="s">
        <v>16</v>
      </c>
      <c r="F827" s="1" t="s">
        <v>25</v>
      </c>
      <c r="G827" s="1" t="s">
        <v>36</v>
      </c>
      <c r="H827" s="1">
        <v>12261</v>
      </c>
      <c r="I827" s="1" t="s">
        <v>33</v>
      </c>
      <c r="J827" s="1">
        <v>0.3</v>
      </c>
      <c r="K827" s="1">
        <v>13000</v>
      </c>
      <c r="L827" s="2">
        <v>45338</v>
      </c>
      <c r="M827" s="11">
        <f>IF(OR(I827="",ISNA(MATCH(I827,{"DISC10","DISC15","DISC20","DISC30"},0))),0,J827)</f>
        <v>0.3</v>
      </c>
    </row>
    <row r="828" spans="1:13" x14ac:dyDescent="0.35">
      <c r="A828" s="1" t="s">
        <v>1064</v>
      </c>
      <c r="B828" s="1" t="s">
        <v>298</v>
      </c>
      <c r="C828" s="1" t="s">
        <v>30</v>
      </c>
      <c r="D828" s="1" t="s">
        <v>31</v>
      </c>
      <c r="E828" s="1" t="s">
        <v>16</v>
      </c>
      <c r="F828" s="1" t="s">
        <v>25</v>
      </c>
      <c r="G828" s="1" t="s">
        <v>18</v>
      </c>
      <c r="H828" s="1">
        <v>18680</v>
      </c>
      <c r="I828" s="1" t="s">
        <v>19</v>
      </c>
      <c r="J828" s="1">
        <v>0.2</v>
      </c>
      <c r="K828" s="1">
        <v>17000</v>
      </c>
      <c r="L828" s="2">
        <v>45304</v>
      </c>
      <c r="M828" s="11">
        <f>IF(OR(I828="",ISNA(MATCH(I828,{"DISC10","DISC15","DISC20","DISC30"},0))),0,J828)</f>
        <v>0.2</v>
      </c>
    </row>
    <row r="829" spans="1:13" x14ac:dyDescent="0.35">
      <c r="A829" s="1" t="s">
        <v>1065</v>
      </c>
      <c r="B829" s="1" t="s">
        <v>109</v>
      </c>
      <c r="C829" s="1" t="s">
        <v>30</v>
      </c>
      <c r="D829" s="1" t="s">
        <v>31</v>
      </c>
      <c r="E829" s="1" t="s">
        <v>32</v>
      </c>
      <c r="F829" s="1" t="s">
        <v>17</v>
      </c>
      <c r="G829" s="1" t="s">
        <v>36</v>
      </c>
      <c r="H829" s="1">
        <v>18503</v>
      </c>
      <c r="I829" s="1"/>
      <c r="J829" s="1"/>
      <c r="K829" s="1">
        <v>17000</v>
      </c>
      <c r="L829" s="2">
        <v>45326</v>
      </c>
      <c r="M829" s="11">
        <f>IF(OR(I829="",ISNA(MATCH(I829,{"DISC10","DISC15","DISC20","DISC30"},0))),0,J829)</f>
        <v>0</v>
      </c>
    </row>
    <row r="830" spans="1:13" x14ac:dyDescent="0.35">
      <c r="A830" s="1" t="s">
        <v>1066</v>
      </c>
      <c r="B830" s="1" t="s">
        <v>64</v>
      </c>
      <c r="C830" s="1" t="s">
        <v>61</v>
      </c>
      <c r="D830" s="1" t="s">
        <v>62</v>
      </c>
      <c r="E830" s="1" t="s">
        <v>32</v>
      </c>
      <c r="F830" s="1" t="s">
        <v>25</v>
      </c>
      <c r="G830" s="1" t="s">
        <v>26</v>
      </c>
      <c r="H830" s="1">
        <v>9701</v>
      </c>
      <c r="I830" s="1"/>
      <c r="J830" s="1"/>
      <c r="K830" s="1">
        <v>9000</v>
      </c>
      <c r="L830" s="2">
        <v>45321</v>
      </c>
      <c r="M830" s="11">
        <f>IF(OR(I830="",ISNA(MATCH(I830,{"DISC10","DISC15","DISC20","DISC30"},0))),0,J830)</f>
        <v>0</v>
      </c>
    </row>
    <row r="831" spans="1:13" x14ac:dyDescent="0.35">
      <c r="A831" s="1" t="s">
        <v>1067</v>
      </c>
      <c r="B831" s="1" t="s">
        <v>527</v>
      </c>
      <c r="C831" s="1" t="s">
        <v>14</v>
      </c>
      <c r="D831" s="1" t="s">
        <v>15</v>
      </c>
      <c r="E831" s="1" t="s">
        <v>16</v>
      </c>
      <c r="F831" s="1" t="s">
        <v>39</v>
      </c>
      <c r="G831" s="1" t="s">
        <v>18</v>
      </c>
      <c r="H831" s="1">
        <v>13002</v>
      </c>
      <c r="I831" s="1" t="s">
        <v>27</v>
      </c>
      <c r="J831" s="1"/>
      <c r="K831" s="1">
        <v>14000</v>
      </c>
      <c r="L831" s="2">
        <v>45309</v>
      </c>
      <c r="M831" s="11">
        <f>IF(OR(I831="",ISNA(MATCH(I831,{"DISC10","DISC15","DISC20","DISC30"},0))),0,J831)</f>
        <v>0</v>
      </c>
    </row>
    <row r="832" spans="1:13" x14ac:dyDescent="0.35">
      <c r="A832" s="1" t="s">
        <v>1068</v>
      </c>
      <c r="B832" s="1" t="s">
        <v>209</v>
      </c>
      <c r="C832" s="1" t="s">
        <v>44</v>
      </c>
      <c r="D832" s="1" t="s">
        <v>45</v>
      </c>
      <c r="E832" s="1" t="s">
        <v>32</v>
      </c>
      <c r="F832" s="1" t="s">
        <v>25</v>
      </c>
      <c r="G832" s="1" t="s">
        <v>18</v>
      </c>
      <c r="H832" s="1">
        <v>11225</v>
      </c>
      <c r="I832" s="1" t="s">
        <v>33</v>
      </c>
      <c r="J832" s="1">
        <v>0.3</v>
      </c>
      <c r="K832" s="1">
        <v>13000</v>
      </c>
      <c r="L832" s="2">
        <v>45294</v>
      </c>
      <c r="M832" s="11">
        <f>IF(OR(I832="",ISNA(MATCH(I832,{"DISC10","DISC15","DISC20","DISC30"},0))),0,J832)</f>
        <v>0.3</v>
      </c>
    </row>
    <row r="833" spans="1:13" x14ac:dyDescent="0.35">
      <c r="A833" s="1" t="s">
        <v>1069</v>
      </c>
      <c r="B833" s="1" t="s">
        <v>619</v>
      </c>
      <c r="C833" s="1" t="s">
        <v>14</v>
      </c>
      <c r="D833" s="1" t="s">
        <v>15</v>
      </c>
      <c r="E833" s="1" t="s">
        <v>16</v>
      </c>
      <c r="F833" s="1" t="s">
        <v>39</v>
      </c>
      <c r="G833" s="1" t="s">
        <v>26</v>
      </c>
      <c r="H833" s="1">
        <v>13222</v>
      </c>
      <c r="I833" s="1" t="s">
        <v>33</v>
      </c>
      <c r="J833" s="1">
        <v>0.3</v>
      </c>
      <c r="K833" s="1">
        <v>14000</v>
      </c>
      <c r="L833" s="2">
        <v>45350</v>
      </c>
      <c r="M833" s="11">
        <f>IF(OR(I833="",ISNA(MATCH(I833,{"DISC10","DISC15","DISC20","DISC30"},0))),0,J833)</f>
        <v>0.3</v>
      </c>
    </row>
    <row r="834" spans="1:13" x14ac:dyDescent="0.35">
      <c r="A834" s="1" t="s">
        <v>1070</v>
      </c>
      <c r="B834" s="1" t="s">
        <v>43</v>
      </c>
      <c r="C834" s="1" t="s">
        <v>14</v>
      </c>
      <c r="D834" s="1" t="s">
        <v>15</v>
      </c>
      <c r="E834" s="1" t="s">
        <v>46</v>
      </c>
      <c r="F834" s="1" t="s">
        <v>25</v>
      </c>
      <c r="G834" s="1" t="s">
        <v>18</v>
      </c>
      <c r="H834" s="1">
        <v>14752</v>
      </c>
      <c r="I834" s="1" t="s">
        <v>33</v>
      </c>
      <c r="J834" s="1">
        <v>0.3</v>
      </c>
      <c r="K834" s="1">
        <v>14000</v>
      </c>
      <c r="L834" s="2">
        <v>45331</v>
      </c>
      <c r="M834" s="11">
        <f>IF(OR(I834="",ISNA(MATCH(I834,{"DISC10","DISC15","DISC20","DISC30"},0))),0,J834)</f>
        <v>0.3</v>
      </c>
    </row>
    <row r="835" spans="1:13" x14ac:dyDescent="0.35">
      <c r="A835" s="1" t="s">
        <v>1071</v>
      </c>
      <c r="B835" s="1" t="s">
        <v>305</v>
      </c>
      <c r="C835" s="1" t="s">
        <v>44</v>
      </c>
      <c r="D835" s="1" t="s">
        <v>45</v>
      </c>
      <c r="E835" s="1" t="s">
        <v>46</v>
      </c>
      <c r="F835" s="1" t="s">
        <v>39</v>
      </c>
      <c r="G835" s="1" t="s">
        <v>26</v>
      </c>
      <c r="H835" s="1">
        <v>12475</v>
      </c>
      <c r="I835" s="1" t="s">
        <v>22</v>
      </c>
      <c r="J835" s="1">
        <v>0.1</v>
      </c>
      <c r="K835" s="1">
        <v>13000</v>
      </c>
      <c r="L835" s="2">
        <v>45297</v>
      </c>
      <c r="M835" s="11">
        <f>IF(OR(I835="",ISNA(MATCH(I835,{"DISC10","DISC15","DISC20","DISC30"},0))),0,J835)</f>
        <v>0.1</v>
      </c>
    </row>
    <row r="836" spans="1:13" x14ac:dyDescent="0.35">
      <c r="A836" s="1" t="s">
        <v>1072</v>
      </c>
      <c r="B836" s="1" t="s">
        <v>1073</v>
      </c>
      <c r="C836" s="1" t="s">
        <v>30</v>
      </c>
      <c r="D836" s="1" t="s">
        <v>31</v>
      </c>
      <c r="E836" s="1" t="s">
        <v>46</v>
      </c>
      <c r="F836" s="1" t="s">
        <v>17</v>
      </c>
      <c r="G836" s="1" t="s">
        <v>18</v>
      </c>
      <c r="H836" s="1">
        <v>18106</v>
      </c>
      <c r="I836" s="1"/>
      <c r="J836" s="1"/>
      <c r="K836" s="1">
        <v>17000</v>
      </c>
      <c r="L836" s="2">
        <v>45345</v>
      </c>
      <c r="M836" s="11">
        <f>IF(OR(I836="",ISNA(MATCH(I836,{"DISC10","DISC15","DISC20","DISC30"},0))),0,J836)</f>
        <v>0</v>
      </c>
    </row>
    <row r="837" spans="1:13" x14ac:dyDescent="0.35">
      <c r="A837" s="1" t="s">
        <v>1074</v>
      </c>
      <c r="B837" s="1" t="s">
        <v>905</v>
      </c>
      <c r="C837" s="1" t="s">
        <v>30</v>
      </c>
      <c r="D837" s="1" t="s">
        <v>31</v>
      </c>
      <c r="E837" s="1" t="s">
        <v>46</v>
      </c>
      <c r="F837" s="1" t="s">
        <v>25</v>
      </c>
      <c r="G837" s="1" t="s">
        <v>18</v>
      </c>
      <c r="H837" s="1">
        <v>17845</v>
      </c>
      <c r="I837" s="1" t="s">
        <v>33</v>
      </c>
      <c r="J837" s="1">
        <v>0.3</v>
      </c>
      <c r="K837" s="1">
        <v>17000</v>
      </c>
      <c r="L837" s="2">
        <v>45313</v>
      </c>
      <c r="M837" s="11">
        <f>IF(OR(I837="",ISNA(MATCH(I837,{"DISC10","DISC15","DISC20","DISC30"},0))),0,J837)</f>
        <v>0.3</v>
      </c>
    </row>
    <row r="838" spans="1:13" x14ac:dyDescent="0.35">
      <c r="A838" s="1" t="s">
        <v>1075</v>
      </c>
      <c r="B838" s="1" t="s">
        <v>388</v>
      </c>
      <c r="C838" s="1" t="s">
        <v>44</v>
      </c>
      <c r="D838" s="1" t="s">
        <v>45</v>
      </c>
      <c r="E838" s="1" t="s">
        <v>16</v>
      </c>
      <c r="F838" s="1" t="s">
        <v>25</v>
      </c>
      <c r="G838" s="1" t="s">
        <v>26</v>
      </c>
      <c r="H838" s="1">
        <v>11238</v>
      </c>
      <c r="I838" s="1" t="s">
        <v>22</v>
      </c>
      <c r="J838" s="1">
        <v>0.1</v>
      </c>
      <c r="K838" s="1">
        <v>13000</v>
      </c>
      <c r="L838" s="2">
        <v>45328</v>
      </c>
      <c r="M838" s="11">
        <f>IF(OR(I838="",ISNA(MATCH(I838,{"DISC10","DISC15","DISC20","DISC30"},0))),0,J838)</f>
        <v>0.1</v>
      </c>
    </row>
    <row r="839" spans="1:13" x14ac:dyDescent="0.35">
      <c r="A839" s="1" t="s">
        <v>1076</v>
      </c>
      <c r="B839" s="1" t="s">
        <v>765</v>
      </c>
      <c r="C839" s="1" t="s">
        <v>14</v>
      </c>
      <c r="D839" s="1" t="s">
        <v>15</v>
      </c>
      <c r="E839" s="1" t="s">
        <v>46</v>
      </c>
      <c r="F839" s="1" t="s">
        <v>39</v>
      </c>
      <c r="G839" s="1" t="s">
        <v>26</v>
      </c>
      <c r="H839" s="1">
        <v>14477</v>
      </c>
      <c r="I839" s="1" t="s">
        <v>33</v>
      </c>
      <c r="J839" s="1">
        <v>0.3</v>
      </c>
      <c r="K839" s="1">
        <v>14000</v>
      </c>
      <c r="L839" s="2">
        <v>45319</v>
      </c>
      <c r="M839" s="11">
        <f>IF(OR(I839="",ISNA(MATCH(I839,{"DISC10","DISC15","DISC20","DISC30"},0))),0,J839)</f>
        <v>0.3</v>
      </c>
    </row>
    <row r="840" spans="1:13" x14ac:dyDescent="0.35">
      <c r="A840" s="1" t="s">
        <v>1077</v>
      </c>
      <c r="B840" s="1" t="s">
        <v>837</v>
      </c>
      <c r="C840" s="1" t="s">
        <v>30</v>
      </c>
      <c r="D840" s="1" t="s">
        <v>31</v>
      </c>
      <c r="E840" s="1" t="s">
        <v>46</v>
      </c>
      <c r="F840" s="1" t="s">
        <v>39</v>
      </c>
      <c r="G840" s="1" t="s">
        <v>26</v>
      </c>
      <c r="H840" s="1">
        <v>17552</v>
      </c>
      <c r="I840" s="1" t="s">
        <v>33</v>
      </c>
      <c r="J840" s="1">
        <v>0.3</v>
      </c>
      <c r="K840" s="1">
        <v>17000</v>
      </c>
      <c r="L840" s="2">
        <v>45351</v>
      </c>
      <c r="M840" s="11">
        <f>IF(OR(I840="",ISNA(MATCH(I840,{"DISC10","DISC15","DISC20","DISC30"},0))),0,J840)</f>
        <v>0.3</v>
      </c>
    </row>
    <row r="841" spans="1:13" x14ac:dyDescent="0.35">
      <c r="A841" s="1" t="s">
        <v>1078</v>
      </c>
      <c r="B841" s="1" t="s">
        <v>720</v>
      </c>
      <c r="C841" s="1" t="s">
        <v>61</v>
      </c>
      <c r="D841" s="1" t="s">
        <v>62</v>
      </c>
      <c r="E841" s="1" t="s">
        <v>16</v>
      </c>
      <c r="F841" s="1" t="s">
        <v>39</v>
      </c>
      <c r="G841" s="1" t="s">
        <v>26</v>
      </c>
      <c r="H841" s="1">
        <v>9038</v>
      </c>
      <c r="I841" s="1"/>
      <c r="J841" s="1"/>
      <c r="K841" s="1">
        <v>9000</v>
      </c>
      <c r="L841" s="2">
        <v>45343</v>
      </c>
      <c r="M841" s="11">
        <f>IF(OR(I841="",ISNA(MATCH(I841,{"DISC10","DISC15","DISC20","DISC30"},0))),0,J841)</f>
        <v>0</v>
      </c>
    </row>
    <row r="842" spans="1:13" x14ac:dyDescent="0.35">
      <c r="A842" s="1" t="s">
        <v>1079</v>
      </c>
      <c r="B842" s="1" t="s">
        <v>720</v>
      </c>
      <c r="C842" s="1" t="s">
        <v>44</v>
      </c>
      <c r="D842" s="1" t="s">
        <v>45</v>
      </c>
      <c r="E842" s="1" t="s">
        <v>16</v>
      </c>
      <c r="F842" s="1" t="s">
        <v>17</v>
      </c>
      <c r="G842" s="1" t="s">
        <v>18</v>
      </c>
      <c r="H842" s="1">
        <v>11006</v>
      </c>
      <c r="I842" s="1" t="s">
        <v>22</v>
      </c>
      <c r="J842" s="1">
        <v>0.1</v>
      </c>
      <c r="K842" s="1">
        <v>13000</v>
      </c>
      <c r="L842" s="2">
        <v>45293</v>
      </c>
      <c r="M842" s="11">
        <f>IF(OR(I842="",ISNA(MATCH(I842,{"DISC10","DISC15","DISC20","DISC30"},0))),0,J842)</f>
        <v>0.1</v>
      </c>
    </row>
    <row r="843" spans="1:13" x14ac:dyDescent="0.35">
      <c r="A843" s="1" t="s">
        <v>1080</v>
      </c>
      <c r="B843" s="1" t="s">
        <v>332</v>
      </c>
      <c r="C843" s="1" t="s">
        <v>14</v>
      </c>
      <c r="D843" s="1" t="s">
        <v>15</v>
      </c>
      <c r="E843" s="1" t="s">
        <v>16</v>
      </c>
      <c r="F843" s="1" t="s">
        <v>25</v>
      </c>
      <c r="G843" s="1" t="s">
        <v>26</v>
      </c>
      <c r="H843" s="1">
        <v>13698</v>
      </c>
      <c r="I843" s="1"/>
      <c r="J843" s="1"/>
      <c r="K843" s="1">
        <v>14000</v>
      </c>
      <c r="L843" s="2">
        <v>45294</v>
      </c>
      <c r="M843" s="11">
        <f>IF(OR(I843="",ISNA(MATCH(I843,{"DISC10","DISC15","DISC20","DISC30"},0))),0,J843)</f>
        <v>0</v>
      </c>
    </row>
    <row r="844" spans="1:13" x14ac:dyDescent="0.35">
      <c r="A844" s="1" t="s">
        <v>1081</v>
      </c>
      <c r="B844" s="1" t="s">
        <v>282</v>
      </c>
      <c r="C844" s="1" t="s">
        <v>44</v>
      </c>
      <c r="D844" s="1" t="s">
        <v>45</v>
      </c>
      <c r="E844" s="1" t="s">
        <v>32</v>
      </c>
      <c r="F844" s="1" t="s">
        <v>39</v>
      </c>
      <c r="G844" s="1" t="s">
        <v>18</v>
      </c>
      <c r="H844" s="1">
        <v>13826</v>
      </c>
      <c r="I844" s="1" t="s">
        <v>33</v>
      </c>
      <c r="J844" s="1">
        <v>0.3</v>
      </c>
      <c r="K844" s="1">
        <v>13000</v>
      </c>
      <c r="L844" s="2">
        <v>45308</v>
      </c>
      <c r="M844" s="11">
        <f>IF(OR(I844="",ISNA(MATCH(I844,{"DISC10","DISC15","DISC20","DISC30"},0))),0,J844)</f>
        <v>0.3</v>
      </c>
    </row>
    <row r="845" spans="1:13" x14ac:dyDescent="0.35">
      <c r="A845" s="1" t="s">
        <v>1082</v>
      </c>
      <c r="B845" s="1" t="s">
        <v>652</v>
      </c>
      <c r="C845" s="1" t="s">
        <v>30</v>
      </c>
      <c r="D845" s="1" t="s">
        <v>31</v>
      </c>
      <c r="E845" s="1" t="s">
        <v>46</v>
      </c>
      <c r="F845" s="1" t="s">
        <v>39</v>
      </c>
      <c r="G845" s="1" t="s">
        <v>26</v>
      </c>
      <c r="H845" s="1">
        <v>16326</v>
      </c>
      <c r="I845" s="1" t="s">
        <v>22</v>
      </c>
      <c r="J845" s="1">
        <v>0.1</v>
      </c>
      <c r="K845" s="1">
        <v>17000</v>
      </c>
      <c r="L845" s="2">
        <v>45299</v>
      </c>
      <c r="M845" s="11">
        <f>IF(OR(I845="",ISNA(MATCH(I845,{"DISC10","DISC15","DISC20","DISC30"},0))),0,J845)</f>
        <v>0.1</v>
      </c>
    </row>
    <row r="846" spans="1:13" x14ac:dyDescent="0.35">
      <c r="A846" s="1" t="s">
        <v>1083</v>
      </c>
      <c r="B846" s="1" t="s">
        <v>317</v>
      </c>
      <c r="C846" s="1" t="s">
        <v>30</v>
      </c>
      <c r="D846" s="1" t="s">
        <v>31</v>
      </c>
      <c r="E846" s="1" t="s">
        <v>46</v>
      </c>
      <c r="F846" s="1" t="s">
        <v>39</v>
      </c>
      <c r="G846" s="1" t="s">
        <v>26</v>
      </c>
      <c r="H846" s="1">
        <v>17523</v>
      </c>
      <c r="I846" s="1" t="s">
        <v>22</v>
      </c>
      <c r="J846" s="1">
        <v>0.1</v>
      </c>
      <c r="K846" s="1">
        <v>17000</v>
      </c>
      <c r="L846" s="2">
        <v>45345</v>
      </c>
      <c r="M846" s="11">
        <f>IF(OR(I846="",ISNA(MATCH(I846,{"DISC10","DISC15","DISC20","DISC30"},0))),0,J846)</f>
        <v>0.1</v>
      </c>
    </row>
    <row r="847" spans="1:13" x14ac:dyDescent="0.35">
      <c r="A847" s="1" t="s">
        <v>1084</v>
      </c>
      <c r="B847" s="1" t="s">
        <v>35</v>
      </c>
      <c r="C847" s="1" t="s">
        <v>30</v>
      </c>
      <c r="D847" s="1" t="s">
        <v>31</v>
      </c>
      <c r="E847" s="1" t="s">
        <v>46</v>
      </c>
      <c r="F847" s="1" t="s">
        <v>39</v>
      </c>
      <c r="G847" s="1" t="s">
        <v>36</v>
      </c>
      <c r="H847" s="1">
        <v>18752</v>
      </c>
      <c r="I847" s="1"/>
      <c r="J847" s="1"/>
      <c r="K847" s="1">
        <v>17000</v>
      </c>
      <c r="L847" s="2">
        <v>45343</v>
      </c>
      <c r="M847" s="11">
        <f>IF(OR(I847="",ISNA(MATCH(I847,{"DISC10","DISC15","DISC20","DISC30"},0))),0,J847)</f>
        <v>0</v>
      </c>
    </row>
    <row r="848" spans="1:13" x14ac:dyDescent="0.35">
      <c r="A848" s="1" t="s">
        <v>1085</v>
      </c>
      <c r="B848" s="1" t="s">
        <v>68</v>
      </c>
      <c r="C848" s="1" t="s">
        <v>44</v>
      </c>
      <c r="D848" s="1" t="s">
        <v>45</v>
      </c>
      <c r="E848" s="1" t="s">
        <v>46</v>
      </c>
      <c r="F848" s="1" t="s">
        <v>25</v>
      </c>
      <c r="G848" s="1" t="s">
        <v>26</v>
      </c>
      <c r="H848" s="1">
        <v>12886</v>
      </c>
      <c r="I848" s="1" t="s">
        <v>27</v>
      </c>
      <c r="J848" s="1"/>
      <c r="K848" s="1">
        <v>13000</v>
      </c>
      <c r="L848" s="2">
        <v>45349</v>
      </c>
      <c r="M848" s="11">
        <f>IF(OR(I848="",ISNA(MATCH(I848,{"DISC10","DISC15","DISC20","DISC30"},0))),0,J848)</f>
        <v>0</v>
      </c>
    </row>
    <row r="849" spans="1:13" x14ac:dyDescent="0.35">
      <c r="A849" s="1" t="s">
        <v>1086</v>
      </c>
      <c r="B849" s="1" t="s">
        <v>802</v>
      </c>
      <c r="C849" s="1" t="s">
        <v>61</v>
      </c>
      <c r="D849" s="1" t="s">
        <v>62</v>
      </c>
      <c r="E849" s="1" t="s">
        <v>16</v>
      </c>
      <c r="F849" s="1" t="s">
        <v>25</v>
      </c>
      <c r="G849" s="1" t="s">
        <v>26</v>
      </c>
      <c r="H849" s="1">
        <v>8226</v>
      </c>
      <c r="I849" s="1" t="s">
        <v>27</v>
      </c>
      <c r="J849" s="1"/>
      <c r="K849" s="1">
        <v>9000</v>
      </c>
      <c r="L849" s="2">
        <v>45338</v>
      </c>
      <c r="M849" s="11">
        <f>IF(OR(I849="",ISNA(MATCH(I849,{"DISC10","DISC15","DISC20","DISC30"},0))),0,J849)</f>
        <v>0</v>
      </c>
    </row>
    <row r="850" spans="1:13" x14ac:dyDescent="0.35">
      <c r="A850" s="1" t="s">
        <v>1087</v>
      </c>
      <c r="B850" s="1" t="s">
        <v>317</v>
      </c>
      <c r="C850" s="1" t="s">
        <v>14</v>
      </c>
      <c r="D850" s="1" t="s">
        <v>15</v>
      </c>
      <c r="E850" s="1" t="s">
        <v>32</v>
      </c>
      <c r="F850" s="1" t="s">
        <v>39</v>
      </c>
      <c r="G850" s="1" t="s">
        <v>26</v>
      </c>
      <c r="H850" s="1">
        <v>13358</v>
      </c>
      <c r="I850" s="1" t="s">
        <v>33</v>
      </c>
      <c r="J850" s="1">
        <v>0.3</v>
      </c>
      <c r="K850" s="1">
        <v>14000</v>
      </c>
      <c r="L850" s="2">
        <v>45296</v>
      </c>
      <c r="M850" s="11">
        <f>IF(OR(I850="",ISNA(MATCH(I850,{"DISC10","DISC15","DISC20","DISC30"},0))),0,J850)</f>
        <v>0.3</v>
      </c>
    </row>
    <row r="851" spans="1:13" x14ac:dyDescent="0.35">
      <c r="A851" s="1" t="s">
        <v>1088</v>
      </c>
      <c r="B851" s="1" t="s">
        <v>256</v>
      </c>
      <c r="C851" s="1" t="s">
        <v>14</v>
      </c>
      <c r="D851" s="1" t="s">
        <v>15</v>
      </c>
      <c r="E851" s="1" t="s">
        <v>46</v>
      </c>
      <c r="F851" s="1" t="s">
        <v>17</v>
      </c>
      <c r="G851" s="1" t="s">
        <v>26</v>
      </c>
      <c r="H851" s="1">
        <v>14188</v>
      </c>
      <c r="I851" s="1" t="s">
        <v>19</v>
      </c>
      <c r="J851" s="1">
        <v>0.2</v>
      </c>
      <c r="K851" s="1">
        <v>14000</v>
      </c>
      <c r="L851" s="2">
        <v>45328</v>
      </c>
      <c r="M851" s="11">
        <f>IF(OR(I851="",ISNA(MATCH(I851,{"DISC10","DISC15","DISC20","DISC30"},0))),0,J851)</f>
        <v>0.2</v>
      </c>
    </row>
    <row r="852" spans="1:13" x14ac:dyDescent="0.35">
      <c r="A852" s="1" t="s">
        <v>1089</v>
      </c>
      <c r="B852" s="1" t="s">
        <v>337</v>
      </c>
      <c r="C852" s="1" t="s">
        <v>44</v>
      </c>
      <c r="D852" s="1" t="s">
        <v>45</v>
      </c>
      <c r="E852" s="1" t="s">
        <v>16</v>
      </c>
      <c r="F852" s="1" t="s">
        <v>25</v>
      </c>
      <c r="G852" s="1" t="s">
        <v>36</v>
      </c>
      <c r="H852" s="1">
        <v>13888</v>
      </c>
      <c r="I852" s="1" t="s">
        <v>33</v>
      </c>
      <c r="J852" s="1">
        <v>0.3</v>
      </c>
      <c r="K852" s="1">
        <v>13000</v>
      </c>
      <c r="L852" s="2">
        <v>45337</v>
      </c>
      <c r="M852" s="11">
        <f>IF(OR(I852="",ISNA(MATCH(I852,{"DISC10","DISC15","DISC20","DISC30"},0))),0,J852)</f>
        <v>0.3</v>
      </c>
    </row>
    <row r="853" spans="1:13" x14ac:dyDescent="0.35">
      <c r="A853" s="1" t="s">
        <v>1090</v>
      </c>
      <c r="B853" s="1" t="s">
        <v>584</v>
      </c>
      <c r="C853" s="1" t="s">
        <v>61</v>
      </c>
      <c r="D853" s="1" t="s">
        <v>62</v>
      </c>
      <c r="E853" s="1" t="s">
        <v>32</v>
      </c>
      <c r="F853" s="1" t="s">
        <v>17</v>
      </c>
      <c r="G853" s="1" t="s">
        <v>18</v>
      </c>
      <c r="H853" s="1">
        <v>8522</v>
      </c>
      <c r="I853" s="1"/>
      <c r="J853" s="1"/>
      <c r="K853" s="1">
        <v>9000</v>
      </c>
      <c r="L853" s="2">
        <v>45345</v>
      </c>
      <c r="M853" s="11">
        <f>IF(OR(I853="",ISNA(MATCH(I853,{"DISC10","DISC15","DISC20","DISC30"},0))),0,J853)</f>
        <v>0</v>
      </c>
    </row>
    <row r="854" spans="1:13" x14ac:dyDescent="0.35">
      <c r="A854" s="1" t="s">
        <v>1091</v>
      </c>
      <c r="B854" s="1" t="s">
        <v>289</v>
      </c>
      <c r="C854" s="1" t="s">
        <v>30</v>
      </c>
      <c r="D854" s="1" t="s">
        <v>31</v>
      </c>
      <c r="E854" s="1" t="s">
        <v>32</v>
      </c>
      <c r="F854" s="1" t="s">
        <v>25</v>
      </c>
      <c r="G854" s="1" t="s">
        <v>36</v>
      </c>
      <c r="H854" s="1">
        <v>18215</v>
      </c>
      <c r="I854" s="1" t="s">
        <v>22</v>
      </c>
      <c r="J854" s="1">
        <v>0.1</v>
      </c>
      <c r="K854" s="1">
        <v>17000</v>
      </c>
      <c r="L854" s="2">
        <v>45341</v>
      </c>
      <c r="M854" s="11">
        <f>IF(OR(I854="",ISNA(MATCH(I854,{"DISC10","DISC15","DISC20","DISC30"},0))),0,J854)</f>
        <v>0.1</v>
      </c>
    </row>
    <row r="855" spans="1:13" x14ac:dyDescent="0.35">
      <c r="A855" s="1" t="s">
        <v>1092</v>
      </c>
      <c r="B855" s="1" t="s">
        <v>229</v>
      </c>
      <c r="C855" s="1" t="s">
        <v>61</v>
      </c>
      <c r="D855" s="1" t="s">
        <v>62</v>
      </c>
      <c r="E855" s="1" t="s">
        <v>16</v>
      </c>
      <c r="F855" s="1" t="s">
        <v>25</v>
      </c>
      <c r="G855" s="1" t="s">
        <v>36</v>
      </c>
      <c r="H855" s="1">
        <v>10706</v>
      </c>
      <c r="I855" s="1" t="s">
        <v>27</v>
      </c>
      <c r="J855" s="1"/>
      <c r="K855" s="1">
        <v>9000</v>
      </c>
      <c r="L855" s="2">
        <v>45301</v>
      </c>
      <c r="M855" s="11">
        <f>IF(OR(I855="",ISNA(MATCH(I855,{"DISC10","DISC15","DISC20","DISC30"},0))),0,J855)</f>
        <v>0</v>
      </c>
    </row>
    <row r="856" spans="1:13" x14ac:dyDescent="0.35">
      <c r="A856" s="1" t="s">
        <v>1093</v>
      </c>
      <c r="B856" s="1" t="s">
        <v>391</v>
      </c>
      <c r="C856" s="1" t="s">
        <v>61</v>
      </c>
      <c r="D856" s="1" t="s">
        <v>62</v>
      </c>
      <c r="E856" s="1" t="s">
        <v>16</v>
      </c>
      <c r="F856" s="1" t="s">
        <v>39</v>
      </c>
      <c r="G856" s="1" t="s">
        <v>36</v>
      </c>
      <c r="H856" s="1">
        <v>10176</v>
      </c>
      <c r="I856" s="1" t="s">
        <v>33</v>
      </c>
      <c r="J856" s="1">
        <v>0.3</v>
      </c>
      <c r="K856" s="1">
        <v>9000</v>
      </c>
      <c r="L856" s="2">
        <v>45301</v>
      </c>
      <c r="M856" s="11">
        <f>IF(OR(I856="",ISNA(MATCH(I856,{"DISC10","DISC15","DISC20","DISC30"},0))),0,J856)</f>
        <v>0.3</v>
      </c>
    </row>
    <row r="857" spans="1:13" x14ac:dyDescent="0.35">
      <c r="A857" s="1" t="s">
        <v>1094</v>
      </c>
      <c r="B857" s="1" t="s">
        <v>140</v>
      </c>
      <c r="C857" s="1" t="s">
        <v>14</v>
      </c>
      <c r="D857" s="1" t="s">
        <v>15</v>
      </c>
      <c r="E857" s="1" t="s">
        <v>16</v>
      </c>
      <c r="F857" s="1" t="s">
        <v>39</v>
      </c>
      <c r="G857" s="1" t="s">
        <v>18</v>
      </c>
      <c r="H857" s="1">
        <v>12840</v>
      </c>
      <c r="I857" s="1" t="s">
        <v>22</v>
      </c>
      <c r="J857" s="1">
        <v>0.1</v>
      </c>
      <c r="K857" s="1">
        <v>14000</v>
      </c>
      <c r="L857" s="2">
        <v>45321</v>
      </c>
      <c r="M857" s="11">
        <f>IF(OR(I857="",ISNA(MATCH(I857,{"DISC10","DISC15","DISC20","DISC30"},0))),0,J857)</f>
        <v>0.1</v>
      </c>
    </row>
    <row r="858" spans="1:13" x14ac:dyDescent="0.35">
      <c r="A858" s="1" t="s">
        <v>1095</v>
      </c>
      <c r="B858" s="1" t="s">
        <v>101</v>
      </c>
      <c r="C858" s="1" t="s">
        <v>14</v>
      </c>
      <c r="D858" s="1" t="s">
        <v>15</v>
      </c>
      <c r="E858" s="1" t="s">
        <v>32</v>
      </c>
      <c r="F858" s="1" t="s">
        <v>17</v>
      </c>
      <c r="G858" s="1" t="s">
        <v>18</v>
      </c>
      <c r="H858" s="1">
        <v>14814</v>
      </c>
      <c r="I858" s="1" t="s">
        <v>27</v>
      </c>
      <c r="J858" s="1"/>
      <c r="K858" s="1">
        <v>14000</v>
      </c>
      <c r="L858" s="2">
        <v>45347</v>
      </c>
      <c r="M858" s="11">
        <f>IF(OR(I858="",ISNA(MATCH(I858,{"DISC10","DISC15","DISC20","DISC30"},0))),0,J858)</f>
        <v>0</v>
      </c>
    </row>
    <row r="859" spans="1:13" x14ac:dyDescent="0.35">
      <c r="A859" s="1" t="s">
        <v>1096</v>
      </c>
      <c r="B859" s="1" t="s">
        <v>432</v>
      </c>
      <c r="C859" s="1" t="s">
        <v>61</v>
      </c>
      <c r="D859" s="1" t="s">
        <v>62</v>
      </c>
      <c r="E859" s="1" t="s">
        <v>32</v>
      </c>
      <c r="F859" s="1" t="s">
        <v>25</v>
      </c>
      <c r="G859" s="1" t="s">
        <v>26</v>
      </c>
      <c r="H859" s="1">
        <v>10138</v>
      </c>
      <c r="I859" s="1" t="s">
        <v>33</v>
      </c>
      <c r="J859" s="1">
        <v>0.3</v>
      </c>
      <c r="K859" s="1">
        <v>9000</v>
      </c>
      <c r="L859" s="2">
        <v>45293</v>
      </c>
      <c r="M859" s="11">
        <f>IF(OR(I859="",ISNA(MATCH(I859,{"DISC10","DISC15","DISC20","DISC30"},0))),0,J859)</f>
        <v>0.3</v>
      </c>
    </row>
    <row r="860" spans="1:13" x14ac:dyDescent="0.35">
      <c r="A860" s="1" t="s">
        <v>1097</v>
      </c>
      <c r="B860" s="1" t="s">
        <v>579</v>
      </c>
      <c r="C860" s="1" t="s">
        <v>30</v>
      </c>
      <c r="D860" s="1" t="s">
        <v>31</v>
      </c>
      <c r="E860" s="1" t="s">
        <v>16</v>
      </c>
      <c r="F860" s="1" t="s">
        <v>25</v>
      </c>
      <c r="G860" s="1" t="s">
        <v>36</v>
      </c>
      <c r="H860" s="1">
        <v>15821</v>
      </c>
      <c r="I860" s="1" t="s">
        <v>19</v>
      </c>
      <c r="J860" s="1">
        <v>0.2</v>
      </c>
      <c r="K860" s="1">
        <v>17000</v>
      </c>
      <c r="L860" s="2">
        <v>45310</v>
      </c>
      <c r="M860" s="11">
        <f>IF(OR(I860="",ISNA(MATCH(I860,{"DISC10","DISC15","DISC20","DISC30"},0))),0,J860)</f>
        <v>0.2</v>
      </c>
    </row>
    <row r="861" spans="1:13" x14ac:dyDescent="0.35">
      <c r="A861" s="1" t="s">
        <v>1098</v>
      </c>
      <c r="B861" s="1" t="s">
        <v>307</v>
      </c>
      <c r="C861" s="1" t="s">
        <v>30</v>
      </c>
      <c r="D861" s="1" t="s">
        <v>31</v>
      </c>
      <c r="E861" s="1" t="s">
        <v>46</v>
      </c>
      <c r="F861" s="1" t="s">
        <v>39</v>
      </c>
      <c r="G861" s="1" t="s">
        <v>18</v>
      </c>
      <c r="H861" s="1">
        <v>16116</v>
      </c>
      <c r="I861" s="1" t="s">
        <v>19</v>
      </c>
      <c r="J861" s="1">
        <v>0.2</v>
      </c>
      <c r="K861" s="1">
        <v>17000</v>
      </c>
      <c r="L861" s="2">
        <v>45302</v>
      </c>
      <c r="M861" s="11">
        <f>IF(OR(I861="",ISNA(MATCH(I861,{"DISC10","DISC15","DISC20","DISC30"},0))),0,J861)</f>
        <v>0.2</v>
      </c>
    </row>
    <row r="862" spans="1:13" x14ac:dyDescent="0.35">
      <c r="A862" s="1" t="s">
        <v>1099</v>
      </c>
      <c r="B862" s="1" t="s">
        <v>222</v>
      </c>
      <c r="C862" s="1" t="s">
        <v>14</v>
      </c>
      <c r="D862" s="1" t="s">
        <v>15</v>
      </c>
      <c r="E862" s="1" t="s">
        <v>16</v>
      </c>
      <c r="F862" s="1" t="s">
        <v>39</v>
      </c>
      <c r="G862" s="1" t="s">
        <v>26</v>
      </c>
      <c r="H862" s="1">
        <v>12419</v>
      </c>
      <c r="I862" s="1" t="s">
        <v>19</v>
      </c>
      <c r="J862" s="1">
        <v>0.2</v>
      </c>
      <c r="K862" s="1">
        <v>14000</v>
      </c>
      <c r="L862" s="2">
        <v>45326</v>
      </c>
      <c r="M862" s="11">
        <f>IF(OR(I862="",ISNA(MATCH(I862,{"DISC10","DISC15","DISC20","DISC30"},0))),0,J862)</f>
        <v>0.2</v>
      </c>
    </row>
    <row r="863" spans="1:13" x14ac:dyDescent="0.35">
      <c r="A863" s="1" t="s">
        <v>1100</v>
      </c>
      <c r="B863" s="1" t="s">
        <v>301</v>
      </c>
      <c r="C863" s="1" t="s">
        <v>30</v>
      </c>
      <c r="D863" s="1" t="s">
        <v>31</v>
      </c>
      <c r="E863" s="1" t="s">
        <v>46</v>
      </c>
      <c r="F863" s="1" t="s">
        <v>25</v>
      </c>
      <c r="G863" s="1" t="s">
        <v>26</v>
      </c>
      <c r="H863" s="1">
        <v>18293</v>
      </c>
      <c r="I863" s="1" t="s">
        <v>33</v>
      </c>
      <c r="J863" s="1">
        <v>0.3</v>
      </c>
      <c r="K863" s="1">
        <v>17000</v>
      </c>
      <c r="L863" s="2">
        <v>45328</v>
      </c>
      <c r="M863" s="11">
        <f>IF(OR(I863="",ISNA(MATCH(I863,{"DISC10","DISC15","DISC20","DISC30"},0))),0,J863)</f>
        <v>0.3</v>
      </c>
    </row>
    <row r="864" spans="1:13" x14ac:dyDescent="0.35">
      <c r="A864" s="1" t="s">
        <v>1101</v>
      </c>
      <c r="B864" s="1" t="s">
        <v>235</v>
      </c>
      <c r="C864" s="1" t="s">
        <v>14</v>
      </c>
      <c r="D864" s="1" t="s">
        <v>15</v>
      </c>
      <c r="E864" s="1" t="s">
        <v>46</v>
      </c>
      <c r="F864" s="1" t="s">
        <v>39</v>
      </c>
      <c r="G864" s="1" t="s">
        <v>36</v>
      </c>
      <c r="H864" s="1">
        <v>14214</v>
      </c>
      <c r="I864" s="1"/>
      <c r="J864" s="1"/>
      <c r="K864" s="1">
        <v>14000</v>
      </c>
      <c r="L864" s="2">
        <v>45295</v>
      </c>
      <c r="M864" s="11">
        <f>IF(OR(I864="",ISNA(MATCH(I864,{"DISC10","DISC15","DISC20","DISC30"},0))),0,J864)</f>
        <v>0</v>
      </c>
    </row>
    <row r="865" spans="1:13" x14ac:dyDescent="0.35">
      <c r="A865" s="1" t="s">
        <v>1102</v>
      </c>
      <c r="B865" s="1" t="s">
        <v>557</v>
      </c>
      <c r="C865" s="1" t="s">
        <v>61</v>
      </c>
      <c r="D865" s="1" t="s">
        <v>62</v>
      </c>
      <c r="E865" s="1" t="s">
        <v>16</v>
      </c>
      <c r="F865" s="1" t="s">
        <v>25</v>
      </c>
      <c r="G865" s="1" t="s">
        <v>18</v>
      </c>
      <c r="H865" s="1">
        <v>8571</v>
      </c>
      <c r="I865" s="1" t="s">
        <v>22</v>
      </c>
      <c r="J865" s="1">
        <v>0.1</v>
      </c>
      <c r="K865" s="1">
        <v>9000</v>
      </c>
      <c r="L865" s="2">
        <v>45297</v>
      </c>
      <c r="M865" s="11">
        <f>IF(OR(I865="",ISNA(MATCH(I865,{"DISC10","DISC15","DISC20","DISC30"},0))),0,J865)</f>
        <v>0.1</v>
      </c>
    </row>
    <row r="866" spans="1:13" x14ac:dyDescent="0.35">
      <c r="A866" s="1" t="s">
        <v>1103</v>
      </c>
      <c r="B866" s="1" t="s">
        <v>177</v>
      </c>
      <c r="C866" s="1" t="s">
        <v>44</v>
      </c>
      <c r="D866" s="1" t="s">
        <v>45</v>
      </c>
      <c r="E866" s="1" t="s">
        <v>16</v>
      </c>
      <c r="F866" s="1" t="s">
        <v>39</v>
      </c>
      <c r="G866" s="1" t="s">
        <v>26</v>
      </c>
      <c r="H866" s="1">
        <v>13578</v>
      </c>
      <c r="I866" s="1"/>
      <c r="J866" s="1"/>
      <c r="K866" s="1">
        <v>13000</v>
      </c>
      <c r="L866" s="2">
        <v>45331</v>
      </c>
      <c r="M866" s="11">
        <f>IF(OR(I866="",ISNA(MATCH(I866,{"DISC10","DISC15","DISC20","DISC30"},0))),0,J866)</f>
        <v>0</v>
      </c>
    </row>
    <row r="867" spans="1:13" x14ac:dyDescent="0.35">
      <c r="A867" s="1" t="s">
        <v>1104</v>
      </c>
      <c r="B867" s="1" t="s">
        <v>1105</v>
      </c>
      <c r="C867" s="1" t="s">
        <v>30</v>
      </c>
      <c r="D867" s="1" t="s">
        <v>31</v>
      </c>
      <c r="E867" s="1" t="s">
        <v>32</v>
      </c>
      <c r="F867" s="1" t="s">
        <v>39</v>
      </c>
      <c r="G867" s="1" t="s">
        <v>26</v>
      </c>
      <c r="H867" s="1">
        <v>18314</v>
      </c>
      <c r="I867" s="1" t="s">
        <v>27</v>
      </c>
      <c r="J867" s="1"/>
      <c r="K867" s="1">
        <v>17000</v>
      </c>
      <c r="L867" s="2">
        <v>45297</v>
      </c>
      <c r="M867" s="11">
        <f>IF(OR(I867="",ISNA(MATCH(I867,{"DISC10","DISC15","DISC20","DISC30"},0))),0,J867)</f>
        <v>0</v>
      </c>
    </row>
    <row r="868" spans="1:13" x14ac:dyDescent="0.35">
      <c r="A868" s="1" t="s">
        <v>1106</v>
      </c>
      <c r="B868" s="1" t="s">
        <v>148</v>
      </c>
      <c r="C868" s="1" t="s">
        <v>61</v>
      </c>
      <c r="D868" s="1" t="s">
        <v>62</v>
      </c>
      <c r="E868" s="1" t="s">
        <v>16</v>
      </c>
      <c r="F868" s="1" t="s">
        <v>25</v>
      </c>
      <c r="G868" s="1" t="s">
        <v>18</v>
      </c>
      <c r="H868" s="1">
        <v>10329</v>
      </c>
      <c r="I868" s="1"/>
      <c r="J868" s="1"/>
      <c r="K868" s="1">
        <v>9000</v>
      </c>
      <c r="L868" s="2">
        <v>45298</v>
      </c>
      <c r="M868" s="11">
        <f>IF(OR(I868="",ISNA(MATCH(I868,{"DISC10","DISC15","DISC20","DISC30"},0))),0,J868)</f>
        <v>0</v>
      </c>
    </row>
    <row r="869" spans="1:13" x14ac:dyDescent="0.35">
      <c r="A869" s="1" t="s">
        <v>1107</v>
      </c>
      <c r="B869" s="1" t="s">
        <v>123</v>
      </c>
      <c r="C869" s="1" t="s">
        <v>61</v>
      </c>
      <c r="D869" s="1" t="s">
        <v>62</v>
      </c>
      <c r="E869" s="1" t="s">
        <v>46</v>
      </c>
      <c r="F869" s="1" t="s">
        <v>25</v>
      </c>
      <c r="G869" s="1" t="s">
        <v>18</v>
      </c>
      <c r="H869" s="1">
        <v>7588</v>
      </c>
      <c r="I869" s="1" t="s">
        <v>27</v>
      </c>
      <c r="J869" s="1"/>
      <c r="K869" s="1">
        <v>9000</v>
      </c>
      <c r="L869" s="2">
        <v>45308</v>
      </c>
      <c r="M869" s="11">
        <f>IF(OR(I869="",ISNA(MATCH(I869,{"DISC10","DISC15","DISC20","DISC30"},0))),0,J869)</f>
        <v>0</v>
      </c>
    </row>
    <row r="870" spans="1:13" x14ac:dyDescent="0.35">
      <c r="A870" s="1" t="s">
        <v>1108</v>
      </c>
      <c r="B870" s="1" t="s">
        <v>827</v>
      </c>
      <c r="C870" s="1" t="s">
        <v>61</v>
      </c>
      <c r="D870" s="1" t="s">
        <v>62</v>
      </c>
      <c r="E870" s="1" t="s">
        <v>32</v>
      </c>
      <c r="F870" s="1" t="s">
        <v>39</v>
      </c>
      <c r="G870" s="1" t="s">
        <v>26</v>
      </c>
      <c r="H870" s="1">
        <v>8353</v>
      </c>
      <c r="I870" s="1" t="s">
        <v>33</v>
      </c>
      <c r="J870" s="1">
        <v>0.3</v>
      </c>
      <c r="K870" s="1">
        <v>9000</v>
      </c>
      <c r="L870" s="2">
        <v>45321</v>
      </c>
      <c r="M870" s="11">
        <f>IF(OR(I870="",ISNA(MATCH(I870,{"DISC10","DISC15","DISC20","DISC30"},0))),0,J870)</f>
        <v>0.3</v>
      </c>
    </row>
    <row r="871" spans="1:13" x14ac:dyDescent="0.35">
      <c r="A871" s="1" t="s">
        <v>1109</v>
      </c>
      <c r="B871" s="1" t="s">
        <v>711</v>
      </c>
      <c r="C871" s="1" t="s">
        <v>14</v>
      </c>
      <c r="D871" s="1" t="s">
        <v>15</v>
      </c>
      <c r="E871" s="1" t="s">
        <v>46</v>
      </c>
      <c r="F871" s="1" t="s">
        <v>25</v>
      </c>
      <c r="G871" s="1" t="s">
        <v>36</v>
      </c>
      <c r="H871" s="1">
        <v>13960</v>
      </c>
      <c r="I871" s="1"/>
      <c r="J871" s="1"/>
      <c r="K871" s="1">
        <v>14000</v>
      </c>
      <c r="L871" s="2">
        <v>45346</v>
      </c>
      <c r="M871" s="11">
        <f>IF(OR(I871="",ISNA(MATCH(I871,{"DISC10","DISC15","DISC20","DISC30"},0))),0,J871)</f>
        <v>0</v>
      </c>
    </row>
    <row r="872" spans="1:13" x14ac:dyDescent="0.35">
      <c r="A872" s="1" t="s">
        <v>1110</v>
      </c>
      <c r="B872" s="1" t="s">
        <v>256</v>
      </c>
      <c r="C872" s="1" t="s">
        <v>30</v>
      </c>
      <c r="D872" s="1" t="s">
        <v>31</v>
      </c>
      <c r="E872" s="1" t="s">
        <v>16</v>
      </c>
      <c r="F872" s="1" t="s">
        <v>39</v>
      </c>
      <c r="G872" s="1" t="s">
        <v>18</v>
      </c>
      <c r="H872" s="1">
        <v>17080</v>
      </c>
      <c r="I872" s="1" t="s">
        <v>22</v>
      </c>
      <c r="J872" s="1">
        <v>0.1</v>
      </c>
      <c r="K872" s="1">
        <v>17000</v>
      </c>
      <c r="L872" s="2">
        <v>45317</v>
      </c>
      <c r="M872" s="11">
        <f>IF(OR(I872="",ISNA(MATCH(I872,{"DISC10","DISC15","DISC20","DISC30"},0))),0,J872)</f>
        <v>0.1</v>
      </c>
    </row>
    <row r="873" spans="1:13" x14ac:dyDescent="0.35">
      <c r="A873" s="1" t="s">
        <v>1111</v>
      </c>
      <c r="B873" s="1" t="s">
        <v>1112</v>
      </c>
      <c r="C873" s="1" t="s">
        <v>14</v>
      </c>
      <c r="D873" s="1" t="s">
        <v>15</v>
      </c>
      <c r="E873" s="1" t="s">
        <v>46</v>
      </c>
      <c r="F873" s="1" t="s">
        <v>39</v>
      </c>
      <c r="G873" s="1" t="s">
        <v>26</v>
      </c>
      <c r="H873" s="1">
        <v>12290</v>
      </c>
      <c r="I873" s="1" t="s">
        <v>33</v>
      </c>
      <c r="J873" s="1">
        <v>0.3</v>
      </c>
      <c r="K873" s="1">
        <v>14000</v>
      </c>
      <c r="L873" s="2">
        <v>45326</v>
      </c>
      <c r="M873" s="11">
        <f>IF(OR(I873="",ISNA(MATCH(I873,{"DISC10","DISC15","DISC20","DISC30"},0))),0,J873)</f>
        <v>0.3</v>
      </c>
    </row>
    <row r="874" spans="1:13" x14ac:dyDescent="0.35">
      <c r="A874" s="1" t="s">
        <v>1113</v>
      </c>
      <c r="B874" s="1" t="s">
        <v>52</v>
      </c>
      <c r="C874" s="1" t="s">
        <v>61</v>
      </c>
      <c r="D874" s="1" t="s">
        <v>62</v>
      </c>
      <c r="E874" s="1" t="s">
        <v>32</v>
      </c>
      <c r="F874" s="1" t="s">
        <v>39</v>
      </c>
      <c r="G874" s="1" t="s">
        <v>18</v>
      </c>
      <c r="H874" s="1">
        <v>9244</v>
      </c>
      <c r="I874" s="1" t="s">
        <v>19</v>
      </c>
      <c r="J874" s="1">
        <v>0.2</v>
      </c>
      <c r="K874" s="1">
        <v>9000</v>
      </c>
      <c r="L874" s="2">
        <v>45322</v>
      </c>
      <c r="M874" s="11">
        <f>IF(OR(I874="",ISNA(MATCH(I874,{"DISC10","DISC15","DISC20","DISC30"},0))),0,J874)</f>
        <v>0.2</v>
      </c>
    </row>
    <row r="875" spans="1:13" x14ac:dyDescent="0.35">
      <c r="A875" s="1" t="s">
        <v>1114</v>
      </c>
      <c r="B875" s="1" t="s">
        <v>41</v>
      </c>
      <c r="C875" s="1" t="s">
        <v>30</v>
      </c>
      <c r="D875" s="1" t="s">
        <v>31</v>
      </c>
      <c r="E875" s="1" t="s">
        <v>32</v>
      </c>
      <c r="F875" s="1" t="s">
        <v>39</v>
      </c>
      <c r="G875" s="1" t="s">
        <v>26</v>
      </c>
      <c r="H875" s="1">
        <v>16765</v>
      </c>
      <c r="I875" s="1"/>
      <c r="J875" s="1"/>
      <c r="K875" s="1">
        <v>17000</v>
      </c>
      <c r="L875" s="2">
        <v>45328</v>
      </c>
      <c r="M875" s="11">
        <f>IF(OR(I875="",ISNA(MATCH(I875,{"DISC10","DISC15","DISC20","DISC30"},0))),0,J875)</f>
        <v>0</v>
      </c>
    </row>
    <row r="876" spans="1:13" x14ac:dyDescent="0.35">
      <c r="A876" s="1" t="s">
        <v>1115</v>
      </c>
      <c r="B876" s="1" t="s">
        <v>602</v>
      </c>
      <c r="C876" s="1" t="s">
        <v>44</v>
      </c>
      <c r="D876" s="1" t="s">
        <v>45</v>
      </c>
      <c r="E876" s="1" t="s">
        <v>32</v>
      </c>
      <c r="F876" s="1" t="s">
        <v>39</v>
      </c>
      <c r="G876" s="1" t="s">
        <v>26</v>
      </c>
      <c r="H876" s="1">
        <v>11319</v>
      </c>
      <c r="I876" s="1" t="s">
        <v>27</v>
      </c>
      <c r="J876" s="1"/>
      <c r="K876" s="1">
        <v>13000</v>
      </c>
      <c r="L876" s="2">
        <v>45345</v>
      </c>
      <c r="M876" s="11">
        <f>IF(OR(I876="",ISNA(MATCH(I876,{"DISC10","DISC15","DISC20","DISC30"},0))),0,J876)</f>
        <v>0</v>
      </c>
    </row>
    <row r="877" spans="1:13" x14ac:dyDescent="0.35">
      <c r="A877" s="1" t="s">
        <v>1116</v>
      </c>
      <c r="B877" s="1" t="s">
        <v>227</v>
      </c>
      <c r="C877" s="1" t="s">
        <v>61</v>
      </c>
      <c r="D877" s="1" t="s">
        <v>62</v>
      </c>
      <c r="E877" s="1" t="s">
        <v>46</v>
      </c>
      <c r="F877" s="1" t="s">
        <v>39</v>
      </c>
      <c r="G877" s="1" t="s">
        <v>18</v>
      </c>
      <c r="H877" s="1">
        <v>10367</v>
      </c>
      <c r="I877" s="1"/>
      <c r="J877" s="1"/>
      <c r="K877" s="1">
        <v>9000</v>
      </c>
      <c r="L877" s="2">
        <v>45303</v>
      </c>
      <c r="M877" s="11">
        <f>IF(OR(I877="",ISNA(MATCH(I877,{"DISC10","DISC15","DISC20","DISC30"},0))),0,J877)</f>
        <v>0</v>
      </c>
    </row>
    <row r="878" spans="1:13" x14ac:dyDescent="0.35">
      <c r="A878" s="1" t="s">
        <v>1117</v>
      </c>
      <c r="B878" s="1" t="s">
        <v>70</v>
      </c>
      <c r="C878" s="1" t="s">
        <v>14</v>
      </c>
      <c r="D878" s="1" t="s">
        <v>15</v>
      </c>
      <c r="E878" s="1" t="s">
        <v>16</v>
      </c>
      <c r="F878" s="1" t="s">
        <v>25</v>
      </c>
      <c r="G878" s="1" t="s">
        <v>26</v>
      </c>
      <c r="H878" s="1">
        <v>15334</v>
      </c>
      <c r="I878" s="1" t="s">
        <v>27</v>
      </c>
      <c r="J878" s="1"/>
      <c r="K878" s="1">
        <v>14000</v>
      </c>
      <c r="L878" s="2">
        <v>45341</v>
      </c>
      <c r="M878" s="11">
        <f>IF(OR(I878="",ISNA(MATCH(I878,{"DISC10","DISC15","DISC20","DISC30"},0))),0,J878)</f>
        <v>0</v>
      </c>
    </row>
    <row r="879" spans="1:13" x14ac:dyDescent="0.35">
      <c r="A879" s="1" t="s">
        <v>1118</v>
      </c>
      <c r="B879" s="1" t="s">
        <v>487</v>
      </c>
      <c r="C879" s="1" t="s">
        <v>30</v>
      </c>
      <c r="D879" s="1" t="s">
        <v>31</v>
      </c>
      <c r="E879" s="1" t="s">
        <v>46</v>
      </c>
      <c r="F879" s="1" t="s">
        <v>39</v>
      </c>
      <c r="G879" s="1" t="s">
        <v>26</v>
      </c>
      <c r="H879" s="1">
        <v>15251</v>
      </c>
      <c r="I879" s="1" t="s">
        <v>22</v>
      </c>
      <c r="J879" s="1">
        <v>0.1</v>
      </c>
      <c r="K879" s="1">
        <v>17000</v>
      </c>
      <c r="L879" s="2">
        <v>45305</v>
      </c>
      <c r="M879" s="11">
        <f>IF(OR(I879="",ISNA(MATCH(I879,{"DISC10","DISC15","DISC20","DISC30"},0))),0,J879)</f>
        <v>0.1</v>
      </c>
    </row>
    <row r="880" spans="1:13" x14ac:dyDescent="0.35">
      <c r="A880" s="1" t="s">
        <v>1119</v>
      </c>
      <c r="B880" s="1" t="s">
        <v>412</v>
      </c>
      <c r="C880" s="1" t="s">
        <v>14</v>
      </c>
      <c r="D880" s="1" t="s">
        <v>15</v>
      </c>
      <c r="E880" s="1" t="s">
        <v>32</v>
      </c>
      <c r="F880" s="1" t="s">
        <v>39</v>
      </c>
      <c r="G880" s="1" t="s">
        <v>18</v>
      </c>
      <c r="H880" s="1">
        <v>13855</v>
      </c>
      <c r="I880" s="1" t="s">
        <v>27</v>
      </c>
      <c r="J880" s="1"/>
      <c r="K880" s="1">
        <v>14000</v>
      </c>
      <c r="L880" s="2">
        <v>45310</v>
      </c>
      <c r="M880" s="11">
        <f>IF(OR(I880="",ISNA(MATCH(I880,{"DISC10","DISC15","DISC20","DISC30"},0))),0,J880)</f>
        <v>0</v>
      </c>
    </row>
    <row r="881" spans="1:13" x14ac:dyDescent="0.35">
      <c r="A881" s="1" t="s">
        <v>1120</v>
      </c>
      <c r="B881" s="1" t="s">
        <v>617</v>
      </c>
      <c r="C881" s="1" t="s">
        <v>61</v>
      </c>
      <c r="D881" s="1" t="s">
        <v>62</v>
      </c>
      <c r="E881" s="1" t="s">
        <v>32</v>
      </c>
      <c r="F881" s="1" t="s">
        <v>25</v>
      </c>
      <c r="G881" s="1" t="s">
        <v>26</v>
      </c>
      <c r="H881" s="1">
        <v>10593</v>
      </c>
      <c r="I881" s="1" t="s">
        <v>33</v>
      </c>
      <c r="J881" s="1">
        <v>0.3</v>
      </c>
      <c r="K881" s="1">
        <v>9000</v>
      </c>
      <c r="L881" s="2">
        <v>45311</v>
      </c>
      <c r="M881" s="11">
        <f>IF(OR(I881="",ISNA(MATCH(I881,{"DISC10","DISC15","DISC20","DISC30"},0))),0,J881)</f>
        <v>0.3</v>
      </c>
    </row>
    <row r="882" spans="1:13" x14ac:dyDescent="0.35">
      <c r="A882" s="1" t="s">
        <v>1121</v>
      </c>
      <c r="B882" s="1" t="s">
        <v>579</v>
      </c>
      <c r="C882" s="1" t="s">
        <v>30</v>
      </c>
      <c r="D882" s="1" t="s">
        <v>31</v>
      </c>
      <c r="E882" s="1" t="s">
        <v>46</v>
      </c>
      <c r="F882" s="1" t="s">
        <v>39</v>
      </c>
      <c r="G882" s="1" t="s">
        <v>36</v>
      </c>
      <c r="H882" s="1">
        <v>15365</v>
      </c>
      <c r="I882" s="1" t="s">
        <v>27</v>
      </c>
      <c r="J882" s="1"/>
      <c r="K882" s="1">
        <v>17000</v>
      </c>
      <c r="L882" s="2">
        <v>45292</v>
      </c>
      <c r="M882" s="11">
        <f>IF(OR(I882="",ISNA(MATCH(I882,{"DISC10","DISC15","DISC20","DISC30"},0))),0,J882)</f>
        <v>0</v>
      </c>
    </row>
    <row r="883" spans="1:13" x14ac:dyDescent="0.35">
      <c r="A883" s="1" t="s">
        <v>1122</v>
      </c>
      <c r="B883" s="1" t="s">
        <v>86</v>
      </c>
      <c r="C883" s="1" t="s">
        <v>61</v>
      </c>
      <c r="D883" s="1" t="s">
        <v>62</v>
      </c>
      <c r="E883" s="1" t="s">
        <v>32</v>
      </c>
      <c r="F883" s="1" t="s">
        <v>17</v>
      </c>
      <c r="G883" s="1" t="s">
        <v>18</v>
      </c>
      <c r="H883" s="1">
        <v>8512</v>
      </c>
      <c r="I883" s="1" t="s">
        <v>27</v>
      </c>
      <c r="J883" s="1"/>
      <c r="K883" s="1">
        <v>9000</v>
      </c>
      <c r="L883" s="2">
        <v>45295</v>
      </c>
      <c r="M883" s="11">
        <f>IF(OR(I883="",ISNA(MATCH(I883,{"DISC10","DISC15","DISC20","DISC30"},0))),0,J883)</f>
        <v>0</v>
      </c>
    </row>
    <row r="884" spans="1:13" x14ac:dyDescent="0.35">
      <c r="A884" s="1" t="s">
        <v>1123</v>
      </c>
      <c r="B884" s="1" t="s">
        <v>190</v>
      </c>
      <c r="C884" s="1" t="s">
        <v>30</v>
      </c>
      <c r="D884" s="1" t="s">
        <v>31</v>
      </c>
      <c r="E884" s="1" t="s">
        <v>32</v>
      </c>
      <c r="F884" s="1" t="s">
        <v>17</v>
      </c>
      <c r="G884" s="1" t="s">
        <v>18</v>
      </c>
      <c r="H884" s="1">
        <v>15963</v>
      </c>
      <c r="I884" s="1"/>
      <c r="J884" s="1"/>
      <c r="K884" s="1">
        <v>17000</v>
      </c>
      <c r="L884" s="2">
        <v>45336</v>
      </c>
      <c r="M884" s="11">
        <f>IF(OR(I884="",ISNA(MATCH(I884,{"DISC10","DISC15","DISC20","DISC30"},0))),0,J884)</f>
        <v>0</v>
      </c>
    </row>
    <row r="885" spans="1:13" x14ac:dyDescent="0.35">
      <c r="A885" s="1" t="s">
        <v>1124</v>
      </c>
      <c r="B885" s="1" t="s">
        <v>337</v>
      </c>
      <c r="C885" s="1" t="s">
        <v>30</v>
      </c>
      <c r="D885" s="1" t="s">
        <v>31</v>
      </c>
      <c r="E885" s="1" t="s">
        <v>16</v>
      </c>
      <c r="F885" s="1" t="s">
        <v>17</v>
      </c>
      <c r="G885" s="1" t="s">
        <v>36</v>
      </c>
      <c r="H885" s="1">
        <v>16562</v>
      </c>
      <c r="I885" s="1"/>
      <c r="J885" s="1"/>
      <c r="K885" s="1">
        <v>17000</v>
      </c>
      <c r="L885" s="2">
        <v>45326</v>
      </c>
      <c r="M885" s="11">
        <f>IF(OR(I885="",ISNA(MATCH(I885,{"DISC10","DISC15","DISC20","DISC30"},0))),0,J885)</f>
        <v>0</v>
      </c>
    </row>
    <row r="886" spans="1:13" x14ac:dyDescent="0.35">
      <c r="A886" s="1" t="s">
        <v>1125</v>
      </c>
      <c r="B886" s="1" t="s">
        <v>817</v>
      </c>
      <c r="C886" s="1" t="s">
        <v>44</v>
      </c>
      <c r="D886" s="1" t="s">
        <v>45</v>
      </c>
      <c r="E886" s="1" t="s">
        <v>46</v>
      </c>
      <c r="F886" s="1" t="s">
        <v>25</v>
      </c>
      <c r="G886" s="1" t="s">
        <v>18</v>
      </c>
      <c r="H886" s="1">
        <v>13275</v>
      </c>
      <c r="I886" s="1"/>
      <c r="J886" s="1"/>
      <c r="K886" s="1">
        <v>13000</v>
      </c>
      <c r="L886" s="2">
        <v>45345</v>
      </c>
      <c r="M886" s="11">
        <f>IF(OR(I886="",ISNA(MATCH(I886,{"DISC10","DISC15","DISC20","DISC30"},0))),0,J886)</f>
        <v>0</v>
      </c>
    </row>
    <row r="887" spans="1:13" x14ac:dyDescent="0.35">
      <c r="A887" s="1" t="s">
        <v>1126</v>
      </c>
      <c r="B887" s="1" t="s">
        <v>827</v>
      </c>
      <c r="C887" s="1" t="s">
        <v>61</v>
      </c>
      <c r="D887" s="1" t="s">
        <v>62</v>
      </c>
      <c r="E887" s="1" t="s">
        <v>32</v>
      </c>
      <c r="F887" s="1" t="s">
        <v>17</v>
      </c>
      <c r="G887" s="1" t="s">
        <v>26</v>
      </c>
      <c r="H887" s="1">
        <v>7514</v>
      </c>
      <c r="I887" s="1" t="s">
        <v>19</v>
      </c>
      <c r="J887" s="1">
        <v>0.2</v>
      </c>
      <c r="K887" s="1">
        <v>9000</v>
      </c>
      <c r="L887" s="2">
        <v>45292</v>
      </c>
      <c r="M887" s="11">
        <f>IF(OR(I887="",ISNA(MATCH(I887,{"DISC10","DISC15","DISC20","DISC30"},0))),0,J887)</f>
        <v>0.2</v>
      </c>
    </row>
    <row r="888" spans="1:13" x14ac:dyDescent="0.35">
      <c r="A888" s="1" t="s">
        <v>1127</v>
      </c>
      <c r="B888" s="1" t="s">
        <v>21</v>
      </c>
      <c r="C888" s="1" t="s">
        <v>14</v>
      </c>
      <c r="D888" s="1" t="s">
        <v>15</v>
      </c>
      <c r="E888" s="1" t="s">
        <v>32</v>
      </c>
      <c r="F888" s="1" t="s">
        <v>39</v>
      </c>
      <c r="G888" s="1" t="s">
        <v>36</v>
      </c>
      <c r="H888" s="1">
        <v>14694</v>
      </c>
      <c r="I888" s="1"/>
      <c r="J888" s="1"/>
      <c r="K888" s="1">
        <v>14000</v>
      </c>
      <c r="L888" s="2">
        <v>45300</v>
      </c>
      <c r="M888" s="11">
        <f>IF(OR(I888="",ISNA(MATCH(I888,{"DISC10","DISC15","DISC20","DISC30"},0))),0,J888)</f>
        <v>0</v>
      </c>
    </row>
    <row r="889" spans="1:13" x14ac:dyDescent="0.35">
      <c r="A889" s="1" t="s">
        <v>1128</v>
      </c>
      <c r="B889" s="1" t="s">
        <v>843</v>
      </c>
      <c r="C889" s="1" t="s">
        <v>61</v>
      </c>
      <c r="D889" s="1" t="s">
        <v>62</v>
      </c>
      <c r="E889" s="1" t="s">
        <v>46</v>
      </c>
      <c r="F889" s="1" t="s">
        <v>39</v>
      </c>
      <c r="G889" s="1" t="s">
        <v>26</v>
      </c>
      <c r="H889" s="1">
        <v>10810</v>
      </c>
      <c r="I889" s="1"/>
      <c r="J889" s="1"/>
      <c r="K889" s="1">
        <v>9000</v>
      </c>
      <c r="L889" s="2">
        <v>45331</v>
      </c>
      <c r="M889" s="11">
        <f>IF(OR(I889="",ISNA(MATCH(I889,{"DISC10","DISC15","DISC20","DISC30"},0))),0,J889)</f>
        <v>0</v>
      </c>
    </row>
    <row r="890" spans="1:13" x14ac:dyDescent="0.35">
      <c r="A890" s="1" t="s">
        <v>1129</v>
      </c>
      <c r="B890" s="1" t="s">
        <v>429</v>
      </c>
      <c r="C890" s="1" t="s">
        <v>61</v>
      </c>
      <c r="D890" s="1" t="s">
        <v>62</v>
      </c>
      <c r="E890" s="1" t="s">
        <v>16</v>
      </c>
      <c r="F890" s="1" t="s">
        <v>17</v>
      </c>
      <c r="G890" s="1" t="s">
        <v>36</v>
      </c>
      <c r="H890" s="1">
        <v>8455</v>
      </c>
      <c r="I890" s="1" t="s">
        <v>19</v>
      </c>
      <c r="J890" s="1">
        <v>0.2</v>
      </c>
      <c r="K890" s="1">
        <v>9000</v>
      </c>
      <c r="L890" s="2">
        <v>45303</v>
      </c>
      <c r="M890" s="11">
        <f>IF(OR(I890="",ISNA(MATCH(I890,{"DISC10","DISC15","DISC20","DISC30"},0))),0,J890)</f>
        <v>0.2</v>
      </c>
    </row>
    <row r="891" spans="1:13" x14ac:dyDescent="0.35">
      <c r="A891" s="1" t="s">
        <v>1130</v>
      </c>
      <c r="B891" s="1" t="s">
        <v>617</v>
      </c>
      <c r="C891" s="1" t="s">
        <v>14</v>
      </c>
      <c r="D891" s="1" t="s">
        <v>15</v>
      </c>
      <c r="E891" s="1" t="s">
        <v>16</v>
      </c>
      <c r="F891" s="1" t="s">
        <v>17</v>
      </c>
      <c r="G891" s="1" t="s">
        <v>26</v>
      </c>
      <c r="H891" s="1">
        <v>12969</v>
      </c>
      <c r="I891" s="1" t="s">
        <v>27</v>
      </c>
      <c r="J891" s="1"/>
      <c r="K891" s="1">
        <v>14000</v>
      </c>
      <c r="L891" s="2">
        <v>45309</v>
      </c>
      <c r="M891" s="11">
        <f>IF(OR(I891="",ISNA(MATCH(I891,{"DISC10","DISC15","DISC20","DISC30"},0))),0,J891)</f>
        <v>0</v>
      </c>
    </row>
    <row r="892" spans="1:13" x14ac:dyDescent="0.35">
      <c r="A892" s="1" t="s">
        <v>1131</v>
      </c>
      <c r="B892" s="1" t="s">
        <v>512</v>
      </c>
      <c r="C892" s="1" t="s">
        <v>30</v>
      </c>
      <c r="D892" s="1" t="s">
        <v>31</v>
      </c>
      <c r="E892" s="1" t="s">
        <v>32</v>
      </c>
      <c r="F892" s="1" t="s">
        <v>25</v>
      </c>
      <c r="G892" s="1" t="s">
        <v>26</v>
      </c>
      <c r="H892" s="1">
        <v>16979</v>
      </c>
      <c r="I892" s="1" t="s">
        <v>33</v>
      </c>
      <c r="J892" s="1">
        <v>0.3</v>
      </c>
      <c r="K892" s="1">
        <v>17000</v>
      </c>
      <c r="L892" s="2">
        <v>45299</v>
      </c>
      <c r="M892" s="11">
        <f>IF(OR(I892="",ISNA(MATCH(I892,{"DISC10","DISC15","DISC20","DISC30"},0))),0,J892)</f>
        <v>0.3</v>
      </c>
    </row>
    <row r="893" spans="1:13" x14ac:dyDescent="0.35">
      <c r="A893" s="1" t="s">
        <v>1132</v>
      </c>
      <c r="B893" s="1" t="s">
        <v>356</v>
      </c>
      <c r="C893" s="1" t="s">
        <v>14</v>
      </c>
      <c r="D893" s="1" t="s">
        <v>15</v>
      </c>
      <c r="E893" s="1" t="s">
        <v>32</v>
      </c>
      <c r="F893" s="1" t="s">
        <v>39</v>
      </c>
      <c r="G893" s="1" t="s">
        <v>26</v>
      </c>
      <c r="H893" s="1">
        <v>14156</v>
      </c>
      <c r="I893" s="1" t="s">
        <v>33</v>
      </c>
      <c r="J893" s="1">
        <v>0.3</v>
      </c>
      <c r="K893" s="1">
        <v>14000</v>
      </c>
      <c r="L893" s="2">
        <v>45321</v>
      </c>
      <c r="M893" s="11">
        <f>IF(OR(I893="",ISNA(MATCH(I893,{"DISC10","DISC15","DISC20","DISC30"},0))),0,J893)</f>
        <v>0.3</v>
      </c>
    </row>
    <row r="894" spans="1:13" x14ac:dyDescent="0.35">
      <c r="A894" s="1" t="s">
        <v>1133</v>
      </c>
      <c r="B894" s="1" t="s">
        <v>905</v>
      </c>
      <c r="C894" s="1" t="s">
        <v>14</v>
      </c>
      <c r="D894" s="1" t="s">
        <v>15</v>
      </c>
      <c r="E894" s="1" t="s">
        <v>32</v>
      </c>
      <c r="F894" s="1" t="s">
        <v>17</v>
      </c>
      <c r="G894" s="1" t="s">
        <v>26</v>
      </c>
      <c r="H894" s="1">
        <v>15037</v>
      </c>
      <c r="I894" s="1" t="s">
        <v>22</v>
      </c>
      <c r="J894" s="1">
        <v>0.1</v>
      </c>
      <c r="K894" s="1">
        <v>14000</v>
      </c>
      <c r="L894" s="2">
        <v>45335</v>
      </c>
      <c r="M894" s="11">
        <f>IF(OR(I894="",ISNA(MATCH(I894,{"DISC10","DISC15","DISC20","DISC30"},0))),0,J894)</f>
        <v>0.1</v>
      </c>
    </row>
    <row r="895" spans="1:13" x14ac:dyDescent="0.35">
      <c r="A895" s="1" t="s">
        <v>1134</v>
      </c>
      <c r="B895" s="1" t="s">
        <v>416</v>
      </c>
      <c r="C895" s="1" t="s">
        <v>30</v>
      </c>
      <c r="D895" s="1" t="s">
        <v>31</v>
      </c>
      <c r="E895" s="1" t="s">
        <v>16</v>
      </c>
      <c r="F895" s="1" t="s">
        <v>25</v>
      </c>
      <c r="G895" s="1" t="s">
        <v>36</v>
      </c>
      <c r="H895" s="1">
        <v>17191</v>
      </c>
      <c r="I895" s="1" t="s">
        <v>22</v>
      </c>
      <c r="J895" s="1">
        <v>0.1</v>
      </c>
      <c r="K895" s="1">
        <v>17000</v>
      </c>
      <c r="L895" s="2">
        <v>45322</v>
      </c>
      <c r="M895" s="11">
        <f>IF(OR(I895="",ISNA(MATCH(I895,{"DISC10","DISC15","DISC20","DISC30"},0))),0,J895)</f>
        <v>0.1</v>
      </c>
    </row>
    <row r="896" spans="1:13" x14ac:dyDescent="0.35">
      <c r="A896" s="1" t="s">
        <v>1135</v>
      </c>
      <c r="B896" s="1" t="s">
        <v>330</v>
      </c>
      <c r="C896" s="1" t="s">
        <v>61</v>
      </c>
      <c r="D896" s="1" t="s">
        <v>62</v>
      </c>
      <c r="E896" s="1" t="s">
        <v>16</v>
      </c>
      <c r="F896" s="1" t="s">
        <v>39</v>
      </c>
      <c r="G896" s="1" t="s">
        <v>36</v>
      </c>
      <c r="H896" s="1">
        <v>8724</v>
      </c>
      <c r="I896" s="1" t="s">
        <v>33</v>
      </c>
      <c r="J896" s="1">
        <v>0.3</v>
      </c>
      <c r="K896" s="1">
        <v>9000</v>
      </c>
      <c r="L896" s="2">
        <v>45343</v>
      </c>
      <c r="M896" s="11">
        <f>IF(OR(I896="",ISNA(MATCH(I896,{"DISC10","DISC15","DISC20","DISC30"},0))),0,J896)</f>
        <v>0.3</v>
      </c>
    </row>
    <row r="897" spans="1:13" x14ac:dyDescent="0.35">
      <c r="A897" s="1" t="s">
        <v>1136</v>
      </c>
      <c r="B897" s="1" t="s">
        <v>361</v>
      </c>
      <c r="C897" s="1" t="s">
        <v>44</v>
      </c>
      <c r="D897" s="1" t="s">
        <v>45</v>
      </c>
      <c r="E897" s="1" t="s">
        <v>32</v>
      </c>
      <c r="F897" s="1" t="s">
        <v>39</v>
      </c>
      <c r="G897" s="1" t="s">
        <v>26</v>
      </c>
      <c r="H897" s="1">
        <v>14069</v>
      </c>
      <c r="I897" s="1" t="s">
        <v>33</v>
      </c>
      <c r="J897" s="1">
        <v>0.3</v>
      </c>
      <c r="K897" s="1">
        <v>13000</v>
      </c>
      <c r="L897" s="2">
        <v>45338</v>
      </c>
      <c r="M897" s="11">
        <f>IF(OR(I897="",ISNA(MATCH(I897,{"DISC10","DISC15","DISC20","DISC30"},0))),0,J897)</f>
        <v>0.3</v>
      </c>
    </row>
    <row r="898" spans="1:13" x14ac:dyDescent="0.35">
      <c r="A898" s="1" t="s">
        <v>1137</v>
      </c>
      <c r="B898" s="1" t="s">
        <v>522</v>
      </c>
      <c r="C898" s="1" t="s">
        <v>30</v>
      </c>
      <c r="D898" s="1" t="s">
        <v>31</v>
      </c>
      <c r="E898" s="1" t="s">
        <v>32</v>
      </c>
      <c r="F898" s="1" t="s">
        <v>39</v>
      </c>
      <c r="G898" s="1" t="s">
        <v>36</v>
      </c>
      <c r="H898" s="1">
        <v>17368</v>
      </c>
      <c r="I898" s="1" t="s">
        <v>19</v>
      </c>
      <c r="J898" s="1">
        <v>0.2</v>
      </c>
      <c r="K898" s="1">
        <v>17000</v>
      </c>
      <c r="L898" s="2">
        <v>45328</v>
      </c>
      <c r="M898" s="11">
        <f>IF(OR(I898="",ISNA(MATCH(I898,{"DISC10","DISC15","DISC20","DISC30"},0))),0,J898)</f>
        <v>0.2</v>
      </c>
    </row>
    <row r="899" spans="1:13" x14ac:dyDescent="0.35">
      <c r="A899" s="1" t="s">
        <v>1138</v>
      </c>
      <c r="B899" s="1" t="s">
        <v>68</v>
      </c>
      <c r="C899" s="1" t="s">
        <v>30</v>
      </c>
      <c r="D899" s="1" t="s">
        <v>31</v>
      </c>
      <c r="E899" s="1" t="s">
        <v>16</v>
      </c>
      <c r="F899" s="1" t="s">
        <v>39</v>
      </c>
      <c r="G899" s="1" t="s">
        <v>18</v>
      </c>
      <c r="H899" s="1">
        <v>16174</v>
      </c>
      <c r="I899" s="1"/>
      <c r="J899" s="1"/>
      <c r="K899" s="1">
        <v>17000</v>
      </c>
      <c r="L899" s="2">
        <v>45297</v>
      </c>
      <c r="M899" s="11">
        <f>IF(OR(I899="",ISNA(MATCH(I899,{"DISC10","DISC15","DISC20","DISC30"},0))),0,J899)</f>
        <v>0</v>
      </c>
    </row>
    <row r="900" spans="1:13" x14ac:dyDescent="0.35">
      <c r="A900" s="1" t="s">
        <v>1139</v>
      </c>
      <c r="B900" s="1" t="s">
        <v>440</v>
      </c>
      <c r="C900" s="1" t="s">
        <v>14</v>
      </c>
      <c r="D900" s="1" t="s">
        <v>15</v>
      </c>
      <c r="E900" s="1" t="s">
        <v>46</v>
      </c>
      <c r="F900" s="1" t="s">
        <v>17</v>
      </c>
      <c r="G900" s="1" t="s">
        <v>18</v>
      </c>
      <c r="H900" s="1">
        <v>14522</v>
      </c>
      <c r="I900" s="1" t="s">
        <v>33</v>
      </c>
      <c r="J900" s="1">
        <v>0.3</v>
      </c>
      <c r="K900" s="1">
        <v>14000</v>
      </c>
      <c r="L900" s="2">
        <v>45309</v>
      </c>
      <c r="M900" s="11">
        <f>IF(OR(I900="",ISNA(MATCH(I900,{"DISC10","DISC15","DISC20","DISC30"},0))),0,J900)</f>
        <v>0.3</v>
      </c>
    </row>
    <row r="901" spans="1:13" x14ac:dyDescent="0.35">
      <c r="A901" s="1" t="s">
        <v>1140</v>
      </c>
      <c r="B901" s="1" t="s">
        <v>643</v>
      </c>
      <c r="C901" s="1" t="s">
        <v>14</v>
      </c>
      <c r="D901" s="1" t="s">
        <v>15</v>
      </c>
      <c r="E901" s="1" t="s">
        <v>16</v>
      </c>
      <c r="F901" s="1" t="s">
        <v>25</v>
      </c>
      <c r="G901" s="1" t="s">
        <v>26</v>
      </c>
      <c r="H901" s="1">
        <v>12715</v>
      </c>
      <c r="I901" s="1" t="s">
        <v>27</v>
      </c>
      <c r="J901" s="1"/>
      <c r="K901" s="1">
        <v>14000</v>
      </c>
      <c r="L901" s="2">
        <v>45339</v>
      </c>
      <c r="M901" s="11">
        <f>IF(OR(I901="",ISNA(MATCH(I901,{"DISC10","DISC15","DISC20","DISC30"},0))),0,J901)</f>
        <v>0</v>
      </c>
    </row>
    <row r="902" spans="1:13" x14ac:dyDescent="0.35">
      <c r="A902" s="1" t="s">
        <v>1141</v>
      </c>
      <c r="B902" s="1" t="s">
        <v>113</v>
      </c>
      <c r="C902" s="1" t="s">
        <v>61</v>
      </c>
      <c r="D902" s="1" t="s">
        <v>62</v>
      </c>
      <c r="E902" s="1" t="s">
        <v>46</v>
      </c>
      <c r="F902" s="1" t="s">
        <v>25</v>
      </c>
      <c r="G902" s="1" t="s">
        <v>36</v>
      </c>
      <c r="H902" s="1">
        <v>10205</v>
      </c>
      <c r="I902" s="1" t="s">
        <v>19</v>
      </c>
      <c r="J902" s="1">
        <v>0.2</v>
      </c>
      <c r="K902" s="1">
        <v>9000</v>
      </c>
      <c r="L902" s="2">
        <v>45323</v>
      </c>
      <c r="M902" s="11">
        <f>IF(OR(I902="",ISNA(MATCH(I902,{"DISC10","DISC15","DISC20","DISC30"},0))),0,J902)</f>
        <v>0.2</v>
      </c>
    </row>
    <row r="903" spans="1:13" x14ac:dyDescent="0.35">
      <c r="A903" s="1" t="s">
        <v>1142</v>
      </c>
      <c r="B903" s="1" t="s">
        <v>135</v>
      </c>
      <c r="C903" s="1" t="s">
        <v>14</v>
      </c>
      <c r="D903" s="1" t="s">
        <v>15</v>
      </c>
      <c r="E903" s="1" t="s">
        <v>46</v>
      </c>
      <c r="F903" s="1" t="s">
        <v>25</v>
      </c>
      <c r="G903" s="1" t="s">
        <v>18</v>
      </c>
      <c r="H903" s="1">
        <v>14439</v>
      </c>
      <c r="I903" s="1" t="s">
        <v>19</v>
      </c>
      <c r="J903" s="1">
        <v>0.2</v>
      </c>
      <c r="K903" s="1">
        <v>14000</v>
      </c>
      <c r="L903" s="2">
        <v>45345</v>
      </c>
      <c r="M903" s="11">
        <f>IF(OR(I903="",ISNA(MATCH(I903,{"DISC10","DISC15","DISC20","DISC30"},0))),0,J903)</f>
        <v>0.2</v>
      </c>
    </row>
    <row r="904" spans="1:13" x14ac:dyDescent="0.35">
      <c r="A904" s="1" t="s">
        <v>1143</v>
      </c>
      <c r="B904" s="1" t="s">
        <v>157</v>
      </c>
      <c r="C904" s="1" t="s">
        <v>61</v>
      </c>
      <c r="D904" s="1" t="s">
        <v>62</v>
      </c>
      <c r="E904" s="1" t="s">
        <v>46</v>
      </c>
      <c r="F904" s="1" t="s">
        <v>25</v>
      </c>
      <c r="G904" s="1" t="s">
        <v>26</v>
      </c>
      <c r="H904" s="1">
        <v>8802</v>
      </c>
      <c r="I904" s="1" t="s">
        <v>19</v>
      </c>
      <c r="J904" s="1">
        <v>0.2</v>
      </c>
      <c r="K904" s="1">
        <v>9000</v>
      </c>
      <c r="L904" s="2">
        <v>45305</v>
      </c>
      <c r="M904" s="11">
        <f>IF(OR(I904="",ISNA(MATCH(I904,{"DISC10","DISC15","DISC20","DISC30"},0))),0,J904)</f>
        <v>0.2</v>
      </c>
    </row>
    <row r="905" spans="1:13" x14ac:dyDescent="0.35">
      <c r="A905" s="1" t="s">
        <v>1144</v>
      </c>
      <c r="B905" s="1" t="s">
        <v>233</v>
      </c>
      <c r="C905" s="1" t="s">
        <v>30</v>
      </c>
      <c r="D905" s="1" t="s">
        <v>31</v>
      </c>
      <c r="E905" s="1" t="s">
        <v>32</v>
      </c>
      <c r="F905" s="1" t="s">
        <v>39</v>
      </c>
      <c r="G905" s="1" t="s">
        <v>36</v>
      </c>
      <c r="H905" s="1">
        <v>18094</v>
      </c>
      <c r="I905" s="1" t="s">
        <v>22</v>
      </c>
      <c r="J905" s="1">
        <v>0.1</v>
      </c>
      <c r="K905" s="1">
        <v>17000</v>
      </c>
      <c r="L905" s="2">
        <v>45295</v>
      </c>
      <c r="M905" s="11">
        <f>IF(OR(I905="",ISNA(MATCH(I905,{"DISC10","DISC15","DISC20","DISC30"},0))),0,J905)</f>
        <v>0.1</v>
      </c>
    </row>
    <row r="906" spans="1:13" x14ac:dyDescent="0.35">
      <c r="A906" s="1" t="s">
        <v>1145</v>
      </c>
      <c r="B906" s="1" t="s">
        <v>429</v>
      </c>
      <c r="C906" s="1" t="s">
        <v>61</v>
      </c>
      <c r="D906" s="1" t="s">
        <v>62</v>
      </c>
      <c r="E906" s="1" t="s">
        <v>46</v>
      </c>
      <c r="F906" s="1" t="s">
        <v>17</v>
      </c>
      <c r="G906" s="1" t="s">
        <v>36</v>
      </c>
      <c r="H906" s="1">
        <v>10056</v>
      </c>
      <c r="I906" s="1" t="s">
        <v>27</v>
      </c>
      <c r="J906" s="1"/>
      <c r="K906" s="1">
        <v>9000</v>
      </c>
      <c r="L906" s="2">
        <v>45306</v>
      </c>
      <c r="M906" s="11">
        <f>IF(OR(I906="",ISNA(MATCH(I906,{"DISC10","DISC15","DISC20","DISC30"},0))),0,J906)</f>
        <v>0</v>
      </c>
    </row>
    <row r="907" spans="1:13" x14ac:dyDescent="0.35">
      <c r="A907" s="1" t="s">
        <v>1146</v>
      </c>
      <c r="B907" s="1" t="s">
        <v>274</v>
      </c>
      <c r="C907" s="1" t="s">
        <v>61</v>
      </c>
      <c r="D907" s="1" t="s">
        <v>62</v>
      </c>
      <c r="E907" s="1" t="s">
        <v>46</v>
      </c>
      <c r="F907" s="1" t="s">
        <v>17</v>
      </c>
      <c r="G907" s="1" t="s">
        <v>18</v>
      </c>
      <c r="H907" s="1">
        <v>9172</v>
      </c>
      <c r="I907" s="1"/>
      <c r="J907" s="1"/>
      <c r="K907" s="1">
        <v>9000</v>
      </c>
      <c r="L907" s="2">
        <v>45292</v>
      </c>
      <c r="M907" s="11">
        <f>IF(OR(I907="",ISNA(MATCH(I907,{"DISC10","DISC15","DISC20","DISC30"},0))),0,J907)</f>
        <v>0</v>
      </c>
    </row>
    <row r="908" spans="1:13" x14ac:dyDescent="0.35">
      <c r="A908" s="1" t="s">
        <v>1147</v>
      </c>
      <c r="B908" s="1" t="s">
        <v>443</v>
      </c>
      <c r="C908" s="1" t="s">
        <v>61</v>
      </c>
      <c r="D908" s="1" t="s">
        <v>62</v>
      </c>
      <c r="E908" s="1" t="s">
        <v>46</v>
      </c>
      <c r="F908" s="1" t="s">
        <v>39</v>
      </c>
      <c r="G908" s="1" t="s">
        <v>36</v>
      </c>
      <c r="H908" s="1">
        <v>10939</v>
      </c>
      <c r="I908" s="1" t="s">
        <v>27</v>
      </c>
      <c r="J908" s="1"/>
      <c r="K908" s="1">
        <v>9000</v>
      </c>
      <c r="L908" s="2">
        <v>45335</v>
      </c>
      <c r="M908" s="11">
        <f>IF(OR(I908="",ISNA(MATCH(I908,{"DISC10","DISC15","DISC20","DISC30"},0))),0,J908)</f>
        <v>0</v>
      </c>
    </row>
    <row r="909" spans="1:13" x14ac:dyDescent="0.35">
      <c r="A909" s="1" t="s">
        <v>1148</v>
      </c>
      <c r="B909" s="1" t="s">
        <v>76</v>
      </c>
      <c r="C909" s="1" t="s">
        <v>30</v>
      </c>
      <c r="D909" s="1" t="s">
        <v>31</v>
      </c>
      <c r="E909" s="1" t="s">
        <v>46</v>
      </c>
      <c r="F909" s="1" t="s">
        <v>39</v>
      </c>
      <c r="G909" s="1" t="s">
        <v>26</v>
      </c>
      <c r="H909" s="1">
        <v>18515</v>
      </c>
      <c r="I909" s="1" t="s">
        <v>33</v>
      </c>
      <c r="J909" s="1">
        <v>0.3</v>
      </c>
      <c r="K909" s="1">
        <v>17000</v>
      </c>
      <c r="L909" s="2">
        <v>45313</v>
      </c>
      <c r="M909" s="11">
        <f>IF(OR(I909="",ISNA(MATCH(I909,{"DISC10","DISC15","DISC20","DISC30"},0))),0,J909)</f>
        <v>0.3</v>
      </c>
    </row>
    <row r="910" spans="1:13" x14ac:dyDescent="0.35">
      <c r="A910" s="1" t="s">
        <v>1149</v>
      </c>
      <c r="B910" s="1" t="s">
        <v>361</v>
      </c>
      <c r="C910" s="1" t="s">
        <v>14</v>
      </c>
      <c r="D910" s="1" t="s">
        <v>15</v>
      </c>
      <c r="E910" s="1" t="s">
        <v>46</v>
      </c>
      <c r="F910" s="1" t="s">
        <v>39</v>
      </c>
      <c r="G910" s="1" t="s">
        <v>26</v>
      </c>
      <c r="H910" s="1">
        <v>13602</v>
      </c>
      <c r="I910" s="1"/>
      <c r="J910" s="1"/>
      <c r="K910" s="1">
        <v>14000</v>
      </c>
      <c r="L910" s="2">
        <v>45341</v>
      </c>
      <c r="M910" s="11">
        <f>IF(OR(I910="",ISNA(MATCH(I910,{"DISC10","DISC15","DISC20","DISC30"},0))),0,J910)</f>
        <v>0</v>
      </c>
    </row>
    <row r="911" spans="1:13" x14ac:dyDescent="0.35">
      <c r="A911" s="1" t="s">
        <v>1150</v>
      </c>
      <c r="B911" s="1" t="s">
        <v>305</v>
      </c>
      <c r="C911" s="1" t="s">
        <v>44</v>
      </c>
      <c r="D911" s="1" t="s">
        <v>45</v>
      </c>
      <c r="E911" s="1" t="s">
        <v>16</v>
      </c>
      <c r="F911" s="1" t="s">
        <v>39</v>
      </c>
      <c r="G911" s="1" t="s">
        <v>26</v>
      </c>
      <c r="H911" s="1">
        <v>14155</v>
      </c>
      <c r="I911" s="1" t="s">
        <v>19</v>
      </c>
      <c r="J911" s="1">
        <v>0.2</v>
      </c>
      <c r="K911" s="1">
        <v>13000</v>
      </c>
      <c r="L911" s="2">
        <v>45325</v>
      </c>
      <c r="M911" s="11">
        <f>IF(OR(I911="",ISNA(MATCH(I911,{"DISC10","DISC15","DISC20","DISC30"},0))),0,J911)</f>
        <v>0.2</v>
      </c>
    </row>
    <row r="912" spans="1:13" x14ac:dyDescent="0.35">
      <c r="A912" s="1" t="s">
        <v>1151</v>
      </c>
      <c r="B912" s="1" t="s">
        <v>150</v>
      </c>
      <c r="C912" s="1" t="s">
        <v>44</v>
      </c>
      <c r="D912" s="1" t="s">
        <v>45</v>
      </c>
      <c r="E912" s="1" t="s">
        <v>46</v>
      </c>
      <c r="F912" s="1" t="s">
        <v>39</v>
      </c>
      <c r="G912" s="1" t="s">
        <v>18</v>
      </c>
      <c r="H912" s="1">
        <v>13755</v>
      </c>
      <c r="I912" s="1" t="s">
        <v>22</v>
      </c>
      <c r="J912" s="1">
        <v>0.1</v>
      </c>
      <c r="K912" s="1">
        <v>13000</v>
      </c>
      <c r="L912" s="2">
        <v>45345</v>
      </c>
      <c r="M912" s="11">
        <f>IF(OR(I912="",ISNA(MATCH(I912,{"DISC10","DISC15","DISC20","DISC30"},0))),0,J912)</f>
        <v>0.1</v>
      </c>
    </row>
    <row r="913" spans="1:13" x14ac:dyDescent="0.35">
      <c r="A913" s="1" t="s">
        <v>1152</v>
      </c>
      <c r="B913" s="1" t="s">
        <v>43</v>
      </c>
      <c r="C913" s="1" t="s">
        <v>61</v>
      </c>
      <c r="D913" s="1" t="s">
        <v>62</v>
      </c>
      <c r="E913" s="1" t="s">
        <v>32</v>
      </c>
      <c r="F913" s="1" t="s">
        <v>39</v>
      </c>
      <c r="G913" s="1" t="s">
        <v>18</v>
      </c>
      <c r="H913" s="1">
        <v>9807</v>
      </c>
      <c r="I913" s="1"/>
      <c r="J913" s="1"/>
      <c r="K913" s="1">
        <v>9000</v>
      </c>
      <c r="L913" s="2">
        <v>45314</v>
      </c>
      <c r="M913" s="11">
        <f>IF(OR(I913="",ISNA(MATCH(I913,{"DISC10","DISC15","DISC20","DISC30"},0))),0,J913)</f>
        <v>0</v>
      </c>
    </row>
    <row r="914" spans="1:13" x14ac:dyDescent="0.35">
      <c r="A914" s="1" t="s">
        <v>1153</v>
      </c>
      <c r="B914" s="1" t="s">
        <v>220</v>
      </c>
      <c r="C914" s="1" t="s">
        <v>30</v>
      </c>
      <c r="D914" s="1" t="s">
        <v>31</v>
      </c>
      <c r="E914" s="1" t="s">
        <v>46</v>
      </c>
      <c r="F914" s="1" t="s">
        <v>25</v>
      </c>
      <c r="G914" s="1" t="s">
        <v>18</v>
      </c>
      <c r="H914" s="1">
        <v>15097</v>
      </c>
      <c r="I914" s="1" t="s">
        <v>27</v>
      </c>
      <c r="J914" s="1"/>
      <c r="K914" s="1">
        <v>17000</v>
      </c>
      <c r="L914" s="2">
        <v>45297</v>
      </c>
      <c r="M914" s="11">
        <f>IF(OR(I914="",ISNA(MATCH(I914,{"DISC10","DISC15","DISC20","DISC30"},0))),0,J914)</f>
        <v>0</v>
      </c>
    </row>
    <row r="915" spans="1:13" x14ac:dyDescent="0.35">
      <c r="A915" s="1" t="s">
        <v>1154</v>
      </c>
      <c r="B915" s="1" t="s">
        <v>109</v>
      </c>
      <c r="C915" s="1" t="s">
        <v>44</v>
      </c>
      <c r="D915" s="1" t="s">
        <v>45</v>
      </c>
      <c r="E915" s="1" t="s">
        <v>16</v>
      </c>
      <c r="F915" s="1" t="s">
        <v>39</v>
      </c>
      <c r="G915" s="1" t="s">
        <v>18</v>
      </c>
      <c r="H915" s="1">
        <v>13900</v>
      </c>
      <c r="I915" s="1" t="s">
        <v>22</v>
      </c>
      <c r="J915" s="1">
        <v>0.1</v>
      </c>
      <c r="K915" s="1">
        <v>13000</v>
      </c>
      <c r="L915" s="2">
        <v>45297</v>
      </c>
      <c r="M915" s="11">
        <f>IF(OR(I915="",ISNA(MATCH(I915,{"DISC10","DISC15","DISC20","DISC30"},0))),0,J915)</f>
        <v>0.1</v>
      </c>
    </row>
    <row r="916" spans="1:13" x14ac:dyDescent="0.35">
      <c r="A916" s="1" t="s">
        <v>1155</v>
      </c>
      <c r="B916" s="1" t="s">
        <v>460</v>
      </c>
      <c r="C916" s="1" t="s">
        <v>44</v>
      </c>
      <c r="D916" s="1" t="s">
        <v>45</v>
      </c>
      <c r="E916" s="1" t="s">
        <v>46</v>
      </c>
      <c r="F916" s="1" t="s">
        <v>39</v>
      </c>
      <c r="G916" s="1" t="s">
        <v>26</v>
      </c>
      <c r="H916" s="1">
        <v>13318</v>
      </c>
      <c r="I916" s="1" t="s">
        <v>19</v>
      </c>
      <c r="J916" s="1">
        <v>0.2</v>
      </c>
      <c r="K916" s="1">
        <v>13000</v>
      </c>
      <c r="L916" s="2">
        <v>45349</v>
      </c>
      <c r="M916" s="11">
        <f>IF(OR(I916="",ISNA(MATCH(I916,{"DISC10","DISC15","DISC20","DISC30"},0))),0,J916)</f>
        <v>0.2</v>
      </c>
    </row>
    <row r="917" spans="1:13" x14ac:dyDescent="0.35">
      <c r="A917" s="1" t="s">
        <v>1156</v>
      </c>
      <c r="B917" s="1" t="s">
        <v>173</v>
      </c>
      <c r="C917" s="1" t="s">
        <v>44</v>
      </c>
      <c r="D917" s="1" t="s">
        <v>45</v>
      </c>
      <c r="E917" s="1" t="s">
        <v>46</v>
      </c>
      <c r="F917" s="1" t="s">
        <v>17</v>
      </c>
      <c r="G917" s="1" t="s">
        <v>36</v>
      </c>
      <c r="H917" s="1">
        <v>13705</v>
      </c>
      <c r="I917" s="1" t="s">
        <v>22</v>
      </c>
      <c r="J917" s="1">
        <v>0.1</v>
      </c>
      <c r="K917" s="1">
        <v>13000</v>
      </c>
      <c r="L917" s="2">
        <v>45332</v>
      </c>
      <c r="M917" s="11">
        <f>IF(OR(I917="",ISNA(MATCH(I917,{"DISC10","DISC15","DISC20","DISC30"},0))),0,J917)</f>
        <v>0.1</v>
      </c>
    </row>
    <row r="918" spans="1:13" x14ac:dyDescent="0.35">
      <c r="A918" s="1" t="s">
        <v>1157</v>
      </c>
      <c r="B918" s="1" t="s">
        <v>123</v>
      </c>
      <c r="C918" s="1" t="s">
        <v>61</v>
      </c>
      <c r="D918" s="1" t="s">
        <v>62</v>
      </c>
      <c r="E918" s="1" t="s">
        <v>16</v>
      </c>
      <c r="F918" s="1" t="s">
        <v>39</v>
      </c>
      <c r="G918" s="1" t="s">
        <v>36</v>
      </c>
      <c r="H918" s="1">
        <v>8054</v>
      </c>
      <c r="I918" s="1" t="s">
        <v>19</v>
      </c>
      <c r="J918" s="1">
        <v>0.2</v>
      </c>
      <c r="K918" s="1">
        <v>9000</v>
      </c>
      <c r="L918" s="2">
        <v>45341</v>
      </c>
      <c r="M918" s="11">
        <f>IF(OR(I918="",ISNA(MATCH(I918,{"DISC10","DISC15","DISC20","DISC30"},0))),0,J918)</f>
        <v>0.2</v>
      </c>
    </row>
    <row r="919" spans="1:13" x14ac:dyDescent="0.35">
      <c r="A919" s="1" t="s">
        <v>1158</v>
      </c>
      <c r="B919" s="1" t="s">
        <v>263</v>
      </c>
      <c r="C919" s="1" t="s">
        <v>14</v>
      </c>
      <c r="D919" s="1" t="s">
        <v>15</v>
      </c>
      <c r="E919" s="1" t="s">
        <v>46</v>
      </c>
      <c r="F919" s="1" t="s">
        <v>17</v>
      </c>
      <c r="G919" s="1" t="s">
        <v>36</v>
      </c>
      <c r="H919" s="1">
        <v>12246</v>
      </c>
      <c r="I919" s="1" t="s">
        <v>33</v>
      </c>
      <c r="J919" s="1">
        <v>0.3</v>
      </c>
      <c r="K919" s="1">
        <v>14000</v>
      </c>
      <c r="L919" s="2">
        <v>45344</v>
      </c>
      <c r="M919" s="11">
        <f>IF(OR(I919="",ISNA(MATCH(I919,{"DISC10","DISC15","DISC20","DISC30"},0))),0,J919)</f>
        <v>0.3</v>
      </c>
    </row>
    <row r="920" spans="1:13" x14ac:dyDescent="0.35">
      <c r="A920" s="1" t="s">
        <v>1159</v>
      </c>
      <c r="B920" s="1" t="s">
        <v>58</v>
      </c>
      <c r="C920" s="1" t="s">
        <v>61</v>
      </c>
      <c r="D920" s="1" t="s">
        <v>62</v>
      </c>
      <c r="E920" s="1" t="s">
        <v>32</v>
      </c>
      <c r="F920" s="1" t="s">
        <v>17</v>
      </c>
      <c r="G920" s="1" t="s">
        <v>18</v>
      </c>
      <c r="H920" s="1">
        <v>9499</v>
      </c>
      <c r="I920" s="1"/>
      <c r="J920" s="1"/>
      <c r="K920" s="1">
        <v>9000</v>
      </c>
      <c r="L920" s="2">
        <v>45303</v>
      </c>
      <c r="M920" s="11">
        <f>IF(OR(I920="",ISNA(MATCH(I920,{"DISC10","DISC15","DISC20","DISC30"},0))),0,J920)</f>
        <v>0</v>
      </c>
    </row>
    <row r="921" spans="1:13" x14ac:dyDescent="0.35">
      <c r="A921" s="1" t="s">
        <v>1160</v>
      </c>
      <c r="B921" s="1" t="s">
        <v>591</v>
      </c>
      <c r="C921" s="1" t="s">
        <v>14</v>
      </c>
      <c r="D921" s="1" t="s">
        <v>15</v>
      </c>
      <c r="E921" s="1" t="s">
        <v>32</v>
      </c>
      <c r="F921" s="1" t="s">
        <v>39</v>
      </c>
      <c r="G921" s="1" t="s">
        <v>36</v>
      </c>
      <c r="H921" s="1">
        <v>12894</v>
      </c>
      <c r="I921" s="1" t="s">
        <v>27</v>
      </c>
      <c r="J921" s="1"/>
      <c r="K921" s="1">
        <v>14000</v>
      </c>
      <c r="L921" s="2">
        <v>45333</v>
      </c>
      <c r="M921" s="11">
        <f>IF(OR(I921="",ISNA(MATCH(I921,{"DISC10","DISC15","DISC20","DISC30"},0))),0,J921)</f>
        <v>0</v>
      </c>
    </row>
    <row r="922" spans="1:13" x14ac:dyDescent="0.35">
      <c r="A922" s="1" t="s">
        <v>1161</v>
      </c>
      <c r="B922" s="1" t="s">
        <v>245</v>
      </c>
      <c r="C922" s="1" t="s">
        <v>30</v>
      </c>
      <c r="D922" s="1" t="s">
        <v>31</v>
      </c>
      <c r="E922" s="1" t="s">
        <v>32</v>
      </c>
      <c r="F922" s="1" t="s">
        <v>25</v>
      </c>
      <c r="G922" s="1" t="s">
        <v>18</v>
      </c>
      <c r="H922" s="1">
        <v>15288</v>
      </c>
      <c r="I922" s="1" t="s">
        <v>27</v>
      </c>
      <c r="J922" s="1"/>
      <c r="K922" s="1">
        <v>17000</v>
      </c>
      <c r="L922" s="2">
        <v>45338</v>
      </c>
      <c r="M922" s="11">
        <f>IF(OR(I922="",ISNA(MATCH(I922,{"DISC10","DISC15","DISC20","DISC30"},0))),0,J922)</f>
        <v>0</v>
      </c>
    </row>
    <row r="923" spans="1:13" x14ac:dyDescent="0.35">
      <c r="A923" s="1" t="s">
        <v>1162</v>
      </c>
      <c r="B923" s="1" t="s">
        <v>443</v>
      </c>
      <c r="C923" s="1" t="s">
        <v>61</v>
      </c>
      <c r="D923" s="1" t="s">
        <v>62</v>
      </c>
      <c r="E923" s="1" t="s">
        <v>32</v>
      </c>
      <c r="F923" s="1" t="s">
        <v>17</v>
      </c>
      <c r="G923" s="1" t="s">
        <v>18</v>
      </c>
      <c r="H923" s="1">
        <v>9674</v>
      </c>
      <c r="I923" s="1" t="s">
        <v>22</v>
      </c>
      <c r="J923" s="1">
        <v>0.1</v>
      </c>
      <c r="K923" s="1">
        <v>9000</v>
      </c>
      <c r="L923" s="2">
        <v>45351</v>
      </c>
      <c r="M923" s="11">
        <f>IF(OR(I923="",ISNA(MATCH(I923,{"DISC10","DISC15","DISC20","DISC30"},0))),0,J923)</f>
        <v>0.1</v>
      </c>
    </row>
    <row r="924" spans="1:13" x14ac:dyDescent="0.35">
      <c r="A924" s="1" t="s">
        <v>1163</v>
      </c>
      <c r="B924" s="1" t="s">
        <v>68</v>
      </c>
      <c r="C924" s="1" t="s">
        <v>61</v>
      </c>
      <c r="D924" s="1" t="s">
        <v>62</v>
      </c>
      <c r="E924" s="1" t="s">
        <v>46</v>
      </c>
      <c r="F924" s="1" t="s">
        <v>25</v>
      </c>
      <c r="G924" s="1" t="s">
        <v>26</v>
      </c>
      <c r="H924" s="1">
        <v>8350</v>
      </c>
      <c r="I924" s="1"/>
      <c r="J924" s="1"/>
      <c r="K924" s="1">
        <v>9000</v>
      </c>
      <c r="L924" s="2">
        <v>45328</v>
      </c>
      <c r="M924" s="11">
        <f>IF(OR(I924="",ISNA(MATCH(I924,{"DISC10","DISC15","DISC20","DISC30"},0))),0,J924)</f>
        <v>0</v>
      </c>
    </row>
    <row r="925" spans="1:13" x14ac:dyDescent="0.35">
      <c r="A925" s="1" t="s">
        <v>1164</v>
      </c>
      <c r="B925" s="1" t="s">
        <v>166</v>
      </c>
      <c r="C925" s="1" t="s">
        <v>61</v>
      </c>
      <c r="D925" s="1" t="s">
        <v>62</v>
      </c>
      <c r="E925" s="1" t="s">
        <v>46</v>
      </c>
      <c r="F925" s="1" t="s">
        <v>17</v>
      </c>
      <c r="G925" s="1" t="s">
        <v>36</v>
      </c>
      <c r="H925" s="1">
        <v>10457</v>
      </c>
      <c r="I925" s="1" t="s">
        <v>22</v>
      </c>
      <c r="J925" s="1">
        <v>0.1</v>
      </c>
      <c r="K925" s="1">
        <v>9000</v>
      </c>
      <c r="L925" s="2">
        <v>45326</v>
      </c>
      <c r="M925" s="11">
        <f>IF(OR(I925="",ISNA(MATCH(I925,{"DISC10","DISC15","DISC20","DISC30"},0))),0,J925)</f>
        <v>0.1</v>
      </c>
    </row>
    <row r="926" spans="1:13" x14ac:dyDescent="0.35">
      <c r="A926" s="1" t="s">
        <v>1165</v>
      </c>
      <c r="B926" s="1" t="s">
        <v>500</v>
      </c>
      <c r="C926" s="1" t="s">
        <v>61</v>
      </c>
      <c r="D926" s="1" t="s">
        <v>62</v>
      </c>
      <c r="E926" s="1" t="s">
        <v>16</v>
      </c>
      <c r="F926" s="1" t="s">
        <v>17</v>
      </c>
      <c r="G926" s="1" t="s">
        <v>18</v>
      </c>
      <c r="H926" s="1">
        <v>9323</v>
      </c>
      <c r="I926" s="1" t="s">
        <v>27</v>
      </c>
      <c r="J926" s="1"/>
      <c r="K926" s="1">
        <v>9000</v>
      </c>
      <c r="L926" s="2">
        <v>45351</v>
      </c>
      <c r="M926" s="11">
        <f>IF(OR(I926="",ISNA(MATCH(I926,{"DISC10","DISC15","DISC20","DISC30"},0))),0,J926)</f>
        <v>0</v>
      </c>
    </row>
    <row r="927" spans="1:13" x14ac:dyDescent="0.35">
      <c r="A927" s="1" t="s">
        <v>1166</v>
      </c>
      <c r="B927" s="1" t="s">
        <v>282</v>
      </c>
      <c r="C927" s="1" t="s">
        <v>30</v>
      </c>
      <c r="D927" s="1" t="s">
        <v>31</v>
      </c>
      <c r="E927" s="1" t="s">
        <v>46</v>
      </c>
      <c r="F927" s="1" t="s">
        <v>25</v>
      </c>
      <c r="G927" s="1" t="s">
        <v>26</v>
      </c>
      <c r="H927" s="1">
        <v>18927</v>
      </c>
      <c r="I927" s="1" t="s">
        <v>22</v>
      </c>
      <c r="J927" s="1">
        <v>0.1</v>
      </c>
      <c r="K927" s="1">
        <v>17000</v>
      </c>
      <c r="L927" s="2">
        <v>45315</v>
      </c>
      <c r="M927" s="11">
        <f>IF(OR(I927="",ISNA(MATCH(I927,{"DISC10","DISC15","DISC20","DISC30"},0))),0,J927)</f>
        <v>0.1</v>
      </c>
    </row>
    <row r="928" spans="1:13" x14ac:dyDescent="0.35">
      <c r="A928" s="1" t="s">
        <v>1167</v>
      </c>
      <c r="B928" s="1" t="s">
        <v>105</v>
      </c>
      <c r="C928" s="1" t="s">
        <v>30</v>
      </c>
      <c r="D928" s="1" t="s">
        <v>31</v>
      </c>
      <c r="E928" s="1" t="s">
        <v>32</v>
      </c>
      <c r="F928" s="1" t="s">
        <v>17</v>
      </c>
      <c r="G928" s="1" t="s">
        <v>36</v>
      </c>
      <c r="H928" s="1">
        <v>17653</v>
      </c>
      <c r="I928" s="1" t="s">
        <v>19</v>
      </c>
      <c r="J928" s="1">
        <v>0.2</v>
      </c>
      <c r="K928" s="1">
        <v>17000</v>
      </c>
      <c r="L928" s="2">
        <v>45303</v>
      </c>
      <c r="M928" s="11">
        <f>IF(OR(I928="",ISNA(MATCH(I928,{"DISC10","DISC15","DISC20","DISC30"},0))),0,J928)</f>
        <v>0.2</v>
      </c>
    </row>
    <row r="929" spans="1:13" x14ac:dyDescent="0.35">
      <c r="A929" s="1" t="s">
        <v>1168</v>
      </c>
      <c r="B929" s="1" t="s">
        <v>184</v>
      </c>
      <c r="C929" s="1" t="s">
        <v>61</v>
      </c>
      <c r="D929" s="1" t="s">
        <v>62</v>
      </c>
      <c r="E929" s="1" t="s">
        <v>16</v>
      </c>
      <c r="F929" s="1" t="s">
        <v>25</v>
      </c>
      <c r="G929" s="1" t="s">
        <v>36</v>
      </c>
      <c r="H929" s="1">
        <v>9850</v>
      </c>
      <c r="I929" s="1"/>
      <c r="J929" s="1"/>
      <c r="K929" s="1">
        <v>9000</v>
      </c>
      <c r="L929" s="2">
        <v>45349</v>
      </c>
      <c r="M929" s="11">
        <f>IF(OR(I929="",ISNA(MATCH(I929,{"DISC10","DISC15","DISC20","DISC30"},0))),0,J929)</f>
        <v>0</v>
      </c>
    </row>
    <row r="930" spans="1:13" x14ac:dyDescent="0.35">
      <c r="A930" s="1" t="s">
        <v>1169</v>
      </c>
      <c r="B930" s="1" t="s">
        <v>21</v>
      </c>
      <c r="C930" s="1" t="s">
        <v>30</v>
      </c>
      <c r="D930" s="1" t="s">
        <v>31</v>
      </c>
      <c r="E930" s="1" t="s">
        <v>46</v>
      </c>
      <c r="F930" s="1" t="s">
        <v>25</v>
      </c>
      <c r="G930" s="1" t="s">
        <v>26</v>
      </c>
      <c r="H930" s="1">
        <v>16793</v>
      </c>
      <c r="I930" s="1" t="s">
        <v>19</v>
      </c>
      <c r="J930" s="1">
        <v>0.2</v>
      </c>
      <c r="K930" s="1">
        <v>17000</v>
      </c>
      <c r="L930" s="2">
        <v>45300</v>
      </c>
      <c r="M930" s="11">
        <f>IF(OR(I930="",ISNA(MATCH(I930,{"DISC10","DISC15","DISC20","DISC30"},0))),0,J930)</f>
        <v>0.2</v>
      </c>
    </row>
    <row r="931" spans="1:13" x14ac:dyDescent="0.35">
      <c r="A931" s="1" t="s">
        <v>1170</v>
      </c>
      <c r="B931" s="1" t="s">
        <v>192</v>
      </c>
      <c r="C931" s="1" t="s">
        <v>14</v>
      </c>
      <c r="D931" s="1" t="s">
        <v>15</v>
      </c>
      <c r="E931" s="1" t="s">
        <v>16</v>
      </c>
      <c r="F931" s="1" t="s">
        <v>39</v>
      </c>
      <c r="G931" s="1" t="s">
        <v>18</v>
      </c>
      <c r="H931" s="1">
        <v>14003</v>
      </c>
      <c r="I931" s="1"/>
      <c r="J931" s="1"/>
      <c r="K931" s="1">
        <v>14000</v>
      </c>
      <c r="L931" s="2">
        <v>45296</v>
      </c>
      <c r="M931" s="11">
        <f>IF(OR(I931="",ISNA(MATCH(I931,{"DISC10","DISC15","DISC20","DISC30"},0))),0,J931)</f>
        <v>0</v>
      </c>
    </row>
    <row r="932" spans="1:13" x14ac:dyDescent="0.35">
      <c r="A932" s="1" t="s">
        <v>1171</v>
      </c>
      <c r="B932" s="1" t="s">
        <v>133</v>
      </c>
      <c r="C932" s="1" t="s">
        <v>30</v>
      </c>
      <c r="D932" s="1" t="s">
        <v>31</v>
      </c>
      <c r="E932" s="1" t="s">
        <v>46</v>
      </c>
      <c r="F932" s="1" t="s">
        <v>39</v>
      </c>
      <c r="G932" s="1" t="s">
        <v>36</v>
      </c>
      <c r="H932" s="1">
        <v>18959</v>
      </c>
      <c r="I932" s="1" t="s">
        <v>22</v>
      </c>
      <c r="J932" s="1">
        <v>0.1</v>
      </c>
      <c r="K932" s="1">
        <v>17000</v>
      </c>
      <c r="L932" s="2">
        <v>45294</v>
      </c>
      <c r="M932" s="11">
        <f>IF(OR(I932="",ISNA(MATCH(I932,{"DISC10","DISC15","DISC20","DISC30"},0))),0,J932)</f>
        <v>0.1</v>
      </c>
    </row>
    <row r="933" spans="1:13" x14ac:dyDescent="0.35">
      <c r="A933" s="1" t="s">
        <v>1172</v>
      </c>
      <c r="B933" s="1" t="s">
        <v>327</v>
      </c>
      <c r="C933" s="1" t="s">
        <v>30</v>
      </c>
      <c r="D933" s="1" t="s">
        <v>31</v>
      </c>
      <c r="E933" s="1" t="s">
        <v>16</v>
      </c>
      <c r="F933" s="1" t="s">
        <v>25</v>
      </c>
      <c r="G933" s="1" t="s">
        <v>36</v>
      </c>
      <c r="H933" s="1">
        <v>15484</v>
      </c>
      <c r="I933" s="1" t="s">
        <v>19</v>
      </c>
      <c r="J933" s="1">
        <v>0.2</v>
      </c>
      <c r="K933" s="1">
        <v>17000</v>
      </c>
      <c r="L933" s="2">
        <v>45343</v>
      </c>
      <c r="M933" s="11">
        <f>IF(OR(I933="",ISNA(MATCH(I933,{"DISC10","DISC15","DISC20","DISC30"},0))),0,J933)</f>
        <v>0.2</v>
      </c>
    </row>
    <row r="934" spans="1:13" x14ac:dyDescent="0.35">
      <c r="A934" s="1" t="s">
        <v>1173</v>
      </c>
      <c r="B934" s="1" t="s">
        <v>92</v>
      </c>
      <c r="C934" s="1" t="s">
        <v>61</v>
      </c>
      <c r="D934" s="1" t="s">
        <v>62</v>
      </c>
      <c r="E934" s="1" t="s">
        <v>16</v>
      </c>
      <c r="F934" s="1" t="s">
        <v>39</v>
      </c>
      <c r="G934" s="1" t="s">
        <v>18</v>
      </c>
      <c r="H934" s="1">
        <v>10035</v>
      </c>
      <c r="I934" s="1" t="s">
        <v>27</v>
      </c>
      <c r="J934" s="1"/>
      <c r="K934" s="1">
        <v>9000</v>
      </c>
      <c r="L934" s="2">
        <v>45306</v>
      </c>
      <c r="M934" s="11">
        <f>IF(OR(I934="",ISNA(MATCH(I934,{"DISC10","DISC15","DISC20","DISC30"},0))),0,J934)</f>
        <v>0</v>
      </c>
    </row>
    <row r="935" spans="1:13" x14ac:dyDescent="0.35">
      <c r="A935" s="1" t="s">
        <v>1174</v>
      </c>
      <c r="B935" s="1" t="s">
        <v>403</v>
      </c>
      <c r="C935" s="1" t="s">
        <v>14</v>
      </c>
      <c r="D935" s="1" t="s">
        <v>15</v>
      </c>
      <c r="E935" s="1" t="s">
        <v>16</v>
      </c>
      <c r="F935" s="1" t="s">
        <v>25</v>
      </c>
      <c r="G935" s="1" t="s">
        <v>36</v>
      </c>
      <c r="H935" s="1">
        <v>14678</v>
      </c>
      <c r="I935" s="1" t="s">
        <v>22</v>
      </c>
      <c r="J935" s="1">
        <v>0.1</v>
      </c>
      <c r="K935" s="1">
        <v>14000</v>
      </c>
      <c r="L935" s="2">
        <v>45322</v>
      </c>
      <c r="M935" s="11">
        <f>IF(OR(I935="",ISNA(MATCH(I935,{"DISC10","DISC15","DISC20","DISC30"},0))),0,J935)</f>
        <v>0.1</v>
      </c>
    </row>
    <row r="936" spans="1:13" x14ac:dyDescent="0.35">
      <c r="A936" s="1" t="s">
        <v>1175</v>
      </c>
      <c r="B936" s="1" t="s">
        <v>60</v>
      </c>
      <c r="C936" s="1" t="s">
        <v>14</v>
      </c>
      <c r="D936" s="1" t="s">
        <v>15</v>
      </c>
      <c r="E936" s="1" t="s">
        <v>32</v>
      </c>
      <c r="F936" s="1" t="s">
        <v>39</v>
      </c>
      <c r="G936" s="1" t="s">
        <v>26</v>
      </c>
      <c r="H936" s="1">
        <v>12534</v>
      </c>
      <c r="I936" s="1" t="s">
        <v>22</v>
      </c>
      <c r="J936" s="1">
        <v>0.1</v>
      </c>
      <c r="K936" s="1">
        <v>14000</v>
      </c>
      <c r="L936" s="2">
        <v>45303</v>
      </c>
      <c r="M936" s="11">
        <f>IF(OR(I936="",ISNA(MATCH(I936,{"DISC10","DISC15","DISC20","DISC30"},0))),0,J936)</f>
        <v>0.1</v>
      </c>
    </row>
    <row r="937" spans="1:13" x14ac:dyDescent="0.35">
      <c r="A937" s="1" t="s">
        <v>1176</v>
      </c>
      <c r="B937" s="1" t="s">
        <v>1032</v>
      </c>
      <c r="C937" s="1" t="s">
        <v>30</v>
      </c>
      <c r="D937" s="1" t="s">
        <v>31</v>
      </c>
      <c r="E937" s="1" t="s">
        <v>32</v>
      </c>
      <c r="F937" s="1" t="s">
        <v>17</v>
      </c>
      <c r="G937" s="1" t="s">
        <v>26</v>
      </c>
      <c r="H937" s="1">
        <v>15699</v>
      </c>
      <c r="I937" s="1" t="s">
        <v>27</v>
      </c>
      <c r="J937" s="1"/>
      <c r="K937" s="1">
        <v>17000</v>
      </c>
      <c r="L937" s="2">
        <v>45296</v>
      </c>
      <c r="M937" s="11">
        <f>IF(OR(I937="",ISNA(MATCH(I937,{"DISC10","DISC15","DISC20","DISC30"},0))),0,J937)</f>
        <v>0</v>
      </c>
    </row>
    <row r="938" spans="1:13" x14ac:dyDescent="0.35">
      <c r="A938" s="1" t="s">
        <v>1177</v>
      </c>
      <c r="B938" s="1" t="s">
        <v>319</v>
      </c>
      <c r="C938" s="1" t="s">
        <v>14</v>
      </c>
      <c r="D938" s="1" t="s">
        <v>15</v>
      </c>
      <c r="E938" s="1" t="s">
        <v>32</v>
      </c>
      <c r="F938" s="1" t="s">
        <v>17</v>
      </c>
      <c r="G938" s="1" t="s">
        <v>26</v>
      </c>
      <c r="H938" s="1">
        <v>15273</v>
      </c>
      <c r="I938" s="1" t="s">
        <v>27</v>
      </c>
      <c r="J938" s="1"/>
      <c r="K938" s="1">
        <v>14000</v>
      </c>
      <c r="L938" s="2">
        <v>45306</v>
      </c>
      <c r="M938" s="11">
        <f>IF(OR(I938="",ISNA(MATCH(I938,{"DISC10","DISC15","DISC20","DISC30"},0))),0,J938)</f>
        <v>0</v>
      </c>
    </row>
    <row r="939" spans="1:13" x14ac:dyDescent="0.35">
      <c r="A939" s="1" t="s">
        <v>1178</v>
      </c>
      <c r="B939" s="1" t="s">
        <v>200</v>
      </c>
      <c r="C939" s="1" t="s">
        <v>44</v>
      </c>
      <c r="D939" s="1" t="s">
        <v>45</v>
      </c>
      <c r="E939" s="1" t="s">
        <v>46</v>
      </c>
      <c r="F939" s="1" t="s">
        <v>17</v>
      </c>
      <c r="G939" s="1" t="s">
        <v>26</v>
      </c>
      <c r="H939" s="1">
        <v>13778</v>
      </c>
      <c r="I939" s="1"/>
      <c r="J939" s="1"/>
      <c r="K939" s="1">
        <v>13000</v>
      </c>
      <c r="L939" s="2">
        <v>45312</v>
      </c>
      <c r="M939" s="11">
        <f>IF(OR(I939="",ISNA(MATCH(I939,{"DISC10","DISC15","DISC20","DISC30"},0))),0,J939)</f>
        <v>0</v>
      </c>
    </row>
    <row r="940" spans="1:13" x14ac:dyDescent="0.35">
      <c r="A940" s="1" t="s">
        <v>1179</v>
      </c>
      <c r="B940" s="1" t="s">
        <v>21</v>
      </c>
      <c r="C940" s="1" t="s">
        <v>44</v>
      </c>
      <c r="D940" s="1" t="s">
        <v>45</v>
      </c>
      <c r="E940" s="1" t="s">
        <v>46</v>
      </c>
      <c r="F940" s="1" t="s">
        <v>25</v>
      </c>
      <c r="G940" s="1" t="s">
        <v>18</v>
      </c>
      <c r="H940" s="1">
        <v>13429</v>
      </c>
      <c r="I940" s="1" t="s">
        <v>19</v>
      </c>
      <c r="J940" s="1">
        <v>0.2</v>
      </c>
      <c r="K940" s="1">
        <v>13000</v>
      </c>
      <c r="L940" s="2">
        <v>45313</v>
      </c>
      <c r="M940" s="11">
        <f>IF(OR(I940="",ISNA(MATCH(I940,{"DISC10","DISC15","DISC20","DISC30"},0))),0,J940)</f>
        <v>0.2</v>
      </c>
    </row>
    <row r="941" spans="1:13" x14ac:dyDescent="0.35">
      <c r="A941" s="1" t="s">
        <v>1180</v>
      </c>
      <c r="B941" s="1" t="s">
        <v>78</v>
      </c>
      <c r="C941" s="1" t="s">
        <v>30</v>
      </c>
      <c r="D941" s="1" t="s">
        <v>31</v>
      </c>
      <c r="E941" s="1" t="s">
        <v>32</v>
      </c>
      <c r="F941" s="1" t="s">
        <v>17</v>
      </c>
      <c r="G941" s="1" t="s">
        <v>18</v>
      </c>
      <c r="H941" s="1">
        <v>17852</v>
      </c>
      <c r="I941" s="1" t="s">
        <v>33</v>
      </c>
      <c r="J941" s="1">
        <v>0.3</v>
      </c>
      <c r="K941" s="1">
        <v>17000</v>
      </c>
      <c r="L941" s="2">
        <v>45327</v>
      </c>
      <c r="M941" s="11">
        <f>IF(OR(I941="",ISNA(MATCH(I941,{"DISC10","DISC15","DISC20","DISC30"},0))),0,J941)</f>
        <v>0.3</v>
      </c>
    </row>
    <row r="942" spans="1:13" x14ac:dyDescent="0.35">
      <c r="A942" s="1" t="s">
        <v>1181</v>
      </c>
      <c r="B942" s="1" t="s">
        <v>429</v>
      </c>
      <c r="C942" s="1" t="s">
        <v>44</v>
      </c>
      <c r="D942" s="1" t="s">
        <v>45</v>
      </c>
      <c r="E942" s="1" t="s">
        <v>16</v>
      </c>
      <c r="F942" s="1" t="s">
        <v>25</v>
      </c>
      <c r="G942" s="1" t="s">
        <v>18</v>
      </c>
      <c r="H942" s="1">
        <v>11409</v>
      </c>
      <c r="I942" s="1" t="s">
        <v>27</v>
      </c>
      <c r="J942" s="1"/>
      <c r="K942" s="1">
        <v>13000</v>
      </c>
      <c r="L942" s="2">
        <v>45316</v>
      </c>
      <c r="M942" s="11">
        <f>IF(OR(I942="",ISNA(MATCH(I942,{"DISC10","DISC15","DISC20","DISC30"},0))),0,J942)</f>
        <v>0</v>
      </c>
    </row>
    <row r="943" spans="1:13" x14ac:dyDescent="0.35">
      <c r="A943" s="1" t="s">
        <v>1182</v>
      </c>
      <c r="B943" s="1" t="s">
        <v>72</v>
      </c>
      <c r="C943" s="1" t="s">
        <v>14</v>
      </c>
      <c r="D943" s="1" t="s">
        <v>15</v>
      </c>
      <c r="E943" s="1" t="s">
        <v>46</v>
      </c>
      <c r="F943" s="1" t="s">
        <v>25</v>
      </c>
      <c r="G943" s="1" t="s">
        <v>18</v>
      </c>
      <c r="H943" s="1">
        <v>12029</v>
      </c>
      <c r="I943" s="1" t="s">
        <v>19</v>
      </c>
      <c r="J943" s="1">
        <v>0.2</v>
      </c>
      <c r="K943" s="1">
        <v>14000</v>
      </c>
      <c r="L943" s="2">
        <v>45351</v>
      </c>
      <c r="M943" s="11">
        <f>IF(OR(I943="",ISNA(MATCH(I943,{"DISC10","DISC15","DISC20","DISC30"},0))),0,J943)</f>
        <v>0.2</v>
      </c>
    </row>
    <row r="944" spans="1:13" x14ac:dyDescent="0.35">
      <c r="A944" s="1" t="s">
        <v>1183</v>
      </c>
      <c r="B944" s="1" t="s">
        <v>173</v>
      </c>
      <c r="C944" s="1" t="s">
        <v>30</v>
      </c>
      <c r="D944" s="1" t="s">
        <v>31</v>
      </c>
      <c r="E944" s="1" t="s">
        <v>46</v>
      </c>
      <c r="F944" s="1" t="s">
        <v>39</v>
      </c>
      <c r="G944" s="1" t="s">
        <v>36</v>
      </c>
      <c r="H944" s="1">
        <v>17835</v>
      </c>
      <c r="I944" s="1" t="s">
        <v>19</v>
      </c>
      <c r="J944" s="1">
        <v>0.2</v>
      </c>
      <c r="K944" s="1">
        <v>17000</v>
      </c>
      <c r="L944" s="2">
        <v>45305</v>
      </c>
      <c r="M944" s="11">
        <f>IF(OR(I944="",ISNA(MATCH(I944,{"DISC10","DISC15","DISC20","DISC30"},0))),0,J944)</f>
        <v>0.2</v>
      </c>
    </row>
    <row r="945" spans="1:13" x14ac:dyDescent="0.35">
      <c r="A945" s="1" t="s">
        <v>1184</v>
      </c>
      <c r="B945" s="1" t="s">
        <v>113</v>
      </c>
      <c r="C945" s="1" t="s">
        <v>30</v>
      </c>
      <c r="D945" s="1" t="s">
        <v>31</v>
      </c>
      <c r="E945" s="1" t="s">
        <v>16</v>
      </c>
      <c r="F945" s="1" t="s">
        <v>17</v>
      </c>
      <c r="G945" s="1" t="s">
        <v>36</v>
      </c>
      <c r="H945" s="1">
        <v>15979</v>
      </c>
      <c r="I945" s="1" t="s">
        <v>19</v>
      </c>
      <c r="J945" s="1">
        <v>0.2</v>
      </c>
      <c r="K945" s="1">
        <v>17000</v>
      </c>
      <c r="L945" s="2">
        <v>45331</v>
      </c>
      <c r="M945" s="11">
        <f>IF(OR(I945="",ISNA(MATCH(I945,{"DISC10","DISC15","DISC20","DISC30"},0))),0,J945)</f>
        <v>0.2</v>
      </c>
    </row>
    <row r="946" spans="1:13" x14ac:dyDescent="0.35">
      <c r="A946" s="1" t="s">
        <v>1185</v>
      </c>
      <c r="B946" s="1" t="s">
        <v>464</v>
      </c>
      <c r="C946" s="1" t="s">
        <v>44</v>
      </c>
      <c r="D946" s="1" t="s">
        <v>45</v>
      </c>
      <c r="E946" s="1" t="s">
        <v>16</v>
      </c>
      <c r="F946" s="1" t="s">
        <v>17</v>
      </c>
      <c r="G946" s="1" t="s">
        <v>26</v>
      </c>
      <c r="H946" s="1">
        <v>14892</v>
      </c>
      <c r="I946" s="1" t="s">
        <v>22</v>
      </c>
      <c r="J946" s="1">
        <v>0.1</v>
      </c>
      <c r="K946" s="1">
        <v>13000</v>
      </c>
      <c r="L946" s="2">
        <v>45332</v>
      </c>
      <c r="M946" s="11">
        <f>IF(OR(I946="",ISNA(MATCH(I946,{"DISC10","DISC15","DISC20","DISC30"},0))),0,J946)</f>
        <v>0.1</v>
      </c>
    </row>
    <row r="947" spans="1:13" x14ac:dyDescent="0.35">
      <c r="A947" s="1" t="s">
        <v>1186</v>
      </c>
      <c r="B947" s="1" t="s">
        <v>393</v>
      </c>
      <c r="C947" s="1" t="s">
        <v>30</v>
      </c>
      <c r="D947" s="1" t="s">
        <v>31</v>
      </c>
      <c r="E947" s="1" t="s">
        <v>46</v>
      </c>
      <c r="F947" s="1" t="s">
        <v>17</v>
      </c>
      <c r="G947" s="1" t="s">
        <v>18</v>
      </c>
      <c r="H947" s="1">
        <v>17284</v>
      </c>
      <c r="I947" s="1" t="s">
        <v>19</v>
      </c>
      <c r="J947" s="1">
        <v>0.2</v>
      </c>
      <c r="K947" s="1">
        <v>17000</v>
      </c>
      <c r="L947" s="2">
        <v>45304</v>
      </c>
      <c r="M947" s="11">
        <f>IF(OR(I947="",ISNA(MATCH(I947,{"DISC10","DISC15","DISC20","DISC30"},0))),0,J947)</f>
        <v>0.2</v>
      </c>
    </row>
    <row r="948" spans="1:13" x14ac:dyDescent="0.35">
      <c r="A948" s="1" t="s">
        <v>1187</v>
      </c>
      <c r="B948" s="1" t="s">
        <v>241</v>
      </c>
      <c r="C948" s="1" t="s">
        <v>14</v>
      </c>
      <c r="D948" s="1" t="s">
        <v>15</v>
      </c>
      <c r="E948" s="1" t="s">
        <v>16</v>
      </c>
      <c r="F948" s="1" t="s">
        <v>17</v>
      </c>
      <c r="G948" s="1" t="s">
        <v>26</v>
      </c>
      <c r="H948" s="1">
        <v>14078</v>
      </c>
      <c r="I948" s="1" t="s">
        <v>19</v>
      </c>
      <c r="J948" s="1">
        <v>0.2</v>
      </c>
      <c r="K948" s="1">
        <v>14000</v>
      </c>
      <c r="L948" s="2">
        <v>45321</v>
      </c>
      <c r="M948" s="11">
        <f>IF(OR(I948="",ISNA(MATCH(I948,{"DISC10","DISC15","DISC20","DISC30"},0))),0,J948)</f>
        <v>0.2</v>
      </c>
    </row>
    <row r="949" spans="1:13" x14ac:dyDescent="0.35">
      <c r="A949" s="1" t="s">
        <v>1188</v>
      </c>
      <c r="B949" s="1" t="s">
        <v>426</v>
      </c>
      <c r="C949" s="1" t="s">
        <v>44</v>
      </c>
      <c r="D949" s="1" t="s">
        <v>45</v>
      </c>
      <c r="E949" s="1" t="s">
        <v>46</v>
      </c>
      <c r="F949" s="1" t="s">
        <v>25</v>
      </c>
      <c r="G949" s="1" t="s">
        <v>18</v>
      </c>
      <c r="H949" s="1">
        <v>11461</v>
      </c>
      <c r="I949" s="1" t="s">
        <v>19</v>
      </c>
      <c r="J949" s="1">
        <v>0.2</v>
      </c>
      <c r="K949" s="1">
        <v>13000</v>
      </c>
      <c r="L949" s="2">
        <v>45335</v>
      </c>
      <c r="M949" s="11">
        <f>IF(OR(I949="",ISNA(MATCH(I949,{"DISC10","DISC15","DISC20","DISC30"},0))),0,J949)</f>
        <v>0.2</v>
      </c>
    </row>
    <row r="950" spans="1:13" x14ac:dyDescent="0.35">
      <c r="A950" s="1" t="s">
        <v>1189</v>
      </c>
      <c r="B950" s="1" t="s">
        <v>1190</v>
      </c>
      <c r="C950" s="1" t="s">
        <v>61</v>
      </c>
      <c r="D950" s="1" t="s">
        <v>62</v>
      </c>
      <c r="E950" s="1" t="s">
        <v>32</v>
      </c>
      <c r="F950" s="1" t="s">
        <v>25</v>
      </c>
      <c r="G950" s="1" t="s">
        <v>26</v>
      </c>
      <c r="H950" s="1">
        <v>10779</v>
      </c>
      <c r="I950" s="1" t="s">
        <v>22</v>
      </c>
      <c r="J950" s="1">
        <v>0.1</v>
      </c>
      <c r="K950" s="1">
        <v>9000</v>
      </c>
      <c r="L950" s="2">
        <v>45295</v>
      </c>
      <c r="M950" s="11">
        <f>IF(OR(I950="",ISNA(MATCH(I950,{"DISC10","DISC15","DISC20","DISC30"},0))),0,J950)</f>
        <v>0.1</v>
      </c>
    </row>
    <row r="951" spans="1:13" x14ac:dyDescent="0.35">
      <c r="A951" s="1" t="s">
        <v>1191</v>
      </c>
      <c r="B951" s="1" t="s">
        <v>317</v>
      </c>
      <c r="C951" s="1" t="s">
        <v>30</v>
      </c>
      <c r="D951" s="1" t="s">
        <v>31</v>
      </c>
      <c r="E951" s="1" t="s">
        <v>32</v>
      </c>
      <c r="F951" s="1" t="s">
        <v>17</v>
      </c>
      <c r="G951" s="1" t="s">
        <v>36</v>
      </c>
      <c r="H951" s="1">
        <v>16369</v>
      </c>
      <c r="I951" s="1" t="s">
        <v>27</v>
      </c>
      <c r="J951" s="1"/>
      <c r="K951" s="1">
        <v>17000</v>
      </c>
      <c r="L951" s="2">
        <v>45343</v>
      </c>
      <c r="M951" s="11">
        <f>IF(OR(I951="",ISNA(MATCH(I951,{"DISC10","DISC15","DISC20","DISC30"},0))),0,J951)</f>
        <v>0</v>
      </c>
    </row>
    <row r="952" spans="1:13" x14ac:dyDescent="0.35">
      <c r="A952" s="1" t="s">
        <v>1192</v>
      </c>
      <c r="B952" s="1" t="s">
        <v>148</v>
      </c>
      <c r="C952" s="1" t="s">
        <v>61</v>
      </c>
      <c r="D952" s="1" t="s">
        <v>62</v>
      </c>
      <c r="E952" s="1" t="s">
        <v>32</v>
      </c>
      <c r="F952" s="1" t="s">
        <v>25</v>
      </c>
      <c r="G952" s="1" t="s">
        <v>26</v>
      </c>
      <c r="H952" s="1">
        <v>7214</v>
      </c>
      <c r="I952" s="1" t="s">
        <v>27</v>
      </c>
      <c r="J952" s="1"/>
      <c r="K952" s="1">
        <v>9000</v>
      </c>
      <c r="L952" s="2">
        <v>45303</v>
      </c>
      <c r="M952" s="11">
        <f>IF(OR(I952="",ISNA(MATCH(I952,{"DISC10","DISC15","DISC20","DISC30"},0))),0,J952)</f>
        <v>0</v>
      </c>
    </row>
    <row r="953" spans="1:13" x14ac:dyDescent="0.35">
      <c r="A953" s="1" t="s">
        <v>1193</v>
      </c>
      <c r="B953" s="1" t="s">
        <v>135</v>
      </c>
      <c r="C953" s="1" t="s">
        <v>14</v>
      </c>
      <c r="D953" s="1" t="s">
        <v>15</v>
      </c>
      <c r="E953" s="1" t="s">
        <v>46</v>
      </c>
      <c r="F953" s="1" t="s">
        <v>39</v>
      </c>
      <c r="G953" s="1" t="s">
        <v>18</v>
      </c>
      <c r="H953" s="1">
        <v>12290</v>
      </c>
      <c r="I953" s="1" t="s">
        <v>19</v>
      </c>
      <c r="J953" s="1">
        <v>0.2</v>
      </c>
      <c r="K953" s="1">
        <v>14000</v>
      </c>
      <c r="L953" s="2">
        <v>45338</v>
      </c>
      <c r="M953" s="11">
        <f>IF(OR(I953="",ISNA(MATCH(I953,{"DISC10","DISC15","DISC20","DISC30"},0))),0,J953)</f>
        <v>0.2</v>
      </c>
    </row>
    <row r="954" spans="1:13" x14ac:dyDescent="0.35">
      <c r="A954" s="1" t="s">
        <v>1194</v>
      </c>
      <c r="B954" s="1" t="s">
        <v>600</v>
      </c>
      <c r="C954" s="1" t="s">
        <v>30</v>
      </c>
      <c r="D954" s="1" t="s">
        <v>31</v>
      </c>
      <c r="E954" s="1" t="s">
        <v>46</v>
      </c>
      <c r="F954" s="1" t="s">
        <v>25</v>
      </c>
      <c r="G954" s="1" t="s">
        <v>26</v>
      </c>
      <c r="H954" s="1">
        <v>17772</v>
      </c>
      <c r="I954" s="1" t="s">
        <v>33</v>
      </c>
      <c r="J954" s="1">
        <v>0.3</v>
      </c>
      <c r="K954" s="1">
        <v>17000</v>
      </c>
      <c r="L954" s="2">
        <v>45306</v>
      </c>
      <c r="M954" s="11">
        <f>IF(OR(I954="",ISNA(MATCH(I954,{"DISC10","DISC15","DISC20","DISC30"},0))),0,J954)</f>
        <v>0.3</v>
      </c>
    </row>
    <row r="955" spans="1:13" x14ac:dyDescent="0.35">
      <c r="A955" s="1" t="s">
        <v>1195</v>
      </c>
      <c r="B955" s="1" t="s">
        <v>652</v>
      </c>
      <c r="C955" s="1" t="s">
        <v>30</v>
      </c>
      <c r="D955" s="1" t="s">
        <v>31</v>
      </c>
      <c r="E955" s="1" t="s">
        <v>32</v>
      </c>
      <c r="F955" s="1" t="s">
        <v>25</v>
      </c>
      <c r="G955" s="1" t="s">
        <v>18</v>
      </c>
      <c r="H955" s="1">
        <v>18021</v>
      </c>
      <c r="I955" s="1"/>
      <c r="J955" s="1"/>
      <c r="K955" s="1">
        <v>17000</v>
      </c>
      <c r="L955" s="2">
        <v>45347</v>
      </c>
      <c r="M955" s="11">
        <f>IF(OR(I955="",ISNA(MATCH(I955,{"DISC10","DISC15","DISC20","DISC30"},0))),0,J955)</f>
        <v>0</v>
      </c>
    </row>
    <row r="956" spans="1:13" x14ac:dyDescent="0.35">
      <c r="A956" s="1" t="s">
        <v>1196</v>
      </c>
      <c r="B956" s="1" t="s">
        <v>414</v>
      </c>
      <c r="C956" s="1" t="s">
        <v>44</v>
      </c>
      <c r="D956" s="1" t="s">
        <v>45</v>
      </c>
      <c r="E956" s="1" t="s">
        <v>32</v>
      </c>
      <c r="F956" s="1" t="s">
        <v>17</v>
      </c>
      <c r="G956" s="1" t="s">
        <v>26</v>
      </c>
      <c r="H956" s="1">
        <v>12984</v>
      </c>
      <c r="I956" s="1" t="s">
        <v>22</v>
      </c>
      <c r="J956" s="1">
        <v>0.1</v>
      </c>
      <c r="K956" s="1">
        <v>13000</v>
      </c>
      <c r="L956" s="2">
        <v>45348</v>
      </c>
      <c r="M956" s="11">
        <f>IF(OR(I956="",ISNA(MATCH(I956,{"DISC10","DISC15","DISC20","DISC30"},0))),0,J956)</f>
        <v>0.1</v>
      </c>
    </row>
    <row r="957" spans="1:13" x14ac:dyDescent="0.35">
      <c r="A957" s="1" t="s">
        <v>1197</v>
      </c>
      <c r="B957" s="1" t="s">
        <v>186</v>
      </c>
      <c r="C957" s="1" t="s">
        <v>44</v>
      </c>
      <c r="D957" s="1" t="s">
        <v>45</v>
      </c>
      <c r="E957" s="1" t="s">
        <v>16</v>
      </c>
      <c r="F957" s="1" t="s">
        <v>17</v>
      </c>
      <c r="G957" s="1" t="s">
        <v>18</v>
      </c>
      <c r="H957" s="1">
        <v>12586</v>
      </c>
      <c r="I957" s="1" t="s">
        <v>33</v>
      </c>
      <c r="J957" s="1">
        <v>0.3</v>
      </c>
      <c r="K957" s="1">
        <v>13000</v>
      </c>
      <c r="L957" s="2">
        <v>45300</v>
      </c>
      <c r="M957" s="11">
        <f>IF(OR(I957="",ISNA(MATCH(I957,{"DISC10","DISC15","DISC20","DISC30"},0))),0,J957)</f>
        <v>0.3</v>
      </c>
    </row>
    <row r="958" spans="1:13" x14ac:dyDescent="0.35">
      <c r="A958" s="1" t="s">
        <v>1198</v>
      </c>
      <c r="B958" s="1" t="s">
        <v>483</v>
      </c>
      <c r="C958" s="1" t="s">
        <v>44</v>
      </c>
      <c r="D958" s="1" t="s">
        <v>45</v>
      </c>
      <c r="E958" s="1" t="s">
        <v>16</v>
      </c>
      <c r="F958" s="1" t="s">
        <v>17</v>
      </c>
      <c r="G958" s="1" t="s">
        <v>36</v>
      </c>
      <c r="H958" s="1">
        <v>11828</v>
      </c>
      <c r="I958" s="1" t="s">
        <v>33</v>
      </c>
      <c r="J958" s="1">
        <v>0.3</v>
      </c>
      <c r="K958" s="1">
        <v>13000</v>
      </c>
      <c r="L958" s="2">
        <v>45300</v>
      </c>
      <c r="M958" s="11">
        <f>IF(OR(I958="",ISNA(MATCH(I958,{"DISC10","DISC15","DISC20","DISC30"},0))),0,J958)</f>
        <v>0.3</v>
      </c>
    </row>
    <row r="959" spans="1:13" x14ac:dyDescent="0.35">
      <c r="A959" s="1" t="s">
        <v>1199</v>
      </c>
      <c r="B959" s="1" t="s">
        <v>190</v>
      </c>
      <c r="C959" s="1" t="s">
        <v>14</v>
      </c>
      <c r="D959" s="1" t="s">
        <v>15</v>
      </c>
      <c r="E959" s="1" t="s">
        <v>46</v>
      </c>
      <c r="F959" s="1" t="s">
        <v>25</v>
      </c>
      <c r="G959" s="1" t="s">
        <v>18</v>
      </c>
      <c r="H959" s="1">
        <v>15488</v>
      </c>
      <c r="I959" s="1"/>
      <c r="J959" s="1"/>
      <c r="K959" s="1">
        <v>14000</v>
      </c>
      <c r="L959" s="2">
        <v>45321</v>
      </c>
      <c r="M959" s="11">
        <f>IF(OR(I959="",ISNA(MATCH(I959,{"DISC10","DISC15","DISC20","DISC30"},0))),0,J959)</f>
        <v>0</v>
      </c>
    </row>
    <row r="960" spans="1:13" x14ac:dyDescent="0.35">
      <c r="A960" s="1" t="s">
        <v>1200</v>
      </c>
      <c r="B960" s="1" t="s">
        <v>186</v>
      </c>
      <c r="C960" s="1" t="s">
        <v>30</v>
      </c>
      <c r="D960" s="1" t="s">
        <v>31</v>
      </c>
      <c r="E960" s="1" t="s">
        <v>32</v>
      </c>
      <c r="F960" s="1" t="s">
        <v>17</v>
      </c>
      <c r="G960" s="1" t="s">
        <v>26</v>
      </c>
      <c r="H960" s="1">
        <v>15642</v>
      </c>
      <c r="I960" s="1" t="s">
        <v>27</v>
      </c>
      <c r="J960" s="1"/>
      <c r="K960" s="1">
        <v>17000</v>
      </c>
      <c r="L960" s="2">
        <v>45349</v>
      </c>
      <c r="M960" s="11">
        <f>IF(OR(I960="",ISNA(MATCH(I960,{"DISC10","DISC15","DISC20","DISC30"},0))),0,J960)</f>
        <v>0</v>
      </c>
    </row>
    <row r="961" spans="1:13" x14ac:dyDescent="0.35">
      <c r="A961" s="1" t="s">
        <v>1201</v>
      </c>
      <c r="B961" s="1" t="s">
        <v>720</v>
      </c>
      <c r="C961" s="1" t="s">
        <v>44</v>
      </c>
      <c r="D961" s="1" t="s">
        <v>45</v>
      </c>
      <c r="E961" s="1" t="s">
        <v>32</v>
      </c>
      <c r="F961" s="1" t="s">
        <v>17</v>
      </c>
      <c r="G961" s="1" t="s">
        <v>26</v>
      </c>
      <c r="H961" s="1">
        <v>13003</v>
      </c>
      <c r="I961" s="1" t="s">
        <v>19</v>
      </c>
      <c r="J961" s="1">
        <v>0.2</v>
      </c>
      <c r="K961" s="1">
        <v>13000</v>
      </c>
      <c r="L961" s="2">
        <v>45329</v>
      </c>
      <c r="M961" s="11">
        <f>IF(OR(I961="",ISNA(MATCH(I961,{"DISC10","DISC15","DISC20","DISC30"},0))),0,J961)</f>
        <v>0.2</v>
      </c>
    </row>
    <row r="962" spans="1:13" x14ac:dyDescent="0.35">
      <c r="A962" s="1" t="s">
        <v>1202</v>
      </c>
      <c r="B962" s="1" t="s">
        <v>752</v>
      </c>
      <c r="C962" s="1" t="s">
        <v>61</v>
      </c>
      <c r="D962" s="1" t="s">
        <v>62</v>
      </c>
      <c r="E962" s="1" t="s">
        <v>46</v>
      </c>
      <c r="F962" s="1" t="s">
        <v>25</v>
      </c>
      <c r="G962" s="1" t="s">
        <v>26</v>
      </c>
      <c r="H962" s="1">
        <v>8753</v>
      </c>
      <c r="I962" s="1" t="s">
        <v>19</v>
      </c>
      <c r="J962" s="1">
        <v>0.2</v>
      </c>
      <c r="K962" s="1">
        <v>9000</v>
      </c>
      <c r="L962" s="2">
        <v>45307</v>
      </c>
      <c r="M962" s="11">
        <f>IF(OR(I962="",ISNA(MATCH(I962,{"DISC10","DISC15","DISC20","DISC30"},0))),0,J962)</f>
        <v>0.2</v>
      </c>
    </row>
    <row r="963" spans="1:13" x14ac:dyDescent="0.35">
      <c r="A963" s="1" t="s">
        <v>1203</v>
      </c>
      <c r="B963" s="1" t="s">
        <v>666</v>
      </c>
      <c r="C963" s="1" t="s">
        <v>44</v>
      </c>
      <c r="D963" s="1" t="s">
        <v>45</v>
      </c>
      <c r="E963" s="1" t="s">
        <v>16</v>
      </c>
      <c r="F963" s="1" t="s">
        <v>25</v>
      </c>
      <c r="G963" s="1" t="s">
        <v>26</v>
      </c>
      <c r="H963" s="1">
        <v>14679</v>
      </c>
      <c r="I963" s="1" t="s">
        <v>22</v>
      </c>
      <c r="J963" s="1">
        <v>0.1</v>
      </c>
      <c r="K963" s="1">
        <v>13000</v>
      </c>
      <c r="L963" s="2">
        <v>45318</v>
      </c>
      <c r="M963" s="11">
        <f>IF(OR(I963="",ISNA(MATCH(I963,{"DISC10","DISC15","DISC20","DISC30"},0))),0,J963)</f>
        <v>0.1</v>
      </c>
    </row>
    <row r="964" spans="1:13" x14ac:dyDescent="0.35">
      <c r="A964" s="1" t="s">
        <v>1204</v>
      </c>
      <c r="B964" s="1" t="s">
        <v>161</v>
      </c>
      <c r="C964" s="1" t="s">
        <v>61</v>
      </c>
      <c r="D964" s="1" t="s">
        <v>62</v>
      </c>
      <c r="E964" s="1" t="s">
        <v>16</v>
      </c>
      <c r="F964" s="1" t="s">
        <v>39</v>
      </c>
      <c r="G964" s="1" t="s">
        <v>18</v>
      </c>
      <c r="H964" s="1">
        <v>8743</v>
      </c>
      <c r="I964" s="1" t="s">
        <v>27</v>
      </c>
      <c r="J964" s="1"/>
      <c r="K964" s="1">
        <v>9000</v>
      </c>
      <c r="L964" s="2">
        <v>45317</v>
      </c>
      <c r="M964" s="11">
        <f>IF(OR(I964="",ISNA(MATCH(I964,{"DISC10","DISC15","DISC20","DISC30"},0))),0,J964)</f>
        <v>0</v>
      </c>
    </row>
    <row r="965" spans="1:13" x14ac:dyDescent="0.35">
      <c r="A965" s="1" t="s">
        <v>1205</v>
      </c>
      <c r="B965" s="1" t="s">
        <v>157</v>
      </c>
      <c r="C965" s="1" t="s">
        <v>14</v>
      </c>
      <c r="D965" s="1" t="s">
        <v>15</v>
      </c>
      <c r="E965" s="1" t="s">
        <v>46</v>
      </c>
      <c r="F965" s="1" t="s">
        <v>17</v>
      </c>
      <c r="G965" s="1" t="s">
        <v>18</v>
      </c>
      <c r="H965" s="1">
        <v>12340</v>
      </c>
      <c r="I965" s="1" t="s">
        <v>27</v>
      </c>
      <c r="J965" s="1"/>
      <c r="K965" s="1">
        <v>14000</v>
      </c>
      <c r="L965" s="2">
        <v>45340</v>
      </c>
      <c r="M965" s="11">
        <f>IF(OR(I965="",ISNA(MATCH(I965,{"DISC10","DISC15","DISC20","DISC30"},0))),0,J965)</f>
        <v>0</v>
      </c>
    </row>
    <row r="966" spans="1:13" x14ac:dyDescent="0.35">
      <c r="A966" s="1" t="s">
        <v>1206</v>
      </c>
      <c r="B966" s="1" t="s">
        <v>190</v>
      </c>
      <c r="C966" s="1" t="s">
        <v>61</v>
      </c>
      <c r="D966" s="1" t="s">
        <v>62</v>
      </c>
      <c r="E966" s="1" t="s">
        <v>32</v>
      </c>
      <c r="F966" s="1" t="s">
        <v>25</v>
      </c>
      <c r="G966" s="1" t="s">
        <v>36</v>
      </c>
      <c r="H966" s="1">
        <v>8211</v>
      </c>
      <c r="I966" s="1" t="s">
        <v>19</v>
      </c>
      <c r="J966" s="1">
        <v>0.2</v>
      </c>
      <c r="K966" s="1">
        <v>9000</v>
      </c>
      <c r="L966" s="2">
        <v>45333</v>
      </c>
      <c r="M966" s="11">
        <f>IF(OR(I966="",ISNA(MATCH(I966,{"DISC10","DISC15","DISC20","DISC30"},0))),0,J966)</f>
        <v>0.2</v>
      </c>
    </row>
    <row r="967" spans="1:13" x14ac:dyDescent="0.35">
      <c r="A967" s="1" t="s">
        <v>1207</v>
      </c>
      <c r="B967" s="1" t="s">
        <v>43</v>
      </c>
      <c r="C967" s="1" t="s">
        <v>61</v>
      </c>
      <c r="D967" s="1" t="s">
        <v>62</v>
      </c>
      <c r="E967" s="1" t="s">
        <v>16</v>
      </c>
      <c r="F967" s="1" t="s">
        <v>17</v>
      </c>
      <c r="G967" s="1" t="s">
        <v>18</v>
      </c>
      <c r="H967" s="1">
        <v>9880</v>
      </c>
      <c r="I967" s="1"/>
      <c r="J967" s="1"/>
      <c r="K967" s="1">
        <v>9000</v>
      </c>
      <c r="L967" s="2">
        <v>45346</v>
      </c>
      <c r="M967" s="11">
        <f>IF(OR(I967="",ISNA(MATCH(I967,{"DISC10","DISC15","DISC20","DISC30"},0))),0,J967)</f>
        <v>0</v>
      </c>
    </row>
    <row r="968" spans="1:13" x14ac:dyDescent="0.35">
      <c r="A968" s="1" t="s">
        <v>1208</v>
      </c>
      <c r="B968" s="1" t="s">
        <v>233</v>
      </c>
      <c r="C968" s="1" t="s">
        <v>14</v>
      </c>
      <c r="D968" s="1" t="s">
        <v>15</v>
      </c>
      <c r="E968" s="1" t="s">
        <v>46</v>
      </c>
      <c r="F968" s="1" t="s">
        <v>17</v>
      </c>
      <c r="G968" s="1" t="s">
        <v>18</v>
      </c>
      <c r="H968" s="1">
        <v>15580</v>
      </c>
      <c r="I968" s="1"/>
      <c r="J968" s="1"/>
      <c r="K968" s="1">
        <v>14000</v>
      </c>
      <c r="L968" s="2">
        <v>45303</v>
      </c>
      <c r="M968" s="11">
        <f>IF(OR(I968="",ISNA(MATCH(I968,{"DISC10","DISC15","DISC20","DISC30"},0))),0,J968)</f>
        <v>0</v>
      </c>
    </row>
    <row r="969" spans="1:13" x14ac:dyDescent="0.35">
      <c r="A969" s="1" t="s">
        <v>1209</v>
      </c>
      <c r="B969" s="1" t="s">
        <v>140</v>
      </c>
      <c r="C969" s="1" t="s">
        <v>30</v>
      </c>
      <c r="D969" s="1" t="s">
        <v>31</v>
      </c>
      <c r="E969" s="1" t="s">
        <v>16</v>
      </c>
      <c r="F969" s="1" t="s">
        <v>17</v>
      </c>
      <c r="G969" s="1" t="s">
        <v>26</v>
      </c>
      <c r="H969" s="1">
        <v>17594</v>
      </c>
      <c r="I969" s="1" t="s">
        <v>22</v>
      </c>
      <c r="J969" s="1">
        <v>0.1</v>
      </c>
      <c r="K969" s="1">
        <v>17000</v>
      </c>
      <c r="L969" s="2">
        <v>45347</v>
      </c>
      <c r="M969" s="11">
        <f>IF(OR(I969="",ISNA(MATCH(I969,{"DISC10","DISC15","DISC20","DISC30"},0))),0,J969)</f>
        <v>0.1</v>
      </c>
    </row>
    <row r="970" spans="1:13" x14ac:dyDescent="0.35">
      <c r="A970" s="1" t="s">
        <v>1210</v>
      </c>
      <c r="B970" s="1" t="s">
        <v>13</v>
      </c>
      <c r="C970" s="1" t="s">
        <v>61</v>
      </c>
      <c r="D970" s="1" t="s">
        <v>62</v>
      </c>
      <c r="E970" s="1" t="s">
        <v>16</v>
      </c>
      <c r="F970" s="1" t="s">
        <v>17</v>
      </c>
      <c r="G970" s="1" t="s">
        <v>26</v>
      </c>
      <c r="H970" s="1">
        <v>7133</v>
      </c>
      <c r="I970" s="1" t="s">
        <v>33</v>
      </c>
      <c r="J970" s="1">
        <v>0.3</v>
      </c>
      <c r="K970" s="1">
        <v>9000</v>
      </c>
      <c r="L970" s="2">
        <v>45319</v>
      </c>
      <c r="M970" s="11">
        <f>IF(OR(I970="",ISNA(MATCH(I970,{"DISC10","DISC15","DISC20","DISC30"},0))),0,J970)</f>
        <v>0.3</v>
      </c>
    </row>
    <row r="971" spans="1:13" x14ac:dyDescent="0.35">
      <c r="A971" s="1" t="s">
        <v>1211</v>
      </c>
      <c r="B971" s="1" t="s">
        <v>1073</v>
      </c>
      <c r="C971" s="1" t="s">
        <v>44</v>
      </c>
      <c r="D971" s="1" t="s">
        <v>45</v>
      </c>
      <c r="E971" s="1" t="s">
        <v>16</v>
      </c>
      <c r="F971" s="1" t="s">
        <v>25</v>
      </c>
      <c r="G971" s="1" t="s">
        <v>26</v>
      </c>
      <c r="H971" s="1">
        <v>14607</v>
      </c>
      <c r="I971" s="1" t="s">
        <v>33</v>
      </c>
      <c r="J971" s="1">
        <v>0.3</v>
      </c>
      <c r="K971" s="1">
        <v>13000</v>
      </c>
      <c r="L971" s="2">
        <v>45339</v>
      </c>
      <c r="M971" s="11">
        <f>IF(OR(I971="",ISNA(MATCH(I971,{"DISC10","DISC15","DISC20","DISC30"},0))),0,J971)</f>
        <v>0.3</v>
      </c>
    </row>
    <row r="972" spans="1:13" x14ac:dyDescent="0.35">
      <c r="A972" s="1" t="s">
        <v>1212</v>
      </c>
      <c r="B972" s="1" t="s">
        <v>987</v>
      </c>
      <c r="C972" s="1" t="s">
        <v>30</v>
      </c>
      <c r="D972" s="1" t="s">
        <v>31</v>
      </c>
      <c r="E972" s="1" t="s">
        <v>32</v>
      </c>
      <c r="F972" s="1" t="s">
        <v>25</v>
      </c>
      <c r="G972" s="1" t="s">
        <v>36</v>
      </c>
      <c r="H972" s="1">
        <v>16497</v>
      </c>
      <c r="I972" s="1"/>
      <c r="J972" s="1"/>
      <c r="K972" s="1">
        <v>17000</v>
      </c>
      <c r="L972" s="2">
        <v>45331</v>
      </c>
      <c r="M972" s="11">
        <f>IF(OR(I972="",ISNA(MATCH(I972,{"DISC10","DISC15","DISC20","DISC30"},0))),0,J972)</f>
        <v>0</v>
      </c>
    </row>
    <row r="973" spans="1:13" x14ac:dyDescent="0.35">
      <c r="A973" s="1" t="s">
        <v>1213</v>
      </c>
      <c r="B973" s="1" t="s">
        <v>125</v>
      </c>
      <c r="C973" s="1" t="s">
        <v>30</v>
      </c>
      <c r="D973" s="1" t="s">
        <v>31</v>
      </c>
      <c r="E973" s="1" t="s">
        <v>32</v>
      </c>
      <c r="F973" s="1" t="s">
        <v>39</v>
      </c>
      <c r="G973" s="1" t="s">
        <v>26</v>
      </c>
      <c r="H973" s="1">
        <v>17887</v>
      </c>
      <c r="I973" s="1" t="s">
        <v>22</v>
      </c>
      <c r="J973" s="1">
        <v>0.1</v>
      </c>
      <c r="K973" s="1">
        <v>17000</v>
      </c>
      <c r="L973" s="2">
        <v>45327</v>
      </c>
      <c r="M973" s="11">
        <f>IF(OR(I973="",ISNA(MATCH(I973,{"DISC10","DISC15","DISC20","DISC30"},0))),0,J973)</f>
        <v>0.1</v>
      </c>
    </row>
    <row r="974" spans="1:13" x14ac:dyDescent="0.35">
      <c r="A974" s="1" t="s">
        <v>1214</v>
      </c>
      <c r="B974" s="1" t="s">
        <v>276</v>
      </c>
      <c r="C974" s="1" t="s">
        <v>44</v>
      </c>
      <c r="D974" s="1" t="s">
        <v>45</v>
      </c>
      <c r="E974" s="1" t="s">
        <v>32</v>
      </c>
      <c r="F974" s="1" t="s">
        <v>17</v>
      </c>
      <c r="G974" s="1" t="s">
        <v>18</v>
      </c>
      <c r="H974" s="1">
        <v>13210</v>
      </c>
      <c r="I974" s="1" t="s">
        <v>22</v>
      </c>
      <c r="J974" s="1">
        <v>0.1</v>
      </c>
      <c r="K974" s="1">
        <v>13000</v>
      </c>
      <c r="L974" s="2">
        <v>45333</v>
      </c>
      <c r="M974" s="11">
        <f>IF(OR(I974="",ISNA(MATCH(I974,{"DISC10","DISC15","DISC20","DISC30"},0))),0,J974)</f>
        <v>0.1</v>
      </c>
    </row>
    <row r="975" spans="1:13" x14ac:dyDescent="0.35">
      <c r="A975" s="1" t="s">
        <v>1215</v>
      </c>
      <c r="B975" s="1" t="s">
        <v>483</v>
      </c>
      <c r="C975" s="1" t="s">
        <v>44</v>
      </c>
      <c r="D975" s="1" t="s">
        <v>45</v>
      </c>
      <c r="E975" s="1" t="s">
        <v>16</v>
      </c>
      <c r="F975" s="1" t="s">
        <v>25</v>
      </c>
      <c r="G975" s="1" t="s">
        <v>36</v>
      </c>
      <c r="H975" s="1">
        <v>12444</v>
      </c>
      <c r="I975" s="1" t="s">
        <v>33</v>
      </c>
      <c r="J975" s="1">
        <v>0.3</v>
      </c>
      <c r="K975" s="1">
        <v>13000</v>
      </c>
      <c r="L975" s="2">
        <v>45324</v>
      </c>
      <c r="M975" s="11">
        <f>IF(OR(I975="",ISNA(MATCH(I975,{"DISC10","DISC15","DISC20","DISC30"},0))),0,J975)</f>
        <v>0.3</v>
      </c>
    </row>
    <row r="976" spans="1:13" x14ac:dyDescent="0.35">
      <c r="A976" s="1" t="s">
        <v>1216</v>
      </c>
      <c r="B976" s="1" t="s">
        <v>90</v>
      </c>
      <c r="C976" s="1" t="s">
        <v>30</v>
      </c>
      <c r="D976" s="1" t="s">
        <v>31</v>
      </c>
      <c r="E976" s="1" t="s">
        <v>32</v>
      </c>
      <c r="F976" s="1" t="s">
        <v>25</v>
      </c>
      <c r="G976" s="1" t="s">
        <v>36</v>
      </c>
      <c r="H976" s="1">
        <v>16414</v>
      </c>
      <c r="I976" s="1"/>
      <c r="J976" s="1"/>
      <c r="K976" s="1">
        <v>17000</v>
      </c>
      <c r="L976" s="2">
        <v>45323</v>
      </c>
      <c r="M976" s="11">
        <f>IF(OR(I976="",ISNA(MATCH(I976,{"DISC10","DISC15","DISC20","DISC30"},0))),0,J976)</f>
        <v>0</v>
      </c>
    </row>
    <row r="977" spans="1:13" x14ac:dyDescent="0.35">
      <c r="A977" s="1" t="s">
        <v>1217</v>
      </c>
      <c r="B977" s="1" t="s">
        <v>168</v>
      </c>
      <c r="C977" s="1" t="s">
        <v>14</v>
      </c>
      <c r="D977" s="1" t="s">
        <v>15</v>
      </c>
      <c r="E977" s="1" t="s">
        <v>46</v>
      </c>
      <c r="F977" s="1" t="s">
        <v>39</v>
      </c>
      <c r="G977" s="1" t="s">
        <v>26</v>
      </c>
      <c r="H977" s="1">
        <v>14778</v>
      </c>
      <c r="I977" s="1" t="s">
        <v>27</v>
      </c>
      <c r="J977" s="1"/>
      <c r="K977" s="1">
        <v>14000</v>
      </c>
      <c r="L977" s="2">
        <v>45349</v>
      </c>
      <c r="M977" s="11">
        <f>IF(OR(I977="",ISNA(MATCH(I977,{"DISC10","DISC15","DISC20","DISC30"},0))),0,J977)</f>
        <v>0</v>
      </c>
    </row>
    <row r="978" spans="1:13" x14ac:dyDescent="0.35">
      <c r="A978" s="1" t="s">
        <v>1218</v>
      </c>
      <c r="B978" s="1" t="s">
        <v>48</v>
      </c>
      <c r="C978" s="1" t="s">
        <v>30</v>
      </c>
      <c r="D978" s="1" t="s">
        <v>31</v>
      </c>
      <c r="E978" s="1" t="s">
        <v>16</v>
      </c>
      <c r="F978" s="1" t="s">
        <v>39</v>
      </c>
      <c r="G978" s="1" t="s">
        <v>18</v>
      </c>
      <c r="H978" s="1">
        <v>15771</v>
      </c>
      <c r="I978" s="1"/>
      <c r="J978" s="1"/>
      <c r="K978" s="1">
        <v>17000</v>
      </c>
      <c r="L978" s="2">
        <v>45297</v>
      </c>
      <c r="M978" s="11">
        <f>IF(OR(I978="",ISNA(MATCH(I978,{"DISC10","DISC15","DISC20","DISC30"},0))),0,J978)</f>
        <v>0</v>
      </c>
    </row>
    <row r="979" spans="1:13" x14ac:dyDescent="0.35">
      <c r="A979" s="1" t="s">
        <v>1219</v>
      </c>
      <c r="B979" s="1" t="s">
        <v>66</v>
      </c>
      <c r="C979" s="1" t="s">
        <v>44</v>
      </c>
      <c r="D979" s="1" t="s">
        <v>45</v>
      </c>
      <c r="E979" s="1" t="s">
        <v>46</v>
      </c>
      <c r="F979" s="1" t="s">
        <v>25</v>
      </c>
      <c r="G979" s="1" t="s">
        <v>18</v>
      </c>
      <c r="H979" s="1">
        <v>11674</v>
      </c>
      <c r="I979" s="1" t="s">
        <v>33</v>
      </c>
      <c r="J979" s="1">
        <v>0.3</v>
      </c>
      <c r="K979" s="1">
        <v>13000</v>
      </c>
      <c r="L979" s="2">
        <v>45299</v>
      </c>
      <c r="M979" s="11">
        <f>IF(OR(I979="",ISNA(MATCH(I979,{"DISC10","DISC15","DISC20","DISC30"},0))),0,J979)</f>
        <v>0.3</v>
      </c>
    </row>
    <row r="980" spans="1:13" x14ac:dyDescent="0.35">
      <c r="A980" s="1" t="s">
        <v>1220</v>
      </c>
      <c r="B980" s="1" t="s">
        <v>153</v>
      </c>
      <c r="C980" s="1" t="s">
        <v>61</v>
      </c>
      <c r="D980" s="1" t="s">
        <v>62</v>
      </c>
      <c r="E980" s="1" t="s">
        <v>32</v>
      </c>
      <c r="F980" s="1" t="s">
        <v>25</v>
      </c>
      <c r="G980" s="1" t="s">
        <v>26</v>
      </c>
      <c r="H980" s="1">
        <v>10899</v>
      </c>
      <c r="I980" s="1" t="s">
        <v>22</v>
      </c>
      <c r="J980" s="1">
        <v>0.1</v>
      </c>
      <c r="K980" s="1">
        <v>9000</v>
      </c>
      <c r="L980" s="2">
        <v>45310</v>
      </c>
      <c r="M980" s="11">
        <f>IF(OR(I980="",ISNA(MATCH(I980,{"DISC10","DISC15","DISC20","DISC30"},0))),0,J980)</f>
        <v>0.1</v>
      </c>
    </row>
    <row r="981" spans="1:13" x14ac:dyDescent="0.35">
      <c r="A981" s="1" t="s">
        <v>1221</v>
      </c>
      <c r="B981" s="1" t="s">
        <v>274</v>
      </c>
      <c r="C981" s="1" t="s">
        <v>44</v>
      </c>
      <c r="D981" s="1" t="s">
        <v>45</v>
      </c>
      <c r="E981" s="1" t="s">
        <v>46</v>
      </c>
      <c r="F981" s="1" t="s">
        <v>17</v>
      </c>
      <c r="G981" s="1" t="s">
        <v>36</v>
      </c>
      <c r="H981" s="1">
        <v>12818</v>
      </c>
      <c r="I981" s="1" t="s">
        <v>22</v>
      </c>
      <c r="J981" s="1">
        <v>0.1</v>
      </c>
      <c r="K981" s="1">
        <v>13000</v>
      </c>
      <c r="L981" s="2">
        <v>45310</v>
      </c>
      <c r="M981" s="11">
        <f>IF(OR(I981="",ISNA(MATCH(I981,{"DISC10","DISC15","DISC20","DISC30"},0))),0,J981)</f>
        <v>0.1</v>
      </c>
    </row>
    <row r="982" spans="1:13" x14ac:dyDescent="0.35">
      <c r="A982" s="1" t="s">
        <v>1222</v>
      </c>
      <c r="B982" s="1" t="s">
        <v>229</v>
      </c>
      <c r="C982" s="1" t="s">
        <v>14</v>
      </c>
      <c r="D982" s="1" t="s">
        <v>15</v>
      </c>
      <c r="E982" s="1" t="s">
        <v>32</v>
      </c>
      <c r="F982" s="1" t="s">
        <v>39</v>
      </c>
      <c r="G982" s="1" t="s">
        <v>26</v>
      </c>
      <c r="H982" s="1">
        <v>13375</v>
      </c>
      <c r="I982" s="1"/>
      <c r="J982" s="1"/>
      <c r="K982" s="1">
        <v>14000</v>
      </c>
      <c r="L982" s="2">
        <v>45329</v>
      </c>
      <c r="M982" s="11">
        <f>IF(OR(I982="",ISNA(MATCH(I982,{"DISC10","DISC15","DISC20","DISC30"},0))),0,J982)</f>
        <v>0</v>
      </c>
    </row>
    <row r="983" spans="1:13" x14ac:dyDescent="0.35">
      <c r="A983" s="1" t="s">
        <v>1223</v>
      </c>
      <c r="B983" s="1" t="s">
        <v>150</v>
      </c>
      <c r="C983" s="1" t="s">
        <v>30</v>
      </c>
      <c r="D983" s="1" t="s">
        <v>31</v>
      </c>
      <c r="E983" s="1" t="s">
        <v>46</v>
      </c>
      <c r="F983" s="1" t="s">
        <v>39</v>
      </c>
      <c r="G983" s="1" t="s">
        <v>26</v>
      </c>
      <c r="H983" s="1">
        <v>17854</v>
      </c>
      <c r="I983" s="1" t="s">
        <v>27</v>
      </c>
      <c r="J983" s="1"/>
      <c r="K983" s="1">
        <v>17000</v>
      </c>
      <c r="L983" s="2">
        <v>45345</v>
      </c>
      <c r="M983" s="11">
        <f>IF(OR(I983="",ISNA(MATCH(I983,{"DISC10","DISC15","DISC20","DISC30"},0))),0,J983)</f>
        <v>0</v>
      </c>
    </row>
    <row r="984" spans="1:13" x14ac:dyDescent="0.35">
      <c r="A984" s="1" t="s">
        <v>1224</v>
      </c>
      <c r="B984" s="1" t="s">
        <v>544</v>
      </c>
      <c r="C984" s="1" t="s">
        <v>61</v>
      </c>
      <c r="D984" s="1" t="s">
        <v>62</v>
      </c>
      <c r="E984" s="1" t="s">
        <v>46</v>
      </c>
      <c r="F984" s="1" t="s">
        <v>39</v>
      </c>
      <c r="G984" s="1" t="s">
        <v>18</v>
      </c>
      <c r="H984" s="1">
        <v>10679</v>
      </c>
      <c r="I984" s="1" t="s">
        <v>33</v>
      </c>
      <c r="J984" s="1">
        <v>0.3</v>
      </c>
      <c r="K984" s="1">
        <v>9000</v>
      </c>
      <c r="L984" s="2">
        <v>45302</v>
      </c>
      <c r="M984" s="11">
        <f>IF(OR(I984="",ISNA(MATCH(I984,{"DISC10","DISC15","DISC20","DISC30"},0))),0,J984)</f>
        <v>0.3</v>
      </c>
    </row>
    <row r="985" spans="1:13" x14ac:dyDescent="0.35">
      <c r="A985" s="1" t="s">
        <v>1225</v>
      </c>
      <c r="B985" s="1" t="s">
        <v>1073</v>
      </c>
      <c r="C985" s="1" t="s">
        <v>44</v>
      </c>
      <c r="D985" s="1" t="s">
        <v>45</v>
      </c>
      <c r="E985" s="1" t="s">
        <v>46</v>
      </c>
      <c r="F985" s="1" t="s">
        <v>17</v>
      </c>
      <c r="G985" s="1" t="s">
        <v>36</v>
      </c>
      <c r="H985" s="1">
        <v>14152</v>
      </c>
      <c r="I985" s="1" t="s">
        <v>22</v>
      </c>
      <c r="J985" s="1">
        <v>0.1</v>
      </c>
      <c r="K985" s="1">
        <v>13000</v>
      </c>
      <c r="L985" s="2">
        <v>45301</v>
      </c>
      <c r="M985" s="11">
        <f>IF(OR(I985="",ISNA(MATCH(I985,{"DISC10","DISC15","DISC20","DISC30"},0))),0,J985)</f>
        <v>0.1</v>
      </c>
    </row>
    <row r="986" spans="1:13" x14ac:dyDescent="0.35">
      <c r="A986" s="1" t="s">
        <v>1226</v>
      </c>
      <c r="B986" s="1" t="s">
        <v>1105</v>
      </c>
      <c r="C986" s="1" t="s">
        <v>61</v>
      </c>
      <c r="D986" s="1" t="s">
        <v>62</v>
      </c>
      <c r="E986" s="1" t="s">
        <v>32</v>
      </c>
      <c r="F986" s="1" t="s">
        <v>39</v>
      </c>
      <c r="G986" s="1" t="s">
        <v>18</v>
      </c>
      <c r="H986" s="1">
        <v>9915</v>
      </c>
      <c r="I986" s="1" t="s">
        <v>27</v>
      </c>
      <c r="J986" s="1"/>
      <c r="K986" s="1">
        <v>9000</v>
      </c>
      <c r="L986" s="2">
        <v>45310</v>
      </c>
      <c r="M986" s="11">
        <f>IF(OR(I986="",ISNA(MATCH(I986,{"DISC10","DISC15","DISC20","DISC30"},0))),0,J986)</f>
        <v>0</v>
      </c>
    </row>
    <row r="987" spans="1:13" x14ac:dyDescent="0.35">
      <c r="A987" s="1" t="s">
        <v>1227</v>
      </c>
      <c r="B987" s="1" t="s">
        <v>175</v>
      </c>
      <c r="C987" s="1" t="s">
        <v>44</v>
      </c>
      <c r="D987" s="1" t="s">
        <v>45</v>
      </c>
      <c r="E987" s="1" t="s">
        <v>32</v>
      </c>
      <c r="F987" s="1" t="s">
        <v>25</v>
      </c>
      <c r="G987" s="1" t="s">
        <v>18</v>
      </c>
      <c r="H987" s="1">
        <v>11168</v>
      </c>
      <c r="I987" s="1" t="s">
        <v>33</v>
      </c>
      <c r="J987" s="1">
        <v>0.3</v>
      </c>
      <c r="K987" s="1">
        <v>13000</v>
      </c>
      <c r="L987" s="2">
        <v>45328</v>
      </c>
      <c r="M987" s="11">
        <f>IF(OR(I987="",ISNA(MATCH(I987,{"DISC10","DISC15","DISC20","DISC30"},0))),0,J987)</f>
        <v>0.3</v>
      </c>
    </row>
    <row r="988" spans="1:13" x14ac:dyDescent="0.35">
      <c r="A988" s="1" t="s">
        <v>1228</v>
      </c>
      <c r="B988" s="1" t="s">
        <v>429</v>
      </c>
      <c r="C988" s="1" t="s">
        <v>30</v>
      </c>
      <c r="D988" s="1" t="s">
        <v>31</v>
      </c>
      <c r="E988" s="1" t="s">
        <v>46</v>
      </c>
      <c r="F988" s="1" t="s">
        <v>25</v>
      </c>
      <c r="G988" s="1" t="s">
        <v>18</v>
      </c>
      <c r="H988" s="1">
        <v>17303</v>
      </c>
      <c r="I988" s="1" t="s">
        <v>22</v>
      </c>
      <c r="J988" s="1">
        <v>0.1</v>
      </c>
      <c r="K988" s="1">
        <v>17000</v>
      </c>
      <c r="L988" s="2">
        <v>45334</v>
      </c>
      <c r="M988" s="11">
        <f>IF(OR(I988="",ISNA(MATCH(I988,{"DISC10","DISC15","DISC20","DISC30"},0))),0,J988)</f>
        <v>0.1</v>
      </c>
    </row>
    <row r="989" spans="1:13" x14ac:dyDescent="0.35">
      <c r="A989" s="1" t="s">
        <v>1229</v>
      </c>
      <c r="B989" s="1" t="s">
        <v>282</v>
      </c>
      <c r="C989" s="1" t="s">
        <v>44</v>
      </c>
      <c r="D989" s="1" t="s">
        <v>45</v>
      </c>
      <c r="E989" s="1" t="s">
        <v>46</v>
      </c>
      <c r="F989" s="1" t="s">
        <v>17</v>
      </c>
      <c r="G989" s="1" t="s">
        <v>26</v>
      </c>
      <c r="H989" s="1">
        <v>14995</v>
      </c>
      <c r="I989" s="1" t="s">
        <v>19</v>
      </c>
      <c r="J989" s="1">
        <v>0.2</v>
      </c>
      <c r="K989" s="1">
        <v>13000</v>
      </c>
      <c r="L989" s="2">
        <v>45326</v>
      </c>
      <c r="M989" s="11">
        <f>IF(OR(I989="",ISNA(MATCH(I989,{"DISC10","DISC15","DISC20","DISC30"},0))),0,J989)</f>
        <v>0.2</v>
      </c>
    </row>
    <row r="990" spans="1:13" x14ac:dyDescent="0.35">
      <c r="A990" s="1" t="s">
        <v>1230</v>
      </c>
      <c r="B990" s="1" t="s">
        <v>222</v>
      </c>
      <c r="C990" s="1" t="s">
        <v>14</v>
      </c>
      <c r="D990" s="1" t="s">
        <v>15</v>
      </c>
      <c r="E990" s="1" t="s">
        <v>46</v>
      </c>
      <c r="F990" s="1" t="s">
        <v>17</v>
      </c>
      <c r="G990" s="1" t="s">
        <v>18</v>
      </c>
      <c r="H990" s="1">
        <v>15882</v>
      </c>
      <c r="I990" s="1"/>
      <c r="J990" s="1"/>
      <c r="K990" s="1">
        <v>14000</v>
      </c>
      <c r="L990" s="2">
        <v>45351</v>
      </c>
      <c r="M990" s="11">
        <f>IF(OR(I990="",ISNA(MATCH(I990,{"DISC10","DISC15","DISC20","DISC30"},0))),0,J990)</f>
        <v>0</v>
      </c>
    </row>
    <row r="991" spans="1:13" x14ac:dyDescent="0.35">
      <c r="A991" s="1" t="s">
        <v>1231</v>
      </c>
      <c r="B991" s="1" t="s">
        <v>728</v>
      </c>
      <c r="C991" s="1" t="s">
        <v>14</v>
      </c>
      <c r="D991" s="1" t="s">
        <v>15</v>
      </c>
      <c r="E991" s="1" t="s">
        <v>16</v>
      </c>
      <c r="F991" s="1" t="s">
        <v>39</v>
      </c>
      <c r="G991" s="1" t="s">
        <v>26</v>
      </c>
      <c r="H991" s="1">
        <v>13356</v>
      </c>
      <c r="I991" s="1" t="s">
        <v>33</v>
      </c>
      <c r="J991" s="1">
        <v>0.3</v>
      </c>
      <c r="K991" s="1">
        <v>14000</v>
      </c>
      <c r="L991" s="2">
        <v>45322</v>
      </c>
      <c r="M991" s="11">
        <f>IF(OR(I991="",ISNA(MATCH(I991,{"DISC10","DISC15","DISC20","DISC30"},0))),0,J991)</f>
        <v>0.3</v>
      </c>
    </row>
    <row r="992" spans="1:13" x14ac:dyDescent="0.35">
      <c r="A992" s="1" t="s">
        <v>1232</v>
      </c>
      <c r="B992" s="1" t="s">
        <v>111</v>
      </c>
      <c r="C992" s="1" t="s">
        <v>44</v>
      </c>
      <c r="D992" s="1" t="s">
        <v>45</v>
      </c>
      <c r="E992" s="1" t="s">
        <v>16</v>
      </c>
      <c r="F992" s="1" t="s">
        <v>39</v>
      </c>
      <c r="G992" s="1" t="s">
        <v>36</v>
      </c>
      <c r="H992" s="1">
        <v>12387</v>
      </c>
      <c r="I992" s="1" t="s">
        <v>22</v>
      </c>
      <c r="J992" s="1">
        <v>0.1</v>
      </c>
      <c r="K992" s="1">
        <v>13000</v>
      </c>
      <c r="L992" s="2">
        <v>45338</v>
      </c>
      <c r="M992" s="11">
        <f>IF(OR(I992="",ISNA(MATCH(I992,{"DISC10","DISC15","DISC20","DISC30"},0))),0,J992)</f>
        <v>0.1</v>
      </c>
    </row>
    <row r="993" spans="1:13" x14ac:dyDescent="0.35">
      <c r="A993" s="1" t="s">
        <v>1233</v>
      </c>
      <c r="B993" s="1" t="s">
        <v>711</v>
      </c>
      <c r="C993" s="1" t="s">
        <v>44</v>
      </c>
      <c r="D993" s="1" t="s">
        <v>45</v>
      </c>
      <c r="E993" s="1" t="s">
        <v>16</v>
      </c>
      <c r="F993" s="1" t="s">
        <v>39</v>
      </c>
      <c r="G993" s="1" t="s">
        <v>18</v>
      </c>
      <c r="H993" s="1">
        <v>12261</v>
      </c>
      <c r="I993" s="1" t="s">
        <v>22</v>
      </c>
      <c r="J993" s="1">
        <v>0.1</v>
      </c>
      <c r="K993" s="1">
        <v>13000</v>
      </c>
      <c r="L993" s="2">
        <v>45317</v>
      </c>
      <c r="M993" s="11">
        <f>IF(OR(I993="",ISNA(MATCH(I993,{"DISC10","DISC15","DISC20","DISC30"},0))),0,J993)</f>
        <v>0.1</v>
      </c>
    </row>
    <row r="994" spans="1:13" x14ac:dyDescent="0.35">
      <c r="A994" s="1" t="s">
        <v>1234</v>
      </c>
      <c r="B994" s="1" t="s">
        <v>837</v>
      </c>
      <c r="C994" s="1" t="s">
        <v>44</v>
      </c>
      <c r="D994" s="1" t="s">
        <v>45</v>
      </c>
      <c r="E994" s="1" t="s">
        <v>46</v>
      </c>
      <c r="F994" s="1" t="s">
        <v>17</v>
      </c>
      <c r="G994" s="1" t="s">
        <v>18</v>
      </c>
      <c r="H994" s="1">
        <v>12336</v>
      </c>
      <c r="I994" s="1" t="s">
        <v>22</v>
      </c>
      <c r="J994" s="1">
        <v>0.1</v>
      </c>
      <c r="K994" s="1">
        <v>13000</v>
      </c>
      <c r="L994" s="2">
        <v>45330</v>
      </c>
      <c r="M994" s="11">
        <f>IF(OR(I994="",ISNA(MATCH(I994,{"DISC10","DISC15","DISC20","DISC30"},0))),0,J994)</f>
        <v>0.1</v>
      </c>
    </row>
    <row r="995" spans="1:13" x14ac:dyDescent="0.35">
      <c r="A995" s="1" t="s">
        <v>1235</v>
      </c>
      <c r="B995" s="1" t="s">
        <v>239</v>
      </c>
      <c r="C995" s="1" t="s">
        <v>44</v>
      </c>
      <c r="D995" s="1" t="s">
        <v>45</v>
      </c>
      <c r="E995" s="1" t="s">
        <v>46</v>
      </c>
      <c r="F995" s="1" t="s">
        <v>25</v>
      </c>
      <c r="G995" s="1" t="s">
        <v>18</v>
      </c>
      <c r="H995" s="1">
        <v>11342</v>
      </c>
      <c r="I995" s="1" t="s">
        <v>27</v>
      </c>
      <c r="J995" s="1"/>
      <c r="K995" s="1">
        <v>13000</v>
      </c>
      <c r="L995" s="2">
        <v>45346</v>
      </c>
      <c r="M995" s="11">
        <f>IF(OR(I995="",ISNA(MATCH(I995,{"DISC10","DISC15","DISC20","DISC30"},0))),0,J995)</f>
        <v>0</v>
      </c>
    </row>
    <row r="996" spans="1:13" x14ac:dyDescent="0.35">
      <c r="A996" s="1" t="s">
        <v>1236</v>
      </c>
      <c r="B996" s="1" t="s">
        <v>332</v>
      </c>
      <c r="C996" s="1" t="s">
        <v>14</v>
      </c>
      <c r="D996" s="1" t="s">
        <v>15</v>
      </c>
      <c r="E996" s="1" t="s">
        <v>16</v>
      </c>
      <c r="F996" s="1" t="s">
        <v>17</v>
      </c>
      <c r="G996" s="1" t="s">
        <v>18</v>
      </c>
      <c r="H996" s="1">
        <v>14008</v>
      </c>
      <c r="I996" s="1" t="s">
        <v>33</v>
      </c>
      <c r="J996" s="1">
        <v>0.3</v>
      </c>
      <c r="K996" s="1">
        <v>14000</v>
      </c>
      <c r="L996" s="2">
        <v>45330</v>
      </c>
      <c r="M996" s="11">
        <f>IF(OR(I996="",ISNA(MATCH(I996,{"DISC10","DISC15","DISC20","DISC30"},0))),0,J996)</f>
        <v>0.3</v>
      </c>
    </row>
    <row r="997" spans="1:13" x14ac:dyDescent="0.35">
      <c r="A997" s="1" t="s">
        <v>1237</v>
      </c>
      <c r="B997" s="1" t="s">
        <v>86</v>
      </c>
      <c r="C997" s="1" t="s">
        <v>14</v>
      </c>
      <c r="D997" s="1" t="s">
        <v>15</v>
      </c>
      <c r="E997" s="1" t="s">
        <v>16</v>
      </c>
      <c r="F997" s="1" t="s">
        <v>17</v>
      </c>
      <c r="G997" s="1" t="s">
        <v>36</v>
      </c>
      <c r="H997" s="1">
        <v>12605</v>
      </c>
      <c r="I997" s="1"/>
      <c r="J997" s="1"/>
      <c r="K997" s="1">
        <v>14000</v>
      </c>
      <c r="L997" s="2">
        <v>45315</v>
      </c>
      <c r="M997" s="11">
        <f>IF(OR(I997="",ISNA(MATCH(I997,{"DISC10","DISC15","DISC20","DISC30"},0))),0,J997)</f>
        <v>0</v>
      </c>
    </row>
    <row r="998" spans="1:13" x14ac:dyDescent="0.35">
      <c r="A998" s="1" t="s">
        <v>1238</v>
      </c>
      <c r="B998" s="1" t="s">
        <v>474</v>
      </c>
      <c r="C998" s="1" t="s">
        <v>14</v>
      </c>
      <c r="D998" s="1" t="s">
        <v>15</v>
      </c>
      <c r="E998" s="1" t="s">
        <v>46</v>
      </c>
      <c r="F998" s="1" t="s">
        <v>17</v>
      </c>
      <c r="G998" s="1" t="s">
        <v>36</v>
      </c>
      <c r="H998" s="1">
        <v>13261</v>
      </c>
      <c r="I998" s="1"/>
      <c r="J998" s="1"/>
      <c r="K998" s="1">
        <v>14000</v>
      </c>
      <c r="L998" s="2">
        <v>45347</v>
      </c>
      <c r="M998" s="11">
        <f>IF(OR(I998="",ISNA(MATCH(I998,{"DISC10","DISC15","DISC20","DISC30"},0))),0,J998)</f>
        <v>0</v>
      </c>
    </row>
    <row r="999" spans="1:13" x14ac:dyDescent="0.35">
      <c r="A999" s="1" t="s">
        <v>1239</v>
      </c>
      <c r="B999" s="1" t="s">
        <v>905</v>
      </c>
      <c r="C999" s="1" t="s">
        <v>44</v>
      </c>
      <c r="D999" s="1" t="s">
        <v>45</v>
      </c>
      <c r="E999" s="1" t="s">
        <v>16</v>
      </c>
      <c r="F999" s="1" t="s">
        <v>17</v>
      </c>
      <c r="G999" s="1" t="s">
        <v>26</v>
      </c>
      <c r="H999" s="1">
        <v>12702</v>
      </c>
      <c r="I999" s="1"/>
      <c r="J999" s="1"/>
      <c r="K999" s="1">
        <v>13000</v>
      </c>
      <c r="L999" s="2">
        <v>45310</v>
      </c>
      <c r="M999" s="11">
        <f>IF(OR(I999="",ISNA(MATCH(I999,{"DISC10","DISC15","DISC20","DISC30"},0))),0,J999)</f>
        <v>0</v>
      </c>
    </row>
    <row r="1000" spans="1:13" x14ac:dyDescent="0.35">
      <c r="A1000" s="1" t="s">
        <v>1240</v>
      </c>
      <c r="B1000" s="1" t="s">
        <v>135</v>
      </c>
      <c r="C1000" s="1" t="s">
        <v>61</v>
      </c>
      <c r="D1000" s="1" t="s">
        <v>62</v>
      </c>
      <c r="E1000" s="1" t="s">
        <v>16</v>
      </c>
      <c r="F1000" s="1" t="s">
        <v>17</v>
      </c>
      <c r="G1000" s="1" t="s">
        <v>18</v>
      </c>
      <c r="H1000" s="1">
        <v>10422</v>
      </c>
      <c r="I1000" s="1" t="s">
        <v>27</v>
      </c>
      <c r="J1000" s="1"/>
      <c r="K1000" s="1">
        <v>9000</v>
      </c>
      <c r="L1000" s="2">
        <v>45330</v>
      </c>
      <c r="M1000" s="11">
        <f>IF(OR(I1000="",ISNA(MATCH(I1000,{"DISC10","DISC15","DISC20","DISC30"},0))),0,J1000)</f>
        <v>0</v>
      </c>
    </row>
    <row r="1001" spans="1:13"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c r="M1001" s="11">
        <f>IF(OR(I1001="",ISNA(MATCH(I1001,{"DISC10","DISC15","DISC20","DISC30"},0))),0,J1001)</f>
        <v>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ECC3D-EE84-4EB1-BD52-91BB32E530C5}">
  <dimension ref="A1:B3"/>
  <sheetViews>
    <sheetView workbookViewId="0">
      <selection activeCell="B10" sqref="B10"/>
    </sheetView>
  </sheetViews>
  <sheetFormatPr defaultRowHeight="14.5" x14ac:dyDescent="0.35"/>
  <cols>
    <col min="1" max="1" width="14.08984375" customWidth="1"/>
    <col min="2" max="2" width="13.08984375" customWidth="1"/>
  </cols>
  <sheetData>
    <row r="1" spans="1:2" x14ac:dyDescent="0.35">
      <c r="A1" s="6" t="s">
        <v>1251</v>
      </c>
      <c r="B1" s="6" t="s">
        <v>1252</v>
      </c>
    </row>
    <row r="2" spans="1:2" x14ac:dyDescent="0.35">
      <c r="A2" s="3" t="s">
        <v>13</v>
      </c>
      <c r="B2" s="5" t="str">
        <f>INDEX(Dataset!$G$1:$G$1001,MATCH('Q7'!A2,Dataset!$B$1:$B$1001,0))</f>
        <v>Web</v>
      </c>
    </row>
    <row r="3" spans="1:2" x14ac:dyDescent="0.35">
      <c r="A3" s="3" t="s">
        <v>66</v>
      </c>
      <c r="B3" s="5" t="str">
        <f>INDEX(Dataset!$G$1:$G$1001,MATCH('Q7'!A3,Dataset!$B$1:$B$1001,0))</f>
        <v>Tablet</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AF2AE-CE7C-4802-88F4-C8758E811260}">
  <dimension ref="A1:M1001"/>
  <sheetViews>
    <sheetView topLeftCell="H1" workbookViewId="0">
      <selection activeCell="N16" sqref="N16"/>
    </sheetView>
  </sheetViews>
  <sheetFormatPr defaultRowHeight="14.5" x14ac:dyDescent="0.35"/>
  <cols>
    <col min="1" max="1" width="8.81640625" bestFit="1" customWidth="1"/>
    <col min="2" max="2" width="13.54296875" bestFit="1" customWidth="1"/>
    <col min="3" max="3" width="8.36328125" bestFit="1" customWidth="1"/>
    <col min="4" max="4" width="12.453125" bestFit="1" customWidth="1"/>
    <col min="5" max="5" width="7.26953125" bestFit="1" customWidth="1"/>
    <col min="6" max="6" width="11.36328125" bestFit="1" customWidth="1"/>
    <col min="7" max="7" width="7.7265625" bestFit="1" customWidth="1"/>
    <col min="8" max="8" width="14.26953125" bestFit="1" customWidth="1"/>
    <col min="9" max="9" width="12.36328125" bestFit="1" customWidth="1"/>
    <col min="10" max="10" width="14.54296875" bestFit="1" customWidth="1"/>
    <col min="11" max="11" width="12.90625" bestFit="1" customWidth="1"/>
    <col min="12" max="12" width="11.81640625" bestFit="1" customWidth="1"/>
    <col min="13" max="13" width="32.0898437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3" t="s">
        <v>1254</v>
      </c>
    </row>
    <row r="2" spans="1:13" x14ac:dyDescent="0.35">
      <c r="A2" s="1" t="s">
        <v>12</v>
      </c>
      <c r="B2" s="1" t="s">
        <v>13</v>
      </c>
      <c r="C2" s="1" t="s">
        <v>14</v>
      </c>
      <c r="D2" s="1" t="s">
        <v>15</v>
      </c>
      <c r="E2" s="1" t="s">
        <v>16</v>
      </c>
      <c r="F2" s="1" t="s">
        <v>17</v>
      </c>
      <c r="G2" s="1" t="s">
        <v>18</v>
      </c>
      <c r="H2" s="1">
        <v>12914</v>
      </c>
      <c r="I2" s="1" t="s">
        <v>19</v>
      </c>
      <c r="J2" s="1">
        <v>0.2</v>
      </c>
      <c r="K2" s="1">
        <v>14000</v>
      </c>
      <c r="L2" s="2">
        <v>45339</v>
      </c>
      <c r="M2" s="14" cm="1">
        <f t="array" ref="M2">SUM($H$2:$H$1001*(1-$J$2:$J$1001))</f>
        <v>11745722.800000004</v>
      </c>
    </row>
    <row r="3" spans="1:13" x14ac:dyDescent="0.35">
      <c r="A3" s="1" t="s">
        <v>20</v>
      </c>
      <c r="B3" s="1" t="s">
        <v>21</v>
      </c>
      <c r="C3" s="1" t="s">
        <v>14</v>
      </c>
      <c r="D3" s="1" t="s">
        <v>15</v>
      </c>
      <c r="E3" s="1" t="s">
        <v>16</v>
      </c>
      <c r="F3" s="1" t="s">
        <v>17</v>
      </c>
      <c r="G3" s="1" t="s">
        <v>18</v>
      </c>
      <c r="H3" s="1">
        <v>12122</v>
      </c>
      <c r="I3" s="1" t="s">
        <v>22</v>
      </c>
      <c r="J3" s="1">
        <v>0.1</v>
      </c>
      <c r="K3" s="1">
        <v>14000</v>
      </c>
      <c r="L3" s="2">
        <v>45305</v>
      </c>
      <c r="M3" s="15"/>
    </row>
    <row r="4" spans="1:13" x14ac:dyDescent="0.35">
      <c r="A4" s="1" t="s">
        <v>23</v>
      </c>
      <c r="B4" s="1" t="s">
        <v>24</v>
      </c>
      <c r="C4" s="1" t="s">
        <v>14</v>
      </c>
      <c r="D4" s="1" t="s">
        <v>15</v>
      </c>
      <c r="E4" s="1" t="s">
        <v>16</v>
      </c>
      <c r="F4" s="1" t="s">
        <v>25</v>
      </c>
      <c r="G4" s="1" t="s">
        <v>26</v>
      </c>
      <c r="H4" s="1">
        <v>14661</v>
      </c>
      <c r="I4" s="1" t="s">
        <v>27</v>
      </c>
      <c r="J4" s="1"/>
      <c r="K4" s="1">
        <v>14000</v>
      </c>
      <c r="L4" s="2">
        <v>45318</v>
      </c>
      <c r="M4" s="15"/>
    </row>
    <row r="5" spans="1:13" x14ac:dyDescent="0.35">
      <c r="A5" s="1" t="s">
        <v>28</v>
      </c>
      <c r="B5" s="1" t="s">
        <v>29</v>
      </c>
      <c r="C5" s="1" t="s">
        <v>30</v>
      </c>
      <c r="D5" s="1" t="s">
        <v>31</v>
      </c>
      <c r="E5" s="1" t="s">
        <v>32</v>
      </c>
      <c r="F5" s="1" t="s">
        <v>25</v>
      </c>
      <c r="G5" s="1" t="s">
        <v>26</v>
      </c>
      <c r="H5" s="1">
        <v>16731</v>
      </c>
      <c r="I5" s="1" t="s">
        <v>33</v>
      </c>
      <c r="J5" s="1">
        <v>0.3</v>
      </c>
      <c r="K5" s="1">
        <v>17000</v>
      </c>
      <c r="L5" s="2">
        <v>45309</v>
      </c>
      <c r="M5" s="16" t="s">
        <v>1253</v>
      </c>
    </row>
    <row r="6" spans="1:13" x14ac:dyDescent="0.35">
      <c r="A6" s="1" t="s">
        <v>34</v>
      </c>
      <c r="B6" s="1" t="s">
        <v>35</v>
      </c>
      <c r="C6" s="1" t="s">
        <v>30</v>
      </c>
      <c r="D6" s="1" t="s">
        <v>31</v>
      </c>
      <c r="E6" s="1" t="s">
        <v>32</v>
      </c>
      <c r="F6" s="1" t="s">
        <v>25</v>
      </c>
      <c r="G6" s="1" t="s">
        <v>36</v>
      </c>
      <c r="H6" s="1">
        <v>15396</v>
      </c>
      <c r="I6" s="1" t="s">
        <v>33</v>
      </c>
      <c r="J6" s="1">
        <v>0.3</v>
      </c>
      <c r="K6" s="1">
        <v>17000</v>
      </c>
      <c r="L6" s="2">
        <v>45346</v>
      </c>
      <c r="M6" s="17">
        <f>SUM($H$2:$H$1001)</f>
        <v>13395293</v>
      </c>
    </row>
    <row r="7" spans="1:13" x14ac:dyDescent="0.35">
      <c r="A7" s="1" t="s">
        <v>37</v>
      </c>
      <c r="B7" s="1" t="s">
        <v>38</v>
      </c>
      <c r="C7" s="1" t="s">
        <v>30</v>
      </c>
      <c r="D7" s="1" t="s">
        <v>31</v>
      </c>
      <c r="E7" s="1" t="s">
        <v>32</v>
      </c>
      <c r="F7" s="1" t="s">
        <v>39</v>
      </c>
      <c r="G7" s="1" t="s">
        <v>36</v>
      </c>
      <c r="H7" s="1">
        <v>17196</v>
      </c>
      <c r="I7" s="1" t="s">
        <v>22</v>
      </c>
      <c r="J7" s="1">
        <v>0.1</v>
      </c>
      <c r="K7" s="1">
        <v>17000</v>
      </c>
      <c r="L7" s="2">
        <v>45351</v>
      </c>
      <c r="M7" s="15"/>
    </row>
    <row r="8" spans="1:13" x14ac:dyDescent="0.35">
      <c r="A8" s="1" t="s">
        <v>40</v>
      </c>
      <c r="B8" s="1" t="s">
        <v>41</v>
      </c>
      <c r="C8" s="1" t="s">
        <v>30</v>
      </c>
      <c r="D8" s="1" t="s">
        <v>31</v>
      </c>
      <c r="E8" s="1" t="s">
        <v>16</v>
      </c>
      <c r="F8" s="1" t="s">
        <v>39</v>
      </c>
      <c r="G8" s="1" t="s">
        <v>36</v>
      </c>
      <c r="H8" s="1">
        <v>17364</v>
      </c>
      <c r="I8" s="1" t="s">
        <v>19</v>
      </c>
      <c r="J8" s="1">
        <v>0.2</v>
      </c>
      <c r="K8" s="1">
        <v>17000</v>
      </c>
      <c r="L8" s="2">
        <v>45337</v>
      </c>
      <c r="M8" s="16" t="s">
        <v>1255</v>
      </c>
    </row>
    <row r="9" spans="1:13" ht="15" thickBot="1" x14ac:dyDescent="0.4">
      <c r="A9" s="1" t="s">
        <v>42</v>
      </c>
      <c r="B9" s="1" t="s">
        <v>43</v>
      </c>
      <c r="C9" s="1" t="s">
        <v>44</v>
      </c>
      <c r="D9" s="1" t="s">
        <v>45</v>
      </c>
      <c r="E9" s="1" t="s">
        <v>46</v>
      </c>
      <c r="F9" s="1" t="s">
        <v>25</v>
      </c>
      <c r="G9" s="1" t="s">
        <v>18</v>
      </c>
      <c r="H9" s="1">
        <v>14549</v>
      </c>
      <c r="I9" s="1" t="s">
        <v>22</v>
      </c>
      <c r="J9" s="1">
        <v>0.1</v>
      </c>
      <c r="K9" s="1">
        <v>13000</v>
      </c>
      <c r="L9" s="2">
        <v>45316</v>
      </c>
      <c r="M9" s="18">
        <f>M6-M2</f>
        <v>1649570.1999999955</v>
      </c>
    </row>
    <row r="10" spans="1:13" x14ac:dyDescent="0.35">
      <c r="A10" s="1" t="s">
        <v>47</v>
      </c>
      <c r="B10" s="1" t="s">
        <v>48</v>
      </c>
      <c r="C10" s="1" t="s">
        <v>30</v>
      </c>
      <c r="D10" s="1" t="s">
        <v>31</v>
      </c>
      <c r="E10" s="1" t="s">
        <v>32</v>
      </c>
      <c r="F10" s="1" t="s">
        <v>17</v>
      </c>
      <c r="G10" s="1" t="s">
        <v>36</v>
      </c>
      <c r="H10" s="1">
        <v>15858</v>
      </c>
      <c r="I10" s="1" t="s">
        <v>33</v>
      </c>
      <c r="J10" s="1">
        <v>0.3</v>
      </c>
      <c r="K10" s="1">
        <v>17000</v>
      </c>
      <c r="L10" s="2">
        <v>45336</v>
      </c>
    </row>
    <row r="11" spans="1:13" x14ac:dyDescent="0.35">
      <c r="A11" s="1" t="s">
        <v>49</v>
      </c>
      <c r="B11" s="1" t="s">
        <v>50</v>
      </c>
      <c r="C11" s="1" t="s">
        <v>14</v>
      </c>
      <c r="D11" s="1" t="s">
        <v>15</v>
      </c>
      <c r="E11" s="1" t="s">
        <v>16</v>
      </c>
      <c r="F11" s="1" t="s">
        <v>39</v>
      </c>
      <c r="G11" s="1" t="s">
        <v>18</v>
      </c>
      <c r="H11" s="1">
        <v>14187</v>
      </c>
      <c r="I11" s="1" t="s">
        <v>19</v>
      </c>
      <c r="J11" s="1">
        <v>0.2</v>
      </c>
      <c r="K11" s="1">
        <v>14000</v>
      </c>
      <c r="L11" s="2">
        <v>45302</v>
      </c>
    </row>
    <row r="12" spans="1:13" x14ac:dyDescent="0.35">
      <c r="A12" s="1" t="s">
        <v>51</v>
      </c>
      <c r="B12" s="1" t="s">
        <v>52</v>
      </c>
      <c r="C12" s="1" t="s">
        <v>30</v>
      </c>
      <c r="D12" s="1" t="s">
        <v>31</v>
      </c>
      <c r="E12" s="1" t="s">
        <v>16</v>
      </c>
      <c r="F12" s="1" t="s">
        <v>39</v>
      </c>
      <c r="G12" s="1" t="s">
        <v>26</v>
      </c>
      <c r="H12" s="1">
        <v>15899</v>
      </c>
      <c r="I12" s="1" t="s">
        <v>33</v>
      </c>
      <c r="J12" s="1">
        <v>0.3</v>
      </c>
      <c r="K12" s="1">
        <v>17000</v>
      </c>
      <c r="L12" s="2">
        <v>45345</v>
      </c>
    </row>
    <row r="13" spans="1:13" x14ac:dyDescent="0.35">
      <c r="A13" s="1" t="s">
        <v>53</v>
      </c>
      <c r="B13" s="1" t="s">
        <v>54</v>
      </c>
      <c r="C13" s="1" t="s">
        <v>14</v>
      </c>
      <c r="D13" s="1" t="s">
        <v>15</v>
      </c>
      <c r="E13" s="1" t="s">
        <v>32</v>
      </c>
      <c r="F13" s="1" t="s">
        <v>25</v>
      </c>
      <c r="G13" s="1" t="s">
        <v>36</v>
      </c>
      <c r="H13" s="1">
        <v>13643</v>
      </c>
      <c r="I13" s="1" t="s">
        <v>33</v>
      </c>
      <c r="J13" s="1">
        <v>0.3</v>
      </c>
      <c r="K13" s="1">
        <v>14000</v>
      </c>
      <c r="L13" s="2">
        <v>45296</v>
      </c>
    </row>
    <row r="14" spans="1:13" x14ac:dyDescent="0.35">
      <c r="A14" s="1" t="s">
        <v>55</v>
      </c>
      <c r="B14" s="1" t="s">
        <v>56</v>
      </c>
      <c r="C14" s="1" t="s">
        <v>30</v>
      </c>
      <c r="D14" s="1" t="s">
        <v>31</v>
      </c>
      <c r="E14" s="1" t="s">
        <v>32</v>
      </c>
      <c r="F14" s="1" t="s">
        <v>39</v>
      </c>
      <c r="G14" s="1" t="s">
        <v>36</v>
      </c>
      <c r="H14" s="1">
        <v>16620</v>
      </c>
      <c r="I14" s="1"/>
      <c r="J14" s="1"/>
      <c r="K14" s="1">
        <v>17000</v>
      </c>
      <c r="L14" s="2">
        <v>45301</v>
      </c>
    </row>
    <row r="15" spans="1:13" x14ac:dyDescent="0.35">
      <c r="A15" s="1" t="s">
        <v>57</v>
      </c>
      <c r="B15" s="1" t="s">
        <v>58</v>
      </c>
      <c r="C15" s="1" t="s">
        <v>44</v>
      </c>
      <c r="D15" s="1" t="s">
        <v>45</v>
      </c>
      <c r="E15" s="1" t="s">
        <v>16</v>
      </c>
      <c r="F15" s="1" t="s">
        <v>39</v>
      </c>
      <c r="G15" s="1" t="s">
        <v>26</v>
      </c>
      <c r="H15" s="1">
        <v>12076</v>
      </c>
      <c r="I15" s="1" t="s">
        <v>27</v>
      </c>
      <c r="J15" s="1"/>
      <c r="K15" s="1">
        <v>13000</v>
      </c>
      <c r="L15" s="2">
        <v>45319</v>
      </c>
    </row>
    <row r="16" spans="1:13" x14ac:dyDescent="0.35">
      <c r="A16" s="1" t="s">
        <v>59</v>
      </c>
      <c r="B16" s="1" t="s">
        <v>60</v>
      </c>
      <c r="C16" s="1" t="s">
        <v>61</v>
      </c>
      <c r="D16" s="1" t="s">
        <v>62</v>
      </c>
      <c r="E16" s="1" t="s">
        <v>46</v>
      </c>
      <c r="F16" s="1" t="s">
        <v>25</v>
      </c>
      <c r="G16" s="1" t="s">
        <v>18</v>
      </c>
      <c r="H16" s="1">
        <v>9087</v>
      </c>
      <c r="I16" s="1"/>
      <c r="J16" s="1"/>
      <c r="K16" s="1">
        <v>9000</v>
      </c>
      <c r="L16" s="2">
        <v>45297</v>
      </c>
    </row>
    <row r="17" spans="1:12" x14ac:dyDescent="0.35">
      <c r="A17" s="1" t="s">
        <v>63</v>
      </c>
      <c r="B17" s="1" t="s">
        <v>64</v>
      </c>
      <c r="C17" s="1" t="s">
        <v>14</v>
      </c>
      <c r="D17" s="1" t="s">
        <v>15</v>
      </c>
      <c r="E17" s="1" t="s">
        <v>32</v>
      </c>
      <c r="F17" s="1" t="s">
        <v>39</v>
      </c>
      <c r="G17" s="1" t="s">
        <v>18</v>
      </c>
      <c r="H17" s="1">
        <v>15244</v>
      </c>
      <c r="I17" s="1"/>
      <c r="J17" s="1"/>
      <c r="K17" s="1">
        <v>14000</v>
      </c>
      <c r="L17" s="2">
        <v>45330</v>
      </c>
    </row>
    <row r="18" spans="1:12" x14ac:dyDescent="0.35">
      <c r="A18" s="1" t="s">
        <v>65</v>
      </c>
      <c r="B18" s="1" t="s">
        <v>66</v>
      </c>
      <c r="C18" s="1" t="s">
        <v>61</v>
      </c>
      <c r="D18" s="1" t="s">
        <v>62</v>
      </c>
      <c r="E18" s="1" t="s">
        <v>16</v>
      </c>
      <c r="F18" s="1" t="s">
        <v>17</v>
      </c>
      <c r="G18" s="1" t="s">
        <v>26</v>
      </c>
      <c r="H18" s="1">
        <v>8029</v>
      </c>
      <c r="I18" s="1" t="s">
        <v>27</v>
      </c>
      <c r="J18" s="1"/>
      <c r="K18" s="1">
        <v>9000</v>
      </c>
      <c r="L18" s="2">
        <v>45347</v>
      </c>
    </row>
    <row r="19" spans="1:12" x14ac:dyDescent="0.35">
      <c r="A19" s="1" t="s">
        <v>67</v>
      </c>
      <c r="B19" s="1" t="s">
        <v>68</v>
      </c>
      <c r="C19" s="1" t="s">
        <v>14</v>
      </c>
      <c r="D19" s="1" t="s">
        <v>15</v>
      </c>
      <c r="E19" s="1" t="s">
        <v>16</v>
      </c>
      <c r="F19" s="1" t="s">
        <v>39</v>
      </c>
      <c r="G19" s="1" t="s">
        <v>36</v>
      </c>
      <c r="H19" s="1">
        <v>15148</v>
      </c>
      <c r="I19" s="1" t="s">
        <v>33</v>
      </c>
      <c r="J19" s="1">
        <v>0.3</v>
      </c>
      <c r="K19" s="1">
        <v>14000</v>
      </c>
      <c r="L19" s="2">
        <v>45299</v>
      </c>
    </row>
    <row r="20" spans="1:12" x14ac:dyDescent="0.35">
      <c r="A20" s="1" t="s">
        <v>69</v>
      </c>
      <c r="B20" s="1" t="s">
        <v>70</v>
      </c>
      <c r="C20" s="1" t="s">
        <v>44</v>
      </c>
      <c r="D20" s="1" t="s">
        <v>45</v>
      </c>
      <c r="E20" s="1" t="s">
        <v>46</v>
      </c>
      <c r="F20" s="1" t="s">
        <v>25</v>
      </c>
      <c r="G20" s="1" t="s">
        <v>26</v>
      </c>
      <c r="H20" s="1">
        <v>14587</v>
      </c>
      <c r="I20" s="1" t="s">
        <v>33</v>
      </c>
      <c r="J20" s="1">
        <v>0.3</v>
      </c>
      <c r="K20" s="1">
        <v>13000</v>
      </c>
      <c r="L20" s="2">
        <v>45324</v>
      </c>
    </row>
    <row r="21" spans="1:12" x14ac:dyDescent="0.35">
      <c r="A21" s="1" t="s">
        <v>71</v>
      </c>
      <c r="B21" s="1" t="s">
        <v>72</v>
      </c>
      <c r="C21" s="1" t="s">
        <v>14</v>
      </c>
      <c r="D21" s="1" t="s">
        <v>15</v>
      </c>
      <c r="E21" s="1" t="s">
        <v>16</v>
      </c>
      <c r="F21" s="1" t="s">
        <v>17</v>
      </c>
      <c r="G21" s="1" t="s">
        <v>26</v>
      </c>
      <c r="H21" s="1">
        <v>14079</v>
      </c>
      <c r="I21" s="1" t="s">
        <v>27</v>
      </c>
      <c r="J21" s="1"/>
      <c r="K21" s="1">
        <v>14000</v>
      </c>
      <c r="L21" s="2">
        <v>45304</v>
      </c>
    </row>
    <row r="22" spans="1:12" x14ac:dyDescent="0.35">
      <c r="A22" s="1" t="s">
        <v>73</v>
      </c>
      <c r="B22" s="1" t="s">
        <v>74</v>
      </c>
      <c r="C22" s="1" t="s">
        <v>44</v>
      </c>
      <c r="D22" s="1" t="s">
        <v>45</v>
      </c>
      <c r="E22" s="1" t="s">
        <v>16</v>
      </c>
      <c r="F22" s="1" t="s">
        <v>39</v>
      </c>
      <c r="G22" s="1" t="s">
        <v>18</v>
      </c>
      <c r="H22" s="1">
        <v>13453</v>
      </c>
      <c r="I22" s="1" t="s">
        <v>33</v>
      </c>
      <c r="J22" s="1">
        <v>0.3</v>
      </c>
      <c r="K22" s="1">
        <v>13000</v>
      </c>
      <c r="L22" s="2">
        <v>45323</v>
      </c>
    </row>
    <row r="23" spans="1:12" x14ac:dyDescent="0.35">
      <c r="A23" s="1" t="s">
        <v>75</v>
      </c>
      <c r="B23" s="1" t="s">
        <v>76</v>
      </c>
      <c r="C23" s="1" t="s">
        <v>30</v>
      </c>
      <c r="D23" s="1" t="s">
        <v>31</v>
      </c>
      <c r="E23" s="1" t="s">
        <v>46</v>
      </c>
      <c r="F23" s="1" t="s">
        <v>25</v>
      </c>
      <c r="G23" s="1" t="s">
        <v>18</v>
      </c>
      <c r="H23" s="1">
        <v>15986</v>
      </c>
      <c r="I23" s="1" t="s">
        <v>27</v>
      </c>
      <c r="J23" s="1"/>
      <c r="K23" s="1">
        <v>17000</v>
      </c>
      <c r="L23" s="2">
        <v>45352</v>
      </c>
    </row>
    <row r="24" spans="1:12" x14ac:dyDescent="0.35">
      <c r="A24" s="1" t="s">
        <v>77</v>
      </c>
      <c r="B24" s="1" t="s">
        <v>78</v>
      </c>
      <c r="C24" s="1" t="s">
        <v>61</v>
      </c>
      <c r="D24" s="1" t="s">
        <v>62</v>
      </c>
      <c r="E24" s="1" t="s">
        <v>32</v>
      </c>
      <c r="F24" s="1" t="s">
        <v>39</v>
      </c>
      <c r="G24" s="1" t="s">
        <v>18</v>
      </c>
      <c r="H24" s="1">
        <v>7525</v>
      </c>
      <c r="I24" s="1"/>
      <c r="J24" s="1"/>
      <c r="K24" s="1">
        <v>9000</v>
      </c>
      <c r="L24" s="2">
        <v>45352</v>
      </c>
    </row>
    <row r="25" spans="1:12" x14ac:dyDescent="0.35">
      <c r="A25" s="1" t="s">
        <v>79</v>
      </c>
      <c r="B25" s="1" t="s">
        <v>80</v>
      </c>
      <c r="C25" s="1" t="s">
        <v>30</v>
      </c>
      <c r="D25" s="1" t="s">
        <v>31</v>
      </c>
      <c r="E25" s="1" t="s">
        <v>16</v>
      </c>
      <c r="F25" s="1" t="s">
        <v>39</v>
      </c>
      <c r="G25" s="1" t="s">
        <v>36</v>
      </c>
      <c r="H25" s="1">
        <v>18950</v>
      </c>
      <c r="I25" s="1" t="s">
        <v>19</v>
      </c>
      <c r="J25" s="1">
        <v>0.2</v>
      </c>
      <c r="K25" s="1">
        <v>17000</v>
      </c>
      <c r="L25" s="2">
        <v>45351</v>
      </c>
    </row>
    <row r="26" spans="1:12" x14ac:dyDescent="0.35">
      <c r="A26" s="1" t="s">
        <v>81</v>
      </c>
      <c r="B26" s="1" t="s">
        <v>82</v>
      </c>
      <c r="C26" s="1" t="s">
        <v>44</v>
      </c>
      <c r="D26" s="1" t="s">
        <v>45</v>
      </c>
      <c r="E26" s="1" t="s">
        <v>16</v>
      </c>
      <c r="F26" s="1" t="s">
        <v>17</v>
      </c>
      <c r="G26" s="1" t="s">
        <v>36</v>
      </c>
      <c r="H26" s="1">
        <v>13751</v>
      </c>
      <c r="I26" s="1" t="s">
        <v>33</v>
      </c>
      <c r="J26" s="1">
        <v>0.3</v>
      </c>
      <c r="K26" s="1">
        <v>13000</v>
      </c>
      <c r="L26" s="2">
        <v>45320</v>
      </c>
    </row>
    <row r="27" spans="1:12" x14ac:dyDescent="0.35">
      <c r="A27" s="1" t="s">
        <v>83</v>
      </c>
      <c r="B27" s="1" t="s">
        <v>84</v>
      </c>
      <c r="C27" s="1" t="s">
        <v>61</v>
      </c>
      <c r="D27" s="1" t="s">
        <v>62</v>
      </c>
      <c r="E27" s="1" t="s">
        <v>32</v>
      </c>
      <c r="F27" s="1" t="s">
        <v>25</v>
      </c>
      <c r="G27" s="1" t="s">
        <v>18</v>
      </c>
      <c r="H27" s="1">
        <v>7262</v>
      </c>
      <c r="I27" s="1" t="s">
        <v>33</v>
      </c>
      <c r="J27" s="1">
        <v>0.3</v>
      </c>
      <c r="K27" s="1">
        <v>9000</v>
      </c>
      <c r="L27" s="2">
        <v>45293</v>
      </c>
    </row>
    <row r="28" spans="1:12" x14ac:dyDescent="0.35">
      <c r="A28" s="1" t="s">
        <v>85</v>
      </c>
      <c r="B28" s="1" t="s">
        <v>86</v>
      </c>
      <c r="C28" s="1" t="s">
        <v>44</v>
      </c>
      <c r="D28" s="1" t="s">
        <v>45</v>
      </c>
      <c r="E28" s="1" t="s">
        <v>16</v>
      </c>
      <c r="F28" s="1" t="s">
        <v>25</v>
      </c>
      <c r="G28" s="1" t="s">
        <v>18</v>
      </c>
      <c r="H28" s="1">
        <v>11290</v>
      </c>
      <c r="I28" s="1" t="s">
        <v>22</v>
      </c>
      <c r="J28" s="1">
        <v>0.1</v>
      </c>
      <c r="K28" s="1">
        <v>13000</v>
      </c>
      <c r="L28" s="2">
        <v>45306</v>
      </c>
    </row>
    <row r="29" spans="1:12" x14ac:dyDescent="0.35">
      <c r="A29" s="1" t="s">
        <v>87</v>
      </c>
      <c r="B29" s="1" t="s">
        <v>43</v>
      </c>
      <c r="C29" s="1" t="s">
        <v>30</v>
      </c>
      <c r="D29" s="1" t="s">
        <v>31</v>
      </c>
      <c r="E29" s="1" t="s">
        <v>32</v>
      </c>
      <c r="F29" s="1" t="s">
        <v>39</v>
      </c>
      <c r="G29" s="1" t="s">
        <v>18</v>
      </c>
      <c r="H29" s="1">
        <v>16140</v>
      </c>
      <c r="I29" s="1"/>
      <c r="J29" s="1"/>
      <c r="K29" s="1">
        <v>17000</v>
      </c>
      <c r="L29" s="2">
        <v>45305</v>
      </c>
    </row>
    <row r="30" spans="1:12" x14ac:dyDescent="0.35">
      <c r="A30" s="1" t="s">
        <v>88</v>
      </c>
      <c r="B30" s="1" t="s">
        <v>80</v>
      </c>
      <c r="C30" s="1" t="s">
        <v>61</v>
      </c>
      <c r="D30" s="1" t="s">
        <v>62</v>
      </c>
      <c r="E30" s="1" t="s">
        <v>32</v>
      </c>
      <c r="F30" s="1" t="s">
        <v>17</v>
      </c>
      <c r="G30" s="1" t="s">
        <v>36</v>
      </c>
      <c r="H30" s="1">
        <v>7779</v>
      </c>
      <c r="I30" s="1" t="s">
        <v>22</v>
      </c>
      <c r="J30" s="1">
        <v>0.1</v>
      </c>
      <c r="K30" s="1">
        <v>9000</v>
      </c>
      <c r="L30" s="2">
        <v>45298</v>
      </c>
    </row>
    <row r="31" spans="1:12" x14ac:dyDescent="0.35">
      <c r="A31" s="1" t="s">
        <v>89</v>
      </c>
      <c r="B31" s="1" t="s">
        <v>90</v>
      </c>
      <c r="C31" s="1" t="s">
        <v>30</v>
      </c>
      <c r="D31" s="1" t="s">
        <v>31</v>
      </c>
      <c r="E31" s="1" t="s">
        <v>46</v>
      </c>
      <c r="F31" s="1" t="s">
        <v>17</v>
      </c>
      <c r="G31" s="1" t="s">
        <v>36</v>
      </c>
      <c r="H31" s="1">
        <v>18538</v>
      </c>
      <c r="I31" s="1" t="s">
        <v>22</v>
      </c>
      <c r="J31" s="1">
        <v>0.1</v>
      </c>
      <c r="K31" s="1">
        <v>17000</v>
      </c>
      <c r="L31" s="2">
        <v>45335</v>
      </c>
    </row>
    <row r="32" spans="1:12" x14ac:dyDescent="0.35">
      <c r="A32" s="1" t="s">
        <v>91</v>
      </c>
      <c r="B32" s="1" t="s">
        <v>92</v>
      </c>
      <c r="C32" s="1" t="s">
        <v>14</v>
      </c>
      <c r="D32" s="1" t="s">
        <v>15</v>
      </c>
      <c r="E32" s="1" t="s">
        <v>32</v>
      </c>
      <c r="F32" s="1" t="s">
        <v>17</v>
      </c>
      <c r="G32" s="1" t="s">
        <v>26</v>
      </c>
      <c r="H32" s="1">
        <v>13389</v>
      </c>
      <c r="I32" s="1" t="s">
        <v>22</v>
      </c>
      <c r="J32" s="1">
        <v>0.1</v>
      </c>
      <c r="K32" s="1">
        <v>14000</v>
      </c>
      <c r="L32" s="2">
        <v>45307</v>
      </c>
    </row>
    <row r="33" spans="1:12" x14ac:dyDescent="0.35">
      <c r="A33" s="1" t="s">
        <v>93</v>
      </c>
      <c r="B33" s="1" t="s">
        <v>94</v>
      </c>
      <c r="C33" s="1" t="s">
        <v>61</v>
      </c>
      <c r="D33" s="1" t="s">
        <v>62</v>
      </c>
      <c r="E33" s="1" t="s">
        <v>32</v>
      </c>
      <c r="F33" s="1" t="s">
        <v>17</v>
      </c>
      <c r="G33" s="1" t="s">
        <v>18</v>
      </c>
      <c r="H33" s="1">
        <v>8140</v>
      </c>
      <c r="I33" s="1"/>
      <c r="J33" s="1"/>
      <c r="K33" s="1">
        <v>9000</v>
      </c>
      <c r="L33" s="2">
        <v>45307</v>
      </c>
    </row>
    <row r="34" spans="1:12" x14ac:dyDescent="0.35">
      <c r="A34" s="1" t="s">
        <v>95</v>
      </c>
      <c r="B34" s="1" t="s">
        <v>96</v>
      </c>
      <c r="C34" s="1" t="s">
        <v>61</v>
      </c>
      <c r="D34" s="1" t="s">
        <v>62</v>
      </c>
      <c r="E34" s="1" t="s">
        <v>16</v>
      </c>
      <c r="F34" s="1" t="s">
        <v>25</v>
      </c>
      <c r="G34" s="1" t="s">
        <v>18</v>
      </c>
      <c r="H34" s="1">
        <v>9671</v>
      </c>
      <c r="I34" s="1" t="s">
        <v>27</v>
      </c>
      <c r="J34" s="1"/>
      <c r="K34" s="1">
        <v>9000</v>
      </c>
      <c r="L34" s="2">
        <v>45345</v>
      </c>
    </row>
    <row r="35" spans="1:12" x14ac:dyDescent="0.35">
      <c r="A35" s="1" t="s">
        <v>97</v>
      </c>
      <c r="B35" s="1" t="s">
        <v>76</v>
      </c>
      <c r="C35" s="1" t="s">
        <v>44</v>
      </c>
      <c r="D35" s="1" t="s">
        <v>45</v>
      </c>
      <c r="E35" s="1" t="s">
        <v>32</v>
      </c>
      <c r="F35" s="1" t="s">
        <v>17</v>
      </c>
      <c r="G35" s="1" t="s">
        <v>36</v>
      </c>
      <c r="H35" s="1">
        <v>12971</v>
      </c>
      <c r="I35" s="1" t="s">
        <v>19</v>
      </c>
      <c r="J35" s="1">
        <v>0.2</v>
      </c>
      <c r="K35" s="1">
        <v>13000</v>
      </c>
      <c r="L35" s="2">
        <v>45347</v>
      </c>
    </row>
    <row r="36" spans="1:12" x14ac:dyDescent="0.35">
      <c r="A36" s="1" t="s">
        <v>98</v>
      </c>
      <c r="B36" s="1" t="s">
        <v>99</v>
      </c>
      <c r="C36" s="1" t="s">
        <v>44</v>
      </c>
      <c r="D36" s="1" t="s">
        <v>45</v>
      </c>
      <c r="E36" s="1" t="s">
        <v>46</v>
      </c>
      <c r="F36" s="1" t="s">
        <v>25</v>
      </c>
      <c r="G36" s="1" t="s">
        <v>36</v>
      </c>
      <c r="H36" s="1">
        <v>12086</v>
      </c>
      <c r="I36" s="1"/>
      <c r="J36" s="1"/>
      <c r="K36" s="1">
        <v>13000</v>
      </c>
      <c r="L36" s="2">
        <v>45310</v>
      </c>
    </row>
    <row r="37" spans="1:12" x14ac:dyDescent="0.35">
      <c r="A37" s="1" t="s">
        <v>100</v>
      </c>
      <c r="B37" s="1" t="s">
        <v>101</v>
      </c>
      <c r="C37" s="1" t="s">
        <v>61</v>
      </c>
      <c r="D37" s="1" t="s">
        <v>62</v>
      </c>
      <c r="E37" s="1" t="s">
        <v>32</v>
      </c>
      <c r="F37" s="1" t="s">
        <v>25</v>
      </c>
      <c r="G37" s="1" t="s">
        <v>36</v>
      </c>
      <c r="H37" s="1">
        <v>7891</v>
      </c>
      <c r="I37" s="1" t="s">
        <v>22</v>
      </c>
      <c r="J37" s="1">
        <v>0.1</v>
      </c>
      <c r="K37" s="1">
        <v>9000</v>
      </c>
      <c r="L37" s="2">
        <v>45329</v>
      </c>
    </row>
    <row r="38" spans="1:12" x14ac:dyDescent="0.35">
      <c r="A38" s="1" t="s">
        <v>102</v>
      </c>
      <c r="B38" s="1" t="s">
        <v>103</v>
      </c>
      <c r="C38" s="1" t="s">
        <v>14</v>
      </c>
      <c r="D38" s="1" t="s">
        <v>15</v>
      </c>
      <c r="E38" s="1" t="s">
        <v>16</v>
      </c>
      <c r="F38" s="1" t="s">
        <v>17</v>
      </c>
      <c r="G38" s="1" t="s">
        <v>18</v>
      </c>
      <c r="H38" s="1">
        <v>12205</v>
      </c>
      <c r="I38" s="1" t="s">
        <v>27</v>
      </c>
      <c r="J38" s="1"/>
      <c r="K38" s="1">
        <v>14000</v>
      </c>
      <c r="L38" s="2">
        <v>45322</v>
      </c>
    </row>
    <row r="39" spans="1:12" x14ac:dyDescent="0.35">
      <c r="A39" s="1" t="s">
        <v>104</v>
      </c>
      <c r="B39" s="1" t="s">
        <v>105</v>
      </c>
      <c r="C39" s="1" t="s">
        <v>44</v>
      </c>
      <c r="D39" s="1" t="s">
        <v>45</v>
      </c>
      <c r="E39" s="1" t="s">
        <v>32</v>
      </c>
      <c r="F39" s="1" t="s">
        <v>39</v>
      </c>
      <c r="G39" s="1" t="s">
        <v>18</v>
      </c>
      <c r="H39" s="1">
        <v>14487</v>
      </c>
      <c r="I39" s="1" t="s">
        <v>19</v>
      </c>
      <c r="J39" s="1">
        <v>0.2</v>
      </c>
      <c r="K39" s="1">
        <v>13000</v>
      </c>
      <c r="L39" s="2">
        <v>45296</v>
      </c>
    </row>
    <row r="40" spans="1:12" x14ac:dyDescent="0.35">
      <c r="A40" s="1" t="s">
        <v>106</v>
      </c>
      <c r="B40" s="1" t="s">
        <v>107</v>
      </c>
      <c r="C40" s="1" t="s">
        <v>44</v>
      </c>
      <c r="D40" s="1" t="s">
        <v>45</v>
      </c>
      <c r="E40" s="1" t="s">
        <v>46</v>
      </c>
      <c r="F40" s="1" t="s">
        <v>25</v>
      </c>
      <c r="G40" s="1" t="s">
        <v>26</v>
      </c>
      <c r="H40" s="1">
        <v>12008</v>
      </c>
      <c r="I40" s="1" t="s">
        <v>27</v>
      </c>
      <c r="J40" s="1"/>
      <c r="K40" s="1">
        <v>13000</v>
      </c>
      <c r="L40" s="2">
        <v>45330</v>
      </c>
    </row>
    <row r="41" spans="1:12" x14ac:dyDescent="0.35">
      <c r="A41" s="1" t="s">
        <v>108</v>
      </c>
      <c r="B41" s="1" t="s">
        <v>109</v>
      </c>
      <c r="C41" s="1" t="s">
        <v>14</v>
      </c>
      <c r="D41" s="1" t="s">
        <v>15</v>
      </c>
      <c r="E41" s="1" t="s">
        <v>46</v>
      </c>
      <c r="F41" s="1" t="s">
        <v>39</v>
      </c>
      <c r="G41" s="1" t="s">
        <v>26</v>
      </c>
      <c r="H41" s="1">
        <v>14315</v>
      </c>
      <c r="I41" s="1" t="s">
        <v>27</v>
      </c>
      <c r="J41" s="1"/>
      <c r="K41" s="1">
        <v>14000</v>
      </c>
      <c r="L41" s="2">
        <v>45312</v>
      </c>
    </row>
    <row r="42" spans="1:12" x14ac:dyDescent="0.35">
      <c r="A42" s="1" t="s">
        <v>110</v>
      </c>
      <c r="B42" s="1" t="s">
        <v>111</v>
      </c>
      <c r="C42" s="1" t="s">
        <v>44</v>
      </c>
      <c r="D42" s="1" t="s">
        <v>45</v>
      </c>
      <c r="E42" s="1" t="s">
        <v>16</v>
      </c>
      <c r="F42" s="1" t="s">
        <v>39</v>
      </c>
      <c r="G42" s="1" t="s">
        <v>36</v>
      </c>
      <c r="H42" s="1">
        <v>11977</v>
      </c>
      <c r="I42" s="1" t="s">
        <v>33</v>
      </c>
      <c r="J42" s="1">
        <v>0.3</v>
      </c>
      <c r="K42" s="1">
        <v>13000</v>
      </c>
      <c r="L42" s="2">
        <v>45317</v>
      </c>
    </row>
    <row r="43" spans="1:12" x14ac:dyDescent="0.35">
      <c r="A43" s="1" t="s">
        <v>112</v>
      </c>
      <c r="B43" s="1" t="s">
        <v>113</v>
      </c>
      <c r="C43" s="1" t="s">
        <v>30</v>
      </c>
      <c r="D43" s="1" t="s">
        <v>31</v>
      </c>
      <c r="E43" s="1" t="s">
        <v>46</v>
      </c>
      <c r="F43" s="1" t="s">
        <v>17</v>
      </c>
      <c r="G43" s="1" t="s">
        <v>18</v>
      </c>
      <c r="H43" s="1">
        <v>15038</v>
      </c>
      <c r="I43" s="1"/>
      <c r="J43" s="1"/>
      <c r="K43" s="1">
        <v>17000</v>
      </c>
      <c r="L43" s="2">
        <v>45331</v>
      </c>
    </row>
    <row r="44" spans="1:12" x14ac:dyDescent="0.35">
      <c r="A44" s="1" t="s">
        <v>114</v>
      </c>
      <c r="B44" s="1" t="s">
        <v>107</v>
      </c>
      <c r="C44" s="1" t="s">
        <v>14</v>
      </c>
      <c r="D44" s="1" t="s">
        <v>15</v>
      </c>
      <c r="E44" s="1" t="s">
        <v>16</v>
      </c>
      <c r="F44" s="1" t="s">
        <v>25</v>
      </c>
      <c r="G44" s="1" t="s">
        <v>26</v>
      </c>
      <c r="H44" s="1">
        <v>13086</v>
      </c>
      <c r="I44" s="1" t="s">
        <v>19</v>
      </c>
      <c r="J44" s="1">
        <v>0.2</v>
      </c>
      <c r="K44" s="1">
        <v>14000</v>
      </c>
      <c r="L44" s="2">
        <v>45351</v>
      </c>
    </row>
    <row r="45" spans="1:12" x14ac:dyDescent="0.35">
      <c r="A45" s="1" t="s">
        <v>115</v>
      </c>
      <c r="B45" s="1" t="s">
        <v>116</v>
      </c>
      <c r="C45" s="1" t="s">
        <v>44</v>
      </c>
      <c r="D45" s="1" t="s">
        <v>45</v>
      </c>
      <c r="E45" s="1" t="s">
        <v>46</v>
      </c>
      <c r="F45" s="1" t="s">
        <v>17</v>
      </c>
      <c r="G45" s="1" t="s">
        <v>18</v>
      </c>
      <c r="H45" s="1">
        <v>12794</v>
      </c>
      <c r="I45" s="1" t="s">
        <v>27</v>
      </c>
      <c r="J45" s="1"/>
      <c r="K45" s="1">
        <v>13000</v>
      </c>
      <c r="L45" s="2">
        <v>45337</v>
      </c>
    </row>
    <row r="46" spans="1:12" x14ac:dyDescent="0.35">
      <c r="A46" s="1" t="s">
        <v>117</v>
      </c>
      <c r="B46" s="1" t="s">
        <v>118</v>
      </c>
      <c r="C46" s="1" t="s">
        <v>14</v>
      </c>
      <c r="D46" s="1" t="s">
        <v>15</v>
      </c>
      <c r="E46" s="1" t="s">
        <v>16</v>
      </c>
      <c r="F46" s="1" t="s">
        <v>39</v>
      </c>
      <c r="G46" s="1" t="s">
        <v>36</v>
      </c>
      <c r="H46" s="1">
        <v>15816</v>
      </c>
      <c r="I46" s="1" t="s">
        <v>22</v>
      </c>
      <c r="J46" s="1">
        <v>0.1</v>
      </c>
      <c r="K46" s="1">
        <v>14000</v>
      </c>
      <c r="L46" s="2">
        <v>45352</v>
      </c>
    </row>
    <row r="47" spans="1:12" x14ac:dyDescent="0.35">
      <c r="A47" s="1" t="s">
        <v>119</v>
      </c>
      <c r="B47" s="1" t="s">
        <v>120</v>
      </c>
      <c r="C47" s="1" t="s">
        <v>30</v>
      </c>
      <c r="D47" s="1" t="s">
        <v>31</v>
      </c>
      <c r="E47" s="1" t="s">
        <v>32</v>
      </c>
      <c r="F47" s="1" t="s">
        <v>25</v>
      </c>
      <c r="G47" s="1" t="s">
        <v>26</v>
      </c>
      <c r="H47" s="1">
        <v>17266</v>
      </c>
      <c r="I47" s="1" t="s">
        <v>19</v>
      </c>
      <c r="J47" s="1">
        <v>0.2</v>
      </c>
      <c r="K47" s="1">
        <v>17000</v>
      </c>
      <c r="L47" s="2">
        <v>45309</v>
      </c>
    </row>
    <row r="48" spans="1:12" x14ac:dyDescent="0.35">
      <c r="A48" s="1" t="s">
        <v>121</v>
      </c>
      <c r="B48" s="1" t="s">
        <v>118</v>
      </c>
      <c r="C48" s="1" t="s">
        <v>44</v>
      </c>
      <c r="D48" s="1" t="s">
        <v>45</v>
      </c>
      <c r="E48" s="1" t="s">
        <v>16</v>
      </c>
      <c r="F48" s="1" t="s">
        <v>17</v>
      </c>
      <c r="G48" s="1" t="s">
        <v>18</v>
      </c>
      <c r="H48" s="1">
        <v>13815</v>
      </c>
      <c r="I48" s="1" t="s">
        <v>33</v>
      </c>
      <c r="J48" s="1">
        <v>0.3</v>
      </c>
      <c r="K48" s="1">
        <v>13000</v>
      </c>
      <c r="L48" s="2">
        <v>45324</v>
      </c>
    </row>
    <row r="49" spans="1:12" x14ac:dyDescent="0.35">
      <c r="A49" s="1" t="s">
        <v>122</v>
      </c>
      <c r="B49" s="1" t="s">
        <v>123</v>
      </c>
      <c r="C49" s="1" t="s">
        <v>14</v>
      </c>
      <c r="D49" s="1" t="s">
        <v>15</v>
      </c>
      <c r="E49" s="1" t="s">
        <v>32</v>
      </c>
      <c r="F49" s="1" t="s">
        <v>39</v>
      </c>
      <c r="G49" s="1" t="s">
        <v>36</v>
      </c>
      <c r="H49" s="1">
        <v>15397</v>
      </c>
      <c r="I49" s="1" t="s">
        <v>33</v>
      </c>
      <c r="J49" s="1">
        <v>0.3</v>
      </c>
      <c r="K49" s="1">
        <v>14000</v>
      </c>
      <c r="L49" s="2">
        <v>45294</v>
      </c>
    </row>
    <row r="50" spans="1:12" x14ac:dyDescent="0.35">
      <c r="A50" s="1" t="s">
        <v>124</v>
      </c>
      <c r="B50" s="1" t="s">
        <v>125</v>
      </c>
      <c r="C50" s="1" t="s">
        <v>44</v>
      </c>
      <c r="D50" s="1" t="s">
        <v>45</v>
      </c>
      <c r="E50" s="1" t="s">
        <v>16</v>
      </c>
      <c r="F50" s="1" t="s">
        <v>17</v>
      </c>
      <c r="G50" s="1" t="s">
        <v>18</v>
      </c>
      <c r="H50" s="1">
        <v>14036</v>
      </c>
      <c r="I50" s="1"/>
      <c r="J50" s="1"/>
      <c r="K50" s="1">
        <v>13000</v>
      </c>
      <c r="L50" s="2">
        <v>45327</v>
      </c>
    </row>
    <row r="51" spans="1:12" x14ac:dyDescent="0.35">
      <c r="A51" s="1" t="s">
        <v>126</v>
      </c>
      <c r="B51" s="1" t="s">
        <v>127</v>
      </c>
      <c r="C51" s="1" t="s">
        <v>14</v>
      </c>
      <c r="D51" s="1" t="s">
        <v>15</v>
      </c>
      <c r="E51" s="1" t="s">
        <v>32</v>
      </c>
      <c r="F51" s="1" t="s">
        <v>25</v>
      </c>
      <c r="G51" s="1" t="s">
        <v>26</v>
      </c>
      <c r="H51" s="1">
        <v>15702</v>
      </c>
      <c r="I51" s="1" t="s">
        <v>19</v>
      </c>
      <c r="J51" s="1">
        <v>0.2</v>
      </c>
      <c r="K51" s="1">
        <v>14000</v>
      </c>
      <c r="L51" s="2">
        <v>45326</v>
      </c>
    </row>
    <row r="52" spans="1:12" x14ac:dyDescent="0.35">
      <c r="A52" s="1" t="s">
        <v>128</v>
      </c>
      <c r="B52" s="1" t="s">
        <v>129</v>
      </c>
      <c r="C52" s="1" t="s">
        <v>30</v>
      </c>
      <c r="D52" s="1" t="s">
        <v>31</v>
      </c>
      <c r="E52" s="1" t="s">
        <v>16</v>
      </c>
      <c r="F52" s="1" t="s">
        <v>39</v>
      </c>
      <c r="G52" s="1" t="s">
        <v>18</v>
      </c>
      <c r="H52" s="1">
        <v>16760</v>
      </c>
      <c r="I52" s="1" t="s">
        <v>19</v>
      </c>
      <c r="J52" s="1">
        <v>0.2</v>
      </c>
      <c r="K52" s="1">
        <v>17000</v>
      </c>
      <c r="L52" s="2">
        <v>45294</v>
      </c>
    </row>
    <row r="53" spans="1:12" x14ac:dyDescent="0.35">
      <c r="A53" s="1" t="s">
        <v>130</v>
      </c>
      <c r="B53" s="1" t="s">
        <v>131</v>
      </c>
      <c r="C53" s="1" t="s">
        <v>14</v>
      </c>
      <c r="D53" s="1" t="s">
        <v>15</v>
      </c>
      <c r="E53" s="1" t="s">
        <v>46</v>
      </c>
      <c r="F53" s="1" t="s">
        <v>25</v>
      </c>
      <c r="G53" s="1" t="s">
        <v>26</v>
      </c>
      <c r="H53" s="1">
        <v>13022</v>
      </c>
      <c r="I53" s="1" t="s">
        <v>22</v>
      </c>
      <c r="J53" s="1">
        <v>0.1</v>
      </c>
      <c r="K53" s="1">
        <v>14000</v>
      </c>
      <c r="L53" s="2">
        <v>45314</v>
      </c>
    </row>
    <row r="54" spans="1:12" x14ac:dyDescent="0.35">
      <c r="A54" s="1" t="s">
        <v>132</v>
      </c>
      <c r="B54" s="1" t="s">
        <v>133</v>
      </c>
      <c r="C54" s="1" t="s">
        <v>61</v>
      </c>
      <c r="D54" s="1" t="s">
        <v>62</v>
      </c>
      <c r="E54" s="1" t="s">
        <v>16</v>
      </c>
      <c r="F54" s="1" t="s">
        <v>39</v>
      </c>
      <c r="G54" s="1" t="s">
        <v>18</v>
      </c>
      <c r="H54" s="1">
        <v>10791</v>
      </c>
      <c r="I54" s="1" t="s">
        <v>19</v>
      </c>
      <c r="J54" s="1">
        <v>0.2</v>
      </c>
      <c r="K54" s="1">
        <v>9000</v>
      </c>
      <c r="L54" s="2">
        <v>45347</v>
      </c>
    </row>
    <row r="55" spans="1:12" x14ac:dyDescent="0.35">
      <c r="A55" s="1" t="s">
        <v>134</v>
      </c>
      <c r="B55" s="1" t="s">
        <v>135</v>
      </c>
      <c r="C55" s="1" t="s">
        <v>44</v>
      </c>
      <c r="D55" s="1" t="s">
        <v>45</v>
      </c>
      <c r="E55" s="1" t="s">
        <v>46</v>
      </c>
      <c r="F55" s="1" t="s">
        <v>25</v>
      </c>
      <c r="G55" s="1" t="s">
        <v>18</v>
      </c>
      <c r="H55" s="1">
        <v>14016</v>
      </c>
      <c r="I55" s="1" t="s">
        <v>33</v>
      </c>
      <c r="J55" s="1">
        <v>0.3</v>
      </c>
      <c r="K55" s="1">
        <v>13000</v>
      </c>
      <c r="L55" s="2">
        <v>45342</v>
      </c>
    </row>
    <row r="56" spans="1:12" x14ac:dyDescent="0.35">
      <c r="A56" s="1" t="s">
        <v>136</v>
      </c>
      <c r="B56" s="1" t="s">
        <v>137</v>
      </c>
      <c r="C56" s="1" t="s">
        <v>44</v>
      </c>
      <c r="D56" s="1" t="s">
        <v>45</v>
      </c>
      <c r="E56" s="1" t="s">
        <v>46</v>
      </c>
      <c r="F56" s="1" t="s">
        <v>25</v>
      </c>
      <c r="G56" s="1" t="s">
        <v>26</v>
      </c>
      <c r="H56" s="1">
        <v>11442</v>
      </c>
      <c r="I56" s="1"/>
      <c r="J56" s="1"/>
      <c r="K56" s="1">
        <v>13000</v>
      </c>
      <c r="L56" s="2">
        <v>45347</v>
      </c>
    </row>
    <row r="57" spans="1:12" x14ac:dyDescent="0.35">
      <c r="A57" s="1" t="s">
        <v>138</v>
      </c>
      <c r="B57" s="1" t="s">
        <v>129</v>
      </c>
      <c r="C57" s="1" t="s">
        <v>61</v>
      </c>
      <c r="D57" s="1" t="s">
        <v>62</v>
      </c>
      <c r="E57" s="1" t="s">
        <v>32</v>
      </c>
      <c r="F57" s="1" t="s">
        <v>25</v>
      </c>
      <c r="G57" s="1" t="s">
        <v>36</v>
      </c>
      <c r="H57" s="1">
        <v>8432</v>
      </c>
      <c r="I57" s="1" t="s">
        <v>33</v>
      </c>
      <c r="J57" s="1">
        <v>0.3</v>
      </c>
      <c r="K57" s="1">
        <v>9000</v>
      </c>
      <c r="L57" s="2">
        <v>45344</v>
      </c>
    </row>
    <row r="58" spans="1:12" x14ac:dyDescent="0.35">
      <c r="A58" s="1" t="s">
        <v>139</v>
      </c>
      <c r="B58" s="1" t="s">
        <v>140</v>
      </c>
      <c r="C58" s="1" t="s">
        <v>44</v>
      </c>
      <c r="D58" s="1" t="s">
        <v>45</v>
      </c>
      <c r="E58" s="1" t="s">
        <v>32</v>
      </c>
      <c r="F58" s="1" t="s">
        <v>25</v>
      </c>
      <c r="G58" s="1" t="s">
        <v>26</v>
      </c>
      <c r="H58" s="1">
        <v>11791</v>
      </c>
      <c r="I58" s="1"/>
      <c r="J58" s="1"/>
      <c r="K58" s="1">
        <v>13000</v>
      </c>
      <c r="L58" s="2">
        <v>45313</v>
      </c>
    </row>
    <row r="59" spans="1:12" x14ac:dyDescent="0.35">
      <c r="A59" s="1" t="s">
        <v>141</v>
      </c>
      <c r="B59" s="1" t="s">
        <v>142</v>
      </c>
      <c r="C59" s="1" t="s">
        <v>14</v>
      </c>
      <c r="D59" s="1" t="s">
        <v>15</v>
      </c>
      <c r="E59" s="1" t="s">
        <v>46</v>
      </c>
      <c r="F59" s="1" t="s">
        <v>17</v>
      </c>
      <c r="G59" s="1" t="s">
        <v>26</v>
      </c>
      <c r="H59" s="1">
        <v>14086</v>
      </c>
      <c r="I59" s="1"/>
      <c r="J59" s="1"/>
      <c r="K59" s="1">
        <v>14000</v>
      </c>
      <c r="L59" s="2">
        <v>45335</v>
      </c>
    </row>
    <row r="60" spans="1:12" x14ac:dyDescent="0.35">
      <c r="A60" s="1" t="s">
        <v>143</v>
      </c>
      <c r="B60" s="1" t="s">
        <v>144</v>
      </c>
      <c r="C60" s="1" t="s">
        <v>30</v>
      </c>
      <c r="D60" s="1" t="s">
        <v>31</v>
      </c>
      <c r="E60" s="1" t="s">
        <v>32</v>
      </c>
      <c r="F60" s="1" t="s">
        <v>25</v>
      </c>
      <c r="G60" s="1" t="s">
        <v>36</v>
      </c>
      <c r="H60" s="1">
        <v>15731</v>
      </c>
      <c r="I60" s="1" t="s">
        <v>27</v>
      </c>
      <c r="J60" s="1"/>
      <c r="K60" s="1">
        <v>17000</v>
      </c>
      <c r="L60" s="2">
        <v>45308</v>
      </c>
    </row>
    <row r="61" spans="1:12" x14ac:dyDescent="0.35">
      <c r="A61" s="1" t="s">
        <v>145</v>
      </c>
      <c r="B61" s="1" t="s">
        <v>76</v>
      </c>
      <c r="C61" s="1" t="s">
        <v>61</v>
      </c>
      <c r="D61" s="1" t="s">
        <v>62</v>
      </c>
      <c r="E61" s="1" t="s">
        <v>46</v>
      </c>
      <c r="F61" s="1" t="s">
        <v>39</v>
      </c>
      <c r="G61" s="1" t="s">
        <v>36</v>
      </c>
      <c r="H61" s="1">
        <v>8787</v>
      </c>
      <c r="I61" s="1" t="s">
        <v>27</v>
      </c>
      <c r="J61" s="1"/>
      <c r="K61" s="1">
        <v>9000</v>
      </c>
      <c r="L61" s="2">
        <v>45324</v>
      </c>
    </row>
    <row r="62" spans="1:12" x14ac:dyDescent="0.35">
      <c r="A62" s="1" t="s">
        <v>146</v>
      </c>
      <c r="B62" s="1" t="s">
        <v>66</v>
      </c>
      <c r="C62" s="1" t="s">
        <v>44</v>
      </c>
      <c r="D62" s="1" t="s">
        <v>45</v>
      </c>
      <c r="E62" s="1" t="s">
        <v>46</v>
      </c>
      <c r="F62" s="1" t="s">
        <v>25</v>
      </c>
      <c r="G62" s="1" t="s">
        <v>26</v>
      </c>
      <c r="H62" s="1">
        <v>12786</v>
      </c>
      <c r="I62" s="1" t="s">
        <v>22</v>
      </c>
      <c r="J62" s="1">
        <v>0.1</v>
      </c>
      <c r="K62" s="1">
        <v>13000</v>
      </c>
      <c r="L62" s="2">
        <v>45325</v>
      </c>
    </row>
    <row r="63" spans="1:12" x14ac:dyDescent="0.35">
      <c r="A63" s="1" t="s">
        <v>147</v>
      </c>
      <c r="B63" s="1" t="s">
        <v>148</v>
      </c>
      <c r="C63" s="1" t="s">
        <v>44</v>
      </c>
      <c r="D63" s="1" t="s">
        <v>45</v>
      </c>
      <c r="E63" s="1" t="s">
        <v>46</v>
      </c>
      <c r="F63" s="1" t="s">
        <v>17</v>
      </c>
      <c r="G63" s="1" t="s">
        <v>18</v>
      </c>
      <c r="H63" s="1">
        <v>14886</v>
      </c>
      <c r="I63" s="1" t="s">
        <v>33</v>
      </c>
      <c r="J63" s="1">
        <v>0.3</v>
      </c>
      <c r="K63" s="1">
        <v>13000</v>
      </c>
      <c r="L63" s="2">
        <v>45331</v>
      </c>
    </row>
    <row r="64" spans="1:12" x14ac:dyDescent="0.35">
      <c r="A64" s="1" t="s">
        <v>149</v>
      </c>
      <c r="B64" s="1" t="s">
        <v>150</v>
      </c>
      <c r="C64" s="1" t="s">
        <v>14</v>
      </c>
      <c r="D64" s="1" t="s">
        <v>15</v>
      </c>
      <c r="E64" s="1" t="s">
        <v>16</v>
      </c>
      <c r="F64" s="1" t="s">
        <v>17</v>
      </c>
      <c r="G64" s="1" t="s">
        <v>26</v>
      </c>
      <c r="H64" s="1">
        <v>13266</v>
      </c>
      <c r="I64" s="1"/>
      <c r="J64" s="1"/>
      <c r="K64" s="1">
        <v>14000</v>
      </c>
      <c r="L64" s="2">
        <v>45312</v>
      </c>
    </row>
    <row r="65" spans="1:12" x14ac:dyDescent="0.35">
      <c r="A65" s="1" t="s">
        <v>151</v>
      </c>
      <c r="B65" s="1" t="s">
        <v>101</v>
      </c>
      <c r="C65" s="1" t="s">
        <v>30</v>
      </c>
      <c r="D65" s="1" t="s">
        <v>31</v>
      </c>
      <c r="E65" s="1" t="s">
        <v>16</v>
      </c>
      <c r="F65" s="1" t="s">
        <v>25</v>
      </c>
      <c r="G65" s="1" t="s">
        <v>18</v>
      </c>
      <c r="H65" s="1">
        <v>16722</v>
      </c>
      <c r="I65" s="1"/>
      <c r="J65" s="1"/>
      <c r="K65" s="1">
        <v>17000</v>
      </c>
      <c r="L65" s="2">
        <v>45335</v>
      </c>
    </row>
    <row r="66" spans="1:12" x14ac:dyDescent="0.35">
      <c r="A66" s="1" t="s">
        <v>152</v>
      </c>
      <c r="B66" s="1" t="s">
        <v>153</v>
      </c>
      <c r="C66" s="1" t="s">
        <v>30</v>
      </c>
      <c r="D66" s="1" t="s">
        <v>31</v>
      </c>
      <c r="E66" s="1" t="s">
        <v>46</v>
      </c>
      <c r="F66" s="1" t="s">
        <v>39</v>
      </c>
      <c r="G66" s="1" t="s">
        <v>18</v>
      </c>
      <c r="H66" s="1">
        <v>16244</v>
      </c>
      <c r="I66" s="1" t="s">
        <v>33</v>
      </c>
      <c r="J66" s="1">
        <v>0.3</v>
      </c>
      <c r="K66" s="1">
        <v>17000</v>
      </c>
      <c r="L66" s="2">
        <v>45305</v>
      </c>
    </row>
    <row r="67" spans="1:12" x14ac:dyDescent="0.35">
      <c r="A67" s="1" t="s">
        <v>154</v>
      </c>
      <c r="B67" s="1" t="s">
        <v>155</v>
      </c>
      <c r="C67" s="1" t="s">
        <v>30</v>
      </c>
      <c r="D67" s="1" t="s">
        <v>31</v>
      </c>
      <c r="E67" s="1" t="s">
        <v>46</v>
      </c>
      <c r="F67" s="1" t="s">
        <v>17</v>
      </c>
      <c r="G67" s="1" t="s">
        <v>36</v>
      </c>
      <c r="H67" s="1">
        <v>17767</v>
      </c>
      <c r="I67" s="1" t="s">
        <v>19</v>
      </c>
      <c r="J67" s="1">
        <v>0.2</v>
      </c>
      <c r="K67" s="1">
        <v>17000</v>
      </c>
      <c r="L67" s="2">
        <v>45324</v>
      </c>
    </row>
    <row r="68" spans="1:12" x14ac:dyDescent="0.35">
      <c r="A68" s="1" t="s">
        <v>156</v>
      </c>
      <c r="B68" s="1" t="s">
        <v>157</v>
      </c>
      <c r="C68" s="1" t="s">
        <v>44</v>
      </c>
      <c r="D68" s="1" t="s">
        <v>45</v>
      </c>
      <c r="E68" s="1" t="s">
        <v>16</v>
      </c>
      <c r="F68" s="1" t="s">
        <v>25</v>
      </c>
      <c r="G68" s="1" t="s">
        <v>36</v>
      </c>
      <c r="H68" s="1">
        <v>13111</v>
      </c>
      <c r="I68" s="1" t="s">
        <v>27</v>
      </c>
      <c r="J68" s="1"/>
      <c r="K68" s="1">
        <v>13000</v>
      </c>
      <c r="L68" s="2">
        <v>45313</v>
      </c>
    </row>
    <row r="69" spans="1:12" x14ac:dyDescent="0.35">
      <c r="A69" s="1" t="s">
        <v>158</v>
      </c>
      <c r="B69" s="1" t="s">
        <v>159</v>
      </c>
      <c r="C69" s="1" t="s">
        <v>44</v>
      </c>
      <c r="D69" s="1" t="s">
        <v>45</v>
      </c>
      <c r="E69" s="1" t="s">
        <v>16</v>
      </c>
      <c r="F69" s="1" t="s">
        <v>17</v>
      </c>
      <c r="G69" s="1" t="s">
        <v>18</v>
      </c>
      <c r="H69" s="1">
        <v>14303</v>
      </c>
      <c r="I69" s="1" t="s">
        <v>19</v>
      </c>
      <c r="J69" s="1">
        <v>0.2</v>
      </c>
      <c r="K69" s="1">
        <v>13000</v>
      </c>
      <c r="L69" s="2">
        <v>45301</v>
      </c>
    </row>
    <row r="70" spans="1:12" x14ac:dyDescent="0.35">
      <c r="A70" s="1" t="s">
        <v>160</v>
      </c>
      <c r="B70" s="1" t="s">
        <v>161</v>
      </c>
      <c r="C70" s="1" t="s">
        <v>44</v>
      </c>
      <c r="D70" s="1" t="s">
        <v>45</v>
      </c>
      <c r="E70" s="1" t="s">
        <v>46</v>
      </c>
      <c r="F70" s="1" t="s">
        <v>39</v>
      </c>
      <c r="G70" s="1" t="s">
        <v>18</v>
      </c>
      <c r="H70" s="1">
        <v>12865</v>
      </c>
      <c r="I70" s="1"/>
      <c r="J70" s="1"/>
      <c r="K70" s="1">
        <v>13000</v>
      </c>
      <c r="L70" s="2">
        <v>45348</v>
      </c>
    </row>
    <row r="71" spans="1:12" x14ac:dyDescent="0.35">
      <c r="A71" s="1" t="s">
        <v>162</v>
      </c>
      <c r="B71" s="1" t="s">
        <v>163</v>
      </c>
      <c r="C71" s="1" t="s">
        <v>44</v>
      </c>
      <c r="D71" s="1" t="s">
        <v>45</v>
      </c>
      <c r="E71" s="1" t="s">
        <v>16</v>
      </c>
      <c r="F71" s="1" t="s">
        <v>39</v>
      </c>
      <c r="G71" s="1" t="s">
        <v>36</v>
      </c>
      <c r="H71" s="1">
        <v>13024</v>
      </c>
      <c r="I71" s="1"/>
      <c r="J71" s="1"/>
      <c r="K71" s="1">
        <v>13000</v>
      </c>
      <c r="L71" s="2">
        <v>45307</v>
      </c>
    </row>
    <row r="72" spans="1:12" x14ac:dyDescent="0.35">
      <c r="A72" s="1" t="s">
        <v>164</v>
      </c>
      <c r="B72" s="1" t="s">
        <v>113</v>
      </c>
      <c r="C72" s="1" t="s">
        <v>14</v>
      </c>
      <c r="D72" s="1" t="s">
        <v>15</v>
      </c>
      <c r="E72" s="1" t="s">
        <v>32</v>
      </c>
      <c r="F72" s="1" t="s">
        <v>17</v>
      </c>
      <c r="G72" s="1" t="s">
        <v>18</v>
      </c>
      <c r="H72" s="1">
        <v>12720</v>
      </c>
      <c r="I72" s="1" t="s">
        <v>27</v>
      </c>
      <c r="J72" s="1"/>
      <c r="K72" s="1">
        <v>14000</v>
      </c>
      <c r="L72" s="2">
        <v>45321</v>
      </c>
    </row>
    <row r="73" spans="1:12" x14ac:dyDescent="0.35">
      <c r="A73" s="1" t="s">
        <v>165</v>
      </c>
      <c r="B73" s="1" t="s">
        <v>166</v>
      </c>
      <c r="C73" s="1" t="s">
        <v>44</v>
      </c>
      <c r="D73" s="1" t="s">
        <v>45</v>
      </c>
      <c r="E73" s="1" t="s">
        <v>32</v>
      </c>
      <c r="F73" s="1" t="s">
        <v>17</v>
      </c>
      <c r="G73" s="1" t="s">
        <v>18</v>
      </c>
      <c r="H73" s="1">
        <v>14282</v>
      </c>
      <c r="I73" s="1"/>
      <c r="J73" s="1"/>
      <c r="K73" s="1">
        <v>13000</v>
      </c>
      <c r="L73" s="2">
        <v>45334</v>
      </c>
    </row>
    <row r="74" spans="1:12" x14ac:dyDescent="0.35">
      <c r="A74" s="1" t="s">
        <v>167</v>
      </c>
      <c r="B74" s="1" t="s">
        <v>168</v>
      </c>
      <c r="C74" s="1" t="s">
        <v>30</v>
      </c>
      <c r="D74" s="1" t="s">
        <v>31</v>
      </c>
      <c r="E74" s="1" t="s">
        <v>46</v>
      </c>
      <c r="F74" s="1" t="s">
        <v>39</v>
      </c>
      <c r="G74" s="1" t="s">
        <v>26</v>
      </c>
      <c r="H74" s="1">
        <v>18653</v>
      </c>
      <c r="I74" s="1" t="s">
        <v>27</v>
      </c>
      <c r="J74" s="1"/>
      <c r="K74" s="1">
        <v>17000</v>
      </c>
      <c r="L74" s="2">
        <v>45319</v>
      </c>
    </row>
    <row r="75" spans="1:12" x14ac:dyDescent="0.35">
      <c r="A75" s="1" t="s">
        <v>169</v>
      </c>
      <c r="B75" s="1" t="s">
        <v>144</v>
      </c>
      <c r="C75" s="1" t="s">
        <v>61</v>
      </c>
      <c r="D75" s="1" t="s">
        <v>62</v>
      </c>
      <c r="E75" s="1" t="s">
        <v>32</v>
      </c>
      <c r="F75" s="1" t="s">
        <v>39</v>
      </c>
      <c r="G75" s="1" t="s">
        <v>36</v>
      </c>
      <c r="H75" s="1">
        <v>8843</v>
      </c>
      <c r="I75" s="1" t="s">
        <v>33</v>
      </c>
      <c r="J75" s="1">
        <v>0.3</v>
      </c>
      <c r="K75" s="1">
        <v>9000</v>
      </c>
      <c r="L75" s="2">
        <v>45340</v>
      </c>
    </row>
    <row r="76" spans="1:12" x14ac:dyDescent="0.35">
      <c r="A76" s="1" t="s">
        <v>170</v>
      </c>
      <c r="B76" s="1" t="s">
        <v>171</v>
      </c>
      <c r="C76" s="1" t="s">
        <v>30</v>
      </c>
      <c r="D76" s="1" t="s">
        <v>31</v>
      </c>
      <c r="E76" s="1" t="s">
        <v>16</v>
      </c>
      <c r="F76" s="1" t="s">
        <v>17</v>
      </c>
      <c r="G76" s="1" t="s">
        <v>26</v>
      </c>
      <c r="H76" s="1">
        <v>15979</v>
      </c>
      <c r="I76" s="1" t="s">
        <v>33</v>
      </c>
      <c r="J76" s="1">
        <v>0.3</v>
      </c>
      <c r="K76" s="1">
        <v>17000</v>
      </c>
      <c r="L76" s="2">
        <v>45320</v>
      </c>
    </row>
    <row r="77" spans="1:12" x14ac:dyDescent="0.35">
      <c r="A77" s="1" t="s">
        <v>172</v>
      </c>
      <c r="B77" s="1" t="s">
        <v>173</v>
      </c>
      <c r="C77" s="1" t="s">
        <v>30</v>
      </c>
      <c r="D77" s="1" t="s">
        <v>31</v>
      </c>
      <c r="E77" s="1" t="s">
        <v>32</v>
      </c>
      <c r="F77" s="1" t="s">
        <v>17</v>
      </c>
      <c r="G77" s="1" t="s">
        <v>36</v>
      </c>
      <c r="H77" s="1">
        <v>16309</v>
      </c>
      <c r="I77" s="1" t="s">
        <v>27</v>
      </c>
      <c r="J77" s="1"/>
      <c r="K77" s="1">
        <v>17000</v>
      </c>
      <c r="L77" s="2">
        <v>45297</v>
      </c>
    </row>
    <row r="78" spans="1:12" x14ac:dyDescent="0.35">
      <c r="A78" s="1" t="s">
        <v>174</v>
      </c>
      <c r="B78" s="1" t="s">
        <v>175</v>
      </c>
      <c r="C78" s="1" t="s">
        <v>44</v>
      </c>
      <c r="D78" s="1" t="s">
        <v>45</v>
      </c>
      <c r="E78" s="1" t="s">
        <v>46</v>
      </c>
      <c r="F78" s="1" t="s">
        <v>39</v>
      </c>
      <c r="G78" s="1" t="s">
        <v>18</v>
      </c>
      <c r="H78" s="1">
        <v>13893</v>
      </c>
      <c r="I78" s="1" t="s">
        <v>19</v>
      </c>
      <c r="J78" s="1">
        <v>0.2</v>
      </c>
      <c r="K78" s="1">
        <v>13000</v>
      </c>
      <c r="L78" s="2">
        <v>45296</v>
      </c>
    </row>
    <row r="79" spans="1:12" x14ac:dyDescent="0.35">
      <c r="A79" s="1" t="s">
        <v>176</v>
      </c>
      <c r="B79" s="1" t="s">
        <v>177</v>
      </c>
      <c r="C79" s="1" t="s">
        <v>30</v>
      </c>
      <c r="D79" s="1" t="s">
        <v>31</v>
      </c>
      <c r="E79" s="1" t="s">
        <v>16</v>
      </c>
      <c r="F79" s="1" t="s">
        <v>17</v>
      </c>
      <c r="G79" s="1" t="s">
        <v>36</v>
      </c>
      <c r="H79" s="1">
        <v>15255</v>
      </c>
      <c r="I79" s="1" t="s">
        <v>19</v>
      </c>
      <c r="J79" s="1">
        <v>0.2</v>
      </c>
      <c r="K79" s="1">
        <v>17000</v>
      </c>
      <c r="L79" s="2">
        <v>45345</v>
      </c>
    </row>
    <row r="80" spans="1:12" x14ac:dyDescent="0.35">
      <c r="A80" s="1" t="s">
        <v>178</v>
      </c>
      <c r="B80" s="1" t="s">
        <v>177</v>
      </c>
      <c r="C80" s="1" t="s">
        <v>14</v>
      </c>
      <c r="D80" s="1" t="s">
        <v>15</v>
      </c>
      <c r="E80" s="1" t="s">
        <v>16</v>
      </c>
      <c r="F80" s="1" t="s">
        <v>17</v>
      </c>
      <c r="G80" s="1" t="s">
        <v>36</v>
      </c>
      <c r="H80" s="1">
        <v>12024</v>
      </c>
      <c r="I80" s="1" t="s">
        <v>33</v>
      </c>
      <c r="J80" s="1">
        <v>0.3</v>
      </c>
      <c r="K80" s="1">
        <v>14000</v>
      </c>
      <c r="L80" s="2">
        <v>45311</v>
      </c>
    </row>
    <row r="81" spans="1:12" x14ac:dyDescent="0.35">
      <c r="A81" s="1" t="s">
        <v>179</v>
      </c>
      <c r="B81" s="1" t="s">
        <v>180</v>
      </c>
      <c r="C81" s="1" t="s">
        <v>61</v>
      </c>
      <c r="D81" s="1" t="s">
        <v>62</v>
      </c>
      <c r="E81" s="1" t="s">
        <v>16</v>
      </c>
      <c r="F81" s="1" t="s">
        <v>39</v>
      </c>
      <c r="G81" s="1" t="s">
        <v>26</v>
      </c>
      <c r="H81" s="1">
        <v>9236</v>
      </c>
      <c r="I81" s="1" t="s">
        <v>27</v>
      </c>
      <c r="J81" s="1"/>
      <c r="K81" s="1">
        <v>9000</v>
      </c>
      <c r="L81" s="2">
        <v>45349</v>
      </c>
    </row>
    <row r="82" spans="1:12" x14ac:dyDescent="0.35">
      <c r="A82" s="1" t="s">
        <v>181</v>
      </c>
      <c r="B82" s="1" t="s">
        <v>29</v>
      </c>
      <c r="C82" s="1" t="s">
        <v>44</v>
      </c>
      <c r="D82" s="1" t="s">
        <v>45</v>
      </c>
      <c r="E82" s="1" t="s">
        <v>46</v>
      </c>
      <c r="F82" s="1" t="s">
        <v>17</v>
      </c>
      <c r="G82" s="1" t="s">
        <v>36</v>
      </c>
      <c r="H82" s="1">
        <v>11118</v>
      </c>
      <c r="I82" s="1"/>
      <c r="J82" s="1"/>
      <c r="K82" s="1">
        <v>13000</v>
      </c>
      <c r="L82" s="2">
        <v>45313</v>
      </c>
    </row>
    <row r="83" spans="1:12" x14ac:dyDescent="0.35">
      <c r="A83" s="1" t="s">
        <v>182</v>
      </c>
      <c r="B83" s="1" t="s">
        <v>92</v>
      </c>
      <c r="C83" s="1" t="s">
        <v>61</v>
      </c>
      <c r="D83" s="1" t="s">
        <v>62</v>
      </c>
      <c r="E83" s="1" t="s">
        <v>16</v>
      </c>
      <c r="F83" s="1" t="s">
        <v>25</v>
      </c>
      <c r="G83" s="1" t="s">
        <v>36</v>
      </c>
      <c r="H83" s="1">
        <v>10766</v>
      </c>
      <c r="I83" s="1" t="s">
        <v>19</v>
      </c>
      <c r="J83" s="1">
        <v>0.2</v>
      </c>
      <c r="K83" s="1">
        <v>9000</v>
      </c>
      <c r="L83" s="2">
        <v>45331</v>
      </c>
    </row>
    <row r="84" spans="1:12" x14ac:dyDescent="0.35">
      <c r="A84" s="1" t="s">
        <v>183</v>
      </c>
      <c r="B84" s="1" t="s">
        <v>184</v>
      </c>
      <c r="C84" s="1" t="s">
        <v>61</v>
      </c>
      <c r="D84" s="1" t="s">
        <v>62</v>
      </c>
      <c r="E84" s="1" t="s">
        <v>16</v>
      </c>
      <c r="F84" s="1" t="s">
        <v>39</v>
      </c>
      <c r="G84" s="1" t="s">
        <v>26</v>
      </c>
      <c r="H84" s="1">
        <v>7111</v>
      </c>
      <c r="I84" s="1" t="s">
        <v>22</v>
      </c>
      <c r="J84" s="1">
        <v>0.1</v>
      </c>
      <c r="K84" s="1">
        <v>9000</v>
      </c>
      <c r="L84" s="2">
        <v>45333</v>
      </c>
    </row>
    <row r="85" spans="1:12" x14ac:dyDescent="0.35">
      <c r="A85" s="1" t="s">
        <v>185</v>
      </c>
      <c r="B85" s="1" t="s">
        <v>186</v>
      </c>
      <c r="C85" s="1" t="s">
        <v>61</v>
      </c>
      <c r="D85" s="1" t="s">
        <v>62</v>
      </c>
      <c r="E85" s="1" t="s">
        <v>32</v>
      </c>
      <c r="F85" s="1" t="s">
        <v>25</v>
      </c>
      <c r="G85" s="1" t="s">
        <v>36</v>
      </c>
      <c r="H85" s="1">
        <v>8552</v>
      </c>
      <c r="I85" s="1" t="s">
        <v>33</v>
      </c>
      <c r="J85" s="1">
        <v>0.3</v>
      </c>
      <c r="K85" s="1">
        <v>9000</v>
      </c>
      <c r="L85" s="2">
        <v>45305</v>
      </c>
    </row>
    <row r="86" spans="1:12" x14ac:dyDescent="0.35">
      <c r="A86" s="1" t="s">
        <v>187</v>
      </c>
      <c r="B86" s="1" t="s">
        <v>188</v>
      </c>
      <c r="C86" s="1" t="s">
        <v>30</v>
      </c>
      <c r="D86" s="1" t="s">
        <v>31</v>
      </c>
      <c r="E86" s="1" t="s">
        <v>46</v>
      </c>
      <c r="F86" s="1" t="s">
        <v>17</v>
      </c>
      <c r="G86" s="1" t="s">
        <v>36</v>
      </c>
      <c r="H86" s="1">
        <v>16033</v>
      </c>
      <c r="I86" s="1" t="s">
        <v>22</v>
      </c>
      <c r="J86" s="1">
        <v>0.1</v>
      </c>
      <c r="K86" s="1">
        <v>17000</v>
      </c>
      <c r="L86" s="2">
        <v>45322</v>
      </c>
    </row>
    <row r="87" spans="1:12" x14ac:dyDescent="0.35">
      <c r="A87" s="1" t="s">
        <v>189</v>
      </c>
      <c r="B87" s="1" t="s">
        <v>190</v>
      </c>
      <c r="C87" s="1" t="s">
        <v>14</v>
      </c>
      <c r="D87" s="1" t="s">
        <v>15</v>
      </c>
      <c r="E87" s="1" t="s">
        <v>46</v>
      </c>
      <c r="F87" s="1" t="s">
        <v>25</v>
      </c>
      <c r="G87" s="1" t="s">
        <v>26</v>
      </c>
      <c r="H87" s="1">
        <v>12281</v>
      </c>
      <c r="I87" s="1" t="s">
        <v>22</v>
      </c>
      <c r="J87" s="1">
        <v>0.1</v>
      </c>
      <c r="K87" s="1">
        <v>14000</v>
      </c>
      <c r="L87" s="2">
        <v>45340</v>
      </c>
    </row>
    <row r="88" spans="1:12" x14ac:dyDescent="0.35">
      <c r="A88" s="1" t="s">
        <v>191</v>
      </c>
      <c r="B88" s="1" t="s">
        <v>192</v>
      </c>
      <c r="C88" s="1" t="s">
        <v>44</v>
      </c>
      <c r="D88" s="1" t="s">
        <v>45</v>
      </c>
      <c r="E88" s="1" t="s">
        <v>32</v>
      </c>
      <c r="F88" s="1" t="s">
        <v>39</v>
      </c>
      <c r="G88" s="1" t="s">
        <v>18</v>
      </c>
      <c r="H88" s="1">
        <v>11977</v>
      </c>
      <c r="I88" s="1" t="s">
        <v>19</v>
      </c>
      <c r="J88" s="1">
        <v>0.2</v>
      </c>
      <c r="K88" s="1">
        <v>13000</v>
      </c>
      <c r="L88" s="2">
        <v>45322</v>
      </c>
    </row>
    <row r="89" spans="1:12" x14ac:dyDescent="0.35">
      <c r="A89" s="1" t="s">
        <v>193</v>
      </c>
      <c r="B89" s="1" t="s">
        <v>13</v>
      </c>
      <c r="C89" s="1" t="s">
        <v>44</v>
      </c>
      <c r="D89" s="1" t="s">
        <v>45</v>
      </c>
      <c r="E89" s="1" t="s">
        <v>46</v>
      </c>
      <c r="F89" s="1" t="s">
        <v>39</v>
      </c>
      <c r="G89" s="1" t="s">
        <v>36</v>
      </c>
      <c r="H89" s="1">
        <v>14141</v>
      </c>
      <c r="I89" s="1" t="s">
        <v>33</v>
      </c>
      <c r="J89" s="1">
        <v>0.3</v>
      </c>
      <c r="K89" s="1">
        <v>13000</v>
      </c>
      <c r="L89" s="2">
        <v>45302</v>
      </c>
    </row>
    <row r="90" spans="1:12" x14ac:dyDescent="0.35">
      <c r="A90" s="1" t="s">
        <v>194</v>
      </c>
      <c r="B90" s="1" t="s">
        <v>195</v>
      </c>
      <c r="C90" s="1" t="s">
        <v>14</v>
      </c>
      <c r="D90" s="1" t="s">
        <v>15</v>
      </c>
      <c r="E90" s="1" t="s">
        <v>32</v>
      </c>
      <c r="F90" s="1" t="s">
        <v>17</v>
      </c>
      <c r="G90" s="1" t="s">
        <v>18</v>
      </c>
      <c r="H90" s="1">
        <v>14370</v>
      </c>
      <c r="I90" s="1" t="s">
        <v>22</v>
      </c>
      <c r="J90" s="1">
        <v>0.1</v>
      </c>
      <c r="K90" s="1">
        <v>14000</v>
      </c>
      <c r="L90" s="2">
        <v>45351</v>
      </c>
    </row>
    <row r="91" spans="1:12" x14ac:dyDescent="0.35">
      <c r="A91" s="1" t="s">
        <v>196</v>
      </c>
      <c r="B91" s="1" t="s">
        <v>118</v>
      </c>
      <c r="C91" s="1" t="s">
        <v>61</v>
      </c>
      <c r="D91" s="1" t="s">
        <v>62</v>
      </c>
      <c r="E91" s="1" t="s">
        <v>46</v>
      </c>
      <c r="F91" s="1" t="s">
        <v>39</v>
      </c>
      <c r="G91" s="1" t="s">
        <v>18</v>
      </c>
      <c r="H91" s="1">
        <v>7311</v>
      </c>
      <c r="I91" s="1" t="s">
        <v>27</v>
      </c>
      <c r="J91" s="1"/>
      <c r="K91" s="1">
        <v>9000</v>
      </c>
      <c r="L91" s="2">
        <v>45336</v>
      </c>
    </row>
    <row r="92" spans="1:12" x14ac:dyDescent="0.35">
      <c r="A92" s="1" t="s">
        <v>197</v>
      </c>
      <c r="B92" s="1" t="s">
        <v>198</v>
      </c>
      <c r="C92" s="1" t="s">
        <v>44</v>
      </c>
      <c r="D92" s="1" t="s">
        <v>45</v>
      </c>
      <c r="E92" s="1" t="s">
        <v>32</v>
      </c>
      <c r="F92" s="1" t="s">
        <v>39</v>
      </c>
      <c r="G92" s="1" t="s">
        <v>36</v>
      </c>
      <c r="H92" s="1">
        <v>14482</v>
      </c>
      <c r="I92" s="1" t="s">
        <v>27</v>
      </c>
      <c r="J92" s="1"/>
      <c r="K92" s="1">
        <v>13000</v>
      </c>
      <c r="L92" s="2">
        <v>45343</v>
      </c>
    </row>
    <row r="93" spans="1:12" x14ac:dyDescent="0.35">
      <c r="A93" s="1" t="s">
        <v>199</v>
      </c>
      <c r="B93" s="1" t="s">
        <v>200</v>
      </c>
      <c r="C93" s="1" t="s">
        <v>14</v>
      </c>
      <c r="D93" s="1" t="s">
        <v>15</v>
      </c>
      <c r="E93" s="1" t="s">
        <v>46</v>
      </c>
      <c r="F93" s="1" t="s">
        <v>39</v>
      </c>
      <c r="G93" s="1" t="s">
        <v>36</v>
      </c>
      <c r="H93" s="1">
        <v>14709</v>
      </c>
      <c r="I93" s="1" t="s">
        <v>33</v>
      </c>
      <c r="J93" s="1">
        <v>0.3</v>
      </c>
      <c r="K93" s="1">
        <v>14000</v>
      </c>
      <c r="L93" s="2">
        <v>45296</v>
      </c>
    </row>
    <row r="94" spans="1:12" x14ac:dyDescent="0.35">
      <c r="A94" s="1" t="s">
        <v>201</v>
      </c>
      <c r="B94" s="1" t="s">
        <v>202</v>
      </c>
      <c r="C94" s="1" t="s">
        <v>30</v>
      </c>
      <c r="D94" s="1" t="s">
        <v>31</v>
      </c>
      <c r="E94" s="1" t="s">
        <v>32</v>
      </c>
      <c r="F94" s="1" t="s">
        <v>17</v>
      </c>
      <c r="G94" s="1" t="s">
        <v>36</v>
      </c>
      <c r="H94" s="1">
        <v>15432</v>
      </c>
      <c r="I94" s="1"/>
      <c r="J94" s="1"/>
      <c r="K94" s="1">
        <v>17000</v>
      </c>
      <c r="L94" s="2">
        <v>45315</v>
      </c>
    </row>
    <row r="95" spans="1:12" x14ac:dyDescent="0.35">
      <c r="A95" s="1" t="s">
        <v>203</v>
      </c>
      <c r="B95" s="1" t="s">
        <v>204</v>
      </c>
      <c r="C95" s="1" t="s">
        <v>61</v>
      </c>
      <c r="D95" s="1" t="s">
        <v>62</v>
      </c>
      <c r="E95" s="1" t="s">
        <v>16</v>
      </c>
      <c r="F95" s="1" t="s">
        <v>25</v>
      </c>
      <c r="G95" s="1" t="s">
        <v>36</v>
      </c>
      <c r="H95" s="1">
        <v>7721</v>
      </c>
      <c r="I95" s="1" t="s">
        <v>27</v>
      </c>
      <c r="J95" s="1"/>
      <c r="K95" s="1">
        <v>9000</v>
      </c>
      <c r="L95" s="2">
        <v>45333</v>
      </c>
    </row>
    <row r="96" spans="1:12" x14ac:dyDescent="0.35">
      <c r="A96" s="1" t="s">
        <v>205</v>
      </c>
      <c r="B96" s="1" t="s">
        <v>118</v>
      </c>
      <c r="C96" s="1" t="s">
        <v>61</v>
      </c>
      <c r="D96" s="1" t="s">
        <v>62</v>
      </c>
      <c r="E96" s="1" t="s">
        <v>46</v>
      </c>
      <c r="F96" s="1" t="s">
        <v>17</v>
      </c>
      <c r="G96" s="1" t="s">
        <v>26</v>
      </c>
      <c r="H96" s="1">
        <v>9426</v>
      </c>
      <c r="I96" s="1" t="s">
        <v>33</v>
      </c>
      <c r="J96" s="1">
        <v>0.3</v>
      </c>
      <c r="K96" s="1">
        <v>9000</v>
      </c>
      <c r="L96" s="2">
        <v>45312</v>
      </c>
    </row>
    <row r="97" spans="1:12" x14ac:dyDescent="0.35">
      <c r="A97" s="1" t="s">
        <v>206</v>
      </c>
      <c r="B97" s="1" t="s">
        <v>207</v>
      </c>
      <c r="C97" s="1" t="s">
        <v>14</v>
      </c>
      <c r="D97" s="1" t="s">
        <v>15</v>
      </c>
      <c r="E97" s="1" t="s">
        <v>46</v>
      </c>
      <c r="F97" s="1" t="s">
        <v>17</v>
      </c>
      <c r="G97" s="1" t="s">
        <v>18</v>
      </c>
      <c r="H97" s="1">
        <v>15073</v>
      </c>
      <c r="I97" s="1"/>
      <c r="J97" s="1"/>
      <c r="K97" s="1">
        <v>14000</v>
      </c>
      <c r="L97" s="2">
        <v>45328</v>
      </c>
    </row>
    <row r="98" spans="1:12" x14ac:dyDescent="0.35">
      <c r="A98" s="1" t="s">
        <v>208</v>
      </c>
      <c r="B98" s="1" t="s">
        <v>209</v>
      </c>
      <c r="C98" s="1" t="s">
        <v>61</v>
      </c>
      <c r="D98" s="1" t="s">
        <v>62</v>
      </c>
      <c r="E98" s="1" t="s">
        <v>46</v>
      </c>
      <c r="F98" s="1" t="s">
        <v>25</v>
      </c>
      <c r="G98" s="1" t="s">
        <v>36</v>
      </c>
      <c r="H98" s="1">
        <v>10485</v>
      </c>
      <c r="I98" s="1" t="s">
        <v>33</v>
      </c>
      <c r="J98" s="1">
        <v>0.3</v>
      </c>
      <c r="K98" s="1">
        <v>9000</v>
      </c>
      <c r="L98" s="2">
        <v>45303</v>
      </c>
    </row>
    <row r="99" spans="1:12" x14ac:dyDescent="0.35">
      <c r="A99" s="1" t="s">
        <v>210</v>
      </c>
      <c r="B99" s="1" t="s">
        <v>211</v>
      </c>
      <c r="C99" s="1" t="s">
        <v>30</v>
      </c>
      <c r="D99" s="1" t="s">
        <v>31</v>
      </c>
      <c r="E99" s="1" t="s">
        <v>46</v>
      </c>
      <c r="F99" s="1" t="s">
        <v>17</v>
      </c>
      <c r="G99" s="1" t="s">
        <v>36</v>
      </c>
      <c r="H99" s="1">
        <v>18605</v>
      </c>
      <c r="I99" s="1" t="s">
        <v>27</v>
      </c>
      <c r="J99" s="1"/>
      <c r="K99" s="1">
        <v>17000</v>
      </c>
      <c r="L99" s="2">
        <v>45336</v>
      </c>
    </row>
    <row r="100" spans="1:12" x14ac:dyDescent="0.35">
      <c r="A100" s="1" t="s">
        <v>212</v>
      </c>
      <c r="B100" s="1" t="s">
        <v>111</v>
      </c>
      <c r="C100" s="1" t="s">
        <v>14</v>
      </c>
      <c r="D100" s="1" t="s">
        <v>15</v>
      </c>
      <c r="E100" s="1" t="s">
        <v>16</v>
      </c>
      <c r="F100" s="1" t="s">
        <v>25</v>
      </c>
      <c r="G100" s="1" t="s">
        <v>18</v>
      </c>
      <c r="H100" s="1">
        <v>12988</v>
      </c>
      <c r="I100" s="1"/>
      <c r="J100" s="1"/>
      <c r="K100" s="1">
        <v>14000</v>
      </c>
      <c r="L100" s="2">
        <v>45323</v>
      </c>
    </row>
    <row r="101" spans="1:12" x14ac:dyDescent="0.35">
      <c r="A101" s="1" t="s">
        <v>213</v>
      </c>
      <c r="B101" s="1" t="s">
        <v>82</v>
      </c>
      <c r="C101" s="1" t="s">
        <v>44</v>
      </c>
      <c r="D101" s="1" t="s">
        <v>45</v>
      </c>
      <c r="E101" s="1" t="s">
        <v>16</v>
      </c>
      <c r="F101" s="1" t="s">
        <v>17</v>
      </c>
      <c r="G101" s="1" t="s">
        <v>26</v>
      </c>
      <c r="H101" s="1">
        <v>13915</v>
      </c>
      <c r="I101" s="1"/>
      <c r="J101" s="1"/>
      <c r="K101" s="1">
        <v>13000</v>
      </c>
      <c r="L101" s="2">
        <v>45320</v>
      </c>
    </row>
    <row r="102" spans="1:12" x14ac:dyDescent="0.35">
      <c r="A102" s="1" t="s">
        <v>214</v>
      </c>
      <c r="B102" s="1" t="s">
        <v>64</v>
      </c>
      <c r="C102" s="1" t="s">
        <v>14</v>
      </c>
      <c r="D102" s="1" t="s">
        <v>15</v>
      </c>
      <c r="E102" s="1" t="s">
        <v>46</v>
      </c>
      <c r="F102" s="1" t="s">
        <v>25</v>
      </c>
      <c r="G102" s="1" t="s">
        <v>36</v>
      </c>
      <c r="H102" s="1">
        <v>14833</v>
      </c>
      <c r="I102" s="1" t="s">
        <v>19</v>
      </c>
      <c r="J102" s="1">
        <v>0.2</v>
      </c>
      <c r="K102" s="1">
        <v>14000</v>
      </c>
      <c r="L102" s="2">
        <v>45311</v>
      </c>
    </row>
    <row r="103" spans="1:12" x14ac:dyDescent="0.35">
      <c r="A103" s="1" t="s">
        <v>215</v>
      </c>
      <c r="B103" s="1" t="s">
        <v>163</v>
      </c>
      <c r="C103" s="1" t="s">
        <v>30</v>
      </c>
      <c r="D103" s="1" t="s">
        <v>31</v>
      </c>
      <c r="E103" s="1" t="s">
        <v>46</v>
      </c>
      <c r="F103" s="1" t="s">
        <v>39</v>
      </c>
      <c r="G103" s="1" t="s">
        <v>26</v>
      </c>
      <c r="H103" s="1">
        <v>16408</v>
      </c>
      <c r="I103" s="1"/>
      <c r="J103" s="1"/>
      <c r="K103" s="1">
        <v>17000</v>
      </c>
      <c r="L103" s="2">
        <v>45339</v>
      </c>
    </row>
    <row r="104" spans="1:12" x14ac:dyDescent="0.35">
      <c r="A104" s="1" t="s">
        <v>216</v>
      </c>
      <c r="B104" s="1" t="s">
        <v>217</v>
      </c>
      <c r="C104" s="1" t="s">
        <v>30</v>
      </c>
      <c r="D104" s="1" t="s">
        <v>31</v>
      </c>
      <c r="E104" s="1" t="s">
        <v>16</v>
      </c>
      <c r="F104" s="1" t="s">
        <v>17</v>
      </c>
      <c r="G104" s="1" t="s">
        <v>36</v>
      </c>
      <c r="H104" s="1">
        <v>16255</v>
      </c>
      <c r="I104" s="1" t="s">
        <v>33</v>
      </c>
      <c r="J104" s="1">
        <v>0.3</v>
      </c>
      <c r="K104" s="1">
        <v>17000</v>
      </c>
      <c r="L104" s="2">
        <v>45306</v>
      </c>
    </row>
    <row r="105" spans="1:12" x14ac:dyDescent="0.35">
      <c r="A105" s="1" t="s">
        <v>218</v>
      </c>
      <c r="B105" s="1" t="s">
        <v>173</v>
      </c>
      <c r="C105" s="1" t="s">
        <v>44</v>
      </c>
      <c r="D105" s="1" t="s">
        <v>45</v>
      </c>
      <c r="E105" s="1" t="s">
        <v>46</v>
      </c>
      <c r="F105" s="1" t="s">
        <v>25</v>
      </c>
      <c r="G105" s="1" t="s">
        <v>26</v>
      </c>
      <c r="H105" s="1">
        <v>13194</v>
      </c>
      <c r="I105" s="1" t="s">
        <v>19</v>
      </c>
      <c r="J105" s="1">
        <v>0.2</v>
      </c>
      <c r="K105" s="1">
        <v>13000</v>
      </c>
      <c r="L105" s="2">
        <v>45304</v>
      </c>
    </row>
    <row r="106" spans="1:12" x14ac:dyDescent="0.35">
      <c r="A106" s="1" t="s">
        <v>219</v>
      </c>
      <c r="B106" s="1" t="s">
        <v>220</v>
      </c>
      <c r="C106" s="1" t="s">
        <v>61</v>
      </c>
      <c r="D106" s="1" t="s">
        <v>62</v>
      </c>
      <c r="E106" s="1" t="s">
        <v>46</v>
      </c>
      <c r="F106" s="1" t="s">
        <v>39</v>
      </c>
      <c r="G106" s="1" t="s">
        <v>26</v>
      </c>
      <c r="H106" s="1">
        <v>11000</v>
      </c>
      <c r="I106" s="1" t="s">
        <v>27</v>
      </c>
      <c r="J106" s="1"/>
      <c r="K106" s="1">
        <v>9000</v>
      </c>
      <c r="L106" s="2">
        <v>45330</v>
      </c>
    </row>
    <row r="107" spans="1:12" x14ac:dyDescent="0.35">
      <c r="A107" s="1" t="s">
        <v>221</v>
      </c>
      <c r="B107" s="1" t="s">
        <v>222</v>
      </c>
      <c r="C107" s="1" t="s">
        <v>44</v>
      </c>
      <c r="D107" s="1" t="s">
        <v>45</v>
      </c>
      <c r="E107" s="1" t="s">
        <v>46</v>
      </c>
      <c r="F107" s="1" t="s">
        <v>25</v>
      </c>
      <c r="G107" s="1" t="s">
        <v>36</v>
      </c>
      <c r="H107" s="1">
        <v>11734</v>
      </c>
      <c r="I107" s="1" t="s">
        <v>33</v>
      </c>
      <c r="J107" s="1">
        <v>0.3</v>
      </c>
      <c r="K107" s="1">
        <v>13000</v>
      </c>
      <c r="L107" s="2">
        <v>45292</v>
      </c>
    </row>
    <row r="108" spans="1:12" x14ac:dyDescent="0.35">
      <c r="A108" s="1" t="s">
        <v>223</v>
      </c>
      <c r="B108" s="1" t="s">
        <v>103</v>
      </c>
      <c r="C108" s="1" t="s">
        <v>44</v>
      </c>
      <c r="D108" s="1" t="s">
        <v>45</v>
      </c>
      <c r="E108" s="1" t="s">
        <v>46</v>
      </c>
      <c r="F108" s="1" t="s">
        <v>25</v>
      </c>
      <c r="G108" s="1" t="s">
        <v>18</v>
      </c>
      <c r="H108" s="1">
        <v>13266</v>
      </c>
      <c r="I108" s="1" t="s">
        <v>33</v>
      </c>
      <c r="J108" s="1">
        <v>0.3</v>
      </c>
      <c r="K108" s="1">
        <v>13000</v>
      </c>
      <c r="L108" s="2">
        <v>45336</v>
      </c>
    </row>
    <row r="109" spans="1:12" x14ac:dyDescent="0.35">
      <c r="A109" s="1" t="s">
        <v>224</v>
      </c>
      <c r="B109" s="1" t="s">
        <v>113</v>
      </c>
      <c r="C109" s="1" t="s">
        <v>61</v>
      </c>
      <c r="D109" s="1" t="s">
        <v>62</v>
      </c>
      <c r="E109" s="1" t="s">
        <v>32</v>
      </c>
      <c r="F109" s="1" t="s">
        <v>25</v>
      </c>
      <c r="G109" s="1" t="s">
        <v>26</v>
      </c>
      <c r="H109" s="1">
        <v>8164</v>
      </c>
      <c r="I109" s="1"/>
      <c r="J109" s="1"/>
      <c r="K109" s="1">
        <v>9000</v>
      </c>
      <c r="L109" s="2">
        <v>45322</v>
      </c>
    </row>
    <row r="110" spans="1:12" x14ac:dyDescent="0.35">
      <c r="A110" s="1" t="s">
        <v>225</v>
      </c>
      <c r="B110" s="1" t="s">
        <v>188</v>
      </c>
      <c r="C110" s="1" t="s">
        <v>44</v>
      </c>
      <c r="D110" s="1" t="s">
        <v>45</v>
      </c>
      <c r="E110" s="1" t="s">
        <v>32</v>
      </c>
      <c r="F110" s="1" t="s">
        <v>17</v>
      </c>
      <c r="G110" s="1" t="s">
        <v>36</v>
      </c>
      <c r="H110" s="1">
        <v>11467</v>
      </c>
      <c r="I110" s="1" t="s">
        <v>22</v>
      </c>
      <c r="J110" s="1">
        <v>0.1</v>
      </c>
      <c r="K110" s="1">
        <v>13000</v>
      </c>
      <c r="L110" s="2">
        <v>45317</v>
      </c>
    </row>
    <row r="111" spans="1:12" x14ac:dyDescent="0.35">
      <c r="A111" s="1" t="s">
        <v>226</v>
      </c>
      <c r="B111" s="1" t="s">
        <v>227</v>
      </c>
      <c r="C111" s="1" t="s">
        <v>14</v>
      </c>
      <c r="D111" s="1" t="s">
        <v>15</v>
      </c>
      <c r="E111" s="1" t="s">
        <v>32</v>
      </c>
      <c r="F111" s="1" t="s">
        <v>25</v>
      </c>
      <c r="G111" s="1" t="s">
        <v>26</v>
      </c>
      <c r="H111" s="1">
        <v>15887</v>
      </c>
      <c r="I111" s="1" t="s">
        <v>33</v>
      </c>
      <c r="J111" s="1">
        <v>0.3</v>
      </c>
      <c r="K111" s="1">
        <v>14000</v>
      </c>
      <c r="L111" s="2">
        <v>45297</v>
      </c>
    </row>
    <row r="112" spans="1:12" x14ac:dyDescent="0.35">
      <c r="A112" s="1" t="s">
        <v>228</v>
      </c>
      <c r="B112" s="1" t="s">
        <v>229</v>
      </c>
      <c r="C112" s="1" t="s">
        <v>61</v>
      </c>
      <c r="D112" s="1" t="s">
        <v>62</v>
      </c>
      <c r="E112" s="1" t="s">
        <v>16</v>
      </c>
      <c r="F112" s="1" t="s">
        <v>39</v>
      </c>
      <c r="G112" s="1" t="s">
        <v>26</v>
      </c>
      <c r="H112" s="1">
        <v>7924</v>
      </c>
      <c r="I112" s="1" t="s">
        <v>27</v>
      </c>
      <c r="J112" s="1"/>
      <c r="K112" s="1">
        <v>9000</v>
      </c>
      <c r="L112" s="2">
        <v>45316</v>
      </c>
    </row>
    <row r="113" spans="1:12" x14ac:dyDescent="0.35">
      <c r="A113" s="1" t="s">
        <v>230</v>
      </c>
      <c r="B113" s="1" t="s">
        <v>231</v>
      </c>
      <c r="C113" s="1" t="s">
        <v>30</v>
      </c>
      <c r="D113" s="1" t="s">
        <v>31</v>
      </c>
      <c r="E113" s="1" t="s">
        <v>16</v>
      </c>
      <c r="F113" s="1" t="s">
        <v>17</v>
      </c>
      <c r="G113" s="1" t="s">
        <v>36</v>
      </c>
      <c r="H113" s="1">
        <v>17329</v>
      </c>
      <c r="I113" s="1" t="s">
        <v>27</v>
      </c>
      <c r="J113" s="1"/>
      <c r="K113" s="1">
        <v>17000</v>
      </c>
      <c r="L113" s="2">
        <v>45295</v>
      </c>
    </row>
    <row r="114" spans="1:12" x14ac:dyDescent="0.35">
      <c r="A114" s="1" t="s">
        <v>232</v>
      </c>
      <c r="B114" s="1" t="s">
        <v>233</v>
      </c>
      <c r="C114" s="1" t="s">
        <v>14</v>
      </c>
      <c r="D114" s="1" t="s">
        <v>15</v>
      </c>
      <c r="E114" s="1" t="s">
        <v>32</v>
      </c>
      <c r="F114" s="1" t="s">
        <v>39</v>
      </c>
      <c r="G114" s="1" t="s">
        <v>18</v>
      </c>
      <c r="H114" s="1">
        <v>13083</v>
      </c>
      <c r="I114" s="1" t="s">
        <v>22</v>
      </c>
      <c r="J114" s="1">
        <v>0.1</v>
      </c>
      <c r="K114" s="1">
        <v>14000</v>
      </c>
      <c r="L114" s="2">
        <v>45302</v>
      </c>
    </row>
    <row r="115" spans="1:12" x14ac:dyDescent="0.35">
      <c r="A115" s="1" t="s">
        <v>234</v>
      </c>
      <c r="B115" s="1" t="s">
        <v>235</v>
      </c>
      <c r="C115" s="1" t="s">
        <v>14</v>
      </c>
      <c r="D115" s="1" t="s">
        <v>15</v>
      </c>
      <c r="E115" s="1" t="s">
        <v>32</v>
      </c>
      <c r="F115" s="1" t="s">
        <v>25</v>
      </c>
      <c r="G115" s="1" t="s">
        <v>36</v>
      </c>
      <c r="H115" s="1">
        <v>13845</v>
      </c>
      <c r="I115" s="1" t="s">
        <v>27</v>
      </c>
      <c r="J115" s="1"/>
      <c r="K115" s="1">
        <v>14000</v>
      </c>
      <c r="L115" s="2">
        <v>45322</v>
      </c>
    </row>
    <row r="116" spans="1:12" x14ac:dyDescent="0.35">
      <c r="A116" s="1" t="s">
        <v>236</v>
      </c>
      <c r="B116" s="1" t="s">
        <v>237</v>
      </c>
      <c r="C116" s="1" t="s">
        <v>44</v>
      </c>
      <c r="D116" s="1" t="s">
        <v>45</v>
      </c>
      <c r="E116" s="1" t="s">
        <v>46</v>
      </c>
      <c r="F116" s="1" t="s">
        <v>39</v>
      </c>
      <c r="G116" s="1" t="s">
        <v>36</v>
      </c>
      <c r="H116" s="1">
        <v>13879</v>
      </c>
      <c r="I116" s="1"/>
      <c r="J116" s="1"/>
      <c r="K116" s="1">
        <v>13000</v>
      </c>
      <c r="L116" s="2">
        <v>45296</v>
      </c>
    </row>
    <row r="117" spans="1:12" x14ac:dyDescent="0.35">
      <c r="A117" s="1" t="s">
        <v>238</v>
      </c>
      <c r="B117" s="1" t="s">
        <v>239</v>
      </c>
      <c r="C117" s="1" t="s">
        <v>30</v>
      </c>
      <c r="D117" s="1" t="s">
        <v>31</v>
      </c>
      <c r="E117" s="1" t="s">
        <v>16</v>
      </c>
      <c r="F117" s="1" t="s">
        <v>39</v>
      </c>
      <c r="G117" s="1" t="s">
        <v>26</v>
      </c>
      <c r="H117" s="1">
        <v>18292</v>
      </c>
      <c r="I117" s="1" t="s">
        <v>19</v>
      </c>
      <c r="J117" s="1">
        <v>0.2</v>
      </c>
      <c r="K117" s="1">
        <v>17000</v>
      </c>
      <c r="L117" s="2">
        <v>45319</v>
      </c>
    </row>
    <row r="118" spans="1:12" x14ac:dyDescent="0.35">
      <c r="A118" s="1" t="s">
        <v>240</v>
      </c>
      <c r="B118" s="1" t="s">
        <v>241</v>
      </c>
      <c r="C118" s="1" t="s">
        <v>44</v>
      </c>
      <c r="D118" s="1" t="s">
        <v>45</v>
      </c>
      <c r="E118" s="1" t="s">
        <v>16</v>
      </c>
      <c r="F118" s="1" t="s">
        <v>25</v>
      </c>
      <c r="G118" s="1" t="s">
        <v>36</v>
      </c>
      <c r="H118" s="1">
        <v>14385</v>
      </c>
      <c r="I118" s="1" t="s">
        <v>19</v>
      </c>
      <c r="J118" s="1">
        <v>0.2</v>
      </c>
      <c r="K118" s="1">
        <v>13000</v>
      </c>
      <c r="L118" s="2">
        <v>45296</v>
      </c>
    </row>
    <row r="119" spans="1:12" x14ac:dyDescent="0.35">
      <c r="A119" s="1" t="s">
        <v>242</v>
      </c>
      <c r="B119" s="1" t="s">
        <v>243</v>
      </c>
      <c r="C119" s="1" t="s">
        <v>30</v>
      </c>
      <c r="D119" s="1" t="s">
        <v>31</v>
      </c>
      <c r="E119" s="1" t="s">
        <v>16</v>
      </c>
      <c r="F119" s="1" t="s">
        <v>39</v>
      </c>
      <c r="G119" s="1" t="s">
        <v>26</v>
      </c>
      <c r="H119" s="1">
        <v>18773</v>
      </c>
      <c r="I119" s="1" t="s">
        <v>33</v>
      </c>
      <c r="J119" s="1">
        <v>0.3</v>
      </c>
      <c r="K119" s="1">
        <v>17000</v>
      </c>
      <c r="L119" s="2">
        <v>45320</v>
      </c>
    </row>
    <row r="120" spans="1:12" x14ac:dyDescent="0.35">
      <c r="A120" s="1" t="s">
        <v>244</v>
      </c>
      <c r="B120" s="1" t="s">
        <v>245</v>
      </c>
      <c r="C120" s="1" t="s">
        <v>30</v>
      </c>
      <c r="D120" s="1" t="s">
        <v>31</v>
      </c>
      <c r="E120" s="1" t="s">
        <v>16</v>
      </c>
      <c r="F120" s="1" t="s">
        <v>17</v>
      </c>
      <c r="G120" s="1" t="s">
        <v>36</v>
      </c>
      <c r="H120" s="1">
        <v>17049</v>
      </c>
      <c r="I120" s="1" t="s">
        <v>27</v>
      </c>
      <c r="J120" s="1"/>
      <c r="K120" s="1">
        <v>17000</v>
      </c>
      <c r="L120" s="2">
        <v>45323</v>
      </c>
    </row>
    <row r="121" spans="1:12" x14ac:dyDescent="0.35">
      <c r="A121" s="1" t="s">
        <v>246</v>
      </c>
      <c r="B121" s="1" t="s">
        <v>227</v>
      </c>
      <c r="C121" s="1" t="s">
        <v>14</v>
      </c>
      <c r="D121" s="1" t="s">
        <v>15</v>
      </c>
      <c r="E121" s="1" t="s">
        <v>46</v>
      </c>
      <c r="F121" s="1" t="s">
        <v>39</v>
      </c>
      <c r="G121" s="1" t="s">
        <v>36</v>
      </c>
      <c r="H121" s="1">
        <v>14472</v>
      </c>
      <c r="I121" s="1" t="s">
        <v>33</v>
      </c>
      <c r="J121" s="1">
        <v>0.3</v>
      </c>
      <c r="K121" s="1">
        <v>14000</v>
      </c>
      <c r="L121" s="2">
        <v>45293</v>
      </c>
    </row>
    <row r="122" spans="1:12" x14ac:dyDescent="0.35">
      <c r="A122" s="1" t="s">
        <v>247</v>
      </c>
      <c r="B122" s="1" t="s">
        <v>248</v>
      </c>
      <c r="C122" s="1" t="s">
        <v>14</v>
      </c>
      <c r="D122" s="1" t="s">
        <v>15</v>
      </c>
      <c r="E122" s="1" t="s">
        <v>16</v>
      </c>
      <c r="F122" s="1" t="s">
        <v>17</v>
      </c>
      <c r="G122" s="1" t="s">
        <v>26</v>
      </c>
      <c r="H122" s="1">
        <v>12164</v>
      </c>
      <c r="I122" s="1" t="s">
        <v>19</v>
      </c>
      <c r="J122" s="1">
        <v>0.2</v>
      </c>
      <c r="K122" s="1">
        <v>14000</v>
      </c>
      <c r="L122" s="2">
        <v>45322</v>
      </c>
    </row>
    <row r="123" spans="1:12" x14ac:dyDescent="0.35">
      <c r="A123" s="1" t="s">
        <v>249</v>
      </c>
      <c r="B123" s="1" t="s">
        <v>202</v>
      </c>
      <c r="C123" s="1" t="s">
        <v>61</v>
      </c>
      <c r="D123" s="1" t="s">
        <v>62</v>
      </c>
      <c r="E123" s="1" t="s">
        <v>46</v>
      </c>
      <c r="F123" s="1" t="s">
        <v>25</v>
      </c>
      <c r="G123" s="1" t="s">
        <v>26</v>
      </c>
      <c r="H123" s="1">
        <v>8785</v>
      </c>
      <c r="I123" s="1"/>
      <c r="J123" s="1"/>
      <c r="K123" s="1">
        <v>9000</v>
      </c>
      <c r="L123" s="2">
        <v>45297</v>
      </c>
    </row>
    <row r="124" spans="1:12" x14ac:dyDescent="0.35">
      <c r="A124" s="1" t="s">
        <v>250</v>
      </c>
      <c r="B124" s="1" t="s">
        <v>188</v>
      </c>
      <c r="C124" s="1" t="s">
        <v>61</v>
      </c>
      <c r="D124" s="1" t="s">
        <v>62</v>
      </c>
      <c r="E124" s="1" t="s">
        <v>46</v>
      </c>
      <c r="F124" s="1" t="s">
        <v>17</v>
      </c>
      <c r="G124" s="1" t="s">
        <v>26</v>
      </c>
      <c r="H124" s="1">
        <v>7428</v>
      </c>
      <c r="I124" s="1" t="s">
        <v>19</v>
      </c>
      <c r="J124" s="1">
        <v>0.2</v>
      </c>
      <c r="K124" s="1">
        <v>9000</v>
      </c>
      <c r="L124" s="2">
        <v>45313</v>
      </c>
    </row>
    <row r="125" spans="1:12" x14ac:dyDescent="0.35">
      <c r="A125" s="1" t="s">
        <v>251</v>
      </c>
      <c r="B125" s="1" t="s">
        <v>101</v>
      </c>
      <c r="C125" s="1" t="s">
        <v>61</v>
      </c>
      <c r="D125" s="1" t="s">
        <v>62</v>
      </c>
      <c r="E125" s="1" t="s">
        <v>46</v>
      </c>
      <c r="F125" s="1" t="s">
        <v>39</v>
      </c>
      <c r="G125" s="1" t="s">
        <v>36</v>
      </c>
      <c r="H125" s="1">
        <v>10332</v>
      </c>
      <c r="I125" s="1" t="s">
        <v>27</v>
      </c>
      <c r="J125" s="1"/>
      <c r="K125" s="1">
        <v>9000</v>
      </c>
      <c r="L125" s="2">
        <v>45294</v>
      </c>
    </row>
    <row r="126" spans="1:12" x14ac:dyDescent="0.35">
      <c r="A126" s="1" t="s">
        <v>252</v>
      </c>
      <c r="B126" s="1" t="s">
        <v>227</v>
      </c>
      <c r="C126" s="1" t="s">
        <v>30</v>
      </c>
      <c r="D126" s="1" t="s">
        <v>31</v>
      </c>
      <c r="E126" s="1" t="s">
        <v>46</v>
      </c>
      <c r="F126" s="1" t="s">
        <v>17</v>
      </c>
      <c r="G126" s="1" t="s">
        <v>18</v>
      </c>
      <c r="H126" s="1">
        <v>18973</v>
      </c>
      <c r="I126" s="1"/>
      <c r="J126" s="1"/>
      <c r="K126" s="1">
        <v>17000</v>
      </c>
      <c r="L126" s="2">
        <v>45347</v>
      </c>
    </row>
    <row r="127" spans="1:12" x14ac:dyDescent="0.35">
      <c r="A127" s="1" t="s">
        <v>253</v>
      </c>
      <c r="B127" s="1" t="s">
        <v>105</v>
      </c>
      <c r="C127" s="1" t="s">
        <v>14</v>
      </c>
      <c r="D127" s="1" t="s">
        <v>15</v>
      </c>
      <c r="E127" s="1" t="s">
        <v>16</v>
      </c>
      <c r="F127" s="1" t="s">
        <v>39</v>
      </c>
      <c r="G127" s="1" t="s">
        <v>36</v>
      </c>
      <c r="H127" s="1">
        <v>13692</v>
      </c>
      <c r="I127" s="1" t="s">
        <v>22</v>
      </c>
      <c r="J127" s="1">
        <v>0.1</v>
      </c>
      <c r="K127" s="1">
        <v>14000</v>
      </c>
      <c r="L127" s="2">
        <v>45304</v>
      </c>
    </row>
    <row r="128" spans="1:12" x14ac:dyDescent="0.35">
      <c r="A128" s="1" t="s">
        <v>254</v>
      </c>
      <c r="B128" s="1" t="s">
        <v>217</v>
      </c>
      <c r="C128" s="1" t="s">
        <v>61</v>
      </c>
      <c r="D128" s="1" t="s">
        <v>62</v>
      </c>
      <c r="E128" s="1" t="s">
        <v>16</v>
      </c>
      <c r="F128" s="1" t="s">
        <v>17</v>
      </c>
      <c r="G128" s="1" t="s">
        <v>18</v>
      </c>
      <c r="H128" s="1">
        <v>7833</v>
      </c>
      <c r="I128" s="1" t="s">
        <v>33</v>
      </c>
      <c r="J128" s="1">
        <v>0.3</v>
      </c>
      <c r="K128" s="1">
        <v>9000</v>
      </c>
      <c r="L128" s="2">
        <v>45327</v>
      </c>
    </row>
    <row r="129" spans="1:12" x14ac:dyDescent="0.35">
      <c r="A129" s="1" t="s">
        <v>255</v>
      </c>
      <c r="B129" s="1" t="s">
        <v>256</v>
      </c>
      <c r="C129" s="1" t="s">
        <v>61</v>
      </c>
      <c r="D129" s="1" t="s">
        <v>62</v>
      </c>
      <c r="E129" s="1" t="s">
        <v>16</v>
      </c>
      <c r="F129" s="1" t="s">
        <v>17</v>
      </c>
      <c r="G129" s="1" t="s">
        <v>18</v>
      </c>
      <c r="H129" s="1">
        <v>7118</v>
      </c>
      <c r="I129" s="1" t="s">
        <v>27</v>
      </c>
      <c r="J129" s="1"/>
      <c r="K129" s="1">
        <v>9000</v>
      </c>
      <c r="L129" s="2">
        <v>45343</v>
      </c>
    </row>
    <row r="130" spans="1:12" x14ac:dyDescent="0.35">
      <c r="A130" s="1" t="s">
        <v>257</v>
      </c>
      <c r="B130" s="1" t="s">
        <v>220</v>
      </c>
      <c r="C130" s="1" t="s">
        <v>44</v>
      </c>
      <c r="D130" s="1" t="s">
        <v>45</v>
      </c>
      <c r="E130" s="1" t="s">
        <v>46</v>
      </c>
      <c r="F130" s="1" t="s">
        <v>39</v>
      </c>
      <c r="G130" s="1" t="s">
        <v>18</v>
      </c>
      <c r="H130" s="1">
        <v>13262</v>
      </c>
      <c r="I130" s="1"/>
      <c r="J130" s="1"/>
      <c r="K130" s="1">
        <v>13000</v>
      </c>
      <c r="L130" s="2">
        <v>45297</v>
      </c>
    </row>
    <row r="131" spans="1:12" x14ac:dyDescent="0.35">
      <c r="A131" s="1" t="s">
        <v>258</v>
      </c>
      <c r="B131" s="1" t="s">
        <v>171</v>
      </c>
      <c r="C131" s="1" t="s">
        <v>14</v>
      </c>
      <c r="D131" s="1" t="s">
        <v>15</v>
      </c>
      <c r="E131" s="1" t="s">
        <v>46</v>
      </c>
      <c r="F131" s="1" t="s">
        <v>25</v>
      </c>
      <c r="G131" s="1" t="s">
        <v>26</v>
      </c>
      <c r="H131" s="1">
        <v>15408</v>
      </c>
      <c r="I131" s="1" t="s">
        <v>19</v>
      </c>
      <c r="J131" s="1">
        <v>0.2</v>
      </c>
      <c r="K131" s="1">
        <v>14000</v>
      </c>
      <c r="L131" s="2">
        <v>45323</v>
      </c>
    </row>
    <row r="132" spans="1:12" x14ac:dyDescent="0.35">
      <c r="A132" s="1" t="s">
        <v>259</v>
      </c>
      <c r="B132" s="1" t="s">
        <v>260</v>
      </c>
      <c r="C132" s="1" t="s">
        <v>30</v>
      </c>
      <c r="D132" s="1" t="s">
        <v>31</v>
      </c>
      <c r="E132" s="1" t="s">
        <v>16</v>
      </c>
      <c r="F132" s="1" t="s">
        <v>39</v>
      </c>
      <c r="G132" s="1" t="s">
        <v>36</v>
      </c>
      <c r="H132" s="1">
        <v>16701</v>
      </c>
      <c r="I132" s="1"/>
      <c r="J132" s="1"/>
      <c r="K132" s="1">
        <v>17000</v>
      </c>
      <c r="L132" s="2">
        <v>45322</v>
      </c>
    </row>
    <row r="133" spans="1:12" x14ac:dyDescent="0.35">
      <c r="A133" s="1" t="s">
        <v>261</v>
      </c>
      <c r="B133" s="1" t="s">
        <v>29</v>
      </c>
      <c r="C133" s="1" t="s">
        <v>44</v>
      </c>
      <c r="D133" s="1" t="s">
        <v>45</v>
      </c>
      <c r="E133" s="1" t="s">
        <v>46</v>
      </c>
      <c r="F133" s="1" t="s">
        <v>25</v>
      </c>
      <c r="G133" s="1" t="s">
        <v>26</v>
      </c>
      <c r="H133" s="1">
        <v>13081</v>
      </c>
      <c r="I133" s="1" t="s">
        <v>19</v>
      </c>
      <c r="J133" s="1">
        <v>0.2</v>
      </c>
      <c r="K133" s="1">
        <v>13000</v>
      </c>
      <c r="L133" s="2">
        <v>45347</v>
      </c>
    </row>
    <row r="134" spans="1:12" x14ac:dyDescent="0.35">
      <c r="A134" s="1" t="s">
        <v>262</v>
      </c>
      <c r="B134" s="1" t="s">
        <v>263</v>
      </c>
      <c r="C134" s="1" t="s">
        <v>61</v>
      </c>
      <c r="D134" s="1" t="s">
        <v>62</v>
      </c>
      <c r="E134" s="1" t="s">
        <v>46</v>
      </c>
      <c r="F134" s="1" t="s">
        <v>39</v>
      </c>
      <c r="G134" s="1" t="s">
        <v>36</v>
      </c>
      <c r="H134" s="1">
        <v>10360</v>
      </c>
      <c r="I134" s="1" t="s">
        <v>22</v>
      </c>
      <c r="J134" s="1">
        <v>0.1</v>
      </c>
      <c r="K134" s="1">
        <v>9000</v>
      </c>
      <c r="L134" s="2">
        <v>45310</v>
      </c>
    </row>
    <row r="135" spans="1:12" x14ac:dyDescent="0.35">
      <c r="A135" s="1" t="s">
        <v>264</v>
      </c>
      <c r="B135" s="1" t="s">
        <v>265</v>
      </c>
      <c r="C135" s="1" t="s">
        <v>61</v>
      </c>
      <c r="D135" s="1" t="s">
        <v>62</v>
      </c>
      <c r="E135" s="1" t="s">
        <v>32</v>
      </c>
      <c r="F135" s="1" t="s">
        <v>17</v>
      </c>
      <c r="G135" s="1" t="s">
        <v>26</v>
      </c>
      <c r="H135" s="1">
        <v>8983</v>
      </c>
      <c r="I135" s="1" t="s">
        <v>33</v>
      </c>
      <c r="J135" s="1">
        <v>0.3</v>
      </c>
      <c r="K135" s="1">
        <v>9000</v>
      </c>
      <c r="L135" s="2">
        <v>45313</v>
      </c>
    </row>
    <row r="136" spans="1:12" x14ac:dyDescent="0.35">
      <c r="A136" s="1" t="s">
        <v>266</v>
      </c>
      <c r="B136" s="1" t="s">
        <v>82</v>
      </c>
      <c r="C136" s="1" t="s">
        <v>61</v>
      </c>
      <c r="D136" s="1" t="s">
        <v>62</v>
      </c>
      <c r="E136" s="1" t="s">
        <v>46</v>
      </c>
      <c r="F136" s="1" t="s">
        <v>17</v>
      </c>
      <c r="G136" s="1" t="s">
        <v>18</v>
      </c>
      <c r="H136" s="1">
        <v>9856</v>
      </c>
      <c r="I136" s="1" t="s">
        <v>19</v>
      </c>
      <c r="J136" s="1">
        <v>0.2</v>
      </c>
      <c r="K136" s="1">
        <v>9000</v>
      </c>
      <c r="L136" s="2">
        <v>45328</v>
      </c>
    </row>
    <row r="137" spans="1:12" x14ac:dyDescent="0.35">
      <c r="A137" s="1" t="s">
        <v>267</v>
      </c>
      <c r="B137" s="1" t="s">
        <v>268</v>
      </c>
      <c r="C137" s="1" t="s">
        <v>61</v>
      </c>
      <c r="D137" s="1" t="s">
        <v>62</v>
      </c>
      <c r="E137" s="1" t="s">
        <v>32</v>
      </c>
      <c r="F137" s="1" t="s">
        <v>17</v>
      </c>
      <c r="G137" s="1" t="s">
        <v>26</v>
      </c>
      <c r="H137" s="1">
        <v>8937</v>
      </c>
      <c r="I137" s="1"/>
      <c r="J137" s="1"/>
      <c r="K137" s="1">
        <v>9000</v>
      </c>
      <c r="L137" s="2">
        <v>45316</v>
      </c>
    </row>
    <row r="138" spans="1:12" x14ac:dyDescent="0.35">
      <c r="A138" s="1" t="s">
        <v>269</v>
      </c>
      <c r="B138" s="1" t="s">
        <v>270</v>
      </c>
      <c r="C138" s="1" t="s">
        <v>44</v>
      </c>
      <c r="D138" s="1" t="s">
        <v>45</v>
      </c>
      <c r="E138" s="1" t="s">
        <v>46</v>
      </c>
      <c r="F138" s="1" t="s">
        <v>25</v>
      </c>
      <c r="G138" s="1" t="s">
        <v>18</v>
      </c>
      <c r="H138" s="1">
        <v>13057</v>
      </c>
      <c r="I138" s="1" t="s">
        <v>27</v>
      </c>
      <c r="J138" s="1"/>
      <c r="K138" s="1">
        <v>13000</v>
      </c>
      <c r="L138" s="2">
        <v>45313</v>
      </c>
    </row>
    <row r="139" spans="1:12" x14ac:dyDescent="0.35">
      <c r="A139" s="1" t="s">
        <v>271</v>
      </c>
      <c r="B139" s="1" t="s">
        <v>96</v>
      </c>
      <c r="C139" s="1" t="s">
        <v>61</v>
      </c>
      <c r="D139" s="1" t="s">
        <v>62</v>
      </c>
      <c r="E139" s="1" t="s">
        <v>32</v>
      </c>
      <c r="F139" s="1" t="s">
        <v>39</v>
      </c>
      <c r="G139" s="1" t="s">
        <v>36</v>
      </c>
      <c r="H139" s="1">
        <v>7062</v>
      </c>
      <c r="I139" s="1" t="s">
        <v>19</v>
      </c>
      <c r="J139" s="1">
        <v>0.2</v>
      </c>
      <c r="K139" s="1">
        <v>9000</v>
      </c>
      <c r="L139" s="2">
        <v>45318</v>
      </c>
    </row>
    <row r="140" spans="1:12" x14ac:dyDescent="0.35">
      <c r="A140" s="1" t="s">
        <v>272</v>
      </c>
      <c r="B140" s="1" t="s">
        <v>198</v>
      </c>
      <c r="C140" s="1" t="s">
        <v>44</v>
      </c>
      <c r="D140" s="1" t="s">
        <v>45</v>
      </c>
      <c r="E140" s="1" t="s">
        <v>32</v>
      </c>
      <c r="F140" s="1" t="s">
        <v>17</v>
      </c>
      <c r="G140" s="1" t="s">
        <v>36</v>
      </c>
      <c r="H140" s="1">
        <v>12386</v>
      </c>
      <c r="I140" s="1" t="s">
        <v>27</v>
      </c>
      <c r="J140" s="1"/>
      <c r="K140" s="1">
        <v>13000</v>
      </c>
      <c r="L140" s="2">
        <v>45336</v>
      </c>
    </row>
    <row r="141" spans="1:12" x14ac:dyDescent="0.35">
      <c r="A141" s="1" t="s">
        <v>273</v>
      </c>
      <c r="B141" s="1" t="s">
        <v>274</v>
      </c>
      <c r="C141" s="1" t="s">
        <v>14</v>
      </c>
      <c r="D141" s="1" t="s">
        <v>15</v>
      </c>
      <c r="E141" s="1" t="s">
        <v>46</v>
      </c>
      <c r="F141" s="1" t="s">
        <v>39</v>
      </c>
      <c r="G141" s="1" t="s">
        <v>26</v>
      </c>
      <c r="H141" s="1">
        <v>13556</v>
      </c>
      <c r="I141" s="1" t="s">
        <v>33</v>
      </c>
      <c r="J141" s="1">
        <v>0.3</v>
      </c>
      <c r="K141" s="1">
        <v>14000</v>
      </c>
      <c r="L141" s="2">
        <v>45332</v>
      </c>
    </row>
    <row r="142" spans="1:12" x14ac:dyDescent="0.35">
      <c r="A142" s="1" t="s">
        <v>275</v>
      </c>
      <c r="B142" s="1" t="s">
        <v>276</v>
      </c>
      <c r="C142" s="1" t="s">
        <v>61</v>
      </c>
      <c r="D142" s="1" t="s">
        <v>62</v>
      </c>
      <c r="E142" s="1" t="s">
        <v>16</v>
      </c>
      <c r="F142" s="1" t="s">
        <v>25</v>
      </c>
      <c r="G142" s="1" t="s">
        <v>26</v>
      </c>
      <c r="H142" s="1">
        <v>7280</v>
      </c>
      <c r="I142" s="1" t="s">
        <v>19</v>
      </c>
      <c r="J142" s="1">
        <v>0.2</v>
      </c>
      <c r="K142" s="1">
        <v>9000</v>
      </c>
      <c r="L142" s="2">
        <v>45332</v>
      </c>
    </row>
    <row r="143" spans="1:12" x14ac:dyDescent="0.35">
      <c r="A143" s="1" t="s">
        <v>277</v>
      </c>
      <c r="B143" s="1" t="s">
        <v>278</v>
      </c>
      <c r="C143" s="1" t="s">
        <v>44</v>
      </c>
      <c r="D143" s="1" t="s">
        <v>45</v>
      </c>
      <c r="E143" s="1" t="s">
        <v>16</v>
      </c>
      <c r="F143" s="1" t="s">
        <v>25</v>
      </c>
      <c r="G143" s="1" t="s">
        <v>36</v>
      </c>
      <c r="H143" s="1">
        <v>11403</v>
      </c>
      <c r="I143" s="1" t="s">
        <v>22</v>
      </c>
      <c r="J143" s="1">
        <v>0.1</v>
      </c>
      <c r="K143" s="1">
        <v>13000</v>
      </c>
      <c r="L143" s="2">
        <v>45320</v>
      </c>
    </row>
    <row r="144" spans="1:12" x14ac:dyDescent="0.35">
      <c r="A144" s="1" t="s">
        <v>279</v>
      </c>
      <c r="B144" s="1" t="s">
        <v>280</v>
      </c>
      <c r="C144" s="1" t="s">
        <v>30</v>
      </c>
      <c r="D144" s="1" t="s">
        <v>31</v>
      </c>
      <c r="E144" s="1" t="s">
        <v>32</v>
      </c>
      <c r="F144" s="1" t="s">
        <v>25</v>
      </c>
      <c r="G144" s="1" t="s">
        <v>36</v>
      </c>
      <c r="H144" s="1">
        <v>18261</v>
      </c>
      <c r="I144" s="1" t="s">
        <v>22</v>
      </c>
      <c r="J144" s="1">
        <v>0.1</v>
      </c>
      <c r="K144" s="1">
        <v>17000</v>
      </c>
      <c r="L144" s="2">
        <v>45310</v>
      </c>
    </row>
    <row r="145" spans="1:12" x14ac:dyDescent="0.35">
      <c r="A145" s="1" t="s">
        <v>281</v>
      </c>
      <c r="B145" s="1" t="s">
        <v>282</v>
      </c>
      <c r="C145" s="1" t="s">
        <v>61</v>
      </c>
      <c r="D145" s="1" t="s">
        <v>62</v>
      </c>
      <c r="E145" s="1" t="s">
        <v>32</v>
      </c>
      <c r="F145" s="1" t="s">
        <v>25</v>
      </c>
      <c r="G145" s="1" t="s">
        <v>26</v>
      </c>
      <c r="H145" s="1">
        <v>8687</v>
      </c>
      <c r="I145" s="1" t="s">
        <v>27</v>
      </c>
      <c r="J145" s="1"/>
      <c r="K145" s="1">
        <v>9000</v>
      </c>
      <c r="L145" s="2">
        <v>45335</v>
      </c>
    </row>
    <row r="146" spans="1:12" x14ac:dyDescent="0.35">
      <c r="A146" s="1" t="s">
        <v>283</v>
      </c>
      <c r="B146" s="1" t="s">
        <v>72</v>
      </c>
      <c r="C146" s="1" t="s">
        <v>44</v>
      </c>
      <c r="D146" s="1" t="s">
        <v>45</v>
      </c>
      <c r="E146" s="1" t="s">
        <v>32</v>
      </c>
      <c r="F146" s="1" t="s">
        <v>25</v>
      </c>
      <c r="G146" s="1" t="s">
        <v>26</v>
      </c>
      <c r="H146" s="1">
        <v>14566</v>
      </c>
      <c r="I146" s="1"/>
      <c r="J146" s="1"/>
      <c r="K146" s="1">
        <v>13000</v>
      </c>
      <c r="L146" s="2">
        <v>45331</v>
      </c>
    </row>
    <row r="147" spans="1:12" x14ac:dyDescent="0.35">
      <c r="A147" s="1" t="s">
        <v>284</v>
      </c>
      <c r="B147" s="1" t="s">
        <v>239</v>
      </c>
      <c r="C147" s="1" t="s">
        <v>61</v>
      </c>
      <c r="D147" s="1" t="s">
        <v>62</v>
      </c>
      <c r="E147" s="1" t="s">
        <v>16</v>
      </c>
      <c r="F147" s="1" t="s">
        <v>25</v>
      </c>
      <c r="G147" s="1" t="s">
        <v>18</v>
      </c>
      <c r="H147" s="1">
        <v>8888</v>
      </c>
      <c r="I147" s="1" t="s">
        <v>33</v>
      </c>
      <c r="J147" s="1">
        <v>0.3</v>
      </c>
      <c r="K147" s="1">
        <v>9000</v>
      </c>
      <c r="L147" s="2">
        <v>45321</v>
      </c>
    </row>
    <row r="148" spans="1:12" x14ac:dyDescent="0.35">
      <c r="A148" s="1" t="s">
        <v>285</v>
      </c>
      <c r="B148" s="1" t="s">
        <v>286</v>
      </c>
      <c r="C148" s="1" t="s">
        <v>14</v>
      </c>
      <c r="D148" s="1" t="s">
        <v>15</v>
      </c>
      <c r="E148" s="1" t="s">
        <v>46</v>
      </c>
      <c r="F148" s="1" t="s">
        <v>17</v>
      </c>
      <c r="G148" s="1" t="s">
        <v>26</v>
      </c>
      <c r="H148" s="1">
        <v>14238</v>
      </c>
      <c r="I148" s="1" t="s">
        <v>19</v>
      </c>
      <c r="J148" s="1">
        <v>0.2</v>
      </c>
      <c r="K148" s="1">
        <v>14000</v>
      </c>
      <c r="L148" s="2">
        <v>45296</v>
      </c>
    </row>
    <row r="149" spans="1:12" x14ac:dyDescent="0.35">
      <c r="A149" s="1" t="s">
        <v>287</v>
      </c>
      <c r="B149" s="1" t="s">
        <v>188</v>
      </c>
      <c r="C149" s="1" t="s">
        <v>30</v>
      </c>
      <c r="D149" s="1" t="s">
        <v>31</v>
      </c>
      <c r="E149" s="1" t="s">
        <v>16</v>
      </c>
      <c r="F149" s="1" t="s">
        <v>17</v>
      </c>
      <c r="G149" s="1" t="s">
        <v>26</v>
      </c>
      <c r="H149" s="1">
        <v>16024</v>
      </c>
      <c r="I149" s="1"/>
      <c r="J149" s="1"/>
      <c r="K149" s="1">
        <v>17000</v>
      </c>
      <c r="L149" s="2">
        <v>45346</v>
      </c>
    </row>
    <row r="150" spans="1:12" x14ac:dyDescent="0.35">
      <c r="A150" s="1" t="s">
        <v>288</v>
      </c>
      <c r="B150" s="1" t="s">
        <v>289</v>
      </c>
      <c r="C150" s="1" t="s">
        <v>61</v>
      </c>
      <c r="D150" s="1" t="s">
        <v>62</v>
      </c>
      <c r="E150" s="1" t="s">
        <v>46</v>
      </c>
      <c r="F150" s="1" t="s">
        <v>25</v>
      </c>
      <c r="G150" s="1" t="s">
        <v>18</v>
      </c>
      <c r="H150" s="1">
        <v>8562</v>
      </c>
      <c r="I150" s="1" t="s">
        <v>27</v>
      </c>
      <c r="J150" s="1"/>
      <c r="K150" s="1">
        <v>9000</v>
      </c>
      <c r="L150" s="2">
        <v>45314</v>
      </c>
    </row>
    <row r="151" spans="1:12" x14ac:dyDescent="0.35">
      <c r="A151" s="1" t="s">
        <v>290</v>
      </c>
      <c r="B151" s="1" t="s">
        <v>291</v>
      </c>
      <c r="C151" s="1" t="s">
        <v>30</v>
      </c>
      <c r="D151" s="1" t="s">
        <v>31</v>
      </c>
      <c r="E151" s="1" t="s">
        <v>32</v>
      </c>
      <c r="F151" s="1" t="s">
        <v>39</v>
      </c>
      <c r="G151" s="1" t="s">
        <v>36</v>
      </c>
      <c r="H151" s="1">
        <v>16124</v>
      </c>
      <c r="I151" s="1" t="s">
        <v>22</v>
      </c>
      <c r="J151" s="1">
        <v>0.1</v>
      </c>
      <c r="K151" s="1">
        <v>17000</v>
      </c>
      <c r="L151" s="2">
        <v>45328</v>
      </c>
    </row>
    <row r="152" spans="1:12" x14ac:dyDescent="0.35">
      <c r="A152" s="1" t="s">
        <v>292</v>
      </c>
      <c r="B152" s="1" t="s">
        <v>198</v>
      </c>
      <c r="C152" s="1" t="s">
        <v>14</v>
      </c>
      <c r="D152" s="1" t="s">
        <v>15</v>
      </c>
      <c r="E152" s="1" t="s">
        <v>16</v>
      </c>
      <c r="F152" s="1" t="s">
        <v>39</v>
      </c>
      <c r="G152" s="1" t="s">
        <v>36</v>
      </c>
      <c r="H152" s="1">
        <v>15411</v>
      </c>
      <c r="I152" s="1" t="s">
        <v>33</v>
      </c>
      <c r="J152" s="1">
        <v>0.3</v>
      </c>
      <c r="K152" s="1">
        <v>14000</v>
      </c>
      <c r="L152" s="2">
        <v>45341</v>
      </c>
    </row>
    <row r="153" spans="1:12" x14ac:dyDescent="0.35">
      <c r="A153" s="1" t="s">
        <v>293</v>
      </c>
      <c r="B153" s="1" t="s">
        <v>294</v>
      </c>
      <c r="C153" s="1" t="s">
        <v>30</v>
      </c>
      <c r="D153" s="1" t="s">
        <v>31</v>
      </c>
      <c r="E153" s="1" t="s">
        <v>32</v>
      </c>
      <c r="F153" s="1" t="s">
        <v>39</v>
      </c>
      <c r="G153" s="1" t="s">
        <v>18</v>
      </c>
      <c r="H153" s="1">
        <v>17543</v>
      </c>
      <c r="I153" s="1" t="s">
        <v>33</v>
      </c>
      <c r="J153" s="1">
        <v>0.3</v>
      </c>
      <c r="K153" s="1">
        <v>17000</v>
      </c>
      <c r="L153" s="2">
        <v>45335</v>
      </c>
    </row>
    <row r="154" spans="1:12" x14ac:dyDescent="0.35">
      <c r="A154" s="1" t="s">
        <v>295</v>
      </c>
      <c r="B154" s="1" t="s">
        <v>296</v>
      </c>
      <c r="C154" s="1" t="s">
        <v>44</v>
      </c>
      <c r="D154" s="1" t="s">
        <v>45</v>
      </c>
      <c r="E154" s="1" t="s">
        <v>16</v>
      </c>
      <c r="F154" s="1" t="s">
        <v>25</v>
      </c>
      <c r="G154" s="1" t="s">
        <v>26</v>
      </c>
      <c r="H154" s="1">
        <v>13647</v>
      </c>
      <c r="I154" s="1" t="s">
        <v>22</v>
      </c>
      <c r="J154" s="1">
        <v>0.1</v>
      </c>
      <c r="K154" s="1">
        <v>13000</v>
      </c>
      <c r="L154" s="2">
        <v>45311</v>
      </c>
    </row>
    <row r="155" spans="1:12" x14ac:dyDescent="0.35">
      <c r="A155" s="1" t="s">
        <v>297</v>
      </c>
      <c r="B155" s="1" t="s">
        <v>298</v>
      </c>
      <c r="C155" s="1" t="s">
        <v>14</v>
      </c>
      <c r="D155" s="1" t="s">
        <v>15</v>
      </c>
      <c r="E155" s="1" t="s">
        <v>16</v>
      </c>
      <c r="F155" s="1" t="s">
        <v>17</v>
      </c>
      <c r="G155" s="1" t="s">
        <v>26</v>
      </c>
      <c r="H155" s="1">
        <v>12538</v>
      </c>
      <c r="I155" s="1" t="s">
        <v>22</v>
      </c>
      <c r="J155" s="1">
        <v>0.1</v>
      </c>
      <c r="K155" s="1">
        <v>14000</v>
      </c>
      <c r="L155" s="2">
        <v>45350</v>
      </c>
    </row>
    <row r="156" spans="1:12" x14ac:dyDescent="0.35">
      <c r="A156" s="1" t="s">
        <v>299</v>
      </c>
      <c r="B156" s="1" t="s">
        <v>131</v>
      </c>
      <c r="C156" s="1" t="s">
        <v>61</v>
      </c>
      <c r="D156" s="1" t="s">
        <v>62</v>
      </c>
      <c r="E156" s="1" t="s">
        <v>32</v>
      </c>
      <c r="F156" s="1" t="s">
        <v>25</v>
      </c>
      <c r="G156" s="1" t="s">
        <v>18</v>
      </c>
      <c r="H156" s="1">
        <v>10221</v>
      </c>
      <c r="I156" s="1" t="s">
        <v>27</v>
      </c>
      <c r="J156" s="1"/>
      <c r="K156" s="1">
        <v>9000</v>
      </c>
      <c r="L156" s="2">
        <v>45348</v>
      </c>
    </row>
    <row r="157" spans="1:12" x14ac:dyDescent="0.35">
      <c r="A157" s="1" t="s">
        <v>300</v>
      </c>
      <c r="B157" s="1" t="s">
        <v>301</v>
      </c>
      <c r="C157" s="1" t="s">
        <v>30</v>
      </c>
      <c r="D157" s="1" t="s">
        <v>31</v>
      </c>
      <c r="E157" s="1" t="s">
        <v>32</v>
      </c>
      <c r="F157" s="1" t="s">
        <v>17</v>
      </c>
      <c r="G157" s="1" t="s">
        <v>36</v>
      </c>
      <c r="H157" s="1">
        <v>18962</v>
      </c>
      <c r="I157" s="1" t="s">
        <v>33</v>
      </c>
      <c r="J157" s="1">
        <v>0.3</v>
      </c>
      <c r="K157" s="1">
        <v>17000</v>
      </c>
      <c r="L157" s="2">
        <v>45339</v>
      </c>
    </row>
    <row r="158" spans="1:12" x14ac:dyDescent="0.35">
      <c r="A158" s="1" t="s">
        <v>302</v>
      </c>
      <c r="B158" s="1" t="s">
        <v>303</v>
      </c>
      <c r="C158" s="1" t="s">
        <v>14</v>
      </c>
      <c r="D158" s="1" t="s">
        <v>15</v>
      </c>
      <c r="E158" s="1" t="s">
        <v>46</v>
      </c>
      <c r="F158" s="1" t="s">
        <v>25</v>
      </c>
      <c r="G158" s="1" t="s">
        <v>18</v>
      </c>
      <c r="H158" s="1">
        <v>15089</v>
      </c>
      <c r="I158" s="1" t="s">
        <v>19</v>
      </c>
      <c r="J158" s="1">
        <v>0.2</v>
      </c>
      <c r="K158" s="1">
        <v>14000</v>
      </c>
      <c r="L158" s="2">
        <v>45347</v>
      </c>
    </row>
    <row r="159" spans="1:12" x14ac:dyDescent="0.35">
      <c r="A159" s="1" t="s">
        <v>304</v>
      </c>
      <c r="B159" s="1" t="s">
        <v>305</v>
      </c>
      <c r="C159" s="1" t="s">
        <v>61</v>
      </c>
      <c r="D159" s="1" t="s">
        <v>62</v>
      </c>
      <c r="E159" s="1" t="s">
        <v>16</v>
      </c>
      <c r="F159" s="1" t="s">
        <v>17</v>
      </c>
      <c r="G159" s="1" t="s">
        <v>18</v>
      </c>
      <c r="H159" s="1">
        <v>10238</v>
      </c>
      <c r="I159" s="1"/>
      <c r="J159" s="1"/>
      <c r="K159" s="1">
        <v>9000</v>
      </c>
      <c r="L159" s="2">
        <v>45292</v>
      </c>
    </row>
    <row r="160" spans="1:12" x14ac:dyDescent="0.35">
      <c r="A160" s="1" t="s">
        <v>306</v>
      </c>
      <c r="B160" s="1" t="s">
        <v>307</v>
      </c>
      <c r="C160" s="1" t="s">
        <v>14</v>
      </c>
      <c r="D160" s="1" t="s">
        <v>15</v>
      </c>
      <c r="E160" s="1" t="s">
        <v>46</v>
      </c>
      <c r="F160" s="1" t="s">
        <v>17</v>
      </c>
      <c r="G160" s="1" t="s">
        <v>26</v>
      </c>
      <c r="H160" s="1">
        <v>15067</v>
      </c>
      <c r="I160" s="1" t="s">
        <v>33</v>
      </c>
      <c r="J160" s="1">
        <v>0.3</v>
      </c>
      <c r="K160" s="1">
        <v>14000</v>
      </c>
      <c r="L160" s="2">
        <v>45329</v>
      </c>
    </row>
    <row r="161" spans="1:12" x14ac:dyDescent="0.35">
      <c r="A161" s="1" t="s">
        <v>308</v>
      </c>
      <c r="B161" s="1" t="s">
        <v>309</v>
      </c>
      <c r="C161" s="1" t="s">
        <v>30</v>
      </c>
      <c r="D161" s="1" t="s">
        <v>31</v>
      </c>
      <c r="E161" s="1" t="s">
        <v>32</v>
      </c>
      <c r="F161" s="1" t="s">
        <v>39</v>
      </c>
      <c r="G161" s="1" t="s">
        <v>18</v>
      </c>
      <c r="H161" s="1">
        <v>16931</v>
      </c>
      <c r="I161" s="1" t="s">
        <v>22</v>
      </c>
      <c r="J161" s="1">
        <v>0.1</v>
      </c>
      <c r="K161" s="1">
        <v>17000</v>
      </c>
      <c r="L161" s="2">
        <v>45331</v>
      </c>
    </row>
    <row r="162" spans="1:12" x14ac:dyDescent="0.35">
      <c r="A162" s="1" t="s">
        <v>310</v>
      </c>
      <c r="B162" s="1" t="s">
        <v>84</v>
      </c>
      <c r="C162" s="1" t="s">
        <v>30</v>
      </c>
      <c r="D162" s="1" t="s">
        <v>31</v>
      </c>
      <c r="E162" s="1" t="s">
        <v>16</v>
      </c>
      <c r="F162" s="1" t="s">
        <v>25</v>
      </c>
      <c r="G162" s="1" t="s">
        <v>26</v>
      </c>
      <c r="H162" s="1">
        <v>15258</v>
      </c>
      <c r="I162" s="1"/>
      <c r="J162" s="1"/>
      <c r="K162" s="1">
        <v>17000</v>
      </c>
      <c r="L162" s="2">
        <v>45350</v>
      </c>
    </row>
    <row r="163" spans="1:12" x14ac:dyDescent="0.35">
      <c r="A163" s="1" t="s">
        <v>311</v>
      </c>
      <c r="B163" s="1" t="s">
        <v>265</v>
      </c>
      <c r="C163" s="1" t="s">
        <v>61</v>
      </c>
      <c r="D163" s="1" t="s">
        <v>62</v>
      </c>
      <c r="E163" s="1" t="s">
        <v>32</v>
      </c>
      <c r="F163" s="1" t="s">
        <v>25</v>
      </c>
      <c r="G163" s="1" t="s">
        <v>18</v>
      </c>
      <c r="H163" s="1">
        <v>10875</v>
      </c>
      <c r="I163" s="1" t="s">
        <v>22</v>
      </c>
      <c r="J163" s="1">
        <v>0.1</v>
      </c>
      <c r="K163" s="1">
        <v>9000</v>
      </c>
      <c r="L163" s="2">
        <v>45311</v>
      </c>
    </row>
    <row r="164" spans="1:12" x14ac:dyDescent="0.35">
      <c r="A164" s="1" t="s">
        <v>312</v>
      </c>
      <c r="B164" s="1" t="s">
        <v>227</v>
      </c>
      <c r="C164" s="1" t="s">
        <v>14</v>
      </c>
      <c r="D164" s="1" t="s">
        <v>15</v>
      </c>
      <c r="E164" s="1" t="s">
        <v>32</v>
      </c>
      <c r="F164" s="1" t="s">
        <v>39</v>
      </c>
      <c r="G164" s="1" t="s">
        <v>18</v>
      </c>
      <c r="H164" s="1">
        <v>13591</v>
      </c>
      <c r="I164" s="1"/>
      <c r="J164" s="1"/>
      <c r="K164" s="1">
        <v>14000</v>
      </c>
      <c r="L164" s="2">
        <v>45315</v>
      </c>
    </row>
    <row r="165" spans="1:12" x14ac:dyDescent="0.35">
      <c r="A165" s="1" t="s">
        <v>313</v>
      </c>
      <c r="B165" s="1" t="s">
        <v>305</v>
      </c>
      <c r="C165" s="1" t="s">
        <v>61</v>
      </c>
      <c r="D165" s="1" t="s">
        <v>62</v>
      </c>
      <c r="E165" s="1" t="s">
        <v>16</v>
      </c>
      <c r="F165" s="1" t="s">
        <v>39</v>
      </c>
      <c r="G165" s="1" t="s">
        <v>26</v>
      </c>
      <c r="H165" s="1">
        <v>7632</v>
      </c>
      <c r="I165" s="1"/>
      <c r="J165" s="1"/>
      <c r="K165" s="1">
        <v>9000</v>
      </c>
      <c r="L165" s="2">
        <v>45333</v>
      </c>
    </row>
    <row r="166" spans="1:12" x14ac:dyDescent="0.35">
      <c r="A166" s="1" t="s">
        <v>314</v>
      </c>
      <c r="B166" s="1" t="s">
        <v>159</v>
      </c>
      <c r="C166" s="1" t="s">
        <v>61</v>
      </c>
      <c r="D166" s="1" t="s">
        <v>62</v>
      </c>
      <c r="E166" s="1" t="s">
        <v>16</v>
      </c>
      <c r="F166" s="1" t="s">
        <v>17</v>
      </c>
      <c r="G166" s="1" t="s">
        <v>36</v>
      </c>
      <c r="H166" s="1">
        <v>7134</v>
      </c>
      <c r="I166" s="1" t="s">
        <v>33</v>
      </c>
      <c r="J166" s="1">
        <v>0.3</v>
      </c>
      <c r="K166" s="1">
        <v>9000</v>
      </c>
      <c r="L166" s="2">
        <v>45305</v>
      </c>
    </row>
    <row r="167" spans="1:12" x14ac:dyDescent="0.35">
      <c r="A167" s="1" t="s">
        <v>315</v>
      </c>
      <c r="B167" s="1" t="s">
        <v>231</v>
      </c>
      <c r="C167" s="1" t="s">
        <v>44</v>
      </c>
      <c r="D167" s="1" t="s">
        <v>45</v>
      </c>
      <c r="E167" s="1" t="s">
        <v>46</v>
      </c>
      <c r="F167" s="1" t="s">
        <v>25</v>
      </c>
      <c r="G167" s="1" t="s">
        <v>26</v>
      </c>
      <c r="H167" s="1">
        <v>12504</v>
      </c>
      <c r="I167" s="1" t="s">
        <v>27</v>
      </c>
      <c r="J167" s="1"/>
      <c r="K167" s="1">
        <v>13000</v>
      </c>
      <c r="L167" s="2">
        <v>45349</v>
      </c>
    </row>
    <row r="168" spans="1:12" x14ac:dyDescent="0.35">
      <c r="A168" s="1" t="s">
        <v>316</v>
      </c>
      <c r="B168" s="1" t="s">
        <v>317</v>
      </c>
      <c r="C168" s="1" t="s">
        <v>14</v>
      </c>
      <c r="D168" s="1" t="s">
        <v>15</v>
      </c>
      <c r="E168" s="1" t="s">
        <v>46</v>
      </c>
      <c r="F168" s="1" t="s">
        <v>17</v>
      </c>
      <c r="G168" s="1" t="s">
        <v>18</v>
      </c>
      <c r="H168" s="1">
        <v>15965</v>
      </c>
      <c r="I168" s="1" t="s">
        <v>22</v>
      </c>
      <c r="J168" s="1">
        <v>0.1</v>
      </c>
      <c r="K168" s="1">
        <v>14000</v>
      </c>
      <c r="L168" s="2">
        <v>45352</v>
      </c>
    </row>
    <row r="169" spans="1:12" x14ac:dyDescent="0.35">
      <c r="A169" s="1" t="s">
        <v>318</v>
      </c>
      <c r="B169" s="1" t="s">
        <v>319</v>
      </c>
      <c r="C169" s="1" t="s">
        <v>61</v>
      </c>
      <c r="D169" s="1" t="s">
        <v>62</v>
      </c>
      <c r="E169" s="1" t="s">
        <v>32</v>
      </c>
      <c r="F169" s="1" t="s">
        <v>39</v>
      </c>
      <c r="G169" s="1" t="s">
        <v>18</v>
      </c>
      <c r="H169" s="1">
        <v>9628</v>
      </c>
      <c r="I169" s="1" t="s">
        <v>27</v>
      </c>
      <c r="J169" s="1"/>
      <c r="K169" s="1">
        <v>9000</v>
      </c>
      <c r="L169" s="2">
        <v>45293</v>
      </c>
    </row>
    <row r="170" spans="1:12" x14ac:dyDescent="0.35">
      <c r="A170" s="1" t="s">
        <v>320</v>
      </c>
      <c r="B170" s="1" t="s">
        <v>321</v>
      </c>
      <c r="C170" s="1" t="s">
        <v>30</v>
      </c>
      <c r="D170" s="1" t="s">
        <v>31</v>
      </c>
      <c r="E170" s="1" t="s">
        <v>32</v>
      </c>
      <c r="F170" s="1" t="s">
        <v>25</v>
      </c>
      <c r="G170" s="1" t="s">
        <v>26</v>
      </c>
      <c r="H170" s="1">
        <v>15840</v>
      </c>
      <c r="I170" s="1" t="s">
        <v>22</v>
      </c>
      <c r="J170" s="1">
        <v>0.1</v>
      </c>
      <c r="K170" s="1">
        <v>17000</v>
      </c>
      <c r="L170" s="2">
        <v>45345</v>
      </c>
    </row>
    <row r="171" spans="1:12" x14ac:dyDescent="0.35">
      <c r="A171" s="1" t="s">
        <v>322</v>
      </c>
      <c r="B171" s="1" t="s">
        <v>133</v>
      </c>
      <c r="C171" s="1" t="s">
        <v>44</v>
      </c>
      <c r="D171" s="1" t="s">
        <v>45</v>
      </c>
      <c r="E171" s="1" t="s">
        <v>16</v>
      </c>
      <c r="F171" s="1" t="s">
        <v>25</v>
      </c>
      <c r="G171" s="1" t="s">
        <v>18</v>
      </c>
      <c r="H171" s="1">
        <v>12345</v>
      </c>
      <c r="I171" s="1" t="s">
        <v>19</v>
      </c>
      <c r="J171" s="1">
        <v>0.2</v>
      </c>
      <c r="K171" s="1">
        <v>13000</v>
      </c>
      <c r="L171" s="2">
        <v>45342</v>
      </c>
    </row>
    <row r="172" spans="1:12" x14ac:dyDescent="0.35">
      <c r="A172" s="1" t="s">
        <v>323</v>
      </c>
      <c r="B172" s="1" t="s">
        <v>60</v>
      </c>
      <c r="C172" s="1" t="s">
        <v>14</v>
      </c>
      <c r="D172" s="1" t="s">
        <v>15</v>
      </c>
      <c r="E172" s="1" t="s">
        <v>46</v>
      </c>
      <c r="F172" s="1" t="s">
        <v>25</v>
      </c>
      <c r="G172" s="1" t="s">
        <v>18</v>
      </c>
      <c r="H172" s="1">
        <v>14212</v>
      </c>
      <c r="I172" s="1" t="s">
        <v>33</v>
      </c>
      <c r="J172" s="1">
        <v>0.3</v>
      </c>
      <c r="K172" s="1">
        <v>14000</v>
      </c>
      <c r="L172" s="2">
        <v>45343</v>
      </c>
    </row>
    <row r="173" spans="1:12" x14ac:dyDescent="0.35">
      <c r="A173" s="1" t="s">
        <v>324</v>
      </c>
      <c r="B173" s="1" t="s">
        <v>325</v>
      </c>
      <c r="C173" s="1" t="s">
        <v>14</v>
      </c>
      <c r="D173" s="1" t="s">
        <v>15</v>
      </c>
      <c r="E173" s="1" t="s">
        <v>32</v>
      </c>
      <c r="F173" s="1" t="s">
        <v>25</v>
      </c>
      <c r="G173" s="1" t="s">
        <v>36</v>
      </c>
      <c r="H173" s="1">
        <v>15235</v>
      </c>
      <c r="I173" s="1" t="s">
        <v>19</v>
      </c>
      <c r="J173" s="1">
        <v>0.2</v>
      </c>
      <c r="K173" s="1">
        <v>14000</v>
      </c>
      <c r="L173" s="2">
        <v>45329</v>
      </c>
    </row>
    <row r="174" spans="1:12" x14ac:dyDescent="0.35">
      <c r="A174" s="1" t="s">
        <v>326</v>
      </c>
      <c r="B174" s="1" t="s">
        <v>327</v>
      </c>
      <c r="C174" s="1" t="s">
        <v>44</v>
      </c>
      <c r="D174" s="1" t="s">
        <v>45</v>
      </c>
      <c r="E174" s="1" t="s">
        <v>46</v>
      </c>
      <c r="F174" s="1" t="s">
        <v>25</v>
      </c>
      <c r="G174" s="1" t="s">
        <v>18</v>
      </c>
      <c r="H174" s="1">
        <v>14038</v>
      </c>
      <c r="I174" s="1"/>
      <c r="J174" s="1"/>
      <c r="K174" s="1">
        <v>13000</v>
      </c>
      <c r="L174" s="2">
        <v>45325</v>
      </c>
    </row>
    <row r="175" spans="1:12" x14ac:dyDescent="0.35">
      <c r="A175" s="1" t="s">
        <v>328</v>
      </c>
      <c r="B175" s="1" t="s">
        <v>173</v>
      </c>
      <c r="C175" s="1" t="s">
        <v>14</v>
      </c>
      <c r="D175" s="1" t="s">
        <v>15</v>
      </c>
      <c r="E175" s="1" t="s">
        <v>46</v>
      </c>
      <c r="F175" s="1" t="s">
        <v>17</v>
      </c>
      <c r="G175" s="1" t="s">
        <v>36</v>
      </c>
      <c r="H175" s="1">
        <v>14102</v>
      </c>
      <c r="I175" s="1" t="s">
        <v>27</v>
      </c>
      <c r="J175" s="1"/>
      <c r="K175" s="1">
        <v>14000</v>
      </c>
      <c r="L175" s="2">
        <v>45298</v>
      </c>
    </row>
    <row r="176" spans="1:12" x14ac:dyDescent="0.35">
      <c r="A176" s="1" t="s">
        <v>329</v>
      </c>
      <c r="B176" s="1" t="s">
        <v>330</v>
      </c>
      <c r="C176" s="1" t="s">
        <v>44</v>
      </c>
      <c r="D176" s="1" t="s">
        <v>45</v>
      </c>
      <c r="E176" s="1" t="s">
        <v>16</v>
      </c>
      <c r="F176" s="1" t="s">
        <v>25</v>
      </c>
      <c r="G176" s="1" t="s">
        <v>26</v>
      </c>
      <c r="H176" s="1">
        <v>14208</v>
      </c>
      <c r="I176" s="1" t="s">
        <v>27</v>
      </c>
      <c r="J176" s="1"/>
      <c r="K176" s="1">
        <v>13000</v>
      </c>
      <c r="L176" s="2">
        <v>45311</v>
      </c>
    </row>
    <row r="177" spans="1:12" x14ac:dyDescent="0.35">
      <c r="A177" s="1" t="s">
        <v>331</v>
      </c>
      <c r="B177" s="1" t="s">
        <v>332</v>
      </c>
      <c r="C177" s="1" t="s">
        <v>14</v>
      </c>
      <c r="D177" s="1" t="s">
        <v>15</v>
      </c>
      <c r="E177" s="1" t="s">
        <v>32</v>
      </c>
      <c r="F177" s="1" t="s">
        <v>17</v>
      </c>
      <c r="G177" s="1" t="s">
        <v>36</v>
      </c>
      <c r="H177" s="1">
        <v>13746</v>
      </c>
      <c r="I177" s="1" t="s">
        <v>22</v>
      </c>
      <c r="J177" s="1">
        <v>0.1</v>
      </c>
      <c r="K177" s="1">
        <v>14000</v>
      </c>
      <c r="L177" s="2">
        <v>45323</v>
      </c>
    </row>
    <row r="178" spans="1:12" x14ac:dyDescent="0.35">
      <c r="A178" s="1" t="s">
        <v>333</v>
      </c>
      <c r="B178" s="1" t="s">
        <v>334</v>
      </c>
      <c r="C178" s="1" t="s">
        <v>14</v>
      </c>
      <c r="D178" s="1" t="s">
        <v>15</v>
      </c>
      <c r="E178" s="1" t="s">
        <v>32</v>
      </c>
      <c r="F178" s="1" t="s">
        <v>17</v>
      </c>
      <c r="G178" s="1" t="s">
        <v>26</v>
      </c>
      <c r="H178" s="1">
        <v>12607</v>
      </c>
      <c r="I178" s="1" t="s">
        <v>22</v>
      </c>
      <c r="J178" s="1">
        <v>0.1</v>
      </c>
      <c r="K178" s="1">
        <v>14000</v>
      </c>
      <c r="L178" s="2">
        <v>45300</v>
      </c>
    </row>
    <row r="179" spans="1:12" x14ac:dyDescent="0.35">
      <c r="A179" s="1" t="s">
        <v>335</v>
      </c>
      <c r="B179" s="1" t="s">
        <v>118</v>
      </c>
      <c r="C179" s="1" t="s">
        <v>30</v>
      </c>
      <c r="D179" s="1" t="s">
        <v>31</v>
      </c>
      <c r="E179" s="1" t="s">
        <v>46</v>
      </c>
      <c r="F179" s="1" t="s">
        <v>39</v>
      </c>
      <c r="G179" s="1" t="s">
        <v>26</v>
      </c>
      <c r="H179" s="1">
        <v>16207</v>
      </c>
      <c r="I179" s="1"/>
      <c r="J179" s="1"/>
      <c r="K179" s="1">
        <v>17000</v>
      </c>
      <c r="L179" s="2">
        <v>45324</v>
      </c>
    </row>
    <row r="180" spans="1:12" x14ac:dyDescent="0.35">
      <c r="A180" s="1" t="s">
        <v>336</v>
      </c>
      <c r="B180" s="1" t="s">
        <v>337</v>
      </c>
      <c r="C180" s="1" t="s">
        <v>14</v>
      </c>
      <c r="D180" s="1" t="s">
        <v>15</v>
      </c>
      <c r="E180" s="1" t="s">
        <v>16</v>
      </c>
      <c r="F180" s="1" t="s">
        <v>25</v>
      </c>
      <c r="G180" s="1" t="s">
        <v>26</v>
      </c>
      <c r="H180" s="1">
        <v>14666</v>
      </c>
      <c r="I180" s="1" t="s">
        <v>27</v>
      </c>
      <c r="J180" s="1"/>
      <c r="K180" s="1">
        <v>14000</v>
      </c>
      <c r="L180" s="2">
        <v>45338</v>
      </c>
    </row>
    <row r="181" spans="1:12" x14ac:dyDescent="0.35">
      <c r="A181" s="1" t="s">
        <v>338</v>
      </c>
      <c r="B181" s="1" t="s">
        <v>207</v>
      </c>
      <c r="C181" s="1" t="s">
        <v>61</v>
      </c>
      <c r="D181" s="1" t="s">
        <v>62</v>
      </c>
      <c r="E181" s="1" t="s">
        <v>46</v>
      </c>
      <c r="F181" s="1" t="s">
        <v>25</v>
      </c>
      <c r="G181" s="1" t="s">
        <v>36</v>
      </c>
      <c r="H181" s="1">
        <v>8388</v>
      </c>
      <c r="I181" s="1"/>
      <c r="J181" s="1"/>
      <c r="K181" s="1">
        <v>9000</v>
      </c>
      <c r="L181" s="2">
        <v>45317</v>
      </c>
    </row>
    <row r="182" spans="1:12" x14ac:dyDescent="0.35">
      <c r="A182" s="1" t="s">
        <v>339</v>
      </c>
      <c r="B182" s="1" t="s">
        <v>101</v>
      </c>
      <c r="C182" s="1" t="s">
        <v>14</v>
      </c>
      <c r="D182" s="1" t="s">
        <v>15</v>
      </c>
      <c r="E182" s="1" t="s">
        <v>46</v>
      </c>
      <c r="F182" s="1" t="s">
        <v>17</v>
      </c>
      <c r="G182" s="1" t="s">
        <v>36</v>
      </c>
      <c r="H182" s="1">
        <v>14724</v>
      </c>
      <c r="I182" s="1" t="s">
        <v>33</v>
      </c>
      <c r="J182" s="1">
        <v>0.3</v>
      </c>
      <c r="K182" s="1">
        <v>14000</v>
      </c>
      <c r="L182" s="2">
        <v>45315</v>
      </c>
    </row>
    <row r="183" spans="1:12" x14ac:dyDescent="0.35">
      <c r="A183" s="1" t="s">
        <v>340</v>
      </c>
      <c r="B183" s="1" t="s">
        <v>113</v>
      </c>
      <c r="C183" s="1" t="s">
        <v>61</v>
      </c>
      <c r="D183" s="1" t="s">
        <v>62</v>
      </c>
      <c r="E183" s="1" t="s">
        <v>32</v>
      </c>
      <c r="F183" s="1" t="s">
        <v>25</v>
      </c>
      <c r="G183" s="1" t="s">
        <v>18</v>
      </c>
      <c r="H183" s="1">
        <v>7381</v>
      </c>
      <c r="I183" s="1"/>
      <c r="J183" s="1"/>
      <c r="K183" s="1">
        <v>9000</v>
      </c>
      <c r="L183" s="2">
        <v>45298</v>
      </c>
    </row>
    <row r="184" spans="1:12" x14ac:dyDescent="0.35">
      <c r="A184" s="1" t="s">
        <v>341</v>
      </c>
      <c r="B184" s="1" t="s">
        <v>342</v>
      </c>
      <c r="C184" s="1" t="s">
        <v>30</v>
      </c>
      <c r="D184" s="1" t="s">
        <v>31</v>
      </c>
      <c r="E184" s="1" t="s">
        <v>32</v>
      </c>
      <c r="F184" s="1" t="s">
        <v>39</v>
      </c>
      <c r="G184" s="1" t="s">
        <v>18</v>
      </c>
      <c r="H184" s="1">
        <v>17402</v>
      </c>
      <c r="I184" s="1" t="s">
        <v>27</v>
      </c>
      <c r="J184" s="1"/>
      <c r="K184" s="1">
        <v>17000</v>
      </c>
      <c r="L184" s="2">
        <v>45327</v>
      </c>
    </row>
    <row r="185" spans="1:12" x14ac:dyDescent="0.35">
      <c r="A185" s="1" t="s">
        <v>343</v>
      </c>
      <c r="B185" s="1" t="s">
        <v>150</v>
      </c>
      <c r="C185" s="1" t="s">
        <v>14</v>
      </c>
      <c r="D185" s="1" t="s">
        <v>15</v>
      </c>
      <c r="E185" s="1" t="s">
        <v>46</v>
      </c>
      <c r="F185" s="1" t="s">
        <v>17</v>
      </c>
      <c r="G185" s="1" t="s">
        <v>26</v>
      </c>
      <c r="H185" s="1">
        <v>15854</v>
      </c>
      <c r="I185" s="1"/>
      <c r="J185" s="1"/>
      <c r="K185" s="1">
        <v>14000</v>
      </c>
      <c r="L185" s="2">
        <v>45347</v>
      </c>
    </row>
    <row r="186" spans="1:12" x14ac:dyDescent="0.35">
      <c r="A186" s="1" t="s">
        <v>344</v>
      </c>
      <c r="B186" s="1" t="s">
        <v>260</v>
      </c>
      <c r="C186" s="1" t="s">
        <v>14</v>
      </c>
      <c r="D186" s="1" t="s">
        <v>15</v>
      </c>
      <c r="E186" s="1" t="s">
        <v>46</v>
      </c>
      <c r="F186" s="1" t="s">
        <v>39</v>
      </c>
      <c r="G186" s="1" t="s">
        <v>36</v>
      </c>
      <c r="H186" s="1">
        <v>13440</v>
      </c>
      <c r="I186" s="1" t="s">
        <v>22</v>
      </c>
      <c r="J186" s="1">
        <v>0.1</v>
      </c>
      <c r="K186" s="1">
        <v>14000</v>
      </c>
      <c r="L186" s="2">
        <v>45328</v>
      </c>
    </row>
    <row r="187" spans="1:12" x14ac:dyDescent="0.35">
      <c r="A187" s="1" t="s">
        <v>345</v>
      </c>
      <c r="B187" s="1" t="s">
        <v>346</v>
      </c>
      <c r="C187" s="1" t="s">
        <v>44</v>
      </c>
      <c r="D187" s="1" t="s">
        <v>45</v>
      </c>
      <c r="E187" s="1" t="s">
        <v>16</v>
      </c>
      <c r="F187" s="1" t="s">
        <v>17</v>
      </c>
      <c r="G187" s="1" t="s">
        <v>18</v>
      </c>
      <c r="H187" s="1">
        <v>14470</v>
      </c>
      <c r="I187" s="1" t="s">
        <v>22</v>
      </c>
      <c r="J187" s="1">
        <v>0.1</v>
      </c>
      <c r="K187" s="1">
        <v>13000</v>
      </c>
      <c r="L187" s="2">
        <v>45314</v>
      </c>
    </row>
    <row r="188" spans="1:12" x14ac:dyDescent="0.35">
      <c r="A188" s="1" t="s">
        <v>347</v>
      </c>
      <c r="B188" s="1" t="s">
        <v>144</v>
      </c>
      <c r="C188" s="1" t="s">
        <v>30</v>
      </c>
      <c r="D188" s="1" t="s">
        <v>31</v>
      </c>
      <c r="E188" s="1" t="s">
        <v>32</v>
      </c>
      <c r="F188" s="1" t="s">
        <v>17</v>
      </c>
      <c r="G188" s="1" t="s">
        <v>26</v>
      </c>
      <c r="H188" s="1">
        <v>15926</v>
      </c>
      <c r="I188" s="1"/>
      <c r="J188" s="1"/>
      <c r="K188" s="1">
        <v>17000</v>
      </c>
      <c r="L188" s="2">
        <v>45346</v>
      </c>
    </row>
    <row r="189" spans="1:12" x14ac:dyDescent="0.35">
      <c r="A189" s="1" t="s">
        <v>348</v>
      </c>
      <c r="B189" s="1" t="s">
        <v>82</v>
      </c>
      <c r="C189" s="1" t="s">
        <v>14</v>
      </c>
      <c r="D189" s="1" t="s">
        <v>15</v>
      </c>
      <c r="E189" s="1" t="s">
        <v>16</v>
      </c>
      <c r="F189" s="1" t="s">
        <v>39</v>
      </c>
      <c r="G189" s="1" t="s">
        <v>26</v>
      </c>
      <c r="H189" s="1">
        <v>13095</v>
      </c>
      <c r="I189" s="1" t="s">
        <v>22</v>
      </c>
      <c r="J189" s="1">
        <v>0.1</v>
      </c>
      <c r="K189" s="1">
        <v>14000</v>
      </c>
      <c r="L189" s="2">
        <v>45303</v>
      </c>
    </row>
    <row r="190" spans="1:12" x14ac:dyDescent="0.35">
      <c r="A190" s="1" t="s">
        <v>349</v>
      </c>
      <c r="B190" s="1" t="s">
        <v>350</v>
      </c>
      <c r="C190" s="1" t="s">
        <v>30</v>
      </c>
      <c r="D190" s="1" t="s">
        <v>31</v>
      </c>
      <c r="E190" s="1" t="s">
        <v>46</v>
      </c>
      <c r="F190" s="1" t="s">
        <v>17</v>
      </c>
      <c r="G190" s="1" t="s">
        <v>18</v>
      </c>
      <c r="H190" s="1">
        <v>15743</v>
      </c>
      <c r="I190" s="1" t="s">
        <v>19</v>
      </c>
      <c r="J190" s="1">
        <v>0.2</v>
      </c>
      <c r="K190" s="1">
        <v>17000</v>
      </c>
      <c r="L190" s="2">
        <v>45328</v>
      </c>
    </row>
    <row r="191" spans="1:12" x14ac:dyDescent="0.35">
      <c r="A191" s="1" t="s">
        <v>351</v>
      </c>
      <c r="B191" s="1" t="s">
        <v>90</v>
      </c>
      <c r="C191" s="1" t="s">
        <v>14</v>
      </c>
      <c r="D191" s="1" t="s">
        <v>15</v>
      </c>
      <c r="E191" s="1" t="s">
        <v>32</v>
      </c>
      <c r="F191" s="1" t="s">
        <v>39</v>
      </c>
      <c r="G191" s="1" t="s">
        <v>26</v>
      </c>
      <c r="H191" s="1">
        <v>15980</v>
      </c>
      <c r="I191" s="1" t="s">
        <v>22</v>
      </c>
      <c r="J191" s="1">
        <v>0.1</v>
      </c>
      <c r="K191" s="1">
        <v>14000</v>
      </c>
      <c r="L191" s="2">
        <v>45297</v>
      </c>
    </row>
    <row r="192" spans="1:12" x14ac:dyDescent="0.35">
      <c r="A192" s="1" t="s">
        <v>352</v>
      </c>
      <c r="B192" s="1" t="s">
        <v>103</v>
      </c>
      <c r="C192" s="1" t="s">
        <v>44</v>
      </c>
      <c r="D192" s="1" t="s">
        <v>45</v>
      </c>
      <c r="E192" s="1" t="s">
        <v>46</v>
      </c>
      <c r="F192" s="1" t="s">
        <v>17</v>
      </c>
      <c r="G192" s="1" t="s">
        <v>36</v>
      </c>
      <c r="H192" s="1">
        <v>12396</v>
      </c>
      <c r="I192" s="1" t="s">
        <v>19</v>
      </c>
      <c r="J192" s="1">
        <v>0.2</v>
      </c>
      <c r="K192" s="1">
        <v>13000</v>
      </c>
      <c r="L192" s="2">
        <v>45315</v>
      </c>
    </row>
    <row r="193" spans="1:12" x14ac:dyDescent="0.35">
      <c r="A193" s="1" t="s">
        <v>353</v>
      </c>
      <c r="B193" s="1" t="s">
        <v>350</v>
      </c>
      <c r="C193" s="1" t="s">
        <v>30</v>
      </c>
      <c r="D193" s="1" t="s">
        <v>31</v>
      </c>
      <c r="E193" s="1" t="s">
        <v>16</v>
      </c>
      <c r="F193" s="1" t="s">
        <v>39</v>
      </c>
      <c r="G193" s="1" t="s">
        <v>18</v>
      </c>
      <c r="H193" s="1">
        <v>18618</v>
      </c>
      <c r="I193" s="1" t="s">
        <v>22</v>
      </c>
      <c r="J193" s="1">
        <v>0.1</v>
      </c>
      <c r="K193" s="1">
        <v>17000</v>
      </c>
      <c r="L193" s="2">
        <v>45301</v>
      </c>
    </row>
    <row r="194" spans="1:12" x14ac:dyDescent="0.35">
      <c r="A194" s="1" t="s">
        <v>354</v>
      </c>
      <c r="B194" s="1" t="s">
        <v>135</v>
      </c>
      <c r="C194" s="1" t="s">
        <v>14</v>
      </c>
      <c r="D194" s="1" t="s">
        <v>15</v>
      </c>
      <c r="E194" s="1" t="s">
        <v>16</v>
      </c>
      <c r="F194" s="1" t="s">
        <v>25</v>
      </c>
      <c r="G194" s="1" t="s">
        <v>36</v>
      </c>
      <c r="H194" s="1">
        <v>13814</v>
      </c>
      <c r="I194" s="1"/>
      <c r="J194" s="1"/>
      <c r="K194" s="1">
        <v>14000</v>
      </c>
      <c r="L194" s="2">
        <v>45323</v>
      </c>
    </row>
    <row r="195" spans="1:12" x14ac:dyDescent="0.35">
      <c r="A195" s="1" t="s">
        <v>355</v>
      </c>
      <c r="B195" s="1" t="s">
        <v>356</v>
      </c>
      <c r="C195" s="1" t="s">
        <v>61</v>
      </c>
      <c r="D195" s="1" t="s">
        <v>62</v>
      </c>
      <c r="E195" s="1" t="s">
        <v>46</v>
      </c>
      <c r="F195" s="1" t="s">
        <v>25</v>
      </c>
      <c r="G195" s="1" t="s">
        <v>26</v>
      </c>
      <c r="H195" s="1">
        <v>7466</v>
      </c>
      <c r="I195" s="1" t="s">
        <v>33</v>
      </c>
      <c r="J195" s="1">
        <v>0.3</v>
      </c>
      <c r="K195" s="1">
        <v>9000</v>
      </c>
      <c r="L195" s="2">
        <v>45319</v>
      </c>
    </row>
    <row r="196" spans="1:12" x14ac:dyDescent="0.35">
      <c r="A196" s="1" t="s">
        <v>357</v>
      </c>
      <c r="B196" s="1" t="s">
        <v>263</v>
      </c>
      <c r="C196" s="1" t="s">
        <v>61</v>
      </c>
      <c r="D196" s="1" t="s">
        <v>62</v>
      </c>
      <c r="E196" s="1" t="s">
        <v>16</v>
      </c>
      <c r="F196" s="1" t="s">
        <v>39</v>
      </c>
      <c r="G196" s="1" t="s">
        <v>36</v>
      </c>
      <c r="H196" s="1">
        <v>7186</v>
      </c>
      <c r="I196" s="1" t="s">
        <v>19</v>
      </c>
      <c r="J196" s="1">
        <v>0.2</v>
      </c>
      <c r="K196" s="1">
        <v>9000</v>
      </c>
      <c r="L196" s="2">
        <v>45317</v>
      </c>
    </row>
    <row r="197" spans="1:12" x14ac:dyDescent="0.35">
      <c r="A197" s="1" t="s">
        <v>358</v>
      </c>
      <c r="B197" s="1" t="s">
        <v>359</v>
      </c>
      <c r="C197" s="1" t="s">
        <v>14</v>
      </c>
      <c r="D197" s="1" t="s">
        <v>15</v>
      </c>
      <c r="E197" s="1" t="s">
        <v>32</v>
      </c>
      <c r="F197" s="1" t="s">
        <v>17</v>
      </c>
      <c r="G197" s="1" t="s">
        <v>18</v>
      </c>
      <c r="H197" s="1">
        <v>15143</v>
      </c>
      <c r="I197" s="1" t="s">
        <v>19</v>
      </c>
      <c r="J197" s="1">
        <v>0.2</v>
      </c>
      <c r="K197" s="1">
        <v>14000</v>
      </c>
      <c r="L197" s="2">
        <v>45340</v>
      </c>
    </row>
    <row r="198" spans="1:12" x14ac:dyDescent="0.35">
      <c r="A198" s="1" t="s">
        <v>360</v>
      </c>
      <c r="B198" s="1" t="s">
        <v>361</v>
      </c>
      <c r="C198" s="1" t="s">
        <v>30</v>
      </c>
      <c r="D198" s="1" t="s">
        <v>31</v>
      </c>
      <c r="E198" s="1" t="s">
        <v>32</v>
      </c>
      <c r="F198" s="1" t="s">
        <v>25</v>
      </c>
      <c r="G198" s="1" t="s">
        <v>36</v>
      </c>
      <c r="H198" s="1">
        <v>18059</v>
      </c>
      <c r="I198" s="1"/>
      <c r="J198" s="1"/>
      <c r="K198" s="1">
        <v>17000</v>
      </c>
      <c r="L198" s="2">
        <v>45303</v>
      </c>
    </row>
    <row r="199" spans="1:12" x14ac:dyDescent="0.35">
      <c r="A199" s="1" t="s">
        <v>362</v>
      </c>
      <c r="B199" s="1" t="s">
        <v>363</v>
      </c>
      <c r="C199" s="1" t="s">
        <v>44</v>
      </c>
      <c r="D199" s="1" t="s">
        <v>45</v>
      </c>
      <c r="E199" s="1" t="s">
        <v>16</v>
      </c>
      <c r="F199" s="1" t="s">
        <v>39</v>
      </c>
      <c r="G199" s="1" t="s">
        <v>26</v>
      </c>
      <c r="H199" s="1">
        <v>14302</v>
      </c>
      <c r="I199" s="1" t="s">
        <v>33</v>
      </c>
      <c r="J199" s="1">
        <v>0.3</v>
      </c>
      <c r="K199" s="1">
        <v>13000</v>
      </c>
      <c r="L199" s="2">
        <v>45296</v>
      </c>
    </row>
    <row r="200" spans="1:12" x14ac:dyDescent="0.35">
      <c r="A200" s="1" t="s">
        <v>364</v>
      </c>
      <c r="B200" s="1" t="s">
        <v>309</v>
      </c>
      <c r="C200" s="1" t="s">
        <v>14</v>
      </c>
      <c r="D200" s="1" t="s">
        <v>15</v>
      </c>
      <c r="E200" s="1" t="s">
        <v>46</v>
      </c>
      <c r="F200" s="1" t="s">
        <v>25</v>
      </c>
      <c r="G200" s="1" t="s">
        <v>36</v>
      </c>
      <c r="H200" s="1">
        <v>15773</v>
      </c>
      <c r="I200" s="1" t="s">
        <v>22</v>
      </c>
      <c r="J200" s="1">
        <v>0.1</v>
      </c>
      <c r="K200" s="1">
        <v>14000</v>
      </c>
      <c r="L200" s="2">
        <v>45347</v>
      </c>
    </row>
    <row r="201" spans="1:12" x14ac:dyDescent="0.35">
      <c r="A201" s="1" t="s">
        <v>365</v>
      </c>
      <c r="B201" s="1" t="s">
        <v>38</v>
      </c>
      <c r="C201" s="1" t="s">
        <v>61</v>
      </c>
      <c r="D201" s="1" t="s">
        <v>62</v>
      </c>
      <c r="E201" s="1" t="s">
        <v>16</v>
      </c>
      <c r="F201" s="1" t="s">
        <v>17</v>
      </c>
      <c r="G201" s="1" t="s">
        <v>26</v>
      </c>
      <c r="H201" s="1">
        <v>9622</v>
      </c>
      <c r="I201" s="1"/>
      <c r="J201" s="1"/>
      <c r="K201" s="1">
        <v>9000</v>
      </c>
      <c r="L201" s="2">
        <v>45310</v>
      </c>
    </row>
    <row r="202" spans="1:12" x14ac:dyDescent="0.35">
      <c r="A202" s="1" t="s">
        <v>366</v>
      </c>
      <c r="B202" s="1" t="s">
        <v>66</v>
      </c>
      <c r="C202" s="1" t="s">
        <v>14</v>
      </c>
      <c r="D202" s="1" t="s">
        <v>15</v>
      </c>
      <c r="E202" s="1" t="s">
        <v>46</v>
      </c>
      <c r="F202" s="1" t="s">
        <v>25</v>
      </c>
      <c r="G202" s="1" t="s">
        <v>26</v>
      </c>
      <c r="H202" s="1">
        <v>13884</v>
      </c>
      <c r="I202" s="1" t="s">
        <v>33</v>
      </c>
      <c r="J202" s="1">
        <v>0.3</v>
      </c>
      <c r="K202" s="1">
        <v>14000</v>
      </c>
      <c r="L202" s="2">
        <v>45297</v>
      </c>
    </row>
    <row r="203" spans="1:12" x14ac:dyDescent="0.35">
      <c r="A203" s="1" t="s">
        <v>367</v>
      </c>
      <c r="B203" s="1" t="s">
        <v>309</v>
      </c>
      <c r="C203" s="1" t="s">
        <v>14</v>
      </c>
      <c r="D203" s="1" t="s">
        <v>15</v>
      </c>
      <c r="E203" s="1" t="s">
        <v>32</v>
      </c>
      <c r="F203" s="1" t="s">
        <v>17</v>
      </c>
      <c r="G203" s="1" t="s">
        <v>26</v>
      </c>
      <c r="H203" s="1">
        <v>13640</v>
      </c>
      <c r="I203" s="1" t="s">
        <v>27</v>
      </c>
      <c r="J203" s="1"/>
      <c r="K203" s="1">
        <v>14000</v>
      </c>
      <c r="L203" s="2">
        <v>45297</v>
      </c>
    </row>
    <row r="204" spans="1:12" x14ac:dyDescent="0.35">
      <c r="A204" s="1" t="s">
        <v>368</v>
      </c>
      <c r="B204" s="1" t="s">
        <v>309</v>
      </c>
      <c r="C204" s="1" t="s">
        <v>30</v>
      </c>
      <c r="D204" s="1" t="s">
        <v>31</v>
      </c>
      <c r="E204" s="1" t="s">
        <v>16</v>
      </c>
      <c r="F204" s="1" t="s">
        <v>17</v>
      </c>
      <c r="G204" s="1" t="s">
        <v>18</v>
      </c>
      <c r="H204" s="1">
        <v>16364</v>
      </c>
      <c r="I204" s="1" t="s">
        <v>19</v>
      </c>
      <c r="J204" s="1">
        <v>0.2</v>
      </c>
      <c r="K204" s="1">
        <v>17000</v>
      </c>
      <c r="L204" s="2">
        <v>45296</v>
      </c>
    </row>
    <row r="205" spans="1:12" x14ac:dyDescent="0.35">
      <c r="A205" s="1" t="s">
        <v>369</v>
      </c>
      <c r="B205" s="1" t="s">
        <v>202</v>
      </c>
      <c r="C205" s="1" t="s">
        <v>14</v>
      </c>
      <c r="D205" s="1" t="s">
        <v>15</v>
      </c>
      <c r="E205" s="1" t="s">
        <v>16</v>
      </c>
      <c r="F205" s="1" t="s">
        <v>39</v>
      </c>
      <c r="G205" s="1" t="s">
        <v>18</v>
      </c>
      <c r="H205" s="1">
        <v>15710</v>
      </c>
      <c r="I205" s="1" t="s">
        <v>33</v>
      </c>
      <c r="J205" s="1">
        <v>0.3</v>
      </c>
      <c r="K205" s="1">
        <v>14000</v>
      </c>
      <c r="L205" s="2">
        <v>45314</v>
      </c>
    </row>
    <row r="206" spans="1:12" x14ac:dyDescent="0.35">
      <c r="A206" s="1" t="s">
        <v>370</v>
      </c>
      <c r="B206" s="1" t="s">
        <v>371</v>
      </c>
      <c r="C206" s="1" t="s">
        <v>44</v>
      </c>
      <c r="D206" s="1" t="s">
        <v>45</v>
      </c>
      <c r="E206" s="1" t="s">
        <v>32</v>
      </c>
      <c r="F206" s="1" t="s">
        <v>25</v>
      </c>
      <c r="G206" s="1" t="s">
        <v>18</v>
      </c>
      <c r="H206" s="1">
        <v>12048</v>
      </c>
      <c r="I206" s="1" t="s">
        <v>19</v>
      </c>
      <c r="J206" s="1">
        <v>0.2</v>
      </c>
      <c r="K206" s="1">
        <v>13000</v>
      </c>
      <c r="L206" s="2">
        <v>45303</v>
      </c>
    </row>
    <row r="207" spans="1:12" x14ac:dyDescent="0.35">
      <c r="A207" s="1" t="s">
        <v>372</v>
      </c>
      <c r="B207" s="1" t="s">
        <v>373</v>
      </c>
      <c r="C207" s="1" t="s">
        <v>14</v>
      </c>
      <c r="D207" s="1" t="s">
        <v>15</v>
      </c>
      <c r="E207" s="1" t="s">
        <v>32</v>
      </c>
      <c r="F207" s="1" t="s">
        <v>39</v>
      </c>
      <c r="G207" s="1" t="s">
        <v>36</v>
      </c>
      <c r="H207" s="1">
        <v>13900</v>
      </c>
      <c r="I207" s="1" t="s">
        <v>27</v>
      </c>
      <c r="J207" s="1"/>
      <c r="K207" s="1">
        <v>14000</v>
      </c>
      <c r="L207" s="2">
        <v>45340</v>
      </c>
    </row>
    <row r="208" spans="1:12" x14ac:dyDescent="0.35">
      <c r="A208" s="1" t="s">
        <v>374</v>
      </c>
      <c r="B208" s="1" t="s">
        <v>356</v>
      </c>
      <c r="C208" s="1" t="s">
        <v>30</v>
      </c>
      <c r="D208" s="1" t="s">
        <v>31</v>
      </c>
      <c r="E208" s="1" t="s">
        <v>16</v>
      </c>
      <c r="F208" s="1" t="s">
        <v>17</v>
      </c>
      <c r="G208" s="1" t="s">
        <v>18</v>
      </c>
      <c r="H208" s="1">
        <v>16801</v>
      </c>
      <c r="I208" s="1" t="s">
        <v>22</v>
      </c>
      <c r="J208" s="1">
        <v>0.1</v>
      </c>
      <c r="K208" s="1">
        <v>17000</v>
      </c>
      <c r="L208" s="2">
        <v>45322</v>
      </c>
    </row>
    <row r="209" spans="1:12" x14ac:dyDescent="0.35">
      <c r="A209" s="1" t="s">
        <v>375</v>
      </c>
      <c r="B209" s="1" t="s">
        <v>332</v>
      </c>
      <c r="C209" s="1" t="s">
        <v>30</v>
      </c>
      <c r="D209" s="1" t="s">
        <v>31</v>
      </c>
      <c r="E209" s="1" t="s">
        <v>46</v>
      </c>
      <c r="F209" s="1" t="s">
        <v>39</v>
      </c>
      <c r="G209" s="1" t="s">
        <v>18</v>
      </c>
      <c r="H209" s="1">
        <v>16441</v>
      </c>
      <c r="I209" s="1" t="s">
        <v>27</v>
      </c>
      <c r="J209" s="1"/>
      <c r="K209" s="1">
        <v>17000</v>
      </c>
      <c r="L209" s="2">
        <v>45296</v>
      </c>
    </row>
    <row r="210" spans="1:12" x14ac:dyDescent="0.35">
      <c r="A210" s="1" t="s">
        <v>376</v>
      </c>
      <c r="B210" s="1" t="s">
        <v>48</v>
      </c>
      <c r="C210" s="1" t="s">
        <v>61</v>
      </c>
      <c r="D210" s="1" t="s">
        <v>62</v>
      </c>
      <c r="E210" s="1" t="s">
        <v>32</v>
      </c>
      <c r="F210" s="1" t="s">
        <v>25</v>
      </c>
      <c r="G210" s="1" t="s">
        <v>36</v>
      </c>
      <c r="H210" s="1">
        <v>10406</v>
      </c>
      <c r="I210" s="1" t="s">
        <v>33</v>
      </c>
      <c r="J210" s="1">
        <v>0.3</v>
      </c>
      <c r="K210" s="1">
        <v>9000</v>
      </c>
      <c r="L210" s="2">
        <v>45296</v>
      </c>
    </row>
    <row r="211" spans="1:12" x14ac:dyDescent="0.35">
      <c r="A211" s="1" t="s">
        <v>377</v>
      </c>
      <c r="B211" s="1" t="s">
        <v>204</v>
      </c>
      <c r="C211" s="1" t="s">
        <v>14</v>
      </c>
      <c r="D211" s="1" t="s">
        <v>15</v>
      </c>
      <c r="E211" s="1" t="s">
        <v>16</v>
      </c>
      <c r="F211" s="1" t="s">
        <v>39</v>
      </c>
      <c r="G211" s="1" t="s">
        <v>26</v>
      </c>
      <c r="H211" s="1">
        <v>13574</v>
      </c>
      <c r="I211" s="1"/>
      <c r="J211" s="1"/>
      <c r="K211" s="1">
        <v>14000</v>
      </c>
      <c r="L211" s="2">
        <v>45329</v>
      </c>
    </row>
    <row r="212" spans="1:12" x14ac:dyDescent="0.35">
      <c r="A212" s="1" t="s">
        <v>378</v>
      </c>
      <c r="B212" s="1" t="s">
        <v>82</v>
      </c>
      <c r="C212" s="1" t="s">
        <v>14</v>
      </c>
      <c r="D212" s="1" t="s">
        <v>15</v>
      </c>
      <c r="E212" s="1" t="s">
        <v>46</v>
      </c>
      <c r="F212" s="1" t="s">
        <v>39</v>
      </c>
      <c r="G212" s="1" t="s">
        <v>26</v>
      </c>
      <c r="H212" s="1">
        <v>12771</v>
      </c>
      <c r="I212" s="1" t="s">
        <v>33</v>
      </c>
      <c r="J212" s="1">
        <v>0.3</v>
      </c>
      <c r="K212" s="1">
        <v>14000</v>
      </c>
      <c r="L212" s="2">
        <v>45330</v>
      </c>
    </row>
    <row r="213" spans="1:12" x14ac:dyDescent="0.35">
      <c r="A213" s="1" t="s">
        <v>379</v>
      </c>
      <c r="B213" s="1" t="s">
        <v>330</v>
      </c>
      <c r="C213" s="1" t="s">
        <v>44</v>
      </c>
      <c r="D213" s="1" t="s">
        <v>45</v>
      </c>
      <c r="E213" s="1" t="s">
        <v>32</v>
      </c>
      <c r="F213" s="1" t="s">
        <v>17</v>
      </c>
      <c r="G213" s="1" t="s">
        <v>18</v>
      </c>
      <c r="H213" s="1">
        <v>14321</v>
      </c>
      <c r="I213" s="1" t="s">
        <v>33</v>
      </c>
      <c r="J213" s="1">
        <v>0.3</v>
      </c>
      <c r="K213" s="1">
        <v>13000</v>
      </c>
      <c r="L213" s="2">
        <v>45337</v>
      </c>
    </row>
    <row r="214" spans="1:12" x14ac:dyDescent="0.35">
      <c r="A214" s="1" t="s">
        <v>380</v>
      </c>
      <c r="B214" s="1" t="s">
        <v>241</v>
      </c>
      <c r="C214" s="1" t="s">
        <v>44</v>
      </c>
      <c r="D214" s="1" t="s">
        <v>45</v>
      </c>
      <c r="E214" s="1" t="s">
        <v>32</v>
      </c>
      <c r="F214" s="1" t="s">
        <v>25</v>
      </c>
      <c r="G214" s="1" t="s">
        <v>26</v>
      </c>
      <c r="H214" s="1">
        <v>12793</v>
      </c>
      <c r="I214" s="1"/>
      <c r="J214" s="1"/>
      <c r="K214" s="1">
        <v>13000</v>
      </c>
      <c r="L214" s="2">
        <v>45325</v>
      </c>
    </row>
    <row r="215" spans="1:12" x14ac:dyDescent="0.35">
      <c r="A215" s="1" t="s">
        <v>381</v>
      </c>
      <c r="B215" s="1" t="s">
        <v>382</v>
      </c>
      <c r="C215" s="1" t="s">
        <v>44</v>
      </c>
      <c r="D215" s="1" t="s">
        <v>45</v>
      </c>
      <c r="E215" s="1" t="s">
        <v>46</v>
      </c>
      <c r="F215" s="1" t="s">
        <v>17</v>
      </c>
      <c r="G215" s="1" t="s">
        <v>36</v>
      </c>
      <c r="H215" s="1">
        <v>12586</v>
      </c>
      <c r="I215" s="1"/>
      <c r="J215" s="1"/>
      <c r="K215" s="1">
        <v>13000</v>
      </c>
      <c r="L215" s="2">
        <v>45341</v>
      </c>
    </row>
    <row r="216" spans="1:12" x14ac:dyDescent="0.35">
      <c r="A216" s="1" t="s">
        <v>383</v>
      </c>
      <c r="B216" s="1" t="s">
        <v>150</v>
      </c>
      <c r="C216" s="1" t="s">
        <v>14</v>
      </c>
      <c r="D216" s="1" t="s">
        <v>15</v>
      </c>
      <c r="E216" s="1" t="s">
        <v>16</v>
      </c>
      <c r="F216" s="1" t="s">
        <v>39</v>
      </c>
      <c r="G216" s="1" t="s">
        <v>36</v>
      </c>
      <c r="H216" s="1">
        <v>12269</v>
      </c>
      <c r="I216" s="1" t="s">
        <v>33</v>
      </c>
      <c r="J216" s="1">
        <v>0.3</v>
      </c>
      <c r="K216" s="1">
        <v>14000</v>
      </c>
      <c r="L216" s="2">
        <v>45298</v>
      </c>
    </row>
    <row r="217" spans="1:12" x14ac:dyDescent="0.35">
      <c r="A217" s="1" t="s">
        <v>384</v>
      </c>
      <c r="B217" s="1" t="s">
        <v>202</v>
      </c>
      <c r="C217" s="1" t="s">
        <v>61</v>
      </c>
      <c r="D217" s="1" t="s">
        <v>62</v>
      </c>
      <c r="E217" s="1" t="s">
        <v>46</v>
      </c>
      <c r="F217" s="1" t="s">
        <v>17</v>
      </c>
      <c r="G217" s="1" t="s">
        <v>26</v>
      </c>
      <c r="H217" s="1">
        <v>10488</v>
      </c>
      <c r="I217" s="1" t="s">
        <v>27</v>
      </c>
      <c r="J217" s="1"/>
      <c r="K217" s="1">
        <v>9000</v>
      </c>
      <c r="L217" s="2">
        <v>45347</v>
      </c>
    </row>
    <row r="218" spans="1:12" x14ac:dyDescent="0.35">
      <c r="A218" s="1" t="s">
        <v>385</v>
      </c>
      <c r="B218" s="1" t="s">
        <v>74</v>
      </c>
      <c r="C218" s="1" t="s">
        <v>14</v>
      </c>
      <c r="D218" s="1" t="s">
        <v>15</v>
      </c>
      <c r="E218" s="1" t="s">
        <v>16</v>
      </c>
      <c r="F218" s="1" t="s">
        <v>39</v>
      </c>
      <c r="G218" s="1" t="s">
        <v>18</v>
      </c>
      <c r="H218" s="1">
        <v>15754</v>
      </c>
      <c r="I218" s="1" t="s">
        <v>33</v>
      </c>
      <c r="J218" s="1">
        <v>0.3</v>
      </c>
      <c r="K218" s="1">
        <v>14000</v>
      </c>
      <c r="L218" s="2">
        <v>45311</v>
      </c>
    </row>
    <row r="219" spans="1:12" x14ac:dyDescent="0.35">
      <c r="A219" s="1" t="s">
        <v>386</v>
      </c>
      <c r="B219" s="1" t="s">
        <v>305</v>
      </c>
      <c r="C219" s="1" t="s">
        <v>61</v>
      </c>
      <c r="D219" s="1" t="s">
        <v>62</v>
      </c>
      <c r="E219" s="1" t="s">
        <v>32</v>
      </c>
      <c r="F219" s="1" t="s">
        <v>39</v>
      </c>
      <c r="G219" s="1" t="s">
        <v>26</v>
      </c>
      <c r="H219" s="1">
        <v>10842</v>
      </c>
      <c r="I219" s="1" t="s">
        <v>22</v>
      </c>
      <c r="J219" s="1">
        <v>0.1</v>
      </c>
      <c r="K219" s="1">
        <v>9000</v>
      </c>
      <c r="L219" s="2">
        <v>45311</v>
      </c>
    </row>
    <row r="220" spans="1:12" x14ac:dyDescent="0.35">
      <c r="A220" s="1" t="s">
        <v>387</v>
      </c>
      <c r="B220" s="1" t="s">
        <v>388</v>
      </c>
      <c r="C220" s="1" t="s">
        <v>30</v>
      </c>
      <c r="D220" s="1" t="s">
        <v>31</v>
      </c>
      <c r="E220" s="1" t="s">
        <v>32</v>
      </c>
      <c r="F220" s="1" t="s">
        <v>39</v>
      </c>
      <c r="G220" s="1" t="s">
        <v>26</v>
      </c>
      <c r="H220" s="1">
        <v>18395</v>
      </c>
      <c r="I220" s="1" t="s">
        <v>27</v>
      </c>
      <c r="J220" s="1"/>
      <c r="K220" s="1">
        <v>17000</v>
      </c>
      <c r="L220" s="2">
        <v>45297</v>
      </c>
    </row>
    <row r="221" spans="1:12" x14ac:dyDescent="0.35">
      <c r="A221" s="1" t="s">
        <v>389</v>
      </c>
      <c r="B221" s="1" t="s">
        <v>92</v>
      </c>
      <c r="C221" s="1" t="s">
        <v>61</v>
      </c>
      <c r="D221" s="1" t="s">
        <v>62</v>
      </c>
      <c r="E221" s="1" t="s">
        <v>16</v>
      </c>
      <c r="F221" s="1" t="s">
        <v>17</v>
      </c>
      <c r="G221" s="1" t="s">
        <v>18</v>
      </c>
      <c r="H221" s="1">
        <v>8485</v>
      </c>
      <c r="I221" s="1" t="s">
        <v>33</v>
      </c>
      <c r="J221" s="1">
        <v>0.3</v>
      </c>
      <c r="K221" s="1">
        <v>9000</v>
      </c>
      <c r="L221" s="2">
        <v>45303</v>
      </c>
    </row>
    <row r="222" spans="1:12" x14ac:dyDescent="0.35">
      <c r="A222" s="1" t="s">
        <v>390</v>
      </c>
      <c r="B222" s="1" t="s">
        <v>391</v>
      </c>
      <c r="C222" s="1" t="s">
        <v>61</v>
      </c>
      <c r="D222" s="1" t="s">
        <v>62</v>
      </c>
      <c r="E222" s="1" t="s">
        <v>32</v>
      </c>
      <c r="F222" s="1" t="s">
        <v>25</v>
      </c>
      <c r="G222" s="1" t="s">
        <v>18</v>
      </c>
      <c r="H222" s="1">
        <v>7634</v>
      </c>
      <c r="I222" s="1" t="s">
        <v>22</v>
      </c>
      <c r="J222" s="1">
        <v>0.1</v>
      </c>
      <c r="K222" s="1">
        <v>9000</v>
      </c>
      <c r="L222" s="2">
        <v>45310</v>
      </c>
    </row>
    <row r="223" spans="1:12" x14ac:dyDescent="0.35">
      <c r="A223" s="1" t="s">
        <v>392</v>
      </c>
      <c r="B223" s="1" t="s">
        <v>393</v>
      </c>
      <c r="C223" s="1" t="s">
        <v>14</v>
      </c>
      <c r="D223" s="1" t="s">
        <v>15</v>
      </c>
      <c r="E223" s="1" t="s">
        <v>16</v>
      </c>
      <c r="F223" s="1" t="s">
        <v>39</v>
      </c>
      <c r="G223" s="1" t="s">
        <v>26</v>
      </c>
      <c r="H223" s="1">
        <v>15619</v>
      </c>
      <c r="I223" s="1" t="s">
        <v>27</v>
      </c>
      <c r="J223" s="1"/>
      <c r="K223" s="1">
        <v>14000</v>
      </c>
      <c r="L223" s="2">
        <v>45294</v>
      </c>
    </row>
    <row r="224" spans="1:12" x14ac:dyDescent="0.35">
      <c r="A224" s="1" t="s">
        <v>394</v>
      </c>
      <c r="B224" s="1" t="s">
        <v>317</v>
      </c>
      <c r="C224" s="1" t="s">
        <v>44</v>
      </c>
      <c r="D224" s="1" t="s">
        <v>45</v>
      </c>
      <c r="E224" s="1" t="s">
        <v>16</v>
      </c>
      <c r="F224" s="1" t="s">
        <v>17</v>
      </c>
      <c r="G224" s="1" t="s">
        <v>18</v>
      </c>
      <c r="H224" s="1">
        <v>11664</v>
      </c>
      <c r="I224" s="1" t="s">
        <v>19</v>
      </c>
      <c r="J224" s="1">
        <v>0.2</v>
      </c>
      <c r="K224" s="1">
        <v>13000</v>
      </c>
      <c r="L224" s="2">
        <v>45345</v>
      </c>
    </row>
    <row r="225" spans="1:12" x14ac:dyDescent="0.35">
      <c r="A225" s="1" t="s">
        <v>395</v>
      </c>
      <c r="B225" s="1" t="s">
        <v>276</v>
      </c>
      <c r="C225" s="1" t="s">
        <v>44</v>
      </c>
      <c r="D225" s="1" t="s">
        <v>45</v>
      </c>
      <c r="E225" s="1" t="s">
        <v>16</v>
      </c>
      <c r="F225" s="1" t="s">
        <v>17</v>
      </c>
      <c r="G225" s="1" t="s">
        <v>18</v>
      </c>
      <c r="H225" s="1">
        <v>12682</v>
      </c>
      <c r="I225" s="1" t="s">
        <v>33</v>
      </c>
      <c r="J225" s="1">
        <v>0.3</v>
      </c>
      <c r="K225" s="1">
        <v>13000</v>
      </c>
      <c r="L225" s="2">
        <v>45335</v>
      </c>
    </row>
    <row r="226" spans="1:12" x14ac:dyDescent="0.35">
      <c r="A226" s="1" t="s">
        <v>396</v>
      </c>
      <c r="B226" s="1" t="s">
        <v>397</v>
      </c>
      <c r="C226" s="1" t="s">
        <v>61</v>
      </c>
      <c r="D226" s="1" t="s">
        <v>62</v>
      </c>
      <c r="E226" s="1" t="s">
        <v>16</v>
      </c>
      <c r="F226" s="1" t="s">
        <v>17</v>
      </c>
      <c r="G226" s="1" t="s">
        <v>26</v>
      </c>
      <c r="H226" s="1">
        <v>10210</v>
      </c>
      <c r="I226" s="1"/>
      <c r="J226" s="1"/>
      <c r="K226" s="1">
        <v>9000</v>
      </c>
      <c r="L226" s="2">
        <v>45306</v>
      </c>
    </row>
    <row r="227" spans="1:12" x14ac:dyDescent="0.35">
      <c r="A227" s="1" t="s">
        <v>398</v>
      </c>
      <c r="B227" s="1" t="s">
        <v>346</v>
      </c>
      <c r="C227" s="1" t="s">
        <v>30</v>
      </c>
      <c r="D227" s="1" t="s">
        <v>31</v>
      </c>
      <c r="E227" s="1" t="s">
        <v>46</v>
      </c>
      <c r="F227" s="1" t="s">
        <v>25</v>
      </c>
      <c r="G227" s="1" t="s">
        <v>36</v>
      </c>
      <c r="H227" s="1">
        <v>17778</v>
      </c>
      <c r="I227" s="1" t="s">
        <v>27</v>
      </c>
      <c r="J227" s="1"/>
      <c r="K227" s="1">
        <v>17000</v>
      </c>
      <c r="L227" s="2">
        <v>45320</v>
      </c>
    </row>
    <row r="228" spans="1:12" x14ac:dyDescent="0.35">
      <c r="A228" s="1" t="s">
        <v>399</v>
      </c>
      <c r="B228" s="1" t="s">
        <v>157</v>
      </c>
      <c r="C228" s="1" t="s">
        <v>30</v>
      </c>
      <c r="D228" s="1" t="s">
        <v>31</v>
      </c>
      <c r="E228" s="1" t="s">
        <v>46</v>
      </c>
      <c r="F228" s="1" t="s">
        <v>39</v>
      </c>
      <c r="G228" s="1" t="s">
        <v>26</v>
      </c>
      <c r="H228" s="1">
        <v>16714</v>
      </c>
      <c r="I228" s="1" t="s">
        <v>19</v>
      </c>
      <c r="J228" s="1">
        <v>0.2</v>
      </c>
      <c r="K228" s="1">
        <v>17000</v>
      </c>
      <c r="L228" s="2">
        <v>45344</v>
      </c>
    </row>
    <row r="229" spans="1:12" x14ac:dyDescent="0.35">
      <c r="A229" s="1" t="s">
        <v>400</v>
      </c>
      <c r="B229" s="1" t="s">
        <v>401</v>
      </c>
      <c r="C229" s="1" t="s">
        <v>44</v>
      </c>
      <c r="D229" s="1" t="s">
        <v>45</v>
      </c>
      <c r="E229" s="1" t="s">
        <v>46</v>
      </c>
      <c r="F229" s="1" t="s">
        <v>25</v>
      </c>
      <c r="G229" s="1" t="s">
        <v>26</v>
      </c>
      <c r="H229" s="1">
        <v>12968</v>
      </c>
      <c r="I229" s="1" t="s">
        <v>33</v>
      </c>
      <c r="J229" s="1">
        <v>0.3</v>
      </c>
      <c r="K229" s="1">
        <v>13000</v>
      </c>
      <c r="L229" s="2">
        <v>45327</v>
      </c>
    </row>
    <row r="230" spans="1:12" x14ac:dyDescent="0.35">
      <c r="A230" s="1" t="s">
        <v>402</v>
      </c>
      <c r="B230" s="1" t="s">
        <v>403</v>
      </c>
      <c r="C230" s="1" t="s">
        <v>14</v>
      </c>
      <c r="D230" s="1" t="s">
        <v>15</v>
      </c>
      <c r="E230" s="1" t="s">
        <v>46</v>
      </c>
      <c r="F230" s="1" t="s">
        <v>25</v>
      </c>
      <c r="G230" s="1" t="s">
        <v>18</v>
      </c>
      <c r="H230" s="1">
        <v>13117</v>
      </c>
      <c r="I230" s="1"/>
      <c r="J230" s="1"/>
      <c r="K230" s="1">
        <v>14000</v>
      </c>
      <c r="L230" s="2">
        <v>45349</v>
      </c>
    </row>
    <row r="231" spans="1:12" x14ac:dyDescent="0.35">
      <c r="A231" s="1" t="s">
        <v>404</v>
      </c>
      <c r="B231" s="1" t="s">
        <v>80</v>
      </c>
      <c r="C231" s="1" t="s">
        <v>61</v>
      </c>
      <c r="D231" s="1" t="s">
        <v>62</v>
      </c>
      <c r="E231" s="1" t="s">
        <v>32</v>
      </c>
      <c r="F231" s="1" t="s">
        <v>25</v>
      </c>
      <c r="G231" s="1" t="s">
        <v>36</v>
      </c>
      <c r="H231" s="1">
        <v>10623</v>
      </c>
      <c r="I231" s="1" t="s">
        <v>33</v>
      </c>
      <c r="J231" s="1">
        <v>0.3</v>
      </c>
      <c r="K231" s="1">
        <v>9000</v>
      </c>
      <c r="L231" s="2">
        <v>45351</v>
      </c>
    </row>
    <row r="232" spans="1:12" x14ac:dyDescent="0.35">
      <c r="A232" s="1" t="s">
        <v>405</v>
      </c>
      <c r="B232" s="1" t="s">
        <v>406</v>
      </c>
      <c r="C232" s="1" t="s">
        <v>14</v>
      </c>
      <c r="D232" s="1" t="s">
        <v>15</v>
      </c>
      <c r="E232" s="1" t="s">
        <v>46</v>
      </c>
      <c r="F232" s="1" t="s">
        <v>39</v>
      </c>
      <c r="G232" s="1" t="s">
        <v>36</v>
      </c>
      <c r="H232" s="1">
        <v>12965</v>
      </c>
      <c r="I232" s="1"/>
      <c r="J232" s="1"/>
      <c r="K232" s="1">
        <v>14000</v>
      </c>
      <c r="L232" s="2">
        <v>45297</v>
      </c>
    </row>
    <row r="233" spans="1:12" x14ac:dyDescent="0.35">
      <c r="A233" s="1" t="s">
        <v>407</v>
      </c>
      <c r="B233" s="1" t="s">
        <v>408</v>
      </c>
      <c r="C233" s="1" t="s">
        <v>14</v>
      </c>
      <c r="D233" s="1" t="s">
        <v>15</v>
      </c>
      <c r="E233" s="1" t="s">
        <v>46</v>
      </c>
      <c r="F233" s="1" t="s">
        <v>25</v>
      </c>
      <c r="G233" s="1" t="s">
        <v>26</v>
      </c>
      <c r="H233" s="1">
        <v>14662</v>
      </c>
      <c r="I233" s="1" t="s">
        <v>33</v>
      </c>
      <c r="J233" s="1">
        <v>0.3</v>
      </c>
      <c r="K233" s="1">
        <v>14000</v>
      </c>
      <c r="L233" s="2">
        <v>45342</v>
      </c>
    </row>
    <row r="234" spans="1:12" x14ac:dyDescent="0.35">
      <c r="A234" s="1" t="s">
        <v>409</v>
      </c>
      <c r="B234" s="1" t="s">
        <v>175</v>
      </c>
      <c r="C234" s="1" t="s">
        <v>14</v>
      </c>
      <c r="D234" s="1" t="s">
        <v>15</v>
      </c>
      <c r="E234" s="1" t="s">
        <v>46</v>
      </c>
      <c r="F234" s="1" t="s">
        <v>17</v>
      </c>
      <c r="G234" s="1" t="s">
        <v>26</v>
      </c>
      <c r="H234" s="1">
        <v>15404</v>
      </c>
      <c r="I234" s="1" t="s">
        <v>19</v>
      </c>
      <c r="J234" s="1">
        <v>0.2</v>
      </c>
      <c r="K234" s="1">
        <v>14000</v>
      </c>
      <c r="L234" s="2">
        <v>45340</v>
      </c>
    </row>
    <row r="235" spans="1:12" x14ac:dyDescent="0.35">
      <c r="A235" s="1" t="s">
        <v>410</v>
      </c>
      <c r="B235" s="1" t="s">
        <v>334</v>
      </c>
      <c r="C235" s="1" t="s">
        <v>61</v>
      </c>
      <c r="D235" s="1" t="s">
        <v>62</v>
      </c>
      <c r="E235" s="1" t="s">
        <v>16</v>
      </c>
      <c r="F235" s="1" t="s">
        <v>25</v>
      </c>
      <c r="G235" s="1" t="s">
        <v>18</v>
      </c>
      <c r="H235" s="1">
        <v>7077</v>
      </c>
      <c r="I235" s="1" t="s">
        <v>33</v>
      </c>
      <c r="J235" s="1">
        <v>0.3</v>
      </c>
      <c r="K235" s="1">
        <v>9000</v>
      </c>
      <c r="L235" s="2">
        <v>45305</v>
      </c>
    </row>
    <row r="236" spans="1:12" x14ac:dyDescent="0.35">
      <c r="A236" s="1" t="s">
        <v>411</v>
      </c>
      <c r="B236" s="1" t="s">
        <v>412</v>
      </c>
      <c r="C236" s="1" t="s">
        <v>61</v>
      </c>
      <c r="D236" s="1" t="s">
        <v>62</v>
      </c>
      <c r="E236" s="1" t="s">
        <v>32</v>
      </c>
      <c r="F236" s="1" t="s">
        <v>17</v>
      </c>
      <c r="G236" s="1" t="s">
        <v>18</v>
      </c>
      <c r="H236" s="1">
        <v>8233</v>
      </c>
      <c r="I236" s="1" t="s">
        <v>22</v>
      </c>
      <c r="J236" s="1">
        <v>0.1</v>
      </c>
      <c r="K236" s="1">
        <v>9000</v>
      </c>
      <c r="L236" s="2">
        <v>45295</v>
      </c>
    </row>
    <row r="237" spans="1:12" x14ac:dyDescent="0.35">
      <c r="A237" s="1" t="s">
        <v>413</v>
      </c>
      <c r="B237" s="1" t="s">
        <v>414</v>
      </c>
      <c r="C237" s="1" t="s">
        <v>61</v>
      </c>
      <c r="D237" s="1" t="s">
        <v>62</v>
      </c>
      <c r="E237" s="1" t="s">
        <v>32</v>
      </c>
      <c r="F237" s="1" t="s">
        <v>25</v>
      </c>
      <c r="G237" s="1" t="s">
        <v>36</v>
      </c>
      <c r="H237" s="1">
        <v>9444</v>
      </c>
      <c r="I237" s="1" t="s">
        <v>27</v>
      </c>
      <c r="J237" s="1"/>
      <c r="K237" s="1">
        <v>9000</v>
      </c>
      <c r="L237" s="2">
        <v>45293</v>
      </c>
    </row>
    <row r="238" spans="1:12" x14ac:dyDescent="0.35">
      <c r="A238" s="1" t="s">
        <v>415</v>
      </c>
      <c r="B238" s="1" t="s">
        <v>416</v>
      </c>
      <c r="C238" s="1" t="s">
        <v>44</v>
      </c>
      <c r="D238" s="1" t="s">
        <v>45</v>
      </c>
      <c r="E238" s="1" t="s">
        <v>16</v>
      </c>
      <c r="F238" s="1" t="s">
        <v>25</v>
      </c>
      <c r="G238" s="1" t="s">
        <v>36</v>
      </c>
      <c r="H238" s="1">
        <v>12758</v>
      </c>
      <c r="I238" s="1" t="s">
        <v>22</v>
      </c>
      <c r="J238" s="1">
        <v>0.1</v>
      </c>
      <c r="K238" s="1">
        <v>13000</v>
      </c>
      <c r="L238" s="2">
        <v>45331</v>
      </c>
    </row>
    <row r="239" spans="1:12" x14ac:dyDescent="0.35">
      <c r="A239" s="1" t="s">
        <v>417</v>
      </c>
      <c r="B239" s="1" t="s">
        <v>408</v>
      </c>
      <c r="C239" s="1" t="s">
        <v>61</v>
      </c>
      <c r="D239" s="1" t="s">
        <v>62</v>
      </c>
      <c r="E239" s="1" t="s">
        <v>32</v>
      </c>
      <c r="F239" s="1" t="s">
        <v>39</v>
      </c>
      <c r="G239" s="1" t="s">
        <v>26</v>
      </c>
      <c r="H239" s="1">
        <v>7350</v>
      </c>
      <c r="I239" s="1" t="s">
        <v>27</v>
      </c>
      <c r="J239" s="1"/>
      <c r="K239" s="1">
        <v>9000</v>
      </c>
      <c r="L239" s="2">
        <v>45315</v>
      </c>
    </row>
    <row r="240" spans="1:12" x14ac:dyDescent="0.35">
      <c r="A240" s="1" t="s">
        <v>418</v>
      </c>
      <c r="B240" s="1" t="s">
        <v>241</v>
      </c>
      <c r="C240" s="1" t="s">
        <v>14</v>
      </c>
      <c r="D240" s="1" t="s">
        <v>15</v>
      </c>
      <c r="E240" s="1" t="s">
        <v>46</v>
      </c>
      <c r="F240" s="1" t="s">
        <v>17</v>
      </c>
      <c r="G240" s="1" t="s">
        <v>18</v>
      </c>
      <c r="H240" s="1">
        <v>14603</v>
      </c>
      <c r="I240" s="1"/>
      <c r="J240" s="1"/>
      <c r="K240" s="1">
        <v>14000</v>
      </c>
      <c r="L240" s="2">
        <v>45315</v>
      </c>
    </row>
    <row r="241" spans="1:12" x14ac:dyDescent="0.35">
      <c r="A241" s="1" t="s">
        <v>419</v>
      </c>
      <c r="B241" s="1" t="s">
        <v>350</v>
      </c>
      <c r="C241" s="1" t="s">
        <v>14</v>
      </c>
      <c r="D241" s="1" t="s">
        <v>15</v>
      </c>
      <c r="E241" s="1" t="s">
        <v>46</v>
      </c>
      <c r="F241" s="1" t="s">
        <v>25</v>
      </c>
      <c r="G241" s="1" t="s">
        <v>36</v>
      </c>
      <c r="H241" s="1">
        <v>12987</v>
      </c>
      <c r="I241" s="1" t="s">
        <v>22</v>
      </c>
      <c r="J241" s="1">
        <v>0.1</v>
      </c>
      <c r="K241" s="1">
        <v>14000</v>
      </c>
      <c r="L241" s="2">
        <v>45341</v>
      </c>
    </row>
    <row r="242" spans="1:12" x14ac:dyDescent="0.35">
      <c r="A242" s="1" t="s">
        <v>420</v>
      </c>
      <c r="B242" s="1" t="s">
        <v>233</v>
      </c>
      <c r="C242" s="1" t="s">
        <v>30</v>
      </c>
      <c r="D242" s="1" t="s">
        <v>31</v>
      </c>
      <c r="E242" s="1" t="s">
        <v>32</v>
      </c>
      <c r="F242" s="1" t="s">
        <v>25</v>
      </c>
      <c r="G242" s="1" t="s">
        <v>36</v>
      </c>
      <c r="H242" s="1">
        <v>17236</v>
      </c>
      <c r="I242" s="1" t="s">
        <v>33</v>
      </c>
      <c r="J242" s="1">
        <v>0.3</v>
      </c>
      <c r="K242" s="1">
        <v>17000</v>
      </c>
      <c r="L242" s="2">
        <v>45344</v>
      </c>
    </row>
    <row r="243" spans="1:12" x14ac:dyDescent="0.35">
      <c r="A243" s="1" t="s">
        <v>421</v>
      </c>
      <c r="B243" s="1" t="s">
        <v>422</v>
      </c>
      <c r="C243" s="1" t="s">
        <v>61</v>
      </c>
      <c r="D243" s="1" t="s">
        <v>62</v>
      </c>
      <c r="E243" s="1" t="s">
        <v>16</v>
      </c>
      <c r="F243" s="1" t="s">
        <v>17</v>
      </c>
      <c r="G243" s="1" t="s">
        <v>26</v>
      </c>
      <c r="H243" s="1">
        <v>7746</v>
      </c>
      <c r="I243" s="1" t="s">
        <v>19</v>
      </c>
      <c r="J243" s="1">
        <v>0.2</v>
      </c>
      <c r="K243" s="1">
        <v>9000</v>
      </c>
      <c r="L243" s="2">
        <v>45296</v>
      </c>
    </row>
    <row r="244" spans="1:12" x14ac:dyDescent="0.35">
      <c r="A244" s="1" t="s">
        <v>423</v>
      </c>
      <c r="B244" s="1" t="s">
        <v>276</v>
      </c>
      <c r="C244" s="1" t="s">
        <v>61</v>
      </c>
      <c r="D244" s="1" t="s">
        <v>62</v>
      </c>
      <c r="E244" s="1" t="s">
        <v>32</v>
      </c>
      <c r="F244" s="1" t="s">
        <v>17</v>
      </c>
      <c r="G244" s="1" t="s">
        <v>18</v>
      </c>
      <c r="H244" s="1">
        <v>7179</v>
      </c>
      <c r="I244" s="1" t="s">
        <v>19</v>
      </c>
      <c r="J244" s="1">
        <v>0.2</v>
      </c>
      <c r="K244" s="1">
        <v>9000</v>
      </c>
      <c r="L244" s="2">
        <v>45348</v>
      </c>
    </row>
    <row r="245" spans="1:12" x14ac:dyDescent="0.35">
      <c r="A245" s="1" t="s">
        <v>424</v>
      </c>
      <c r="B245" s="1" t="s">
        <v>125</v>
      </c>
      <c r="C245" s="1" t="s">
        <v>30</v>
      </c>
      <c r="D245" s="1" t="s">
        <v>31</v>
      </c>
      <c r="E245" s="1" t="s">
        <v>16</v>
      </c>
      <c r="F245" s="1" t="s">
        <v>17</v>
      </c>
      <c r="G245" s="1" t="s">
        <v>26</v>
      </c>
      <c r="H245" s="1">
        <v>16939</v>
      </c>
      <c r="I245" s="1" t="s">
        <v>33</v>
      </c>
      <c r="J245" s="1">
        <v>0.3</v>
      </c>
      <c r="K245" s="1">
        <v>17000</v>
      </c>
      <c r="L245" s="2">
        <v>45294</v>
      </c>
    </row>
    <row r="246" spans="1:12" x14ac:dyDescent="0.35">
      <c r="A246" s="1" t="s">
        <v>425</v>
      </c>
      <c r="B246" s="1" t="s">
        <v>426</v>
      </c>
      <c r="C246" s="1" t="s">
        <v>44</v>
      </c>
      <c r="D246" s="1" t="s">
        <v>45</v>
      </c>
      <c r="E246" s="1" t="s">
        <v>46</v>
      </c>
      <c r="F246" s="1" t="s">
        <v>17</v>
      </c>
      <c r="G246" s="1" t="s">
        <v>18</v>
      </c>
      <c r="H246" s="1">
        <v>14546</v>
      </c>
      <c r="I246" s="1" t="s">
        <v>33</v>
      </c>
      <c r="J246" s="1">
        <v>0.3</v>
      </c>
      <c r="K246" s="1">
        <v>13000</v>
      </c>
      <c r="L246" s="2">
        <v>45309</v>
      </c>
    </row>
    <row r="247" spans="1:12" x14ac:dyDescent="0.35">
      <c r="A247" s="1" t="s">
        <v>427</v>
      </c>
      <c r="B247" s="1" t="s">
        <v>200</v>
      </c>
      <c r="C247" s="1" t="s">
        <v>30</v>
      </c>
      <c r="D247" s="1" t="s">
        <v>31</v>
      </c>
      <c r="E247" s="1" t="s">
        <v>46</v>
      </c>
      <c r="F247" s="1" t="s">
        <v>17</v>
      </c>
      <c r="G247" s="1" t="s">
        <v>26</v>
      </c>
      <c r="H247" s="1">
        <v>16801</v>
      </c>
      <c r="I247" s="1"/>
      <c r="J247" s="1"/>
      <c r="K247" s="1">
        <v>17000</v>
      </c>
      <c r="L247" s="2">
        <v>45313</v>
      </c>
    </row>
    <row r="248" spans="1:12" x14ac:dyDescent="0.35">
      <c r="A248" s="1" t="s">
        <v>428</v>
      </c>
      <c r="B248" s="1" t="s">
        <v>429</v>
      </c>
      <c r="C248" s="1" t="s">
        <v>61</v>
      </c>
      <c r="D248" s="1" t="s">
        <v>62</v>
      </c>
      <c r="E248" s="1" t="s">
        <v>46</v>
      </c>
      <c r="F248" s="1" t="s">
        <v>39</v>
      </c>
      <c r="G248" s="1" t="s">
        <v>36</v>
      </c>
      <c r="H248" s="1">
        <v>10281</v>
      </c>
      <c r="I248" s="1" t="s">
        <v>22</v>
      </c>
      <c r="J248" s="1">
        <v>0.1</v>
      </c>
      <c r="K248" s="1">
        <v>9000</v>
      </c>
      <c r="L248" s="2">
        <v>45338</v>
      </c>
    </row>
    <row r="249" spans="1:12" x14ac:dyDescent="0.35">
      <c r="A249" s="1" t="s">
        <v>430</v>
      </c>
      <c r="B249" s="1" t="s">
        <v>41</v>
      </c>
      <c r="C249" s="1" t="s">
        <v>61</v>
      </c>
      <c r="D249" s="1" t="s">
        <v>62</v>
      </c>
      <c r="E249" s="1" t="s">
        <v>16</v>
      </c>
      <c r="F249" s="1" t="s">
        <v>25</v>
      </c>
      <c r="G249" s="1" t="s">
        <v>26</v>
      </c>
      <c r="H249" s="1">
        <v>8203</v>
      </c>
      <c r="I249" s="1" t="s">
        <v>33</v>
      </c>
      <c r="J249" s="1">
        <v>0.3</v>
      </c>
      <c r="K249" s="1">
        <v>9000</v>
      </c>
      <c r="L249" s="2">
        <v>45298</v>
      </c>
    </row>
    <row r="250" spans="1:12" x14ac:dyDescent="0.35">
      <c r="A250" s="1" t="s">
        <v>431</v>
      </c>
      <c r="B250" s="1" t="s">
        <v>432</v>
      </c>
      <c r="C250" s="1" t="s">
        <v>30</v>
      </c>
      <c r="D250" s="1" t="s">
        <v>31</v>
      </c>
      <c r="E250" s="1" t="s">
        <v>46</v>
      </c>
      <c r="F250" s="1" t="s">
        <v>17</v>
      </c>
      <c r="G250" s="1" t="s">
        <v>26</v>
      </c>
      <c r="H250" s="1">
        <v>17939</v>
      </c>
      <c r="I250" s="1"/>
      <c r="J250" s="1"/>
      <c r="K250" s="1">
        <v>17000</v>
      </c>
      <c r="L250" s="2">
        <v>45302</v>
      </c>
    </row>
    <row r="251" spans="1:12" x14ac:dyDescent="0.35">
      <c r="A251" s="1" t="s">
        <v>433</v>
      </c>
      <c r="B251" s="1" t="s">
        <v>334</v>
      </c>
      <c r="C251" s="1" t="s">
        <v>30</v>
      </c>
      <c r="D251" s="1" t="s">
        <v>31</v>
      </c>
      <c r="E251" s="1" t="s">
        <v>46</v>
      </c>
      <c r="F251" s="1" t="s">
        <v>25</v>
      </c>
      <c r="G251" s="1" t="s">
        <v>26</v>
      </c>
      <c r="H251" s="1">
        <v>18563</v>
      </c>
      <c r="I251" s="1" t="s">
        <v>33</v>
      </c>
      <c r="J251" s="1">
        <v>0.3</v>
      </c>
      <c r="K251" s="1">
        <v>17000</v>
      </c>
      <c r="L251" s="2">
        <v>45331</v>
      </c>
    </row>
    <row r="252" spans="1:12" x14ac:dyDescent="0.35">
      <c r="A252" s="1" t="s">
        <v>434</v>
      </c>
      <c r="B252" s="1" t="s">
        <v>435</v>
      </c>
      <c r="C252" s="1" t="s">
        <v>14</v>
      </c>
      <c r="D252" s="1" t="s">
        <v>15</v>
      </c>
      <c r="E252" s="1" t="s">
        <v>32</v>
      </c>
      <c r="F252" s="1" t="s">
        <v>39</v>
      </c>
      <c r="G252" s="1" t="s">
        <v>26</v>
      </c>
      <c r="H252" s="1">
        <v>13663</v>
      </c>
      <c r="I252" s="1" t="s">
        <v>33</v>
      </c>
      <c r="J252" s="1">
        <v>0.3</v>
      </c>
      <c r="K252" s="1">
        <v>14000</v>
      </c>
      <c r="L252" s="2">
        <v>45324</v>
      </c>
    </row>
    <row r="253" spans="1:12" x14ac:dyDescent="0.35">
      <c r="A253" s="1" t="s">
        <v>436</v>
      </c>
      <c r="B253" s="1" t="s">
        <v>296</v>
      </c>
      <c r="C253" s="1" t="s">
        <v>44</v>
      </c>
      <c r="D253" s="1" t="s">
        <v>45</v>
      </c>
      <c r="E253" s="1" t="s">
        <v>32</v>
      </c>
      <c r="F253" s="1" t="s">
        <v>25</v>
      </c>
      <c r="G253" s="1" t="s">
        <v>26</v>
      </c>
      <c r="H253" s="1">
        <v>13777</v>
      </c>
      <c r="I253" s="1"/>
      <c r="J253" s="1"/>
      <c r="K253" s="1">
        <v>13000</v>
      </c>
      <c r="L253" s="2">
        <v>45294</v>
      </c>
    </row>
    <row r="254" spans="1:12" x14ac:dyDescent="0.35">
      <c r="A254" s="1" t="s">
        <v>437</v>
      </c>
      <c r="B254" s="1" t="s">
        <v>325</v>
      </c>
      <c r="C254" s="1" t="s">
        <v>44</v>
      </c>
      <c r="D254" s="1" t="s">
        <v>45</v>
      </c>
      <c r="E254" s="1" t="s">
        <v>16</v>
      </c>
      <c r="F254" s="1" t="s">
        <v>17</v>
      </c>
      <c r="G254" s="1" t="s">
        <v>36</v>
      </c>
      <c r="H254" s="1">
        <v>12568</v>
      </c>
      <c r="I254" s="1" t="s">
        <v>27</v>
      </c>
      <c r="J254" s="1"/>
      <c r="K254" s="1">
        <v>13000</v>
      </c>
      <c r="L254" s="2">
        <v>45294</v>
      </c>
    </row>
    <row r="255" spans="1:12" x14ac:dyDescent="0.35">
      <c r="A255" s="1" t="s">
        <v>438</v>
      </c>
      <c r="B255" s="1" t="s">
        <v>373</v>
      </c>
      <c r="C255" s="1" t="s">
        <v>61</v>
      </c>
      <c r="D255" s="1" t="s">
        <v>62</v>
      </c>
      <c r="E255" s="1" t="s">
        <v>46</v>
      </c>
      <c r="F255" s="1" t="s">
        <v>17</v>
      </c>
      <c r="G255" s="1" t="s">
        <v>36</v>
      </c>
      <c r="H255" s="1">
        <v>10125</v>
      </c>
      <c r="I255" s="1" t="s">
        <v>22</v>
      </c>
      <c r="J255" s="1">
        <v>0.1</v>
      </c>
      <c r="K255" s="1">
        <v>9000</v>
      </c>
      <c r="L255" s="2">
        <v>45328</v>
      </c>
    </row>
    <row r="256" spans="1:12" x14ac:dyDescent="0.35">
      <c r="A256" s="1" t="s">
        <v>439</v>
      </c>
      <c r="B256" s="1" t="s">
        <v>440</v>
      </c>
      <c r="C256" s="1" t="s">
        <v>30</v>
      </c>
      <c r="D256" s="1" t="s">
        <v>31</v>
      </c>
      <c r="E256" s="1" t="s">
        <v>46</v>
      </c>
      <c r="F256" s="1" t="s">
        <v>17</v>
      </c>
      <c r="G256" s="1" t="s">
        <v>26</v>
      </c>
      <c r="H256" s="1">
        <v>16141</v>
      </c>
      <c r="I256" s="1" t="s">
        <v>19</v>
      </c>
      <c r="J256" s="1">
        <v>0.2</v>
      </c>
      <c r="K256" s="1">
        <v>17000</v>
      </c>
      <c r="L256" s="2">
        <v>45299</v>
      </c>
    </row>
    <row r="257" spans="1:12" x14ac:dyDescent="0.35">
      <c r="A257" s="1" t="s">
        <v>441</v>
      </c>
      <c r="B257" s="1" t="s">
        <v>190</v>
      </c>
      <c r="C257" s="1" t="s">
        <v>44</v>
      </c>
      <c r="D257" s="1" t="s">
        <v>45</v>
      </c>
      <c r="E257" s="1" t="s">
        <v>46</v>
      </c>
      <c r="F257" s="1" t="s">
        <v>39</v>
      </c>
      <c r="G257" s="1" t="s">
        <v>36</v>
      </c>
      <c r="H257" s="1">
        <v>14741</v>
      </c>
      <c r="I257" s="1" t="s">
        <v>27</v>
      </c>
      <c r="J257" s="1"/>
      <c r="K257" s="1">
        <v>13000</v>
      </c>
      <c r="L257" s="2">
        <v>45299</v>
      </c>
    </row>
    <row r="258" spans="1:12" x14ac:dyDescent="0.35">
      <c r="A258" s="1" t="s">
        <v>442</v>
      </c>
      <c r="B258" s="1" t="s">
        <v>443</v>
      </c>
      <c r="C258" s="1" t="s">
        <v>30</v>
      </c>
      <c r="D258" s="1" t="s">
        <v>31</v>
      </c>
      <c r="E258" s="1" t="s">
        <v>16</v>
      </c>
      <c r="F258" s="1" t="s">
        <v>17</v>
      </c>
      <c r="G258" s="1" t="s">
        <v>18</v>
      </c>
      <c r="H258" s="1">
        <v>17506</v>
      </c>
      <c r="I258" s="1" t="s">
        <v>33</v>
      </c>
      <c r="J258" s="1">
        <v>0.3</v>
      </c>
      <c r="K258" s="1">
        <v>17000</v>
      </c>
      <c r="L258" s="2">
        <v>45336</v>
      </c>
    </row>
    <row r="259" spans="1:12" x14ac:dyDescent="0.35">
      <c r="A259" s="1" t="s">
        <v>444</v>
      </c>
      <c r="B259" s="1" t="s">
        <v>445</v>
      </c>
      <c r="C259" s="1" t="s">
        <v>44</v>
      </c>
      <c r="D259" s="1" t="s">
        <v>45</v>
      </c>
      <c r="E259" s="1" t="s">
        <v>32</v>
      </c>
      <c r="F259" s="1" t="s">
        <v>25</v>
      </c>
      <c r="G259" s="1" t="s">
        <v>18</v>
      </c>
      <c r="H259" s="1">
        <v>12851</v>
      </c>
      <c r="I259" s="1" t="s">
        <v>19</v>
      </c>
      <c r="J259" s="1">
        <v>0.2</v>
      </c>
      <c r="K259" s="1">
        <v>13000</v>
      </c>
      <c r="L259" s="2">
        <v>45349</v>
      </c>
    </row>
    <row r="260" spans="1:12" x14ac:dyDescent="0.35">
      <c r="A260" s="1" t="s">
        <v>446</v>
      </c>
      <c r="B260" s="1" t="s">
        <v>334</v>
      </c>
      <c r="C260" s="1" t="s">
        <v>14</v>
      </c>
      <c r="D260" s="1" t="s">
        <v>15</v>
      </c>
      <c r="E260" s="1" t="s">
        <v>16</v>
      </c>
      <c r="F260" s="1" t="s">
        <v>17</v>
      </c>
      <c r="G260" s="1" t="s">
        <v>26</v>
      </c>
      <c r="H260" s="1">
        <v>13423</v>
      </c>
      <c r="I260" s="1" t="s">
        <v>22</v>
      </c>
      <c r="J260" s="1">
        <v>0.1</v>
      </c>
      <c r="K260" s="1">
        <v>14000</v>
      </c>
      <c r="L260" s="2">
        <v>45327</v>
      </c>
    </row>
    <row r="261" spans="1:12" x14ac:dyDescent="0.35">
      <c r="A261" s="1" t="s">
        <v>447</v>
      </c>
      <c r="B261" s="1" t="s">
        <v>448</v>
      </c>
      <c r="C261" s="1" t="s">
        <v>30</v>
      </c>
      <c r="D261" s="1" t="s">
        <v>31</v>
      </c>
      <c r="E261" s="1" t="s">
        <v>32</v>
      </c>
      <c r="F261" s="1" t="s">
        <v>39</v>
      </c>
      <c r="G261" s="1" t="s">
        <v>26</v>
      </c>
      <c r="H261" s="1">
        <v>18798</v>
      </c>
      <c r="I261" s="1" t="s">
        <v>19</v>
      </c>
      <c r="J261" s="1">
        <v>0.2</v>
      </c>
      <c r="K261" s="1">
        <v>17000</v>
      </c>
      <c r="L261" s="2">
        <v>45342</v>
      </c>
    </row>
    <row r="262" spans="1:12" x14ac:dyDescent="0.35">
      <c r="A262" s="1" t="s">
        <v>449</v>
      </c>
      <c r="B262" s="1" t="s">
        <v>301</v>
      </c>
      <c r="C262" s="1" t="s">
        <v>44</v>
      </c>
      <c r="D262" s="1" t="s">
        <v>45</v>
      </c>
      <c r="E262" s="1" t="s">
        <v>32</v>
      </c>
      <c r="F262" s="1" t="s">
        <v>25</v>
      </c>
      <c r="G262" s="1" t="s">
        <v>18</v>
      </c>
      <c r="H262" s="1">
        <v>11969</v>
      </c>
      <c r="I262" s="1"/>
      <c r="J262" s="1"/>
      <c r="K262" s="1">
        <v>13000</v>
      </c>
      <c r="L262" s="2">
        <v>45293</v>
      </c>
    </row>
    <row r="263" spans="1:12" x14ac:dyDescent="0.35">
      <c r="A263" s="1" t="s">
        <v>450</v>
      </c>
      <c r="B263" s="1" t="s">
        <v>301</v>
      </c>
      <c r="C263" s="1" t="s">
        <v>30</v>
      </c>
      <c r="D263" s="1" t="s">
        <v>31</v>
      </c>
      <c r="E263" s="1" t="s">
        <v>46</v>
      </c>
      <c r="F263" s="1" t="s">
        <v>39</v>
      </c>
      <c r="G263" s="1" t="s">
        <v>18</v>
      </c>
      <c r="H263" s="1">
        <v>17506</v>
      </c>
      <c r="I263" s="1" t="s">
        <v>22</v>
      </c>
      <c r="J263" s="1">
        <v>0.1</v>
      </c>
      <c r="K263" s="1">
        <v>17000</v>
      </c>
      <c r="L263" s="2">
        <v>45296</v>
      </c>
    </row>
    <row r="264" spans="1:12" x14ac:dyDescent="0.35">
      <c r="A264" s="1" t="s">
        <v>451</v>
      </c>
      <c r="B264" s="1" t="s">
        <v>70</v>
      </c>
      <c r="C264" s="1" t="s">
        <v>61</v>
      </c>
      <c r="D264" s="1" t="s">
        <v>62</v>
      </c>
      <c r="E264" s="1" t="s">
        <v>16</v>
      </c>
      <c r="F264" s="1" t="s">
        <v>17</v>
      </c>
      <c r="G264" s="1" t="s">
        <v>36</v>
      </c>
      <c r="H264" s="1">
        <v>10372</v>
      </c>
      <c r="I264" s="1" t="s">
        <v>27</v>
      </c>
      <c r="J264" s="1"/>
      <c r="K264" s="1">
        <v>9000</v>
      </c>
      <c r="L264" s="2">
        <v>45296</v>
      </c>
    </row>
    <row r="265" spans="1:12" x14ac:dyDescent="0.35">
      <c r="A265" s="1" t="s">
        <v>452</v>
      </c>
      <c r="B265" s="1" t="s">
        <v>74</v>
      </c>
      <c r="C265" s="1" t="s">
        <v>14</v>
      </c>
      <c r="D265" s="1" t="s">
        <v>15</v>
      </c>
      <c r="E265" s="1" t="s">
        <v>46</v>
      </c>
      <c r="F265" s="1" t="s">
        <v>17</v>
      </c>
      <c r="G265" s="1" t="s">
        <v>26</v>
      </c>
      <c r="H265" s="1">
        <v>14119</v>
      </c>
      <c r="I265" s="1" t="s">
        <v>33</v>
      </c>
      <c r="J265" s="1">
        <v>0.3</v>
      </c>
      <c r="K265" s="1">
        <v>14000</v>
      </c>
      <c r="L265" s="2">
        <v>45300</v>
      </c>
    </row>
    <row r="266" spans="1:12" x14ac:dyDescent="0.35">
      <c r="A266" s="1" t="s">
        <v>453</v>
      </c>
      <c r="B266" s="1" t="s">
        <v>454</v>
      </c>
      <c r="C266" s="1" t="s">
        <v>44</v>
      </c>
      <c r="D266" s="1" t="s">
        <v>45</v>
      </c>
      <c r="E266" s="1" t="s">
        <v>32</v>
      </c>
      <c r="F266" s="1" t="s">
        <v>17</v>
      </c>
      <c r="G266" s="1" t="s">
        <v>26</v>
      </c>
      <c r="H266" s="1">
        <v>14730</v>
      </c>
      <c r="I266" s="1" t="s">
        <v>22</v>
      </c>
      <c r="J266" s="1">
        <v>0.1</v>
      </c>
      <c r="K266" s="1">
        <v>13000</v>
      </c>
      <c r="L266" s="2">
        <v>45345</v>
      </c>
    </row>
    <row r="267" spans="1:12" x14ac:dyDescent="0.35">
      <c r="A267" s="1" t="s">
        <v>455</v>
      </c>
      <c r="B267" s="1" t="s">
        <v>241</v>
      </c>
      <c r="C267" s="1" t="s">
        <v>44</v>
      </c>
      <c r="D267" s="1" t="s">
        <v>45</v>
      </c>
      <c r="E267" s="1" t="s">
        <v>46</v>
      </c>
      <c r="F267" s="1" t="s">
        <v>25</v>
      </c>
      <c r="G267" s="1" t="s">
        <v>18</v>
      </c>
      <c r="H267" s="1">
        <v>12321</v>
      </c>
      <c r="I267" s="1" t="s">
        <v>19</v>
      </c>
      <c r="J267" s="1">
        <v>0.2</v>
      </c>
      <c r="K267" s="1">
        <v>13000</v>
      </c>
      <c r="L267" s="2">
        <v>45314</v>
      </c>
    </row>
    <row r="268" spans="1:12" x14ac:dyDescent="0.35">
      <c r="A268" s="1" t="s">
        <v>456</v>
      </c>
      <c r="B268" s="1" t="s">
        <v>448</v>
      </c>
      <c r="C268" s="1" t="s">
        <v>14</v>
      </c>
      <c r="D268" s="1" t="s">
        <v>15</v>
      </c>
      <c r="E268" s="1" t="s">
        <v>46</v>
      </c>
      <c r="F268" s="1" t="s">
        <v>25</v>
      </c>
      <c r="G268" s="1" t="s">
        <v>26</v>
      </c>
      <c r="H268" s="1">
        <v>15917</v>
      </c>
      <c r="I268" s="1" t="s">
        <v>27</v>
      </c>
      <c r="J268" s="1"/>
      <c r="K268" s="1">
        <v>14000</v>
      </c>
      <c r="L268" s="2">
        <v>45309</v>
      </c>
    </row>
    <row r="269" spans="1:12" x14ac:dyDescent="0.35">
      <c r="A269" s="1" t="s">
        <v>457</v>
      </c>
      <c r="B269" s="1" t="s">
        <v>113</v>
      </c>
      <c r="C269" s="1" t="s">
        <v>30</v>
      </c>
      <c r="D269" s="1" t="s">
        <v>31</v>
      </c>
      <c r="E269" s="1" t="s">
        <v>16</v>
      </c>
      <c r="F269" s="1" t="s">
        <v>39</v>
      </c>
      <c r="G269" s="1" t="s">
        <v>18</v>
      </c>
      <c r="H269" s="1">
        <v>17058</v>
      </c>
      <c r="I269" s="1" t="s">
        <v>19</v>
      </c>
      <c r="J269" s="1">
        <v>0.2</v>
      </c>
      <c r="K269" s="1">
        <v>17000</v>
      </c>
      <c r="L269" s="2">
        <v>45329</v>
      </c>
    </row>
    <row r="270" spans="1:12" x14ac:dyDescent="0.35">
      <c r="A270" s="1" t="s">
        <v>458</v>
      </c>
      <c r="B270" s="1" t="s">
        <v>373</v>
      </c>
      <c r="C270" s="1" t="s">
        <v>44</v>
      </c>
      <c r="D270" s="1" t="s">
        <v>45</v>
      </c>
      <c r="E270" s="1" t="s">
        <v>16</v>
      </c>
      <c r="F270" s="1" t="s">
        <v>39</v>
      </c>
      <c r="G270" s="1" t="s">
        <v>26</v>
      </c>
      <c r="H270" s="1">
        <v>14694</v>
      </c>
      <c r="I270" s="1" t="s">
        <v>27</v>
      </c>
      <c r="J270" s="1"/>
      <c r="K270" s="1">
        <v>13000</v>
      </c>
      <c r="L270" s="2">
        <v>45313</v>
      </c>
    </row>
    <row r="271" spans="1:12" x14ac:dyDescent="0.35">
      <c r="A271" s="1" t="s">
        <v>459</v>
      </c>
      <c r="B271" s="1" t="s">
        <v>460</v>
      </c>
      <c r="C271" s="1" t="s">
        <v>14</v>
      </c>
      <c r="D271" s="1" t="s">
        <v>15</v>
      </c>
      <c r="E271" s="1" t="s">
        <v>32</v>
      </c>
      <c r="F271" s="1" t="s">
        <v>25</v>
      </c>
      <c r="G271" s="1" t="s">
        <v>18</v>
      </c>
      <c r="H271" s="1">
        <v>15885</v>
      </c>
      <c r="I271" s="1" t="s">
        <v>27</v>
      </c>
      <c r="J271" s="1"/>
      <c r="K271" s="1">
        <v>14000</v>
      </c>
      <c r="L271" s="2">
        <v>45308</v>
      </c>
    </row>
    <row r="272" spans="1:12" x14ac:dyDescent="0.35">
      <c r="A272" s="1" t="s">
        <v>461</v>
      </c>
      <c r="B272" s="1" t="s">
        <v>239</v>
      </c>
      <c r="C272" s="1" t="s">
        <v>61</v>
      </c>
      <c r="D272" s="1" t="s">
        <v>62</v>
      </c>
      <c r="E272" s="1" t="s">
        <v>16</v>
      </c>
      <c r="F272" s="1" t="s">
        <v>39</v>
      </c>
      <c r="G272" s="1" t="s">
        <v>18</v>
      </c>
      <c r="H272" s="1">
        <v>9039</v>
      </c>
      <c r="I272" s="1" t="s">
        <v>27</v>
      </c>
      <c r="J272" s="1"/>
      <c r="K272" s="1">
        <v>9000</v>
      </c>
      <c r="L272" s="2">
        <v>45310</v>
      </c>
    </row>
    <row r="273" spans="1:12" x14ac:dyDescent="0.35">
      <c r="A273" s="1" t="s">
        <v>462</v>
      </c>
      <c r="B273" s="1" t="s">
        <v>278</v>
      </c>
      <c r="C273" s="1" t="s">
        <v>61</v>
      </c>
      <c r="D273" s="1" t="s">
        <v>62</v>
      </c>
      <c r="E273" s="1" t="s">
        <v>32</v>
      </c>
      <c r="F273" s="1" t="s">
        <v>39</v>
      </c>
      <c r="G273" s="1" t="s">
        <v>36</v>
      </c>
      <c r="H273" s="1">
        <v>8218</v>
      </c>
      <c r="I273" s="1"/>
      <c r="J273" s="1"/>
      <c r="K273" s="1">
        <v>9000</v>
      </c>
      <c r="L273" s="2">
        <v>45296</v>
      </c>
    </row>
    <row r="274" spans="1:12" x14ac:dyDescent="0.35">
      <c r="A274" s="1" t="s">
        <v>463</v>
      </c>
      <c r="B274" s="1" t="s">
        <v>464</v>
      </c>
      <c r="C274" s="1" t="s">
        <v>44</v>
      </c>
      <c r="D274" s="1" t="s">
        <v>45</v>
      </c>
      <c r="E274" s="1" t="s">
        <v>46</v>
      </c>
      <c r="F274" s="1" t="s">
        <v>17</v>
      </c>
      <c r="G274" s="1" t="s">
        <v>36</v>
      </c>
      <c r="H274" s="1">
        <v>12902</v>
      </c>
      <c r="I274" s="1" t="s">
        <v>19</v>
      </c>
      <c r="J274" s="1">
        <v>0.2</v>
      </c>
      <c r="K274" s="1">
        <v>13000</v>
      </c>
      <c r="L274" s="2">
        <v>45313</v>
      </c>
    </row>
    <row r="275" spans="1:12" x14ac:dyDescent="0.35">
      <c r="A275" s="1" t="s">
        <v>465</v>
      </c>
      <c r="B275" s="1" t="s">
        <v>373</v>
      </c>
      <c r="C275" s="1" t="s">
        <v>30</v>
      </c>
      <c r="D275" s="1" t="s">
        <v>31</v>
      </c>
      <c r="E275" s="1" t="s">
        <v>16</v>
      </c>
      <c r="F275" s="1" t="s">
        <v>17</v>
      </c>
      <c r="G275" s="1" t="s">
        <v>26</v>
      </c>
      <c r="H275" s="1">
        <v>18525</v>
      </c>
      <c r="I275" s="1" t="s">
        <v>33</v>
      </c>
      <c r="J275" s="1">
        <v>0.3</v>
      </c>
      <c r="K275" s="1">
        <v>17000</v>
      </c>
      <c r="L275" s="2">
        <v>45317</v>
      </c>
    </row>
    <row r="276" spans="1:12" x14ac:dyDescent="0.35">
      <c r="A276" s="1" t="s">
        <v>466</v>
      </c>
      <c r="B276" s="1" t="s">
        <v>135</v>
      </c>
      <c r="C276" s="1" t="s">
        <v>30</v>
      </c>
      <c r="D276" s="1" t="s">
        <v>31</v>
      </c>
      <c r="E276" s="1" t="s">
        <v>16</v>
      </c>
      <c r="F276" s="1" t="s">
        <v>39</v>
      </c>
      <c r="G276" s="1" t="s">
        <v>18</v>
      </c>
      <c r="H276" s="1">
        <v>16307</v>
      </c>
      <c r="I276" s="1" t="s">
        <v>19</v>
      </c>
      <c r="J276" s="1">
        <v>0.2</v>
      </c>
      <c r="K276" s="1">
        <v>17000</v>
      </c>
      <c r="L276" s="2">
        <v>45321</v>
      </c>
    </row>
    <row r="277" spans="1:12" x14ac:dyDescent="0.35">
      <c r="A277" s="1" t="s">
        <v>467</v>
      </c>
      <c r="B277" s="1" t="s">
        <v>263</v>
      </c>
      <c r="C277" s="1" t="s">
        <v>61</v>
      </c>
      <c r="D277" s="1" t="s">
        <v>62</v>
      </c>
      <c r="E277" s="1" t="s">
        <v>32</v>
      </c>
      <c r="F277" s="1" t="s">
        <v>25</v>
      </c>
      <c r="G277" s="1" t="s">
        <v>18</v>
      </c>
      <c r="H277" s="1">
        <v>7207</v>
      </c>
      <c r="I277" s="1" t="s">
        <v>33</v>
      </c>
      <c r="J277" s="1">
        <v>0.3</v>
      </c>
      <c r="K277" s="1">
        <v>9000</v>
      </c>
      <c r="L277" s="2">
        <v>45352</v>
      </c>
    </row>
    <row r="278" spans="1:12" x14ac:dyDescent="0.35">
      <c r="A278" s="1" t="s">
        <v>468</v>
      </c>
      <c r="B278" s="1" t="s">
        <v>309</v>
      </c>
      <c r="C278" s="1" t="s">
        <v>61</v>
      </c>
      <c r="D278" s="1" t="s">
        <v>62</v>
      </c>
      <c r="E278" s="1" t="s">
        <v>32</v>
      </c>
      <c r="F278" s="1" t="s">
        <v>25</v>
      </c>
      <c r="G278" s="1" t="s">
        <v>36</v>
      </c>
      <c r="H278" s="1">
        <v>10824</v>
      </c>
      <c r="I278" s="1" t="s">
        <v>27</v>
      </c>
      <c r="J278" s="1"/>
      <c r="K278" s="1">
        <v>9000</v>
      </c>
      <c r="L278" s="2">
        <v>45338</v>
      </c>
    </row>
    <row r="279" spans="1:12" x14ac:dyDescent="0.35">
      <c r="A279" s="1" t="s">
        <v>469</v>
      </c>
      <c r="B279" s="1" t="s">
        <v>408</v>
      </c>
      <c r="C279" s="1" t="s">
        <v>44</v>
      </c>
      <c r="D279" s="1" t="s">
        <v>45</v>
      </c>
      <c r="E279" s="1" t="s">
        <v>46</v>
      </c>
      <c r="F279" s="1" t="s">
        <v>39</v>
      </c>
      <c r="G279" s="1" t="s">
        <v>36</v>
      </c>
      <c r="H279" s="1">
        <v>13042</v>
      </c>
      <c r="I279" s="1" t="s">
        <v>33</v>
      </c>
      <c r="J279" s="1">
        <v>0.3</v>
      </c>
      <c r="K279" s="1">
        <v>13000</v>
      </c>
      <c r="L279" s="2">
        <v>45323</v>
      </c>
    </row>
    <row r="280" spans="1:12" x14ac:dyDescent="0.35">
      <c r="A280" s="1" t="s">
        <v>470</v>
      </c>
      <c r="B280" s="1" t="s">
        <v>76</v>
      </c>
      <c r="C280" s="1" t="s">
        <v>61</v>
      </c>
      <c r="D280" s="1" t="s">
        <v>62</v>
      </c>
      <c r="E280" s="1" t="s">
        <v>16</v>
      </c>
      <c r="F280" s="1" t="s">
        <v>17</v>
      </c>
      <c r="G280" s="1" t="s">
        <v>18</v>
      </c>
      <c r="H280" s="1">
        <v>7881</v>
      </c>
      <c r="I280" s="1" t="s">
        <v>27</v>
      </c>
      <c r="J280" s="1"/>
      <c r="K280" s="1">
        <v>9000</v>
      </c>
      <c r="L280" s="2">
        <v>45314</v>
      </c>
    </row>
    <row r="281" spans="1:12" x14ac:dyDescent="0.35">
      <c r="A281" s="1" t="s">
        <v>471</v>
      </c>
      <c r="B281" s="1" t="s">
        <v>161</v>
      </c>
      <c r="C281" s="1" t="s">
        <v>30</v>
      </c>
      <c r="D281" s="1" t="s">
        <v>31</v>
      </c>
      <c r="E281" s="1" t="s">
        <v>46</v>
      </c>
      <c r="F281" s="1" t="s">
        <v>39</v>
      </c>
      <c r="G281" s="1" t="s">
        <v>26</v>
      </c>
      <c r="H281" s="1">
        <v>17754</v>
      </c>
      <c r="I281" s="1"/>
      <c r="J281" s="1"/>
      <c r="K281" s="1">
        <v>17000</v>
      </c>
      <c r="L281" s="2">
        <v>45310</v>
      </c>
    </row>
    <row r="282" spans="1:12" x14ac:dyDescent="0.35">
      <c r="A282" s="1" t="s">
        <v>472</v>
      </c>
      <c r="B282" s="1" t="s">
        <v>184</v>
      </c>
      <c r="C282" s="1" t="s">
        <v>14</v>
      </c>
      <c r="D282" s="1" t="s">
        <v>15</v>
      </c>
      <c r="E282" s="1" t="s">
        <v>46</v>
      </c>
      <c r="F282" s="1" t="s">
        <v>25</v>
      </c>
      <c r="G282" s="1" t="s">
        <v>36</v>
      </c>
      <c r="H282" s="1">
        <v>14979</v>
      </c>
      <c r="I282" s="1" t="s">
        <v>33</v>
      </c>
      <c r="J282" s="1">
        <v>0.3</v>
      </c>
      <c r="K282" s="1">
        <v>14000</v>
      </c>
      <c r="L282" s="2">
        <v>45340</v>
      </c>
    </row>
    <row r="283" spans="1:12" x14ac:dyDescent="0.35">
      <c r="A283" s="1" t="s">
        <v>473</v>
      </c>
      <c r="B283" s="1" t="s">
        <v>474</v>
      </c>
      <c r="C283" s="1" t="s">
        <v>14</v>
      </c>
      <c r="D283" s="1" t="s">
        <v>15</v>
      </c>
      <c r="E283" s="1" t="s">
        <v>46</v>
      </c>
      <c r="F283" s="1" t="s">
        <v>25</v>
      </c>
      <c r="G283" s="1" t="s">
        <v>26</v>
      </c>
      <c r="H283" s="1">
        <v>14301</v>
      </c>
      <c r="I283" s="1" t="s">
        <v>19</v>
      </c>
      <c r="J283" s="1">
        <v>0.2</v>
      </c>
      <c r="K283" s="1">
        <v>14000</v>
      </c>
      <c r="L283" s="2">
        <v>45315</v>
      </c>
    </row>
    <row r="284" spans="1:12" x14ac:dyDescent="0.35">
      <c r="A284" s="1" t="s">
        <v>475</v>
      </c>
      <c r="B284" s="1" t="s">
        <v>448</v>
      </c>
      <c r="C284" s="1" t="s">
        <v>14</v>
      </c>
      <c r="D284" s="1" t="s">
        <v>15</v>
      </c>
      <c r="E284" s="1" t="s">
        <v>46</v>
      </c>
      <c r="F284" s="1" t="s">
        <v>39</v>
      </c>
      <c r="G284" s="1" t="s">
        <v>36</v>
      </c>
      <c r="H284" s="1">
        <v>15130</v>
      </c>
      <c r="I284" s="1" t="s">
        <v>27</v>
      </c>
      <c r="J284" s="1"/>
      <c r="K284" s="1">
        <v>14000</v>
      </c>
      <c r="L284" s="2">
        <v>45309</v>
      </c>
    </row>
    <row r="285" spans="1:12" x14ac:dyDescent="0.35">
      <c r="A285" s="1" t="s">
        <v>476</v>
      </c>
      <c r="B285" s="1" t="s">
        <v>460</v>
      </c>
      <c r="C285" s="1" t="s">
        <v>14</v>
      </c>
      <c r="D285" s="1" t="s">
        <v>15</v>
      </c>
      <c r="E285" s="1" t="s">
        <v>32</v>
      </c>
      <c r="F285" s="1" t="s">
        <v>25</v>
      </c>
      <c r="G285" s="1" t="s">
        <v>36</v>
      </c>
      <c r="H285" s="1">
        <v>13528</v>
      </c>
      <c r="I285" s="1" t="s">
        <v>33</v>
      </c>
      <c r="J285" s="1">
        <v>0.3</v>
      </c>
      <c r="K285" s="1">
        <v>14000</v>
      </c>
      <c r="L285" s="2">
        <v>45327</v>
      </c>
    </row>
    <row r="286" spans="1:12" x14ac:dyDescent="0.35">
      <c r="A286" s="1" t="s">
        <v>477</v>
      </c>
      <c r="B286" s="1" t="s">
        <v>478</v>
      </c>
      <c r="C286" s="1" t="s">
        <v>44</v>
      </c>
      <c r="D286" s="1" t="s">
        <v>45</v>
      </c>
      <c r="E286" s="1" t="s">
        <v>32</v>
      </c>
      <c r="F286" s="1" t="s">
        <v>39</v>
      </c>
      <c r="G286" s="1" t="s">
        <v>26</v>
      </c>
      <c r="H286" s="1">
        <v>12644</v>
      </c>
      <c r="I286" s="1" t="s">
        <v>27</v>
      </c>
      <c r="J286" s="1"/>
      <c r="K286" s="1">
        <v>13000</v>
      </c>
      <c r="L286" s="2">
        <v>45294</v>
      </c>
    </row>
    <row r="287" spans="1:12" x14ac:dyDescent="0.35">
      <c r="A287" s="1" t="s">
        <v>479</v>
      </c>
      <c r="B287" s="1" t="s">
        <v>161</v>
      </c>
      <c r="C287" s="1" t="s">
        <v>44</v>
      </c>
      <c r="D287" s="1" t="s">
        <v>45</v>
      </c>
      <c r="E287" s="1" t="s">
        <v>16</v>
      </c>
      <c r="F287" s="1" t="s">
        <v>17</v>
      </c>
      <c r="G287" s="1" t="s">
        <v>36</v>
      </c>
      <c r="H287" s="1">
        <v>13127</v>
      </c>
      <c r="I287" s="1"/>
      <c r="J287" s="1"/>
      <c r="K287" s="1">
        <v>13000</v>
      </c>
      <c r="L287" s="2">
        <v>45301</v>
      </c>
    </row>
    <row r="288" spans="1:12" x14ac:dyDescent="0.35">
      <c r="A288" s="1" t="s">
        <v>480</v>
      </c>
      <c r="B288" s="1" t="s">
        <v>86</v>
      </c>
      <c r="C288" s="1" t="s">
        <v>44</v>
      </c>
      <c r="D288" s="1" t="s">
        <v>45</v>
      </c>
      <c r="E288" s="1" t="s">
        <v>46</v>
      </c>
      <c r="F288" s="1" t="s">
        <v>39</v>
      </c>
      <c r="G288" s="1" t="s">
        <v>36</v>
      </c>
      <c r="H288" s="1">
        <v>11665</v>
      </c>
      <c r="I288" s="1"/>
      <c r="J288" s="1"/>
      <c r="K288" s="1">
        <v>13000</v>
      </c>
      <c r="L288" s="2">
        <v>45331</v>
      </c>
    </row>
    <row r="289" spans="1:12" x14ac:dyDescent="0.35">
      <c r="A289" s="1" t="s">
        <v>481</v>
      </c>
      <c r="B289" s="1" t="s">
        <v>371</v>
      </c>
      <c r="C289" s="1" t="s">
        <v>30</v>
      </c>
      <c r="D289" s="1" t="s">
        <v>31</v>
      </c>
      <c r="E289" s="1" t="s">
        <v>16</v>
      </c>
      <c r="F289" s="1" t="s">
        <v>17</v>
      </c>
      <c r="G289" s="1" t="s">
        <v>26</v>
      </c>
      <c r="H289" s="1">
        <v>18392</v>
      </c>
      <c r="I289" s="1" t="s">
        <v>27</v>
      </c>
      <c r="J289" s="1"/>
      <c r="K289" s="1">
        <v>17000</v>
      </c>
      <c r="L289" s="2">
        <v>45326</v>
      </c>
    </row>
    <row r="290" spans="1:12" x14ac:dyDescent="0.35">
      <c r="A290" s="1" t="s">
        <v>482</v>
      </c>
      <c r="B290" s="1" t="s">
        <v>483</v>
      </c>
      <c r="C290" s="1" t="s">
        <v>30</v>
      </c>
      <c r="D290" s="1" t="s">
        <v>31</v>
      </c>
      <c r="E290" s="1" t="s">
        <v>46</v>
      </c>
      <c r="F290" s="1" t="s">
        <v>25</v>
      </c>
      <c r="G290" s="1" t="s">
        <v>36</v>
      </c>
      <c r="H290" s="1">
        <v>16356</v>
      </c>
      <c r="I290" s="1" t="s">
        <v>22</v>
      </c>
      <c r="J290" s="1">
        <v>0.1</v>
      </c>
      <c r="K290" s="1">
        <v>17000</v>
      </c>
      <c r="L290" s="2">
        <v>45318</v>
      </c>
    </row>
    <row r="291" spans="1:12" x14ac:dyDescent="0.35">
      <c r="A291" s="1" t="s">
        <v>484</v>
      </c>
      <c r="B291" s="1" t="s">
        <v>291</v>
      </c>
      <c r="C291" s="1" t="s">
        <v>14</v>
      </c>
      <c r="D291" s="1" t="s">
        <v>15</v>
      </c>
      <c r="E291" s="1" t="s">
        <v>16</v>
      </c>
      <c r="F291" s="1" t="s">
        <v>17</v>
      </c>
      <c r="G291" s="1" t="s">
        <v>36</v>
      </c>
      <c r="H291" s="1">
        <v>15961</v>
      </c>
      <c r="I291" s="1" t="s">
        <v>27</v>
      </c>
      <c r="J291" s="1"/>
      <c r="K291" s="1">
        <v>14000</v>
      </c>
      <c r="L291" s="2">
        <v>45328</v>
      </c>
    </row>
    <row r="292" spans="1:12" x14ac:dyDescent="0.35">
      <c r="A292" s="1" t="s">
        <v>485</v>
      </c>
      <c r="B292" s="1" t="s">
        <v>220</v>
      </c>
      <c r="C292" s="1" t="s">
        <v>14</v>
      </c>
      <c r="D292" s="1" t="s">
        <v>15</v>
      </c>
      <c r="E292" s="1" t="s">
        <v>16</v>
      </c>
      <c r="F292" s="1" t="s">
        <v>17</v>
      </c>
      <c r="G292" s="1" t="s">
        <v>18</v>
      </c>
      <c r="H292" s="1">
        <v>14147</v>
      </c>
      <c r="I292" s="1" t="s">
        <v>27</v>
      </c>
      <c r="J292" s="1"/>
      <c r="K292" s="1">
        <v>14000</v>
      </c>
      <c r="L292" s="2">
        <v>45341</v>
      </c>
    </row>
    <row r="293" spans="1:12" x14ac:dyDescent="0.35">
      <c r="A293" s="1" t="s">
        <v>486</v>
      </c>
      <c r="B293" s="1" t="s">
        <v>487</v>
      </c>
      <c r="C293" s="1" t="s">
        <v>44</v>
      </c>
      <c r="D293" s="1" t="s">
        <v>45</v>
      </c>
      <c r="E293" s="1" t="s">
        <v>16</v>
      </c>
      <c r="F293" s="1" t="s">
        <v>25</v>
      </c>
      <c r="G293" s="1" t="s">
        <v>18</v>
      </c>
      <c r="H293" s="1">
        <v>13345</v>
      </c>
      <c r="I293" s="1" t="s">
        <v>22</v>
      </c>
      <c r="J293" s="1">
        <v>0.1</v>
      </c>
      <c r="K293" s="1">
        <v>13000</v>
      </c>
      <c r="L293" s="2">
        <v>45304</v>
      </c>
    </row>
    <row r="294" spans="1:12" x14ac:dyDescent="0.35">
      <c r="A294" s="1" t="s">
        <v>488</v>
      </c>
      <c r="B294" s="1" t="s">
        <v>489</v>
      </c>
      <c r="C294" s="1" t="s">
        <v>30</v>
      </c>
      <c r="D294" s="1" t="s">
        <v>31</v>
      </c>
      <c r="E294" s="1" t="s">
        <v>46</v>
      </c>
      <c r="F294" s="1" t="s">
        <v>25</v>
      </c>
      <c r="G294" s="1" t="s">
        <v>36</v>
      </c>
      <c r="H294" s="1">
        <v>17828</v>
      </c>
      <c r="I294" s="1" t="s">
        <v>19</v>
      </c>
      <c r="J294" s="1">
        <v>0.2</v>
      </c>
      <c r="K294" s="1">
        <v>17000</v>
      </c>
      <c r="L294" s="2">
        <v>45318</v>
      </c>
    </row>
    <row r="295" spans="1:12" x14ac:dyDescent="0.35">
      <c r="A295" s="1" t="s">
        <v>490</v>
      </c>
      <c r="B295" s="1" t="s">
        <v>82</v>
      </c>
      <c r="C295" s="1" t="s">
        <v>61</v>
      </c>
      <c r="D295" s="1" t="s">
        <v>62</v>
      </c>
      <c r="E295" s="1" t="s">
        <v>16</v>
      </c>
      <c r="F295" s="1" t="s">
        <v>39</v>
      </c>
      <c r="G295" s="1" t="s">
        <v>18</v>
      </c>
      <c r="H295" s="1">
        <v>9890</v>
      </c>
      <c r="I295" s="1" t="s">
        <v>19</v>
      </c>
      <c r="J295" s="1">
        <v>0.2</v>
      </c>
      <c r="K295" s="1">
        <v>9000</v>
      </c>
      <c r="L295" s="2">
        <v>45325</v>
      </c>
    </row>
    <row r="296" spans="1:12" x14ac:dyDescent="0.35">
      <c r="A296" s="1" t="s">
        <v>491</v>
      </c>
      <c r="B296" s="1" t="s">
        <v>24</v>
      </c>
      <c r="C296" s="1" t="s">
        <v>30</v>
      </c>
      <c r="D296" s="1" t="s">
        <v>31</v>
      </c>
      <c r="E296" s="1" t="s">
        <v>16</v>
      </c>
      <c r="F296" s="1" t="s">
        <v>17</v>
      </c>
      <c r="G296" s="1" t="s">
        <v>26</v>
      </c>
      <c r="H296" s="1">
        <v>16543</v>
      </c>
      <c r="I296" s="1" t="s">
        <v>33</v>
      </c>
      <c r="J296" s="1">
        <v>0.3</v>
      </c>
      <c r="K296" s="1">
        <v>17000</v>
      </c>
      <c r="L296" s="2">
        <v>45303</v>
      </c>
    </row>
    <row r="297" spans="1:12" x14ac:dyDescent="0.35">
      <c r="A297" s="1" t="s">
        <v>492</v>
      </c>
      <c r="B297" s="1" t="s">
        <v>330</v>
      </c>
      <c r="C297" s="1" t="s">
        <v>30</v>
      </c>
      <c r="D297" s="1" t="s">
        <v>31</v>
      </c>
      <c r="E297" s="1" t="s">
        <v>16</v>
      </c>
      <c r="F297" s="1" t="s">
        <v>17</v>
      </c>
      <c r="G297" s="1" t="s">
        <v>26</v>
      </c>
      <c r="H297" s="1">
        <v>18162</v>
      </c>
      <c r="I297" s="1" t="s">
        <v>33</v>
      </c>
      <c r="J297" s="1">
        <v>0.3</v>
      </c>
      <c r="K297" s="1">
        <v>17000</v>
      </c>
      <c r="L297" s="2">
        <v>45331</v>
      </c>
    </row>
    <row r="298" spans="1:12" x14ac:dyDescent="0.35">
      <c r="A298" s="1" t="s">
        <v>493</v>
      </c>
      <c r="B298" s="1" t="s">
        <v>211</v>
      </c>
      <c r="C298" s="1" t="s">
        <v>44</v>
      </c>
      <c r="D298" s="1" t="s">
        <v>45</v>
      </c>
      <c r="E298" s="1" t="s">
        <v>46</v>
      </c>
      <c r="F298" s="1" t="s">
        <v>39</v>
      </c>
      <c r="G298" s="1" t="s">
        <v>36</v>
      </c>
      <c r="H298" s="1">
        <v>11921</v>
      </c>
      <c r="I298" s="1" t="s">
        <v>33</v>
      </c>
      <c r="J298" s="1">
        <v>0.3</v>
      </c>
      <c r="K298" s="1">
        <v>13000</v>
      </c>
      <c r="L298" s="2">
        <v>45341</v>
      </c>
    </row>
    <row r="299" spans="1:12" x14ac:dyDescent="0.35">
      <c r="A299" s="1" t="s">
        <v>494</v>
      </c>
      <c r="B299" s="1" t="s">
        <v>350</v>
      </c>
      <c r="C299" s="1" t="s">
        <v>44</v>
      </c>
      <c r="D299" s="1" t="s">
        <v>45</v>
      </c>
      <c r="E299" s="1" t="s">
        <v>16</v>
      </c>
      <c r="F299" s="1" t="s">
        <v>39</v>
      </c>
      <c r="G299" s="1" t="s">
        <v>36</v>
      </c>
      <c r="H299" s="1">
        <v>12298</v>
      </c>
      <c r="I299" s="1"/>
      <c r="J299" s="1"/>
      <c r="K299" s="1">
        <v>13000</v>
      </c>
      <c r="L299" s="2">
        <v>45314</v>
      </c>
    </row>
    <row r="300" spans="1:12" x14ac:dyDescent="0.35">
      <c r="A300" s="1" t="s">
        <v>495</v>
      </c>
      <c r="B300" s="1" t="s">
        <v>82</v>
      </c>
      <c r="C300" s="1" t="s">
        <v>30</v>
      </c>
      <c r="D300" s="1" t="s">
        <v>31</v>
      </c>
      <c r="E300" s="1" t="s">
        <v>46</v>
      </c>
      <c r="F300" s="1" t="s">
        <v>25</v>
      </c>
      <c r="G300" s="1" t="s">
        <v>26</v>
      </c>
      <c r="H300" s="1">
        <v>17771</v>
      </c>
      <c r="I300" s="1" t="s">
        <v>27</v>
      </c>
      <c r="J300" s="1"/>
      <c r="K300" s="1">
        <v>17000</v>
      </c>
      <c r="L300" s="2">
        <v>45316</v>
      </c>
    </row>
    <row r="301" spans="1:12" x14ac:dyDescent="0.35">
      <c r="A301" s="1" t="s">
        <v>496</v>
      </c>
      <c r="B301" s="1" t="s">
        <v>137</v>
      </c>
      <c r="C301" s="1" t="s">
        <v>30</v>
      </c>
      <c r="D301" s="1" t="s">
        <v>31</v>
      </c>
      <c r="E301" s="1" t="s">
        <v>32</v>
      </c>
      <c r="F301" s="1" t="s">
        <v>17</v>
      </c>
      <c r="G301" s="1" t="s">
        <v>18</v>
      </c>
      <c r="H301" s="1">
        <v>16178</v>
      </c>
      <c r="I301" s="1" t="s">
        <v>22</v>
      </c>
      <c r="J301" s="1">
        <v>0.1</v>
      </c>
      <c r="K301" s="1">
        <v>17000</v>
      </c>
      <c r="L301" s="2">
        <v>45314</v>
      </c>
    </row>
    <row r="302" spans="1:12" x14ac:dyDescent="0.35">
      <c r="A302" s="1" t="s">
        <v>497</v>
      </c>
      <c r="B302" s="1" t="s">
        <v>445</v>
      </c>
      <c r="C302" s="1" t="s">
        <v>30</v>
      </c>
      <c r="D302" s="1" t="s">
        <v>31</v>
      </c>
      <c r="E302" s="1" t="s">
        <v>16</v>
      </c>
      <c r="F302" s="1" t="s">
        <v>17</v>
      </c>
      <c r="G302" s="1" t="s">
        <v>18</v>
      </c>
      <c r="H302" s="1">
        <v>15827</v>
      </c>
      <c r="I302" s="1" t="s">
        <v>27</v>
      </c>
      <c r="J302" s="1"/>
      <c r="K302" s="1">
        <v>17000</v>
      </c>
      <c r="L302" s="2">
        <v>45309</v>
      </c>
    </row>
    <row r="303" spans="1:12" x14ac:dyDescent="0.35">
      <c r="A303" s="1" t="s">
        <v>498</v>
      </c>
      <c r="B303" s="1" t="s">
        <v>84</v>
      </c>
      <c r="C303" s="1" t="s">
        <v>30</v>
      </c>
      <c r="D303" s="1" t="s">
        <v>31</v>
      </c>
      <c r="E303" s="1" t="s">
        <v>32</v>
      </c>
      <c r="F303" s="1" t="s">
        <v>25</v>
      </c>
      <c r="G303" s="1" t="s">
        <v>26</v>
      </c>
      <c r="H303" s="1">
        <v>18034</v>
      </c>
      <c r="I303" s="1" t="s">
        <v>27</v>
      </c>
      <c r="J303" s="1"/>
      <c r="K303" s="1">
        <v>17000</v>
      </c>
      <c r="L303" s="2">
        <v>45307</v>
      </c>
    </row>
    <row r="304" spans="1:12" x14ac:dyDescent="0.35">
      <c r="A304" s="1" t="s">
        <v>499</v>
      </c>
      <c r="B304" s="1" t="s">
        <v>500</v>
      </c>
      <c r="C304" s="1" t="s">
        <v>44</v>
      </c>
      <c r="D304" s="1" t="s">
        <v>45</v>
      </c>
      <c r="E304" s="1" t="s">
        <v>16</v>
      </c>
      <c r="F304" s="1" t="s">
        <v>25</v>
      </c>
      <c r="G304" s="1" t="s">
        <v>18</v>
      </c>
      <c r="H304" s="1">
        <v>11410</v>
      </c>
      <c r="I304" s="1"/>
      <c r="J304" s="1"/>
      <c r="K304" s="1">
        <v>13000</v>
      </c>
      <c r="L304" s="2">
        <v>45313</v>
      </c>
    </row>
    <row r="305" spans="1:12" x14ac:dyDescent="0.35">
      <c r="A305" s="1" t="s">
        <v>501</v>
      </c>
      <c r="B305" s="1" t="s">
        <v>334</v>
      </c>
      <c r="C305" s="1" t="s">
        <v>14</v>
      </c>
      <c r="D305" s="1" t="s">
        <v>15</v>
      </c>
      <c r="E305" s="1" t="s">
        <v>16</v>
      </c>
      <c r="F305" s="1" t="s">
        <v>25</v>
      </c>
      <c r="G305" s="1" t="s">
        <v>18</v>
      </c>
      <c r="H305" s="1">
        <v>15950</v>
      </c>
      <c r="I305" s="1" t="s">
        <v>27</v>
      </c>
      <c r="J305" s="1"/>
      <c r="K305" s="1">
        <v>14000</v>
      </c>
      <c r="L305" s="2">
        <v>45351</v>
      </c>
    </row>
    <row r="306" spans="1:12" x14ac:dyDescent="0.35">
      <c r="A306" s="1" t="s">
        <v>502</v>
      </c>
      <c r="B306" s="1" t="s">
        <v>363</v>
      </c>
      <c r="C306" s="1" t="s">
        <v>61</v>
      </c>
      <c r="D306" s="1" t="s">
        <v>62</v>
      </c>
      <c r="E306" s="1" t="s">
        <v>46</v>
      </c>
      <c r="F306" s="1" t="s">
        <v>39</v>
      </c>
      <c r="G306" s="1" t="s">
        <v>18</v>
      </c>
      <c r="H306" s="1">
        <v>10096</v>
      </c>
      <c r="I306" s="1" t="s">
        <v>33</v>
      </c>
      <c r="J306" s="1">
        <v>0.3</v>
      </c>
      <c r="K306" s="1">
        <v>9000</v>
      </c>
      <c r="L306" s="2">
        <v>45312</v>
      </c>
    </row>
    <row r="307" spans="1:12" x14ac:dyDescent="0.35">
      <c r="A307" s="1" t="s">
        <v>503</v>
      </c>
      <c r="B307" s="1" t="s">
        <v>286</v>
      </c>
      <c r="C307" s="1" t="s">
        <v>14</v>
      </c>
      <c r="D307" s="1" t="s">
        <v>15</v>
      </c>
      <c r="E307" s="1" t="s">
        <v>32</v>
      </c>
      <c r="F307" s="1" t="s">
        <v>39</v>
      </c>
      <c r="G307" s="1" t="s">
        <v>26</v>
      </c>
      <c r="H307" s="1">
        <v>12951</v>
      </c>
      <c r="I307" s="1" t="s">
        <v>27</v>
      </c>
      <c r="J307" s="1"/>
      <c r="K307" s="1">
        <v>14000</v>
      </c>
      <c r="L307" s="2">
        <v>45339</v>
      </c>
    </row>
    <row r="308" spans="1:12" x14ac:dyDescent="0.35">
      <c r="A308" s="1" t="s">
        <v>504</v>
      </c>
      <c r="B308" s="1" t="s">
        <v>371</v>
      </c>
      <c r="C308" s="1" t="s">
        <v>14</v>
      </c>
      <c r="D308" s="1" t="s">
        <v>15</v>
      </c>
      <c r="E308" s="1" t="s">
        <v>32</v>
      </c>
      <c r="F308" s="1" t="s">
        <v>17</v>
      </c>
      <c r="G308" s="1" t="s">
        <v>18</v>
      </c>
      <c r="H308" s="1">
        <v>15825</v>
      </c>
      <c r="I308" s="1" t="s">
        <v>22</v>
      </c>
      <c r="J308" s="1">
        <v>0.1</v>
      </c>
      <c r="K308" s="1">
        <v>14000</v>
      </c>
      <c r="L308" s="2">
        <v>45345</v>
      </c>
    </row>
    <row r="309" spans="1:12" x14ac:dyDescent="0.35">
      <c r="A309" s="1" t="s">
        <v>505</v>
      </c>
      <c r="B309" s="1" t="s">
        <v>155</v>
      </c>
      <c r="C309" s="1" t="s">
        <v>61</v>
      </c>
      <c r="D309" s="1" t="s">
        <v>62</v>
      </c>
      <c r="E309" s="1" t="s">
        <v>32</v>
      </c>
      <c r="F309" s="1" t="s">
        <v>39</v>
      </c>
      <c r="G309" s="1" t="s">
        <v>36</v>
      </c>
      <c r="H309" s="1">
        <v>10591</v>
      </c>
      <c r="I309" s="1" t="s">
        <v>22</v>
      </c>
      <c r="J309" s="1">
        <v>0.1</v>
      </c>
      <c r="K309" s="1">
        <v>9000</v>
      </c>
      <c r="L309" s="2">
        <v>45292</v>
      </c>
    </row>
    <row r="310" spans="1:12" x14ac:dyDescent="0.35">
      <c r="A310" s="1" t="s">
        <v>506</v>
      </c>
      <c r="B310" s="1" t="s">
        <v>118</v>
      </c>
      <c r="C310" s="1" t="s">
        <v>14</v>
      </c>
      <c r="D310" s="1" t="s">
        <v>15</v>
      </c>
      <c r="E310" s="1" t="s">
        <v>46</v>
      </c>
      <c r="F310" s="1" t="s">
        <v>17</v>
      </c>
      <c r="G310" s="1" t="s">
        <v>36</v>
      </c>
      <c r="H310" s="1">
        <v>14626</v>
      </c>
      <c r="I310" s="1" t="s">
        <v>27</v>
      </c>
      <c r="J310" s="1"/>
      <c r="K310" s="1">
        <v>14000</v>
      </c>
      <c r="L310" s="2">
        <v>45325</v>
      </c>
    </row>
    <row r="311" spans="1:12" x14ac:dyDescent="0.35">
      <c r="A311" s="1" t="s">
        <v>507</v>
      </c>
      <c r="B311" s="1" t="s">
        <v>508</v>
      </c>
      <c r="C311" s="1" t="s">
        <v>61</v>
      </c>
      <c r="D311" s="1" t="s">
        <v>62</v>
      </c>
      <c r="E311" s="1" t="s">
        <v>46</v>
      </c>
      <c r="F311" s="1" t="s">
        <v>25</v>
      </c>
      <c r="G311" s="1" t="s">
        <v>18</v>
      </c>
      <c r="H311" s="1">
        <v>8354</v>
      </c>
      <c r="I311" s="1" t="s">
        <v>19</v>
      </c>
      <c r="J311" s="1">
        <v>0.2</v>
      </c>
      <c r="K311" s="1">
        <v>9000</v>
      </c>
      <c r="L311" s="2">
        <v>45338</v>
      </c>
    </row>
    <row r="312" spans="1:12" x14ac:dyDescent="0.35">
      <c r="A312" s="1" t="s">
        <v>509</v>
      </c>
      <c r="B312" s="1" t="s">
        <v>332</v>
      </c>
      <c r="C312" s="1" t="s">
        <v>30</v>
      </c>
      <c r="D312" s="1" t="s">
        <v>31</v>
      </c>
      <c r="E312" s="1" t="s">
        <v>16</v>
      </c>
      <c r="F312" s="1" t="s">
        <v>25</v>
      </c>
      <c r="G312" s="1" t="s">
        <v>18</v>
      </c>
      <c r="H312" s="1">
        <v>18017</v>
      </c>
      <c r="I312" s="1" t="s">
        <v>33</v>
      </c>
      <c r="J312" s="1">
        <v>0.3</v>
      </c>
      <c r="K312" s="1">
        <v>17000</v>
      </c>
      <c r="L312" s="2">
        <v>45342</v>
      </c>
    </row>
    <row r="313" spans="1:12" x14ac:dyDescent="0.35">
      <c r="A313" s="1" t="s">
        <v>510</v>
      </c>
      <c r="B313" s="1" t="s">
        <v>118</v>
      </c>
      <c r="C313" s="1" t="s">
        <v>44</v>
      </c>
      <c r="D313" s="1" t="s">
        <v>45</v>
      </c>
      <c r="E313" s="1" t="s">
        <v>32</v>
      </c>
      <c r="F313" s="1" t="s">
        <v>39</v>
      </c>
      <c r="G313" s="1" t="s">
        <v>26</v>
      </c>
      <c r="H313" s="1">
        <v>14674</v>
      </c>
      <c r="I313" s="1"/>
      <c r="J313" s="1"/>
      <c r="K313" s="1">
        <v>13000</v>
      </c>
      <c r="L313" s="2">
        <v>45344</v>
      </c>
    </row>
    <row r="314" spans="1:12" x14ac:dyDescent="0.35">
      <c r="A314" s="1" t="s">
        <v>511</v>
      </c>
      <c r="B314" s="1" t="s">
        <v>512</v>
      </c>
      <c r="C314" s="1" t="s">
        <v>30</v>
      </c>
      <c r="D314" s="1" t="s">
        <v>31</v>
      </c>
      <c r="E314" s="1" t="s">
        <v>32</v>
      </c>
      <c r="F314" s="1" t="s">
        <v>17</v>
      </c>
      <c r="G314" s="1" t="s">
        <v>26</v>
      </c>
      <c r="H314" s="1">
        <v>15390</v>
      </c>
      <c r="I314" s="1" t="s">
        <v>19</v>
      </c>
      <c r="J314" s="1">
        <v>0.2</v>
      </c>
      <c r="K314" s="1">
        <v>17000</v>
      </c>
      <c r="L314" s="2">
        <v>45300</v>
      </c>
    </row>
    <row r="315" spans="1:12" x14ac:dyDescent="0.35">
      <c r="A315" s="1" t="s">
        <v>513</v>
      </c>
      <c r="B315" s="1" t="s">
        <v>188</v>
      </c>
      <c r="C315" s="1" t="s">
        <v>44</v>
      </c>
      <c r="D315" s="1" t="s">
        <v>45</v>
      </c>
      <c r="E315" s="1" t="s">
        <v>32</v>
      </c>
      <c r="F315" s="1" t="s">
        <v>17</v>
      </c>
      <c r="G315" s="1" t="s">
        <v>36</v>
      </c>
      <c r="H315" s="1">
        <v>11964</v>
      </c>
      <c r="I315" s="1"/>
      <c r="J315" s="1"/>
      <c r="K315" s="1">
        <v>13000</v>
      </c>
      <c r="L315" s="2">
        <v>45340</v>
      </c>
    </row>
    <row r="316" spans="1:12" x14ac:dyDescent="0.35">
      <c r="A316" s="1" t="s">
        <v>514</v>
      </c>
      <c r="B316" s="1" t="s">
        <v>131</v>
      </c>
      <c r="C316" s="1" t="s">
        <v>30</v>
      </c>
      <c r="D316" s="1" t="s">
        <v>31</v>
      </c>
      <c r="E316" s="1" t="s">
        <v>16</v>
      </c>
      <c r="F316" s="1" t="s">
        <v>39</v>
      </c>
      <c r="G316" s="1" t="s">
        <v>26</v>
      </c>
      <c r="H316" s="1">
        <v>15046</v>
      </c>
      <c r="I316" s="1" t="s">
        <v>33</v>
      </c>
      <c r="J316" s="1">
        <v>0.3</v>
      </c>
      <c r="K316" s="1">
        <v>17000</v>
      </c>
      <c r="L316" s="2">
        <v>45333</v>
      </c>
    </row>
    <row r="317" spans="1:12" x14ac:dyDescent="0.35">
      <c r="A317" s="1" t="s">
        <v>515</v>
      </c>
      <c r="B317" s="1" t="s">
        <v>516</v>
      </c>
      <c r="C317" s="1" t="s">
        <v>44</v>
      </c>
      <c r="D317" s="1" t="s">
        <v>45</v>
      </c>
      <c r="E317" s="1" t="s">
        <v>32</v>
      </c>
      <c r="F317" s="1" t="s">
        <v>39</v>
      </c>
      <c r="G317" s="1" t="s">
        <v>18</v>
      </c>
      <c r="H317" s="1">
        <v>12906</v>
      </c>
      <c r="I317" s="1" t="s">
        <v>33</v>
      </c>
      <c r="J317" s="1">
        <v>0.3</v>
      </c>
      <c r="K317" s="1">
        <v>13000</v>
      </c>
      <c r="L317" s="2">
        <v>45302</v>
      </c>
    </row>
    <row r="318" spans="1:12" x14ac:dyDescent="0.35">
      <c r="A318" s="1" t="s">
        <v>517</v>
      </c>
      <c r="B318" s="1" t="s">
        <v>274</v>
      </c>
      <c r="C318" s="1" t="s">
        <v>30</v>
      </c>
      <c r="D318" s="1" t="s">
        <v>31</v>
      </c>
      <c r="E318" s="1" t="s">
        <v>16</v>
      </c>
      <c r="F318" s="1" t="s">
        <v>25</v>
      </c>
      <c r="G318" s="1" t="s">
        <v>26</v>
      </c>
      <c r="H318" s="1">
        <v>18752</v>
      </c>
      <c r="I318" s="1" t="s">
        <v>33</v>
      </c>
      <c r="J318" s="1">
        <v>0.3</v>
      </c>
      <c r="K318" s="1">
        <v>17000</v>
      </c>
      <c r="L318" s="2">
        <v>45315</v>
      </c>
    </row>
    <row r="319" spans="1:12" x14ac:dyDescent="0.35">
      <c r="A319" s="1" t="s">
        <v>518</v>
      </c>
      <c r="B319" s="1" t="s">
        <v>519</v>
      </c>
      <c r="C319" s="1" t="s">
        <v>44</v>
      </c>
      <c r="D319" s="1" t="s">
        <v>45</v>
      </c>
      <c r="E319" s="1" t="s">
        <v>32</v>
      </c>
      <c r="F319" s="1" t="s">
        <v>17</v>
      </c>
      <c r="G319" s="1" t="s">
        <v>18</v>
      </c>
      <c r="H319" s="1">
        <v>12863</v>
      </c>
      <c r="I319" s="1" t="s">
        <v>27</v>
      </c>
      <c r="J319" s="1"/>
      <c r="K319" s="1">
        <v>13000</v>
      </c>
      <c r="L319" s="2">
        <v>45315</v>
      </c>
    </row>
    <row r="320" spans="1:12" x14ac:dyDescent="0.35">
      <c r="A320" s="1" t="s">
        <v>520</v>
      </c>
      <c r="B320" s="1" t="s">
        <v>101</v>
      </c>
      <c r="C320" s="1" t="s">
        <v>61</v>
      </c>
      <c r="D320" s="1" t="s">
        <v>62</v>
      </c>
      <c r="E320" s="1" t="s">
        <v>16</v>
      </c>
      <c r="F320" s="1" t="s">
        <v>39</v>
      </c>
      <c r="G320" s="1" t="s">
        <v>18</v>
      </c>
      <c r="H320" s="1">
        <v>10120</v>
      </c>
      <c r="I320" s="1" t="s">
        <v>19</v>
      </c>
      <c r="J320" s="1">
        <v>0.2</v>
      </c>
      <c r="K320" s="1">
        <v>9000</v>
      </c>
      <c r="L320" s="2">
        <v>45335</v>
      </c>
    </row>
    <row r="321" spans="1:12" x14ac:dyDescent="0.35">
      <c r="A321" s="1" t="s">
        <v>521</v>
      </c>
      <c r="B321" s="1" t="s">
        <v>522</v>
      </c>
      <c r="C321" s="1" t="s">
        <v>14</v>
      </c>
      <c r="D321" s="1" t="s">
        <v>15</v>
      </c>
      <c r="E321" s="1" t="s">
        <v>16</v>
      </c>
      <c r="F321" s="1" t="s">
        <v>17</v>
      </c>
      <c r="G321" s="1" t="s">
        <v>26</v>
      </c>
      <c r="H321" s="1">
        <v>14882</v>
      </c>
      <c r="I321" s="1" t="s">
        <v>33</v>
      </c>
      <c r="J321" s="1">
        <v>0.3</v>
      </c>
      <c r="K321" s="1">
        <v>14000</v>
      </c>
      <c r="L321" s="2">
        <v>45296</v>
      </c>
    </row>
    <row r="322" spans="1:12" x14ac:dyDescent="0.35">
      <c r="A322" s="1" t="s">
        <v>523</v>
      </c>
      <c r="B322" s="1" t="s">
        <v>60</v>
      </c>
      <c r="C322" s="1" t="s">
        <v>14</v>
      </c>
      <c r="D322" s="1" t="s">
        <v>15</v>
      </c>
      <c r="E322" s="1" t="s">
        <v>32</v>
      </c>
      <c r="F322" s="1" t="s">
        <v>39</v>
      </c>
      <c r="G322" s="1" t="s">
        <v>26</v>
      </c>
      <c r="H322" s="1">
        <v>12828</v>
      </c>
      <c r="I322" s="1" t="s">
        <v>27</v>
      </c>
      <c r="J322" s="1"/>
      <c r="K322" s="1">
        <v>14000</v>
      </c>
      <c r="L322" s="2">
        <v>45326</v>
      </c>
    </row>
    <row r="323" spans="1:12" x14ac:dyDescent="0.35">
      <c r="A323" s="1" t="s">
        <v>524</v>
      </c>
      <c r="B323" s="1" t="s">
        <v>175</v>
      </c>
      <c r="C323" s="1" t="s">
        <v>30</v>
      </c>
      <c r="D323" s="1" t="s">
        <v>31</v>
      </c>
      <c r="E323" s="1" t="s">
        <v>16</v>
      </c>
      <c r="F323" s="1" t="s">
        <v>17</v>
      </c>
      <c r="G323" s="1" t="s">
        <v>18</v>
      </c>
      <c r="H323" s="1">
        <v>17786</v>
      </c>
      <c r="I323" s="1" t="s">
        <v>19</v>
      </c>
      <c r="J323" s="1">
        <v>0.2</v>
      </c>
      <c r="K323" s="1">
        <v>17000</v>
      </c>
      <c r="L323" s="2">
        <v>45337</v>
      </c>
    </row>
    <row r="324" spans="1:12" x14ac:dyDescent="0.35">
      <c r="A324" s="1" t="s">
        <v>525</v>
      </c>
      <c r="B324" s="1" t="s">
        <v>356</v>
      </c>
      <c r="C324" s="1" t="s">
        <v>14</v>
      </c>
      <c r="D324" s="1" t="s">
        <v>15</v>
      </c>
      <c r="E324" s="1" t="s">
        <v>16</v>
      </c>
      <c r="F324" s="1" t="s">
        <v>17</v>
      </c>
      <c r="G324" s="1" t="s">
        <v>18</v>
      </c>
      <c r="H324" s="1">
        <v>13857</v>
      </c>
      <c r="I324" s="1" t="s">
        <v>19</v>
      </c>
      <c r="J324" s="1">
        <v>0.2</v>
      </c>
      <c r="K324" s="1">
        <v>14000</v>
      </c>
      <c r="L324" s="2">
        <v>45324</v>
      </c>
    </row>
    <row r="325" spans="1:12" x14ac:dyDescent="0.35">
      <c r="A325" s="1" t="s">
        <v>526</v>
      </c>
      <c r="B325" s="1" t="s">
        <v>527</v>
      </c>
      <c r="C325" s="1" t="s">
        <v>14</v>
      </c>
      <c r="D325" s="1" t="s">
        <v>15</v>
      </c>
      <c r="E325" s="1" t="s">
        <v>16</v>
      </c>
      <c r="F325" s="1" t="s">
        <v>17</v>
      </c>
      <c r="G325" s="1" t="s">
        <v>26</v>
      </c>
      <c r="H325" s="1">
        <v>15305</v>
      </c>
      <c r="I325" s="1" t="s">
        <v>33</v>
      </c>
      <c r="J325" s="1">
        <v>0.3</v>
      </c>
      <c r="K325" s="1">
        <v>14000</v>
      </c>
      <c r="L325" s="2">
        <v>45338</v>
      </c>
    </row>
    <row r="326" spans="1:12" x14ac:dyDescent="0.35">
      <c r="A326" s="1" t="s">
        <v>528</v>
      </c>
      <c r="B326" s="1" t="s">
        <v>406</v>
      </c>
      <c r="C326" s="1" t="s">
        <v>30</v>
      </c>
      <c r="D326" s="1" t="s">
        <v>31</v>
      </c>
      <c r="E326" s="1" t="s">
        <v>32</v>
      </c>
      <c r="F326" s="1" t="s">
        <v>39</v>
      </c>
      <c r="G326" s="1" t="s">
        <v>18</v>
      </c>
      <c r="H326" s="1">
        <v>17368</v>
      </c>
      <c r="I326" s="1" t="s">
        <v>22</v>
      </c>
      <c r="J326" s="1">
        <v>0.1</v>
      </c>
      <c r="K326" s="1">
        <v>17000</v>
      </c>
      <c r="L326" s="2">
        <v>45294</v>
      </c>
    </row>
    <row r="327" spans="1:12" x14ac:dyDescent="0.35">
      <c r="A327" s="1" t="s">
        <v>529</v>
      </c>
      <c r="B327" s="1" t="s">
        <v>474</v>
      </c>
      <c r="C327" s="1" t="s">
        <v>14</v>
      </c>
      <c r="D327" s="1" t="s">
        <v>15</v>
      </c>
      <c r="E327" s="1" t="s">
        <v>16</v>
      </c>
      <c r="F327" s="1" t="s">
        <v>25</v>
      </c>
      <c r="G327" s="1" t="s">
        <v>18</v>
      </c>
      <c r="H327" s="1">
        <v>15824</v>
      </c>
      <c r="I327" s="1"/>
      <c r="J327" s="1"/>
      <c r="K327" s="1">
        <v>14000</v>
      </c>
      <c r="L327" s="2">
        <v>45294</v>
      </c>
    </row>
    <row r="328" spans="1:12" x14ac:dyDescent="0.35">
      <c r="A328" s="1" t="s">
        <v>530</v>
      </c>
      <c r="B328" s="1" t="s">
        <v>70</v>
      </c>
      <c r="C328" s="1" t="s">
        <v>44</v>
      </c>
      <c r="D328" s="1" t="s">
        <v>45</v>
      </c>
      <c r="E328" s="1" t="s">
        <v>32</v>
      </c>
      <c r="F328" s="1" t="s">
        <v>39</v>
      </c>
      <c r="G328" s="1" t="s">
        <v>26</v>
      </c>
      <c r="H328" s="1">
        <v>13645</v>
      </c>
      <c r="I328" s="1"/>
      <c r="J328" s="1"/>
      <c r="K328" s="1">
        <v>13000</v>
      </c>
      <c r="L328" s="2">
        <v>45315</v>
      </c>
    </row>
    <row r="329" spans="1:12" x14ac:dyDescent="0.35">
      <c r="A329" s="1" t="s">
        <v>531</v>
      </c>
      <c r="B329" s="1" t="s">
        <v>137</v>
      </c>
      <c r="C329" s="1" t="s">
        <v>61</v>
      </c>
      <c r="D329" s="1" t="s">
        <v>62</v>
      </c>
      <c r="E329" s="1" t="s">
        <v>46</v>
      </c>
      <c r="F329" s="1" t="s">
        <v>17</v>
      </c>
      <c r="G329" s="1" t="s">
        <v>18</v>
      </c>
      <c r="H329" s="1">
        <v>9796</v>
      </c>
      <c r="I329" s="1" t="s">
        <v>27</v>
      </c>
      <c r="J329" s="1"/>
      <c r="K329" s="1">
        <v>9000</v>
      </c>
      <c r="L329" s="2">
        <v>45300</v>
      </c>
    </row>
    <row r="330" spans="1:12" x14ac:dyDescent="0.35">
      <c r="A330" s="1" t="s">
        <v>532</v>
      </c>
      <c r="B330" s="1" t="s">
        <v>204</v>
      </c>
      <c r="C330" s="1" t="s">
        <v>30</v>
      </c>
      <c r="D330" s="1" t="s">
        <v>31</v>
      </c>
      <c r="E330" s="1" t="s">
        <v>32</v>
      </c>
      <c r="F330" s="1" t="s">
        <v>25</v>
      </c>
      <c r="G330" s="1" t="s">
        <v>26</v>
      </c>
      <c r="H330" s="1">
        <v>16609</v>
      </c>
      <c r="I330" s="1" t="s">
        <v>27</v>
      </c>
      <c r="J330" s="1"/>
      <c r="K330" s="1">
        <v>17000</v>
      </c>
      <c r="L330" s="2">
        <v>45300</v>
      </c>
    </row>
    <row r="331" spans="1:12" x14ac:dyDescent="0.35">
      <c r="A331" s="1" t="s">
        <v>533</v>
      </c>
      <c r="B331" s="1" t="s">
        <v>397</v>
      </c>
      <c r="C331" s="1" t="s">
        <v>14</v>
      </c>
      <c r="D331" s="1" t="s">
        <v>15</v>
      </c>
      <c r="E331" s="1" t="s">
        <v>32</v>
      </c>
      <c r="F331" s="1" t="s">
        <v>17</v>
      </c>
      <c r="G331" s="1" t="s">
        <v>36</v>
      </c>
      <c r="H331" s="1">
        <v>14758</v>
      </c>
      <c r="I331" s="1" t="s">
        <v>27</v>
      </c>
      <c r="J331" s="1"/>
      <c r="K331" s="1">
        <v>14000</v>
      </c>
      <c r="L331" s="2">
        <v>45319</v>
      </c>
    </row>
    <row r="332" spans="1:12" x14ac:dyDescent="0.35">
      <c r="A332" s="1" t="s">
        <v>534</v>
      </c>
      <c r="B332" s="1" t="s">
        <v>388</v>
      </c>
      <c r="C332" s="1" t="s">
        <v>44</v>
      </c>
      <c r="D332" s="1" t="s">
        <v>45</v>
      </c>
      <c r="E332" s="1" t="s">
        <v>32</v>
      </c>
      <c r="F332" s="1" t="s">
        <v>17</v>
      </c>
      <c r="G332" s="1" t="s">
        <v>36</v>
      </c>
      <c r="H332" s="1">
        <v>11635</v>
      </c>
      <c r="I332" s="1" t="s">
        <v>33</v>
      </c>
      <c r="J332" s="1">
        <v>0.3</v>
      </c>
      <c r="K332" s="1">
        <v>13000</v>
      </c>
      <c r="L332" s="2">
        <v>45304</v>
      </c>
    </row>
    <row r="333" spans="1:12" x14ac:dyDescent="0.35">
      <c r="A333" s="1" t="s">
        <v>535</v>
      </c>
      <c r="B333" s="1" t="s">
        <v>260</v>
      </c>
      <c r="C333" s="1" t="s">
        <v>14</v>
      </c>
      <c r="D333" s="1" t="s">
        <v>15</v>
      </c>
      <c r="E333" s="1" t="s">
        <v>32</v>
      </c>
      <c r="F333" s="1" t="s">
        <v>39</v>
      </c>
      <c r="G333" s="1" t="s">
        <v>36</v>
      </c>
      <c r="H333" s="1">
        <v>14518</v>
      </c>
      <c r="I333" s="1" t="s">
        <v>22</v>
      </c>
      <c r="J333" s="1">
        <v>0.1</v>
      </c>
      <c r="K333" s="1">
        <v>14000</v>
      </c>
      <c r="L333" s="2">
        <v>45307</v>
      </c>
    </row>
    <row r="334" spans="1:12" x14ac:dyDescent="0.35">
      <c r="A334" s="1" t="s">
        <v>536</v>
      </c>
      <c r="B334" s="1" t="s">
        <v>229</v>
      </c>
      <c r="C334" s="1" t="s">
        <v>14</v>
      </c>
      <c r="D334" s="1" t="s">
        <v>15</v>
      </c>
      <c r="E334" s="1" t="s">
        <v>16</v>
      </c>
      <c r="F334" s="1" t="s">
        <v>25</v>
      </c>
      <c r="G334" s="1" t="s">
        <v>36</v>
      </c>
      <c r="H334" s="1">
        <v>14448</v>
      </c>
      <c r="I334" s="1" t="s">
        <v>22</v>
      </c>
      <c r="J334" s="1">
        <v>0.1</v>
      </c>
      <c r="K334" s="1">
        <v>14000</v>
      </c>
      <c r="L334" s="2">
        <v>45307</v>
      </c>
    </row>
    <row r="335" spans="1:12" x14ac:dyDescent="0.35">
      <c r="A335" s="1" t="s">
        <v>537</v>
      </c>
      <c r="B335" s="1" t="s">
        <v>464</v>
      </c>
      <c r="C335" s="1" t="s">
        <v>61</v>
      </c>
      <c r="D335" s="1" t="s">
        <v>62</v>
      </c>
      <c r="E335" s="1" t="s">
        <v>46</v>
      </c>
      <c r="F335" s="1" t="s">
        <v>25</v>
      </c>
      <c r="G335" s="1" t="s">
        <v>26</v>
      </c>
      <c r="H335" s="1">
        <v>7889</v>
      </c>
      <c r="I335" s="1" t="s">
        <v>22</v>
      </c>
      <c r="J335" s="1">
        <v>0.1</v>
      </c>
      <c r="K335" s="1">
        <v>9000</v>
      </c>
      <c r="L335" s="2">
        <v>45300</v>
      </c>
    </row>
    <row r="336" spans="1:12" x14ac:dyDescent="0.35">
      <c r="A336" s="1" t="s">
        <v>538</v>
      </c>
      <c r="B336" s="1" t="s">
        <v>448</v>
      </c>
      <c r="C336" s="1" t="s">
        <v>44</v>
      </c>
      <c r="D336" s="1" t="s">
        <v>45</v>
      </c>
      <c r="E336" s="1" t="s">
        <v>16</v>
      </c>
      <c r="F336" s="1" t="s">
        <v>39</v>
      </c>
      <c r="G336" s="1" t="s">
        <v>36</v>
      </c>
      <c r="H336" s="1">
        <v>13365</v>
      </c>
      <c r="I336" s="1" t="s">
        <v>27</v>
      </c>
      <c r="J336" s="1"/>
      <c r="K336" s="1">
        <v>13000</v>
      </c>
      <c r="L336" s="2">
        <v>45341</v>
      </c>
    </row>
    <row r="337" spans="1:12" x14ac:dyDescent="0.35">
      <c r="A337" s="1" t="s">
        <v>539</v>
      </c>
      <c r="B337" s="1" t="s">
        <v>204</v>
      </c>
      <c r="C337" s="1" t="s">
        <v>30</v>
      </c>
      <c r="D337" s="1" t="s">
        <v>31</v>
      </c>
      <c r="E337" s="1" t="s">
        <v>32</v>
      </c>
      <c r="F337" s="1" t="s">
        <v>17</v>
      </c>
      <c r="G337" s="1" t="s">
        <v>18</v>
      </c>
      <c r="H337" s="1">
        <v>17704</v>
      </c>
      <c r="I337" s="1" t="s">
        <v>27</v>
      </c>
      <c r="J337" s="1"/>
      <c r="K337" s="1">
        <v>17000</v>
      </c>
      <c r="L337" s="2">
        <v>45306</v>
      </c>
    </row>
    <row r="338" spans="1:12" x14ac:dyDescent="0.35">
      <c r="A338" s="1" t="s">
        <v>540</v>
      </c>
      <c r="B338" s="1" t="s">
        <v>435</v>
      </c>
      <c r="C338" s="1" t="s">
        <v>30</v>
      </c>
      <c r="D338" s="1" t="s">
        <v>31</v>
      </c>
      <c r="E338" s="1" t="s">
        <v>32</v>
      </c>
      <c r="F338" s="1" t="s">
        <v>39</v>
      </c>
      <c r="G338" s="1" t="s">
        <v>26</v>
      </c>
      <c r="H338" s="1">
        <v>18603</v>
      </c>
      <c r="I338" s="1" t="s">
        <v>19</v>
      </c>
      <c r="J338" s="1">
        <v>0.2</v>
      </c>
      <c r="K338" s="1">
        <v>17000</v>
      </c>
      <c r="L338" s="2">
        <v>45332</v>
      </c>
    </row>
    <row r="339" spans="1:12" x14ac:dyDescent="0.35">
      <c r="A339" s="1" t="s">
        <v>541</v>
      </c>
      <c r="B339" s="1" t="s">
        <v>90</v>
      </c>
      <c r="C339" s="1" t="s">
        <v>61</v>
      </c>
      <c r="D339" s="1" t="s">
        <v>62</v>
      </c>
      <c r="E339" s="1" t="s">
        <v>32</v>
      </c>
      <c r="F339" s="1" t="s">
        <v>17</v>
      </c>
      <c r="G339" s="1" t="s">
        <v>26</v>
      </c>
      <c r="H339" s="1">
        <v>9749</v>
      </c>
      <c r="I339" s="1"/>
      <c r="J339" s="1"/>
      <c r="K339" s="1">
        <v>9000</v>
      </c>
      <c r="L339" s="2">
        <v>45342</v>
      </c>
    </row>
    <row r="340" spans="1:12" x14ac:dyDescent="0.35">
      <c r="A340" s="1" t="s">
        <v>542</v>
      </c>
      <c r="B340" s="1" t="s">
        <v>217</v>
      </c>
      <c r="C340" s="1" t="s">
        <v>61</v>
      </c>
      <c r="D340" s="1" t="s">
        <v>62</v>
      </c>
      <c r="E340" s="1" t="s">
        <v>46</v>
      </c>
      <c r="F340" s="1" t="s">
        <v>25</v>
      </c>
      <c r="G340" s="1" t="s">
        <v>36</v>
      </c>
      <c r="H340" s="1">
        <v>8541</v>
      </c>
      <c r="I340" s="1" t="s">
        <v>19</v>
      </c>
      <c r="J340" s="1">
        <v>0.2</v>
      </c>
      <c r="K340" s="1">
        <v>9000</v>
      </c>
      <c r="L340" s="2">
        <v>45340</v>
      </c>
    </row>
    <row r="341" spans="1:12" x14ac:dyDescent="0.35">
      <c r="A341" s="1" t="s">
        <v>543</v>
      </c>
      <c r="B341" s="1" t="s">
        <v>544</v>
      </c>
      <c r="C341" s="1" t="s">
        <v>44</v>
      </c>
      <c r="D341" s="1" t="s">
        <v>45</v>
      </c>
      <c r="E341" s="1" t="s">
        <v>32</v>
      </c>
      <c r="F341" s="1" t="s">
        <v>17</v>
      </c>
      <c r="G341" s="1" t="s">
        <v>26</v>
      </c>
      <c r="H341" s="1">
        <v>11591</v>
      </c>
      <c r="I341" s="1"/>
      <c r="J341" s="1"/>
      <c r="K341" s="1">
        <v>13000</v>
      </c>
      <c r="L341" s="2">
        <v>45350</v>
      </c>
    </row>
    <row r="342" spans="1:12" x14ac:dyDescent="0.35">
      <c r="A342" s="1" t="s">
        <v>545</v>
      </c>
      <c r="B342" s="1" t="s">
        <v>166</v>
      </c>
      <c r="C342" s="1" t="s">
        <v>61</v>
      </c>
      <c r="D342" s="1" t="s">
        <v>62</v>
      </c>
      <c r="E342" s="1" t="s">
        <v>46</v>
      </c>
      <c r="F342" s="1" t="s">
        <v>39</v>
      </c>
      <c r="G342" s="1" t="s">
        <v>26</v>
      </c>
      <c r="H342" s="1">
        <v>7549</v>
      </c>
      <c r="I342" s="1"/>
      <c r="J342" s="1"/>
      <c r="K342" s="1">
        <v>9000</v>
      </c>
      <c r="L342" s="2">
        <v>45307</v>
      </c>
    </row>
    <row r="343" spans="1:12" x14ac:dyDescent="0.35">
      <c r="A343" s="1" t="s">
        <v>546</v>
      </c>
      <c r="B343" s="1" t="s">
        <v>289</v>
      </c>
      <c r="C343" s="1" t="s">
        <v>30</v>
      </c>
      <c r="D343" s="1" t="s">
        <v>31</v>
      </c>
      <c r="E343" s="1" t="s">
        <v>16</v>
      </c>
      <c r="F343" s="1" t="s">
        <v>25</v>
      </c>
      <c r="G343" s="1" t="s">
        <v>36</v>
      </c>
      <c r="H343" s="1">
        <v>18469</v>
      </c>
      <c r="I343" s="1" t="s">
        <v>33</v>
      </c>
      <c r="J343" s="1">
        <v>0.3</v>
      </c>
      <c r="K343" s="1">
        <v>17000</v>
      </c>
      <c r="L343" s="2">
        <v>45297</v>
      </c>
    </row>
    <row r="344" spans="1:12" x14ac:dyDescent="0.35">
      <c r="A344" s="1" t="s">
        <v>547</v>
      </c>
      <c r="B344" s="1" t="s">
        <v>548</v>
      </c>
      <c r="C344" s="1" t="s">
        <v>44</v>
      </c>
      <c r="D344" s="1" t="s">
        <v>45</v>
      </c>
      <c r="E344" s="1" t="s">
        <v>32</v>
      </c>
      <c r="F344" s="1" t="s">
        <v>17</v>
      </c>
      <c r="G344" s="1" t="s">
        <v>36</v>
      </c>
      <c r="H344" s="1">
        <v>13759</v>
      </c>
      <c r="I344" s="1" t="s">
        <v>27</v>
      </c>
      <c r="J344" s="1"/>
      <c r="K344" s="1">
        <v>13000</v>
      </c>
      <c r="L344" s="2">
        <v>45330</v>
      </c>
    </row>
    <row r="345" spans="1:12" x14ac:dyDescent="0.35">
      <c r="A345" s="1" t="s">
        <v>549</v>
      </c>
      <c r="B345" s="1" t="s">
        <v>129</v>
      </c>
      <c r="C345" s="1" t="s">
        <v>14</v>
      </c>
      <c r="D345" s="1" t="s">
        <v>15</v>
      </c>
      <c r="E345" s="1" t="s">
        <v>32</v>
      </c>
      <c r="F345" s="1" t="s">
        <v>39</v>
      </c>
      <c r="G345" s="1" t="s">
        <v>26</v>
      </c>
      <c r="H345" s="1">
        <v>14750</v>
      </c>
      <c r="I345" s="1" t="s">
        <v>27</v>
      </c>
      <c r="J345" s="1"/>
      <c r="K345" s="1">
        <v>14000</v>
      </c>
      <c r="L345" s="2">
        <v>45305</v>
      </c>
    </row>
    <row r="346" spans="1:12" x14ac:dyDescent="0.35">
      <c r="A346" s="1" t="s">
        <v>550</v>
      </c>
      <c r="B346" s="1" t="s">
        <v>211</v>
      </c>
      <c r="C346" s="1" t="s">
        <v>30</v>
      </c>
      <c r="D346" s="1" t="s">
        <v>31</v>
      </c>
      <c r="E346" s="1" t="s">
        <v>46</v>
      </c>
      <c r="F346" s="1" t="s">
        <v>25</v>
      </c>
      <c r="G346" s="1" t="s">
        <v>18</v>
      </c>
      <c r="H346" s="1">
        <v>18838</v>
      </c>
      <c r="I346" s="1" t="s">
        <v>19</v>
      </c>
      <c r="J346" s="1">
        <v>0.2</v>
      </c>
      <c r="K346" s="1">
        <v>17000</v>
      </c>
      <c r="L346" s="2">
        <v>45339</v>
      </c>
    </row>
    <row r="347" spans="1:12" x14ac:dyDescent="0.35">
      <c r="A347" s="1" t="s">
        <v>551</v>
      </c>
      <c r="B347" s="1" t="s">
        <v>173</v>
      </c>
      <c r="C347" s="1" t="s">
        <v>61</v>
      </c>
      <c r="D347" s="1" t="s">
        <v>62</v>
      </c>
      <c r="E347" s="1" t="s">
        <v>32</v>
      </c>
      <c r="F347" s="1" t="s">
        <v>39</v>
      </c>
      <c r="G347" s="1" t="s">
        <v>26</v>
      </c>
      <c r="H347" s="1">
        <v>9882</v>
      </c>
      <c r="I347" s="1" t="s">
        <v>19</v>
      </c>
      <c r="J347" s="1">
        <v>0.2</v>
      </c>
      <c r="K347" s="1">
        <v>9000</v>
      </c>
      <c r="L347" s="2">
        <v>45317</v>
      </c>
    </row>
    <row r="348" spans="1:12" x14ac:dyDescent="0.35">
      <c r="A348" s="1" t="s">
        <v>552</v>
      </c>
      <c r="B348" s="1" t="s">
        <v>553</v>
      </c>
      <c r="C348" s="1" t="s">
        <v>30</v>
      </c>
      <c r="D348" s="1" t="s">
        <v>31</v>
      </c>
      <c r="E348" s="1" t="s">
        <v>46</v>
      </c>
      <c r="F348" s="1" t="s">
        <v>17</v>
      </c>
      <c r="G348" s="1" t="s">
        <v>36</v>
      </c>
      <c r="H348" s="1">
        <v>17185</v>
      </c>
      <c r="I348" s="1" t="s">
        <v>33</v>
      </c>
      <c r="J348" s="1">
        <v>0.3</v>
      </c>
      <c r="K348" s="1">
        <v>17000</v>
      </c>
      <c r="L348" s="2">
        <v>45311</v>
      </c>
    </row>
    <row r="349" spans="1:12" x14ac:dyDescent="0.35">
      <c r="A349" s="1" t="s">
        <v>554</v>
      </c>
      <c r="B349" s="1" t="s">
        <v>131</v>
      </c>
      <c r="C349" s="1" t="s">
        <v>61</v>
      </c>
      <c r="D349" s="1" t="s">
        <v>62</v>
      </c>
      <c r="E349" s="1" t="s">
        <v>46</v>
      </c>
      <c r="F349" s="1" t="s">
        <v>25</v>
      </c>
      <c r="G349" s="1" t="s">
        <v>26</v>
      </c>
      <c r="H349" s="1">
        <v>8923</v>
      </c>
      <c r="I349" s="1" t="s">
        <v>33</v>
      </c>
      <c r="J349" s="1">
        <v>0.3</v>
      </c>
      <c r="K349" s="1">
        <v>9000</v>
      </c>
      <c r="L349" s="2">
        <v>45350</v>
      </c>
    </row>
    <row r="350" spans="1:12" x14ac:dyDescent="0.35">
      <c r="A350" s="1" t="s">
        <v>555</v>
      </c>
      <c r="B350" s="1" t="s">
        <v>391</v>
      </c>
      <c r="C350" s="1" t="s">
        <v>30</v>
      </c>
      <c r="D350" s="1" t="s">
        <v>31</v>
      </c>
      <c r="E350" s="1" t="s">
        <v>46</v>
      </c>
      <c r="F350" s="1" t="s">
        <v>25</v>
      </c>
      <c r="G350" s="1" t="s">
        <v>26</v>
      </c>
      <c r="H350" s="1">
        <v>18539</v>
      </c>
      <c r="I350" s="1" t="s">
        <v>19</v>
      </c>
      <c r="J350" s="1">
        <v>0.2</v>
      </c>
      <c r="K350" s="1">
        <v>17000</v>
      </c>
      <c r="L350" s="2">
        <v>45339</v>
      </c>
    </row>
    <row r="351" spans="1:12" x14ac:dyDescent="0.35">
      <c r="A351" s="1" t="s">
        <v>556</v>
      </c>
      <c r="B351" s="1" t="s">
        <v>557</v>
      </c>
      <c r="C351" s="1" t="s">
        <v>30</v>
      </c>
      <c r="D351" s="1" t="s">
        <v>31</v>
      </c>
      <c r="E351" s="1" t="s">
        <v>16</v>
      </c>
      <c r="F351" s="1" t="s">
        <v>39</v>
      </c>
      <c r="G351" s="1" t="s">
        <v>26</v>
      </c>
      <c r="H351" s="1">
        <v>17949</v>
      </c>
      <c r="I351" s="1"/>
      <c r="J351" s="1"/>
      <c r="K351" s="1">
        <v>17000</v>
      </c>
      <c r="L351" s="2">
        <v>45310</v>
      </c>
    </row>
    <row r="352" spans="1:12" x14ac:dyDescent="0.35">
      <c r="A352" s="1" t="s">
        <v>558</v>
      </c>
      <c r="B352" s="1" t="s">
        <v>35</v>
      </c>
      <c r="C352" s="1" t="s">
        <v>30</v>
      </c>
      <c r="D352" s="1" t="s">
        <v>31</v>
      </c>
      <c r="E352" s="1" t="s">
        <v>32</v>
      </c>
      <c r="F352" s="1" t="s">
        <v>17</v>
      </c>
      <c r="G352" s="1" t="s">
        <v>26</v>
      </c>
      <c r="H352" s="1">
        <v>18413</v>
      </c>
      <c r="I352" s="1" t="s">
        <v>19</v>
      </c>
      <c r="J352" s="1">
        <v>0.2</v>
      </c>
      <c r="K352" s="1">
        <v>17000</v>
      </c>
      <c r="L352" s="2">
        <v>45323</v>
      </c>
    </row>
    <row r="353" spans="1:12" x14ac:dyDescent="0.35">
      <c r="A353" s="1" t="s">
        <v>559</v>
      </c>
      <c r="B353" s="1" t="s">
        <v>202</v>
      </c>
      <c r="C353" s="1" t="s">
        <v>30</v>
      </c>
      <c r="D353" s="1" t="s">
        <v>31</v>
      </c>
      <c r="E353" s="1" t="s">
        <v>46</v>
      </c>
      <c r="F353" s="1" t="s">
        <v>17</v>
      </c>
      <c r="G353" s="1" t="s">
        <v>26</v>
      </c>
      <c r="H353" s="1">
        <v>17628</v>
      </c>
      <c r="I353" s="1"/>
      <c r="J353" s="1"/>
      <c r="K353" s="1">
        <v>17000</v>
      </c>
      <c r="L353" s="2">
        <v>45321</v>
      </c>
    </row>
    <row r="354" spans="1:12" x14ac:dyDescent="0.35">
      <c r="A354" s="1" t="s">
        <v>560</v>
      </c>
      <c r="B354" s="1" t="s">
        <v>280</v>
      </c>
      <c r="C354" s="1" t="s">
        <v>30</v>
      </c>
      <c r="D354" s="1" t="s">
        <v>31</v>
      </c>
      <c r="E354" s="1" t="s">
        <v>32</v>
      </c>
      <c r="F354" s="1" t="s">
        <v>25</v>
      </c>
      <c r="G354" s="1" t="s">
        <v>26</v>
      </c>
      <c r="H354" s="1">
        <v>17238</v>
      </c>
      <c r="I354" s="1"/>
      <c r="J354" s="1"/>
      <c r="K354" s="1">
        <v>17000</v>
      </c>
      <c r="L354" s="2">
        <v>45303</v>
      </c>
    </row>
    <row r="355" spans="1:12" x14ac:dyDescent="0.35">
      <c r="A355" s="1" t="s">
        <v>561</v>
      </c>
      <c r="B355" s="1" t="s">
        <v>84</v>
      </c>
      <c r="C355" s="1" t="s">
        <v>14</v>
      </c>
      <c r="D355" s="1" t="s">
        <v>15</v>
      </c>
      <c r="E355" s="1" t="s">
        <v>16</v>
      </c>
      <c r="F355" s="1" t="s">
        <v>25</v>
      </c>
      <c r="G355" s="1" t="s">
        <v>18</v>
      </c>
      <c r="H355" s="1">
        <v>15871</v>
      </c>
      <c r="I355" s="1" t="s">
        <v>22</v>
      </c>
      <c r="J355" s="1">
        <v>0.1</v>
      </c>
      <c r="K355" s="1">
        <v>14000</v>
      </c>
      <c r="L355" s="2">
        <v>45340</v>
      </c>
    </row>
    <row r="356" spans="1:12" x14ac:dyDescent="0.35">
      <c r="A356" s="1" t="s">
        <v>562</v>
      </c>
      <c r="B356" s="1" t="s">
        <v>406</v>
      </c>
      <c r="C356" s="1" t="s">
        <v>44</v>
      </c>
      <c r="D356" s="1" t="s">
        <v>45</v>
      </c>
      <c r="E356" s="1" t="s">
        <v>16</v>
      </c>
      <c r="F356" s="1" t="s">
        <v>25</v>
      </c>
      <c r="G356" s="1" t="s">
        <v>18</v>
      </c>
      <c r="H356" s="1">
        <v>13896</v>
      </c>
      <c r="I356" s="1" t="s">
        <v>19</v>
      </c>
      <c r="J356" s="1">
        <v>0.2</v>
      </c>
      <c r="K356" s="1">
        <v>13000</v>
      </c>
      <c r="L356" s="2">
        <v>45292</v>
      </c>
    </row>
    <row r="357" spans="1:12" x14ac:dyDescent="0.35">
      <c r="A357" s="1" t="s">
        <v>563</v>
      </c>
      <c r="B357" s="1" t="s">
        <v>24</v>
      </c>
      <c r="C357" s="1" t="s">
        <v>61</v>
      </c>
      <c r="D357" s="1" t="s">
        <v>62</v>
      </c>
      <c r="E357" s="1" t="s">
        <v>46</v>
      </c>
      <c r="F357" s="1" t="s">
        <v>25</v>
      </c>
      <c r="G357" s="1" t="s">
        <v>26</v>
      </c>
      <c r="H357" s="1">
        <v>9612</v>
      </c>
      <c r="I357" s="1" t="s">
        <v>27</v>
      </c>
      <c r="J357" s="1"/>
      <c r="K357" s="1">
        <v>9000</v>
      </c>
      <c r="L357" s="2">
        <v>45350</v>
      </c>
    </row>
    <row r="358" spans="1:12" x14ac:dyDescent="0.35">
      <c r="A358" s="1" t="s">
        <v>564</v>
      </c>
      <c r="B358" s="1" t="s">
        <v>332</v>
      </c>
      <c r="C358" s="1" t="s">
        <v>61</v>
      </c>
      <c r="D358" s="1" t="s">
        <v>62</v>
      </c>
      <c r="E358" s="1" t="s">
        <v>32</v>
      </c>
      <c r="F358" s="1" t="s">
        <v>25</v>
      </c>
      <c r="G358" s="1" t="s">
        <v>26</v>
      </c>
      <c r="H358" s="1">
        <v>9259</v>
      </c>
      <c r="I358" s="1"/>
      <c r="J358" s="1"/>
      <c r="K358" s="1">
        <v>9000</v>
      </c>
      <c r="L358" s="2">
        <v>45292</v>
      </c>
    </row>
    <row r="359" spans="1:12" x14ac:dyDescent="0.35">
      <c r="A359" s="1" t="s">
        <v>565</v>
      </c>
      <c r="B359" s="1" t="s">
        <v>166</v>
      </c>
      <c r="C359" s="1" t="s">
        <v>30</v>
      </c>
      <c r="D359" s="1" t="s">
        <v>31</v>
      </c>
      <c r="E359" s="1" t="s">
        <v>16</v>
      </c>
      <c r="F359" s="1" t="s">
        <v>17</v>
      </c>
      <c r="G359" s="1" t="s">
        <v>18</v>
      </c>
      <c r="H359" s="1">
        <v>17057</v>
      </c>
      <c r="I359" s="1"/>
      <c r="J359" s="1"/>
      <c r="K359" s="1">
        <v>17000</v>
      </c>
      <c r="L359" s="2">
        <v>45343</v>
      </c>
    </row>
    <row r="360" spans="1:12" x14ac:dyDescent="0.35">
      <c r="A360" s="1" t="s">
        <v>566</v>
      </c>
      <c r="B360" s="1" t="s">
        <v>120</v>
      </c>
      <c r="C360" s="1" t="s">
        <v>14</v>
      </c>
      <c r="D360" s="1" t="s">
        <v>15</v>
      </c>
      <c r="E360" s="1" t="s">
        <v>32</v>
      </c>
      <c r="F360" s="1" t="s">
        <v>39</v>
      </c>
      <c r="G360" s="1" t="s">
        <v>18</v>
      </c>
      <c r="H360" s="1">
        <v>12987</v>
      </c>
      <c r="I360" s="1" t="s">
        <v>19</v>
      </c>
      <c r="J360" s="1">
        <v>0.2</v>
      </c>
      <c r="K360" s="1">
        <v>14000</v>
      </c>
      <c r="L360" s="2">
        <v>45331</v>
      </c>
    </row>
    <row r="361" spans="1:12" x14ac:dyDescent="0.35">
      <c r="A361" s="1" t="s">
        <v>567</v>
      </c>
      <c r="B361" s="1" t="s">
        <v>448</v>
      </c>
      <c r="C361" s="1" t="s">
        <v>30</v>
      </c>
      <c r="D361" s="1" t="s">
        <v>31</v>
      </c>
      <c r="E361" s="1" t="s">
        <v>46</v>
      </c>
      <c r="F361" s="1" t="s">
        <v>17</v>
      </c>
      <c r="G361" s="1" t="s">
        <v>18</v>
      </c>
      <c r="H361" s="1">
        <v>16528</v>
      </c>
      <c r="I361" s="1"/>
      <c r="J361" s="1"/>
      <c r="K361" s="1">
        <v>17000</v>
      </c>
      <c r="L361" s="2">
        <v>45321</v>
      </c>
    </row>
    <row r="362" spans="1:12" x14ac:dyDescent="0.35">
      <c r="A362" s="1" t="s">
        <v>568</v>
      </c>
      <c r="B362" s="1" t="s">
        <v>519</v>
      </c>
      <c r="C362" s="1" t="s">
        <v>44</v>
      </c>
      <c r="D362" s="1" t="s">
        <v>45</v>
      </c>
      <c r="E362" s="1" t="s">
        <v>46</v>
      </c>
      <c r="F362" s="1" t="s">
        <v>39</v>
      </c>
      <c r="G362" s="1" t="s">
        <v>18</v>
      </c>
      <c r="H362" s="1">
        <v>13677</v>
      </c>
      <c r="I362" s="1" t="s">
        <v>22</v>
      </c>
      <c r="J362" s="1">
        <v>0.1</v>
      </c>
      <c r="K362" s="1">
        <v>13000</v>
      </c>
      <c r="L362" s="2">
        <v>45297</v>
      </c>
    </row>
    <row r="363" spans="1:12" x14ac:dyDescent="0.35">
      <c r="A363" s="1" t="s">
        <v>569</v>
      </c>
      <c r="B363" s="1" t="s">
        <v>177</v>
      </c>
      <c r="C363" s="1" t="s">
        <v>61</v>
      </c>
      <c r="D363" s="1" t="s">
        <v>62</v>
      </c>
      <c r="E363" s="1" t="s">
        <v>16</v>
      </c>
      <c r="F363" s="1" t="s">
        <v>17</v>
      </c>
      <c r="G363" s="1" t="s">
        <v>18</v>
      </c>
      <c r="H363" s="1">
        <v>9608</v>
      </c>
      <c r="I363" s="1" t="s">
        <v>22</v>
      </c>
      <c r="J363" s="1">
        <v>0.1</v>
      </c>
      <c r="K363" s="1">
        <v>9000</v>
      </c>
      <c r="L363" s="2">
        <v>45336</v>
      </c>
    </row>
    <row r="364" spans="1:12" x14ac:dyDescent="0.35">
      <c r="A364" s="1" t="s">
        <v>570</v>
      </c>
      <c r="B364" s="1" t="s">
        <v>325</v>
      </c>
      <c r="C364" s="1" t="s">
        <v>61</v>
      </c>
      <c r="D364" s="1" t="s">
        <v>62</v>
      </c>
      <c r="E364" s="1" t="s">
        <v>46</v>
      </c>
      <c r="F364" s="1" t="s">
        <v>39</v>
      </c>
      <c r="G364" s="1" t="s">
        <v>36</v>
      </c>
      <c r="H364" s="1">
        <v>9317</v>
      </c>
      <c r="I364" s="1" t="s">
        <v>22</v>
      </c>
      <c r="J364" s="1">
        <v>0.1</v>
      </c>
      <c r="K364" s="1">
        <v>9000</v>
      </c>
      <c r="L364" s="2">
        <v>45349</v>
      </c>
    </row>
    <row r="365" spans="1:12" x14ac:dyDescent="0.35">
      <c r="A365" s="1" t="s">
        <v>571</v>
      </c>
      <c r="B365" s="1" t="s">
        <v>184</v>
      </c>
      <c r="C365" s="1" t="s">
        <v>44</v>
      </c>
      <c r="D365" s="1" t="s">
        <v>45</v>
      </c>
      <c r="E365" s="1" t="s">
        <v>32</v>
      </c>
      <c r="F365" s="1" t="s">
        <v>39</v>
      </c>
      <c r="G365" s="1" t="s">
        <v>26</v>
      </c>
      <c r="H365" s="1">
        <v>12947</v>
      </c>
      <c r="I365" s="1" t="s">
        <v>33</v>
      </c>
      <c r="J365" s="1">
        <v>0.3</v>
      </c>
      <c r="K365" s="1">
        <v>13000</v>
      </c>
      <c r="L365" s="2">
        <v>45294</v>
      </c>
    </row>
    <row r="366" spans="1:12" x14ac:dyDescent="0.35">
      <c r="A366" s="1" t="s">
        <v>572</v>
      </c>
      <c r="B366" s="1" t="s">
        <v>403</v>
      </c>
      <c r="C366" s="1" t="s">
        <v>30</v>
      </c>
      <c r="D366" s="1" t="s">
        <v>31</v>
      </c>
      <c r="E366" s="1" t="s">
        <v>16</v>
      </c>
      <c r="F366" s="1" t="s">
        <v>39</v>
      </c>
      <c r="G366" s="1" t="s">
        <v>26</v>
      </c>
      <c r="H366" s="1">
        <v>15134</v>
      </c>
      <c r="I366" s="1" t="s">
        <v>19</v>
      </c>
      <c r="J366" s="1">
        <v>0.2</v>
      </c>
      <c r="K366" s="1">
        <v>17000</v>
      </c>
      <c r="L366" s="2">
        <v>45351</v>
      </c>
    </row>
    <row r="367" spans="1:12" x14ac:dyDescent="0.35">
      <c r="A367" s="1" t="s">
        <v>573</v>
      </c>
      <c r="B367" s="1" t="s">
        <v>303</v>
      </c>
      <c r="C367" s="1" t="s">
        <v>14</v>
      </c>
      <c r="D367" s="1" t="s">
        <v>15</v>
      </c>
      <c r="E367" s="1" t="s">
        <v>32</v>
      </c>
      <c r="F367" s="1" t="s">
        <v>39</v>
      </c>
      <c r="G367" s="1" t="s">
        <v>18</v>
      </c>
      <c r="H367" s="1">
        <v>15081</v>
      </c>
      <c r="I367" s="1"/>
      <c r="J367" s="1"/>
      <c r="K367" s="1">
        <v>14000</v>
      </c>
      <c r="L367" s="2">
        <v>45351</v>
      </c>
    </row>
    <row r="368" spans="1:12" x14ac:dyDescent="0.35">
      <c r="A368" s="1" t="s">
        <v>574</v>
      </c>
      <c r="B368" s="1" t="s">
        <v>263</v>
      </c>
      <c r="C368" s="1" t="s">
        <v>44</v>
      </c>
      <c r="D368" s="1" t="s">
        <v>45</v>
      </c>
      <c r="E368" s="1" t="s">
        <v>16</v>
      </c>
      <c r="F368" s="1" t="s">
        <v>25</v>
      </c>
      <c r="G368" s="1" t="s">
        <v>26</v>
      </c>
      <c r="H368" s="1">
        <v>14418</v>
      </c>
      <c r="I368" s="1"/>
      <c r="J368" s="1"/>
      <c r="K368" s="1">
        <v>13000</v>
      </c>
      <c r="L368" s="2">
        <v>45335</v>
      </c>
    </row>
    <row r="369" spans="1:12" x14ac:dyDescent="0.35">
      <c r="A369" s="1" t="s">
        <v>575</v>
      </c>
      <c r="B369" s="1" t="s">
        <v>84</v>
      </c>
      <c r="C369" s="1" t="s">
        <v>30</v>
      </c>
      <c r="D369" s="1" t="s">
        <v>31</v>
      </c>
      <c r="E369" s="1" t="s">
        <v>46</v>
      </c>
      <c r="F369" s="1" t="s">
        <v>39</v>
      </c>
      <c r="G369" s="1" t="s">
        <v>18</v>
      </c>
      <c r="H369" s="1">
        <v>18237</v>
      </c>
      <c r="I369" s="1" t="s">
        <v>22</v>
      </c>
      <c r="J369" s="1">
        <v>0.1</v>
      </c>
      <c r="K369" s="1">
        <v>17000</v>
      </c>
      <c r="L369" s="2">
        <v>45324</v>
      </c>
    </row>
    <row r="370" spans="1:12" x14ac:dyDescent="0.35">
      <c r="A370" s="1" t="s">
        <v>576</v>
      </c>
      <c r="B370" s="1" t="s">
        <v>577</v>
      </c>
      <c r="C370" s="1" t="s">
        <v>14</v>
      </c>
      <c r="D370" s="1" t="s">
        <v>15</v>
      </c>
      <c r="E370" s="1" t="s">
        <v>32</v>
      </c>
      <c r="F370" s="1" t="s">
        <v>17</v>
      </c>
      <c r="G370" s="1" t="s">
        <v>18</v>
      </c>
      <c r="H370" s="1">
        <v>15435</v>
      </c>
      <c r="I370" s="1" t="s">
        <v>22</v>
      </c>
      <c r="J370" s="1">
        <v>0.1</v>
      </c>
      <c r="K370" s="1">
        <v>14000</v>
      </c>
      <c r="L370" s="2">
        <v>45313</v>
      </c>
    </row>
    <row r="371" spans="1:12" x14ac:dyDescent="0.35">
      <c r="A371" s="1" t="s">
        <v>578</v>
      </c>
      <c r="B371" s="1" t="s">
        <v>579</v>
      </c>
      <c r="C371" s="1" t="s">
        <v>61</v>
      </c>
      <c r="D371" s="1" t="s">
        <v>62</v>
      </c>
      <c r="E371" s="1" t="s">
        <v>46</v>
      </c>
      <c r="F371" s="1" t="s">
        <v>25</v>
      </c>
      <c r="G371" s="1" t="s">
        <v>26</v>
      </c>
      <c r="H371" s="1">
        <v>8119</v>
      </c>
      <c r="I371" s="1"/>
      <c r="J371" s="1"/>
      <c r="K371" s="1">
        <v>9000</v>
      </c>
      <c r="L371" s="2">
        <v>45323</v>
      </c>
    </row>
    <row r="372" spans="1:12" x14ac:dyDescent="0.35">
      <c r="A372" s="1" t="s">
        <v>580</v>
      </c>
      <c r="B372" s="1" t="s">
        <v>391</v>
      </c>
      <c r="C372" s="1" t="s">
        <v>61</v>
      </c>
      <c r="D372" s="1" t="s">
        <v>62</v>
      </c>
      <c r="E372" s="1" t="s">
        <v>46</v>
      </c>
      <c r="F372" s="1" t="s">
        <v>25</v>
      </c>
      <c r="G372" s="1" t="s">
        <v>26</v>
      </c>
      <c r="H372" s="1">
        <v>9399</v>
      </c>
      <c r="I372" s="1"/>
      <c r="J372" s="1"/>
      <c r="K372" s="1">
        <v>9000</v>
      </c>
      <c r="L372" s="2">
        <v>45297</v>
      </c>
    </row>
    <row r="373" spans="1:12" x14ac:dyDescent="0.35">
      <c r="A373" s="1" t="s">
        <v>581</v>
      </c>
      <c r="B373" s="1" t="s">
        <v>522</v>
      </c>
      <c r="C373" s="1" t="s">
        <v>30</v>
      </c>
      <c r="D373" s="1" t="s">
        <v>31</v>
      </c>
      <c r="E373" s="1" t="s">
        <v>32</v>
      </c>
      <c r="F373" s="1" t="s">
        <v>39</v>
      </c>
      <c r="G373" s="1" t="s">
        <v>18</v>
      </c>
      <c r="H373" s="1">
        <v>15336</v>
      </c>
      <c r="I373" s="1" t="s">
        <v>33</v>
      </c>
      <c r="J373" s="1">
        <v>0.3</v>
      </c>
      <c r="K373" s="1">
        <v>17000</v>
      </c>
      <c r="L373" s="2">
        <v>45301</v>
      </c>
    </row>
    <row r="374" spans="1:12" x14ac:dyDescent="0.35">
      <c r="A374" s="1" t="s">
        <v>582</v>
      </c>
      <c r="B374" s="1" t="s">
        <v>101</v>
      </c>
      <c r="C374" s="1" t="s">
        <v>44</v>
      </c>
      <c r="D374" s="1" t="s">
        <v>45</v>
      </c>
      <c r="E374" s="1" t="s">
        <v>16</v>
      </c>
      <c r="F374" s="1" t="s">
        <v>17</v>
      </c>
      <c r="G374" s="1" t="s">
        <v>36</v>
      </c>
      <c r="H374" s="1">
        <v>12477</v>
      </c>
      <c r="I374" s="1" t="s">
        <v>22</v>
      </c>
      <c r="J374" s="1">
        <v>0.1</v>
      </c>
      <c r="K374" s="1">
        <v>13000</v>
      </c>
      <c r="L374" s="2">
        <v>45297</v>
      </c>
    </row>
    <row r="375" spans="1:12" x14ac:dyDescent="0.35">
      <c r="A375" s="1" t="s">
        <v>583</v>
      </c>
      <c r="B375" s="1" t="s">
        <v>584</v>
      </c>
      <c r="C375" s="1" t="s">
        <v>61</v>
      </c>
      <c r="D375" s="1" t="s">
        <v>62</v>
      </c>
      <c r="E375" s="1" t="s">
        <v>46</v>
      </c>
      <c r="F375" s="1" t="s">
        <v>17</v>
      </c>
      <c r="G375" s="1" t="s">
        <v>18</v>
      </c>
      <c r="H375" s="1">
        <v>7542</v>
      </c>
      <c r="I375" s="1" t="s">
        <v>22</v>
      </c>
      <c r="J375" s="1">
        <v>0.1</v>
      </c>
      <c r="K375" s="1">
        <v>9000</v>
      </c>
      <c r="L375" s="2">
        <v>45303</v>
      </c>
    </row>
    <row r="376" spans="1:12" x14ac:dyDescent="0.35">
      <c r="A376" s="1" t="s">
        <v>585</v>
      </c>
      <c r="B376" s="1" t="s">
        <v>527</v>
      </c>
      <c r="C376" s="1" t="s">
        <v>61</v>
      </c>
      <c r="D376" s="1" t="s">
        <v>62</v>
      </c>
      <c r="E376" s="1" t="s">
        <v>32</v>
      </c>
      <c r="F376" s="1" t="s">
        <v>25</v>
      </c>
      <c r="G376" s="1" t="s">
        <v>18</v>
      </c>
      <c r="H376" s="1">
        <v>8449</v>
      </c>
      <c r="I376" s="1" t="s">
        <v>27</v>
      </c>
      <c r="J376" s="1"/>
      <c r="K376" s="1">
        <v>9000</v>
      </c>
      <c r="L376" s="2">
        <v>45297</v>
      </c>
    </row>
    <row r="377" spans="1:12" x14ac:dyDescent="0.35">
      <c r="A377" s="1" t="s">
        <v>586</v>
      </c>
      <c r="B377" s="1" t="s">
        <v>195</v>
      </c>
      <c r="C377" s="1" t="s">
        <v>30</v>
      </c>
      <c r="D377" s="1" t="s">
        <v>31</v>
      </c>
      <c r="E377" s="1" t="s">
        <v>46</v>
      </c>
      <c r="F377" s="1" t="s">
        <v>25</v>
      </c>
      <c r="G377" s="1" t="s">
        <v>36</v>
      </c>
      <c r="H377" s="1">
        <v>16694</v>
      </c>
      <c r="I377" s="1"/>
      <c r="J377" s="1"/>
      <c r="K377" s="1">
        <v>17000</v>
      </c>
      <c r="L377" s="2">
        <v>45341</v>
      </c>
    </row>
    <row r="378" spans="1:12" x14ac:dyDescent="0.35">
      <c r="A378" s="1" t="s">
        <v>587</v>
      </c>
      <c r="B378" s="1" t="s">
        <v>173</v>
      </c>
      <c r="C378" s="1" t="s">
        <v>44</v>
      </c>
      <c r="D378" s="1" t="s">
        <v>45</v>
      </c>
      <c r="E378" s="1" t="s">
        <v>16</v>
      </c>
      <c r="F378" s="1" t="s">
        <v>39</v>
      </c>
      <c r="G378" s="1" t="s">
        <v>18</v>
      </c>
      <c r="H378" s="1">
        <v>13807</v>
      </c>
      <c r="I378" s="1"/>
      <c r="J378" s="1"/>
      <c r="K378" s="1">
        <v>13000</v>
      </c>
      <c r="L378" s="2">
        <v>45302</v>
      </c>
    </row>
    <row r="379" spans="1:12" x14ac:dyDescent="0.35">
      <c r="A379" s="1" t="s">
        <v>588</v>
      </c>
      <c r="B379" s="1" t="s">
        <v>256</v>
      </c>
      <c r="C379" s="1" t="s">
        <v>30</v>
      </c>
      <c r="D379" s="1" t="s">
        <v>31</v>
      </c>
      <c r="E379" s="1" t="s">
        <v>46</v>
      </c>
      <c r="F379" s="1" t="s">
        <v>17</v>
      </c>
      <c r="G379" s="1" t="s">
        <v>18</v>
      </c>
      <c r="H379" s="1">
        <v>15259</v>
      </c>
      <c r="I379" s="1" t="s">
        <v>19</v>
      </c>
      <c r="J379" s="1">
        <v>0.2</v>
      </c>
      <c r="K379" s="1">
        <v>17000</v>
      </c>
      <c r="L379" s="2">
        <v>45319</v>
      </c>
    </row>
    <row r="380" spans="1:12" x14ac:dyDescent="0.35">
      <c r="A380" s="1" t="s">
        <v>589</v>
      </c>
      <c r="B380" s="1" t="s">
        <v>70</v>
      </c>
      <c r="C380" s="1" t="s">
        <v>30</v>
      </c>
      <c r="D380" s="1" t="s">
        <v>31</v>
      </c>
      <c r="E380" s="1" t="s">
        <v>46</v>
      </c>
      <c r="F380" s="1" t="s">
        <v>25</v>
      </c>
      <c r="G380" s="1" t="s">
        <v>36</v>
      </c>
      <c r="H380" s="1">
        <v>16030</v>
      </c>
      <c r="I380" s="1" t="s">
        <v>19</v>
      </c>
      <c r="J380" s="1">
        <v>0.2</v>
      </c>
      <c r="K380" s="1">
        <v>17000</v>
      </c>
      <c r="L380" s="2">
        <v>45338</v>
      </c>
    </row>
    <row r="381" spans="1:12" x14ac:dyDescent="0.35">
      <c r="A381" s="1" t="s">
        <v>590</v>
      </c>
      <c r="B381" s="1" t="s">
        <v>591</v>
      </c>
      <c r="C381" s="1" t="s">
        <v>44</v>
      </c>
      <c r="D381" s="1" t="s">
        <v>45</v>
      </c>
      <c r="E381" s="1" t="s">
        <v>46</v>
      </c>
      <c r="F381" s="1" t="s">
        <v>25</v>
      </c>
      <c r="G381" s="1" t="s">
        <v>18</v>
      </c>
      <c r="H381" s="1">
        <v>12247</v>
      </c>
      <c r="I381" s="1" t="s">
        <v>22</v>
      </c>
      <c r="J381" s="1">
        <v>0.1</v>
      </c>
      <c r="K381" s="1">
        <v>13000</v>
      </c>
      <c r="L381" s="2">
        <v>45352</v>
      </c>
    </row>
    <row r="382" spans="1:12" x14ac:dyDescent="0.35">
      <c r="A382" s="1" t="s">
        <v>592</v>
      </c>
      <c r="B382" s="1" t="s">
        <v>474</v>
      </c>
      <c r="C382" s="1" t="s">
        <v>61</v>
      </c>
      <c r="D382" s="1" t="s">
        <v>62</v>
      </c>
      <c r="E382" s="1" t="s">
        <v>46</v>
      </c>
      <c r="F382" s="1" t="s">
        <v>17</v>
      </c>
      <c r="G382" s="1" t="s">
        <v>36</v>
      </c>
      <c r="H382" s="1">
        <v>8763</v>
      </c>
      <c r="I382" s="1" t="s">
        <v>27</v>
      </c>
      <c r="J382" s="1"/>
      <c r="K382" s="1">
        <v>9000</v>
      </c>
      <c r="L382" s="2">
        <v>45300</v>
      </c>
    </row>
    <row r="383" spans="1:12" x14ac:dyDescent="0.35">
      <c r="A383" s="1" t="s">
        <v>593</v>
      </c>
      <c r="B383" s="1" t="s">
        <v>131</v>
      </c>
      <c r="C383" s="1" t="s">
        <v>44</v>
      </c>
      <c r="D383" s="1" t="s">
        <v>45</v>
      </c>
      <c r="E383" s="1" t="s">
        <v>46</v>
      </c>
      <c r="F383" s="1" t="s">
        <v>17</v>
      </c>
      <c r="G383" s="1" t="s">
        <v>18</v>
      </c>
      <c r="H383" s="1">
        <v>14950</v>
      </c>
      <c r="I383" s="1"/>
      <c r="J383" s="1"/>
      <c r="K383" s="1">
        <v>13000</v>
      </c>
      <c r="L383" s="2">
        <v>45312</v>
      </c>
    </row>
    <row r="384" spans="1:12" x14ac:dyDescent="0.35">
      <c r="A384" s="1" t="s">
        <v>594</v>
      </c>
      <c r="B384" s="1" t="s">
        <v>350</v>
      </c>
      <c r="C384" s="1" t="s">
        <v>61</v>
      </c>
      <c r="D384" s="1" t="s">
        <v>62</v>
      </c>
      <c r="E384" s="1" t="s">
        <v>16</v>
      </c>
      <c r="F384" s="1" t="s">
        <v>25</v>
      </c>
      <c r="G384" s="1" t="s">
        <v>36</v>
      </c>
      <c r="H384" s="1">
        <v>8540</v>
      </c>
      <c r="I384" s="1" t="s">
        <v>33</v>
      </c>
      <c r="J384" s="1">
        <v>0.3</v>
      </c>
      <c r="K384" s="1">
        <v>9000</v>
      </c>
      <c r="L384" s="2">
        <v>45344</v>
      </c>
    </row>
    <row r="385" spans="1:12" x14ac:dyDescent="0.35">
      <c r="A385" s="1" t="s">
        <v>595</v>
      </c>
      <c r="B385" s="1" t="s">
        <v>180</v>
      </c>
      <c r="C385" s="1" t="s">
        <v>30</v>
      </c>
      <c r="D385" s="1" t="s">
        <v>31</v>
      </c>
      <c r="E385" s="1" t="s">
        <v>32</v>
      </c>
      <c r="F385" s="1" t="s">
        <v>39</v>
      </c>
      <c r="G385" s="1" t="s">
        <v>18</v>
      </c>
      <c r="H385" s="1">
        <v>17425</v>
      </c>
      <c r="I385" s="1" t="s">
        <v>27</v>
      </c>
      <c r="J385" s="1"/>
      <c r="K385" s="1">
        <v>17000</v>
      </c>
      <c r="L385" s="2">
        <v>45303</v>
      </c>
    </row>
    <row r="386" spans="1:12" x14ac:dyDescent="0.35">
      <c r="A386" s="1" t="s">
        <v>596</v>
      </c>
      <c r="B386" s="1" t="s">
        <v>270</v>
      </c>
      <c r="C386" s="1" t="s">
        <v>14</v>
      </c>
      <c r="D386" s="1" t="s">
        <v>15</v>
      </c>
      <c r="E386" s="1" t="s">
        <v>16</v>
      </c>
      <c r="F386" s="1" t="s">
        <v>17</v>
      </c>
      <c r="G386" s="1" t="s">
        <v>26</v>
      </c>
      <c r="H386" s="1">
        <v>12858</v>
      </c>
      <c r="I386" s="1"/>
      <c r="J386" s="1"/>
      <c r="K386" s="1">
        <v>14000</v>
      </c>
      <c r="L386" s="2">
        <v>45343</v>
      </c>
    </row>
    <row r="387" spans="1:12" x14ac:dyDescent="0.35">
      <c r="A387" s="1" t="s">
        <v>597</v>
      </c>
      <c r="B387" s="1" t="s">
        <v>142</v>
      </c>
      <c r="C387" s="1" t="s">
        <v>14</v>
      </c>
      <c r="D387" s="1" t="s">
        <v>15</v>
      </c>
      <c r="E387" s="1" t="s">
        <v>46</v>
      </c>
      <c r="F387" s="1" t="s">
        <v>39</v>
      </c>
      <c r="G387" s="1" t="s">
        <v>36</v>
      </c>
      <c r="H387" s="1">
        <v>12570</v>
      </c>
      <c r="I387" s="1" t="s">
        <v>33</v>
      </c>
      <c r="J387" s="1">
        <v>0.3</v>
      </c>
      <c r="K387" s="1">
        <v>14000</v>
      </c>
      <c r="L387" s="2">
        <v>45307</v>
      </c>
    </row>
    <row r="388" spans="1:12" x14ac:dyDescent="0.35">
      <c r="A388" s="1" t="s">
        <v>598</v>
      </c>
      <c r="B388" s="1" t="s">
        <v>286</v>
      </c>
      <c r="C388" s="1" t="s">
        <v>44</v>
      </c>
      <c r="D388" s="1" t="s">
        <v>45</v>
      </c>
      <c r="E388" s="1" t="s">
        <v>16</v>
      </c>
      <c r="F388" s="1" t="s">
        <v>17</v>
      </c>
      <c r="G388" s="1" t="s">
        <v>36</v>
      </c>
      <c r="H388" s="1">
        <v>11302</v>
      </c>
      <c r="I388" s="1"/>
      <c r="J388" s="1"/>
      <c r="K388" s="1">
        <v>13000</v>
      </c>
      <c r="L388" s="2">
        <v>45330</v>
      </c>
    </row>
    <row r="389" spans="1:12" x14ac:dyDescent="0.35">
      <c r="A389" s="1" t="s">
        <v>599</v>
      </c>
      <c r="B389" s="1" t="s">
        <v>600</v>
      </c>
      <c r="C389" s="1" t="s">
        <v>61</v>
      </c>
      <c r="D389" s="1" t="s">
        <v>62</v>
      </c>
      <c r="E389" s="1" t="s">
        <v>16</v>
      </c>
      <c r="F389" s="1" t="s">
        <v>39</v>
      </c>
      <c r="G389" s="1" t="s">
        <v>26</v>
      </c>
      <c r="H389" s="1">
        <v>8713</v>
      </c>
      <c r="I389" s="1" t="s">
        <v>27</v>
      </c>
      <c r="J389" s="1"/>
      <c r="K389" s="1">
        <v>9000</v>
      </c>
      <c r="L389" s="2">
        <v>45294</v>
      </c>
    </row>
    <row r="390" spans="1:12" x14ac:dyDescent="0.35">
      <c r="A390" s="1" t="s">
        <v>601</v>
      </c>
      <c r="B390" s="1" t="s">
        <v>602</v>
      </c>
      <c r="C390" s="1" t="s">
        <v>14</v>
      </c>
      <c r="D390" s="1" t="s">
        <v>15</v>
      </c>
      <c r="E390" s="1" t="s">
        <v>32</v>
      </c>
      <c r="F390" s="1" t="s">
        <v>25</v>
      </c>
      <c r="G390" s="1" t="s">
        <v>26</v>
      </c>
      <c r="H390" s="1">
        <v>14722</v>
      </c>
      <c r="I390" s="1" t="s">
        <v>33</v>
      </c>
      <c r="J390" s="1">
        <v>0.3</v>
      </c>
      <c r="K390" s="1">
        <v>14000</v>
      </c>
      <c r="L390" s="2">
        <v>45302</v>
      </c>
    </row>
    <row r="391" spans="1:12" x14ac:dyDescent="0.35">
      <c r="A391" s="1" t="s">
        <v>603</v>
      </c>
      <c r="B391" s="1" t="s">
        <v>163</v>
      </c>
      <c r="C391" s="1" t="s">
        <v>14</v>
      </c>
      <c r="D391" s="1" t="s">
        <v>15</v>
      </c>
      <c r="E391" s="1" t="s">
        <v>16</v>
      </c>
      <c r="F391" s="1" t="s">
        <v>39</v>
      </c>
      <c r="G391" s="1" t="s">
        <v>26</v>
      </c>
      <c r="H391" s="1">
        <v>14649</v>
      </c>
      <c r="I391" s="1"/>
      <c r="J391" s="1"/>
      <c r="K391" s="1">
        <v>14000</v>
      </c>
      <c r="L391" s="2">
        <v>45340</v>
      </c>
    </row>
    <row r="392" spans="1:12" x14ac:dyDescent="0.35">
      <c r="A392" s="1" t="s">
        <v>604</v>
      </c>
      <c r="B392" s="1" t="s">
        <v>478</v>
      </c>
      <c r="C392" s="1" t="s">
        <v>61</v>
      </c>
      <c r="D392" s="1" t="s">
        <v>62</v>
      </c>
      <c r="E392" s="1" t="s">
        <v>32</v>
      </c>
      <c r="F392" s="1" t="s">
        <v>25</v>
      </c>
      <c r="G392" s="1" t="s">
        <v>18</v>
      </c>
      <c r="H392" s="1">
        <v>8059</v>
      </c>
      <c r="I392" s="1" t="s">
        <v>19</v>
      </c>
      <c r="J392" s="1">
        <v>0.2</v>
      </c>
      <c r="K392" s="1">
        <v>9000</v>
      </c>
      <c r="L392" s="2">
        <v>45324</v>
      </c>
    </row>
    <row r="393" spans="1:12" x14ac:dyDescent="0.35">
      <c r="A393" s="1" t="s">
        <v>605</v>
      </c>
      <c r="B393" s="1" t="s">
        <v>103</v>
      </c>
      <c r="C393" s="1" t="s">
        <v>44</v>
      </c>
      <c r="D393" s="1" t="s">
        <v>45</v>
      </c>
      <c r="E393" s="1" t="s">
        <v>46</v>
      </c>
      <c r="F393" s="1" t="s">
        <v>17</v>
      </c>
      <c r="G393" s="1" t="s">
        <v>36</v>
      </c>
      <c r="H393" s="1">
        <v>12896</v>
      </c>
      <c r="I393" s="1" t="s">
        <v>27</v>
      </c>
      <c r="J393" s="1"/>
      <c r="K393" s="1">
        <v>13000</v>
      </c>
      <c r="L393" s="2">
        <v>45336</v>
      </c>
    </row>
    <row r="394" spans="1:12" x14ac:dyDescent="0.35">
      <c r="A394" s="1" t="s">
        <v>606</v>
      </c>
      <c r="B394" s="1" t="s">
        <v>80</v>
      </c>
      <c r="C394" s="1" t="s">
        <v>30</v>
      </c>
      <c r="D394" s="1" t="s">
        <v>31</v>
      </c>
      <c r="E394" s="1" t="s">
        <v>32</v>
      </c>
      <c r="F394" s="1" t="s">
        <v>17</v>
      </c>
      <c r="G394" s="1" t="s">
        <v>18</v>
      </c>
      <c r="H394" s="1">
        <v>16210</v>
      </c>
      <c r="I394" s="1"/>
      <c r="J394" s="1"/>
      <c r="K394" s="1">
        <v>17000</v>
      </c>
      <c r="L394" s="2">
        <v>45350</v>
      </c>
    </row>
    <row r="395" spans="1:12" x14ac:dyDescent="0.35">
      <c r="A395" s="1" t="s">
        <v>607</v>
      </c>
      <c r="B395" s="1" t="s">
        <v>78</v>
      </c>
      <c r="C395" s="1" t="s">
        <v>44</v>
      </c>
      <c r="D395" s="1" t="s">
        <v>45</v>
      </c>
      <c r="E395" s="1" t="s">
        <v>46</v>
      </c>
      <c r="F395" s="1" t="s">
        <v>17</v>
      </c>
      <c r="G395" s="1" t="s">
        <v>36</v>
      </c>
      <c r="H395" s="1">
        <v>12865</v>
      </c>
      <c r="I395" s="1" t="s">
        <v>19</v>
      </c>
      <c r="J395" s="1">
        <v>0.2</v>
      </c>
      <c r="K395" s="1">
        <v>13000</v>
      </c>
      <c r="L395" s="2">
        <v>45325</v>
      </c>
    </row>
    <row r="396" spans="1:12" x14ac:dyDescent="0.35">
      <c r="A396" s="1" t="s">
        <v>608</v>
      </c>
      <c r="B396" s="1" t="s">
        <v>188</v>
      </c>
      <c r="C396" s="1" t="s">
        <v>61</v>
      </c>
      <c r="D396" s="1" t="s">
        <v>62</v>
      </c>
      <c r="E396" s="1" t="s">
        <v>32</v>
      </c>
      <c r="F396" s="1" t="s">
        <v>17</v>
      </c>
      <c r="G396" s="1" t="s">
        <v>26</v>
      </c>
      <c r="H396" s="1">
        <v>9853</v>
      </c>
      <c r="I396" s="1"/>
      <c r="J396" s="1"/>
      <c r="K396" s="1">
        <v>9000</v>
      </c>
      <c r="L396" s="2">
        <v>45312</v>
      </c>
    </row>
    <row r="397" spans="1:12" x14ac:dyDescent="0.35">
      <c r="A397" s="1" t="s">
        <v>609</v>
      </c>
      <c r="B397" s="1" t="s">
        <v>263</v>
      </c>
      <c r="C397" s="1" t="s">
        <v>14</v>
      </c>
      <c r="D397" s="1" t="s">
        <v>15</v>
      </c>
      <c r="E397" s="1" t="s">
        <v>16</v>
      </c>
      <c r="F397" s="1" t="s">
        <v>25</v>
      </c>
      <c r="G397" s="1" t="s">
        <v>18</v>
      </c>
      <c r="H397" s="1">
        <v>15478</v>
      </c>
      <c r="I397" s="1" t="s">
        <v>33</v>
      </c>
      <c r="J397" s="1">
        <v>0.3</v>
      </c>
      <c r="K397" s="1">
        <v>14000</v>
      </c>
      <c r="L397" s="2">
        <v>45333</v>
      </c>
    </row>
    <row r="398" spans="1:12" x14ac:dyDescent="0.35">
      <c r="A398" s="1" t="s">
        <v>610</v>
      </c>
      <c r="B398" s="1" t="s">
        <v>21</v>
      </c>
      <c r="C398" s="1" t="s">
        <v>44</v>
      </c>
      <c r="D398" s="1" t="s">
        <v>45</v>
      </c>
      <c r="E398" s="1" t="s">
        <v>16</v>
      </c>
      <c r="F398" s="1" t="s">
        <v>25</v>
      </c>
      <c r="G398" s="1" t="s">
        <v>26</v>
      </c>
      <c r="H398" s="1">
        <v>11714</v>
      </c>
      <c r="I398" s="1" t="s">
        <v>27</v>
      </c>
      <c r="J398" s="1"/>
      <c r="K398" s="1">
        <v>13000</v>
      </c>
      <c r="L398" s="2">
        <v>45302</v>
      </c>
    </row>
    <row r="399" spans="1:12" x14ac:dyDescent="0.35">
      <c r="A399" s="1" t="s">
        <v>611</v>
      </c>
      <c r="B399" s="1" t="s">
        <v>301</v>
      </c>
      <c r="C399" s="1" t="s">
        <v>61</v>
      </c>
      <c r="D399" s="1" t="s">
        <v>62</v>
      </c>
      <c r="E399" s="1" t="s">
        <v>46</v>
      </c>
      <c r="F399" s="1" t="s">
        <v>25</v>
      </c>
      <c r="G399" s="1" t="s">
        <v>36</v>
      </c>
      <c r="H399" s="1">
        <v>9579</v>
      </c>
      <c r="I399" s="1" t="s">
        <v>19</v>
      </c>
      <c r="J399" s="1">
        <v>0.2</v>
      </c>
      <c r="K399" s="1">
        <v>9000</v>
      </c>
      <c r="L399" s="2">
        <v>45303</v>
      </c>
    </row>
    <row r="400" spans="1:12" x14ac:dyDescent="0.35">
      <c r="A400" s="1" t="s">
        <v>612</v>
      </c>
      <c r="B400" s="1" t="s">
        <v>92</v>
      </c>
      <c r="C400" s="1" t="s">
        <v>61</v>
      </c>
      <c r="D400" s="1" t="s">
        <v>62</v>
      </c>
      <c r="E400" s="1" t="s">
        <v>46</v>
      </c>
      <c r="F400" s="1" t="s">
        <v>25</v>
      </c>
      <c r="G400" s="1" t="s">
        <v>26</v>
      </c>
      <c r="H400" s="1">
        <v>9515</v>
      </c>
      <c r="I400" s="1" t="s">
        <v>19</v>
      </c>
      <c r="J400" s="1">
        <v>0.2</v>
      </c>
      <c r="K400" s="1">
        <v>9000</v>
      </c>
      <c r="L400" s="2">
        <v>45320</v>
      </c>
    </row>
    <row r="401" spans="1:12" x14ac:dyDescent="0.35">
      <c r="A401" s="1" t="s">
        <v>613</v>
      </c>
      <c r="B401" s="1" t="s">
        <v>337</v>
      </c>
      <c r="C401" s="1" t="s">
        <v>61</v>
      </c>
      <c r="D401" s="1" t="s">
        <v>62</v>
      </c>
      <c r="E401" s="1" t="s">
        <v>32</v>
      </c>
      <c r="F401" s="1" t="s">
        <v>39</v>
      </c>
      <c r="G401" s="1" t="s">
        <v>18</v>
      </c>
      <c r="H401" s="1">
        <v>7842</v>
      </c>
      <c r="I401" s="1" t="s">
        <v>33</v>
      </c>
      <c r="J401" s="1">
        <v>0.3</v>
      </c>
      <c r="K401" s="1">
        <v>9000</v>
      </c>
      <c r="L401" s="2">
        <v>45340</v>
      </c>
    </row>
    <row r="402" spans="1:12" x14ac:dyDescent="0.35">
      <c r="A402" s="1" t="s">
        <v>614</v>
      </c>
      <c r="B402" s="1" t="s">
        <v>276</v>
      </c>
      <c r="C402" s="1" t="s">
        <v>14</v>
      </c>
      <c r="D402" s="1" t="s">
        <v>15</v>
      </c>
      <c r="E402" s="1" t="s">
        <v>16</v>
      </c>
      <c r="F402" s="1" t="s">
        <v>25</v>
      </c>
      <c r="G402" s="1" t="s">
        <v>26</v>
      </c>
      <c r="H402" s="1">
        <v>12765</v>
      </c>
      <c r="I402" s="1" t="s">
        <v>33</v>
      </c>
      <c r="J402" s="1">
        <v>0.3</v>
      </c>
      <c r="K402" s="1">
        <v>14000</v>
      </c>
      <c r="L402" s="2">
        <v>45312</v>
      </c>
    </row>
    <row r="403" spans="1:12" x14ac:dyDescent="0.35">
      <c r="A403" s="1" t="s">
        <v>615</v>
      </c>
      <c r="B403" s="1" t="s">
        <v>29</v>
      </c>
      <c r="C403" s="1" t="s">
        <v>14</v>
      </c>
      <c r="D403" s="1" t="s">
        <v>15</v>
      </c>
      <c r="E403" s="1" t="s">
        <v>46</v>
      </c>
      <c r="F403" s="1" t="s">
        <v>39</v>
      </c>
      <c r="G403" s="1" t="s">
        <v>36</v>
      </c>
      <c r="H403" s="1">
        <v>14161</v>
      </c>
      <c r="I403" s="1" t="s">
        <v>33</v>
      </c>
      <c r="J403" s="1">
        <v>0.3</v>
      </c>
      <c r="K403" s="1">
        <v>14000</v>
      </c>
      <c r="L403" s="2">
        <v>45330</v>
      </c>
    </row>
    <row r="404" spans="1:12" x14ac:dyDescent="0.35">
      <c r="A404" s="1" t="s">
        <v>616</v>
      </c>
      <c r="B404" s="1" t="s">
        <v>617</v>
      </c>
      <c r="C404" s="1" t="s">
        <v>61</v>
      </c>
      <c r="D404" s="1" t="s">
        <v>62</v>
      </c>
      <c r="E404" s="1" t="s">
        <v>16</v>
      </c>
      <c r="F404" s="1" t="s">
        <v>25</v>
      </c>
      <c r="G404" s="1" t="s">
        <v>36</v>
      </c>
      <c r="H404" s="1">
        <v>8441</v>
      </c>
      <c r="I404" s="1"/>
      <c r="J404" s="1"/>
      <c r="K404" s="1">
        <v>9000</v>
      </c>
      <c r="L404" s="2">
        <v>45331</v>
      </c>
    </row>
    <row r="405" spans="1:12" x14ac:dyDescent="0.35">
      <c r="A405" s="1" t="s">
        <v>618</v>
      </c>
      <c r="B405" s="1" t="s">
        <v>619</v>
      </c>
      <c r="C405" s="1" t="s">
        <v>30</v>
      </c>
      <c r="D405" s="1" t="s">
        <v>31</v>
      </c>
      <c r="E405" s="1" t="s">
        <v>16</v>
      </c>
      <c r="F405" s="1" t="s">
        <v>39</v>
      </c>
      <c r="G405" s="1" t="s">
        <v>18</v>
      </c>
      <c r="H405" s="1">
        <v>17752</v>
      </c>
      <c r="I405" s="1" t="s">
        <v>19</v>
      </c>
      <c r="J405" s="1">
        <v>0.2</v>
      </c>
      <c r="K405" s="1">
        <v>17000</v>
      </c>
      <c r="L405" s="2">
        <v>45312</v>
      </c>
    </row>
    <row r="406" spans="1:12" x14ac:dyDescent="0.35">
      <c r="A406" s="1" t="s">
        <v>620</v>
      </c>
      <c r="B406" s="1" t="s">
        <v>248</v>
      </c>
      <c r="C406" s="1" t="s">
        <v>30</v>
      </c>
      <c r="D406" s="1" t="s">
        <v>31</v>
      </c>
      <c r="E406" s="1" t="s">
        <v>32</v>
      </c>
      <c r="F406" s="1" t="s">
        <v>25</v>
      </c>
      <c r="G406" s="1" t="s">
        <v>36</v>
      </c>
      <c r="H406" s="1">
        <v>17840</v>
      </c>
      <c r="I406" s="1" t="s">
        <v>19</v>
      </c>
      <c r="J406" s="1">
        <v>0.2</v>
      </c>
      <c r="K406" s="1">
        <v>17000</v>
      </c>
      <c r="L406" s="2">
        <v>45324</v>
      </c>
    </row>
    <row r="407" spans="1:12" x14ac:dyDescent="0.35">
      <c r="A407" s="1" t="s">
        <v>621</v>
      </c>
      <c r="B407" s="1" t="s">
        <v>177</v>
      </c>
      <c r="C407" s="1" t="s">
        <v>44</v>
      </c>
      <c r="D407" s="1" t="s">
        <v>45</v>
      </c>
      <c r="E407" s="1" t="s">
        <v>16</v>
      </c>
      <c r="F407" s="1" t="s">
        <v>17</v>
      </c>
      <c r="G407" s="1" t="s">
        <v>36</v>
      </c>
      <c r="H407" s="1">
        <v>11760</v>
      </c>
      <c r="I407" s="1"/>
      <c r="J407" s="1"/>
      <c r="K407" s="1">
        <v>13000</v>
      </c>
      <c r="L407" s="2">
        <v>45332</v>
      </c>
    </row>
    <row r="408" spans="1:12" x14ac:dyDescent="0.35">
      <c r="A408" s="1" t="s">
        <v>622</v>
      </c>
      <c r="B408" s="1" t="s">
        <v>548</v>
      </c>
      <c r="C408" s="1" t="s">
        <v>44</v>
      </c>
      <c r="D408" s="1" t="s">
        <v>45</v>
      </c>
      <c r="E408" s="1" t="s">
        <v>16</v>
      </c>
      <c r="F408" s="1" t="s">
        <v>25</v>
      </c>
      <c r="G408" s="1" t="s">
        <v>36</v>
      </c>
      <c r="H408" s="1">
        <v>12183</v>
      </c>
      <c r="I408" s="1" t="s">
        <v>19</v>
      </c>
      <c r="J408" s="1">
        <v>0.2</v>
      </c>
      <c r="K408" s="1">
        <v>13000</v>
      </c>
      <c r="L408" s="2">
        <v>45303</v>
      </c>
    </row>
    <row r="409" spans="1:12" x14ac:dyDescent="0.35">
      <c r="A409" s="1" t="s">
        <v>623</v>
      </c>
      <c r="B409" s="1" t="s">
        <v>624</v>
      </c>
      <c r="C409" s="1" t="s">
        <v>61</v>
      </c>
      <c r="D409" s="1" t="s">
        <v>62</v>
      </c>
      <c r="E409" s="1" t="s">
        <v>16</v>
      </c>
      <c r="F409" s="1" t="s">
        <v>25</v>
      </c>
      <c r="G409" s="1" t="s">
        <v>36</v>
      </c>
      <c r="H409" s="1">
        <v>10898</v>
      </c>
      <c r="I409" s="1" t="s">
        <v>22</v>
      </c>
      <c r="J409" s="1">
        <v>0.1</v>
      </c>
      <c r="K409" s="1">
        <v>9000</v>
      </c>
      <c r="L409" s="2">
        <v>45323</v>
      </c>
    </row>
    <row r="410" spans="1:12" x14ac:dyDescent="0.35">
      <c r="A410" s="1" t="s">
        <v>625</v>
      </c>
      <c r="B410" s="1" t="s">
        <v>35</v>
      </c>
      <c r="C410" s="1" t="s">
        <v>61</v>
      </c>
      <c r="D410" s="1" t="s">
        <v>62</v>
      </c>
      <c r="E410" s="1" t="s">
        <v>16</v>
      </c>
      <c r="F410" s="1" t="s">
        <v>39</v>
      </c>
      <c r="G410" s="1" t="s">
        <v>26</v>
      </c>
      <c r="H410" s="1">
        <v>9027</v>
      </c>
      <c r="I410" s="1"/>
      <c r="J410" s="1"/>
      <c r="K410" s="1">
        <v>9000</v>
      </c>
      <c r="L410" s="2">
        <v>45335</v>
      </c>
    </row>
    <row r="411" spans="1:12" x14ac:dyDescent="0.35">
      <c r="A411" s="1" t="s">
        <v>626</v>
      </c>
      <c r="B411" s="1" t="s">
        <v>52</v>
      </c>
      <c r="C411" s="1" t="s">
        <v>61</v>
      </c>
      <c r="D411" s="1" t="s">
        <v>62</v>
      </c>
      <c r="E411" s="1" t="s">
        <v>46</v>
      </c>
      <c r="F411" s="1" t="s">
        <v>25</v>
      </c>
      <c r="G411" s="1" t="s">
        <v>18</v>
      </c>
      <c r="H411" s="1">
        <v>9315</v>
      </c>
      <c r="I411" s="1" t="s">
        <v>22</v>
      </c>
      <c r="J411" s="1">
        <v>0.1</v>
      </c>
      <c r="K411" s="1">
        <v>9000</v>
      </c>
      <c r="L411" s="2">
        <v>45342</v>
      </c>
    </row>
    <row r="412" spans="1:12" x14ac:dyDescent="0.35">
      <c r="A412" s="1" t="s">
        <v>627</v>
      </c>
      <c r="B412" s="1" t="s">
        <v>294</v>
      </c>
      <c r="C412" s="1" t="s">
        <v>30</v>
      </c>
      <c r="D412" s="1" t="s">
        <v>31</v>
      </c>
      <c r="E412" s="1" t="s">
        <v>32</v>
      </c>
      <c r="F412" s="1" t="s">
        <v>17</v>
      </c>
      <c r="G412" s="1" t="s">
        <v>18</v>
      </c>
      <c r="H412" s="1">
        <v>17202</v>
      </c>
      <c r="I412" s="1" t="s">
        <v>33</v>
      </c>
      <c r="J412" s="1">
        <v>0.3</v>
      </c>
      <c r="K412" s="1">
        <v>17000</v>
      </c>
      <c r="L412" s="2">
        <v>45302</v>
      </c>
    </row>
    <row r="413" spans="1:12" x14ac:dyDescent="0.35">
      <c r="A413" s="1" t="s">
        <v>628</v>
      </c>
      <c r="B413" s="1" t="s">
        <v>298</v>
      </c>
      <c r="C413" s="1" t="s">
        <v>61</v>
      </c>
      <c r="D413" s="1" t="s">
        <v>62</v>
      </c>
      <c r="E413" s="1" t="s">
        <v>16</v>
      </c>
      <c r="F413" s="1" t="s">
        <v>39</v>
      </c>
      <c r="G413" s="1" t="s">
        <v>18</v>
      </c>
      <c r="H413" s="1">
        <v>9345</v>
      </c>
      <c r="I413" s="1" t="s">
        <v>22</v>
      </c>
      <c r="J413" s="1">
        <v>0.1</v>
      </c>
      <c r="K413" s="1">
        <v>9000</v>
      </c>
      <c r="L413" s="2">
        <v>45309</v>
      </c>
    </row>
    <row r="414" spans="1:12" x14ac:dyDescent="0.35">
      <c r="A414" s="1" t="s">
        <v>629</v>
      </c>
      <c r="B414" s="1" t="s">
        <v>133</v>
      </c>
      <c r="C414" s="1" t="s">
        <v>30</v>
      </c>
      <c r="D414" s="1" t="s">
        <v>31</v>
      </c>
      <c r="E414" s="1" t="s">
        <v>16</v>
      </c>
      <c r="F414" s="1" t="s">
        <v>25</v>
      </c>
      <c r="G414" s="1" t="s">
        <v>26</v>
      </c>
      <c r="H414" s="1">
        <v>16807</v>
      </c>
      <c r="I414" s="1" t="s">
        <v>27</v>
      </c>
      <c r="J414" s="1"/>
      <c r="K414" s="1">
        <v>17000</v>
      </c>
      <c r="L414" s="2">
        <v>45305</v>
      </c>
    </row>
    <row r="415" spans="1:12" x14ac:dyDescent="0.35">
      <c r="A415" s="1" t="s">
        <v>630</v>
      </c>
      <c r="B415" s="1" t="s">
        <v>41</v>
      </c>
      <c r="C415" s="1" t="s">
        <v>44</v>
      </c>
      <c r="D415" s="1" t="s">
        <v>45</v>
      </c>
      <c r="E415" s="1" t="s">
        <v>46</v>
      </c>
      <c r="F415" s="1" t="s">
        <v>25</v>
      </c>
      <c r="G415" s="1" t="s">
        <v>36</v>
      </c>
      <c r="H415" s="1">
        <v>12076</v>
      </c>
      <c r="I415" s="1" t="s">
        <v>33</v>
      </c>
      <c r="J415" s="1">
        <v>0.3</v>
      </c>
      <c r="K415" s="1">
        <v>13000</v>
      </c>
      <c r="L415" s="2">
        <v>45347</v>
      </c>
    </row>
    <row r="416" spans="1:12" x14ac:dyDescent="0.35">
      <c r="A416" s="1" t="s">
        <v>631</v>
      </c>
      <c r="B416" s="1" t="s">
        <v>96</v>
      </c>
      <c r="C416" s="1" t="s">
        <v>61</v>
      </c>
      <c r="D416" s="1" t="s">
        <v>62</v>
      </c>
      <c r="E416" s="1" t="s">
        <v>32</v>
      </c>
      <c r="F416" s="1" t="s">
        <v>25</v>
      </c>
      <c r="G416" s="1" t="s">
        <v>18</v>
      </c>
      <c r="H416" s="1">
        <v>10320</v>
      </c>
      <c r="I416" s="1" t="s">
        <v>27</v>
      </c>
      <c r="J416" s="1"/>
      <c r="K416" s="1">
        <v>9000</v>
      </c>
      <c r="L416" s="2">
        <v>45336</v>
      </c>
    </row>
    <row r="417" spans="1:12" x14ac:dyDescent="0.35">
      <c r="A417" s="1" t="s">
        <v>632</v>
      </c>
      <c r="B417" s="1" t="s">
        <v>624</v>
      </c>
      <c r="C417" s="1" t="s">
        <v>61</v>
      </c>
      <c r="D417" s="1" t="s">
        <v>62</v>
      </c>
      <c r="E417" s="1" t="s">
        <v>32</v>
      </c>
      <c r="F417" s="1" t="s">
        <v>39</v>
      </c>
      <c r="G417" s="1" t="s">
        <v>18</v>
      </c>
      <c r="H417" s="1">
        <v>10214</v>
      </c>
      <c r="I417" s="1" t="s">
        <v>19</v>
      </c>
      <c r="J417" s="1">
        <v>0.2</v>
      </c>
      <c r="K417" s="1">
        <v>9000</v>
      </c>
      <c r="L417" s="2">
        <v>45344</v>
      </c>
    </row>
    <row r="418" spans="1:12" x14ac:dyDescent="0.35">
      <c r="A418" s="1" t="s">
        <v>633</v>
      </c>
      <c r="B418" s="1" t="s">
        <v>401</v>
      </c>
      <c r="C418" s="1" t="s">
        <v>14</v>
      </c>
      <c r="D418" s="1" t="s">
        <v>15</v>
      </c>
      <c r="E418" s="1" t="s">
        <v>16</v>
      </c>
      <c r="F418" s="1" t="s">
        <v>17</v>
      </c>
      <c r="G418" s="1" t="s">
        <v>26</v>
      </c>
      <c r="H418" s="1">
        <v>13151</v>
      </c>
      <c r="I418" s="1" t="s">
        <v>27</v>
      </c>
      <c r="J418" s="1"/>
      <c r="K418" s="1">
        <v>14000</v>
      </c>
      <c r="L418" s="2">
        <v>45326</v>
      </c>
    </row>
    <row r="419" spans="1:12" x14ac:dyDescent="0.35">
      <c r="A419" s="1" t="s">
        <v>634</v>
      </c>
      <c r="B419" s="1" t="s">
        <v>74</v>
      </c>
      <c r="C419" s="1" t="s">
        <v>30</v>
      </c>
      <c r="D419" s="1" t="s">
        <v>31</v>
      </c>
      <c r="E419" s="1" t="s">
        <v>46</v>
      </c>
      <c r="F419" s="1" t="s">
        <v>39</v>
      </c>
      <c r="G419" s="1" t="s">
        <v>36</v>
      </c>
      <c r="H419" s="1">
        <v>18901</v>
      </c>
      <c r="I419" s="1" t="s">
        <v>27</v>
      </c>
      <c r="J419" s="1"/>
      <c r="K419" s="1">
        <v>17000</v>
      </c>
      <c r="L419" s="2">
        <v>45349</v>
      </c>
    </row>
    <row r="420" spans="1:12" x14ac:dyDescent="0.35">
      <c r="A420" s="1" t="s">
        <v>635</v>
      </c>
      <c r="B420" s="1" t="s">
        <v>204</v>
      </c>
      <c r="C420" s="1" t="s">
        <v>14</v>
      </c>
      <c r="D420" s="1" t="s">
        <v>15</v>
      </c>
      <c r="E420" s="1" t="s">
        <v>32</v>
      </c>
      <c r="F420" s="1" t="s">
        <v>17</v>
      </c>
      <c r="G420" s="1" t="s">
        <v>18</v>
      </c>
      <c r="H420" s="1">
        <v>13135</v>
      </c>
      <c r="I420" s="1" t="s">
        <v>19</v>
      </c>
      <c r="J420" s="1">
        <v>0.2</v>
      </c>
      <c r="K420" s="1">
        <v>14000</v>
      </c>
      <c r="L420" s="2">
        <v>45336</v>
      </c>
    </row>
    <row r="421" spans="1:12" x14ac:dyDescent="0.35">
      <c r="A421" s="1" t="s">
        <v>636</v>
      </c>
      <c r="B421" s="1" t="s">
        <v>412</v>
      </c>
      <c r="C421" s="1" t="s">
        <v>44</v>
      </c>
      <c r="D421" s="1" t="s">
        <v>45</v>
      </c>
      <c r="E421" s="1" t="s">
        <v>32</v>
      </c>
      <c r="F421" s="1" t="s">
        <v>39</v>
      </c>
      <c r="G421" s="1" t="s">
        <v>36</v>
      </c>
      <c r="H421" s="1">
        <v>14393</v>
      </c>
      <c r="I421" s="1" t="s">
        <v>19</v>
      </c>
      <c r="J421" s="1">
        <v>0.2</v>
      </c>
      <c r="K421" s="1">
        <v>13000</v>
      </c>
      <c r="L421" s="2">
        <v>45340</v>
      </c>
    </row>
    <row r="422" spans="1:12" x14ac:dyDescent="0.35">
      <c r="A422" s="1" t="s">
        <v>637</v>
      </c>
      <c r="B422" s="1" t="s">
        <v>198</v>
      </c>
      <c r="C422" s="1" t="s">
        <v>61</v>
      </c>
      <c r="D422" s="1" t="s">
        <v>62</v>
      </c>
      <c r="E422" s="1" t="s">
        <v>46</v>
      </c>
      <c r="F422" s="1" t="s">
        <v>25</v>
      </c>
      <c r="G422" s="1" t="s">
        <v>26</v>
      </c>
      <c r="H422" s="1">
        <v>9590</v>
      </c>
      <c r="I422" s="1" t="s">
        <v>33</v>
      </c>
      <c r="J422" s="1">
        <v>0.3</v>
      </c>
      <c r="K422" s="1">
        <v>9000</v>
      </c>
      <c r="L422" s="2">
        <v>45332</v>
      </c>
    </row>
    <row r="423" spans="1:12" x14ac:dyDescent="0.35">
      <c r="A423" s="1" t="s">
        <v>638</v>
      </c>
      <c r="B423" s="1" t="s">
        <v>177</v>
      </c>
      <c r="C423" s="1" t="s">
        <v>61</v>
      </c>
      <c r="D423" s="1" t="s">
        <v>62</v>
      </c>
      <c r="E423" s="1" t="s">
        <v>32</v>
      </c>
      <c r="F423" s="1" t="s">
        <v>39</v>
      </c>
      <c r="G423" s="1" t="s">
        <v>18</v>
      </c>
      <c r="H423" s="1">
        <v>8650</v>
      </c>
      <c r="I423" s="1" t="s">
        <v>27</v>
      </c>
      <c r="J423" s="1"/>
      <c r="K423" s="1">
        <v>9000</v>
      </c>
      <c r="L423" s="2">
        <v>45339</v>
      </c>
    </row>
    <row r="424" spans="1:12" x14ac:dyDescent="0.35">
      <c r="A424" s="1" t="s">
        <v>639</v>
      </c>
      <c r="B424" s="1" t="s">
        <v>350</v>
      </c>
      <c r="C424" s="1" t="s">
        <v>30</v>
      </c>
      <c r="D424" s="1" t="s">
        <v>31</v>
      </c>
      <c r="E424" s="1" t="s">
        <v>46</v>
      </c>
      <c r="F424" s="1" t="s">
        <v>17</v>
      </c>
      <c r="G424" s="1" t="s">
        <v>36</v>
      </c>
      <c r="H424" s="1">
        <v>17383</v>
      </c>
      <c r="I424" s="1" t="s">
        <v>22</v>
      </c>
      <c r="J424" s="1">
        <v>0.1</v>
      </c>
      <c r="K424" s="1">
        <v>17000</v>
      </c>
      <c r="L424" s="2">
        <v>45347</v>
      </c>
    </row>
    <row r="425" spans="1:12" x14ac:dyDescent="0.35">
      <c r="A425" s="1" t="s">
        <v>640</v>
      </c>
      <c r="B425" s="1" t="s">
        <v>140</v>
      </c>
      <c r="C425" s="1" t="s">
        <v>14</v>
      </c>
      <c r="D425" s="1" t="s">
        <v>15</v>
      </c>
      <c r="E425" s="1" t="s">
        <v>16</v>
      </c>
      <c r="F425" s="1" t="s">
        <v>17</v>
      </c>
      <c r="G425" s="1" t="s">
        <v>26</v>
      </c>
      <c r="H425" s="1">
        <v>14720</v>
      </c>
      <c r="I425" s="1" t="s">
        <v>33</v>
      </c>
      <c r="J425" s="1">
        <v>0.3</v>
      </c>
      <c r="K425" s="1">
        <v>14000</v>
      </c>
      <c r="L425" s="2">
        <v>45346</v>
      </c>
    </row>
    <row r="426" spans="1:12" x14ac:dyDescent="0.35">
      <c r="A426" s="1" t="s">
        <v>641</v>
      </c>
      <c r="B426" s="1" t="s">
        <v>200</v>
      </c>
      <c r="C426" s="1" t="s">
        <v>61</v>
      </c>
      <c r="D426" s="1" t="s">
        <v>62</v>
      </c>
      <c r="E426" s="1" t="s">
        <v>32</v>
      </c>
      <c r="F426" s="1" t="s">
        <v>17</v>
      </c>
      <c r="G426" s="1" t="s">
        <v>18</v>
      </c>
      <c r="H426" s="1">
        <v>9026</v>
      </c>
      <c r="I426" s="1" t="s">
        <v>33</v>
      </c>
      <c r="J426" s="1">
        <v>0.3</v>
      </c>
      <c r="K426" s="1">
        <v>9000</v>
      </c>
      <c r="L426" s="2">
        <v>45312</v>
      </c>
    </row>
    <row r="427" spans="1:12" x14ac:dyDescent="0.35">
      <c r="A427" s="1" t="s">
        <v>642</v>
      </c>
      <c r="B427" s="1" t="s">
        <v>643</v>
      </c>
      <c r="C427" s="1" t="s">
        <v>30</v>
      </c>
      <c r="D427" s="1" t="s">
        <v>31</v>
      </c>
      <c r="E427" s="1" t="s">
        <v>16</v>
      </c>
      <c r="F427" s="1" t="s">
        <v>39</v>
      </c>
      <c r="G427" s="1" t="s">
        <v>18</v>
      </c>
      <c r="H427" s="1">
        <v>17318</v>
      </c>
      <c r="I427" s="1"/>
      <c r="J427" s="1"/>
      <c r="K427" s="1">
        <v>17000</v>
      </c>
      <c r="L427" s="2">
        <v>45342</v>
      </c>
    </row>
    <row r="428" spans="1:12" x14ac:dyDescent="0.35">
      <c r="A428" s="1" t="s">
        <v>644</v>
      </c>
      <c r="B428" s="1" t="s">
        <v>150</v>
      </c>
      <c r="C428" s="1" t="s">
        <v>14</v>
      </c>
      <c r="D428" s="1" t="s">
        <v>15</v>
      </c>
      <c r="E428" s="1" t="s">
        <v>32</v>
      </c>
      <c r="F428" s="1" t="s">
        <v>25</v>
      </c>
      <c r="G428" s="1" t="s">
        <v>26</v>
      </c>
      <c r="H428" s="1">
        <v>15210</v>
      </c>
      <c r="I428" s="1"/>
      <c r="J428" s="1"/>
      <c r="K428" s="1">
        <v>14000</v>
      </c>
      <c r="L428" s="2">
        <v>45293</v>
      </c>
    </row>
    <row r="429" spans="1:12" x14ac:dyDescent="0.35">
      <c r="A429" s="1" t="s">
        <v>645</v>
      </c>
      <c r="B429" s="1" t="s">
        <v>159</v>
      </c>
      <c r="C429" s="1" t="s">
        <v>44</v>
      </c>
      <c r="D429" s="1" t="s">
        <v>45</v>
      </c>
      <c r="E429" s="1" t="s">
        <v>46</v>
      </c>
      <c r="F429" s="1" t="s">
        <v>17</v>
      </c>
      <c r="G429" s="1" t="s">
        <v>18</v>
      </c>
      <c r="H429" s="1">
        <v>14924</v>
      </c>
      <c r="I429" s="1"/>
      <c r="J429" s="1"/>
      <c r="K429" s="1">
        <v>13000</v>
      </c>
      <c r="L429" s="2">
        <v>45304</v>
      </c>
    </row>
    <row r="430" spans="1:12" x14ac:dyDescent="0.35">
      <c r="A430" s="1" t="s">
        <v>646</v>
      </c>
      <c r="B430" s="1" t="s">
        <v>153</v>
      </c>
      <c r="C430" s="1" t="s">
        <v>30</v>
      </c>
      <c r="D430" s="1" t="s">
        <v>31</v>
      </c>
      <c r="E430" s="1" t="s">
        <v>32</v>
      </c>
      <c r="F430" s="1" t="s">
        <v>17</v>
      </c>
      <c r="G430" s="1" t="s">
        <v>18</v>
      </c>
      <c r="H430" s="1">
        <v>17681</v>
      </c>
      <c r="I430" s="1" t="s">
        <v>33</v>
      </c>
      <c r="J430" s="1">
        <v>0.3</v>
      </c>
      <c r="K430" s="1">
        <v>17000</v>
      </c>
      <c r="L430" s="2">
        <v>45308</v>
      </c>
    </row>
    <row r="431" spans="1:12" x14ac:dyDescent="0.35">
      <c r="A431" s="1" t="s">
        <v>647</v>
      </c>
      <c r="B431" s="1" t="s">
        <v>432</v>
      </c>
      <c r="C431" s="1" t="s">
        <v>44</v>
      </c>
      <c r="D431" s="1" t="s">
        <v>45</v>
      </c>
      <c r="E431" s="1" t="s">
        <v>32</v>
      </c>
      <c r="F431" s="1" t="s">
        <v>17</v>
      </c>
      <c r="G431" s="1" t="s">
        <v>26</v>
      </c>
      <c r="H431" s="1">
        <v>12251</v>
      </c>
      <c r="I431" s="1" t="s">
        <v>19</v>
      </c>
      <c r="J431" s="1">
        <v>0.2</v>
      </c>
      <c r="K431" s="1">
        <v>13000</v>
      </c>
      <c r="L431" s="2">
        <v>45319</v>
      </c>
    </row>
    <row r="432" spans="1:12" x14ac:dyDescent="0.35">
      <c r="A432" s="1" t="s">
        <v>648</v>
      </c>
      <c r="B432" s="1" t="s">
        <v>13</v>
      </c>
      <c r="C432" s="1" t="s">
        <v>14</v>
      </c>
      <c r="D432" s="1" t="s">
        <v>15</v>
      </c>
      <c r="E432" s="1" t="s">
        <v>32</v>
      </c>
      <c r="F432" s="1" t="s">
        <v>25</v>
      </c>
      <c r="G432" s="1" t="s">
        <v>36</v>
      </c>
      <c r="H432" s="1">
        <v>12319</v>
      </c>
      <c r="I432" s="1" t="s">
        <v>19</v>
      </c>
      <c r="J432" s="1">
        <v>0.2</v>
      </c>
      <c r="K432" s="1">
        <v>14000</v>
      </c>
      <c r="L432" s="2">
        <v>45329</v>
      </c>
    </row>
    <row r="433" spans="1:12" x14ac:dyDescent="0.35">
      <c r="A433" s="1" t="s">
        <v>649</v>
      </c>
      <c r="B433" s="1" t="s">
        <v>24</v>
      </c>
      <c r="C433" s="1" t="s">
        <v>61</v>
      </c>
      <c r="D433" s="1" t="s">
        <v>62</v>
      </c>
      <c r="E433" s="1" t="s">
        <v>32</v>
      </c>
      <c r="F433" s="1" t="s">
        <v>25</v>
      </c>
      <c r="G433" s="1" t="s">
        <v>26</v>
      </c>
      <c r="H433" s="1">
        <v>8407</v>
      </c>
      <c r="I433" s="1" t="s">
        <v>22</v>
      </c>
      <c r="J433" s="1">
        <v>0.1</v>
      </c>
      <c r="K433" s="1">
        <v>9000</v>
      </c>
      <c r="L433" s="2">
        <v>45347</v>
      </c>
    </row>
    <row r="434" spans="1:12" x14ac:dyDescent="0.35">
      <c r="A434" s="1" t="s">
        <v>650</v>
      </c>
      <c r="B434" s="1" t="s">
        <v>101</v>
      </c>
      <c r="C434" s="1" t="s">
        <v>44</v>
      </c>
      <c r="D434" s="1" t="s">
        <v>45</v>
      </c>
      <c r="E434" s="1" t="s">
        <v>46</v>
      </c>
      <c r="F434" s="1" t="s">
        <v>25</v>
      </c>
      <c r="G434" s="1" t="s">
        <v>18</v>
      </c>
      <c r="H434" s="1">
        <v>12569</v>
      </c>
      <c r="I434" s="1" t="s">
        <v>22</v>
      </c>
      <c r="J434" s="1">
        <v>0.1</v>
      </c>
      <c r="K434" s="1">
        <v>13000</v>
      </c>
      <c r="L434" s="2">
        <v>45338</v>
      </c>
    </row>
    <row r="435" spans="1:12" x14ac:dyDescent="0.35">
      <c r="A435" s="1" t="s">
        <v>651</v>
      </c>
      <c r="B435" s="1" t="s">
        <v>652</v>
      </c>
      <c r="C435" s="1" t="s">
        <v>14</v>
      </c>
      <c r="D435" s="1" t="s">
        <v>15</v>
      </c>
      <c r="E435" s="1" t="s">
        <v>46</v>
      </c>
      <c r="F435" s="1" t="s">
        <v>17</v>
      </c>
      <c r="G435" s="1" t="s">
        <v>36</v>
      </c>
      <c r="H435" s="1">
        <v>12561</v>
      </c>
      <c r="I435" s="1"/>
      <c r="J435" s="1"/>
      <c r="K435" s="1">
        <v>14000</v>
      </c>
      <c r="L435" s="2">
        <v>45341</v>
      </c>
    </row>
    <row r="436" spans="1:12" x14ac:dyDescent="0.35">
      <c r="A436" s="1" t="s">
        <v>653</v>
      </c>
      <c r="B436" s="1" t="s">
        <v>393</v>
      </c>
      <c r="C436" s="1" t="s">
        <v>44</v>
      </c>
      <c r="D436" s="1" t="s">
        <v>45</v>
      </c>
      <c r="E436" s="1" t="s">
        <v>16</v>
      </c>
      <c r="F436" s="1" t="s">
        <v>39</v>
      </c>
      <c r="G436" s="1" t="s">
        <v>18</v>
      </c>
      <c r="H436" s="1">
        <v>11280</v>
      </c>
      <c r="I436" s="1" t="s">
        <v>27</v>
      </c>
      <c r="J436" s="1"/>
      <c r="K436" s="1">
        <v>13000</v>
      </c>
      <c r="L436" s="2">
        <v>45328</v>
      </c>
    </row>
    <row r="437" spans="1:12" x14ac:dyDescent="0.35">
      <c r="A437" s="1" t="s">
        <v>654</v>
      </c>
      <c r="B437" s="1" t="s">
        <v>109</v>
      </c>
      <c r="C437" s="1" t="s">
        <v>44</v>
      </c>
      <c r="D437" s="1" t="s">
        <v>45</v>
      </c>
      <c r="E437" s="1" t="s">
        <v>46</v>
      </c>
      <c r="F437" s="1" t="s">
        <v>17</v>
      </c>
      <c r="G437" s="1" t="s">
        <v>26</v>
      </c>
      <c r="H437" s="1">
        <v>11872</v>
      </c>
      <c r="I437" s="1" t="s">
        <v>19</v>
      </c>
      <c r="J437" s="1">
        <v>0.2</v>
      </c>
      <c r="K437" s="1">
        <v>13000</v>
      </c>
      <c r="L437" s="2">
        <v>45350</v>
      </c>
    </row>
    <row r="438" spans="1:12" x14ac:dyDescent="0.35">
      <c r="A438" s="1" t="s">
        <v>655</v>
      </c>
      <c r="B438" s="1" t="s">
        <v>617</v>
      </c>
      <c r="C438" s="1" t="s">
        <v>61</v>
      </c>
      <c r="D438" s="1" t="s">
        <v>62</v>
      </c>
      <c r="E438" s="1" t="s">
        <v>32</v>
      </c>
      <c r="F438" s="1" t="s">
        <v>25</v>
      </c>
      <c r="G438" s="1" t="s">
        <v>18</v>
      </c>
      <c r="H438" s="1">
        <v>7573</v>
      </c>
      <c r="I438" s="1" t="s">
        <v>22</v>
      </c>
      <c r="J438" s="1">
        <v>0.1</v>
      </c>
      <c r="K438" s="1">
        <v>9000</v>
      </c>
      <c r="L438" s="2">
        <v>45329</v>
      </c>
    </row>
    <row r="439" spans="1:12" x14ac:dyDescent="0.35">
      <c r="A439" s="1" t="s">
        <v>656</v>
      </c>
      <c r="B439" s="1" t="s">
        <v>127</v>
      </c>
      <c r="C439" s="1" t="s">
        <v>30</v>
      </c>
      <c r="D439" s="1" t="s">
        <v>31</v>
      </c>
      <c r="E439" s="1" t="s">
        <v>46</v>
      </c>
      <c r="F439" s="1" t="s">
        <v>17</v>
      </c>
      <c r="G439" s="1" t="s">
        <v>18</v>
      </c>
      <c r="H439" s="1">
        <v>16014</v>
      </c>
      <c r="I439" s="1" t="s">
        <v>33</v>
      </c>
      <c r="J439" s="1">
        <v>0.3</v>
      </c>
      <c r="K439" s="1">
        <v>17000</v>
      </c>
      <c r="L439" s="2">
        <v>45333</v>
      </c>
    </row>
    <row r="440" spans="1:12" x14ac:dyDescent="0.35">
      <c r="A440" s="1" t="s">
        <v>657</v>
      </c>
      <c r="B440" s="1" t="s">
        <v>248</v>
      </c>
      <c r="C440" s="1" t="s">
        <v>30</v>
      </c>
      <c r="D440" s="1" t="s">
        <v>31</v>
      </c>
      <c r="E440" s="1" t="s">
        <v>16</v>
      </c>
      <c r="F440" s="1" t="s">
        <v>25</v>
      </c>
      <c r="G440" s="1" t="s">
        <v>26</v>
      </c>
      <c r="H440" s="1">
        <v>18587</v>
      </c>
      <c r="I440" s="1" t="s">
        <v>33</v>
      </c>
      <c r="J440" s="1">
        <v>0.3</v>
      </c>
      <c r="K440" s="1">
        <v>17000</v>
      </c>
      <c r="L440" s="2">
        <v>45305</v>
      </c>
    </row>
    <row r="441" spans="1:12" x14ac:dyDescent="0.35">
      <c r="A441" s="1" t="s">
        <v>658</v>
      </c>
      <c r="B441" s="1" t="s">
        <v>382</v>
      </c>
      <c r="C441" s="1" t="s">
        <v>44</v>
      </c>
      <c r="D441" s="1" t="s">
        <v>45</v>
      </c>
      <c r="E441" s="1" t="s">
        <v>16</v>
      </c>
      <c r="F441" s="1" t="s">
        <v>17</v>
      </c>
      <c r="G441" s="1" t="s">
        <v>36</v>
      </c>
      <c r="H441" s="1">
        <v>13646</v>
      </c>
      <c r="I441" s="1" t="s">
        <v>22</v>
      </c>
      <c r="J441" s="1">
        <v>0.1</v>
      </c>
      <c r="K441" s="1">
        <v>13000</v>
      </c>
      <c r="L441" s="2">
        <v>45342</v>
      </c>
    </row>
    <row r="442" spans="1:12" x14ac:dyDescent="0.35">
      <c r="A442" s="1" t="s">
        <v>659</v>
      </c>
      <c r="B442" s="1" t="s">
        <v>148</v>
      </c>
      <c r="C442" s="1" t="s">
        <v>44</v>
      </c>
      <c r="D442" s="1" t="s">
        <v>45</v>
      </c>
      <c r="E442" s="1" t="s">
        <v>46</v>
      </c>
      <c r="F442" s="1" t="s">
        <v>17</v>
      </c>
      <c r="G442" s="1" t="s">
        <v>18</v>
      </c>
      <c r="H442" s="1">
        <v>11987</v>
      </c>
      <c r="I442" s="1"/>
      <c r="J442" s="1"/>
      <c r="K442" s="1">
        <v>13000</v>
      </c>
      <c r="L442" s="2">
        <v>45332</v>
      </c>
    </row>
    <row r="443" spans="1:12" x14ac:dyDescent="0.35">
      <c r="A443" s="1" t="s">
        <v>660</v>
      </c>
      <c r="B443" s="1" t="s">
        <v>107</v>
      </c>
      <c r="C443" s="1" t="s">
        <v>14</v>
      </c>
      <c r="D443" s="1" t="s">
        <v>15</v>
      </c>
      <c r="E443" s="1" t="s">
        <v>46</v>
      </c>
      <c r="F443" s="1" t="s">
        <v>17</v>
      </c>
      <c r="G443" s="1" t="s">
        <v>18</v>
      </c>
      <c r="H443" s="1">
        <v>13584</v>
      </c>
      <c r="I443" s="1" t="s">
        <v>27</v>
      </c>
      <c r="J443" s="1"/>
      <c r="K443" s="1">
        <v>14000</v>
      </c>
      <c r="L443" s="2">
        <v>45318</v>
      </c>
    </row>
    <row r="444" spans="1:12" x14ac:dyDescent="0.35">
      <c r="A444" s="1" t="s">
        <v>661</v>
      </c>
      <c r="B444" s="1" t="s">
        <v>301</v>
      </c>
      <c r="C444" s="1" t="s">
        <v>44</v>
      </c>
      <c r="D444" s="1" t="s">
        <v>45</v>
      </c>
      <c r="E444" s="1" t="s">
        <v>46</v>
      </c>
      <c r="F444" s="1" t="s">
        <v>25</v>
      </c>
      <c r="G444" s="1" t="s">
        <v>18</v>
      </c>
      <c r="H444" s="1">
        <v>13405</v>
      </c>
      <c r="I444" s="1" t="s">
        <v>22</v>
      </c>
      <c r="J444" s="1">
        <v>0.1</v>
      </c>
      <c r="K444" s="1">
        <v>13000</v>
      </c>
      <c r="L444" s="2">
        <v>45292</v>
      </c>
    </row>
    <row r="445" spans="1:12" x14ac:dyDescent="0.35">
      <c r="A445" s="1" t="s">
        <v>662</v>
      </c>
      <c r="B445" s="1" t="s">
        <v>289</v>
      </c>
      <c r="C445" s="1" t="s">
        <v>14</v>
      </c>
      <c r="D445" s="1" t="s">
        <v>15</v>
      </c>
      <c r="E445" s="1" t="s">
        <v>32</v>
      </c>
      <c r="F445" s="1" t="s">
        <v>17</v>
      </c>
      <c r="G445" s="1" t="s">
        <v>26</v>
      </c>
      <c r="H445" s="1">
        <v>13173</v>
      </c>
      <c r="I445" s="1" t="s">
        <v>27</v>
      </c>
      <c r="J445" s="1"/>
      <c r="K445" s="1">
        <v>14000</v>
      </c>
      <c r="L445" s="2">
        <v>45341</v>
      </c>
    </row>
    <row r="446" spans="1:12" x14ac:dyDescent="0.35">
      <c r="A446" s="1" t="s">
        <v>663</v>
      </c>
      <c r="B446" s="1" t="s">
        <v>177</v>
      </c>
      <c r="C446" s="1" t="s">
        <v>61</v>
      </c>
      <c r="D446" s="1" t="s">
        <v>62</v>
      </c>
      <c r="E446" s="1" t="s">
        <v>32</v>
      </c>
      <c r="F446" s="1" t="s">
        <v>39</v>
      </c>
      <c r="G446" s="1" t="s">
        <v>26</v>
      </c>
      <c r="H446" s="1">
        <v>9202</v>
      </c>
      <c r="I446" s="1" t="s">
        <v>27</v>
      </c>
      <c r="J446" s="1"/>
      <c r="K446" s="1">
        <v>9000</v>
      </c>
      <c r="L446" s="2">
        <v>45301</v>
      </c>
    </row>
    <row r="447" spans="1:12" x14ac:dyDescent="0.35">
      <c r="A447" s="1" t="s">
        <v>664</v>
      </c>
      <c r="B447" s="1" t="s">
        <v>222</v>
      </c>
      <c r="C447" s="1" t="s">
        <v>30</v>
      </c>
      <c r="D447" s="1" t="s">
        <v>31</v>
      </c>
      <c r="E447" s="1" t="s">
        <v>32</v>
      </c>
      <c r="F447" s="1" t="s">
        <v>39</v>
      </c>
      <c r="G447" s="1" t="s">
        <v>18</v>
      </c>
      <c r="H447" s="1">
        <v>18990</v>
      </c>
      <c r="I447" s="1" t="s">
        <v>19</v>
      </c>
      <c r="J447" s="1">
        <v>0.2</v>
      </c>
      <c r="K447" s="1">
        <v>17000</v>
      </c>
      <c r="L447" s="2">
        <v>45326</v>
      </c>
    </row>
    <row r="448" spans="1:12" x14ac:dyDescent="0.35">
      <c r="A448" s="1" t="s">
        <v>665</v>
      </c>
      <c r="B448" s="1" t="s">
        <v>666</v>
      </c>
      <c r="C448" s="1" t="s">
        <v>14</v>
      </c>
      <c r="D448" s="1" t="s">
        <v>15</v>
      </c>
      <c r="E448" s="1" t="s">
        <v>46</v>
      </c>
      <c r="F448" s="1" t="s">
        <v>39</v>
      </c>
      <c r="G448" s="1" t="s">
        <v>36</v>
      </c>
      <c r="H448" s="1">
        <v>14989</v>
      </c>
      <c r="I448" s="1" t="s">
        <v>19</v>
      </c>
      <c r="J448" s="1">
        <v>0.2</v>
      </c>
      <c r="K448" s="1">
        <v>14000</v>
      </c>
      <c r="L448" s="2">
        <v>45295</v>
      </c>
    </row>
    <row r="449" spans="1:12" x14ac:dyDescent="0.35">
      <c r="A449" s="1" t="s">
        <v>667</v>
      </c>
      <c r="B449" s="1" t="s">
        <v>229</v>
      </c>
      <c r="C449" s="1" t="s">
        <v>61</v>
      </c>
      <c r="D449" s="1" t="s">
        <v>62</v>
      </c>
      <c r="E449" s="1" t="s">
        <v>32</v>
      </c>
      <c r="F449" s="1" t="s">
        <v>17</v>
      </c>
      <c r="G449" s="1" t="s">
        <v>26</v>
      </c>
      <c r="H449" s="1">
        <v>9493</v>
      </c>
      <c r="I449" s="1" t="s">
        <v>22</v>
      </c>
      <c r="J449" s="1">
        <v>0.1</v>
      </c>
      <c r="K449" s="1">
        <v>9000</v>
      </c>
      <c r="L449" s="2">
        <v>45311</v>
      </c>
    </row>
    <row r="450" spans="1:12" x14ac:dyDescent="0.35">
      <c r="A450" s="1" t="s">
        <v>668</v>
      </c>
      <c r="B450" s="1" t="s">
        <v>305</v>
      </c>
      <c r="C450" s="1" t="s">
        <v>44</v>
      </c>
      <c r="D450" s="1" t="s">
        <v>45</v>
      </c>
      <c r="E450" s="1" t="s">
        <v>32</v>
      </c>
      <c r="F450" s="1" t="s">
        <v>25</v>
      </c>
      <c r="G450" s="1" t="s">
        <v>26</v>
      </c>
      <c r="H450" s="1">
        <v>11562</v>
      </c>
      <c r="I450" s="1" t="s">
        <v>22</v>
      </c>
      <c r="J450" s="1">
        <v>0.1</v>
      </c>
      <c r="K450" s="1">
        <v>13000</v>
      </c>
      <c r="L450" s="2">
        <v>45302</v>
      </c>
    </row>
    <row r="451" spans="1:12" x14ac:dyDescent="0.35">
      <c r="A451" s="1" t="s">
        <v>669</v>
      </c>
      <c r="B451" s="1" t="s">
        <v>188</v>
      </c>
      <c r="C451" s="1" t="s">
        <v>30</v>
      </c>
      <c r="D451" s="1" t="s">
        <v>31</v>
      </c>
      <c r="E451" s="1" t="s">
        <v>32</v>
      </c>
      <c r="F451" s="1" t="s">
        <v>17</v>
      </c>
      <c r="G451" s="1" t="s">
        <v>18</v>
      </c>
      <c r="H451" s="1">
        <v>18071</v>
      </c>
      <c r="I451" s="1" t="s">
        <v>33</v>
      </c>
      <c r="J451" s="1">
        <v>0.3</v>
      </c>
      <c r="K451" s="1">
        <v>17000</v>
      </c>
      <c r="L451" s="2">
        <v>45338</v>
      </c>
    </row>
    <row r="452" spans="1:12" x14ac:dyDescent="0.35">
      <c r="A452" s="1" t="s">
        <v>670</v>
      </c>
      <c r="B452" s="1" t="s">
        <v>403</v>
      </c>
      <c r="C452" s="1" t="s">
        <v>14</v>
      </c>
      <c r="D452" s="1" t="s">
        <v>15</v>
      </c>
      <c r="E452" s="1" t="s">
        <v>46</v>
      </c>
      <c r="F452" s="1" t="s">
        <v>17</v>
      </c>
      <c r="G452" s="1" t="s">
        <v>36</v>
      </c>
      <c r="H452" s="1">
        <v>14145</v>
      </c>
      <c r="I452" s="1" t="s">
        <v>22</v>
      </c>
      <c r="J452" s="1">
        <v>0.1</v>
      </c>
      <c r="K452" s="1">
        <v>14000</v>
      </c>
      <c r="L452" s="2">
        <v>45308</v>
      </c>
    </row>
    <row r="453" spans="1:12" x14ac:dyDescent="0.35">
      <c r="A453" s="1" t="s">
        <v>671</v>
      </c>
      <c r="B453" s="1" t="s">
        <v>672</v>
      </c>
      <c r="C453" s="1" t="s">
        <v>14</v>
      </c>
      <c r="D453" s="1" t="s">
        <v>15</v>
      </c>
      <c r="E453" s="1" t="s">
        <v>46</v>
      </c>
      <c r="F453" s="1" t="s">
        <v>17</v>
      </c>
      <c r="G453" s="1" t="s">
        <v>26</v>
      </c>
      <c r="H453" s="1">
        <v>13475</v>
      </c>
      <c r="I453" s="1" t="s">
        <v>22</v>
      </c>
      <c r="J453" s="1">
        <v>0.1</v>
      </c>
      <c r="K453" s="1">
        <v>14000</v>
      </c>
      <c r="L453" s="2">
        <v>45323</v>
      </c>
    </row>
    <row r="454" spans="1:12" x14ac:dyDescent="0.35">
      <c r="A454" s="1" t="s">
        <v>673</v>
      </c>
      <c r="B454" s="1" t="s">
        <v>460</v>
      </c>
      <c r="C454" s="1" t="s">
        <v>44</v>
      </c>
      <c r="D454" s="1" t="s">
        <v>45</v>
      </c>
      <c r="E454" s="1" t="s">
        <v>46</v>
      </c>
      <c r="F454" s="1" t="s">
        <v>25</v>
      </c>
      <c r="G454" s="1" t="s">
        <v>36</v>
      </c>
      <c r="H454" s="1">
        <v>14167</v>
      </c>
      <c r="I454" s="1" t="s">
        <v>22</v>
      </c>
      <c r="J454" s="1">
        <v>0.1</v>
      </c>
      <c r="K454" s="1">
        <v>13000</v>
      </c>
      <c r="L454" s="2">
        <v>45349</v>
      </c>
    </row>
    <row r="455" spans="1:12" x14ac:dyDescent="0.35">
      <c r="A455" s="1" t="s">
        <v>674</v>
      </c>
      <c r="B455" s="1" t="s">
        <v>209</v>
      </c>
      <c r="C455" s="1" t="s">
        <v>14</v>
      </c>
      <c r="D455" s="1" t="s">
        <v>15</v>
      </c>
      <c r="E455" s="1" t="s">
        <v>32</v>
      </c>
      <c r="F455" s="1" t="s">
        <v>39</v>
      </c>
      <c r="G455" s="1" t="s">
        <v>26</v>
      </c>
      <c r="H455" s="1">
        <v>12010</v>
      </c>
      <c r="I455" s="1" t="s">
        <v>22</v>
      </c>
      <c r="J455" s="1">
        <v>0.1</v>
      </c>
      <c r="K455" s="1">
        <v>14000</v>
      </c>
      <c r="L455" s="2">
        <v>45346</v>
      </c>
    </row>
    <row r="456" spans="1:12" x14ac:dyDescent="0.35">
      <c r="A456" s="1" t="s">
        <v>675</v>
      </c>
      <c r="B456" s="1" t="s">
        <v>676</v>
      </c>
      <c r="C456" s="1" t="s">
        <v>44</v>
      </c>
      <c r="D456" s="1" t="s">
        <v>45</v>
      </c>
      <c r="E456" s="1" t="s">
        <v>32</v>
      </c>
      <c r="F456" s="1" t="s">
        <v>17</v>
      </c>
      <c r="G456" s="1" t="s">
        <v>36</v>
      </c>
      <c r="H456" s="1">
        <v>12568</v>
      </c>
      <c r="I456" s="1" t="s">
        <v>19</v>
      </c>
      <c r="J456" s="1">
        <v>0.2</v>
      </c>
      <c r="K456" s="1">
        <v>13000</v>
      </c>
      <c r="L456" s="2">
        <v>45303</v>
      </c>
    </row>
    <row r="457" spans="1:12" x14ac:dyDescent="0.35">
      <c r="A457" s="1" t="s">
        <v>677</v>
      </c>
      <c r="B457" s="1" t="s">
        <v>454</v>
      </c>
      <c r="C457" s="1" t="s">
        <v>14</v>
      </c>
      <c r="D457" s="1" t="s">
        <v>15</v>
      </c>
      <c r="E457" s="1" t="s">
        <v>16</v>
      </c>
      <c r="F457" s="1" t="s">
        <v>39</v>
      </c>
      <c r="G457" s="1" t="s">
        <v>26</v>
      </c>
      <c r="H457" s="1">
        <v>14685</v>
      </c>
      <c r="I457" s="1"/>
      <c r="J457" s="1"/>
      <c r="K457" s="1">
        <v>14000</v>
      </c>
      <c r="L457" s="2">
        <v>45306</v>
      </c>
    </row>
    <row r="458" spans="1:12" x14ac:dyDescent="0.35">
      <c r="A458" s="1" t="s">
        <v>678</v>
      </c>
      <c r="B458" s="1" t="s">
        <v>408</v>
      </c>
      <c r="C458" s="1" t="s">
        <v>61</v>
      </c>
      <c r="D458" s="1" t="s">
        <v>62</v>
      </c>
      <c r="E458" s="1" t="s">
        <v>16</v>
      </c>
      <c r="F458" s="1" t="s">
        <v>17</v>
      </c>
      <c r="G458" s="1" t="s">
        <v>36</v>
      </c>
      <c r="H458" s="1">
        <v>10383</v>
      </c>
      <c r="I458" s="1" t="s">
        <v>22</v>
      </c>
      <c r="J458" s="1">
        <v>0.1</v>
      </c>
      <c r="K458" s="1">
        <v>9000</v>
      </c>
      <c r="L458" s="2">
        <v>45328</v>
      </c>
    </row>
    <row r="459" spans="1:12" x14ac:dyDescent="0.35">
      <c r="A459" s="1" t="s">
        <v>679</v>
      </c>
      <c r="B459" s="1" t="s">
        <v>116</v>
      </c>
      <c r="C459" s="1" t="s">
        <v>14</v>
      </c>
      <c r="D459" s="1" t="s">
        <v>15</v>
      </c>
      <c r="E459" s="1" t="s">
        <v>32</v>
      </c>
      <c r="F459" s="1" t="s">
        <v>25</v>
      </c>
      <c r="G459" s="1" t="s">
        <v>26</v>
      </c>
      <c r="H459" s="1">
        <v>12188</v>
      </c>
      <c r="I459" s="1"/>
      <c r="J459" s="1"/>
      <c r="K459" s="1">
        <v>14000</v>
      </c>
      <c r="L459" s="2">
        <v>45296</v>
      </c>
    </row>
    <row r="460" spans="1:12" x14ac:dyDescent="0.35">
      <c r="A460" s="1" t="s">
        <v>680</v>
      </c>
      <c r="B460" s="1" t="s">
        <v>445</v>
      </c>
      <c r="C460" s="1" t="s">
        <v>30</v>
      </c>
      <c r="D460" s="1" t="s">
        <v>31</v>
      </c>
      <c r="E460" s="1" t="s">
        <v>46</v>
      </c>
      <c r="F460" s="1" t="s">
        <v>17</v>
      </c>
      <c r="G460" s="1" t="s">
        <v>18</v>
      </c>
      <c r="H460" s="1">
        <v>17265</v>
      </c>
      <c r="I460" s="1"/>
      <c r="J460" s="1"/>
      <c r="K460" s="1">
        <v>17000</v>
      </c>
      <c r="L460" s="2">
        <v>45292</v>
      </c>
    </row>
    <row r="461" spans="1:12" x14ac:dyDescent="0.35">
      <c r="A461" s="1" t="s">
        <v>681</v>
      </c>
      <c r="B461" s="1" t="s">
        <v>408</v>
      </c>
      <c r="C461" s="1" t="s">
        <v>30</v>
      </c>
      <c r="D461" s="1" t="s">
        <v>31</v>
      </c>
      <c r="E461" s="1" t="s">
        <v>16</v>
      </c>
      <c r="F461" s="1" t="s">
        <v>17</v>
      </c>
      <c r="G461" s="1" t="s">
        <v>26</v>
      </c>
      <c r="H461" s="1">
        <v>17550</v>
      </c>
      <c r="I461" s="1" t="s">
        <v>19</v>
      </c>
      <c r="J461" s="1">
        <v>0.2</v>
      </c>
      <c r="K461" s="1">
        <v>17000</v>
      </c>
      <c r="L461" s="2">
        <v>45321</v>
      </c>
    </row>
    <row r="462" spans="1:12" x14ac:dyDescent="0.35">
      <c r="A462" s="1" t="s">
        <v>682</v>
      </c>
      <c r="B462" s="1" t="s">
        <v>38</v>
      </c>
      <c r="C462" s="1" t="s">
        <v>61</v>
      </c>
      <c r="D462" s="1" t="s">
        <v>62</v>
      </c>
      <c r="E462" s="1" t="s">
        <v>32</v>
      </c>
      <c r="F462" s="1" t="s">
        <v>39</v>
      </c>
      <c r="G462" s="1" t="s">
        <v>26</v>
      </c>
      <c r="H462" s="1">
        <v>10114</v>
      </c>
      <c r="I462" s="1" t="s">
        <v>19</v>
      </c>
      <c r="J462" s="1">
        <v>0.2</v>
      </c>
      <c r="K462" s="1">
        <v>9000</v>
      </c>
      <c r="L462" s="2">
        <v>45301</v>
      </c>
    </row>
    <row r="463" spans="1:12" x14ac:dyDescent="0.35">
      <c r="A463" s="1" t="s">
        <v>683</v>
      </c>
      <c r="B463" s="1" t="s">
        <v>406</v>
      </c>
      <c r="C463" s="1" t="s">
        <v>14</v>
      </c>
      <c r="D463" s="1" t="s">
        <v>15</v>
      </c>
      <c r="E463" s="1" t="s">
        <v>32</v>
      </c>
      <c r="F463" s="1" t="s">
        <v>39</v>
      </c>
      <c r="G463" s="1" t="s">
        <v>36</v>
      </c>
      <c r="H463" s="1">
        <v>14604</v>
      </c>
      <c r="I463" s="1" t="s">
        <v>22</v>
      </c>
      <c r="J463" s="1">
        <v>0.1</v>
      </c>
      <c r="K463" s="1">
        <v>14000</v>
      </c>
      <c r="L463" s="2">
        <v>45352</v>
      </c>
    </row>
    <row r="464" spans="1:12" x14ac:dyDescent="0.35">
      <c r="A464" s="1" t="s">
        <v>684</v>
      </c>
      <c r="B464" s="1" t="s">
        <v>327</v>
      </c>
      <c r="C464" s="1" t="s">
        <v>61</v>
      </c>
      <c r="D464" s="1" t="s">
        <v>62</v>
      </c>
      <c r="E464" s="1" t="s">
        <v>16</v>
      </c>
      <c r="F464" s="1" t="s">
        <v>39</v>
      </c>
      <c r="G464" s="1" t="s">
        <v>36</v>
      </c>
      <c r="H464" s="1">
        <v>7425</v>
      </c>
      <c r="I464" s="1" t="s">
        <v>19</v>
      </c>
      <c r="J464" s="1">
        <v>0.2</v>
      </c>
      <c r="K464" s="1">
        <v>9000</v>
      </c>
      <c r="L464" s="2">
        <v>45325</v>
      </c>
    </row>
    <row r="465" spans="1:12" x14ac:dyDescent="0.35">
      <c r="A465" s="1" t="s">
        <v>685</v>
      </c>
      <c r="B465" s="1" t="s">
        <v>414</v>
      </c>
      <c r="C465" s="1" t="s">
        <v>61</v>
      </c>
      <c r="D465" s="1" t="s">
        <v>62</v>
      </c>
      <c r="E465" s="1" t="s">
        <v>32</v>
      </c>
      <c r="F465" s="1" t="s">
        <v>25</v>
      </c>
      <c r="G465" s="1" t="s">
        <v>26</v>
      </c>
      <c r="H465" s="1">
        <v>8146</v>
      </c>
      <c r="I465" s="1" t="s">
        <v>22</v>
      </c>
      <c r="J465" s="1">
        <v>0.1</v>
      </c>
      <c r="K465" s="1">
        <v>9000</v>
      </c>
      <c r="L465" s="2">
        <v>45294</v>
      </c>
    </row>
    <row r="466" spans="1:12" x14ac:dyDescent="0.35">
      <c r="A466" s="1" t="s">
        <v>686</v>
      </c>
      <c r="B466" s="1" t="s">
        <v>553</v>
      </c>
      <c r="C466" s="1" t="s">
        <v>61</v>
      </c>
      <c r="D466" s="1" t="s">
        <v>62</v>
      </c>
      <c r="E466" s="1" t="s">
        <v>16</v>
      </c>
      <c r="F466" s="1" t="s">
        <v>17</v>
      </c>
      <c r="G466" s="1" t="s">
        <v>36</v>
      </c>
      <c r="H466" s="1">
        <v>10991</v>
      </c>
      <c r="I466" s="1" t="s">
        <v>22</v>
      </c>
      <c r="J466" s="1">
        <v>0.1</v>
      </c>
      <c r="K466" s="1">
        <v>9000</v>
      </c>
      <c r="L466" s="2">
        <v>45329</v>
      </c>
    </row>
    <row r="467" spans="1:12" x14ac:dyDescent="0.35">
      <c r="A467" s="1" t="s">
        <v>687</v>
      </c>
      <c r="B467" s="1" t="s">
        <v>241</v>
      </c>
      <c r="C467" s="1" t="s">
        <v>44</v>
      </c>
      <c r="D467" s="1" t="s">
        <v>45</v>
      </c>
      <c r="E467" s="1" t="s">
        <v>16</v>
      </c>
      <c r="F467" s="1" t="s">
        <v>17</v>
      </c>
      <c r="G467" s="1" t="s">
        <v>18</v>
      </c>
      <c r="H467" s="1">
        <v>13424</v>
      </c>
      <c r="I467" s="1" t="s">
        <v>27</v>
      </c>
      <c r="J467" s="1"/>
      <c r="K467" s="1">
        <v>13000</v>
      </c>
      <c r="L467" s="2">
        <v>45295</v>
      </c>
    </row>
    <row r="468" spans="1:12" x14ac:dyDescent="0.35">
      <c r="A468" s="1" t="s">
        <v>688</v>
      </c>
      <c r="B468" s="1" t="s">
        <v>274</v>
      </c>
      <c r="C468" s="1" t="s">
        <v>44</v>
      </c>
      <c r="D468" s="1" t="s">
        <v>45</v>
      </c>
      <c r="E468" s="1" t="s">
        <v>32</v>
      </c>
      <c r="F468" s="1" t="s">
        <v>17</v>
      </c>
      <c r="G468" s="1" t="s">
        <v>36</v>
      </c>
      <c r="H468" s="1">
        <v>14485</v>
      </c>
      <c r="I468" s="1" t="s">
        <v>33</v>
      </c>
      <c r="J468" s="1">
        <v>0.3</v>
      </c>
      <c r="K468" s="1">
        <v>13000</v>
      </c>
      <c r="L468" s="2">
        <v>45351</v>
      </c>
    </row>
    <row r="469" spans="1:12" x14ac:dyDescent="0.35">
      <c r="A469" s="1" t="s">
        <v>689</v>
      </c>
      <c r="B469" s="1" t="s">
        <v>180</v>
      </c>
      <c r="C469" s="1" t="s">
        <v>30</v>
      </c>
      <c r="D469" s="1" t="s">
        <v>31</v>
      </c>
      <c r="E469" s="1" t="s">
        <v>46</v>
      </c>
      <c r="F469" s="1" t="s">
        <v>17</v>
      </c>
      <c r="G469" s="1" t="s">
        <v>36</v>
      </c>
      <c r="H469" s="1">
        <v>15956</v>
      </c>
      <c r="I469" s="1" t="s">
        <v>22</v>
      </c>
      <c r="J469" s="1">
        <v>0.1</v>
      </c>
      <c r="K469" s="1">
        <v>17000</v>
      </c>
      <c r="L469" s="2">
        <v>45352</v>
      </c>
    </row>
    <row r="470" spans="1:12" x14ac:dyDescent="0.35">
      <c r="A470" s="1" t="s">
        <v>690</v>
      </c>
      <c r="B470" s="1" t="s">
        <v>235</v>
      </c>
      <c r="C470" s="1" t="s">
        <v>14</v>
      </c>
      <c r="D470" s="1" t="s">
        <v>15</v>
      </c>
      <c r="E470" s="1" t="s">
        <v>32</v>
      </c>
      <c r="F470" s="1" t="s">
        <v>25</v>
      </c>
      <c r="G470" s="1" t="s">
        <v>18</v>
      </c>
      <c r="H470" s="1">
        <v>13841</v>
      </c>
      <c r="I470" s="1"/>
      <c r="J470" s="1"/>
      <c r="K470" s="1">
        <v>14000</v>
      </c>
      <c r="L470" s="2">
        <v>45312</v>
      </c>
    </row>
    <row r="471" spans="1:12" x14ac:dyDescent="0.35">
      <c r="A471" s="1" t="s">
        <v>691</v>
      </c>
      <c r="B471" s="1" t="s">
        <v>41</v>
      </c>
      <c r="C471" s="1" t="s">
        <v>30</v>
      </c>
      <c r="D471" s="1" t="s">
        <v>31</v>
      </c>
      <c r="E471" s="1" t="s">
        <v>32</v>
      </c>
      <c r="F471" s="1" t="s">
        <v>17</v>
      </c>
      <c r="G471" s="1" t="s">
        <v>36</v>
      </c>
      <c r="H471" s="1">
        <v>16897</v>
      </c>
      <c r="I471" s="1" t="s">
        <v>33</v>
      </c>
      <c r="J471" s="1">
        <v>0.3</v>
      </c>
      <c r="K471" s="1">
        <v>17000</v>
      </c>
      <c r="L471" s="2">
        <v>45346</v>
      </c>
    </row>
    <row r="472" spans="1:12" x14ac:dyDescent="0.35">
      <c r="A472" s="1" t="s">
        <v>692</v>
      </c>
      <c r="B472" s="1" t="s">
        <v>78</v>
      </c>
      <c r="C472" s="1" t="s">
        <v>44</v>
      </c>
      <c r="D472" s="1" t="s">
        <v>45</v>
      </c>
      <c r="E472" s="1" t="s">
        <v>16</v>
      </c>
      <c r="F472" s="1" t="s">
        <v>17</v>
      </c>
      <c r="G472" s="1" t="s">
        <v>26</v>
      </c>
      <c r="H472" s="1">
        <v>13854</v>
      </c>
      <c r="I472" s="1" t="s">
        <v>27</v>
      </c>
      <c r="J472" s="1"/>
      <c r="K472" s="1">
        <v>13000</v>
      </c>
      <c r="L472" s="2">
        <v>45294</v>
      </c>
    </row>
    <row r="473" spans="1:12" x14ac:dyDescent="0.35">
      <c r="A473" s="1" t="s">
        <v>693</v>
      </c>
      <c r="B473" s="1" t="s">
        <v>171</v>
      </c>
      <c r="C473" s="1" t="s">
        <v>30</v>
      </c>
      <c r="D473" s="1" t="s">
        <v>31</v>
      </c>
      <c r="E473" s="1" t="s">
        <v>32</v>
      </c>
      <c r="F473" s="1" t="s">
        <v>25</v>
      </c>
      <c r="G473" s="1" t="s">
        <v>26</v>
      </c>
      <c r="H473" s="1">
        <v>16016</v>
      </c>
      <c r="I473" s="1" t="s">
        <v>33</v>
      </c>
      <c r="J473" s="1">
        <v>0.3</v>
      </c>
      <c r="K473" s="1">
        <v>17000</v>
      </c>
      <c r="L473" s="2">
        <v>45317</v>
      </c>
    </row>
    <row r="474" spans="1:12" x14ac:dyDescent="0.35">
      <c r="A474" s="1" t="s">
        <v>694</v>
      </c>
      <c r="B474" s="1" t="s">
        <v>184</v>
      </c>
      <c r="C474" s="1" t="s">
        <v>30</v>
      </c>
      <c r="D474" s="1" t="s">
        <v>31</v>
      </c>
      <c r="E474" s="1" t="s">
        <v>46</v>
      </c>
      <c r="F474" s="1" t="s">
        <v>25</v>
      </c>
      <c r="G474" s="1" t="s">
        <v>18</v>
      </c>
      <c r="H474" s="1">
        <v>18899</v>
      </c>
      <c r="I474" s="1"/>
      <c r="J474" s="1"/>
      <c r="K474" s="1">
        <v>17000</v>
      </c>
      <c r="L474" s="2">
        <v>45346</v>
      </c>
    </row>
    <row r="475" spans="1:12" x14ac:dyDescent="0.35">
      <c r="A475" s="1" t="s">
        <v>695</v>
      </c>
      <c r="B475" s="1" t="s">
        <v>330</v>
      </c>
      <c r="C475" s="1" t="s">
        <v>44</v>
      </c>
      <c r="D475" s="1" t="s">
        <v>45</v>
      </c>
      <c r="E475" s="1" t="s">
        <v>32</v>
      </c>
      <c r="F475" s="1" t="s">
        <v>17</v>
      </c>
      <c r="G475" s="1" t="s">
        <v>18</v>
      </c>
      <c r="H475" s="1">
        <v>14292</v>
      </c>
      <c r="I475" s="1" t="s">
        <v>19</v>
      </c>
      <c r="J475" s="1">
        <v>0.2</v>
      </c>
      <c r="K475" s="1">
        <v>13000</v>
      </c>
      <c r="L475" s="2">
        <v>45299</v>
      </c>
    </row>
    <row r="476" spans="1:12" x14ac:dyDescent="0.35">
      <c r="A476" s="1" t="s">
        <v>696</v>
      </c>
      <c r="B476" s="1" t="s">
        <v>161</v>
      </c>
      <c r="C476" s="1" t="s">
        <v>44</v>
      </c>
      <c r="D476" s="1" t="s">
        <v>45</v>
      </c>
      <c r="E476" s="1" t="s">
        <v>32</v>
      </c>
      <c r="F476" s="1" t="s">
        <v>25</v>
      </c>
      <c r="G476" s="1" t="s">
        <v>36</v>
      </c>
      <c r="H476" s="1">
        <v>12524</v>
      </c>
      <c r="I476" s="1" t="s">
        <v>22</v>
      </c>
      <c r="J476" s="1">
        <v>0.1</v>
      </c>
      <c r="K476" s="1">
        <v>13000</v>
      </c>
      <c r="L476" s="2">
        <v>45329</v>
      </c>
    </row>
    <row r="477" spans="1:12" x14ac:dyDescent="0.35">
      <c r="A477" s="1" t="s">
        <v>697</v>
      </c>
      <c r="B477" s="1" t="s">
        <v>291</v>
      </c>
      <c r="C477" s="1" t="s">
        <v>14</v>
      </c>
      <c r="D477" s="1" t="s">
        <v>15</v>
      </c>
      <c r="E477" s="1" t="s">
        <v>32</v>
      </c>
      <c r="F477" s="1" t="s">
        <v>25</v>
      </c>
      <c r="G477" s="1" t="s">
        <v>18</v>
      </c>
      <c r="H477" s="1">
        <v>15696</v>
      </c>
      <c r="I477" s="1"/>
      <c r="J477" s="1"/>
      <c r="K477" s="1">
        <v>14000</v>
      </c>
      <c r="L477" s="2">
        <v>45343</v>
      </c>
    </row>
    <row r="478" spans="1:12" x14ac:dyDescent="0.35">
      <c r="A478" s="1" t="s">
        <v>698</v>
      </c>
      <c r="B478" s="1" t="s">
        <v>325</v>
      </c>
      <c r="C478" s="1" t="s">
        <v>30</v>
      </c>
      <c r="D478" s="1" t="s">
        <v>31</v>
      </c>
      <c r="E478" s="1" t="s">
        <v>32</v>
      </c>
      <c r="F478" s="1" t="s">
        <v>25</v>
      </c>
      <c r="G478" s="1" t="s">
        <v>36</v>
      </c>
      <c r="H478" s="1">
        <v>15207</v>
      </c>
      <c r="I478" s="1" t="s">
        <v>19</v>
      </c>
      <c r="J478" s="1">
        <v>0.2</v>
      </c>
      <c r="K478" s="1">
        <v>17000</v>
      </c>
      <c r="L478" s="2">
        <v>45351</v>
      </c>
    </row>
    <row r="479" spans="1:12" x14ac:dyDescent="0.35">
      <c r="A479" s="1" t="s">
        <v>699</v>
      </c>
      <c r="B479" s="1" t="s">
        <v>337</v>
      </c>
      <c r="C479" s="1" t="s">
        <v>61</v>
      </c>
      <c r="D479" s="1" t="s">
        <v>62</v>
      </c>
      <c r="E479" s="1" t="s">
        <v>46</v>
      </c>
      <c r="F479" s="1" t="s">
        <v>25</v>
      </c>
      <c r="G479" s="1" t="s">
        <v>36</v>
      </c>
      <c r="H479" s="1">
        <v>9798</v>
      </c>
      <c r="I479" s="1"/>
      <c r="J479" s="1"/>
      <c r="K479" s="1">
        <v>9000</v>
      </c>
      <c r="L479" s="2">
        <v>45303</v>
      </c>
    </row>
    <row r="480" spans="1:12" x14ac:dyDescent="0.35">
      <c r="A480" s="1" t="s">
        <v>700</v>
      </c>
      <c r="B480" s="1" t="s">
        <v>408</v>
      </c>
      <c r="C480" s="1" t="s">
        <v>44</v>
      </c>
      <c r="D480" s="1" t="s">
        <v>45</v>
      </c>
      <c r="E480" s="1" t="s">
        <v>46</v>
      </c>
      <c r="F480" s="1" t="s">
        <v>17</v>
      </c>
      <c r="G480" s="1" t="s">
        <v>36</v>
      </c>
      <c r="H480" s="1">
        <v>14618</v>
      </c>
      <c r="I480" s="1" t="s">
        <v>19</v>
      </c>
      <c r="J480" s="1">
        <v>0.2</v>
      </c>
      <c r="K480" s="1">
        <v>13000</v>
      </c>
      <c r="L480" s="2">
        <v>45294</v>
      </c>
    </row>
    <row r="481" spans="1:12" x14ac:dyDescent="0.35">
      <c r="A481" s="1" t="s">
        <v>701</v>
      </c>
      <c r="B481" s="1" t="s">
        <v>195</v>
      </c>
      <c r="C481" s="1" t="s">
        <v>44</v>
      </c>
      <c r="D481" s="1" t="s">
        <v>45</v>
      </c>
      <c r="E481" s="1" t="s">
        <v>16</v>
      </c>
      <c r="F481" s="1" t="s">
        <v>17</v>
      </c>
      <c r="G481" s="1" t="s">
        <v>36</v>
      </c>
      <c r="H481" s="1">
        <v>12687</v>
      </c>
      <c r="I481" s="1" t="s">
        <v>27</v>
      </c>
      <c r="J481" s="1"/>
      <c r="K481" s="1">
        <v>13000</v>
      </c>
      <c r="L481" s="2">
        <v>45322</v>
      </c>
    </row>
    <row r="482" spans="1:12" x14ac:dyDescent="0.35">
      <c r="A482" s="1" t="s">
        <v>702</v>
      </c>
      <c r="B482" s="1" t="s">
        <v>76</v>
      </c>
      <c r="C482" s="1" t="s">
        <v>30</v>
      </c>
      <c r="D482" s="1" t="s">
        <v>31</v>
      </c>
      <c r="E482" s="1" t="s">
        <v>46</v>
      </c>
      <c r="F482" s="1" t="s">
        <v>25</v>
      </c>
      <c r="G482" s="1" t="s">
        <v>36</v>
      </c>
      <c r="H482" s="1">
        <v>15816</v>
      </c>
      <c r="I482" s="1" t="s">
        <v>27</v>
      </c>
      <c r="J482" s="1"/>
      <c r="K482" s="1">
        <v>17000</v>
      </c>
      <c r="L482" s="2">
        <v>45307</v>
      </c>
    </row>
    <row r="483" spans="1:12" x14ac:dyDescent="0.35">
      <c r="A483" s="1" t="s">
        <v>703</v>
      </c>
      <c r="B483" s="1" t="s">
        <v>270</v>
      </c>
      <c r="C483" s="1" t="s">
        <v>14</v>
      </c>
      <c r="D483" s="1" t="s">
        <v>15</v>
      </c>
      <c r="E483" s="1" t="s">
        <v>46</v>
      </c>
      <c r="F483" s="1" t="s">
        <v>39</v>
      </c>
      <c r="G483" s="1" t="s">
        <v>36</v>
      </c>
      <c r="H483" s="1">
        <v>13964</v>
      </c>
      <c r="I483" s="1" t="s">
        <v>27</v>
      </c>
      <c r="J483" s="1"/>
      <c r="K483" s="1">
        <v>14000</v>
      </c>
      <c r="L483" s="2">
        <v>45342</v>
      </c>
    </row>
    <row r="484" spans="1:12" x14ac:dyDescent="0.35">
      <c r="A484" s="1" t="s">
        <v>704</v>
      </c>
      <c r="B484" s="1" t="s">
        <v>188</v>
      </c>
      <c r="C484" s="1" t="s">
        <v>30</v>
      </c>
      <c r="D484" s="1" t="s">
        <v>31</v>
      </c>
      <c r="E484" s="1" t="s">
        <v>46</v>
      </c>
      <c r="F484" s="1" t="s">
        <v>17</v>
      </c>
      <c r="G484" s="1" t="s">
        <v>18</v>
      </c>
      <c r="H484" s="1">
        <v>15106</v>
      </c>
      <c r="I484" s="1" t="s">
        <v>33</v>
      </c>
      <c r="J484" s="1">
        <v>0.3</v>
      </c>
      <c r="K484" s="1">
        <v>17000</v>
      </c>
      <c r="L484" s="2">
        <v>45330</v>
      </c>
    </row>
    <row r="485" spans="1:12" x14ac:dyDescent="0.35">
      <c r="A485" s="1" t="s">
        <v>705</v>
      </c>
      <c r="B485" s="1" t="s">
        <v>500</v>
      </c>
      <c r="C485" s="1" t="s">
        <v>30</v>
      </c>
      <c r="D485" s="1" t="s">
        <v>31</v>
      </c>
      <c r="E485" s="1" t="s">
        <v>32</v>
      </c>
      <c r="F485" s="1" t="s">
        <v>17</v>
      </c>
      <c r="G485" s="1" t="s">
        <v>26</v>
      </c>
      <c r="H485" s="1">
        <v>16464</v>
      </c>
      <c r="I485" s="1" t="s">
        <v>27</v>
      </c>
      <c r="J485" s="1"/>
      <c r="K485" s="1">
        <v>17000</v>
      </c>
      <c r="L485" s="2">
        <v>45306</v>
      </c>
    </row>
    <row r="486" spans="1:12" x14ac:dyDescent="0.35">
      <c r="A486" s="1" t="s">
        <v>706</v>
      </c>
      <c r="B486" s="1" t="s">
        <v>325</v>
      </c>
      <c r="C486" s="1" t="s">
        <v>44</v>
      </c>
      <c r="D486" s="1" t="s">
        <v>45</v>
      </c>
      <c r="E486" s="1" t="s">
        <v>16</v>
      </c>
      <c r="F486" s="1" t="s">
        <v>25</v>
      </c>
      <c r="G486" s="1" t="s">
        <v>36</v>
      </c>
      <c r="H486" s="1">
        <v>13185</v>
      </c>
      <c r="I486" s="1" t="s">
        <v>22</v>
      </c>
      <c r="J486" s="1">
        <v>0.1</v>
      </c>
      <c r="K486" s="1">
        <v>13000</v>
      </c>
      <c r="L486" s="2">
        <v>45340</v>
      </c>
    </row>
    <row r="487" spans="1:12" x14ac:dyDescent="0.35">
      <c r="A487" s="1" t="s">
        <v>707</v>
      </c>
      <c r="B487" s="1" t="s">
        <v>56</v>
      </c>
      <c r="C487" s="1" t="s">
        <v>61</v>
      </c>
      <c r="D487" s="1" t="s">
        <v>62</v>
      </c>
      <c r="E487" s="1" t="s">
        <v>46</v>
      </c>
      <c r="F487" s="1" t="s">
        <v>25</v>
      </c>
      <c r="G487" s="1" t="s">
        <v>18</v>
      </c>
      <c r="H487" s="1">
        <v>7968</v>
      </c>
      <c r="I487" s="1" t="s">
        <v>27</v>
      </c>
      <c r="J487" s="1"/>
      <c r="K487" s="1">
        <v>9000</v>
      </c>
      <c r="L487" s="2">
        <v>45312</v>
      </c>
    </row>
    <row r="488" spans="1:12" x14ac:dyDescent="0.35">
      <c r="A488" s="1" t="s">
        <v>708</v>
      </c>
      <c r="B488" s="1" t="s">
        <v>296</v>
      </c>
      <c r="C488" s="1" t="s">
        <v>30</v>
      </c>
      <c r="D488" s="1" t="s">
        <v>31</v>
      </c>
      <c r="E488" s="1" t="s">
        <v>16</v>
      </c>
      <c r="F488" s="1" t="s">
        <v>25</v>
      </c>
      <c r="G488" s="1" t="s">
        <v>26</v>
      </c>
      <c r="H488" s="1">
        <v>17869</v>
      </c>
      <c r="I488" s="1" t="s">
        <v>33</v>
      </c>
      <c r="J488" s="1">
        <v>0.3</v>
      </c>
      <c r="K488" s="1">
        <v>17000</v>
      </c>
      <c r="L488" s="2">
        <v>45352</v>
      </c>
    </row>
    <row r="489" spans="1:12" x14ac:dyDescent="0.35">
      <c r="A489" s="1" t="s">
        <v>709</v>
      </c>
      <c r="B489" s="1" t="s">
        <v>195</v>
      </c>
      <c r="C489" s="1" t="s">
        <v>44</v>
      </c>
      <c r="D489" s="1" t="s">
        <v>45</v>
      </c>
      <c r="E489" s="1" t="s">
        <v>16</v>
      </c>
      <c r="F489" s="1" t="s">
        <v>25</v>
      </c>
      <c r="G489" s="1" t="s">
        <v>36</v>
      </c>
      <c r="H489" s="1">
        <v>13220</v>
      </c>
      <c r="I489" s="1" t="s">
        <v>33</v>
      </c>
      <c r="J489" s="1">
        <v>0.3</v>
      </c>
      <c r="K489" s="1">
        <v>13000</v>
      </c>
      <c r="L489" s="2">
        <v>45303</v>
      </c>
    </row>
    <row r="490" spans="1:12" x14ac:dyDescent="0.35">
      <c r="A490" s="1" t="s">
        <v>710</v>
      </c>
      <c r="B490" s="1" t="s">
        <v>711</v>
      </c>
      <c r="C490" s="1" t="s">
        <v>14</v>
      </c>
      <c r="D490" s="1" t="s">
        <v>15</v>
      </c>
      <c r="E490" s="1" t="s">
        <v>32</v>
      </c>
      <c r="F490" s="1" t="s">
        <v>25</v>
      </c>
      <c r="G490" s="1" t="s">
        <v>26</v>
      </c>
      <c r="H490" s="1">
        <v>12896</v>
      </c>
      <c r="I490" s="1" t="s">
        <v>22</v>
      </c>
      <c r="J490" s="1">
        <v>0.1</v>
      </c>
      <c r="K490" s="1">
        <v>14000</v>
      </c>
      <c r="L490" s="2">
        <v>45325</v>
      </c>
    </row>
    <row r="491" spans="1:12" x14ac:dyDescent="0.35">
      <c r="A491" s="1" t="s">
        <v>712</v>
      </c>
      <c r="B491" s="1" t="s">
        <v>711</v>
      </c>
      <c r="C491" s="1" t="s">
        <v>30</v>
      </c>
      <c r="D491" s="1" t="s">
        <v>31</v>
      </c>
      <c r="E491" s="1" t="s">
        <v>16</v>
      </c>
      <c r="F491" s="1" t="s">
        <v>25</v>
      </c>
      <c r="G491" s="1" t="s">
        <v>18</v>
      </c>
      <c r="H491" s="1">
        <v>16395</v>
      </c>
      <c r="I491" s="1" t="s">
        <v>19</v>
      </c>
      <c r="J491" s="1">
        <v>0.2</v>
      </c>
      <c r="K491" s="1">
        <v>17000</v>
      </c>
      <c r="L491" s="2">
        <v>45350</v>
      </c>
    </row>
    <row r="492" spans="1:12" x14ac:dyDescent="0.35">
      <c r="A492" s="1" t="s">
        <v>713</v>
      </c>
      <c r="B492" s="1" t="s">
        <v>140</v>
      </c>
      <c r="C492" s="1" t="s">
        <v>30</v>
      </c>
      <c r="D492" s="1" t="s">
        <v>31</v>
      </c>
      <c r="E492" s="1" t="s">
        <v>32</v>
      </c>
      <c r="F492" s="1" t="s">
        <v>25</v>
      </c>
      <c r="G492" s="1" t="s">
        <v>18</v>
      </c>
      <c r="H492" s="1">
        <v>17402</v>
      </c>
      <c r="I492" s="1" t="s">
        <v>19</v>
      </c>
      <c r="J492" s="1">
        <v>0.2</v>
      </c>
      <c r="K492" s="1">
        <v>17000</v>
      </c>
      <c r="L492" s="2">
        <v>45341</v>
      </c>
    </row>
    <row r="493" spans="1:12" x14ac:dyDescent="0.35">
      <c r="A493" s="1" t="s">
        <v>714</v>
      </c>
      <c r="B493" s="1" t="s">
        <v>159</v>
      </c>
      <c r="C493" s="1" t="s">
        <v>30</v>
      </c>
      <c r="D493" s="1" t="s">
        <v>31</v>
      </c>
      <c r="E493" s="1" t="s">
        <v>32</v>
      </c>
      <c r="F493" s="1" t="s">
        <v>17</v>
      </c>
      <c r="G493" s="1" t="s">
        <v>26</v>
      </c>
      <c r="H493" s="1">
        <v>18858</v>
      </c>
      <c r="I493" s="1"/>
      <c r="J493" s="1"/>
      <c r="K493" s="1">
        <v>17000</v>
      </c>
      <c r="L493" s="2">
        <v>45329</v>
      </c>
    </row>
    <row r="494" spans="1:12" x14ac:dyDescent="0.35">
      <c r="A494" s="1" t="s">
        <v>715</v>
      </c>
      <c r="B494" s="1" t="s">
        <v>432</v>
      </c>
      <c r="C494" s="1" t="s">
        <v>30</v>
      </c>
      <c r="D494" s="1" t="s">
        <v>31</v>
      </c>
      <c r="E494" s="1" t="s">
        <v>46</v>
      </c>
      <c r="F494" s="1" t="s">
        <v>25</v>
      </c>
      <c r="G494" s="1" t="s">
        <v>18</v>
      </c>
      <c r="H494" s="1">
        <v>17999</v>
      </c>
      <c r="I494" s="1"/>
      <c r="J494" s="1"/>
      <c r="K494" s="1">
        <v>17000</v>
      </c>
      <c r="L494" s="2">
        <v>45342</v>
      </c>
    </row>
    <row r="495" spans="1:12" x14ac:dyDescent="0.35">
      <c r="A495" s="1" t="s">
        <v>716</v>
      </c>
      <c r="B495" s="1" t="s">
        <v>591</v>
      </c>
      <c r="C495" s="1" t="s">
        <v>30</v>
      </c>
      <c r="D495" s="1" t="s">
        <v>31</v>
      </c>
      <c r="E495" s="1" t="s">
        <v>32</v>
      </c>
      <c r="F495" s="1" t="s">
        <v>39</v>
      </c>
      <c r="G495" s="1" t="s">
        <v>26</v>
      </c>
      <c r="H495" s="1">
        <v>17840</v>
      </c>
      <c r="I495" s="1" t="s">
        <v>27</v>
      </c>
      <c r="J495" s="1"/>
      <c r="K495" s="1">
        <v>17000</v>
      </c>
      <c r="L495" s="2">
        <v>45342</v>
      </c>
    </row>
    <row r="496" spans="1:12" x14ac:dyDescent="0.35">
      <c r="A496" s="1" t="s">
        <v>717</v>
      </c>
      <c r="B496" s="1" t="s">
        <v>408</v>
      </c>
      <c r="C496" s="1" t="s">
        <v>44</v>
      </c>
      <c r="D496" s="1" t="s">
        <v>45</v>
      </c>
      <c r="E496" s="1" t="s">
        <v>46</v>
      </c>
      <c r="F496" s="1" t="s">
        <v>17</v>
      </c>
      <c r="G496" s="1" t="s">
        <v>26</v>
      </c>
      <c r="H496" s="1">
        <v>13820</v>
      </c>
      <c r="I496" s="1" t="s">
        <v>33</v>
      </c>
      <c r="J496" s="1">
        <v>0.3</v>
      </c>
      <c r="K496" s="1">
        <v>13000</v>
      </c>
      <c r="L496" s="2">
        <v>45300</v>
      </c>
    </row>
    <row r="497" spans="1:12" x14ac:dyDescent="0.35">
      <c r="A497" s="1" t="s">
        <v>718</v>
      </c>
      <c r="B497" s="1" t="s">
        <v>280</v>
      </c>
      <c r="C497" s="1" t="s">
        <v>14</v>
      </c>
      <c r="D497" s="1" t="s">
        <v>15</v>
      </c>
      <c r="E497" s="1" t="s">
        <v>16</v>
      </c>
      <c r="F497" s="1" t="s">
        <v>39</v>
      </c>
      <c r="G497" s="1" t="s">
        <v>36</v>
      </c>
      <c r="H497" s="1">
        <v>15484</v>
      </c>
      <c r="I497" s="1" t="s">
        <v>27</v>
      </c>
      <c r="J497" s="1"/>
      <c r="K497" s="1">
        <v>14000</v>
      </c>
      <c r="L497" s="2">
        <v>45294</v>
      </c>
    </row>
    <row r="498" spans="1:12" x14ac:dyDescent="0.35">
      <c r="A498" s="1" t="s">
        <v>719</v>
      </c>
      <c r="B498" s="1" t="s">
        <v>720</v>
      </c>
      <c r="C498" s="1" t="s">
        <v>30</v>
      </c>
      <c r="D498" s="1" t="s">
        <v>31</v>
      </c>
      <c r="E498" s="1" t="s">
        <v>16</v>
      </c>
      <c r="F498" s="1" t="s">
        <v>25</v>
      </c>
      <c r="G498" s="1" t="s">
        <v>26</v>
      </c>
      <c r="H498" s="1">
        <v>17316</v>
      </c>
      <c r="I498" s="1" t="s">
        <v>22</v>
      </c>
      <c r="J498" s="1">
        <v>0.1</v>
      </c>
      <c r="K498" s="1">
        <v>17000</v>
      </c>
      <c r="L498" s="2">
        <v>45351</v>
      </c>
    </row>
    <row r="499" spans="1:12" x14ac:dyDescent="0.35">
      <c r="A499" s="1" t="s">
        <v>721</v>
      </c>
      <c r="B499" s="1" t="s">
        <v>508</v>
      </c>
      <c r="C499" s="1" t="s">
        <v>30</v>
      </c>
      <c r="D499" s="1" t="s">
        <v>31</v>
      </c>
      <c r="E499" s="1" t="s">
        <v>16</v>
      </c>
      <c r="F499" s="1" t="s">
        <v>25</v>
      </c>
      <c r="G499" s="1" t="s">
        <v>18</v>
      </c>
      <c r="H499" s="1">
        <v>16420</v>
      </c>
      <c r="I499" s="1" t="s">
        <v>33</v>
      </c>
      <c r="J499" s="1">
        <v>0.3</v>
      </c>
      <c r="K499" s="1">
        <v>17000</v>
      </c>
      <c r="L499" s="2">
        <v>45302</v>
      </c>
    </row>
    <row r="500" spans="1:12" x14ac:dyDescent="0.35">
      <c r="A500" s="1" t="s">
        <v>722</v>
      </c>
      <c r="B500" s="1" t="s">
        <v>13</v>
      </c>
      <c r="C500" s="1" t="s">
        <v>30</v>
      </c>
      <c r="D500" s="1" t="s">
        <v>31</v>
      </c>
      <c r="E500" s="1" t="s">
        <v>46</v>
      </c>
      <c r="F500" s="1" t="s">
        <v>25</v>
      </c>
      <c r="G500" s="1" t="s">
        <v>36</v>
      </c>
      <c r="H500" s="1">
        <v>15858</v>
      </c>
      <c r="I500" s="1" t="s">
        <v>19</v>
      </c>
      <c r="J500" s="1">
        <v>0.2</v>
      </c>
      <c r="K500" s="1">
        <v>17000</v>
      </c>
      <c r="L500" s="2">
        <v>45336</v>
      </c>
    </row>
    <row r="501" spans="1:12" x14ac:dyDescent="0.35">
      <c r="A501" s="1" t="s">
        <v>723</v>
      </c>
      <c r="B501" s="1" t="s">
        <v>432</v>
      </c>
      <c r="C501" s="1" t="s">
        <v>30</v>
      </c>
      <c r="D501" s="1" t="s">
        <v>31</v>
      </c>
      <c r="E501" s="1" t="s">
        <v>32</v>
      </c>
      <c r="F501" s="1" t="s">
        <v>39</v>
      </c>
      <c r="G501" s="1" t="s">
        <v>18</v>
      </c>
      <c r="H501" s="1">
        <v>15197</v>
      </c>
      <c r="I501" s="1"/>
      <c r="J501" s="1"/>
      <c r="K501" s="1">
        <v>17000</v>
      </c>
      <c r="L501" s="2">
        <v>45320</v>
      </c>
    </row>
    <row r="502" spans="1:12" x14ac:dyDescent="0.35">
      <c r="A502" s="1" t="s">
        <v>724</v>
      </c>
      <c r="B502" s="1" t="s">
        <v>127</v>
      </c>
      <c r="C502" s="1" t="s">
        <v>44</v>
      </c>
      <c r="D502" s="1" t="s">
        <v>45</v>
      </c>
      <c r="E502" s="1" t="s">
        <v>46</v>
      </c>
      <c r="F502" s="1" t="s">
        <v>17</v>
      </c>
      <c r="G502" s="1" t="s">
        <v>36</v>
      </c>
      <c r="H502" s="1">
        <v>12438</v>
      </c>
      <c r="I502" s="1" t="s">
        <v>27</v>
      </c>
      <c r="J502" s="1"/>
      <c r="K502" s="1">
        <v>13000</v>
      </c>
      <c r="L502" s="2">
        <v>45316</v>
      </c>
    </row>
    <row r="503" spans="1:12" x14ac:dyDescent="0.35">
      <c r="A503" s="1" t="s">
        <v>725</v>
      </c>
      <c r="B503" s="1" t="s">
        <v>159</v>
      </c>
      <c r="C503" s="1" t="s">
        <v>61</v>
      </c>
      <c r="D503" s="1" t="s">
        <v>62</v>
      </c>
      <c r="E503" s="1" t="s">
        <v>16</v>
      </c>
      <c r="F503" s="1" t="s">
        <v>39</v>
      </c>
      <c r="G503" s="1" t="s">
        <v>26</v>
      </c>
      <c r="H503" s="1">
        <v>7923</v>
      </c>
      <c r="I503" s="1" t="s">
        <v>19</v>
      </c>
      <c r="J503" s="1">
        <v>0.2</v>
      </c>
      <c r="K503" s="1">
        <v>9000</v>
      </c>
      <c r="L503" s="2">
        <v>45320</v>
      </c>
    </row>
    <row r="504" spans="1:12" x14ac:dyDescent="0.35">
      <c r="A504" s="1" t="s">
        <v>726</v>
      </c>
      <c r="B504" s="1" t="s">
        <v>200</v>
      </c>
      <c r="C504" s="1" t="s">
        <v>14</v>
      </c>
      <c r="D504" s="1" t="s">
        <v>15</v>
      </c>
      <c r="E504" s="1" t="s">
        <v>46</v>
      </c>
      <c r="F504" s="1" t="s">
        <v>25</v>
      </c>
      <c r="G504" s="1" t="s">
        <v>36</v>
      </c>
      <c r="H504" s="1">
        <v>13069</v>
      </c>
      <c r="I504" s="1" t="s">
        <v>22</v>
      </c>
      <c r="J504" s="1">
        <v>0.1</v>
      </c>
      <c r="K504" s="1">
        <v>14000</v>
      </c>
      <c r="L504" s="2">
        <v>45296</v>
      </c>
    </row>
    <row r="505" spans="1:12" x14ac:dyDescent="0.35">
      <c r="A505" s="1" t="s">
        <v>727</v>
      </c>
      <c r="B505" s="1" t="s">
        <v>728</v>
      </c>
      <c r="C505" s="1" t="s">
        <v>61</v>
      </c>
      <c r="D505" s="1" t="s">
        <v>62</v>
      </c>
      <c r="E505" s="1" t="s">
        <v>32</v>
      </c>
      <c r="F505" s="1" t="s">
        <v>39</v>
      </c>
      <c r="G505" s="1" t="s">
        <v>18</v>
      </c>
      <c r="H505" s="1">
        <v>9240</v>
      </c>
      <c r="I505" s="1" t="s">
        <v>22</v>
      </c>
      <c r="J505" s="1">
        <v>0.1</v>
      </c>
      <c r="K505" s="1">
        <v>9000</v>
      </c>
      <c r="L505" s="2">
        <v>45313</v>
      </c>
    </row>
    <row r="506" spans="1:12" x14ac:dyDescent="0.35">
      <c r="A506" s="1" t="s">
        <v>729</v>
      </c>
      <c r="B506" s="1" t="s">
        <v>195</v>
      </c>
      <c r="C506" s="1" t="s">
        <v>61</v>
      </c>
      <c r="D506" s="1" t="s">
        <v>62</v>
      </c>
      <c r="E506" s="1" t="s">
        <v>16</v>
      </c>
      <c r="F506" s="1" t="s">
        <v>25</v>
      </c>
      <c r="G506" s="1" t="s">
        <v>36</v>
      </c>
      <c r="H506" s="1">
        <v>10860</v>
      </c>
      <c r="I506" s="1" t="s">
        <v>19</v>
      </c>
      <c r="J506" s="1">
        <v>0.2</v>
      </c>
      <c r="K506" s="1">
        <v>9000</v>
      </c>
      <c r="L506" s="2">
        <v>45330</v>
      </c>
    </row>
    <row r="507" spans="1:12" x14ac:dyDescent="0.35">
      <c r="A507" s="1" t="s">
        <v>730</v>
      </c>
      <c r="B507" s="1" t="s">
        <v>137</v>
      </c>
      <c r="C507" s="1" t="s">
        <v>44</v>
      </c>
      <c r="D507" s="1" t="s">
        <v>45</v>
      </c>
      <c r="E507" s="1" t="s">
        <v>32</v>
      </c>
      <c r="F507" s="1" t="s">
        <v>25</v>
      </c>
      <c r="G507" s="1" t="s">
        <v>36</v>
      </c>
      <c r="H507" s="1">
        <v>11841</v>
      </c>
      <c r="I507" s="1" t="s">
        <v>19</v>
      </c>
      <c r="J507" s="1">
        <v>0.2</v>
      </c>
      <c r="K507" s="1">
        <v>13000</v>
      </c>
      <c r="L507" s="2">
        <v>45318</v>
      </c>
    </row>
    <row r="508" spans="1:12" x14ac:dyDescent="0.35">
      <c r="A508" s="1" t="s">
        <v>731</v>
      </c>
      <c r="B508" s="1" t="s">
        <v>103</v>
      </c>
      <c r="C508" s="1" t="s">
        <v>30</v>
      </c>
      <c r="D508" s="1" t="s">
        <v>31</v>
      </c>
      <c r="E508" s="1" t="s">
        <v>16</v>
      </c>
      <c r="F508" s="1" t="s">
        <v>17</v>
      </c>
      <c r="G508" s="1" t="s">
        <v>36</v>
      </c>
      <c r="H508" s="1">
        <v>15972</v>
      </c>
      <c r="I508" s="1" t="s">
        <v>22</v>
      </c>
      <c r="J508" s="1">
        <v>0.1</v>
      </c>
      <c r="K508" s="1">
        <v>17000</v>
      </c>
      <c r="L508" s="2">
        <v>45295</v>
      </c>
    </row>
    <row r="509" spans="1:12" x14ac:dyDescent="0.35">
      <c r="A509" s="1" t="s">
        <v>732</v>
      </c>
      <c r="B509" s="1" t="s">
        <v>617</v>
      </c>
      <c r="C509" s="1" t="s">
        <v>61</v>
      </c>
      <c r="D509" s="1" t="s">
        <v>62</v>
      </c>
      <c r="E509" s="1" t="s">
        <v>32</v>
      </c>
      <c r="F509" s="1" t="s">
        <v>25</v>
      </c>
      <c r="G509" s="1" t="s">
        <v>36</v>
      </c>
      <c r="H509" s="1">
        <v>7015</v>
      </c>
      <c r="I509" s="1"/>
      <c r="J509" s="1"/>
      <c r="K509" s="1">
        <v>9000</v>
      </c>
      <c r="L509" s="2">
        <v>45297</v>
      </c>
    </row>
    <row r="510" spans="1:12" x14ac:dyDescent="0.35">
      <c r="A510" s="1" t="s">
        <v>733</v>
      </c>
      <c r="B510" s="1" t="s">
        <v>142</v>
      </c>
      <c r="C510" s="1" t="s">
        <v>61</v>
      </c>
      <c r="D510" s="1" t="s">
        <v>62</v>
      </c>
      <c r="E510" s="1" t="s">
        <v>32</v>
      </c>
      <c r="F510" s="1" t="s">
        <v>25</v>
      </c>
      <c r="G510" s="1" t="s">
        <v>18</v>
      </c>
      <c r="H510" s="1">
        <v>7847</v>
      </c>
      <c r="I510" s="1" t="s">
        <v>19</v>
      </c>
      <c r="J510" s="1">
        <v>0.2</v>
      </c>
      <c r="K510" s="1">
        <v>9000</v>
      </c>
      <c r="L510" s="2">
        <v>45332</v>
      </c>
    </row>
    <row r="511" spans="1:12" x14ac:dyDescent="0.35">
      <c r="A511" s="1" t="s">
        <v>734</v>
      </c>
      <c r="B511" s="1" t="s">
        <v>222</v>
      </c>
      <c r="C511" s="1" t="s">
        <v>61</v>
      </c>
      <c r="D511" s="1" t="s">
        <v>62</v>
      </c>
      <c r="E511" s="1" t="s">
        <v>32</v>
      </c>
      <c r="F511" s="1" t="s">
        <v>17</v>
      </c>
      <c r="G511" s="1" t="s">
        <v>36</v>
      </c>
      <c r="H511" s="1">
        <v>8928</v>
      </c>
      <c r="I511" s="1"/>
      <c r="J511" s="1"/>
      <c r="K511" s="1">
        <v>9000</v>
      </c>
      <c r="L511" s="2">
        <v>45349</v>
      </c>
    </row>
    <row r="512" spans="1:12" x14ac:dyDescent="0.35">
      <c r="A512" s="1" t="s">
        <v>735</v>
      </c>
      <c r="B512" s="1" t="s">
        <v>278</v>
      </c>
      <c r="C512" s="1" t="s">
        <v>14</v>
      </c>
      <c r="D512" s="1" t="s">
        <v>15</v>
      </c>
      <c r="E512" s="1" t="s">
        <v>16</v>
      </c>
      <c r="F512" s="1" t="s">
        <v>39</v>
      </c>
      <c r="G512" s="1" t="s">
        <v>36</v>
      </c>
      <c r="H512" s="1">
        <v>12757</v>
      </c>
      <c r="I512" s="1" t="s">
        <v>33</v>
      </c>
      <c r="J512" s="1">
        <v>0.3</v>
      </c>
      <c r="K512" s="1">
        <v>14000</v>
      </c>
      <c r="L512" s="2">
        <v>45348</v>
      </c>
    </row>
    <row r="513" spans="1:12" x14ac:dyDescent="0.35">
      <c r="A513" s="1" t="s">
        <v>736</v>
      </c>
      <c r="B513" s="1" t="s">
        <v>474</v>
      </c>
      <c r="C513" s="1" t="s">
        <v>44</v>
      </c>
      <c r="D513" s="1" t="s">
        <v>45</v>
      </c>
      <c r="E513" s="1" t="s">
        <v>46</v>
      </c>
      <c r="F513" s="1" t="s">
        <v>25</v>
      </c>
      <c r="G513" s="1" t="s">
        <v>36</v>
      </c>
      <c r="H513" s="1">
        <v>12801</v>
      </c>
      <c r="I513" s="1"/>
      <c r="J513" s="1"/>
      <c r="K513" s="1">
        <v>13000</v>
      </c>
      <c r="L513" s="2">
        <v>45308</v>
      </c>
    </row>
    <row r="514" spans="1:12" x14ac:dyDescent="0.35">
      <c r="A514" s="1" t="s">
        <v>737</v>
      </c>
      <c r="B514" s="1" t="s">
        <v>171</v>
      </c>
      <c r="C514" s="1" t="s">
        <v>30</v>
      </c>
      <c r="D514" s="1" t="s">
        <v>31</v>
      </c>
      <c r="E514" s="1" t="s">
        <v>16</v>
      </c>
      <c r="F514" s="1" t="s">
        <v>25</v>
      </c>
      <c r="G514" s="1" t="s">
        <v>18</v>
      </c>
      <c r="H514" s="1">
        <v>18081</v>
      </c>
      <c r="I514" s="1" t="s">
        <v>22</v>
      </c>
      <c r="J514" s="1">
        <v>0.1</v>
      </c>
      <c r="K514" s="1">
        <v>17000</v>
      </c>
      <c r="L514" s="2">
        <v>45297</v>
      </c>
    </row>
    <row r="515" spans="1:12" x14ac:dyDescent="0.35">
      <c r="A515" s="1" t="s">
        <v>738</v>
      </c>
      <c r="B515" s="1" t="s">
        <v>317</v>
      </c>
      <c r="C515" s="1" t="s">
        <v>61</v>
      </c>
      <c r="D515" s="1" t="s">
        <v>62</v>
      </c>
      <c r="E515" s="1" t="s">
        <v>16</v>
      </c>
      <c r="F515" s="1" t="s">
        <v>25</v>
      </c>
      <c r="G515" s="1" t="s">
        <v>26</v>
      </c>
      <c r="H515" s="1">
        <v>7249</v>
      </c>
      <c r="I515" s="1"/>
      <c r="J515" s="1"/>
      <c r="K515" s="1">
        <v>9000</v>
      </c>
      <c r="L515" s="2">
        <v>45344</v>
      </c>
    </row>
    <row r="516" spans="1:12" x14ac:dyDescent="0.35">
      <c r="A516" s="1" t="s">
        <v>739</v>
      </c>
      <c r="B516" s="1" t="s">
        <v>388</v>
      </c>
      <c r="C516" s="1" t="s">
        <v>61</v>
      </c>
      <c r="D516" s="1" t="s">
        <v>62</v>
      </c>
      <c r="E516" s="1" t="s">
        <v>16</v>
      </c>
      <c r="F516" s="1" t="s">
        <v>25</v>
      </c>
      <c r="G516" s="1" t="s">
        <v>36</v>
      </c>
      <c r="H516" s="1">
        <v>8224</v>
      </c>
      <c r="I516" s="1" t="s">
        <v>22</v>
      </c>
      <c r="J516" s="1">
        <v>0.1</v>
      </c>
      <c r="K516" s="1">
        <v>9000</v>
      </c>
      <c r="L516" s="2">
        <v>45317</v>
      </c>
    </row>
    <row r="517" spans="1:12" x14ac:dyDescent="0.35">
      <c r="A517" s="1" t="s">
        <v>740</v>
      </c>
      <c r="B517" s="1" t="s">
        <v>454</v>
      </c>
      <c r="C517" s="1" t="s">
        <v>14</v>
      </c>
      <c r="D517" s="1" t="s">
        <v>15</v>
      </c>
      <c r="E517" s="1" t="s">
        <v>16</v>
      </c>
      <c r="F517" s="1" t="s">
        <v>39</v>
      </c>
      <c r="G517" s="1" t="s">
        <v>26</v>
      </c>
      <c r="H517" s="1">
        <v>15278</v>
      </c>
      <c r="I517" s="1" t="s">
        <v>27</v>
      </c>
      <c r="J517" s="1"/>
      <c r="K517" s="1">
        <v>14000</v>
      </c>
      <c r="L517" s="2">
        <v>45335</v>
      </c>
    </row>
    <row r="518" spans="1:12" x14ac:dyDescent="0.35">
      <c r="A518" s="1" t="s">
        <v>741</v>
      </c>
      <c r="B518" s="1" t="s">
        <v>373</v>
      </c>
      <c r="C518" s="1" t="s">
        <v>14</v>
      </c>
      <c r="D518" s="1" t="s">
        <v>15</v>
      </c>
      <c r="E518" s="1" t="s">
        <v>46</v>
      </c>
      <c r="F518" s="1" t="s">
        <v>25</v>
      </c>
      <c r="G518" s="1" t="s">
        <v>18</v>
      </c>
      <c r="H518" s="1">
        <v>15981</v>
      </c>
      <c r="I518" s="1" t="s">
        <v>19</v>
      </c>
      <c r="J518" s="1">
        <v>0.2</v>
      </c>
      <c r="K518" s="1">
        <v>14000</v>
      </c>
      <c r="L518" s="2">
        <v>45343</v>
      </c>
    </row>
    <row r="519" spans="1:12" x14ac:dyDescent="0.35">
      <c r="A519" s="1" t="s">
        <v>742</v>
      </c>
      <c r="B519" s="1" t="s">
        <v>235</v>
      </c>
      <c r="C519" s="1" t="s">
        <v>14</v>
      </c>
      <c r="D519" s="1" t="s">
        <v>15</v>
      </c>
      <c r="E519" s="1" t="s">
        <v>46</v>
      </c>
      <c r="F519" s="1" t="s">
        <v>25</v>
      </c>
      <c r="G519" s="1" t="s">
        <v>26</v>
      </c>
      <c r="H519" s="1">
        <v>13783</v>
      </c>
      <c r="I519" s="1" t="s">
        <v>19</v>
      </c>
      <c r="J519" s="1">
        <v>0.2</v>
      </c>
      <c r="K519" s="1">
        <v>14000</v>
      </c>
      <c r="L519" s="2">
        <v>45344</v>
      </c>
    </row>
    <row r="520" spans="1:12" x14ac:dyDescent="0.35">
      <c r="A520" s="1" t="s">
        <v>743</v>
      </c>
      <c r="B520" s="1" t="s">
        <v>422</v>
      </c>
      <c r="C520" s="1" t="s">
        <v>30</v>
      </c>
      <c r="D520" s="1" t="s">
        <v>31</v>
      </c>
      <c r="E520" s="1" t="s">
        <v>46</v>
      </c>
      <c r="F520" s="1" t="s">
        <v>39</v>
      </c>
      <c r="G520" s="1" t="s">
        <v>18</v>
      </c>
      <c r="H520" s="1">
        <v>15356</v>
      </c>
      <c r="I520" s="1"/>
      <c r="J520" s="1"/>
      <c r="K520" s="1">
        <v>17000</v>
      </c>
      <c r="L520" s="2">
        <v>45327</v>
      </c>
    </row>
    <row r="521" spans="1:12" x14ac:dyDescent="0.35">
      <c r="A521" s="1" t="s">
        <v>744</v>
      </c>
      <c r="B521" s="1" t="s">
        <v>512</v>
      </c>
      <c r="C521" s="1" t="s">
        <v>30</v>
      </c>
      <c r="D521" s="1" t="s">
        <v>31</v>
      </c>
      <c r="E521" s="1" t="s">
        <v>46</v>
      </c>
      <c r="F521" s="1" t="s">
        <v>39</v>
      </c>
      <c r="G521" s="1" t="s">
        <v>36</v>
      </c>
      <c r="H521" s="1">
        <v>18756</v>
      </c>
      <c r="I521" s="1" t="s">
        <v>22</v>
      </c>
      <c r="J521" s="1">
        <v>0.1</v>
      </c>
      <c r="K521" s="1">
        <v>17000</v>
      </c>
      <c r="L521" s="2">
        <v>45342</v>
      </c>
    </row>
    <row r="522" spans="1:12" x14ac:dyDescent="0.35">
      <c r="A522" s="1" t="s">
        <v>745</v>
      </c>
      <c r="B522" s="1" t="s">
        <v>672</v>
      </c>
      <c r="C522" s="1" t="s">
        <v>61</v>
      </c>
      <c r="D522" s="1" t="s">
        <v>62</v>
      </c>
      <c r="E522" s="1" t="s">
        <v>32</v>
      </c>
      <c r="F522" s="1" t="s">
        <v>17</v>
      </c>
      <c r="G522" s="1" t="s">
        <v>18</v>
      </c>
      <c r="H522" s="1">
        <v>7607</v>
      </c>
      <c r="I522" s="1" t="s">
        <v>27</v>
      </c>
      <c r="J522" s="1"/>
      <c r="K522" s="1">
        <v>9000</v>
      </c>
      <c r="L522" s="2">
        <v>45329</v>
      </c>
    </row>
    <row r="523" spans="1:12" x14ac:dyDescent="0.35">
      <c r="A523" s="1" t="s">
        <v>746</v>
      </c>
      <c r="B523" s="1" t="s">
        <v>579</v>
      </c>
      <c r="C523" s="1" t="s">
        <v>14</v>
      </c>
      <c r="D523" s="1" t="s">
        <v>15</v>
      </c>
      <c r="E523" s="1" t="s">
        <v>32</v>
      </c>
      <c r="F523" s="1" t="s">
        <v>39</v>
      </c>
      <c r="G523" s="1" t="s">
        <v>18</v>
      </c>
      <c r="H523" s="1">
        <v>15218</v>
      </c>
      <c r="I523" s="1" t="s">
        <v>33</v>
      </c>
      <c r="J523" s="1">
        <v>0.3</v>
      </c>
      <c r="K523" s="1">
        <v>14000</v>
      </c>
      <c r="L523" s="2">
        <v>45347</v>
      </c>
    </row>
    <row r="524" spans="1:12" x14ac:dyDescent="0.35">
      <c r="A524" s="1" t="s">
        <v>747</v>
      </c>
      <c r="B524" s="1" t="s">
        <v>217</v>
      </c>
      <c r="C524" s="1" t="s">
        <v>61</v>
      </c>
      <c r="D524" s="1" t="s">
        <v>62</v>
      </c>
      <c r="E524" s="1" t="s">
        <v>46</v>
      </c>
      <c r="F524" s="1" t="s">
        <v>17</v>
      </c>
      <c r="G524" s="1" t="s">
        <v>26</v>
      </c>
      <c r="H524" s="1">
        <v>8988</v>
      </c>
      <c r="I524" s="1" t="s">
        <v>27</v>
      </c>
      <c r="J524" s="1"/>
      <c r="K524" s="1">
        <v>9000</v>
      </c>
      <c r="L524" s="2">
        <v>45330</v>
      </c>
    </row>
    <row r="525" spans="1:12" x14ac:dyDescent="0.35">
      <c r="A525" s="1" t="s">
        <v>748</v>
      </c>
      <c r="B525" s="1" t="s">
        <v>711</v>
      </c>
      <c r="C525" s="1" t="s">
        <v>44</v>
      </c>
      <c r="D525" s="1" t="s">
        <v>45</v>
      </c>
      <c r="E525" s="1" t="s">
        <v>46</v>
      </c>
      <c r="F525" s="1" t="s">
        <v>17</v>
      </c>
      <c r="G525" s="1" t="s">
        <v>18</v>
      </c>
      <c r="H525" s="1">
        <v>13532</v>
      </c>
      <c r="I525" s="1" t="s">
        <v>27</v>
      </c>
      <c r="J525" s="1"/>
      <c r="K525" s="1">
        <v>13000</v>
      </c>
      <c r="L525" s="2">
        <v>45335</v>
      </c>
    </row>
    <row r="526" spans="1:12" x14ac:dyDescent="0.35">
      <c r="A526" s="1" t="s">
        <v>749</v>
      </c>
      <c r="B526" s="1" t="s">
        <v>127</v>
      </c>
      <c r="C526" s="1" t="s">
        <v>14</v>
      </c>
      <c r="D526" s="1" t="s">
        <v>15</v>
      </c>
      <c r="E526" s="1" t="s">
        <v>46</v>
      </c>
      <c r="F526" s="1" t="s">
        <v>17</v>
      </c>
      <c r="G526" s="1" t="s">
        <v>26</v>
      </c>
      <c r="H526" s="1">
        <v>12973</v>
      </c>
      <c r="I526" s="1" t="s">
        <v>22</v>
      </c>
      <c r="J526" s="1">
        <v>0.1</v>
      </c>
      <c r="K526" s="1">
        <v>14000</v>
      </c>
      <c r="L526" s="2">
        <v>45339</v>
      </c>
    </row>
    <row r="527" spans="1:12" x14ac:dyDescent="0.35">
      <c r="A527" s="1" t="s">
        <v>750</v>
      </c>
      <c r="B527" s="1" t="s">
        <v>123</v>
      </c>
      <c r="C527" s="1" t="s">
        <v>30</v>
      </c>
      <c r="D527" s="1" t="s">
        <v>31</v>
      </c>
      <c r="E527" s="1" t="s">
        <v>32</v>
      </c>
      <c r="F527" s="1" t="s">
        <v>17</v>
      </c>
      <c r="G527" s="1" t="s">
        <v>36</v>
      </c>
      <c r="H527" s="1">
        <v>16273</v>
      </c>
      <c r="I527" s="1" t="s">
        <v>33</v>
      </c>
      <c r="J527" s="1">
        <v>0.3</v>
      </c>
      <c r="K527" s="1">
        <v>17000</v>
      </c>
      <c r="L527" s="2">
        <v>45345</v>
      </c>
    </row>
    <row r="528" spans="1:12" x14ac:dyDescent="0.35">
      <c r="A528" s="1" t="s">
        <v>751</v>
      </c>
      <c r="B528" s="1" t="s">
        <v>752</v>
      </c>
      <c r="C528" s="1" t="s">
        <v>14</v>
      </c>
      <c r="D528" s="1" t="s">
        <v>15</v>
      </c>
      <c r="E528" s="1" t="s">
        <v>32</v>
      </c>
      <c r="F528" s="1" t="s">
        <v>25</v>
      </c>
      <c r="G528" s="1" t="s">
        <v>36</v>
      </c>
      <c r="H528" s="1">
        <v>15990</v>
      </c>
      <c r="I528" s="1"/>
      <c r="J528" s="1"/>
      <c r="K528" s="1">
        <v>14000</v>
      </c>
      <c r="L528" s="2">
        <v>45341</v>
      </c>
    </row>
    <row r="529" spans="1:12" x14ac:dyDescent="0.35">
      <c r="A529" s="1" t="s">
        <v>753</v>
      </c>
      <c r="B529" s="1" t="s">
        <v>303</v>
      </c>
      <c r="C529" s="1" t="s">
        <v>30</v>
      </c>
      <c r="D529" s="1" t="s">
        <v>31</v>
      </c>
      <c r="E529" s="1" t="s">
        <v>16</v>
      </c>
      <c r="F529" s="1" t="s">
        <v>17</v>
      </c>
      <c r="G529" s="1" t="s">
        <v>26</v>
      </c>
      <c r="H529" s="1">
        <v>17644</v>
      </c>
      <c r="I529" s="1" t="s">
        <v>22</v>
      </c>
      <c r="J529" s="1">
        <v>0.1</v>
      </c>
      <c r="K529" s="1">
        <v>17000</v>
      </c>
      <c r="L529" s="2">
        <v>45304</v>
      </c>
    </row>
    <row r="530" spans="1:12" x14ac:dyDescent="0.35">
      <c r="A530" s="1" t="s">
        <v>754</v>
      </c>
      <c r="B530" s="1" t="s">
        <v>211</v>
      </c>
      <c r="C530" s="1" t="s">
        <v>61</v>
      </c>
      <c r="D530" s="1" t="s">
        <v>62</v>
      </c>
      <c r="E530" s="1" t="s">
        <v>16</v>
      </c>
      <c r="F530" s="1" t="s">
        <v>17</v>
      </c>
      <c r="G530" s="1" t="s">
        <v>26</v>
      </c>
      <c r="H530" s="1">
        <v>10552</v>
      </c>
      <c r="I530" s="1" t="s">
        <v>33</v>
      </c>
      <c r="J530" s="1">
        <v>0.3</v>
      </c>
      <c r="K530" s="1">
        <v>9000</v>
      </c>
      <c r="L530" s="2">
        <v>45344</v>
      </c>
    </row>
    <row r="531" spans="1:12" x14ac:dyDescent="0.35">
      <c r="A531" s="1" t="s">
        <v>755</v>
      </c>
      <c r="B531" s="1" t="s">
        <v>166</v>
      </c>
      <c r="C531" s="1" t="s">
        <v>44</v>
      </c>
      <c r="D531" s="1" t="s">
        <v>45</v>
      </c>
      <c r="E531" s="1" t="s">
        <v>32</v>
      </c>
      <c r="F531" s="1" t="s">
        <v>17</v>
      </c>
      <c r="G531" s="1" t="s">
        <v>26</v>
      </c>
      <c r="H531" s="1">
        <v>13075</v>
      </c>
      <c r="I531" s="1"/>
      <c r="J531" s="1"/>
      <c r="K531" s="1">
        <v>13000</v>
      </c>
      <c r="L531" s="2">
        <v>45300</v>
      </c>
    </row>
    <row r="532" spans="1:12" x14ac:dyDescent="0.35">
      <c r="A532" s="1" t="s">
        <v>756</v>
      </c>
      <c r="B532" s="1" t="s">
        <v>140</v>
      </c>
      <c r="C532" s="1" t="s">
        <v>14</v>
      </c>
      <c r="D532" s="1" t="s">
        <v>15</v>
      </c>
      <c r="E532" s="1" t="s">
        <v>32</v>
      </c>
      <c r="F532" s="1" t="s">
        <v>25</v>
      </c>
      <c r="G532" s="1" t="s">
        <v>18</v>
      </c>
      <c r="H532" s="1">
        <v>15428</v>
      </c>
      <c r="I532" s="1" t="s">
        <v>22</v>
      </c>
      <c r="J532" s="1">
        <v>0.1</v>
      </c>
      <c r="K532" s="1">
        <v>14000</v>
      </c>
      <c r="L532" s="2">
        <v>45307</v>
      </c>
    </row>
    <row r="533" spans="1:12" x14ac:dyDescent="0.35">
      <c r="A533" s="1" t="s">
        <v>757</v>
      </c>
      <c r="B533" s="1" t="s">
        <v>489</v>
      </c>
      <c r="C533" s="1" t="s">
        <v>14</v>
      </c>
      <c r="D533" s="1" t="s">
        <v>15</v>
      </c>
      <c r="E533" s="1" t="s">
        <v>46</v>
      </c>
      <c r="F533" s="1" t="s">
        <v>39</v>
      </c>
      <c r="G533" s="1" t="s">
        <v>18</v>
      </c>
      <c r="H533" s="1">
        <v>13122</v>
      </c>
      <c r="I533" s="1" t="s">
        <v>33</v>
      </c>
      <c r="J533" s="1">
        <v>0.3</v>
      </c>
      <c r="K533" s="1">
        <v>14000</v>
      </c>
      <c r="L533" s="2">
        <v>45344</v>
      </c>
    </row>
    <row r="534" spans="1:12" x14ac:dyDescent="0.35">
      <c r="A534" s="1" t="s">
        <v>758</v>
      </c>
      <c r="B534" s="1" t="s">
        <v>330</v>
      </c>
      <c r="C534" s="1" t="s">
        <v>61</v>
      </c>
      <c r="D534" s="1" t="s">
        <v>62</v>
      </c>
      <c r="E534" s="1" t="s">
        <v>16</v>
      </c>
      <c r="F534" s="1" t="s">
        <v>25</v>
      </c>
      <c r="G534" s="1" t="s">
        <v>26</v>
      </c>
      <c r="H534" s="1">
        <v>7125</v>
      </c>
      <c r="I534" s="1" t="s">
        <v>19</v>
      </c>
      <c r="J534" s="1">
        <v>0.2</v>
      </c>
      <c r="K534" s="1">
        <v>9000</v>
      </c>
      <c r="L534" s="2">
        <v>45315</v>
      </c>
    </row>
    <row r="535" spans="1:12" x14ac:dyDescent="0.35">
      <c r="A535" s="1" t="s">
        <v>759</v>
      </c>
      <c r="B535" s="1" t="s">
        <v>600</v>
      </c>
      <c r="C535" s="1" t="s">
        <v>61</v>
      </c>
      <c r="D535" s="1" t="s">
        <v>62</v>
      </c>
      <c r="E535" s="1" t="s">
        <v>32</v>
      </c>
      <c r="F535" s="1" t="s">
        <v>17</v>
      </c>
      <c r="G535" s="1" t="s">
        <v>26</v>
      </c>
      <c r="H535" s="1">
        <v>9258</v>
      </c>
      <c r="I535" s="1" t="s">
        <v>33</v>
      </c>
      <c r="J535" s="1">
        <v>0.3</v>
      </c>
      <c r="K535" s="1">
        <v>9000</v>
      </c>
      <c r="L535" s="2">
        <v>45314</v>
      </c>
    </row>
    <row r="536" spans="1:12" x14ac:dyDescent="0.35">
      <c r="A536" s="1" t="s">
        <v>760</v>
      </c>
      <c r="B536" s="1" t="s">
        <v>619</v>
      </c>
      <c r="C536" s="1" t="s">
        <v>30</v>
      </c>
      <c r="D536" s="1" t="s">
        <v>31</v>
      </c>
      <c r="E536" s="1" t="s">
        <v>16</v>
      </c>
      <c r="F536" s="1" t="s">
        <v>39</v>
      </c>
      <c r="G536" s="1" t="s">
        <v>18</v>
      </c>
      <c r="H536" s="1">
        <v>16167</v>
      </c>
      <c r="I536" s="1" t="s">
        <v>22</v>
      </c>
      <c r="J536" s="1">
        <v>0.1</v>
      </c>
      <c r="K536" s="1">
        <v>17000</v>
      </c>
      <c r="L536" s="2">
        <v>45316</v>
      </c>
    </row>
    <row r="537" spans="1:12" x14ac:dyDescent="0.35">
      <c r="A537" s="1" t="s">
        <v>761</v>
      </c>
      <c r="B537" s="1" t="s">
        <v>243</v>
      </c>
      <c r="C537" s="1" t="s">
        <v>44</v>
      </c>
      <c r="D537" s="1" t="s">
        <v>45</v>
      </c>
      <c r="E537" s="1" t="s">
        <v>32</v>
      </c>
      <c r="F537" s="1" t="s">
        <v>39</v>
      </c>
      <c r="G537" s="1" t="s">
        <v>18</v>
      </c>
      <c r="H537" s="1">
        <v>13775</v>
      </c>
      <c r="I537" s="1" t="s">
        <v>19</v>
      </c>
      <c r="J537" s="1">
        <v>0.2</v>
      </c>
      <c r="K537" s="1">
        <v>13000</v>
      </c>
      <c r="L537" s="2">
        <v>45309</v>
      </c>
    </row>
    <row r="538" spans="1:12" x14ac:dyDescent="0.35">
      <c r="A538" s="1" t="s">
        <v>762</v>
      </c>
      <c r="B538" s="1" t="s">
        <v>90</v>
      </c>
      <c r="C538" s="1" t="s">
        <v>14</v>
      </c>
      <c r="D538" s="1" t="s">
        <v>15</v>
      </c>
      <c r="E538" s="1" t="s">
        <v>16</v>
      </c>
      <c r="F538" s="1" t="s">
        <v>25</v>
      </c>
      <c r="G538" s="1" t="s">
        <v>36</v>
      </c>
      <c r="H538" s="1">
        <v>15733</v>
      </c>
      <c r="I538" s="1" t="s">
        <v>19</v>
      </c>
      <c r="J538" s="1">
        <v>0.2</v>
      </c>
      <c r="K538" s="1">
        <v>14000</v>
      </c>
      <c r="L538" s="2">
        <v>45333</v>
      </c>
    </row>
    <row r="539" spans="1:12" x14ac:dyDescent="0.35">
      <c r="A539" s="1" t="s">
        <v>763</v>
      </c>
      <c r="B539" s="1" t="s">
        <v>720</v>
      </c>
      <c r="C539" s="1" t="s">
        <v>14</v>
      </c>
      <c r="D539" s="1" t="s">
        <v>15</v>
      </c>
      <c r="E539" s="1" t="s">
        <v>32</v>
      </c>
      <c r="F539" s="1" t="s">
        <v>17</v>
      </c>
      <c r="G539" s="1" t="s">
        <v>26</v>
      </c>
      <c r="H539" s="1">
        <v>15297</v>
      </c>
      <c r="I539" s="1" t="s">
        <v>33</v>
      </c>
      <c r="J539" s="1">
        <v>0.3</v>
      </c>
      <c r="K539" s="1">
        <v>14000</v>
      </c>
      <c r="L539" s="2">
        <v>45337</v>
      </c>
    </row>
    <row r="540" spans="1:12" x14ac:dyDescent="0.35">
      <c r="A540" s="1" t="s">
        <v>764</v>
      </c>
      <c r="B540" s="1" t="s">
        <v>765</v>
      </c>
      <c r="C540" s="1" t="s">
        <v>30</v>
      </c>
      <c r="D540" s="1" t="s">
        <v>31</v>
      </c>
      <c r="E540" s="1" t="s">
        <v>46</v>
      </c>
      <c r="F540" s="1" t="s">
        <v>17</v>
      </c>
      <c r="G540" s="1" t="s">
        <v>36</v>
      </c>
      <c r="H540" s="1">
        <v>16880</v>
      </c>
      <c r="I540" s="1" t="s">
        <v>33</v>
      </c>
      <c r="J540" s="1">
        <v>0.3</v>
      </c>
      <c r="K540" s="1">
        <v>17000</v>
      </c>
      <c r="L540" s="2">
        <v>45305</v>
      </c>
    </row>
    <row r="541" spans="1:12" x14ac:dyDescent="0.35">
      <c r="A541" s="1" t="s">
        <v>766</v>
      </c>
      <c r="B541" s="1" t="s">
        <v>123</v>
      </c>
      <c r="C541" s="1" t="s">
        <v>61</v>
      </c>
      <c r="D541" s="1" t="s">
        <v>62</v>
      </c>
      <c r="E541" s="1" t="s">
        <v>16</v>
      </c>
      <c r="F541" s="1" t="s">
        <v>25</v>
      </c>
      <c r="G541" s="1" t="s">
        <v>18</v>
      </c>
      <c r="H541" s="1">
        <v>9095</v>
      </c>
      <c r="I541" s="1" t="s">
        <v>33</v>
      </c>
      <c r="J541" s="1">
        <v>0.3</v>
      </c>
      <c r="K541" s="1">
        <v>9000</v>
      </c>
      <c r="L541" s="2">
        <v>45327</v>
      </c>
    </row>
    <row r="542" spans="1:12" x14ac:dyDescent="0.35">
      <c r="A542" s="1" t="s">
        <v>767</v>
      </c>
      <c r="B542" s="1" t="s">
        <v>163</v>
      </c>
      <c r="C542" s="1" t="s">
        <v>30</v>
      </c>
      <c r="D542" s="1" t="s">
        <v>31</v>
      </c>
      <c r="E542" s="1" t="s">
        <v>46</v>
      </c>
      <c r="F542" s="1" t="s">
        <v>39</v>
      </c>
      <c r="G542" s="1" t="s">
        <v>18</v>
      </c>
      <c r="H542" s="1">
        <v>16973</v>
      </c>
      <c r="I542" s="1" t="s">
        <v>22</v>
      </c>
      <c r="J542" s="1">
        <v>0.1</v>
      </c>
      <c r="K542" s="1">
        <v>17000</v>
      </c>
      <c r="L542" s="2">
        <v>45313</v>
      </c>
    </row>
    <row r="543" spans="1:12" x14ac:dyDescent="0.35">
      <c r="A543" s="1" t="s">
        <v>768</v>
      </c>
      <c r="B543" s="1" t="s">
        <v>286</v>
      </c>
      <c r="C543" s="1" t="s">
        <v>30</v>
      </c>
      <c r="D543" s="1" t="s">
        <v>31</v>
      </c>
      <c r="E543" s="1" t="s">
        <v>46</v>
      </c>
      <c r="F543" s="1" t="s">
        <v>17</v>
      </c>
      <c r="G543" s="1" t="s">
        <v>26</v>
      </c>
      <c r="H543" s="1">
        <v>17912</v>
      </c>
      <c r="I543" s="1" t="s">
        <v>33</v>
      </c>
      <c r="J543" s="1">
        <v>0.3</v>
      </c>
      <c r="K543" s="1">
        <v>17000</v>
      </c>
      <c r="L543" s="2">
        <v>45304</v>
      </c>
    </row>
    <row r="544" spans="1:12" x14ac:dyDescent="0.35">
      <c r="A544" s="1" t="s">
        <v>769</v>
      </c>
      <c r="B544" s="1" t="s">
        <v>440</v>
      </c>
      <c r="C544" s="1" t="s">
        <v>44</v>
      </c>
      <c r="D544" s="1" t="s">
        <v>45</v>
      </c>
      <c r="E544" s="1" t="s">
        <v>32</v>
      </c>
      <c r="F544" s="1" t="s">
        <v>39</v>
      </c>
      <c r="G544" s="1" t="s">
        <v>36</v>
      </c>
      <c r="H544" s="1">
        <v>13705</v>
      </c>
      <c r="I544" s="1" t="s">
        <v>33</v>
      </c>
      <c r="J544" s="1">
        <v>0.3</v>
      </c>
      <c r="K544" s="1">
        <v>13000</v>
      </c>
      <c r="L544" s="2">
        <v>45335</v>
      </c>
    </row>
    <row r="545" spans="1:12" x14ac:dyDescent="0.35">
      <c r="A545" s="1" t="s">
        <v>770</v>
      </c>
      <c r="B545" s="1" t="s">
        <v>280</v>
      </c>
      <c r="C545" s="1" t="s">
        <v>14</v>
      </c>
      <c r="D545" s="1" t="s">
        <v>15</v>
      </c>
      <c r="E545" s="1" t="s">
        <v>16</v>
      </c>
      <c r="F545" s="1" t="s">
        <v>17</v>
      </c>
      <c r="G545" s="1" t="s">
        <v>36</v>
      </c>
      <c r="H545" s="1">
        <v>13062</v>
      </c>
      <c r="I545" s="1"/>
      <c r="J545" s="1"/>
      <c r="K545" s="1">
        <v>14000</v>
      </c>
      <c r="L545" s="2">
        <v>45317</v>
      </c>
    </row>
    <row r="546" spans="1:12" x14ac:dyDescent="0.35">
      <c r="A546" s="1" t="s">
        <v>771</v>
      </c>
      <c r="B546" s="1" t="s">
        <v>101</v>
      </c>
      <c r="C546" s="1" t="s">
        <v>14</v>
      </c>
      <c r="D546" s="1" t="s">
        <v>15</v>
      </c>
      <c r="E546" s="1" t="s">
        <v>16</v>
      </c>
      <c r="F546" s="1" t="s">
        <v>39</v>
      </c>
      <c r="G546" s="1" t="s">
        <v>26</v>
      </c>
      <c r="H546" s="1">
        <v>15342</v>
      </c>
      <c r="I546" s="1" t="s">
        <v>19</v>
      </c>
      <c r="J546" s="1">
        <v>0.2</v>
      </c>
      <c r="K546" s="1">
        <v>14000</v>
      </c>
      <c r="L546" s="2">
        <v>45313</v>
      </c>
    </row>
    <row r="547" spans="1:12" x14ac:dyDescent="0.35">
      <c r="A547" s="1" t="s">
        <v>772</v>
      </c>
      <c r="B547" s="1" t="s">
        <v>342</v>
      </c>
      <c r="C547" s="1" t="s">
        <v>44</v>
      </c>
      <c r="D547" s="1" t="s">
        <v>45</v>
      </c>
      <c r="E547" s="1" t="s">
        <v>16</v>
      </c>
      <c r="F547" s="1" t="s">
        <v>39</v>
      </c>
      <c r="G547" s="1" t="s">
        <v>26</v>
      </c>
      <c r="H547" s="1">
        <v>14214</v>
      </c>
      <c r="I547" s="1"/>
      <c r="J547" s="1"/>
      <c r="K547" s="1">
        <v>13000</v>
      </c>
      <c r="L547" s="2">
        <v>45350</v>
      </c>
    </row>
    <row r="548" spans="1:12" x14ac:dyDescent="0.35">
      <c r="A548" s="1" t="s">
        <v>773</v>
      </c>
      <c r="B548" s="1" t="s">
        <v>317</v>
      </c>
      <c r="C548" s="1" t="s">
        <v>30</v>
      </c>
      <c r="D548" s="1" t="s">
        <v>31</v>
      </c>
      <c r="E548" s="1" t="s">
        <v>32</v>
      </c>
      <c r="F548" s="1" t="s">
        <v>39</v>
      </c>
      <c r="G548" s="1" t="s">
        <v>26</v>
      </c>
      <c r="H548" s="1">
        <v>15741</v>
      </c>
      <c r="I548" s="1" t="s">
        <v>33</v>
      </c>
      <c r="J548" s="1">
        <v>0.3</v>
      </c>
      <c r="K548" s="1">
        <v>17000</v>
      </c>
      <c r="L548" s="2">
        <v>45298</v>
      </c>
    </row>
    <row r="549" spans="1:12" x14ac:dyDescent="0.35">
      <c r="A549" s="1" t="s">
        <v>774</v>
      </c>
      <c r="B549" s="1" t="s">
        <v>508</v>
      </c>
      <c r="C549" s="1" t="s">
        <v>30</v>
      </c>
      <c r="D549" s="1" t="s">
        <v>31</v>
      </c>
      <c r="E549" s="1" t="s">
        <v>16</v>
      </c>
      <c r="F549" s="1" t="s">
        <v>39</v>
      </c>
      <c r="G549" s="1" t="s">
        <v>18</v>
      </c>
      <c r="H549" s="1">
        <v>18878</v>
      </c>
      <c r="I549" s="1" t="s">
        <v>33</v>
      </c>
      <c r="J549" s="1">
        <v>0.3</v>
      </c>
      <c r="K549" s="1">
        <v>17000</v>
      </c>
      <c r="L549" s="2">
        <v>45333</v>
      </c>
    </row>
    <row r="550" spans="1:12" x14ac:dyDescent="0.35">
      <c r="A550" s="1" t="s">
        <v>775</v>
      </c>
      <c r="B550" s="1" t="s">
        <v>248</v>
      </c>
      <c r="C550" s="1" t="s">
        <v>30</v>
      </c>
      <c r="D550" s="1" t="s">
        <v>31</v>
      </c>
      <c r="E550" s="1" t="s">
        <v>32</v>
      </c>
      <c r="F550" s="1" t="s">
        <v>39</v>
      </c>
      <c r="G550" s="1" t="s">
        <v>36</v>
      </c>
      <c r="H550" s="1">
        <v>16722</v>
      </c>
      <c r="I550" s="1" t="s">
        <v>33</v>
      </c>
      <c r="J550" s="1">
        <v>0.3</v>
      </c>
      <c r="K550" s="1">
        <v>17000</v>
      </c>
      <c r="L550" s="2">
        <v>45315</v>
      </c>
    </row>
    <row r="551" spans="1:12" x14ac:dyDescent="0.35">
      <c r="A551" s="1" t="s">
        <v>776</v>
      </c>
      <c r="B551" s="1" t="s">
        <v>118</v>
      </c>
      <c r="C551" s="1" t="s">
        <v>30</v>
      </c>
      <c r="D551" s="1" t="s">
        <v>31</v>
      </c>
      <c r="E551" s="1" t="s">
        <v>46</v>
      </c>
      <c r="F551" s="1" t="s">
        <v>25</v>
      </c>
      <c r="G551" s="1" t="s">
        <v>36</v>
      </c>
      <c r="H551" s="1">
        <v>15219</v>
      </c>
      <c r="I551" s="1" t="s">
        <v>27</v>
      </c>
      <c r="J551" s="1"/>
      <c r="K551" s="1">
        <v>17000</v>
      </c>
      <c r="L551" s="2">
        <v>45329</v>
      </c>
    </row>
    <row r="552" spans="1:12" x14ac:dyDescent="0.35">
      <c r="A552" s="1" t="s">
        <v>777</v>
      </c>
      <c r="B552" s="1" t="s">
        <v>107</v>
      </c>
      <c r="C552" s="1" t="s">
        <v>61</v>
      </c>
      <c r="D552" s="1" t="s">
        <v>62</v>
      </c>
      <c r="E552" s="1" t="s">
        <v>32</v>
      </c>
      <c r="F552" s="1" t="s">
        <v>39</v>
      </c>
      <c r="G552" s="1" t="s">
        <v>18</v>
      </c>
      <c r="H552" s="1">
        <v>10553</v>
      </c>
      <c r="I552" s="1"/>
      <c r="J552" s="1"/>
      <c r="K552" s="1">
        <v>9000</v>
      </c>
      <c r="L552" s="2">
        <v>45325</v>
      </c>
    </row>
    <row r="553" spans="1:12" x14ac:dyDescent="0.35">
      <c r="A553" s="1" t="s">
        <v>778</v>
      </c>
      <c r="B553" s="1" t="s">
        <v>70</v>
      </c>
      <c r="C553" s="1" t="s">
        <v>14</v>
      </c>
      <c r="D553" s="1" t="s">
        <v>15</v>
      </c>
      <c r="E553" s="1" t="s">
        <v>32</v>
      </c>
      <c r="F553" s="1" t="s">
        <v>25</v>
      </c>
      <c r="G553" s="1" t="s">
        <v>18</v>
      </c>
      <c r="H553" s="1">
        <v>13403</v>
      </c>
      <c r="I553" s="1"/>
      <c r="J553" s="1"/>
      <c r="K553" s="1">
        <v>14000</v>
      </c>
      <c r="L553" s="2">
        <v>45328</v>
      </c>
    </row>
    <row r="554" spans="1:12" x14ac:dyDescent="0.35">
      <c r="A554" s="1" t="s">
        <v>779</v>
      </c>
      <c r="B554" s="1" t="s">
        <v>445</v>
      </c>
      <c r="C554" s="1" t="s">
        <v>44</v>
      </c>
      <c r="D554" s="1" t="s">
        <v>45</v>
      </c>
      <c r="E554" s="1" t="s">
        <v>46</v>
      </c>
      <c r="F554" s="1" t="s">
        <v>39</v>
      </c>
      <c r="G554" s="1" t="s">
        <v>18</v>
      </c>
      <c r="H554" s="1">
        <v>14190</v>
      </c>
      <c r="I554" s="1" t="s">
        <v>22</v>
      </c>
      <c r="J554" s="1">
        <v>0.1</v>
      </c>
      <c r="K554" s="1">
        <v>13000</v>
      </c>
      <c r="L554" s="2">
        <v>45323</v>
      </c>
    </row>
    <row r="555" spans="1:12" x14ac:dyDescent="0.35">
      <c r="A555" s="1" t="s">
        <v>780</v>
      </c>
      <c r="B555" s="1" t="s">
        <v>150</v>
      </c>
      <c r="C555" s="1" t="s">
        <v>44</v>
      </c>
      <c r="D555" s="1" t="s">
        <v>45</v>
      </c>
      <c r="E555" s="1" t="s">
        <v>46</v>
      </c>
      <c r="F555" s="1" t="s">
        <v>39</v>
      </c>
      <c r="G555" s="1" t="s">
        <v>18</v>
      </c>
      <c r="H555" s="1">
        <v>11019</v>
      </c>
      <c r="I555" s="1"/>
      <c r="J555" s="1"/>
      <c r="K555" s="1">
        <v>13000</v>
      </c>
      <c r="L555" s="2">
        <v>45309</v>
      </c>
    </row>
    <row r="556" spans="1:12" x14ac:dyDescent="0.35">
      <c r="A556" s="1" t="s">
        <v>781</v>
      </c>
      <c r="B556" s="1" t="s">
        <v>401</v>
      </c>
      <c r="C556" s="1" t="s">
        <v>44</v>
      </c>
      <c r="D556" s="1" t="s">
        <v>45</v>
      </c>
      <c r="E556" s="1" t="s">
        <v>16</v>
      </c>
      <c r="F556" s="1" t="s">
        <v>25</v>
      </c>
      <c r="G556" s="1" t="s">
        <v>36</v>
      </c>
      <c r="H556" s="1">
        <v>14216</v>
      </c>
      <c r="I556" s="1" t="s">
        <v>22</v>
      </c>
      <c r="J556" s="1">
        <v>0.1</v>
      </c>
      <c r="K556" s="1">
        <v>13000</v>
      </c>
      <c r="L556" s="2">
        <v>45300</v>
      </c>
    </row>
    <row r="557" spans="1:12" x14ac:dyDescent="0.35">
      <c r="A557" s="1" t="s">
        <v>782</v>
      </c>
      <c r="B557" s="1" t="s">
        <v>337</v>
      </c>
      <c r="C557" s="1" t="s">
        <v>61</v>
      </c>
      <c r="D557" s="1" t="s">
        <v>62</v>
      </c>
      <c r="E557" s="1" t="s">
        <v>46</v>
      </c>
      <c r="F557" s="1" t="s">
        <v>17</v>
      </c>
      <c r="G557" s="1" t="s">
        <v>36</v>
      </c>
      <c r="H557" s="1">
        <v>8570</v>
      </c>
      <c r="I557" s="1" t="s">
        <v>22</v>
      </c>
      <c r="J557" s="1">
        <v>0.1</v>
      </c>
      <c r="K557" s="1">
        <v>9000</v>
      </c>
      <c r="L557" s="2">
        <v>45294</v>
      </c>
    </row>
    <row r="558" spans="1:12" x14ac:dyDescent="0.35">
      <c r="A558" s="1" t="s">
        <v>783</v>
      </c>
      <c r="B558" s="1" t="s">
        <v>346</v>
      </c>
      <c r="C558" s="1" t="s">
        <v>30</v>
      </c>
      <c r="D558" s="1" t="s">
        <v>31</v>
      </c>
      <c r="E558" s="1" t="s">
        <v>32</v>
      </c>
      <c r="F558" s="1" t="s">
        <v>17</v>
      </c>
      <c r="G558" s="1" t="s">
        <v>26</v>
      </c>
      <c r="H558" s="1">
        <v>15780</v>
      </c>
      <c r="I558" s="1" t="s">
        <v>22</v>
      </c>
      <c r="J558" s="1">
        <v>0.1</v>
      </c>
      <c r="K558" s="1">
        <v>17000</v>
      </c>
      <c r="L558" s="2">
        <v>45335</v>
      </c>
    </row>
    <row r="559" spans="1:12" x14ac:dyDescent="0.35">
      <c r="A559" s="1" t="s">
        <v>784</v>
      </c>
      <c r="B559" s="1" t="s">
        <v>68</v>
      </c>
      <c r="C559" s="1" t="s">
        <v>44</v>
      </c>
      <c r="D559" s="1" t="s">
        <v>45</v>
      </c>
      <c r="E559" s="1" t="s">
        <v>32</v>
      </c>
      <c r="F559" s="1" t="s">
        <v>39</v>
      </c>
      <c r="G559" s="1" t="s">
        <v>36</v>
      </c>
      <c r="H559" s="1">
        <v>12278</v>
      </c>
      <c r="I559" s="1" t="s">
        <v>19</v>
      </c>
      <c r="J559" s="1">
        <v>0.2</v>
      </c>
      <c r="K559" s="1">
        <v>13000</v>
      </c>
      <c r="L559" s="2">
        <v>45298</v>
      </c>
    </row>
    <row r="560" spans="1:12" x14ac:dyDescent="0.35">
      <c r="A560" s="1" t="s">
        <v>785</v>
      </c>
      <c r="B560" s="1" t="s">
        <v>512</v>
      </c>
      <c r="C560" s="1" t="s">
        <v>30</v>
      </c>
      <c r="D560" s="1" t="s">
        <v>31</v>
      </c>
      <c r="E560" s="1" t="s">
        <v>32</v>
      </c>
      <c r="F560" s="1" t="s">
        <v>25</v>
      </c>
      <c r="G560" s="1" t="s">
        <v>18</v>
      </c>
      <c r="H560" s="1">
        <v>16221</v>
      </c>
      <c r="I560" s="1" t="s">
        <v>33</v>
      </c>
      <c r="J560" s="1">
        <v>0.3</v>
      </c>
      <c r="K560" s="1">
        <v>17000</v>
      </c>
      <c r="L560" s="2">
        <v>45321</v>
      </c>
    </row>
    <row r="561" spans="1:12" x14ac:dyDescent="0.35">
      <c r="A561" s="1" t="s">
        <v>786</v>
      </c>
      <c r="B561" s="1" t="s">
        <v>103</v>
      </c>
      <c r="C561" s="1" t="s">
        <v>30</v>
      </c>
      <c r="D561" s="1" t="s">
        <v>31</v>
      </c>
      <c r="E561" s="1" t="s">
        <v>46</v>
      </c>
      <c r="F561" s="1" t="s">
        <v>39</v>
      </c>
      <c r="G561" s="1" t="s">
        <v>18</v>
      </c>
      <c r="H561" s="1">
        <v>16403</v>
      </c>
      <c r="I561" s="1"/>
      <c r="J561" s="1"/>
      <c r="K561" s="1">
        <v>17000</v>
      </c>
      <c r="L561" s="2">
        <v>45314</v>
      </c>
    </row>
    <row r="562" spans="1:12" x14ac:dyDescent="0.35">
      <c r="A562" s="1" t="s">
        <v>787</v>
      </c>
      <c r="B562" s="1" t="s">
        <v>294</v>
      </c>
      <c r="C562" s="1" t="s">
        <v>44</v>
      </c>
      <c r="D562" s="1" t="s">
        <v>45</v>
      </c>
      <c r="E562" s="1" t="s">
        <v>46</v>
      </c>
      <c r="F562" s="1" t="s">
        <v>25</v>
      </c>
      <c r="G562" s="1" t="s">
        <v>18</v>
      </c>
      <c r="H562" s="1">
        <v>11918</v>
      </c>
      <c r="I562" s="1" t="s">
        <v>19</v>
      </c>
      <c r="J562" s="1">
        <v>0.2</v>
      </c>
      <c r="K562" s="1">
        <v>13000</v>
      </c>
      <c r="L562" s="2">
        <v>45305</v>
      </c>
    </row>
    <row r="563" spans="1:12" x14ac:dyDescent="0.35">
      <c r="A563" s="1" t="s">
        <v>788</v>
      </c>
      <c r="B563" s="1" t="s">
        <v>464</v>
      </c>
      <c r="C563" s="1" t="s">
        <v>44</v>
      </c>
      <c r="D563" s="1" t="s">
        <v>45</v>
      </c>
      <c r="E563" s="1" t="s">
        <v>32</v>
      </c>
      <c r="F563" s="1" t="s">
        <v>17</v>
      </c>
      <c r="G563" s="1" t="s">
        <v>26</v>
      </c>
      <c r="H563" s="1">
        <v>13664</v>
      </c>
      <c r="I563" s="1" t="s">
        <v>22</v>
      </c>
      <c r="J563" s="1">
        <v>0.1</v>
      </c>
      <c r="K563" s="1">
        <v>13000</v>
      </c>
      <c r="L563" s="2">
        <v>45316</v>
      </c>
    </row>
    <row r="564" spans="1:12" x14ac:dyDescent="0.35">
      <c r="A564" s="1" t="s">
        <v>789</v>
      </c>
      <c r="B564" s="1" t="s">
        <v>50</v>
      </c>
      <c r="C564" s="1" t="s">
        <v>30</v>
      </c>
      <c r="D564" s="1" t="s">
        <v>31</v>
      </c>
      <c r="E564" s="1" t="s">
        <v>16</v>
      </c>
      <c r="F564" s="1" t="s">
        <v>39</v>
      </c>
      <c r="G564" s="1" t="s">
        <v>18</v>
      </c>
      <c r="H564" s="1">
        <v>17432</v>
      </c>
      <c r="I564" s="1" t="s">
        <v>22</v>
      </c>
      <c r="J564" s="1">
        <v>0.1</v>
      </c>
      <c r="K564" s="1">
        <v>17000</v>
      </c>
      <c r="L564" s="2">
        <v>45334</v>
      </c>
    </row>
    <row r="565" spans="1:12" x14ac:dyDescent="0.35">
      <c r="A565" s="1" t="s">
        <v>790</v>
      </c>
      <c r="B565" s="1" t="s">
        <v>21</v>
      </c>
      <c r="C565" s="1" t="s">
        <v>14</v>
      </c>
      <c r="D565" s="1" t="s">
        <v>15</v>
      </c>
      <c r="E565" s="1" t="s">
        <v>32</v>
      </c>
      <c r="F565" s="1" t="s">
        <v>39</v>
      </c>
      <c r="G565" s="1" t="s">
        <v>18</v>
      </c>
      <c r="H565" s="1">
        <v>13707</v>
      </c>
      <c r="I565" s="1"/>
      <c r="J565" s="1"/>
      <c r="K565" s="1">
        <v>14000</v>
      </c>
      <c r="L565" s="2">
        <v>45316</v>
      </c>
    </row>
    <row r="566" spans="1:12" x14ac:dyDescent="0.35">
      <c r="A566" s="1" t="s">
        <v>791</v>
      </c>
      <c r="B566" s="1" t="s">
        <v>241</v>
      </c>
      <c r="C566" s="1" t="s">
        <v>30</v>
      </c>
      <c r="D566" s="1" t="s">
        <v>31</v>
      </c>
      <c r="E566" s="1" t="s">
        <v>46</v>
      </c>
      <c r="F566" s="1" t="s">
        <v>39</v>
      </c>
      <c r="G566" s="1" t="s">
        <v>18</v>
      </c>
      <c r="H566" s="1">
        <v>15841</v>
      </c>
      <c r="I566" s="1" t="s">
        <v>22</v>
      </c>
      <c r="J566" s="1">
        <v>0.1</v>
      </c>
      <c r="K566" s="1">
        <v>17000</v>
      </c>
      <c r="L566" s="2">
        <v>45311</v>
      </c>
    </row>
    <row r="567" spans="1:12" x14ac:dyDescent="0.35">
      <c r="A567" s="1" t="s">
        <v>792</v>
      </c>
      <c r="B567" s="1" t="s">
        <v>274</v>
      </c>
      <c r="C567" s="1" t="s">
        <v>14</v>
      </c>
      <c r="D567" s="1" t="s">
        <v>15</v>
      </c>
      <c r="E567" s="1" t="s">
        <v>16</v>
      </c>
      <c r="F567" s="1" t="s">
        <v>39</v>
      </c>
      <c r="G567" s="1" t="s">
        <v>36</v>
      </c>
      <c r="H567" s="1">
        <v>14550</v>
      </c>
      <c r="I567" s="1" t="s">
        <v>27</v>
      </c>
      <c r="J567" s="1"/>
      <c r="K567" s="1">
        <v>14000</v>
      </c>
      <c r="L567" s="2">
        <v>45336</v>
      </c>
    </row>
    <row r="568" spans="1:12" x14ac:dyDescent="0.35">
      <c r="A568" s="1" t="s">
        <v>793</v>
      </c>
      <c r="B568" s="1" t="s">
        <v>363</v>
      </c>
      <c r="C568" s="1" t="s">
        <v>14</v>
      </c>
      <c r="D568" s="1" t="s">
        <v>15</v>
      </c>
      <c r="E568" s="1" t="s">
        <v>16</v>
      </c>
      <c r="F568" s="1" t="s">
        <v>39</v>
      </c>
      <c r="G568" s="1" t="s">
        <v>26</v>
      </c>
      <c r="H568" s="1">
        <v>12482</v>
      </c>
      <c r="I568" s="1" t="s">
        <v>33</v>
      </c>
      <c r="J568" s="1">
        <v>0.3</v>
      </c>
      <c r="K568" s="1">
        <v>14000</v>
      </c>
      <c r="L568" s="2">
        <v>45299</v>
      </c>
    </row>
    <row r="569" spans="1:12" x14ac:dyDescent="0.35">
      <c r="A569" s="1" t="s">
        <v>794</v>
      </c>
      <c r="B569" s="1" t="s">
        <v>652</v>
      </c>
      <c r="C569" s="1" t="s">
        <v>61</v>
      </c>
      <c r="D569" s="1" t="s">
        <v>62</v>
      </c>
      <c r="E569" s="1" t="s">
        <v>32</v>
      </c>
      <c r="F569" s="1" t="s">
        <v>39</v>
      </c>
      <c r="G569" s="1" t="s">
        <v>18</v>
      </c>
      <c r="H569" s="1">
        <v>10186</v>
      </c>
      <c r="I569" s="1" t="s">
        <v>33</v>
      </c>
      <c r="J569" s="1">
        <v>0.3</v>
      </c>
      <c r="K569" s="1">
        <v>9000</v>
      </c>
      <c r="L569" s="2">
        <v>45345</v>
      </c>
    </row>
    <row r="570" spans="1:12" x14ac:dyDescent="0.35">
      <c r="A570" s="1" t="s">
        <v>795</v>
      </c>
      <c r="B570" s="1" t="s">
        <v>346</v>
      </c>
      <c r="C570" s="1" t="s">
        <v>30</v>
      </c>
      <c r="D570" s="1" t="s">
        <v>31</v>
      </c>
      <c r="E570" s="1" t="s">
        <v>16</v>
      </c>
      <c r="F570" s="1" t="s">
        <v>17</v>
      </c>
      <c r="G570" s="1" t="s">
        <v>36</v>
      </c>
      <c r="H570" s="1">
        <v>15656</v>
      </c>
      <c r="I570" s="1" t="s">
        <v>22</v>
      </c>
      <c r="J570" s="1">
        <v>0.1</v>
      </c>
      <c r="K570" s="1">
        <v>17000</v>
      </c>
      <c r="L570" s="2">
        <v>45327</v>
      </c>
    </row>
    <row r="571" spans="1:12" x14ac:dyDescent="0.35">
      <c r="A571" s="1" t="s">
        <v>796</v>
      </c>
      <c r="B571" s="1" t="s">
        <v>211</v>
      </c>
      <c r="C571" s="1" t="s">
        <v>61</v>
      </c>
      <c r="D571" s="1" t="s">
        <v>62</v>
      </c>
      <c r="E571" s="1" t="s">
        <v>46</v>
      </c>
      <c r="F571" s="1" t="s">
        <v>25</v>
      </c>
      <c r="G571" s="1" t="s">
        <v>18</v>
      </c>
      <c r="H571" s="1">
        <v>7052</v>
      </c>
      <c r="I571" s="1" t="s">
        <v>22</v>
      </c>
      <c r="J571" s="1">
        <v>0.1</v>
      </c>
      <c r="K571" s="1">
        <v>9000</v>
      </c>
      <c r="L571" s="2">
        <v>45350</v>
      </c>
    </row>
    <row r="572" spans="1:12" x14ac:dyDescent="0.35">
      <c r="A572" s="1" t="s">
        <v>797</v>
      </c>
      <c r="B572" s="1" t="s">
        <v>159</v>
      </c>
      <c r="C572" s="1" t="s">
        <v>61</v>
      </c>
      <c r="D572" s="1" t="s">
        <v>62</v>
      </c>
      <c r="E572" s="1" t="s">
        <v>32</v>
      </c>
      <c r="F572" s="1" t="s">
        <v>25</v>
      </c>
      <c r="G572" s="1" t="s">
        <v>26</v>
      </c>
      <c r="H572" s="1">
        <v>7307</v>
      </c>
      <c r="I572" s="1" t="s">
        <v>22</v>
      </c>
      <c r="J572" s="1">
        <v>0.1</v>
      </c>
      <c r="K572" s="1">
        <v>9000</v>
      </c>
      <c r="L572" s="2">
        <v>45349</v>
      </c>
    </row>
    <row r="573" spans="1:12" x14ac:dyDescent="0.35">
      <c r="A573" s="1" t="s">
        <v>798</v>
      </c>
      <c r="B573" s="1" t="s">
        <v>286</v>
      </c>
      <c r="C573" s="1" t="s">
        <v>44</v>
      </c>
      <c r="D573" s="1" t="s">
        <v>45</v>
      </c>
      <c r="E573" s="1" t="s">
        <v>46</v>
      </c>
      <c r="F573" s="1" t="s">
        <v>17</v>
      </c>
      <c r="G573" s="1" t="s">
        <v>36</v>
      </c>
      <c r="H573" s="1">
        <v>12901</v>
      </c>
      <c r="I573" s="1" t="s">
        <v>22</v>
      </c>
      <c r="J573" s="1">
        <v>0.1</v>
      </c>
      <c r="K573" s="1">
        <v>13000</v>
      </c>
      <c r="L573" s="2">
        <v>45298</v>
      </c>
    </row>
    <row r="574" spans="1:12" x14ac:dyDescent="0.35">
      <c r="A574" s="1" t="s">
        <v>799</v>
      </c>
      <c r="B574" s="1" t="s">
        <v>412</v>
      </c>
      <c r="C574" s="1" t="s">
        <v>14</v>
      </c>
      <c r="D574" s="1" t="s">
        <v>15</v>
      </c>
      <c r="E574" s="1" t="s">
        <v>46</v>
      </c>
      <c r="F574" s="1" t="s">
        <v>17</v>
      </c>
      <c r="G574" s="1" t="s">
        <v>26</v>
      </c>
      <c r="H574" s="1">
        <v>13280</v>
      </c>
      <c r="I574" s="1"/>
      <c r="J574" s="1"/>
      <c r="K574" s="1">
        <v>14000</v>
      </c>
      <c r="L574" s="2">
        <v>45339</v>
      </c>
    </row>
    <row r="575" spans="1:12" x14ac:dyDescent="0.35">
      <c r="A575" s="1" t="s">
        <v>800</v>
      </c>
      <c r="B575" s="1" t="s">
        <v>78</v>
      </c>
      <c r="C575" s="1" t="s">
        <v>14</v>
      </c>
      <c r="D575" s="1" t="s">
        <v>15</v>
      </c>
      <c r="E575" s="1" t="s">
        <v>32</v>
      </c>
      <c r="F575" s="1" t="s">
        <v>25</v>
      </c>
      <c r="G575" s="1" t="s">
        <v>26</v>
      </c>
      <c r="H575" s="1">
        <v>14650</v>
      </c>
      <c r="I575" s="1" t="s">
        <v>19</v>
      </c>
      <c r="J575" s="1">
        <v>0.2</v>
      </c>
      <c r="K575" s="1">
        <v>14000</v>
      </c>
      <c r="L575" s="2">
        <v>45313</v>
      </c>
    </row>
    <row r="576" spans="1:12" x14ac:dyDescent="0.35">
      <c r="A576" s="1" t="s">
        <v>801</v>
      </c>
      <c r="B576" s="1" t="s">
        <v>802</v>
      </c>
      <c r="C576" s="1" t="s">
        <v>30</v>
      </c>
      <c r="D576" s="1" t="s">
        <v>31</v>
      </c>
      <c r="E576" s="1" t="s">
        <v>16</v>
      </c>
      <c r="F576" s="1" t="s">
        <v>25</v>
      </c>
      <c r="G576" s="1" t="s">
        <v>36</v>
      </c>
      <c r="H576" s="1">
        <v>18338</v>
      </c>
      <c r="I576" s="1" t="s">
        <v>33</v>
      </c>
      <c r="J576" s="1">
        <v>0.3</v>
      </c>
      <c r="K576" s="1">
        <v>17000</v>
      </c>
      <c r="L576" s="2">
        <v>45303</v>
      </c>
    </row>
    <row r="577" spans="1:12" x14ac:dyDescent="0.35">
      <c r="A577" s="1" t="s">
        <v>803</v>
      </c>
      <c r="B577" s="1" t="s">
        <v>66</v>
      </c>
      <c r="C577" s="1" t="s">
        <v>61</v>
      </c>
      <c r="D577" s="1" t="s">
        <v>62</v>
      </c>
      <c r="E577" s="1" t="s">
        <v>46</v>
      </c>
      <c r="F577" s="1" t="s">
        <v>17</v>
      </c>
      <c r="G577" s="1" t="s">
        <v>36</v>
      </c>
      <c r="H577" s="1">
        <v>9825</v>
      </c>
      <c r="I577" s="1"/>
      <c r="J577" s="1"/>
      <c r="K577" s="1">
        <v>9000</v>
      </c>
      <c r="L577" s="2">
        <v>45343</v>
      </c>
    </row>
    <row r="578" spans="1:12" x14ac:dyDescent="0.35">
      <c r="A578" s="1" t="s">
        <v>804</v>
      </c>
      <c r="B578" s="1" t="s">
        <v>274</v>
      </c>
      <c r="C578" s="1" t="s">
        <v>44</v>
      </c>
      <c r="D578" s="1" t="s">
        <v>45</v>
      </c>
      <c r="E578" s="1" t="s">
        <v>32</v>
      </c>
      <c r="F578" s="1" t="s">
        <v>25</v>
      </c>
      <c r="G578" s="1" t="s">
        <v>26</v>
      </c>
      <c r="H578" s="1">
        <v>13975</v>
      </c>
      <c r="I578" s="1" t="s">
        <v>22</v>
      </c>
      <c r="J578" s="1">
        <v>0.1</v>
      </c>
      <c r="K578" s="1">
        <v>13000</v>
      </c>
      <c r="L578" s="2">
        <v>45352</v>
      </c>
    </row>
    <row r="579" spans="1:12" x14ac:dyDescent="0.35">
      <c r="A579" s="1" t="s">
        <v>805</v>
      </c>
      <c r="B579" s="1" t="s">
        <v>412</v>
      </c>
      <c r="C579" s="1" t="s">
        <v>14</v>
      </c>
      <c r="D579" s="1" t="s">
        <v>15</v>
      </c>
      <c r="E579" s="1" t="s">
        <v>46</v>
      </c>
      <c r="F579" s="1" t="s">
        <v>39</v>
      </c>
      <c r="G579" s="1" t="s">
        <v>36</v>
      </c>
      <c r="H579" s="1">
        <v>15286</v>
      </c>
      <c r="I579" s="1" t="s">
        <v>27</v>
      </c>
      <c r="J579" s="1"/>
      <c r="K579" s="1">
        <v>14000</v>
      </c>
      <c r="L579" s="2">
        <v>45335</v>
      </c>
    </row>
    <row r="580" spans="1:12" x14ac:dyDescent="0.35">
      <c r="A580" s="1" t="s">
        <v>806</v>
      </c>
      <c r="B580" s="1" t="s">
        <v>508</v>
      </c>
      <c r="C580" s="1" t="s">
        <v>61</v>
      </c>
      <c r="D580" s="1" t="s">
        <v>62</v>
      </c>
      <c r="E580" s="1" t="s">
        <v>46</v>
      </c>
      <c r="F580" s="1" t="s">
        <v>39</v>
      </c>
      <c r="G580" s="1" t="s">
        <v>18</v>
      </c>
      <c r="H580" s="1">
        <v>10533</v>
      </c>
      <c r="I580" s="1" t="s">
        <v>19</v>
      </c>
      <c r="J580" s="1">
        <v>0.2</v>
      </c>
      <c r="K580" s="1">
        <v>9000</v>
      </c>
      <c r="L580" s="2">
        <v>45322</v>
      </c>
    </row>
    <row r="581" spans="1:12" x14ac:dyDescent="0.35">
      <c r="A581" s="1" t="s">
        <v>807</v>
      </c>
      <c r="B581" s="1" t="s">
        <v>445</v>
      </c>
      <c r="C581" s="1" t="s">
        <v>14</v>
      </c>
      <c r="D581" s="1" t="s">
        <v>15</v>
      </c>
      <c r="E581" s="1" t="s">
        <v>46</v>
      </c>
      <c r="F581" s="1" t="s">
        <v>17</v>
      </c>
      <c r="G581" s="1" t="s">
        <v>18</v>
      </c>
      <c r="H581" s="1">
        <v>12259</v>
      </c>
      <c r="I581" s="1" t="s">
        <v>33</v>
      </c>
      <c r="J581" s="1">
        <v>0.3</v>
      </c>
      <c r="K581" s="1">
        <v>14000</v>
      </c>
      <c r="L581" s="2">
        <v>45333</v>
      </c>
    </row>
    <row r="582" spans="1:12" x14ac:dyDescent="0.35">
      <c r="A582" s="1" t="s">
        <v>808</v>
      </c>
      <c r="B582" s="1" t="s">
        <v>327</v>
      </c>
      <c r="C582" s="1" t="s">
        <v>44</v>
      </c>
      <c r="D582" s="1" t="s">
        <v>45</v>
      </c>
      <c r="E582" s="1" t="s">
        <v>16</v>
      </c>
      <c r="F582" s="1" t="s">
        <v>17</v>
      </c>
      <c r="G582" s="1" t="s">
        <v>26</v>
      </c>
      <c r="H582" s="1">
        <v>13142</v>
      </c>
      <c r="I582" s="1" t="s">
        <v>27</v>
      </c>
      <c r="J582" s="1"/>
      <c r="K582" s="1">
        <v>13000</v>
      </c>
      <c r="L582" s="2">
        <v>45298</v>
      </c>
    </row>
    <row r="583" spans="1:12" x14ac:dyDescent="0.35">
      <c r="A583" s="1" t="s">
        <v>809</v>
      </c>
      <c r="B583" s="1" t="s">
        <v>274</v>
      </c>
      <c r="C583" s="1" t="s">
        <v>44</v>
      </c>
      <c r="D583" s="1" t="s">
        <v>45</v>
      </c>
      <c r="E583" s="1" t="s">
        <v>46</v>
      </c>
      <c r="F583" s="1" t="s">
        <v>17</v>
      </c>
      <c r="G583" s="1" t="s">
        <v>26</v>
      </c>
      <c r="H583" s="1">
        <v>13770</v>
      </c>
      <c r="I583" s="1"/>
      <c r="J583" s="1"/>
      <c r="K583" s="1">
        <v>13000</v>
      </c>
      <c r="L583" s="2">
        <v>45301</v>
      </c>
    </row>
    <row r="584" spans="1:12" x14ac:dyDescent="0.35">
      <c r="A584" s="1" t="s">
        <v>810</v>
      </c>
      <c r="B584" s="1" t="s">
        <v>319</v>
      </c>
      <c r="C584" s="1" t="s">
        <v>14</v>
      </c>
      <c r="D584" s="1" t="s">
        <v>15</v>
      </c>
      <c r="E584" s="1" t="s">
        <v>32</v>
      </c>
      <c r="F584" s="1" t="s">
        <v>39</v>
      </c>
      <c r="G584" s="1" t="s">
        <v>18</v>
      </c>
      <c r="H584" s="1">
        <v>14070</v>
      </c>
      <c r="I584" s="1"/>
      <c r="J584" s="1"/>
      <c r="K584" s="1">
        <v>14000</v>
      </c>
      <c r="L584" s="2">
        <v>45346</v>
      </c>
    </row>
    <row r="585" spans="1:12" x14ac:dyDescent="0.35">
      <c r="A585" s="1" t="s">
        <v>811</v>
      </c>
      <c r="B585" s="1" t="s">
        <v>752</v>
      </c>
      <c r="C585" s="1" t="s">
        <v>44</v>
      </c>
      <c r="D585" s="1" t="s">
        <v>45</v>
      </c>
      <c r="E585" s="1" t="s">
        <v>32</v>
      </c>
      <c r="F585" s="1" t="s">
        <v>17</v>
      </c>
      <c r="G585" s="1" t="s">
        <v>36</v>
      </c>
      <c r="H585" s="1">
        <v>11986</v>
      </c>
      <c r="I585" s="1" t="s">
        <v>33</v>
      </c>
      <c r="J585" s="1">
        <v>0.3</v>
      </c>
      <c r="K585" s="1">
        <v>13000</v>
      </c>
      <c r="L585" s="2">
        <v>45309</v>
      </c>
    </row>
    <row r="586" spans="1:12" x14ac:dyDescent="0.35">
      <c r="A586" s="1" t="s">
        <v>812</v>
      </c>
      <c r="B586" s="1" t="s">
        <v>166</v>
      </c>
      <c r="C586" s="1" t="s">
        <v>44</v>
      </c>
      <c r="D586" s="1" t="s">
        <v>45</v>
      </c>
      <c r="E586" s="1" t="s">
        <v>16</v>
      </c>
      <c r="F586" s="1" t="s">
        <v>39</v>
      </c>
      <c r="G586" s="1" t="s">
        <v>36</v>
      </c>
      <c r="H586" s="1">
        <v>12651</v>
      </c>
      <c r="I586" s="1" t="s">
        <v>19</v>
      </c>
      <c r="J586" s="1">
        <v>0.2</v>
      </c>
      <c r="K586" s="1">
        <v>13000</v>
      </c>
      <c r="L586" s="2">
        <v>45297</v>
      </c>
    </row>
    <row r="587" spans="1:12" x14ac:dyDescent="0.35">
      <c r="A587" s="1" t="s">
        <v>813</v>
      </c>
      <c r="B587" s="1" t="s">
        <v>231</v>
      </c>
      <c r="C587" s="1" t="s">
        <v>61</v>
      </c>
      <c r="D587" s="1" t="s">
        <v>62</v>
      </c>
      <c r="E587" s="1" t="s">
        <v>32</v>
      </c>
      <c r="F587" s="1" t="s">
        <v>17</v>
      </c>
      <c r="G587" s="1" t="s">
        <v>36</v>
      </c>
      <c r="H587" s="1">
        <v>8294</v>
      </c>
      <c r="I587" s="1" t="s">
        <v>22</v>
      </c>
      <c r="J587" s="1">
        <v>0.1</v>
      </c>
      <c r="K587" s="1">
        <v>9000</v>
      </c>
      <c r="L587" s="2">
        <v>45323</v>
      </c>
    </row>
    <row r="588" spans="1:12" x14ac:dyDescent="0.35">
      <c r="A588" s="1" t="s">
        <v>814</v>
      </c>
      <c r="B588" s="1" t="s">
        <v>765</v>
      </c>
      <c r="C588" s="1" t="s">
        <v>14</v>
      </c>
      <c r="D588" s="1" t="s">
        <v>15</v>
      </c>
      <c r="E588" s="1" t="s">
        <v>32</v>
      </c>
      <c r="F588" s="1" t="s">
        <v>17</v>
      </c>
      <c r="G588" s="1" t="s">
        <v>36</v>
      </c>
      <c r="H588" s="1">
        <v>12146</v>
      </c>
      <c r="I588" s="1" t="s">
        <v>27</v>
      </c>
      <c r="J588" s="1"/>
      <c r="K588" s="1">
        <v>14000</v>
      </c>
      <c r="L588" s="2">
        <v>45327</v>
      </c>
    </row>
    <row r="589" spans="1:12" x14ac:dyDescent="0.35">
      <c r="A589" s="1" t="s">
        <v>815</v>
      </c>
      <c r="B589" s="1" t="s">
        <v>129</v>
      </c>
      <c r="C589" s="1" t="s">
        <v>14</v>
      </c>
      <c r="D589" s="1" t="s">
        <v>15</v>
      </c>
      <c r="E589" s="1" t="s">
        <v>16</v>
      </c>
      <c r="F589" s="1" t="s">
        <v>39</v>
      </c>
      <c r="G589" s="1" t="s">
        <v>26</v>
      </c>
      <c r="H589" s="1">
        <v>13247</v>
      </c>
      <c r="I589" s="1" t="s">
        <v>27</v>
      </c>
      <c r="J589" s="1"/>
      <c r="K589" s="1">
        <v>14000</v>
      </c>
      <c r="L589" s="2">
        <v>45327</v>
      </c>
    </row>
    <row r="590" spans="1:12" x14ac:dyDescent="0.35">
      <c r="A590" s="1" t="s">
        <v>816</v>
      </c>
      <c r="B590" s="1" t="s">
        <v>817</v>
      </c>
      <c r="C590" s="1" t="s">
        <v>61</v>
      </c>
      <c r="D590" s="1" t="s">
        <v>62</v>
      </c>
      <c r="E590" s="1" t="s">
        <v>46</v>
      </c>
      <c r="F590" s="1" t="s">
        <v>17</v>
      </c>
      <c r="G590" s="1" t="s">
        <v>18</v>
      </c>
      <c r="H590" s="1">
        <v>10344</v>
      </c>
      <c r="I590" s="1" t="s">
        <v>19</v>
      </c>
      <c r="J590" s="1">
        <v>0.2</v>
      </c>
      <c r="K590" s="1">
        <v>9000</v>
      </c>
      <c r="L590" s="2">
        <v>45346</v>
      </c>
    </row>
    <row r="591" spans="1:12" x14ac:dyDescent="0.35">
      <c r="A591" s="1" t="s">
        <v>818</v>
      </c>
      <c r="B591" s="1" t="s">
        <v>188</v>
      </c>
      <c r="C591" s="1" t="s">
        <v>61</v>
      </c>
      <c r="D591" s="1" t="s">
        <v>62</v>
      </c>
      <c r="E591" s="1" t="s">
        <v>16</v>
      </c>
      <c r="F591" s="1" t="s">
        <v>39</v>
      </c>
      <c r="G591" s="1" t="s">
        <v>36</v>
      </c>
      <c r="H591" s="1">
        <v>9932</v>
      </c>
      <c r="I591" s="1"/>
      <c r="J591" s="1"/>
      <c r="K591" s="1">
        <v>9000</v>
      </c>
      <c r="L591" s="2">
        <v>45299</v>
      </c>
    </row>
    <row r="592" spans="1:12" x14ac:dyDescent="0.35">
      <c r="A592" s="1" t="s">
        <v>819</v>
      </c>
      <c r="B592" s="1" t="s">
        <v>200</v>
      </c>
      <c r="C592" s="1" t="s">
        <v>44</v>
      </c>
      <c r="D592" s="1" t="s">
        <v>45</v>
      </c>
      <c r="E592" s="1" t="s">
        <v>32</v>
      </c>
      <c r="F592" s="1" t="s">
        <v>17</v>
      </c>
      <c r="G592" s="1" t="s">
        <v>36</v>
      </c>
      <c r="H592" s="1">
        <v>14399</v>
      </c>
      <c r="I592" s="1" t="s">
        <v>33</v>
      </c>
      <c r="J592" s="1">
        <v>0.3</v>
      </c>
      <c r="K592" s="1">
        <v>13000</v>
      </c>
      <c r="L592" s="2">
        <v>45327</v>
      </c>
    </row>
    <row r="593" spans="1:12" x14ac:dyDescent="0.35">
      <c r="A593" s="1" t="s">
        <v>820</v>
      </c>
      <c r="B593" s="1" t="s">
        <v>217</v>
      </c>
      <c r="C593" s="1" t="s">
        <v>14</v>
      </c>
      <c r="D593" s="1" t="s">
        <v>15</v>
      </c>
      <c r="E593" s="1" t="s">
        <v>32</v>
      </c>
      <c r="F593" s="1" t="s">
        <v>25</v>
      </c>
      <c r="G593" s="1" t="s">
        <v>36</v>
      </c>
      <c r="H593" s="1">
        <v>12575</v>
      </c>
      <c r="I593" s="1"/>
      <c r="J593" s="1"/>
      <c r="K593" s="1">
        <v>14000</v>
      </c>
      <c r="L593" s="2">
        <v>45298</v>
      </c>
    </row>
    <row r="594" spans="1:12" x14ac:dyDescent="0.35">
      <c r="A594" s="1" t="s">
        <v>821</v>
      </c>
      <c r="B594" s="1" t="s">
        <v>118</v>
      </c>
      <c r="C594" s="1" t="s">
        <v>44</v>
      </c>
      <c r="D594" s="1" t="s">
        <v>45</v>
      </c>
      <c r="E594" s="1" t="s">
        <v>32</v>
      </c>
      <c r="F594" s="1" t="s">
        <v>25</v>
      </c>
      <c r="G594" s="1" t="s">
        <v>36</v>
      </c>
      <c r="H594" s="1">
        <v>11883</v>
      </c>
      <c r="I594" s="1"/>
      <c r="J594" s="1"/>
      <c r="K594" s="1">
        <v>13000</v>
      </c>
      <c r="L594" s="2">
        <v>45344</v>
      </c>
    </row>
    <row r="595" spans="1:12" x14ac:dyDescent="0.35">
      <c r="A595" s="1" t="s">
        <v>822</v>
      </c>
      <c r="B595" s="1" t="s">
        <v>294</v>
      </c>
      <c r="C595" s="1" t="s">
        <v>30</v>
      </c>
      <c r="D595" s="1" t="s">
        <v>31</v>
      </c>
      <c r="E595" s="1" t="s">
        <v>32</v>
      </c>
      <c r="F595" s="1" t="s">
        <v>17</v>
      </c>
      <c r="G595" s="1" t="s">
        <v>18</v>
      </c>
      <c r="H595" s="1">
        <v>18795</v>
      </c>
      <c r="I595" s="1" t="s">
        <v>27</v>
      </c>
      <c r="J595" s="1"/>
      <c r="K595" s="1">
        <v>17000</v>
      </c>
      <c r="L595" s="2">
        <v>45299</v>
      </c>
    </row>
    <row r="596" spans="1:12" x14ac:dyDescent="0.35">
      <c r="A596" s="1" t="s">
        <v>823</v>
      </c>
      <c r="B596" s="1" t="s">
        <v>298</v>
      </c>
      <c r="C596" s="1" t="s">
        <v>61</v>
      </c>
      <c r="D596" s="1" t="s">
        <v>62</v>
      </c>
      <c r="E596" s="1" t="s">
        <v>16</v>
      </c>
      <c r="F596" s="1" t="s">
        <v>39</v>
      </c>
      <c r="G596" s="1" t="s">
        <v>26</v>
      </c>
      <c r="H596" s="1">
        <v>7551</v>
      </c>
      <c r="I596" s="1"/>
      <c r="J596" s="1"/>
      <c r="K596" s="1">
        <v>9000</v>
      </c>
      <c r="L596" s="2">
        <v>45292</v>
      </c>
    </row>
    <row r="597" spans="1:12" x14ac:dyDescent="0.35">
      <c r="A597" s="1" t="s">
        <v>824</v>
      </c>
      <c r="B597" s="1" t="s">
        <v>548</v>
      </c>
      <c r="C597" s="1" t="s">
        <v>14</v>
      </c>
      <c r="D597" s="1" t="s">
        <v>15</v>
      </c>
      <c r="E597" s="1" t="s">
        <v>16</v>
      </c>
      <c r="F597" s="1" t="s">
        <v>17</v>
      </c>
      <c r="G597" s="1" t="s">
        <v>26</v>
      </c>
      <c r="H597" s="1">
        <v>13978</v>
      </c>
      <c r="I597" s="1" t="s">
        <v>27</v>
      </c>
      <c r="J597" s="1"/>
      <c r="K597" s="1">
        <v>14000</v>
      </c>
      <c r="L597" s="2">
        <v>45341</v>
      </c>
    </row>
    <row r="598" spans="1:12" x14ac:dyDescent="0.35">
      <c r="A598" s="1" t="s">
        <v>825</v>
      </c>
      <c r="B598" s="1" t="s">
        <v>120</v>
      </c>
      <c r="C598" s="1" t="s">
        <v>44</v>
      </c>
      <c r="D598" s="1" t="s">
        <v>45</v>
      </c>
      <c r="E598" s="1" t="s">
        <v>16</v>
      </c>
      <c r="F598" s="1" t="s">
        <v>25</v>
      </c>
      <c r="G598" s="1" t="s">
        <v>18</v>
      </c>
      <c r="H598" s="1">
        <v>12586</v>
      </c>
      <c r="I598" s="1" t="s">
        <v>27</v>
      </c>
      <c r="J598" s="1"/>
      <c r="K598" s="1">
        <v>13000</v>
      </c>
      <c r="L598" s="2">
        <v>45330</v>
      </c>
    </row>
    <row r="599" spans="1:12" x14ac:dyDescent="0.35">
      <c r="A599" s="1" t="s">
        <v>826</v>
      </c>
      <c r="B599" s="1" t="s">
        <v>827</v>
      </c>
      <c r="C599" s="1" t="s">
        <v>61</v>
      </c>
      <c r="D599" s="1" t="s">
        <v>62</v>
      </c>
      <c r="E599" s="1" t="s">
        <v>46</v>
      </c>
      <c r="F599" s="1" t="s">
        <v>39</v>
      </c>
      <c r="G599" s="1" t="s">
        <v>26</v>
      </c>
      <c r="H599" s="1">
        <v>10122</v>
      </c>
      <c r="I599" s="1" t="s">
        <v>19</v>
      </c>
      <c r="J599" s="1">
        <v>0.2</v>
      </c>
      <c r="K599" s="1">
        <v>9000</v>
      </c>
      <c r="L599" s="2">
        <v>45309</v>
      </c>
    </row>
    <row r="600" spans="1:12" x14ac:dyDescent="0.35">
      <c r="A600" s="1" t="s">
        <v>828</v>
      </c>
      <c r="B600" s="1" t="s">
        <v>474</v>
      </c>
      <c r="C600" s="1" t="s">
        <v>30</v>
      </c>
      <c r="D600" s="1" t="s">
        <v>31</v>
      </c>
      <c r="E600" s="1" t="s">
        <v>46</v>
      </c>
      <c r="F600" s="1" t="s">
        <v>25</v>
      </c>
      <c r="G600" s="1" t="s">
        <v>18</v>
      </c>
      <c r="H600" s="1">
        <v>16690</v>
      </c>
      <c r="I600" s="1" t="s">
        <v>27</v>
      </c>
      <c r="J600" s="1"/>
      <c r="K600" s="1">
        <v>17000</v>
      </c>
      <c r="L600" s="2">
        <v>45336</v>
      </c>
    </row>
    <row r="601" spans="1:12" x14ac:dyDescent="0.35">
      <c r="A601" s="1" t="s">
        <v>829</v>
      </c>
      <c r="B601" s="1" t="s">
        <v>260</v>
      </c>
      <c r="C601" s="1" t="s">
        <v>30</v>
      </c>
      <c r="D601" s="1" t="s">
        <v>31</v>
      </c>
      <c r="E601" s="1" t="s">
        <v>16</v>
      </c>
      <c r="F601" s="1" t="s">
        <v>39</v>
      </c>
      <c r="G601" s="1" t="s">
        <v>36</v>
      </c>
      <c r="H601" s="1">
        <v>17915</v>
      </c>
      <c r="I601" s="1" t="s">
        <v>27</v>
      </c>
      <c r="J601" s="1"/>
      <c r="K601" s="1">
        <v>17000</v>
      </c>
      <c r="L601" s="2">
        <v>45332</v>
      </c>
    </row>
    <row r="602" spans="1:12" x14ac:dyDescent="0.35">
      <c r="A602" s="1" t="s">
        <v>830</v>
      </c>
      <c r="B602" s="1" t="s">
        <v>94</v>
      </c>
      <c r="C602" s="1" t="s">
        <v>44</v>
      </c>
      <c r="D602" s="1" t="s">
        <v>45</v>
      </c>
      <c r="E602" s="1" t="s">
        <v>16</v>
      </c>
      <c r="F602" s="1" t="s">
        <v>39</v>
      </c>
      <c r="G602" s="1" t="s">
        <v>36</v>
      </c>
      <c r="H602" s="1">
        <v>13812</v>
      </c>
      <c r="I602" s="1" t="s">
        <v>33</v>
      </c>
      <c r="J602" s="1">
        <v>0.3</v>
      </c>
      <c r="K602" s="1">
        <v>13000</v>
      </c>
      <c r="L602" s="2">
        <v>45350</v>
      </c>
    </row>
    <row r="603" spans="1:12" x14ac:dyDescent="0.35">
      <c r="A603" s="1" t="s">
        <v>831</v>
      </c>
      <c r="B603" s="1" t="s">
        <v>422</v>
      </c>
      <c r="C603" s="1" t="s">
        <v>44</v>
      </c>
      <c r="D603" s="1" t="s">
        <v>45</v>
      </c>
      <c r="E603" s="1" t="s">
        <v>16</v>
      </c>
      <c r="F603" s="1" t="s">
        <v>39</v>
      </c>
      <c r="G603" s="1" t="s">
        <v>26</v>
      </c>
      <c r="H603" s="1">
        <v>13608</v>
      </c>
      <c r="I603" s="1" t="s">
        <v>33</v>
      </c>
      <c r="J603" s="1">
        <v>0.3</v>
      </c>
      <c r="K603" s="1">
        <v>13000</v>
      </c>
      <c r="L603" s="2">
        <v>45337</v>
      </c>
    </row>
    <row r="604" spans="1:12" x14ac:dyDescent="0.35">
      <c r="A604" s="1" t="s">
        <v>832</v>
      </c>
      <c r="B604" s="1" t="s">
        <v>200</v>
      </c>
      <c r="C604" s="1" t="s">
        <v>30</v>
      </c>
      <c r="D604" s="1" t="s">
        <v>31</v>
      </c>
      <c r="E604" s="1" t="s">
        <v>16</v>
      </c>
      <c r="F604" s="1" t="s">
        <v>17</v>
      </c>
      <c r="G604" s="1" t="s">
        <v>26</v>
      </c>
      <c r="H604" s="1">
        <v>17337</v>
      </c>
      <c r="I604" s="1"/>
      <c r="J604" s="1"/>
      <c r="K604" s="1">
        <v>17000</v>
      </c>
      <c r="L604" s="2">
        <v>45335</v>
      </c>
    </row>
    <row r="605" spans="1:12" x14ac:dyDescent="0.35">
      <c r="A605" s="1" t="s">
        <v>833</v>
      </c>
      <c r="B605" s="1" t="s">
        <v>371</v>
      </c>
      <c r="C605" s="1" t="s">
        <v>30</v>
      </c>
      <c r="D605" s="1" t="s">
        <v>31</v>
      </c>
      <c r="E605" s="1" t="s">
        <v>46</v>
      </c>
      <c r="F605" s="1" t="s">
        <v>25</v>
      </c>
      <c r="G605" s="1" t="s">
        <v>26</v>
      </c>
      <c r="H605" s="1">
        <v>15436</v>
      </c>
      <c r="I605" s="1" t="s">
        <v>22</v>
      </c>
      <c r="J605" s="1">
        <v>0.1</v>
      </c>
      <c r="K605" s="1">
        <v>17000</v>
      </c>
      <c r="L605" s="2">
        <v>45316</v>
      </c>
    </row>
    <row r="606" spans="1:12" x14ac:dyDescent="0.35">
      <c r="A606" s="1" t="s">
        <v>834</v>
      </c>
      <c r="B606" s="1" t="s">
        <v>557</v>
      </c>
      <c r="C606" s="1" t="s">
        <v>14</v>
      </c>
      <c r="D606" s="1" t="s">
        <v>15</v>
      </c>
      <c r="E606" s="1" t="s">
        <v>32</v>
      </c>
      <c r="F606" s="1" t="s">
        <v>17</v>
      </c>
      <c r="G606" s="1" t="s">
        <v>18</v>
      </c>
      <c r="H606" s="1">
        <v>13173</v>
      </c>
      <c r="I606" s="1" t="s">
        <v>33</v>
      </c>
      <c r="J606" s="1">
        <v>0.3</v>
      </c>
      <c r="K606" s="1">
        <v>14000</v>
      </c>
      <c r="L606" s="2">
        <v>45301</v>
      </c>
    </row>
    <row r="607" spans="1:12" x14ac:dyDescent="0.35">
      <c r="A607" s="1" t="s">
        <v>835</v>
      </c>
      <c r="B607" s="1" t="s">
        <v>676</v>
      </c>
      <c r="C607" s="1" t="s">
        <v>30</v>
      </c>
      <c r="D607" s="1" t="s">
        <v>31</v>
      </c>
      <c r="E607" s="1" t="s">
        <v>32</v>
      </c>
      <c r="F607" s="1" t="s">
        <v>39</v>
      </c>
      <c r="G607" s="1" t="s">
        <v>18</v>
      </c>
      <c r="H607" s="1">
        <v>16469</v>
      </c>
      <c r="I607" s="1"/>
      <c r="J607" s="1"/>
      <c r="K607" s="1">
        <v>17000</v>
      </c>
      <c r="L607" s="2">
        <v>45298</v>
      </c>
    </row>
    <row r="608" spans="1:12" x14ac:dyDescent="0.35">
      <c r="A608" s="1" t="s">
        <v>836</v>
      </c>
      <c r="B608" s="1" t="s">
        <v>837</v>
      </c>
      <c r="C608" s="1" t="s">
        <v>44</v>
      </c>
      <c r="D608" s="1" t="s">
        <v>45</v>
      </c>
      <c r="E608" s="1" t="s">
        <v>16</v>
      </c>
      <c r="F608" s="1" t="s">
        <v>39</v>
      </c>
      <c r="G608" s="1" t="s">
        <v>26</v>
      </c>
      <c r="H608" s="1">
        <v>12592</v>
      </c>
      <c r="I608" s="1" t="s">
        <v>19</v>
      </c>
      <c r="J608" s="1">
        <v>0.2</v>
      </c>
      <c r="K608" s="1">
        <v>13000</v>
      </c>
      <c r="L608" s="2">
        <v>45324</v>
      </c>
    </row>
    <row r="609" spans="1:12" x14ac:dyDescent="0.35">
      <c r="A609" s="1" t="s">
        <v>838</v>
      </c>
      <c r="B609" s="1" t="s">
        <v>54</v>
      </c>
      <c r="C609" s="1" t="s">
        <v>30</v>
      </c>
      <c r="D609" s="1" t="s">
        <v>31</v>
      </c>
      <c r="E609" s="1" t="s">
        <v>16</v>
      </c>
      <c r="F609" s="1" t="s">
        <v>39</v>
      </c>
      <c r="G609" s="1" t="s">
        <v>18</v>
      </c>
      <c r="H609" s="1">
        <v>18794</v>
      </c>
      <c r="I609" s="1"/>
      <c r="J609" s="1"/>
      <c r="K609" s="1">
        <v>17000</v>
      </c>
      <c r="L609" s="2">
        <v>45316</v>
      </c>
    </row>
    <row r="610" spans="1:12" x14ac:dyDescent="0.35">
      <c r="A610" s="1" t="s">
        <v>839</v>
      </c>
      <c r="B610" s="1" t="s">
        <v>155</v>
      </c>
      <c r="C610" s="1" t="s">
        <v>30</v>
      </c>
      <c r="D610" s="1" t="s">
        <v>31</v>
      </c>
      <c r="E610" s="1" t="s">
        <v>16</v>
      </c>
      <c r="F610" s="1" t="s">
        <v>25</v>
      </c>
      <c r="G610" s="1" t="s">
        <v>18</v>
      </c>
      <c r="H610" s="1">
        <v>18046</v>
      </c>
      <c r="I610" s="1" t="s">
        <v>33</v>
      </c>
      <c r="J610" s="1">
        <v>0.3</v>
      </c>
      <c r="K610" s="1">
        <v>17000</v>
      </c>
      <c r="L610" s="2">
        <v>45304</v>
      </c>
    </row>
    <row r="611" spans="1:12" x14ac:dyDescent="0.35">
      <c r="A611" s="1" t="s">
        <v>840</v>
      </c>
      <c r="B611" s="1" t="s">
        <v>837</v>
      </c>
      <c r="C611" s="1" t="s">
        <v>61</v>
      </c>
      <c r="D611" s="1" t="s">
        <v>62</v>
      </c>
      <c r="E611" s="1" t="s">
        <v>32</v>
      </c>
      <c r="F611" s="1" t="s">
        <v>39</v>
      </c>
      <c r="G611" s="1" t="s">
        <v>26</v>
      </c>
      <c r="H611" s="1">
        <v>9906</v>
      </c>
      <c r="I611" s="1" t="s">
        <v>33</v>
      </c>
      <c r="J611" s="1">
        <v>0.3</v>
      </c>
      <c r="K611" s="1">
        <v>9000</v>
      </c>
      <c r="L611" s="2">
        <v>45340</v>
      </c>
    </row>
    <row r="612" spans="1:12" x14ac:dyDescent="0.35">
      <c r="A612" s="1" t="s">
        <v>841</v>
      </c>
      <c r="B612" s="1" t="s">
        <v>86</v>
      </c>
      <c r="C612" s="1" t="s">
        <v>44</v>
      </c>
      <c r="D612" s="1" t="s">
        <v>45</v>
      </c>
      <c r="E612" s="1" t="s">
        <v>16</v>
      </c>
      <c r="F612" s="1" t="s">
        <v>25</v>
      </c>
      <c r="G612" s="1" t="s">
        <v>36</v>
      </c>
      <c r="H612" s="1">
        <v>12838</v>
      </c>
      <c r="I612" s="1" t="s">
        <v>19</v>
      </c>
      <c r="J612" s="1">
        <v>0.2</v>
      </c>
      <c r="K612" s="1">
        <v>13000</v>
      </c>
      <c r="L612" s="2">
        <v>45335</v>
      </c>
    </row>
    <row r="613" spans="1:12" x14ac:dyDescent="0.35">
      <c r="A613" s="1" t="s">
        <v>842</v>
      </c>
      <c r="B613" s="1" t="s">
        <v>843</v>
      </c>
      <c r="C613" s="1" t="s">
        <v>44</v>
      </c>
      <c r="D613" s="1" t="s">
        <v>45</v>
      </c>
      <c r="E613" s="1" t="s">
        <v>16</v>
      </c>
      <c r="F613" s="1" t="s">
        <v>39</v>
      </c>
      <c r="G613" s="1" t="s">
        <v>18</v>
      </c>
      <c r="H613" s="1">
        <v>12545</v>
      </c>
      <c r="I613" s="1" t="s">
        <v>22</v>
      </c>
      <c r="J613" s="1">
        <v>0.1</v>
      </c>
      <c r="K613" s="1">
        <v>13000</v>
      </c>
      <c r="L613" s="2">
        <v>45319</v>
      </c>
    </row>
    <row r="614" spans="1:12" x14ac:dyDescent="0.35">
      <c r="A614" s="1" t="s">
        <v>844</v>
      </c>
      <c r="B614" s="1" t="s">
        <v>307</v>
      </c>
      <c r="C614" s="1" t="s">
        <v>30</v>
      </c>
      <c r="D614" s="1" t="s">
        <v>31</v>
      </c>
      <c r="E614" s="1" t="s">
        <v>32</v>
      </c>
      <c r="F614" s="1" t="s">
        <v>25</v>
      </c>
      <c r="G614" s="1" t="s">
        <v>26</v>
      </c>
      <c r="H614" s="1">
        <v>18465</v>
      </c>
      <c r="I614" s="1" t="s">
        <v>33</v>
      </c>
      <c r="J614" s="1">
        <v>0.3</v>
      </c>
      <c r="K614" s="1">
        <v>17000</v>
      </c>
      <c r="L614" s="2">
        <v>45292</v>
      </c>
    </row>
    <row r="615" spans="1:12" x14ac:dyDescent="0.35">
      <c r="A615" s="1" t="s">
        <v>845</v>
      </c>
      <c r="B615" s="1" t="s">
        <v>802</v>
      </c>
      <c r="C615" s="1" t="s">
        <v>44</v>
      </c>
      <c r="D615" s="1" t="s">
        <v>45</v>
      </c>
      <c r="E615" s="1" t="s">
        <v>32</v>
      </c>
      <c r="F615" s="1" t="s">
        <v>25</v>
      </c>
      <c r="G615" s="1" t="s">
        <v>36</v>
      </c>
      <c r="H615" s="1">
        <v>13444</v>
      </c>
      <c r="I615" s="1" t="s">
        <v>22</v>
      </c>
      <c r="J615" s="1">
        <v>0.1</v>
      </c>
      <c r="K615" s="1">
        <v>13000</v>
      </c>
      <c r="L615" s="2">
        <v>45341</v>
      </c>
    </row>
    <row r="616" spans="1:12" x14ac:dyDescent="0.35">
      <c r="A616" s="1" t="s">
        <v>846</v>
      </c>
      <c r="B616" s="1" t="s">
        <v>50</v>
      </c>
      <c r="C616" s="1" t="s">
        <v>30</v>
      </c>
      <c r="D616" s="1" t="s">
        <v>31</v>
      </c>
      <c r="E616" s="1" t="s">
        <v>46</v>
      </c>
      <c r="F616" s="1" t="s">
        <v>39</v>
      </c>
      <c r="G616" s="1" t="s">
        <v>26</v>
      </c>
      <c r="H616" s="1">
        <v>16466</v>
      </c>
      <c r="I616" s="1" t="s">
        <v>22</v>
      </c>
      <c r="J616" s="1">
        <v>0.1</v>
      </c>
      <c r="K616" s="1">
        <v>17000</v>
      </c>
      <c r="L616" s="2">
        <v>45342</v>
      </c>
    </row>
    <row r="617" spans="1:12" x14ac:dyDescent="0.35">
      <c r="A617" s="1" t="s">
        <v>847</v>
      </c>
      <c r="B617" s="1" t="s">
        <v>577</v>
      </c>
      <c r="C617" s="1" t="s">
        <v>44</v>
      </c>
      <c r="D617" s="1" t="s">
        <v>45</v>
      </c>
      <c r="E617" s="1" t="s">
        <v>32</v>
      </c>
      <c r="F617" s="1" t="s">
        <v>39</v>
      </c>
      <c r="G617" s="1" t="s">
        <v>18</v>
      </c>
      <c r="H617" s="1">
        <v>14220</v>
      </c>
      <c r="I617" s="1" t="s">
        <v>27</v>
      </c>
      <c r="J617" s="1"/>
      <c r="K617" s="1">
        <v>13000</v>
      </c>
      <c r="L617" s="2">
        <v>45302</v>
      </c>
    </row>
    <row r="618" spans="1:12" x14ac:dyDescent="0.35">
      <c r="A618" s="1" t="s">
        <v>848</v>
      </c>
      <c r="B618" s="1" t="s">
        <v>512</v>
      </c>
      <c r="C618" s="1" t="s">
        <v>61</v>
      </c>
      <c r="D618" s="1" t="s">
        <v>62</v>
      </c>
      <c r="E618" s="1" t="s">
        <v>32</v>
      </c>
      <c r="F618" s="1" t="s">
        <v>17</v>
      </c>
      <c r="G618" s="1" t="s">
        <v>18</v>
      </c>
      <c r="H618" s="1">
        <v>10618</v>
      </c>
      <c r="I618" s="1" t="s">
        <v>19</v>
      </c>
      <c r="J618" s="1">
        <v>0.2</v>
      </c>
      <c r="K618" s="1">
        <v>9000</v>
      </c>
      <c r="L618" s="2">
        <v>45334</v>
      </c>
    </row>
    <row r="619" spans="1:12" x14ac:dyDescent="0.35">
      <c r="A619" s="1" t="s">
        <v>849</v>
      </c>
      <c r="B619" s="1" t="s">
        <v>282</v>
      </c>
      <c r="C619" s="1" t="s">
        <v>30</v>
      </c>
      <c r="D619" s="1" t="s">
        <v>31</v>
      </c>
      <c r="E619" s="1" t="s">
        <v>46</v>
      </c>
      <c r="F619" s="1" t="s">
        <v>25</v>
      </c>
      <c r="G619" s="1" t="s">
        <v>26</v>
      </c>
      <c r="H619" s="1">
        <v>17172</v>
      </c>
      <c r="I619" s="1"/>
      <c r="J619" s="1"/>
      <c r="K619" s="1">
        <v>17000</v>
      </c>
      <c r="L619" s="2">
        <v>45327</v>
      </c>
    </row>
    <row r="620" spans="1:12" x14ac:dyDescent="0.35">
      <c r="A620" s="1" t="s">
        <v>850</v>
      </c>
      <c r="B620" s="1" t="s">
        <v>393</v>
      </c>
      <c r="C620" s="1" t="s">
        <v>14</v>
      </c>
      <c r="D620" s="1" t="s">
        <v>15</v>
      </c>
      <c r="E620" s="1" t="s">
        <v>32</v>
      </c>
      <c r="F620" s="1" t="s">
        <v>39</v>
      </c>
      <c r="G620" s="1" t="s">
        <v>36</v>
      </c>
      <c r="H620" s="1">
        <v>13825</v>
      </c>
      <c r="I620" s="1" t="s">
        <v>19</v>
      </c>
      <c r="J620" s="1">
        <v>0.2</v>
      </c>
      <c r="K620" s="1">
        <v>14000</v>
      </c>
      <c r="L620" s="2">
        <v>45349</v>
      </c>
    </row>
    <row r="621" spans="1:12" x14ac:dyDescent="0.35">
      <c r="A621" s="1" t="s">
        <v>851</v>
      </c>
      <c r="B621" s="1" t="s">
        <v>163</v>
      </c>
      <c r="C621" s="1" t="s">
        <v>44</v>
      </c>
      <c r="D621" s="1" t="s">
        <v>45</v>
      </c>
      <c r="E621" s="1" t="s">
        <v>32</v>
      </c>
      <c r="F621" s="1" t="s">
        <v>39</v>
      </c>
      <c r="G621" s="1" t="s">
        <v>36</v>
      </c>
      <c r="H621" s="1">
        <v>12562</v>
      </c>
      <c r="I621" s="1" t="s">
        <v>22</v>
      </c>
      <c r="J621" s="1">
        <v>0.1</v>
      </c>
      <c r="K621" s="1">
        <v>13000</v>
      </c>
      <c r="L621" s="2">
        <v>45316</v>
      </c>
    </row>
    <row r="622" spans="1:12" x14ac:dyDescent="0.35">
      <c r="A622" s="1" t="s">
        <v>852</v>
      </c>
      <c r="B622" s="1" t="s">
        <v>307</v>
      </c>
      <c r="C622" s="1" t="s">
        <v>30</v>
      </c>
      <c r="D622" s="1" t="s">
        <v>31</v>
      </c>
      <c r="E622" s="1" t="s">
        <v>32</v>
      </c>
      <c r="F622" s="1" t="s">
        <v>39</v>
      </c>
      <c r="G622" s="1" t="s">
        <v>36</v>
      </c>
      <c r="H622" s="1">
        <v>17106</v>
      </c>
      <c r="I622" s="1" t="s">
        <v>27</v>
      </c>
      <c r="J622" s="1"/>
      <c r="K622" s="1">
        <v>17000</v>
      </c>
      <c r="L622" s="2">
        <v>45320</v>
      </c>
    </row>
    <row r="623" spans="1:12" x14ac:dyDescent="0.35">
      <c r="A623" s="1" t="s">
        <v>853</v>
      </c>
      <c r="B623" s="1" t="s">
        <v>711</v>
      </c>
      <c r="C623" s="1" t="s">
        <v>30</v>
      </c>
      <c r="D623" s="1" t="s">
        <v>31</v>
      </c>
      <c r="E623" s="1" t="s">
        <v>16</v>
      </c>
      <c r="F623" s="1" t="s">
        <v>25</v>
      </c>
      <c r="G623" s="1" t="s">
        <v>36</v>
      </c>
      <c r="H623" s="1">
        <v>17104</v>
      </c>
      <c r="I623" s="1" t="s">
        <v>22</v>
      </c>
      <c r="J623" s="1">
        <v>0.1</v>
      </c>
      <c r="K623" s="1">
        <v>17000</v>
      </c>
      <c r="L623" s="2">
        <v>45352</v>
      </c>
    </row>
    <row r="624" spans="1:12" x14ac:dyDescent="0.35">
      <c r="A624" s="1" t="s">
        <v>854</v>
      </c>
      <c r="B624" s="1" t="s">
        <v>843</v>
      </c>
      <c r="C624" s="1" t="s">
        <v>14</v>
      </c>
      <c r="D624" s="1" t="s">
        <v>15</v>
      </c>
      <c r="E624" s="1" t="s">
        <v>16</v>
      </c>
      <c r="F624" s="1" t="s">
        <v>25</v>
      </c>
      <c r="G624" s="1" t="s">
        <v>18</v>
      </c>
      <c r="H624" s="1">
        <v>14745</v>
      </c>
      <c r="I624" s="1" t="s">
        <v>19</v>
      </c>
      <c r="J624" s="1">
        <v>0.2</v>
      </c>
      <c r="K624" s="1">
        <v>14000</v>
      </c>
      <c r="L624" s="2">
        <v>45347</v>
      </c>
    </row>
    <row r="625" spans="1:12" x14ac:dyDescent="0.35">
      <c r="A625" s="1" t="s">
        <v>855</v>
      </c>
      <c r="B625" s="1" t="s">
        <v>90</v>
      </c>
      <c r="C625" s="1" t="s">
        <v>14</v>
      </c>
      <c r="D625" s="1" t="s">
        <v>15</v>
      </c>
      <c r="E625" s="1" t="s">
        <v>32</v>
      </c>
      <c r="F625" s="1" t="s">
        <v>39</v>
      </c>
      <c r="G625" s="1" t="s">
        <v>26</v>
      </c>
      <c r="H625" s="1">
        <v>15598</v>
      </c>
      <c r="I625" s="1"/>
      <c r="J625" s="1"/>
      <c r="K625" s="1">
        <v>14000</v>
      </c>
      <c r="L625" s="2">
        <v>45333</v>
      </c>
    </row>
    <row r="626" spans="1:12" x14ac:dyDescent="0.35">
      <c r="A626" s="1" t="s">
        <v>856</v>
      </c>
      <c r="B626" s="1" t="s">
        <v>96</v>
      </c>
      <c r="C626" s="1" t="s">
        <v>44</v>
      </c>
      <c r="D626" s="1" t="s">
        <v>45</v>
      </c>
      <c r="E626" s="1" t="s">
        <v>32</v>
      </c>
      <c r="F626" s="1" t="s">
        <v>17</v>
      </c>
      <c r="G626" s="1" t="s">
        <v>26</v>
      </c>
      <c r="H626" s="1">
        <v>12358</v>
      </c>
      <c r="I626" s="1" t="s">
        <v>22</v>
      </c>
      <c r="J626" s="1">
        <v>0.1</v>
      </c>
      <c r="K626" s="1">
        <v>13000</v>
      </c>
      <c r="L626" s="2">
        <v>45297</v>
      </c>
    </row>
    <row r="627" spans="1:12" x14ac:dyDescent="0.35">
      <c r="A627" s="1" t="s">
        <v>857</v>
      </c>
      <c r="B627" s="1" t="s">
        <v>43</v>
      </c>
      <c r="C627" s="1" t="s">
        <v>44</v>
      </c>
      <c r="D627" s="1" t="s">
        <v>45</v>
      </c>
      <c r="E627" s="1" t="s">
        <v>46</v>
      </c>
      <c r="F627" s="1" t="s">
        <v>39</v>
      </c>
      <c r="G627" s="1" t="s">
        <v>18</v>
      </c>
      <c r="H627" s="1">
        <v>13355</v>
      </c>
      <c r="I627" s="1" t="s">
        <v>19</v>
      </c>
      <c r="J627" s="1">
        <v>0.2</v>
      </c>
      <c r="K627" s="1">
        <v>13000</v>
      </c>
      <c r="L627" s="2">
        <v>45350</v>
      </c>
    </row>
    <row r="628" spans="1:12" x14ac:dyDescent="0.35">
      <c r="A628" s="1" t="s">
        <v>858</v>
      </c>
      <c r="B628" s="1" t="s">
        <v>70</v>
      </c>
      <c r="C628" s="1" t="s">
        <v>61</v>
      </c>
      <c r="D628" s="1" t="s">
        <v>62</v>
      </c>
      <c r="E628" s="1" t="s">
        <v>46</v>
      </c>
      <c r="F628" s="1" t="s">
        <v>39</v>
      </c>
      <c r="G628" s="1" t="s">
        <v>36</v>
      </c>
      <c r="H628" s="1">
        <v>8773</v>
      </c>
      <c r="I628" s="1" t="s">
        <v>33</v>
      </c>
      <c r="J628" s="1">
        <v>0.3</v>
      </c>
      <c r="K628" s="1">
        <v>9000</v>
      </c>
      <c r="L628" s="2">
        <v>45293</v>
      </c>
    </row>
    <row r="629" spans="1:12" x14ac:dyDescent="0.35">
      <c r="A629" s="1" t="s">
        <v>859</v>
      </c>
      <c r="B629" s="1" t="s">
        <v>274</v>
      </c>
      <c r="C629" s="1" t="s">
        <v>14</v>
      </c>
      <c r="D629" s="1" t="s">
        <v>15</v>
      </c>
      <c r="E629" s="1" t="s">
        <v>16</v>
      </c>
      <c r="F629" s="1" t="s">
        <v>25</v>
      </c>
      <c r="G629" s="1" t="s">
        <v>26</v>
      </c>
      <c r="H629" s="1">
        <v>14950</v>
      </c>
      <c r="I629" s="1" t="s">
        <v>27</v>
      </c>
      <c r="J629" s="1"/>
      <c r="K629" s="1">
        <v>14000</v>
      </c>
      <c r="L629" s="2">
        <v>45296</v>
      </c>
    </row>
    <row r="630" spans="1:12" x14ac:dyDescent="0.35">
      <c r="A630" s="1" t="s">
        <v>860</v>
      </c>
      <c r="B630" s="1" t="s">
        <v>296</v>
      </c>
      <c r="C630" s="1" t="s">
        <v>14</v>
      </c>
      <c r="D630" s="1" t="s">
        <v>15</v>
      </c>
      <c r="E630" s="1" t="s">
        <v>16</v>
      </c>
      <c r="F630" s="1" t="s">
        <v>25</v>
      </c>
      <c r="G630" s="1" t="s">
        <v>36</v>
      </c>
      <c r="H630" s="1">
        <v>15801</v>
      </c>
      <c r="I630" s="1" t="s">
        <v>27</v>
      </c>
      <c r="J630" s="1"/>
      <c r="K630" s="1">
        <v>14000</v>
      </c>
      <c r="L630" s="2">
        <v>45298</v>
      </c>
    </row>
    <row r="631" spans="1:12" x14ac:dyDescent="0.35">
      <c r="A631" s="1" t="s">
        <v>861</v>
      </c>
      <c r="B631" s="1" t="s">
        <v>443</v>
      </c>
      <c r="C631" s="1" t="s">
        <v>30</v>
      </c>
      <c r="D631" s="1" t="s">
        <v>31</v>
      </c>
      <c r="E631" s="1" t="s">
        <v>16</v>
      </c>
      <c r="F631" s="1" t="s">
        <v>25</v>
      </c>
      <c r="G631" s="1" t="s">
        <v>36</v>
      </c>
      <c r="H631" s="1">
        <v>18134</v>
      </c>
      <c r="I631" s="1"/>
      <c r="J631" s="1"/>
      <c r="K631" s="1">
        <v>17000</v>
      </c>
      <c r="L631" s="2">
        <v>45316</v>
      </c>
    </row>
    <row r="632" spans="1:12" x14ac:dyDescent="0.35">
      <c r="A632" s="1" t="s">
        <v>862</v>
      </c>
      <c r="B632" s="1" t="s">
        <v>309</v>
      </c>
      <c r="C632" s="1" t="s">
        <v>14</v>
      </c>
      <c r="D632" s="1" t="s">
        <v>15</v>
      </c>
      <c r="E632" s="1" t="s">
        <v>46</v>
      </c>
      <c r="F632" s="1" t="s">
        <v>25</v>
      </c>
      <c r="G632" s="1" t="s">
        <v>26</v>
      </c>
      <c r="H632" s="1">
        <v>12900</v>
      </c>
      <c r="I632" s="1" t="s">
        <v>19</v>
      </c>
      <c r="J632" s="1">
        <v>0.2</v>
      </c>
      <c r="K632" s="1">
        <v>14000</v>
      </c>
      <c r="L632" s="2">
        <v>45339</v>
      </c>
    </row>
    <row r="633" spans="1:12" x14ac:dyDescent="0.35">
      <c r="A633" s="1" t="s">
        <v>863</v>
      </c>
      <c r="B633" s="1" t="s">
        <v>155</v>
      </c>
      <c r="C633" s="1" t="s">
        <v>30</v>
      </c>
      <c r="D633" s="1" t="s">
        <v>31</v>
      </c>
      <c r="E633" s="1" t="s">
        <v>16</v>
      </c>
      <c r="F633" s="1" t="s">
        <v>25</v>
      </c>
      <c r="G633" s="1" t="s">
        <v>36</v>
      </c>
      <c r="H633" s="1">
        <v>17774</v>
      </c>
      <c r="I633" s="1" t="s">
        <v>33</v>
      </c>
      <c r="J633" s="1">
        <v>0.3</v>
      </c>
      <c r="K633" s="1">
        <v>17000</v>
      </c>
      <c r="L633" s="2">
        <v>45352</v>
      </c>
    </row>
    <row r="634" spans="1:12" x14ac:dyDescent="0.35">
      <c r="A634" s="1" t="s">
        <v>864</v>
      </c>
      <c r="B634" s="1" t="s">
        <v>166</v>
      </c>
      <c r="C634" s="1" t="s">
        <v>44</v>
      </c>
      <c r="D634" s="1" t="s">
        <v>45</v>
      </c>
      <c r="E634" s="1" t="s">
        <v>32</v>
      </c>
      <c r="F634" s="1" t="s">
        <v>25</v>
      </c>
      <c r="G634" s="1" t="s">
        <v>18</v>
      </c>
      <c r="H634" s="1">
        <v>13345</v>
      </c>
      <c r="I634" s="1" t="s">
        <v>27</v>
      </c>
      <c r="J634" s="1"/>
      <c r="K634" s="1">
        <v>13000</v>
      </c>
      <c r="L634" s="2">
        <v>45317</v>
      </c>
    </row>
    <row r="635" spans="1:12" x14ac:dyDescent="0.35">
      <c r="A635" s="1" t="s">
        <v>865</v>
      </c>
      <c r="B635" s="1" t="s">
        <v>168</v>
      </c>
      <c r="C635" s="1" t="s">
        <v>14</v>
      </c>
      <c r="D635" s="1" t="s">
        <v>15</v>
      </c>
      <c r="E635" s="1" t="s">
        <v>46</v>
      </c>
      <c r="F635" s="1" t="s">
        <v>25</v>
      </c>
      <c r="G635" s="1" t="s">
        <v>26</v>
      </c>
      <c r="H635" s="1">
        <v>15036</v>
      </c>
      <c r="I635" s="1" t="s">
        <v>33</v>
      </c>
      <c r="J635" s="1">
        <v>0.3</v>
      </c>
      <c r="K635" s="1">
        <v>14000</v>
      </c>
      <c r="L635" s="2">
        <v>45305</v>
      </c>
    </row>
    <row r="636" spans="1:12" x14ac:dyDescent="0.35">
      <c r="A636" s="1" t="s">
        <v>866</v>
      </c>
      <c r="B636" s="1" t="s">
        <v>274</v>
      </c>
      <c r="C636" s="1" t="s">
        <v>44</v>
      </c>
      <c r="D636" s="1" t="s">
        <v>45</v>
      </c>
      <c r="E636" s="1" t="s">
        <v>32</v>
      </c>
      <c r="F636" s="1" t="s">
        <v>25</v>
      </c>
      <c r="G636" s="1" t="s">
        <v>18</v>
      </c>
      <c r="H636" s="1">
        <v>13526</v>
      </c>
      <c r="I636" s="1" t="s">
        <v>33</v>
      </c>
      <c r="J636" s="1">
        <v>0.3</v>
      </c>
      <c r="K636" s="1">
        <v>13000</v>
      </c>
      <c r="L636" s="2">
        <v>45304</v>
      </c>
    </row>
    <row r="637" spans="1:12" x14ac:dyDescent="0.35">
      <c r="A637" s="1" t="s">
        <v>867</v>
      </c>
      <c r="B637" s="1" t="s">
        <v>843</v>
      </c>
      <c r="C637" s="1" t="s">
        <v>14</v>
      </c>
      <c r="D637" s="1" t="s">
        <v>15</v>
      </c>
      <c r="E637" s="1" t="s">
        <v>16</v>
      </c>
      <c r="F637" s="1" t="s">
        <v>17</v>
      </c>
      <c r="G637" s="1" t="s">
        <v>26</v>
      </c>
      <c r="H637" s="1">
        <v>14251</v>
      </c>
      <c r="I637" s="1" t="s">
        <v>22</v>
      </c>
      <c r="J637" s="1">
        <v>0.1</v>
      </c>
      <c r="K637" s="1">
        <v>14000</v>
      </c>
      <c r="L637" s="2">
        <v>45310</v>
      </c>
    </row>
    <row r="638" spans="1:12" x14ac:dyDescent="0.35">
      <c r="A638" s="1" t="s">
        <v>868</v>
      </c>
      <c r="B638" s="1" t="s">
        <v>13</v>
      </c>
      <c r="C638" s="1" t="s">
        <v>30</v>
      </c>
      <c r="D638" s="1" t="s">
        <v>31</v>
      </c>
      <c r="E638" s="1" t="s">
        <v>32</v>
      </c>
      <c r="F638" s="1" t="s">
        <v>25</v>
      </c>
      <c r="G638" s="1" t="s">
        <v>26</v>
      </c>
      <c r="H638" s="1">
        <v>17378</v>
      </c>
      <c r="I638" s="1"/>
      <c r="J638" s="1"/>
      <c r="K638" s="1">
        <v>17000</v>
      </c>
      <c r="L638" s="2">
        <v>45352</v>
      </c>
    </row>
    <row r="639" spans="1:12" x14ac:dyDescent="0.35">
      <c r="A639" s="1" t="s">
        <v>869</v>
      </c>
      <c r="B639" s="1" t="s">
        <v>282</v>
      </c>
      <c r="C639" s="1" t="s">
        <v>44</v>
      </c>
      <c r="D639" s="1" t="s">
        <v>45</v>
      </c>
      <c r="E639" s="1" t="s">
        <v>16</v>
      </c>
      <c r="F639" s="1" t="s">
        <v>39</v>
      </c>
      <c r="G639" s="1" t="s">
        <v>18</v>
      </c>
      <c r="H639" s="1">
        <v>11409</v>
      </c>
      <c r="I639" s="1" t="s">
        <v>33</v>
      </c>
      <c r="J639" s="1">
        <v>0.3</v>
      </c>
      <c r="K639" s="1">
        <v>13000</v>
      </c>
      <c r="L639" s="2">
        <v>45331</v>
      </c>
    </row>
    <row r="640" spans="1:12" x14ac:dyDescent="0.35">
      <c r="A640" s="1" t="s">
        <v>870</v>
      </c>
      <c r="B640" s="1" t="s">
        <v>248</v>
      </c>
      <c r="C640" s="1" t="s">
        <v>30</v>
      </c>
      <c r="D640" s="1" t="s">
        <v>31</v>
      </c>
      <c r="E640" s="1" t="s">
        <v>46</v>
      </c>
      <c r="F640" s="1" t="s">
        <v>17</v>
      </c>
      <c r="G640" s="1" t="s">
        <v>36</v>
      </c>
      <c r="H640" s="1">
        <v>17524</v>
      </c>
      <c r="I640" s="1" t="s">
        <v>33</v>
      </c>
      <c r="J640" s="1">
        <v>0.3</v>
      </c>
      <c r="K640" s="1">
        <v>17000</v>
      </c>
      <c r="L640" s="2">
        <v>45336</v>
      </c>
    </row>
    <row r="641" spans="1:12" x14ac:dyDescent="0.35">
      <c r="A641" s="1" t="s">
        <v>871</v>
      </c>
      <c r="B641" s="1" t="s">
        <v>373</v>
      </c>
      <c r="C641" s="1" t="s">
        <v>30</v>
      </c>
      <c r="D641" s="1" t="s">
        <v>31</v>
      </c>
      <c r="E641" s="1" t="s">
        <v>46</v>
      </c>
      <c r="F641" s="1" t="s">
        <v>17</v>
      </c>
      <c r="G641" s="1" t="s">
        <v>18</v>
      </c>
      <c r="H641" s="1">
        <v>15019</v>
      </c>
      <c r="I641" s="1" t="s">
        <v>33</v>
      </c>
      <c r="J641" s="1">
        <v>0.3</v>
      </c>
      <c r="K641" s="1">
        <v>17000</v>
      </c>
      <c r="L641" s="2">
        <v>45307</v>
      </c>
    </row>
    <row r="642" spans="1:12" x14ac:dyDescent="0.35">
      <c r="A642" s="1" t="s">
        <v>872</v>
      </c>
      <c r="B642" s="1" t="s">
        <v>294</v>
      </c>
      <c r="C642" s="1" t="s">
        <v>61</v>
      </c>
      <c r="D642" s="1" t="s">
        <v>62</v>
      </c>
      <c r="E642" s="1" t="s">
        <v>46</v>
      </c>
      <c r="F642" s="1" t="s">
        <v>17</v>
      </c>
      <c r="G642" s="1" t="s">
        <v>18</v>
      </c>
      <c r="H642" s="1">
        <v>9783</v>
      </c>
      <c r="I642" s="1" t="s">
        <v>33</v>
      </c>
      <c r="J642" s="1">
        <v>0.3</v>
      </c>
      <c r="K642" s="1">
        <v>9000</v>
      </c>
      <c r="L642" s="2">
        <v>45348</v>
      </c>
    </row>
    <row r="643" spans="1:12" x14ac:dyDescent="0.35">
      <c r="A643" s="1" t="s">
        <v>873</v>
      </c>
      <c r="B643" s="1" t="s">
        <v>231</v>
      </c>
      <c r="C643" s="1" t="s">
        <v>61</v>
      </c>
      <c r="D643" s="1" t="s">
        <v>62</v>
      </c>
      <c r="E643" s="1" t="s">
        <v>46</v>
      </c>
      <c r="F643" s="1" t="s">
        <v>17</v>
      </c>
      <c r="G643" s="1" t="s">
        <v>36</v>
      </c>
      <c r="H643" s="1">
        <v>9259</v>
      </c>
      <c r="I643" s="1" t="s">
        <v>22</v>
      </c>
      <c r="J643" s="1">
        <v>0.1</v>
      </c>
      <c r="K643" s="1">
        <v>9000</v>
      </c>
      <c r="L643" s="2">
        <v>45303</v>
      </c>
    </row>
    <row r="644" spans="1:12" x14ac:dyDescent="0.35">
      <c r="A644" s="1" t="s">
        <v>874</v>
      </c>
      <c r="B644" s="1" t="s">
        <v>163</v>
      </c>
      <c r="C644" s="1" t="s">
        <v>14</v>
      </c>
      <c r="D644" s="1" t="s">
        <v>15</v>
      </c>
      <c r="E644" s="1" t="s">
        <v>46</v>
      </c>
      <c r="F644" s="1" t="s">
        <v>25</v>
      </c>
      <c r="G644" s="1" t="s">
        <v>26</v>
      </c>
      <c r="H644" s="1">
        <v>12804</v>
      </c>
      <c r="I644" s="1" t="s">
        <v>33</v>
      </c>
      <c r="J644" s="1">
        <v>0.3</v>
      </c>
      <c r="K644" s="1">
        <v>14000</v>
      </c>
      <c r="L644" s="2">
        <v>45338</v>
      </c>
    </row>
    <row r="645" spans="1:12" x14ac:dyDescent="0.35">
      <c r="A645" s="1" t="s">
        <v>875</v>
      </c>
      <c r="B645" s="1" t="s">
        <v>50</v>
      </c>
      <c r="C645" s="1" t="s">
        <v>14</v>
      </c>
      <c r="D645" s="1" t="s">
        <v>15</v>
      </c>
      <c r="E645" s="1" t="s">
        <v>16</v>
      </c>
      <c r="F645" s="1" t="s">
        <v>25</v>
      </c>
      <c r="G645" s="1" t="s">
        <v>18</v>
      </c>
      <c r="H645" s="1">
        <v>15479</v>
      </c>
      <c r="I645" s="1" t="s">
        <v>27</v>
      </c>
      <c r="J645" s="1"/>
      <c r="K645" s="1">
        <v>14000</v>
      </c>
      <c r="L645" s="2">
        <v>45332</v>
      </c>
    </row>
    <row r="646" spans="1:12" x14ac:dyDescent="0.35">
      <c r="A646" s="1" t="s">
        <v>876</v>
      </c>
      <c r="B646" s="1" t="s">
        <v>129</v>
      </c>
      <c r="C646" s="1" t="s">
        <v>61</v>
      </c>
      <c r="D646" s="1" t="s">
        <v>62</v>
      </c>
      <c r="E646" s="1" t="s">
        <v>16</v>
      </c>
      <c r="F646" s="1" t="s">
        <v>25</v>
      </c>
      <c r="G646" s="1" t="s">
        <v>18</v>
      </c>
      <c r="H646" s="1">
        <v>9259</v>
      </c>
      <c r="I646" s="1" t="s">
        <v>33</v>
      </c>
      <c r="J646" s="1">
        <v>0.3</v>
      </c>
      <c r="K646" s="1">
        <v>9000</v>
      </c>
      <c r="L646" s="2">
        <v>45326</v>
      </c>
    </row>
    <row r="647" spans="1:12" x14ac:dyDescent="0.35">
      <c r="A647" s="1" t="s">
        <v>877</v>
      </c>
      <c r="B647" s="1" t="s">
        <v>84</v>
      </c>
      <c r="C647" s="1" t="s">
        <v>61</v>
      </c>
      <c r="D647" s="1" t="s">
        <v>62</v>
      </c>
      <c r="E647" s="1" t="s">
        <v>16</v>
      </c>
      <c r="F647" s="1" t="s">
        <v>25</v>
      </c>
      <c r="G647" s="1" t="s">
        <v>36</v>
      </c>
      <c r="H647" s="1">
        <v>8607</v>
      </c>
      <c r="I647" s="1" t="s">
        <v>19</v>
      </c>
      <c r="J647" s="1">
        <v>0.2</v>
      </c>
      <c r="K647" s="1">
        <v>9000</v>
      </c>
      <c r="L647" s="2">
        <v>45349</v>
      </c>
    </row>
    <row r="648" spans="1:12" x14ac:dyDescent="0.35">
      <c r="A648" s="1" t="s">
        <v>878</v>
      </c>
      <c r="B648" s="1" t="s">
        <v>522</v>
      </c>
      <c r="C648" s="1" t="s">
        <v>30</v>
      </c>
      <c r="D648" s="1" t="s">
        <v>31</v>
      </c>
      <c r="E648" s="1" t="s">
        <v>32</v>
      </c>
      <c r="F648" s="1" t="s">
        <v>17</v>
      </c>
      <c r="G648" s="1" t="s">
        <v>26</v>
      </c>
      <c r="H648" s="1">
        <v>17090</v>
      </c>
      <c r="I648" s="1" t="s">
        <v>22</v>
      </c>
      <c r="J648" s="1">
        <v>0.1</v>
      </c>
      <c r="K648" s="1">
        <v>17000</v>
      </c>
      <c r="L648" s="2">
        <v>45317</v>
      </c>
    </row>
    <row r="649" spans="1:12" x14ac:dyDescent="0.35">
      <c r="A649" s="1" t="s">
        <v>879</v>
      </c>
      <c r="B649" s="1" t="s">
        <v>301</v>
      </c>
      <c r="C649" s="1" t="s">
        <v>14</v>
      </c>
      <c r="D649" s="1" t="s">
        <v>15</v>
      </c>
      <c r="E649" s="1" t="s">
        <v>16</v>
      </c>
      <c r="F649" s="1" t="s">
        <v>25</v>
      </c>
      <c r="G649" s="1" t="s">
        <v>26</v>
      </c>
      <c r="H649" s="1">
        <v>14802</v>
      </c>
      <c r="I649" s="1" t="s">
        <v>19</v>
      </c>
      <c r="J649" s="1">
        <v>0.2</v>
      </c>
      <c r="K649" s="1">
        <v>14000</v>
      </c>
      <c r="L649" s="2">
        <v>45340</v>
      </c>
    </row>
    <row r="650" spans="1:12" x14ac:dyDescent="0.35">
      <c r="A650" s="1" t="s">
        <v>880</v>
      </c>
      <c r="B650" s="1" t="s">
        <v>80</v>
      </c>
      <c r="C650" s="1" t="s">
        <v>61</v>
      </c>
      <c r="D650" s="1" t="s">
        <v>62</v>
      </c>
      <c r="E650" s="1" t="s">
        <v>32</v>
      </c>
      <c r="F650" s="1" t="s">
        <v>25</v>
      </c>
      <c r="G650" s="1" t="s">
        <v>26</v>
      </c>
      <c r="H650" s="1">
        <v>10885</v>
      </c>
      <c r="I650" s="1" t="s">
        <v>27</v>
      </c>
      <c r="J650" s="1"/>
      <c r="K650" s="1">
        <v>9000</v>
      </c>
      <c r="L650" s="2">
        <v>45334</v>
      </c>
    </row>
    <row r="651" spans="1:12" x14ac:dyDescent="0.35">
      <c r="A651" s="1" t="s">
        <v>881</v>
      </c>
      <c r="B651" s="1" t="s">
        <v>412</v>
      </c>
      <c r="C651" s="1" t="s">
        <v>61</v>
      </c>
      <c r="D651" s="1" t="s">
        <v>62</v>
      </c>
      <c r="E651" s="1" t="s">
        <v>46</v>
      </c>
      <c r="F651" s="1" t="s">
        <v>25</v>
      </c>
      <c r="G651" s="1" t="s">
        <v>18</v>
      </c>
      <c r="H651" s="1">
        <v>10118</v>
      </c>
      <c r="I651" s="1"/>
      <c r="J651" s="1"/>
      <c r="K651" s="1">
        <v>9000</v>
      </c>
      <c r="L651" s="2">
        <v>45306</v>
      </c>
    </row>
    <row r="652" spans="1:12" x14ac:dyDescent="0.35">
      <c r="A652" s="1" t="s">
        <v>882</v>
      </c>
      <c r="B652" s="1" t="s">
        <v>263</v>
      </c>
      <c r="C652" s="1" t="s">
        <v>30</v>
      </c>
      <c r="D652" s="1" t="s">
        <v>31</v>
      </c>
      <c r="E652" s="1" t="s">
        <v>32</v>
      </c>
      <c r="F652" s="1" t="s">
        <v>25</v>
      </c>
      <c r="G652" s="1" t="s">
        <v>26</v>
      </c>
      <c r="H652" s="1">
        <v>15846</v>
      </c>
      <c r="I652" s="1" t="s">
        <v>27</v>
      </c>
      <c r="J652" s="1"/>
      <c r="K652" s="1">
        <v>17000</v>
      </c>
      <c r="L652" s="2">
        <v>45350</v>
      </c>
    </row>
    <row r="653" spans="1:12" x14ac:dyDescent="0.35">
      <c r="A653" s="1" t="s">
        <v>883</v>
      </c>
      <c r="B653" s="1" t="s">
        <v>602</v>
      </c>
      <c r="C653" s="1" t="s">
        <v>61</v>
      </c>
      <c r="D653" s="1" t="s">
        <v>62</v>
      </c>
      <c r="E653" s="1" t="s">
        <v>46</v>
      </c>
      <c r="F653" s="1" t="s">
        <v>17</v>
      </c>
      <c r="G653" s="1" t="s">
        <v>18</v>
      </c>
      <c r="H653" s="1">
        <v>7163</v>
      </c>
      <c r="I653" s="1" t="s">
        <v>33</v>
      </c>
      <c r="J653" s="1">
        <v>0.3</v>
      </c>
      <c r="K653" s="1">
        <v>9000</v>
      </c>
      <c r="L653" s="2">
        <v>45298</v>
      </c>
    </row>
    <row r="654" spans="1:12" x14ac:dyDescent="0.35">
      <c r="A654" s="1" t="s">
        <v>884</v>
      </c>
      <c r="B654" s="1" t="s">
        <v>103</v>
      </c>
      <c r="C654" s="1" t="s">
        <v>30</v>
      </c>
      <c r="D654" s="1" t="s">
        <v>31</v>
      </c>
      <c r="E654" s="1" t="s">
        <v>16</v>
      </c>
      <c r="F654" s="1" t="s">
        <v>17</v>
      </c>
      <c r="G654" s="1" t="s">
        <v>26</v>
      </c>
      <c r="H654" s="1">
        <v>17229</v>
      </c>
      <c r="I654" s="1" t="s">
        <v>27</v>
      </c>
      <c r="J654" s="1"/>
      <c r="K654" s="1">
        <v>17000</v>
      </c>
      <c r="L654" s="2">
        <v>45303</v>
      </c>
    </row>
    <row r="655" spans="1:12" x14ac:dyDescent="0.35">
      <c r="A655" s="1" t="s">
        <v>885</v>
      </c>
      <c r="B655" s="1" t="s">
        <v>274</v>
      </c>
      <c r="C655" s="1" t="s">
        <v>61</v>
      </c>
      <c r="D655" s="1" t="s">
        <v>62</v>
      </c>
      <c r="E655" s="1" t="s">
        <v>46</v>
      </c>
      <c r="F655" s="1" t="s">
        <v>39</v>
      </c>
      <c r="G655" s="1" t="s">
        <v>26</v>
      </c>
      <c r="H655" s="1">
        <v>10679</v>
      </c>
      <c r="I655" s="1" t="s">
        <v>22</v>
      </c>
      <c r="J655" s="1">
        <v>0.1</v>
      </c>
      <c r="K655" s="1">
        <v>9000</v>
      </c>
      <c r="L655" s="2">
        <v>45325</v>
      </c>
    </row>
    <row r="656" spans="1:12" x14ac:dyDescent="0.35">
      <c r="A656" s="1" t="s">
        <v>886</v>
      </c>
      <c r="B656" s="1" t="s">
        <v>70</v>
      </c>
      <c r="C656" s="1" t="s">
        <v>44</v>
      </c>
      <c r="D656" s="1" t="s">
        <v>45</v>
      </c>
      <c r="E656" s="1" t="s">
        <v>16</v>
      </c>
      <c r="F656" s="1" t="s">
        <v>17</v>
      </c>
      <c r="G656" s="1" t="s">
        <v>36</v>
      </c>
      <c r="H656" s="1">
        <v>14347</v>
      </c>
      <c r="I656" s="1" t="s">
        <v>33</v>
      </c>
      <c r="J656" s="1">
        <v>0.3</v>
      </c>
      <c r="K656" s="1">
        <v>13000</v>
      </c>
      <c r="L656" s="2">
        <v>45323</v>
      </c>
    </row>
    <row r="657" spans="1:12" x14ac:dyDescent="0.35">
      <c r="A657" s="1" t="s">
        <v>887</v>
      </c>
      <c r="B657" s="1" t="s">
        <v>298</v>
      </c>
      <c r="C657" s="1" t="s">
        <v>14</v>
      </c>
      <c r="D657" s="1" t="s">
        <v>15</v>
      </c>
      <c r="E657" s="1" t="s">
        <v>16</v>
      </c>
      <c r="F657" s="1" t="s">
        <v>25</v>
      </c>
      <c r="G657" s="1" t="s">
        <v>36</v>
      </c>
      <c r="H657" s="1">
        <v>12678</v>
      </c>
      <c r="I657" s="1" t="s">
        <v>19</v>
      </c>
      <c r="J657" s="1">
        <v>0.2</v>
      </c>
      <c r="K657" s="1">
        <v>14000</v>
      </c>
      <c r="L657" s="2">
        <v>45296</v>
      </c>
    </row>
    <row r="658" spans="1:12" x14ac:dyDescent="0.35">
      <c r="A658" s="1" t="s">
        <v>888</v>
      </c>
      <c r="B658" s="1" t="s">
        <v>202</v>
      </c>
      <c r="C658" s="1" t="s">
        <v>30</v>
      </c>
      <c r="D658" s="1" t="s">
        <v>31</v>
      </c>
      <c r="E658" s="1" t="s">
        <v>32</v>
      </c>
      <c r="F658" s="1" t="s">
        <v>25</v>
      </c>
      <c r="G658" s="1" t="s">
        <v>18</v>
      </c>
      <c r="H658" s="1">
        <v>15644</v>
      </c>
      <c r="I658" s="1" t="s">
        <v>33</v>
      </c>
      <c r="J658" s="1">
        <v>0.3</v>
      </c>
      <c r="K658" s="1">
        <v>17000</v>
      </c>
      <c r="L658" s="2">
        <v>45330</v>
      </c>
    </row>
    <row r="659" spans="1:12" x14ac:dyDescent="0.35">
      <c r="A659" s="1" t="s">
        <v>889</v>
      </c>
      <c r="B659" s="1" t="s">
        <v>371</v>
      </c>
      <c r="C659" s="1" t="s">
        <v>14</v>
      </c>
      <c r="D659" s="1" t="s">
        <v>15</v>
      </c>
      <c r="E659" s="1" t="s">
        <v>16</v>
      </c>
      <c r="F659" s="1" t="s">
        <v>25</v>
      </c>
      <c r="G659" s="1" t="s">
        <v>36</v>
      </c>
      <c r="H659" s="1">
        <v>15322</v>
      </c>
      <c r="I659" s="1" t="s">
        <v>33</v>
      </c>
      <c r="J659" s="1">
        <v>0.3</v>
      </c>
      <c r="K659" s="1">
        <v>14000</v>
      </c>
      <c r="L659" s="2">
        <v>45338</v>
      </c>
    </row>
    <row r="660" spans="1:12" x14ac:dyDescent="0.35">
      <c r="A660" s="1" t="s">
        <v>890</v>
      </c>
      <c r="B660" s="1" t="s">
        <v>245</v>
      </c>
      <c r="C660" s="1" t="s">
        <v>61</v>
      </c>
      <c r="D660" s="1" t="s">
        <v>62</v>
      </c>
      <c r="E660" s="1" t="s">
        <v>46</v>
      </c>
      <c r="F660" s="1" t="s">
        <v>25</v>
      </c>
      <c r="G660" s="1" t="s">
        <v>26</v>
      </c>
      <c r="H660" s="1">
        <v>7660</v>
      </c>
      <c r="I660" s="1"/>
      <c r="J660" s="1"/>
      <c r="K660" s="1">
        <v>9000</v>
      </c>
      <c r="L660" s="2">
        <v>45293</v>
      </c>
    </row>
    <row r="661" spans="1:12" x14ac:dyDescent="0.35">
      <c r="A661" s="1" t="s">
        <v>891</v>
      </c>
      <c r="B661" s="1" t="s">
        <v>500</v>
      </c>
      <c r="C661" s="1" t="s">
        <v>44</v>
      </c>
      <c r="D661" s="1" t="s">
        <v>45</v>
      </c>
      <c r="E661" s="1" t="s">
        <v>16</v>
      </c>
      <c r="F661" s="1" t="s">
        <v>39</v>
      </c>
      <c r="G661" s="1" t="s">
        <v>18</v>
      </c>
      <c r="H661" s="1">
        <v>11551</v>
      </c>
      <c r="I661" s="1" t="s">
        <v>27</v>
      </c>
      <c r="J661" s="1"/>
      <c r="K661" s="1">
        <v>13000</v>
      </c>
      <c r="L661" s="2">
        <v>45294</v>
      </c>
    </row>
    <row r="662" spans="1:12" x14ac:dyDescent="0.35">
      <c r="A662" s="1" t="s">
        <v>892</v>
      </c>
      <c r="B662" s="1" t="s">
        <v>60</v>
      </c>
      <c r="C662" s="1" t="s">
        <v>44</v>
      </c>
      <c r="D662" s="1" t="s">
        <v>45</v>
      </c>
      <c r="E662" s="1" t="s">
        <v>32</v>
      </c>
      <c r="F662" s="1" t="s">
        <v>25</v>
      </c>
      <c r="G662" s="1" t="s">
        <v>36</v>
      </c>
      <c r="H662" s="1">
        <v>14778</v>
      </c>
      <c r="I662" s="1" t="s">
        <v>19</v>
      </c>
      <c r="J662" s="1">
        <v>0.2</v>
      </c>
      <c r="K662" s="1">
        <v>13000</v>
      </c>
      <c r="L662" s="2">
        <v>45325</v>
      </c>
    </row>
    <row r="663" spans="1:12" x14ac:dyDescent="0.35">
      <c r="A663" s="1" t="s">
        <v>893</v>
      </c>
      <c r="B663" s="1" t="s">
        <v>617</v>
      </c>
      <c r="C663" s="1" t="s">
        <v>14</v>
      </c>
      <c r="D663" s="1" t="s">
        <v>15</v>
      </c>
      <c r="E663" s="1" t="s">
        <v>16</v>
      </c>
      <c r="F663" s="1" t="s">
        <v>39</v>
      </c>
      <c r="G663" s="1" t="s">
        <v>26</v>
      </c>
      <c r="H663" s="1">
        <v>15364</v>
      </c>
      <c r="I663" s="1" t="s">
        <v>33</v>
      </c>
      <c r="J663" s="1">
        <v>0.3</v>
      </c>
      <c r="K663" s="1">
        <v>14000</v>
      </c>
      <c r="L663" s="2">
        <v>45352</v>
      </c>
    </row>
    <row r="664" spans="1:12" x14ac:dyDescent="0.35">
      <c r="A664" s="1" t="s">
        <v>894</v>
      </c>
      <c r="B664" s="1" t="s">
        <v>248</v>
      </c>
      <c r="C664" s="1" t="s">
        <v>61</v>
      </c>
      <c r="D664" s="1" t="s">
        <v>62</v>
      </c>
      <c r="E664" s="1" t="s">
        <v>16</v>
      </c>
      <c r="F664" s="1" t="s">
        <v>17</v>
      </c>
      <c r="G664" s="1" t="s">
        <v>36</v>
      </c>
      <c r="H664" s="1">
        <v>7698</v>
      </c>
      <c r="I664" s="1" t="s">
        <v>19</v>
      </c>
      <c r="J664" s="1">
        <v>0.2</v>
      </c>
      <c r="K664" s="1">
        <v>9000</v>
      </c>
      <c r="L664" s="2">
        <v>45345</v>
      </c>
    </row>
    <row r="665" spans="1:12" x14ac:dyDescent="0.35">
      <c r="A665" s="1" t="s">
        <v>895</v>
      </c>
      <c r="B665" s="1" t="s">
        <v>617</v>
      </c>
      <c r="C665" s="1" t="s">
        <v>44</v>
      </c>
      <c r="D665" s="1" t="s">
        <v>45</v>
      </c>
      <c r="E665" s="1" t="s">
        <v>16</v>
      </c>
      <c r="F665" s="1" t="s">
        <v>25</v>
      </c>
      <c r="G665" s="1" t="s">
        <v>26</v>
      </c>
      <c r="H665" s="1">
        <v>13701</v>
      </c>
      <c r="I665" s="1" t="s">
        <v>27</v>
      </c>
      <c r="J665" s="1"/>
      <c r="K665" s="1">
        <v>13000</v>
      </c>
      <c r="L665" s="2">
        <v>45308</v>
      </c>
    </row>
    <row r="666" spans="1:12" x14ac:dyDescent="0.35">
      <c r="A666" s="1" t="s">
        <v>896</v>
      </c>
      <c r="B666" s="1" t="s">
        <v>280</v>
      </c>
      <c r="C666" s="1" t="s">
        <v>30</v>
      </c>
      <c r="D666" s="1" t="s">
        <v>31</v>
      </c>
      <c r="E666" s="1" t="s">
        <v>46</v>
      </c>
      <c r="F666" s="1" t="s">
        <v>39</v>
      </c>
      <c r="G666" s="1" t="s">
        <v>26</v>
      </c>
      <c r="H666" s="1">
        <v>15281</v>
      </c>
      <c r="I666" s="1" t="s">
        <v>19</v>
      </c>
      <c r="J666" s="1">
        <v>0.2</v>
      </c>
      <c r="K666" s="1">
        <v>17000</v>
      </c>
      <c r="L666" s="2">
        <v>45316</v>
      </c>
    </row>
    <row r="667" spans="1:12" x14ac:dyDescent="0.35">
      <c r="A667" s="1" t="s">
        <v>897</v>
      </c>
      <c r="B667" s="1" t="s">
        <v>186</v>
      </c>
      <c r="C667" s="1" t="s">
        <v>14</v>
      </c>
      <c r="D667" s="1" t="s">
        <v>15</v>
      </c>
      <c r="E667" s="1" t="s">
        <v>32</v>
      </c>
      <c r="F667" s="1" t="s">
        <v>25</v>
      </c>
      <c r="G667" s="1" t="s">
        <v>26</v>
      </c>
      <c r="H667" s="1">
        <v>15520</v>
      </c>
      <c r="I667" s="1" t="s">
        <v>27</v>
      </c>
      <c r="J667" s="1"/>
      <c r="K667" s="1">
        <v>14000</v>
      </c>
      <c r="L667" s="2">
        <v>45335</v>
      </c>
    </row>
    <row r="668" spans="1:12" x14ac:dyDescent="0.35">
      <c r="A668" s="1" t="s">
        <v>898</v>
      </c>
      <c r="B668" s="1" t="s">
        <v>309</v>
      </c>
      <c r="C668" s="1" t="s">
        <v>44</v>
      </c>
      <c r="D668" s="1" t="s">
        <v>45</v>
      </c>
      <c r="E668" s="1" t="s">
        <v>16</v>
      </c>
      <c r="F668" s="1" t="s">
        <v>25</v>
      </c>
      <c r="G668" s="1" t="s">
        <v>18</v>
      </c>
      <c r="H668" s="1">
        <v>12949</v>
      </c>
      <c r="I668" s="1" t="s">
        <v>27</v>
      </c>
      <c r="J668" s="1"/>
      <c r="K668" s="1">
        <v>13000</v>
      </c>
      <c r="L668" s="2">
        <v>45330</v>
      </c>
    </row>
    <row r="669" spans="1:12" x14ac:dyDescent="0.35">
      <c r="A669" s="1" t="s">
        <v>899</v>
      </c>
      <c r="B669" s="1" t="s">
        <v>321</v>
      </c>
      <c r="C669" s="1" t="s">
        <v>14</v>
      </c>
      <c r="D669" s="1" t="s">
        <v>15</v>
      </c>
      <c r="E669" s="1" t="s">
        <v>32</v>
      </c>
      <c r="F669" s="1" t="s">
        <v>17</v>
      </c>
      <c r="G669" s="1" t="s">
        <v>26</v>
      </c>
      <c r="H669" s="1">
        <v>12533</v>
      </c>
      <c r="I669" s="1" t="s">
        <v>27</v>
      </c>
      <c r="J669" s="1"/>
      <c r="K669" s="1">
        <v>14000</v>
      </c>
      <c r="L669" s="2">
        <v>45326</v>
      </c>
    </row>
    <row r="670" spans="1:12" x14ac:dyDescent="0.35">
      <c r="A670" s="1" t="s">
        <v>900</v>
      </c>
      <c r="B670" s="1" t="s">
        <v>676</v>
      </c>
      <c r="C670" s="1" t="s">
        <v>61</v>
      </c>
      <c r="D670" s="1" t="s">
        <v>62</v>
      </c>
      <c r="E670" s="1" t="s">
        <v>16</v>
      </c>
      <c r="F670" s="1" t="s">
        <v>17</v>
      </c>
      <c r="G670" s="1" t="s">
        <v>36</v>
      </c>
      <c r="H670" s="1">
        <v>10583</v>
      </c>
      <c r="I670" s="1" t="s">
        <v>22</v>
      </c>
      <c r="J670" s="1">
        <v>0.1</v>
      </c>
      <c r="K670" s="1">
        <v>9000</v>
      </c>
      <c r="L670" s="2">
        <v>45336</v>
      </c>
    </row>
    <row r="671" spans="1:12" x14ac:dyDescent="0.35">
      <c r="A671" s="1" t="s">
        <v>901</v>
      </c>
      <c r="B671" s="1" t="s">
        <v>388</v>
      </c>
      <c r="C671" s="1" t="s">
        <v>44</v>
      </c>
      <c r="D671" s="1" t="s">
        <v>45</v>
      </c>
      <c r="E671" s="1" t="s">
        <v>46</v>
      </c>
      <c r="F671" s="1" t="s">
        <v>17</v>
      </c>
      <c r="G671" s="1" t="s">
        <v>36</v>
      </c>
      <c r="H671" s="1">
        <v>13412</v>
      </c>
      <c r="I671" s="1" t="s">
        <v>27</v>
      </c>
      <c r="J671" s="1"/>
      <c r="K671" s="1">
        <v>13000</v>
      </c>
      <c r="L671" s="2">
        <v>45298</v>
      </c>
    </row>
    <row r="672" spans="1:12" x14ac:dyDescent="0.35">
      <c r="A672" s="1" t="s">
        <v>902</v>
      </c>
      <c r="B672" s="1" t="s">
        <v>186</v>
      </c>
      <c r="C672" s="1" t="s">
        <v>30</v>
      </c>
      <c r="D672" s="1" t="s">
        <v>31</v>
      </c>
      <c r="E672" s="1" t="s">
        <v>46</v>
      </c>
      <c r="F672" s="1" t="s">
        <v>25</v>
      </c>
      <c r="G672" s="1" t="s">
        <v>18</v>
      </c>
      <c r="H672" s="1">
        <v>16160</v>
      </c>
      <c r="I672" s="1" t="s">
        <v>27</v>
      </c>
      <c r="J672" s="1"/>
      <c r="K672" s="1">
        <v>17000</v>
      </c>
      <c r="L672" s="2">
        <v>45348</v>
      </c>
    </row>
    <row r="673" spans="1:12" x14ac:dyDescent="0.35">
      <c r="A673" s="1" t="s">
        <v>903</v>
      </c>
      <c r="B673" s="1" t="s">
        <v>388</v>
      </c>
      <c r="C673" s="1" t="s">
        <v>30</v>
      </c>
      <c r="D673" s="1" t="s">
        <v>31</v>
      </c>
      <c r="E673" s="1" t="s">
        <v>32</v>
      </c>
      <c r="F673" s="1" t="s">
        <v>25</v>
      </c>
      <c r="G673" s="1" t="s">
        <v>26</v>
      </c>
      <c r="H673" s="1">
        <v>18045</v>
      </c>
      <c r="I673" s="1" t="s">
        <v>22</v>
      </c>
      <c r="J673" s="1">
        <v>0.1</v>
      </c>
      <c r="K673" s="1">
        <v>17000</v>
      </c>
      <c r="L673" s="2">
        <v>45328</v>
      </c>
    </row>
    <row r="674" spans="1:12" x14ac:dyDescent="0.35">
      <c r="A674" s="1" t="s">
        <v>904</v>
      </c>
      <c r="B674" s="1" t="s">
        <v>905</v>
      </c>
      <c r="C674" s="1" t="s">
        <v>14</v>
      </c>
      <c r="D674" s="1" t="s">
        <v>15</v>
      </c>
      <c r="E674" s="1" t="s">
        <v>46</v>
      </c>
      <c r="F674" s="1" t="s">
        <v>39</v>
      </c>
      <c r="G674" s="1" t="s">
        <v>18</v>
      </c>
      <c r="H674" s="1">
        <v>14817</v>
      </c>
      <c r="I674" s="1" t="s">
        <v>33</v>
      </c>
      <c r="J674" s="1">
        <v>0.3</v>
      </c>
      <c r="K674" s="1">
        <v>14000</v>
      </c>
      <c r="L674" s="2">
        <v>45318</v>
      </c>
    </row>
    <row r="675" spans="1:12" x14ac:dyDescent="0.35">
      <c r="A675" s="1" t="s">
        <v>906</v>
      </c>
      <c r="B675" s="1" t="s">
        <v>116</v>
      </c>
      <c r="C675" s="1" t="s">
        <v>44</v>
      </c>
      <c r="D675" s="1" t="s">
        <v>45</v>
      </c>
      <c r="E675" s="1" t="s">
        <v>46</v>
      </c>
      <c r="F675" s="1" t="s">
        <v>39</v>
      </c>
      <c r="G675" s="1" t="s">
        <v>26</v>
      </c>
      <c r="H675" s="1">
        <v>12038</v>
      </c>
      <c r="I675" s="1" t="s">
        <v>33</v>
      </c>
      <c r="J675" s="1">
        <v>0.3</v>
      </c>
      <c r="K675" s="1">
        <v>13000</v>
      </c>
      <c r="L675" s="2">
        <v>45346</v>
      </c>
    </row>
    <row r="676" spans="1:12" x14ac:dyDescent="0.35">
      <c r="A676" s="1" t="s">
        <v>907</v>
      </c>
      <c r="B676" s="1" t="s">
        <v>388</v>
      </c>
      <c r="C676" s="1" t="s">
        <v>30</v>
      </c>
      <c r="D676" s="1" t="s">
        <v>31</v>
      </c>
      <c r="E676" s="1" t="s">
        <v>16</v>
      </c>
      <c r="F676" s="1" t="s">
        <v>17</v>
      </c>
      <c r="G676" s="1" t="s">
        <v>26</v>
      </c>
      <c r="H676" s="1">
        <v>16627</v>
      </c>
      <c r="I676" s="1" t="s">
        <v>19</v>
      </c>
      <c r="J676" s="1">
        <v>0.2</v>
      </c>
      <c r="K676" s="1">
        <v>17000</v>
      </c>
      <c r="L676" s="2">
        <v>45318</v>
      </c>
    </row>
    <row r="677" spans="1:12" x14ac:dyDescent="0.35">
      <c r="A677" s="1" t="s">
        <v>908</v>
      </c>
      <c r="B677" s="1" t="s">
        <v>82</v>
      </c>
      <c r="C677" s="1" t="s">
        <v>61</v>
      </c>
      <c r="D677" s="1" t="s">
        <v>62</v>
      </c>
      <c r="E677" s="1" t="s">
        <v>32</v>
      </c>
      <c r="F677" s="1" t="s">
        <v>17</v>
      </c>
      <c r="G677" s="1" t="s">
        <v>26</v>
      </c>
      <c r="H677" s="1">
        <v>9272</v>
      </c>
      <c r="I677" s="1"/>
      <c r="J677" s="1"/>
      <c r="K677" s="1">
        <v>9000</v>
      </c>
      <c r="L677" s="2">
        <v>45308</v>
      </c>
    </row>
    <row r="678" spans="1:12" x14ac:dyDescent="0.35">
      <c r="A678" s="1" t="s">
        <v>909</v>
      </c>
      <c r="B678" s="1" t="s">
        <v>118</v>
      </c>
      <c r="C678" s="1" t="s">
        <v>30</v>
      </c>
      <c r="D678" s="1" t="s">
        <v>31</v>
      </c>
      <c r="E678" s="1" t="s">
        <v>16</v>
      </c>
      <c r="F678" s="1" t="s">
        <v>17</v>
      </c>
      <c r="G678" s="1" t="s">
        <v>26</v>
      </c>
      <c r="H678" s="1">
        <v>15565</v>
      </c>
      <c r="I678" s="1" t="s">
        <v>22</v>
      </c>
      <c r="J678" s="1">
        <v>0.1</v>
      </c>
      <c r="K678" s="1">
        <v>17000</v>
      </c>
      <c r="L678" s="2">
        <v>45339</v>
      </c>
    </row>
    <row r="679" spans="1:12" x14ac:dyDescent="0.35">
      <c r="A679" s="1" t="s">
        <v>910</v>
      </c>
      <c r="B679" s="1" t="s">
        <v>29</v>
      </c>
      <c r="C679" s="1" t="s">
        <v>44</v>
      </c>
      <c r="D679" s="1" t="s">
        <v>45</v>
      </c>
      <c r="E679" s="1" t="s">
        <v>32</v>
      </c>
      <c r="F679" s="1" t="s">
        <v>25</v>
      </c>
      <c r="G679" s="1" t="s">
        <v>26</v>
      </c>
      <c r="H679" s="1">
        <v>12640</v>
      </c>
      <c r="I679" s="1" t="s">
        <v>33</v>
      </c>
      <c r="J679" s="1">
        <v>0.3</v>
      </c>
      <c r="K679" s="1">
        <v>13000</v>
      </c>
      <c r="L679" s="2">
        <v>45343</v>
      </c>
    </row>
    <row r="680" spans="1:12" x14ac:dyDescent="0.35">
      <c r="A680" s="1" t="s">
        <v>911</v>
      </c>
      <c r="B680" s="1" t="s">
        <v>382</v>
      </c>
      <c r="C680" s="1" t="s">
        <v>14</v>
      </c>
      <c r="D680" s="1" t="s">
        <v>15</v>
      </c>
      <c r="E680" s="1" t="s">
        <v>32</v>
      </c>
      <c r="F680" s="1" t="s">
        <v>17</v>
      </c>
      <c r="G680" s="1" t="s">
        <v>26</v>
      </c>
      <c r="H680" s="1">
        <v>12021</v>
      </c>
      <c r="I680" s="1" t="s">
        <v>22</v>
      </c>
      <c r="J680" s="1">
        <v>0.1</v>
      </c>
      <c r="K680" s="1">
        <v>14000</v>
      </c>
      <c r="L680" s="2">
        <v>45344</v>
      </c>
    </row>
    <row r="681" spans="1:12" x14ac:dyDescent="0.35">
      <c r="A681" s="1" t="s">
        <v>912</v>
      </c>
      <c r="B681" s="1" t="s">
        <v>429</v>
      </c>
      <c r="C681" s="1" t="s">
        <v>61</v>
      </c>
      <c r="D681" s="1" t="s">
        <v>62</v>
      </c>
      <c r="E681" s="1" t="s">
        <v>32</v>
      </c>
      <c r="F681" s="1" t="s">
        <v>25</v>
      </c>
      <c r="G681" s="1" t="s">
        <v>36</v>
      </c>
      <c r="H681" s="1">
        <v>7908</v>
      </c>
      <c r="I681" s="1" t="s">
        <v>33</v>
      </c>
      <c r="J681" s="1">
        <v>0.3</v>
      </c>
      <c r="K681" s="1">
        <v>9000</v>
      </c>
      <c r="L681" s="2">
        <v>45297</v>
      </c>
    </row>
    <row r="682" spans="1:12" x14ac:dyDescent="0.35">
      <c r="A682" s="1" t="s">
        <v>913</v>
      </c>
      <c r="B682" s="1" t="s">
        <v>359</v>
      </c>
      <c r="C682" s="1" t="s">
        <v>61</v>
      </c>
      <c r="D682" s="1" t="s">
        <v>62</v>
      </c>
      <c r="E682" s="1" t="s">
        <v>46</v>
      </c>
      <c r="F682" s="1" t="s">
        <v>39</v>
      </c>
      <c r="G682" s="1" t="s">
        <v>26</v>
      </c>
      <c r="H682" s="1">
        <v>9134</v>
      </c>
      <c r="I682" s="1" t="s">
        <v>33</v>
      </c>
      <c r="J682" s="1">
        <v>0.3</v>
      </c>
      <c r="K682" s="1">
        <v>9000</v>
      </c>
      <c r="L682" s="2">
        <v>45337</v>
      </c>
    </row>
    <row r="683" spans="1:12" x14ac:dyDescent="0.35">
      <c r="A683" s="1" t="s">
        <v>914</v>
      </c>
      <c r="B683" s="1" t="s">
        <v>359</v>
      </c>
      <c r="C683" s="1" t="s">
        <v>44</v>
      </c>
      <c r="D683" s="1" t="s">
        <v>45</v>
      </c>
      <c r="E683" s="1" t="s">
        <v>16</v>
      </c>
      <c r="F683" s="1" t="s">
        <v>17</v>
      </c>
      <c r="G683" s="1" t="s">
        <v>36</v>
      </c>
      <c r="H683" s="1">
        <v>11043</v>
      </c>
      <c r="I683" s="1" t="s">
        <v>19</v>
      </c>
      <c r="J683" s="1">
        <v>0.2</v>
      </c>
      <c r="K683" s="1">
        <v>13000</v>
      </c>
      <c r="L683" s="2">
        <v>45346</v>
      </c>
    </row>
    <row r="684" spans="1:12" x14ac:dyDescent="0.35">
      <c r="A684" s="1" t="s">
        <v>915</v>
      </c>
      <c r="B684" s="1" t="s">
        <v>270</v>
      </c>
      <c r="C684" s="1" t="s">
        <v>30</v>
      </c>
      <c r="D684" s="1" t="s">
        <v>31</v>
      </c>
      <c r="E684" s="1" t="s">
        <v>32</v>
      </c>
      <c r="F684" s="1" t="s">
        <v>25</v>
      </c>
      <c r="G684" s="1" t="s">
        <v>26</v>
      </c>
      <c r="H684" s="1">
        <v>17091</v>
      </c>
      <c r="I684" s="1" t="s">
        <v>27</v>
      </c>
      <c r="J684" s="1"/>
      <c r="K684" s="1">
        <v>17000</v>
      </c>
      <c r="L684" s="2">
        <v>45336</v>
      </c>
    </row>
    <row r="685" spans="1:12" x14ac:dyDescent="0.35">
      <c r="A685" s="1" t="s">
        <v>916</v>
      </c>
      <c r="B685" s="1" t="s">
        <v>56</v>
      </c>
      <c r="C685" s="1" t="s">
        <v>44</v>
      </c>
      <c r="D685" s="1" t="s">
        <v>45</v>
      </c>
      <c r="E685" s="1" t="s">
        <v>16</v>
      </c>
      <c r="F685" s="1" t="s">
        <v>25</v>
      </c>
      <c r="G685" s="1" t="s">
        <v>36</v>
      </c>
      <c r="H685" s="1">
        <v>11979</v>
      </c>
      <c r="I685" s="1" t="s">
        <v>22</v>
      </c>
      <c r="J685" s="1">
        <v>0.1</v>
      </c>
      <c r="K685" s="1">
        <v>13000</v>
      </c>
      <c r="L685" s="2">
        <v>45302</v>
      </c>
    </row>
    <row r="686" spans="1:12" x14ac:dyDescent="0.35">
      <c r="A686" s="1" t="s">
        <v>917</v>
      </c>
      <c r="B686" s="1" t="s">
        <v>263</v>
      </c>
      <c r="C686" s="1" t="s">
        <v>61</v>
      </c>
      <c r="D686" s="1" t="s">
        <v>62</v>
      </c>
      <c r="E686" s="1" t="s">
        <v>46</v>
      </c>
      <c r="F686" s="1" t="s">
        <v>39</v>
      </c>
      <c r="G686" s="1" t="s">
        <v>36</v>
      </c>
      <c r="H686" s="1">
        <v>8660</v>
      </c>
      <c r="I686" s="1" t="s">
        <v>27</v>
      </c>
      <c r="J686" s="1"/>
      <c r="K686" s="1">
        <v>9000</v>
      </c>
      <c r="L686" s="2">
        <v>45304</v>
      </c>
    </row>
    <row r="687" spans="1:12" x14ac:dyDescent="0.35">
      <c r="A687" s="1" t="s">
        <v>918</v>
      </c>
      <c r="B687" s="1" t="s">
        <v>184</v>
      </c>
      <c r="C687" s="1" t="s">
        <v>14</v>
      </c>
      <c r="D687" s="1" t="s">
        <v>15</v>
      </c>
      <c r="E687" s="1" t="s">
        <v>32</v>
      </c>
      <c r="F687" s="1" t="s">
        <v>39</v>
      </c>
      <c r="G687" s="1" t="s">
        <v>36</v>
      </c>
      <c r="H687" s="1">
        <v>14974</v>
      </c>
      <c r="I687" s="1" t="s">
        <v>27</v>
      </c>
      <c r="J687" s="1"/>
      <c r="K687" s="1">
        <v>14000</v>
      </c>
      <c r="L687" s="2">
        <v>45350</v>
      </c>
    </row>
    <row r="688" spans="1:12" x14ac:dyDescent="0.35">
      <c r="A688" s="1" t="s">
        <v>919</v>
      </c>
      <c r="B688" s="1" t="s">
        <v>920</v>
      </c>
      <c r="C688" s="1" t="s">
        <v>30</v>
      </c>
      <c r="D688" s="1" t="s">
        <v>31</v>
      </c>
      <c r="E688" s="1" t="s">
        <v>46</v>
      </c>
      <c r="F688" s="1" t="s">
        <v>25</v>
      </c>
      <c r="G688" s="1" t="s">
        <v>26</v>
      </c>
      <c r="H688" s="1">
        <v>18944</v>
      </c>
      <c r="I688" s="1" t="s">
        <v>19</v>
      </c>
      <c r="J688" s="1">
        <v>0.2</v>
      </c>
      <c r="K688" s="1">
        <v>17000</v>
      </c>
      <c r="L688" s="2">
        <v>45321</v>
      </c>
    </row>
    <row r="689" spans="1:12" x14ac:dyDescent="0.35">
      <c r="A689" s="1" t="s">
        <v>921</v>
      </c>
      <c r="B689" s="1" t="s">
        <v>137</v>
      </c>
      <c r="C689" s="1" t="s">
        <v>14</v>
      </c>
      <c r="D689" s="1" t="s">
        <v>15</v>
      </c>
      <c r="E689" s="1" t="s">
        <v>46</v>
      </c>
      <c r="F689" s="1" t="s">
        <v>25</v>
      </c>
      <c r="G689" s="1" t="s">
        <v>36</v>
      </c>
      <c r="H689" s="1">
        <v>14073</v>
      </c>
      <c r="I689" s="1" t="s">
        <v>22</v>
      </c>
      <c r="J689" s="1">
        <v>0.1</v>
      </c>
      <c r="K689" s="1">
        <v>14000</v>
      </c>
      <c r="L689" s="2">
        <v>45327</v>
      </c>
    </row>
    <row r="690" spans="1:12" x14ac:dyDescent="0.35">
      <c r="A690" s="1" t="s">
        <v>922</v>
      </c>
      <c r="B690" s="1" t="s">
        <v>241</v>
      </c>
      <c r="C690" s="1" t="s">
        <v>30</v>
      </c>
      <c r="D690" s="1" t="s">
        <v>31</v>
      </c>
      <c r="E690" s="1" t="s">
        <v>46</v>
      </c>
      <c r="F690" s="1" t="s">
        <v>25</v>
      </c>
      <c r="G690" s="1" t="s">
        <v>26</v>
      </c>
      <c r="H690" s="1">
        <v>18918</v>
      </c>
      <c r="I690" s="1" t="s">
        <v>33</v>
      </c>
      <c r="J690" s="1">
        <v>0.3</v>
      </c>
      <c r="K690" s="1">
        <v>17000</v>
      </c>
      <c r="L690" s="2">
        <v>45348</v>
      </c>
    </row>
    <row r="691" spans="1:12" x14ac:dyDescent="0.35">
      <c r="A691" s="1" t="s">
        <v>923</v>
      </c>
      <c r="B691" s="1" t="s">
        <v>105</v>
      </c>
      <c r="C691" s="1" t="s">
        <v>30</v>
      </c>
      <c r="D691" s="1" t="s">
        <v>31</v>
      </c>
      <c r="E691" s="1" t="s">
        <v>16</v>
      </c>
      <c r="F691" s="1" t="s">
        <v>17</v>
      </c>
      <c r="G691" s="1" t="s">
        <v>36</v>
      </c>
      <c r="H691" s="1">
        <v>17306</v>
      </c>
      <c r="I691" s="1"/>
      <c r="J691" s="1"/>
      <c r="K691" s="1">
        <v>17000</v>
      </c>
      <c r="L691" s="2">
        <v>45341</v>
      </c>
    </row>
    <row r="692" spans="1:12" x14ac:dyDescent="0.35">
      <c r="A692" s="1" t="s">
        <v>924</v>
      </c>
      <c r="B692" s="1" t="s">
        <v>401</v>
      </c>
      <c r="C692" s="1" t="s">
        <v>30</v>
      </c>
      <c r="D692" s="1" t="s">
        <v>31</v>
      </c>
      <c r="E692" s="1" t="s">
        <v>46</v>
      </c>
      <c r="F692" s="1" t="s">
        <v>39</v>
      </c>
      <c r="G692" s="1" t="s">
        <v>36</v>
      </c>
      <c r="H692" s="1">
        <v>18672</v>
      </c>
      <c r="I692" s="1" t="s">
        <v>27</v>
      </c>
      <c r="J692" s="1"/>
      <c r="K692" s="1">
        <v>17000</v>
      </c>
      <c r="L692" s="2">
        <v>45347</v>
      </c>
    </row>
    <row r="693" spans="1:12" x14ac:dyDescent="0.35">
      <c r="A693" s="1" t="s">
        <v>925</v>
      </c>
      <c r="B693" s="1" t="s">
        <v>489</v>
      </c>
      <c r="C693" s="1" t="s">
        <v>14</v>
      </c>
      <c r="D693" s="1" t="s">
        <v>15</v>
      </c>
      <c r="E693" s="1" t="s">
        <v>46</v>
      </c>
      <c r="F693" s="1" t="s">
        <v>25</v>
      </c>
      <c r="G693" s="1" t="s">
        <v>36</v>
      </c>
      <c r="H693" s="1">
        <v>14595</v>
      </c>
      <c r="I693" s="1" t="s">
        <v>19</v>
      </c>
      <c r="J693" s="1">
        <v>0.2</v>
      </c>
      <c r="K693" s="1">
        <v>14000</v>
      </c>
      <c r="L693" s="2">
        <v>45335</v>
      </c>
    </row>
    <row r="694" spans="1:12" x14ac:dyDescent="0.35">
      <c r="A694" s="1" t="s">
        <v>926</v>
      </c>
      <c r="B694" s="1" t="s">
        <v>397</v>
      </c>
      <c r="C694" s="1" t="s">
        <v>30</v>
      </c>
      <c r="D694" s="1" t="s">
        <v>31</v>
      </c>
      <c r="E694" s="1" t="s">
        <v>46</v>
      </c>
      <c r="F694" s="1" t="s">
        <v>17</v>
      </c>
      <c r="G694" s="1" t="s">
        <v>26</v>
      </c>
      <c r="H694" s="1">
        <v>17194</v>
      </c>
      <c r="I694" s="1" t="s">
        <v>22</v>
      </c>
      <c r="J694" s="1">
        <v>0.1</v>
      </c>
      <c r="K694" s="1">
        <v>17000</v>
      </c>
      <c r="L694" s="2">
        <v>45336</v>
      </c>
    </row>
    <row r="695" spans="1:12" x14ac:dyDescent="0.35">
      <c r="A695" s="1" t="s">
        <v>927</v>
      </c>
      <c r="B695" s="1" t="s">
        <v>643</v>
      </c>
      <c r="C695" s="1" t="s">
        <v>44</v>
      </c>
      <c r="D695" s="1" t="s">
        <v>45</v>
      </c>
      <c r="E695" s="1" t="s">
        <v>46</v>
      </c>
      <c r="F695" s="1" t="s">
        <v>25</v>
      </c>
      <c r="G695" s="1" t="s">
        <v>36</v>
      </c>
      <c r="H695" s="1">
        <v>13759</v>
      </c>
      <c r="I695" s="1" t="s">
        <v>33</v>
      </c>
      <c r="J695" s="1">
        <v>0.3</v>
      </c>
      <c r="K695" s="1">
        <v>13000</v>
      </c>
      <c r="L695" s="2">
        <v>45296</v>
      </c>
    </row>
    <row r="696" spans="1:12" x14ac:dyDescent="0.35">
      <c r="A696" s="1" t="s">
        <v>928</v>
      </c>
      <c r="B696" s="1" t="s">
        <v>80</v>
      </c>
      <c r="C696" s="1" t="s">
        <v>61</v>
      </c>
      <c r="D696" s="1" t="s">
        <v>62</v>
      </c>
      <c r="E696" s="1" t="s">
        <v>46</v>
      </c>
      <c r="F696" s="1" t="s">
        <v>17</v>
      </c>
      <c r="G696" s="1" t="s">
        <v>18</v>
      </c>
      <c r="H696" s="1">
        <v>10663</v>
      </c>
      <c r="I696" s="1" t="s">
        <v>27</v>
      </c>
      <c r="J696" s="1"/>
      <c r="K696" s="1">
        <v>9000</v>
      </c>
      <c r="L696" s="2">
        <v>45309</v>
      </c>
    </row>
    <row r="697" spans="1:12" x14ac:dyDescent="0.35">
      <c r="A697" s="1" t="s">
        <v>929</v>
      </c>
      <c r="B697" s="1" t="s">
        <v>280</v>
      </c>
      <c r="C697" s="1" t="s">
        <v>44</v>
      </c>
      <c r="D697" s="1" t="s">
        <v>45</v>
      </c>
      <c r="E697" s="1" t="s">
        <v>46</v>
      </c>
      <c r="F697" s="1" t="s">
        <v>39</v>
      </c>
      <c r="G697" s="1" t="s">
        <v>18</v>
      </c>
      <c r="H697" s="1">
        <v>11961</v>
      </c>
      <c r="I697" s="1" t="s">
        <v>19</v>
      </c>
      <c r="J697" s="1">
        <v>0.2</v>
      </c>
      <c r="K697" s="1">
        <v>13000</v>
      </c>
      <c r="L697" s="2">
        <v>45347</v>
      </c>
    </row>
    <row r="698" spans="1:12" x14ac:dyDescent="0.35">
      <c r="A698" s="1" t="s">
        <v>930</v>
      </c>
      <c r="B698" s="1" t="s">
        <v>289</v>
      </c>
      <c r="C698" s="1" t="s">
        <v>44</v>
      </c>
      <c r="D698" s="1" t="s">
        <v>45</v>
      </c>
      <c r="E698" s="1" t="s">
        <v>32</v>
      </c>
      <c r="F698" s="1" t="s">
        <v>25</v>
      </c>
      <c r="G698" s="1" t="s">
        <v>26</v>
      </c>
      <c r="H698" s="1">
        <v>12458</v>
      </c>
      <c r="I698" s="1" t="s">
        <v>19</v>
      </c>
      <c r="J698" s="1">
        <v>0.2</v>
      </c>
      <c r="K698" s="1">
        <v>13000</v>
      </c>
      <c r="L698" s="2">
        <v>45341</v>
      </c>
    </row>
    <row r="699" spans="1:12" x14ac:dyDescent="0.35">
      <c r="A699" s="1" t="s">
        <v>931</v>
      </c>
      <c r="B699" s="1" t="s">
        <v>78</v>
      </c>
      <c r="C699" s="1" t="s">
        <v>14</v>
      </c>
      <c r="D699" s="1" t="s">
        <v>15</v>
      </c>
      <c r="E699" s="1" t="s">
        <v>16</v>
      </c>
      <c r="F699" s="1" t="s">
        <v>39</v>
      </c>
      <c r="G699" s="1" t="s">
        <v>36</v>
      </c>
      <c r="H699" s="1">
        <v>14514</v>
      </c>
      <c r="I699" s="1" t="s">
        <v>22</v>
      </c>
      <c r="J699" s="1">
        <v>0.1</v>
      </c>
      <c r="K699" s="1">
        <v>14000</v>
      </c>
      <c r="L699" s="2">
        <v>45340</v>
      </c>
    </row>
    <row r="700" spans="1:12" x14ac:dyDescent="0.35">
      <c r="A700" s="1" t="s">
        <v>932</v>
      </c>
      <c r="B700" s="1" t="s">
        <v>144</v>
      </c>
      <c r="C700" s="1" t="s">
        <v>14</v>
      </c>
      <c r="D700" s="1" t="s">
        <v>15</v>
      </c>
      <c r="E700" s="1" t="s">
        <v>46</v>
      </c>
      <c r="F700" s="1" t="s">
        <v>17</v>
      </c>
      <c r="G700" s="1" t="s">
        <v>26</v>
      </c>
      <c r="H700" s="1">
        <v>13291</v>
      </c>
      <c r="I700" s="1"/>
      <c r="J700" s="1"/>
      <c r="K700" s="1">
        <v>14000</v>
      </c>
      <c r="L700" s="2">
        <v>45349</v>
      </c>
    </row>
    <row r="701" spans="1:12" x14ac:dyDescent="0.35">
      <c r="A701" s="1" t="s">
        <v>933</v>
      </c>
      <c r="B701" s="1" t="s">
        <v>60</v>
      </c>
      <c r="C701" s="1" t="s">
        <v>30</v>
      </c>
      <c r="D701" s="1" t="s">
        <v>31</v>
      </c>
      <c r="E701" s="1" t="s">
        <v>46</v>
      </c>
      <c r="F701" s="1" t="s">
        <v>25</v>
      </c>
      <c r="G701" s="1" t="s">
        <v>26</v>
      </c>
      <c r="H701" s="1">
        <v>16147</v>
      </c>
      <c r="I701" s="1"/>
      <c r="J701" s="1"/>
      <c r="K701" s="1">
        <v>17000</v>
      </c>
      <c r="L701" s="2">
        <v>45306</v>
      </c>
    </row>
    <row r="702" spans="1:12" x14ac:dyDescent="0.35">
      <c r="A702" s="1" t="s">
        <v>934</v>
      </c>
      <c r="B702" s="1" t="s">
        <v>522</v>
      </c>
      <c r="C702" s="1" t="s">
        <v>44</v>
      </c>
      <c r="D702" s="1" t="s">
        <v>45</v>
      </c>
      <c r="E702" s="1" t="s">
        <v>32</v>
      </c>
      <c r="F702" s="1" t="s">
        <v>39</v>
      </c>
      <c r="G702" s="1" t="s">
        <v>36</v>
      </c>
      <c r="H702" s="1">
        <v>12959</v>
      </c>
      <c r="I702" s="1" t="s">
        <v>27</v>
      </c>
      <c r="J702" s="1"/>
      <c r="K702" s="1">
        <v>13000</v>
      </c>
      <c r="L702" s="2">
        <v>45294</v>
      </c>
    </row>
    <row r="703" spans="1:12" x14ac:dyDescent="0.35">
      <c r="A703" s="1" t="s">
        <v>935</v>
      </c>
      <c r="B703" s="1" t="s">
        <v>217</v>
      </c>
      <c r="C703" s="1" t="s">
        <v>61</v>
      </c>
      <c r="D703" s="1" t="s">
        <v>62</v>
      </c>
      <c r="E703" s="1" t="s">
        <v>16</v>
      </c>
      <c r="F703" s="1" t="s">
        <v>25</v>
      </c>
      <c r="G703" s="1" t="s">
        <v>36</v>
      </c>
      <c r="H703" s="1">
        <v>10999</v>
      </c>
      <c r="I703" s="1" t="s">
        <v>22</v>
      </c>
      <c r="J703" s="1">
        <v>0.1</v>
      </c>
      <c r="K703" s="1">
        <v>9000</v>
      </c>
      <c r="L703" s="2">
        <v>45336</v>
      </c>
    </row>
    <row r="704" spans="1:12" x14ac:dyDescent="0.35">
      <c r="A704" s="1" t="s">
        <v>936</v>
      </c>
      <c r="B704" s="1" t="s">
        <v>544</v>
      </c>
      <c r="C704" s="1" t="s">
        <v>30</v>
      </c>
      <c r="D704" s="1" t="s">
        <v>31</v>
      </c>
      <c r="E704" s="1" t="s">
        <v>16</v>
      </c>
      <c r="F704" s="1" t="s">
        <v>25</v>
      </c>
      <c r="G704" s="1" t="s">
        <v>18</v>
      </c>
      <c r="H704" s="1">
        <v>17761</v>
      </c>
      <c r="I704" s="1" t="s">
        <v>19</v>
      </c>
      <c r="J704" s="1">
        <v>0.2</v>
      </c>
      <c r="K704" s="1">
        <v>17000</v>
      </c>
      <c r="L704" s="2">
        <v>45316</v>
      </c>
    </row>
    <row r="705" spans="1:12" x14ac:dyDescent="0.35">
      <c r="A705" s="1" t="s">
        <v>937</v>
      </c>
      <c r="B705" s="1" t="s">
        <v>107</v>
      </c>
      <c r="C705" s="1" t="s">
        <v>30</v>
      </c>
      <c r="D705" s="1" t="s">
        <v>31</v>
      </c>
      <c r="E705" s="1" t="s">
        <v>46</v>
      </c>
      <c r="F705" s="1" t="s">
        <v>39</v>
      </c>
      <c r="G705" s="1" t="s">
        <v>36</v>
      </c>
      <c r="H705" s="1">
        <v>15766</v>
      </c>
      <c r="I705" s="1" t="s">
        <v>27</v>
      </c>
      <c r="J705" s="1"/>
      <c r="K705" s="1">
        <v>17000</v>
      </c>
      <c r="L705" s="2">
        <v>45308</v>
      </c>
    </row>
    <row r="706" spans="1:12" x14ac:dyDescent="0.35">
      <c r="A706" s="1" t="s">
        <v>938</v>
      </c>
      <c r="B706" s="1" t="s">
        <v>939</v>
      </c>
      <c r="C706" s="1" t="s">
        <v>61</v>
      </c>
      <c r="D706" s="1" t="s">
        <v>62</v>
      </c>
      <c r="E706" s="1" t="s">
        <v>16</v>
      </c>
      <c r="F706" s="1" t="s">
        <v>17</v>
      </c>
      <c r="G706" s="1" t="s">
        <v>36</v>
      </c>
      <c r="H706" s="1">
        <v>7753</v>
      </c>
      <c r="I706" s="1"/>
      <c r="J706" s="1"/>
      <c r="K706" s="1">
        <v>9000</v>
      </c>
      <c r="L706" s="2">
        <v>45319</v>
      </c>
    </row>
    <row r="707" spans="1:12" x14ac:dyDescent="0.35">
      <c r="A707" s="1" t="s">
        <v>940</v>
      </c>
      <c r="B707" s="1" t="s">
        <v>414</v>
      </c>
      <c r="C707" s="1" t="s">
        <v>30</v>
      </c>
      <c r="D707" s="1" t="s">
        <v>31</v>
      </c>
      <c r="E707" s="1" t="s">
        <v>46</v>
      </c>
      <c r="F707" s="1" t="s">
        <v>17</v>
      </c>
      <c r="G707" s="1" t="s">
        <v>36</v>
      </c>
      <c r="H707" s="1">
        <v>16846</v>
      </c>
      <c r="I707" s="1" t="s">
        <v>19</v>
      </c>
      <c r="J707" s="1">
        <v>0.2</v>
      </c>
      <c r="K707" s="1">
        <v>17000</v>
      </c>
      <c r="L707" s="2">
        <v>45328</v>
      </c>
    </row>
    <row r="708" spans="1:12" x14ac:dyDescent="0.35">
      <c r="A708" s="1" t="s">
        <v>941</v>
      </c>
      <c r="B708" s="1" t="s">
        <v>720</v>
      </c>
      <c r="C708" s="1" t="s">
        <v>44</v>
      </c>
      <c r="D708" s="1" t="s">
        <v>45</v>
      </c>
      <c r="E708" s="1" t="s">
        <v>32</v>
      </c>
      <c r="F708" s="1" t="s">
        <v>39</v>
      </c>
      <c r="G708" s="1" t="s">
        <v>36</v>
      </c>
      <c r="H708" s="1">
        <v>14293</v>
      </c>
      <c r="I708" s="1" t="s">
        <v>19</v>
      </c>
      <c r="J708" s="1">
        <v>0.2</v>
      </c>
      <c r="K708" s="1">
        <v>13000</v>
      </c>
      <c r="L708" s="2">
        <v>45327</v>
      </c>
    </row>
    <row r="709" spans="1:12" x14ac:dyDescent="0.35">
      <c r="A709" s="1" t="s">
        <v>942</v>
      </c>
      <c r="B709" s="1" t="s">
        <v>309</v>
      </c>
      <c r="C709" s="1" t="s">
        <v>61</v>
      </c>
      <c r="D709" s="1" t="s">
        <v>62</v>
      </c>
      <c r="E709" s="1" t="s">
        <v>32</v>
      </c>
      <c r="F709" s="1" t="s">
        <v>25</v>
      </c>
      <c r="G709" s="1" t="s">
        <v>26</v>
      </c>
      <c r="H709" s="1">
        <v>7612</v>
      </c>
      <c r="I709" s="1"/>
      <c r="J709" s="1"/>
      <c r="K709" s="1">
        <v>9000</v>
      </c>
      <c r="L709" s="2">
        <v>45343</v>
      </c>
    </row>
    <row r="710" spans="1:12" x14ac:dyDescent="0.35">
      <c r="A710" s="1" t="s">
        <v>943</v>
      </c>
      <c r="B710" s="1" t="s">
        <v>243</v>
      </c>
      <c r="C710" s="1" t="s">
        <v>61</v>
      </c>
      <c r="D710" s="1" t="s">
        <v>62</v>
      </c>
      <c r="E710" s="1" t="s">
        <v>46</v>
      </c>
      <c r="F710" s="1" t="s">
        <v>25</v>
      </c>
      <c r="G710" s="1" t="s">
        <v>26</v>
      </c>
      <c r="H710" s="1">
        <v>9117</v>
      </c>
      <c r="I710" s="1" t="s">
        <v>27</v>
      </c>
      <c r="J710" s="1"/>
      <c r="K710" s="1">
        <v>9000</v>
      </c>
      <c r="L710" s="2">
        <v>45338</v>
      </c>
    </row>
    <row r="711" spans="1:12" x14ac:dyDescent="0.35">
      <c r="A711" s="1" t="s">
        <v>944</v>
      </c>
      <c r="B711" s="1" t="s">
        <v>478</v>
      </c>
      <c r="C711" s="1" t="s">
        <v>61</v>
      </c>
      <c r="D711" s="1" t="s">
        <v>62</v>
      </c>
      <c r="E711" s="1" t="s">
        <v>46</v>
      </c>
      <c r="F711" s="1" t="s">
        <v>17</v>
      </c>
      <c r="G711" s="1" t="s">
        <v>26</v>
      </c>
      <c r="H711" s="1">
        <v>10516</v>
      </c>
      <c r="I711" s="1" t="s">
        <v>27</v>
      </c>
      <c r="J711" s="1"/>
      <c r="K711" s="1">
        <v>9000</v>
      </c>
      <c r="L711" s="2">
        <v>45295</v>
      </c>
    </row>
    <row r="712" spans="1:12" x14ac:dyDescent="0.35">
      <c r="A712" s="1" t="s">
        <v>945</v>
      </c>
      <c r="B712" s="1" t="s">
        <v>41</v>
      </c>
      <c r="C712" s="1" t="s">
        <v>44</v>
      </c>
      <c r="D712" s="1" t="s">
        <v>45</v>
      </c>
      <c r="E712" s="1" t="s">
        <v>32</v>
      </c>
      <c r="F712" s="1" t="s">
        <v>25</v>
      </c>
      <c r="G712" s="1" t="s">
        <v>36</v>
      </c>
      <c r="H712" s="1">
        <v>12951</v>
      </c>
      <c r="I712" s="1" t="s">
        <v>22</v>
      </c>
      <c r="J712" s="1">
        <v>0.1</v>
      </c>
      <c r="K712" s="1">
        <v>13000</v>
      </c>
      <c r="L712" s="2">
        <v>45320</v>
      </c>
    </row>
    <row r="713" spans="1:12" x14ac:dyDescent="0.35">
      <c r="A713" s="1" t="s">
        <v>946</v>
      </c>
      <c r="B713" s="1" t="s">
        <v>577</v>
      </c>
      <c r="C713" s="1" t="s">
        <v>30</v>
      </c>
      <c r="D713" s="1" t="s">
        <v>31</v>
      </c>
      <c r="E713" s="1" t="s">
        <v>46</v>
      </c>
      <c r="F713" s="1" t="s">
        <v>17</v>
      </c>
      <c r="G713" s="1" t="s">
        <v>26</v>
      </c>
      <c r="H713" s="1">
        <v>17283</v>
      </c>
      <c r="I713" s="1" t="s">
        <v>33</v>
      </c>
      <c r="J713" s="1">
        <v>0.3</v>
      </c>
      <c r="K713" s="1">
        <v>17000</v>
      </c>
      <c r="L713" s="2">
        <v>45314</v>
      </c>
    </row>
    <row r="714" spans="1:12" x14ac:dyDescent="0.35">
      <c r="A714" s="1" t="s">
        <v>947</v>
      </c>
      <c r="B714" s="1" t="s">
        <v>406</v>
      </c>
      <c r="C714" s="1" t="s">
        <v>14</v>
      </c>
      <c r="D714" s="1" t="s">
        <v>15</v>
      </c>
      <c r="E714" s="1" t="s">
        <v>46</v>
      </c>
      <c r="F714" s="1" t="s">
        <v>39</v>
      </c>
      <c r="G714" s="1" t="s">
        <v>26</v>
      </c>
      <c r="H714" s="1">
        <v>12814</v>
      </c>
      <c r="I714" s="1" t="s">
        <v>27</v>
      </c>
      <c r="J714" s="1"/>
      <c r="K714" s="1">
        <v>14000</v>
      </c>
      <c r="L714" s="2">
        <v>45328</v>
      </c>
    </row>
    <row r="715" spans="1:12" x14ac:dyDescent="0.35">
      <c r="A715" s="1" t="s">
        <v>948</v>
      </c>
      <c r="B715" s="1" t="s">
        <v>92</v>
      </c>
      <c r="C715" s="1" t="s">
        <v>44</v>
      </c>
      <c r="D715" s="1" t="s">
        <v>45</v>
      </c>
      <c r="E715" s="1" t="s">
        <v>46</v>
      </c>
      <c r="F715" s="1" t="s">
        <v>17</v>
      </c>
      <c r="G715" s="1" t="s">
        <v>36</v>
      </c>
      <c r="H715" s="1">
        <v>13757</v>
      </c>
      <c r="I715" s="1" t="s">
        <v>27</v>
      </c>
      <c r="J715" s="1"/>
      <c r="K715" s="1">
        <v>13000</v>
      </c>
      <c r="L715" s="2">
        <v>45323</v>
      </c>
    </row>
    <row r="716" spans="1:12" x14ac:dyDescent="0.35">
      <c r="A716" s="1" t="s">
        <v>949</v>
      </c>
      <c r="B716" s="1" t="s">
        <v>296</v>
      </c>
      <c r="C716" s="1" t="s">
        <v>61</v>
      </c>
      <c r="D716" s="1" t="s">
        <v>62</v>
      </c>
      <c r="E716" s="1" t="s">
        <v>32</v>
      </c>
      <c r="F716" s="1" t="s">
        <v>17</v>
      </c>
      <c r="G716" s="1" t="s">
        <v>26</v>
      </c>
      <c r="H716" s="1">
        <v>8173</v>
      </c>
      <c r="I716" s="1"/>
      <c r="J716" s="1"/>
      <c r="K716" s="1">
        <v>9000</v>
      </c>
      <c r="L716" s="2">
        <v>45332</v>
      </c>
    </row>
    <row r="717" spans="1:12" x14ac:dyDescent="0.35">
      <c r="A717" s="1" t="s">
        <v>950</v>
      </c>
      <c r="B717" s="1" t="s">
        <v>619</v>
      </c>
      <c r="C717" s="1" t="s">
        <v>44</v>
      </c>
      <c r="D717" s="1" t="s">
        <v>45</v>
      </c>
      <c r="E717" s="1" t="s">
        <v>16</v>
      </c>
      <c r="F717" s="1" t="s">
        <v>17</v>
      </c>
      <c r="G717" s="1" t="s">
        <v>36</v>
      </c>
      <c r="H717" s="1">
        <v>13585</v>
      </c>
      <c r="I717" s="1" t="s">
        <v>27</v>
      </c>
      <c r="J717" s="1"/>
      <c r="K717" s="1">
        <v>13000</v>
      </c>
      <c r="L717" s="2">
        <v>45328</v>
      </c>
    </row>
    <row r="718" spans="1:12" x14ac:dyDescent="0.35">
      <c r="A718" s="1" t="s">
        <v>951</v>
      </c>
      <c r="B718" s="1" t="s">
        <v>309</v>
      </c>
      <c r="C718" s="1" t="s">
        <v>14</v>
      </c>
      <c r="D718" s="1" t="s">
        <v>15</v>
      </c>
      <c r="E718" s="1" t="s">
        <v>32</v>
      </c>
      <c r="F718" s="1" t="s">
        <v>25</v>
      </c>
      <c r="G718" s="1" t="s">
        <v>36</v>
      </c>
      <c r="H718" s="1">
        <v>12934</v>
      </c>
      <c r="I718" s="1" t="s">
        <v>33</v>
      </c>
      <c r="J718" s="1">
        <v>0.3</v>
      </c>
      <c r="K718" s="1">
        <v>14000</v>
      </c>
      <c r="L718" s="2">
        <v>45312</v>
      </c>
    </row>
    <row r="719" spans="1:12" x14ac:dyDescent="0.35">
      <c r="A719" s="1" t="s">
        <v>952</v>
      </c>
      <c r="B719" s="1" t="s">
        <v>278</v>
      </c>
      <c r="C719" s="1" t="s">
        <v>30</v>
      </c>
      <c r="D719" s="1" t="s">
        <v>31</v>
      </c>
      <c r="E719" s="1" t="s">
        <v>16</v>
      </c>
      <c r="F719" s="1" t="s">
        <v>39</v>
      </c>
      <c r="G719" s="1" t="s">
        <v>36</v>
      </c>
      <c r="H719" s="1">
        <v>16111</v>
      </c>
      <c r="I719" s="1"/>
      <c r="J719" s="1"/>
      <c r="K719" s="1">
        <v>17000</v>
      </c>
      <c r="L719" s="2">
        <v>45341</v>
      </c>
    </row>
    <row r="720" spans="1:12" x14ac:dyDescent="0.35">
      <c r="A720" s="1" t="s">
        <v>953</v>
      </c>
      <c r="B720" s="1" t="s">
        <v>303</v>
      </c>
      <c r="C720" s="1" t="s">
        <v>61</v>
      </c>
      <c r="D720" s="1" t="s">
        <v>62</v>
      </c>
      <c r="E720" s="1" t="s">
        <v>46</v>
      </c>
      <c r="F720" s="1" t="s">
        <v>25</v>
      </c>
      <c r="G720" s="1" t="s">
        <v>18</v>
      </c>
      <c r="H720" s="1">
        <v>10498</v>
      </c>
      <c r="I720" s="1" t="s">
        <v>22</v>
      </c>
      <c r="J720" s="1">
        <v>0.1</v>
      </c>
      <c r="K720" s="1">
        <v>9000</v>
      </c>
      <c r="L720" s="2">
        <v>45300</v>
      </c>
    </row>
    <row r="721" spans="1:12" x14ac:dyDescent="0.35">
      <c r="A721" s="1" t="s">
        <v>954</v>
      </c>
      <c r="B721" s="1" t="s">
        <v>397</v>
      </c>
      <c r="C721" s="1" t="s">
        <v>30</v>
      </c>
      <c r="D721" s="1" t="s">
        <v>31</v>
      </c>
      <c r="E721" s="1" t="s">
        <v>16</v>
      </c>
      <c r="F721" s="1" t="s">
        <v>39</v>
      </c>
      <c r="G721" s="1" t="s">
        <v>26</v>
      </c>
      <c r="H721" s="1">
        <v>15327</v>
      </c>
      <c r="I721" s="1" t="s">
        <v>19</v>
      </c>
      <c r="J721" s="1">
        <v>0.2</v>
      </c>
      <c r="K721" s="1">
        <v>17000</v>
      </c>
      <c r="L721" s="2">
        <v>45302</v>
      </c>
    </row>
    <row r="722" spans="1:12" x14ac:dyDescent="0.35">
      <c r="A722" s="1" t="s">
        <v>955</v>
      </c>
      <c r="B722" s="1" t="s">
        <v>41</v>
      </c>
      <c r="C722" s="1" t="s">
        <v>14</v>
      </c>
      <c r="D722" s="1" t="s">
        <v>15</v>
      </c>
      <c r="E722" s="1" t="s">
        <v>32</v>
      </c>
      <c r="F722" s="1" t="s">
        <v>17</v>
      </c>
      <c r="G722" s="1" t="s">
        <v>26</v>
      </c>
      <c r="H722" s="1">
        <v>12220</v>
      </c>
      <c r="I722" s="1" t="s">
        <v>22</v>
      </c>
      <c r="J722" s="1">
        <v>0.1</v>
      </c>
      <c r="K722" s="1">
        <v>14000</v>
      </c>
      <c r="L722" s="2">
        <v>45341</v>
      </c>
    </row>
    <row r="723" spans="1:12" x14ac:dyDescent="0.35">
      <c r="A723" s="1" t="s">
        <v>956</v>
      </c>
      <c r="B723" s="1" t="s">
        <v>512</v>
      </c>
      <c r="C723" s="1" t="s">
        <v>14</v>
      </c>
      <c r="D723" s="1" t="s">
        <v>15</v>
      </c>
      <c r="E723" s="1" t="s">
        <v>32</v>
      </c>
      <c r="F723" s="1" t="s">
        <v>17</v>
      </c>
      <c r="G723" s="1" t="s">
        <v>26</v>
      </c>
      <c r="H723" s="1">
        <v>12636</v>
      </c>
      <c r="I723" s="1" t="s">
        <v>22</v>
      </c>
      <c r="J723" s="1">
        <v>0.1</v>
      </c>
      <c r="K723" s="1">
        <v>14000</v>
      </c>
      <c r="L723" s="2">
        <v>45333</v>
      </c>
    </row>
    <row r="724" spans="1:12" x14ac:dyDescent="0.35">
      <c r="A724" s="1" t="s">
        <v>957</v>
      </c>
      <c r="B724" s="1" t="s">
        <v>137</v>
      </c>
      <c r="C724" s="1" t="s">
        <v>30</v>
      </c>
      <c r="D724" s="1" t="s">
        <v>31</v>
      </c>
      <c r="E724" s="1" t="s">
        <v>32</v>
      </c>
      <c r="F724" s="1" t="s">
        <v>25</v>
      </c>
      <c r="G724" s="1" t="s">
        <v>26</v>
      </c>
      <c r="H724" s="1">
        <v>16163</v>
      </c>
      <c r="I724" s="1"/>
      <c r="J724" s="1"/>
      <c r="K724" s="1">
        <v>17000</v>
      </c>
      <c r="L724" s="2">
        <v>45332</v>
      </c>
    </row>
    <row r="725" spans="1:12" x14ac:dyDescent="0.35">
      <c r="A725" s="1" t="s">
        <v>958</v>
      </c>
      <c r="B725" s="1" t="s">
        <v>175</v>
      </c>
      <c r="C725" s="1" t="s">
        <v>44</v>
      </c>
      <c r="D725" s="1" t="s">
        <v>45</v>
      </c>
      <c r="E725" s="1" t="s">
        <v>32</v>
      </c>
      <c r="F725" s="1" t="s">
        <v>25</v>
      </c>
      <c r="G725" s="1" t="s">
        <v>26</v>
      </c>
      <c r="H725" s="1">
        <v>12461</v>
      </c>
      <c r="I725" s="1" t="s">
        <v>33</v>
      </c>
      <c r="J725" s="1">
        <v>0.3</v>
      </c>
      <c r="K725" s="1">
        <v>13000</v>
      </c>
      <c r="L725" s="2">
        <v>45347</v>
      </c>
    </row>
    <row r="726" spans="1:12" x14ac:dyDescent="0.35">
      <c r="A726" s="1" t="s">
        <v>959</v>
      </c>
      <c r="B726" s="1" t="s">
        <v>231</v>
      </c>
      <c r="C726" s="1" t="s">
        <v>30</v>
      </c>
      <c r="D726" s="1" t="s">
        <v>31</v>
      </c>
      <c r="E726" s="1" t="s">
        <v>16</v>
      </c>
      <c r="F726" s="1" t="s">
        <v>17</v>
      </c>
      <c r="G726" s="1" t="s">
        <v>18</v>
      </c>
      <c r="H726" s="1">
        <v>18971</v>
      </c>
      <c r="I726" s="1" t="s">
        <v>27</v>
      </c>
      <c r="J726" s="1"/>
      <c r="K726" s="1">
        <v>17000</v>
      </c>
      <c r="L726" s="2">
        <v>45303</v>
      </c>
    </row>
    <row r="727" spans="1:12" x14ac:dyDescent="0.35">
      <c r="A727" s="1" t="s">
        <v>960</v>
      </c>
      <c r="B727" s="1" t="s">
        <v>195</v>
      </c>
      <c r="C727" s="1" t="s">
        <v>61</v>
      </c>
      <c r="D727" s="1" t="s">
        <v>62</v>
      </c>
      <c r="E727" s="1" t="s">
        <v>16</v>
      </c>
      <c r="F727" s="1" t="s">
        <v>39</v>
      </c>
      <c r="G727" s="1" t="s">
        <v>26</v>
      </c>
      <c r="H727" s="1">
        <v>10593</v>
      </c>
      <c r="I727" s="1" t="s">
        <v>27</v>
      </c>
      <c r="J727" s="1"/>
      <c r="K727" s="1">
        <v>9000</v>
      </c>
      <c r="L727" s="2">
        <v>45319</v>
      </c>
    </row>
    <row r="728" spans="1:12" x14ac:dyDescent="0.35">
      <c r="A728" s="1" t="s">
        <v>961</v>
      </c>
      <c r="B728" s="1" t="s">
        <v>202</v>
      </c>
      <c r="C728" s="1" t="s">
        <v>30</v>
      </c>
      <c r="D728" s="1" t="s">
        <v>31</v>
      </c>
      <c r="E728" s="1" t="s">
        <v>46</v>
      </c>
      <c r="F728" s="1" t="s">
        <v>17</v>
      </c>
      <c r="G728" s="1" t="s">
        <v>26</v>
      </c>
      <c r="H728" s="1">
        <v>15930</v>
      </c>
      <c r="I728" s="1" t="s">
        <v>22</v>
      </c>
      <c r="J728" s="1">
        <v>0.1</v>
      </c>
      <c r="K728" s="1">
        <v>17000</v>
      </c>
      <c r="L728" s="2">
        <v>45320</v>
      </c>
    </row>
    <row r="729" spans="1:12" x14ac:dyDescent="0.35">
      <c r="A729" s="1" t="s">
        <v>962</v>
      </c>
      <c r="B729" s="1" t="s">
        <v>131</v>
      </c>
      <c r="C729" s="1" t="s">
        <v>61</v>
      </c>
      <c r="D729" s="1" t="s">
        <v>62</v>
      </c>
      <c r="E729" s="1" t="s">
        <v>46</v>
      </c>
      <c r="F729" s="1" t="s">
        <v>25</v>
      </c>
      <c r="G729" s="1" t="s">
        <v>36</v>
      </c>
      <c r="H729" s="1">
        <v>7043</v>
      </c>
      <c r="I729" s="1" t="s">
        <v>22</v>
      </c>
      <c r="J729" s="1">
        <v>0.1</v>
      </c>
      <c r="K729" s="1">
        <v>9000</v>
      </c>
      <c r="L729" s="2">
        <v>45325</v>
      </c>
    </row>
    <row r="730" spans="1:12" x14ac:dyDescent="0.35">
      <c r="A730" s="1" t="s">
        <v>963</v>
      </c>
      <c r="B730" s="1" t="s">
        <v>393</v>
      </c>
      <c r="C730" s="1" t="s">
        <v>44</v>
      </c>
      <c r="D730" s="1" t="s">
        <v>45</v>
      </c>
      <c r="E730" s="1" t="s">
        <v>46</v>
      </c>
      <c r="F730" s="1" t="s">
        <v>17</v>
      </c>
      <c r="G730" s="1" t="s">
        <v>36</v>
      </c>
      <c r="H730" s="1">
        <v>13191</v>
      </c>
      <c r="I730" s="1" t="s">
        <v>22</v>
      </c>
      <c r="J730" s="1">
        <v>0.1</v>
      </c>
      <c r="K730" s="1">
        <v>13000</v>
      </c>
      <c r="L730" s="2">
        <v>45336</v>
      </c>
    </row>
    <row r="731" spans="1:12" x14ac:dyDescent="0.35">
      <c r="A731" s="1" t="s">
        <v>964</v>
      </c>
      <c r="B731" s="1" t="s">
        <v>445</v>
      </c>
      <c r="C731" s="1" t="s">
        <v>61</v>
      </c>
      <c r="D731" s="1" t="s">
        <v>62</v>
      </c>
      <c r="E731" s="1" t="s">
        <v>46</v>
      </c>
      <c r="F731" s="1" t="s">
        <v>25</v>
      </c>
      <c r="G731" s="1" t="s">
        <v>36</v>
      </c>
      <c r="H731" s="1">
        <v>10268</v>
      </c>
      <c r="I731" s="1" t="s">
        <v>33</v>
      </c>
      <c r="J731" s="1">
        <v>0.3</v>
      </c>
      <c r="K731" s="1">
        <v>9000</v>
      </c>
      <c r="L731" s="2">
        <v>45330</v>
      </c>
    </row>
    <row r="732" spans="1:12" x14ac:dyDescent="0.35">
      <c r="A732" s="1" t="s">
        <v>965</v>
      </c>
      <c r="B732" s="1" t="s">
        <v>401</v>
      </c>
      <c r="C732" s="1" t="s">
        <v>14</v>
      </c>
      <c r="D732" s="1" t="s">
        <v>15</v>
      </c>
      <c r="E732" s="1" t="s">
        <v>16</v>
      </c>
      <c r="F732" s="1" t="s">
        <v>17</v>
      </c>
      <c r="G732" s="1" t="s">
        <v>18</v>
      </c>
      <c r="H732" s="1">
        <v>13686</v>
      </c>
      <c r="I732" s="1" t="s">
        <v>27</v>
      </c>
      <c r="J732" s="1"/>
      <c r="K732" s="1">
        <v>14000</v>
      </c>
      <c r="L732" s="2">
        <v>45319</v>
      </c>
    </row>
    <row r="733" spans="1:12" x14ac:dyDescent="0.35">
      <c r="A733" s="1" t="s">
        <v>966</v>
      </c>
      <c r="B733" s="1" t="s">
        <v>268</v>
      </c>
      <c r="C733" s="1" t="s">
        <v>44</v>
      </c>
      <c r="D733" s="1" t="s">
        <v>45</v>
      </c>
      <c r="E733" s="1" t="s">
        <v>16</v>
      </c>
      <c r="F733" s="1" t="s">
        <v>39</v>
      </c>
      <c r="G733" s="1" t="s">
        <v>26</v>
      </c>
      <c r="H733" s="1">
        <v>12596</v>
      </c>
      <c r="I733" s="1"/>
      <c r="J733" s="1"/>
      <c r="K733" s="1">
        <v>13000</v>
      </c>
      <c r="L733" s="2">
        <v>45306</v>
      </c>
    </row>
    <row r="734" spans="1:12" x14ac:dyDescent="0.35">
      <c r="A734" s="1" t="s">
        <v>967</v>
      </c>
      <c r="B734" s="1" t="s">
        <v>222</v>
      </c>
      <c r="C734" s="1" t="s">
        <v>61</v>
      </c>
      <c r="D734" s="1" t="s">
        <v>62</v>
      </c>
      <c r="E734" s="1" t="s">
        <v>16</v>
      </c>
      <c r="F734" s="1" t="s">
        <v>25</v>
      </c>
      <c r="G734" s="1" t="s">
        <v>26</v>
      </c>
      <c r="H734" s="1">
        <v>10131</v>
      </c>
      <c r="I734" s="1" t="s">
        <v>27</v>
      </c>
      <c r="J734" s="1"/>
      <c r="K734" s="1">
        <v>9000</v>
      </c>
      <c r="L734" s="2">
        <v>45343</v>
      </c>
    </row>
    <row r="735" spans="1:12" x14ac:dyDescent="0.35">
      <c r="A735" s="1" t="s">
        <v>968</v>
      </c>
      <c r="B735" s="1" t="s">
        <v>765</v>
      </c>
      <c r="C735" s="1" t="s">
        <v>30</v>
      </c>
      <c r="D735" s="1" t="s">
        <v>31</v>
      </c>
      <c r="E735" s="1" t="s">
        <v>46</v>
      </c>
      <c r="F735" s="1" t="s">
        <v>39</v>
      </c>
      <c r="G735" s="1" t="s">
        <v>26</v>
      </c>
      <c r="H735" s="1">
        <v>17178</v>
      </c>
      <c r="I735" s="1" t="s">
        <v>33</v>
      </c>
      <c r="J735" s="1">
        <v>0.3</v>
      </c>
      <c r="K735" s="1">
        <v>17000</v>
      </c>
      <c r="L735" s="2">
        <v>45318</v>
      </c>
    </row>
    <row r="736" spans="1:12" x14ac:dyDescent="0.35">
      <c r="A736" s="1" t="s">
        <v>969</v>
      </c>
      <c r="B736" s="1" t="s">
        <v>171</v>
      </c>
      <c r="C736" s="1" t="s">
        <v>14</v>
      </c>
      <c r="D736" s="1" t="s">
        <v>15</v>
      </c>
      <c r="E736" s="1" t="s">
        <v>32</v>
      </c>
      <c r="F736" s="1" t="s">
        <v>25</v>
      </c>
      <c r="G736" s="1" t="s">
        <v>36</v>
      </c>
      <c r="H736" s="1">
        <v>12452</v>
      </c>
      <c r="I736" s="1"/>
      <c r="J736" s="1"/>
      <c r="K736" s="1">
        <v>14000</v>
      </c>
      <c r="L736" s="2">
        <v>45331</v>
      </c>
    </row>
    <row r="737" spans="1:12" x14ac:dyDescent="0.35">
      <c r="A737" s="1" t="s">
        <v>970</v>
      </c>
      <c r="B737" s="1" t="s">
        <v>123</v>
      </c>
      <c r="C737" s="1" t="s">
        <v>61</v>
      </c>
      <c r="D737" s="1" t="s">
        <v>62</v>
      </c>
      <c r="E737" s="1" t="s">
        <v>32</v>
      </c>
      <c r="F737" s="1" t="s">
        <v>17</v>
      </c>
      <c r="G737" s="1" t="s">
        <v>18</v>
      </c>
      <c r="H737" s="1">
        <v>7623</v>
      </c>
      <c r="I737" s="1" t="s">
        <v>22</v>
      </c>
      <c r="J737" s="1">
        <v>0.1</v>
      </c>
      <c r="K737" s="1">
        <v>9000</v>
      </c>
      <c r="L737" s="2">
        <v>45326</v>
      </c>
    </row>
    <row r="738" spans="1:12" x14ac:dyDescent="0.35">
      <c r="A738" s="1" t="s">
        <v>971</v>
      </c>
      <c r="B738" s="1" t="s">
        <v>243</v>
      </c>
      <c r="C738" s="1" t="s">
        <v>14</v>
      </c>
      <c r="D738" s="1" t="s">
        <v>15</v>
      </c>
      <c r="E738" s="1" t="s">
        <v>46</v>
      </c>
      <c r="F738" s="1" t="s">
        <v>17</v>
      </c>
      <c r="G738" s="1" t="s">
        <v>18</v>
      </c>
      <c r="H738" s="1">
        <v>14929</v>
      </c>
      <c r="I738" s="1"/>
      <c r="J738" s="1"/>
      <c r="K738" s="1">
        <v>14000</v>
      </c>
      <c r="L738" s="2">
        <v>45338</v>
      </c>
    </row>
    <row r="739" spans="1:12" x14ac:dyDescent="0.35">
      <c r="A739" s="1" t="s">
        <v>972</v>
      </c>
      <c r="B739" s="1" t="s">
        <v>192</v>
      </c>
      <c r="C739" s="1" t="s">
        <v>14</v>
      </c>
      <c r="D739" s="1" t="s">
        <v>15</v>
      </c>
      <c r="E739" s="1" t="s">
        <v>32</v>
      </c>
      <c r="F739" s="1" t="s">
        <v>25</v>
      </c>
      <c r="G739" s="1" t="s">
        <v>36</v>
      </c>
      <c r="H739" s="1">
        <v>12889</v>
      </c>
      <c r="I739" s="1" t="s">
        <v>33</v>
      </c>
      <c r="J739" s="1">
        <v>0.3</v>
      </c>
      <c r="K739" s="1">
        <v>14000</v>
      </c>
      <c r="L739" s="2">
        <v>45318</v>
      </c>
    </row>
    <row r="740" spans="1:12" x14ac:dyDescent="0.35">
      <c r="A740" s="1" t="s">
        <v>973</v>
      </c>
      <c r="B740" s="1" t="s">
        <v>443</v>
      </c>
      <c r="C740" s="1" t="s">
        <v>61</v>
      </c>
      <c r="D740" s="1" t="s">
        <v>62</v>
      </c>
      <c r="E740" s="1" t="s">
        <v>46</v>
      </c>
      <c r="F740" s="1" t="s">
        <v>17</v>
      </c>
      <c r="G740" s="1" t="s">
        <v>26</v>
      </c>
      <c r="H740" s="1">
        <v>10241</v>
      </c>
      <c r="I740" s="1" t="s">
        <v>22</v>
      </c>
      <c r="J740" s="1">
        <v>0.1</v>
      </c>
      <c r="K740" s="1">
        <v>9000</v>
      </c>
      <c r="L740" s="2">
        <v>45313</v>
      </c>
    </row>
    <row r="741" spans="1:12" x14ac:dyDescent="0.35">
      <c r="A741" s="1" t="s">
        <v>974</v>
      </c>
      <c r="B741" s="1" t="s">
        <v>159</v>
      </c>
      <c r="C741" s="1" t="s">
        <v>44</v>
      </c>
      <c r="D741" s="1" t="s">
        <v>45</v>
      </c>
      <c r="E741" s="1" t="s">
        <v>32</v>
      </c>
      <c r="F741" s="1" t="s">
        <v>17</v>
      </c>
      <c r="G741" s="1" t="s">
        <v>36</v>
      </c>
      <c r="H741" s="1">
        <v>11292</v>
      </c>
      <c r="I741" s="1" t="s">
        <v>27</v>
      </c>
      <c r="J741" s="1"/>
      <c r="K741" s="1">
        <v>13000</v>
      </c>
      <c r="L741" s="2">
        <v>45322</v>
      </c>
    </row>
    <row r="742" spans="1:12" x14ac:dyDescent="0.35">
      <c r="A742" s="1" t="s">
        <v>975</v>
      </c>
      <c r="B742" s="1" t="s">
        <v>35</v>
      </c>
      <c r="C742" s="1" t="s">
        <v>30</v>
      </c>
      <c r="D742" s="1" t="s">
        <v>31</v>
      </c>
      <c r="E742" s="1" t="s">
        <v>46</v>
      </c>
      <c r="F742" s="1" t="s">
        <v>25</v>
      </c>
      <c r="G742" s="1" t="s">
        <v>18</v>
      </c>
      <c r="H742" s="1">
        <v>18991</v>
      </c>
      <c r="I742" s="1" t="s">
        <v>19</v>
      </c>
      <c r="J742" s="1">
        <v>0.2</v>
      </c>
      <c r="K742" s="1">
        <v>17000</v>
      </c>
      <c r="L742" s="2">
        <v>45316</v>
      </c>
    </row>
    <row r="743" spans="1:12" x14ac:dyDescent="0.35">
      <c r="A743" s="1" t="s">
        <v>976</v>
      </c>
      <c r="B743" s="1" t="s">
        <v>298</v>
      </c>
      <c r="C743" s="1" t="s">
        <v>44</v>
      </c>
      <c r="D743" s="1" t="s">
        <v>45</v>
      </c>
      <c r="E743" s="1" t="s">
        <v>16</v>
      </c>
      <c r="F743" s="1" t="s">
        <v>25</v>
      </c>
      <c r="G743" s="1" t="s">
        <v>18</v>
      </c>
      <c r="H743" s="1">
        <v>12887</v>
      </c>
      <c r="I743" s="1" t="s">
        <v>22</v>
      </c>
      <c r="J743" s="1">
        <v>0.1</v>
      </c>
      <c r="K743" s="1">
        <v>13000</v>
      </c>
      <c r="L743" s="2">
        <v>45325</v>
      </c>
    </row>
    <row r="744" spans="1:12" x14ac:dyDescent="0.35">
      <c r="A744" s="1" t="s">
        <v>977</v>
      </c>
      <c r="B744" s="1" t="s">
        <v>239</v>
      </c>
      <c r="C744" s="1" t="s">
        <v>61</v>
      </c>
      <c r="D744" s="1" t="s">
        <v>62</v>
      </c>
      <c r="E744" s="1" t="s">
        <v>46</v>
      </c>
      <c r="F744" s="1" t="s">
        <v>39</v>
      </c>
      <c r="G744" s="1" t="s">
        <v>36</v>
      </c>
      <c r="H744" s="1">
        <v>10834</v>
      </c>
      <c r="I744" s="1" t="s">
        <v>33</v>
      </c>
      <c r="J744" s="1">
        <v>0.3</v>
      </c>
      <c r="K744" s="1">
        <v>9000</v>
      </c>
      <c r="L744" s="2">
        <v>45302</v>
      </c>
    </row>
    <row r="745" spans="1:12" x14ac:dyDescent="0.35">
      <c r="A745" s="1" t="s">
        <v>978</v>
      </c>
      <c r="B745" s="1" t="s">
        <v>305</v>
      </c>
      <c r="C745" s="1" t="s">
        <v>14</v>
      </c>
      <c r="D745" s="1" t="s">
        <v>15</v>
      </c>
      <c r="E745" s="1" t="s">
        <v>16</v>
      </c>
      <c r="F745" s="1" t="s">
        <v>39</v>
      </c>
      <c r="G745" s="1" t="s">
        <v>26</v>
      </c>
      <c r="H745" s="1">
        <v>12500</v>
      </c>
      <c r="I745" s="1" t="s">
        <v>33</v>
      </c>
      <c r="J745" s="1">
        <v>0.3</v>
      </c>
      <c r="K745" s="1">
        <v>14000</v>
      </c>
      <c r="L745" s="2">
        <v>45322</v>
      </c>
    </row>
    <row r="746" spans="1:12" x14ac:dyDescent="0.35">
      <c r="A746" s="1" t="s">
        <v>979</v>
      </c>
      <c r="B746" s="1" t="s">
        <v>278</v>
      </c>
      <c r="C746" s="1" t="s">
        <v>44</v>
      </c>
      <c r="D746" s="1" t="s">
        <v>45</v>
      </c>
      <c r="E746" s="1" t="s">
        <v>46</v>
      </c>
      <c r="F746" s="1" t="s">
        <v>25</v>
      </c>
      <c r="G746" s="1" t="s">
        <v>26</v>
      </c>
      <c r="H746" s="1">
        <v>11892</v>
      </c>
      <c r="I746" s="1" t="s">
        <v>22</v>
      </c>
      <c r="J746" s="1">
        <v>0.1</v>
      </c>
      <c r="K746" s="1">
        <v>13000</v>
      </c>
      <c r="L746" s="2">
        <v>45307</v>
      </c>
    </row>
    <row r="747" spans="1:12" x14ac:dyDescent="0.35">
      <c r="A747" s="1" t="s">
        <v>980</v>
      </c>
      <c r="B747" s="1" t="s">
        <v>90</v>
      </c>
      <c r="C747" s="1" t="s">
        <v>30</v>
      </c>
      <c r="D747" s="1" t="s">
        <v>31</v>
      </c>
      <c r="E747" s="1" t="s">
        <v>32</v>
      </c>
      <c r="F747" s="1" t="s">
        <v>25</v>
      </c>
      <c r="G747" s="1" t="s">
        <v>36</v>
      </c>
      <c r="H747" s="1">
        <v>17394</v>
      </c>
      <c r="I747" s="1" t="s">
        <v>22</v>
      </c>
      <c r="J747" s="1">
        <v>0.1</v>
      </c>
      <c r="K747" s="1">
        <v>17000</v>
      </c>
      <c r="L747" s="2">
        <v>45317</v>
      </c>
    </row>
    <row r="748" spans="1:12" x14ac:dyDescent="0.35">
      <c r="A748" s="1" t="s">
        <v>981</v>
      </c>
      <c r="B748" s="1" t="s">
        <v>294</v>
      </c>
      <c r="C748" s="1" t="s">
        <v>14</v>
      </c>
      <c r="D748" s="1" t="s">
        <v>15</v>
      </c>
      <c r="E748" s="1" t="s">
        <v>32</v>
      </c>
      <c r="F748" s="1" t="s">
        <v>39</v>
      </c>
      <c r="G748" s="1" t="s">
        <v>26</v>
      </c>
      <c r="H748" s="1">
        <v>13946</v>
      </c>
      <c r="I748" s="1" t="s">
        <v>27</v>
      </c>
      <c r="J748" s="1"/>
      <c r="K748" s="1">
        <v>14000</v>
      </c>
      <c r="L748" s="2">
        <v>45301</v>
      </c>
    </row>
    <row r="749" spans="1:12" x14ac:dyDescent="0.35">
      <c r="A749" s="1" t="s">
        <v>982</v>
      </c>
      <c r="B749" s="1" t="s">
        <v>478</v>
      </c>
      <c r="C749" s="1" t="s">
        <v>14</v>
      </c>
      <c r="D749" s="1" t="s">
        <v>15</v>
      </c>
      <c r="E749" s="1" t="s">
        <v>32</v>
      </c>
      <c r="F749" s="1" t="s">
        <v>25</v>
      </c>
      <c r="G749" s="1" t="s">
        <v>36</v>
      </c>
      <c r="H749" s="1">
        <v>12374</v>
      </c>
      <c r="I749" s="1" t="s">
        <v>27</v>
      </c>
      <c r="J749" s="1"/>
      <c r="K749" s="1">
        <v>14000</v>
      </c>
      <c r="L749" s="2">
        <v>45313</v>
      </c>
    </row>
    <row r="750" spans="1:12" x14ac:dyDescent="0.35">
      <c r="A750" s="1" t="s">
        <v>983</v>
      </c>
      <c r="B750" s="1" t="s">
        <v>148</v>
      </c>
      <c r="C750" s="1" t="s">
        <v>14</v>
      </c>
      <c r="D750" s="1" t="s">
        <v>15</v>
      </c>
      <c r="E750" s="1" t="s">
        <v>32</v>
      </c>
      <c r="F750" s="1" t="s">
        <v>17</v>
      </c>
      <c r="G750" s="1" t="s">
        <v>26</v>
      </c>
      <c r="H750" s="1">
        <v>12630</v>
      </c>
      <c r="I750" s="1" t="s">
        <v>27</v>
      </c>
      <c r="J750" s="1"/>
      <c r="K750" s="1">
        <v>14000</v>
      </c>
      <c r="L750" s="2">
        <v>45342</v>
      </c>
    </row>
    <row r="751" spans="1:12" x14ac:dyDescent="0.35">
      <c r="A751" s="1" t="s">
        <v>984</v>
      </c>
      <c r="B751" s="1" t="s">
        <v>843</v>
      </c>
      <c r="C751" s="1" t="s">
        <v>61</v>
      </c>
      <c r="D751" s="1" t="s">
        <v>62</v>
      </c>
      <c r="E751" s="1" t="s">
        <v>32</v>
      </c>
      <c r="F751" s="1" t="s">
        <v>17</v>
      </c>
      <c r="G751" s="1" t="s">
        <v>26</v>
      </c>
      <c r="H751" s="1">
        <v>10229</v>
      </c>
      <c r="I751" s="1" t="s">
        <v>33</v>
      </c>
      <c r="J751" s="1">
        <v>0.3</v>
      </c>
      <c r="K751" s="1">
        <v>9000</v>
      </c>
      <c r="L751" s="2">
        <v>45343</v>
      </c>
    </row>
    <row r="752" spans="1:12" x14ac:dyDescent="0.35">
      <c r="A752" s="1" t="s">
        <v>985</v>
      </c>
      <c r="B752" s="1" t="s">
        <v>445</v>
      </c>
      <c r="C752" s="1" t="s">
        <v>44</v>
      </c>
      <c r="D752" s="1" t="s">
        <v>45</v>
      </c>
      <c r="E752" s="1" t="s">
        <v>32</v>
      </c>
      <c r="F752" s="1" t="s">
        <v>39</v>
      </c>
      <c r="G752" s="1" t="s">
        <v>36</v>
      </c>
      <c r="H752" s="1">
        <v>12467</v>
      </c>
      <c r="I752" s="1" t="s">
        <v>19</v>
      </c>
      <c r="J752" s="1">
        <v>0.2</v>
      </c>
      <c r="K752" s="1">
        <v>13000</v>
      </c>
      <c r="L752" s="2">
        <v>45308</v>
      </c>
    </row>
    <row r="753" spans="1:12" x14ac:dyDescent="0.35">
      <c r="A753" s="1" t="s">
        <v>986</v>
      </c>
      <c r="B753" s="1" t="s">
        <v>987</v>
      </c>
      <c r="C753" s="1" t="s">
        <v>61</v>
      </c>
      <c r="D753" s="1" t="s">
        <v>62</v>
      </c>
      <c r="E753" s="1" t="s">
        <v>16</v>
      </c>
      <c r="F753" s="1" t="s">
        <v>17</v>
      </c>
      <c r="G753" s="1" t="s">
        <v>26</v>
      </c>
      <c r="H753" s="1">
        <v>8207</v>
      </c>
      <c r="I753" s="1" t="s">
        <v>27</v>
      </c>
      <c r="J753" s="1"/>
      <c r="K753" s="1">
        <v>9000</v>
      </c>
      <c r="L753" s="2">
        <v>45336</v>
      </c>
    </row>
    <row r="754" spans="1:12" x14ac:dyDescent="0.35">
      <c r="A754" s="1" t="s">
        <v>988</v>
      </c>
      <c r="B754" s="1" t="s">
        <v>211</v>
      </c>
      <c r="C754" s="1" t="s">
        <v>44</v>
      </c>
      <c r="D754" s="1" t="s">
        <v>45</v>
      </c>
      <c r="E754" s="1" t="s">
        <v>16</v>
      </c>
      <c r="F754" s="1" t="s">
        <v>17</v>
      </c>
      <c r="G754" s="1" t="s">
        <v>36</v>
      </c>
      <c r="H754" s="1">
        <v>13999</v>
      </c>
      <c r="I754" s="1"/>
      <c r="J754" s="1"/>
      <c r="K754" s="1">
        <v>13000</v>
      </c>
      <c r="L754" s="2">
        <v>45309</v>
      </c>
    </row>
    <row r="755" spans="1:12" x14ac:dyDescent="0.35">
      <c r="A755" s="1" t="s">
        <v>989</v>
      </c>
      <c r="B755" s="1" t="s">
        <v>319</v>
      </c>
      <c r="C755" s="1" t="s">
        <v>44</v>
      </c>
      <c r="D755" s="1" t="s">
        <v>45</v>
      </c>
      <c r="E755" s="1" t="s">
        <v>32</v>
      </c>
      <c r="F755" s="1" t="s">
        <v>39</v>
      </c>
      <c r="G755" s="1" t="s">
        <v>18</v>
      </c>
      <c r="H755" s="1">
        <v>12840</v>
      </c>
      <c r="I755" s="1" t="s">
        <v>33</v>
      </c>
      <c r="J755" s="1">
        <v>0.3</v>
      </c>
      <c r="K755" s="1">
        <v>13000</v>
      </c>
      <c r="L755" s="2">
        <v>45344</v>
      </c>
    </row>
    <row r="756" spans="1:12" x14ac:dyDescent="0.35">
      <c r="A756" s="1" t="s">
        <v>990</v>
      </c>
      <c r="B756" s="1" t="s">
        <v>307</v>
      </c>
      <c r="C756" s="1" t="s">
        <v>30</v>
      </c>
      <c r="D756" s="1" t="s">
        <v>31</v>
      </c>
      <c r="E756" s="1" t="s">
        <v>46</v>
      </c>
      <c r="F756" s="1" t="s">
        <v>25</v>
      </c>
      <c r="G756" s="1" t="s">
        <v>26</v>
      </c>
      <c r="H756" s="1">
        <v>17072</v>
      </c>
      <c r="I756" s="1"/>
      <c r="J756" s="1"/>
      <c r="K756" s="1">
        <v>17000</v>
      </c>
      <c r="L756" s="2">
        <v>45338</v>
      </c>
    </row>
    <row r="757" spans="1:12" x14ac:dyDescent="0.35">
      <c r="A757" s="1" t="s">
        <v>991</v>
      </c>
      <c r="B757" s="1" t="s">
        <v>557</v>
      </c>
      <c r="C757" s="1" t="s">
        <v>30</v>
      </c>
      <c r="D757" s="1" t="s">
        <v>31</v>
      </c>
      <c r="E757" s="1" t="s">
        <v>16</v>
      </c>
      <c r="F757" s="1" t="s">
        <v>25</v>
      </c>
      <c r="G757" s="1" t="s">
        <v>36</v>
      </c>
      <c r="H757" s="1">
        <v>17953</v>
      </c>
      <c r="I757" s="1" t="s">
        <v>22</v>
      </c>
      <c r="J757" s="1">
        <v>0.1</v>
      </c>
      <c r="K757" s="1">
        <v>17000</v>
      </c>
      <c r="L757" s="2">
        <v>45334</v>
      </c>
    </row>
    <row r="758" spans="1:12" x14ac:dyDescent="0.35">
      <c r="A758" s="1" t="s">
        <v>992</v>
      </c>
      <c r="B758" s="1" t="s">
        <v>105</v>
      </c>
      <c r="C758" s="1" t="s">
        <v>61</v>
      </c>
      <c r="D758" s="1" t="s">
        <v>62</v>
      </c>
      <c r="E758" s="1" t="s">
        <v>32</v>
      </c>
      <c r="F758" s="1" t="s">
        <v>39</v>
      </c>
      <c r="G758" s="1" t="s">
        <v>26</v>
      </c>
      <c r="H758" s="1">
        <v>9037</v>
      </c>
      <c r="I758" s="1" t="s">
        <v>27</v>
      </c>
      <c r="J758" s="1"/>
      <c r="K758" s="1">
        <v>9000</v>
      </c>
      <c r="L758" s="2">
        <v>45301</v>
      </c>
    </row>
    <row r="759" spans="1:12" x14ac:dyDescent="0.35">
      <c r="A759" s="1" t="s">
        <v>993</v>
      </c>
      <c r="B759" s="1" t="s">
        <v>291</v>
      </c>
      <c r="C759" s="1" t="s">
        <v>30</v>
      </c>
      <c r="D759" s="1" t="s">
        <v>31</v>
      </c>
      <c r="E759" s="1" t="s">
        <v>46</v>
      </c>
      <c r="F759" s="1" t="s">
        <v>39</v>
      </c>
      <c r="G759" s="1" t="s">
        <v>36</v>
      </c>
      <c r="H759" s="1">
        <v>15452</v>
      </c>
      <c r="I759" s="1" t="s">
        <v>22</v>
      </c>
      <c r="J759" s="1">
        <v>0.1</v>
      </c>
      <c r="K759" s="1">
        <v>17000</v>
      </c>
      <c r="L759" s="2">
        <v>45325</v>
      </c>
    </row>
    <row r="760" spans="1:12" x14ac:dyDescent="0.35">
      <c r="A760" s="1" t="s">
        <v>994</v>
      </c>
      <c r="B760" s="1" t="s">
        <v>13</v>
      </c>
      <c r="C760" s="1" t="s">
        <v>14</v>
      </c>
      <c r="D760" s="1" t="s">
        <v>15</v>
      </c>
      <c r="E760" s="1" t="s">
        <v>32</v>
      </c>
      <c r="F760" s="1" t="s">
        <v>25</v>
      </c>
      <c r="G760" s="1" t="s">
        <v>18</v>
      </c>
      <c r="H760" s="1">
        <v>12827</v>
      </c>
      <c r="I760" s="1" t="s">
        <v>22</v>
      </c>
      <c r="J760" s="1">
        <v>0.1</v>
      </c>
      <c r="K760" s="1">
        <v>14000</v>
      </c>
      <c r="L760" s="2">
        <v>45323</v>
      </c>
    </row>
    <row r="761" spans="1:12" x14ac:dyDescent="0.35">
      <c r="A761" s="1" t="s">
        <v>995</v>
      </c>
      <c r="B761" s="1" t="s">
        <v>229</v>
      </c>
      <c r="C761" s="1" t="s">
        <v>14</v>
      </c>
      <c r="D761" s="1" t="s">
        <v>15</v>
      </c>
      <c r="E761" s="1" t="s">
        <v>16</v>
      </c>
      <c r="F761" s="1" t="s">
        <v>39</v>
      </c>
      <c r="G761" s="1" t="s">
        <v>36</v>
      </c>
      <c r="H761" s="1">
        <v>14694</v>
      </c>
      <c r="I761" s="1"/>
      <c r="J761" s="1"/>
      <c r="K761" s="1">
        <v>14000</v>
      </c>
      <c r="L761" s="2">
        <v>45325</v>
      </c>
    </row>
    <row r="762" spans="1:12" x14ac:dyDescent="0.35">
      <c r="A762" s="1" t="s">
        <v>996</v>
      </c>
      <c r="B762" s="1" t="s">
        <v>233</v>
      </c>
      <c r="C762" s="1" t="s">
        <v>30</v>
      </c>
      <c r="D762" s="1" t="s">
        <v>31</v>
      </c>
      <c r="E762" s="1" t="s">
        <v>32</v>
      </c>
      <c r="F762" s="1" t="s">
        <v>17</v>
      </c>
      <c r="G762" s="1" t="s">
        <v>18</v>
      </c>
      <c r="H762" s="1">
        <v>17481</v>
      </c>
      <c r="I762" s="1" t="s">
        <v>22</v>
      </c>
      <c r="J762" s="1">
        <v>0.1</v>
      </c>
      <c r="K762" s="1">
        <v>17000</v>
      </c>
      <c r="L762" s="2">
        <v>45292</v>
      </c>
    </row>
    <row r="763" spans="1:12" x14ac:dyDescent="0.35">
      <c r="A763" s="1" t="s">
        <v>997</v>
      </c>
      <c r="B763" s="1" t="s">
        <v>553</v>
      </c>
      <c r="C763" s="1" t="s">
        <v>61</v>
      </c>
      <c r="D763" s="1" t="s">
        <v>62</v>
      </c>
      <c r="E763" s="1" t="s">
        <v>32</v>
      </c>
      <c r="F763" s="1" t="s">
        <v>17</v>
      </c>
      <c r="G763" s="1" t="s">
        <v>26</v>
      </c>
      <c r="H763" s="1">
        <v>7248</v>
      </c>
      <c r="I763" s="1" t="s">
        <v>33</v>
      </c>
      <c r="J763" s="1">
        <v>0.3</v>
      </c>
      <c r="K763" s="1">
        <v>9000</v>
      </c>
      <c r="L763" s="2">
        <v>45327</v>
      </c>
    </row>
    <row r="764" spans="1:12" x14ac:dyDescent="0.35">
      <c r="A764" s="1" t="s">
        <v>998</v>
      </c>
      <c r="B764" s="1" t="s">
        <v>127</v>
      </c>
      <c r="C764" s="1" t="s">
        <v>30</v>
      </c>
      <c r="D764" s="1" t="s">
        <v>31</v>
      </c>
      <c r="E764" s="1" t="s">
        <v>16</v>
      </c>
      <c r="F764" s="1" t="s">
        <v>25</v>
      </c>
      <c r="G764" s="1" t="s">
        <v>26</v>
      </c>
      <c r="H764" s="1">
        <v>16088</v>
      </c>
      <c r="I764" s="1" t="s">
        <v>27</v>
      </c>
      <c r="J764" s="1"/>
      <c r="K764" s="1">
        <v>17000</v>
      </c>
      <c r="L764" s="2">
        <v>45294</v>
      </c>
    </row>
    <row r="765" spans="1:12" x14ac:dyDescent="0.35">
      <c r="A765" s="1" t="s">
        <v>999</v>
      </c>
      <c r="B765" s="1" t="s">
        <v>1000</v>
      </c>
      <c r="C765" s="1" t="s">
        <v>30</v>
      </c>
      <c r="D765" s="1" t="s">
        <v>31</v>
      </c>
      <c r="E765" s="1" t="s">
        <v>32</v>
      </c>
      <c r="F765" s="1" t="s">
        <v>25</v>
      </c>
      <c r="G765" s="1" t="s">
        <v>26</v>
      </c>
      <c r="H765" s="1">
        <v>15397</v>
      </c>
      <c r="I765" s="1" t="s">
        <v>22</v>
      </c>
      <c r="J765" s="1">
        <v>0.1</v>
      </c>
      <c r="K765" s="1">
        <v>17000</v>
      </c>
      <c r="L765" s="2">
        <v>45338</v>
      </c>
    </row>
    <row r="766" spans="1:12" x14ac:dyDescent="0.35">
      <c r="A766" s="1" t="s">
        <v>1001</v>
      </c>
      <c r="B766" s="1" t="s">
        <v>24</v>
      </c>
      <c r="C766" s="1" t="s">
        <v>61</v>
      </c>
      <c r="D766" s="1" t="s">
        <v>62</v>
      </c>
      <c r="E766" s="1" t="s">
        <v>32</v>
      </c>
      <c r="F766" s="1" t="s">
        <v>25</v>
      </c>
      <c r="G766" s="1" t="s">
        <v>26</v>
      </c>
      <c r="H766" s="1">
        <v>9690</v>
      </c>
      <c r="I766" s="1" t="s">
        <v>19</v>
      </c>
      <c r="J766" s="1">
        <v>0.2</v>
      </c>
      <c r="K766" s="1">
        <v>9000</v>
      </c>
      <c r="L766" s="2">
        <v>45328</v>
      </c>
    </row>
    <row r="767" spans="1:12" x14ac:dyDescent="0.35">
      <c r="A767" s="1" t="s">
        <v>1002</v>
      </c>
      <c r="B767" s="1" t="s">
        <v>422</v>
      </c>
      <c r="C767" s="1" t="s">
        <v>61</v>
      </c>
      <c r="D767" s="1" t="s">
        <v>62</v>
      </c>
      <c r="E767" s="1" t="s">
        <v>16</v>
      </c>
      <c r="F767" s="1" t="s">
        <v>25</v>
      </c>
      <c r="G767" s="1" t="s">
        <v>26</v>
      </c>
      <c r="H767" s="1">
        <v>9361</v>
      </c>
      <c r="I767" s="1" t="s">
        <v>33</v>
      </c>
      <c r="J767" s="1">
        <v>0.3</v>
      </c>
      <c r="K767" s="1">
        <v>9000</v>
      </c>
      <c r="L767" s="2">
        <v>45335</v>
      </c>
    </row>
    <row r="768" spans="1:12" x14ac:dyDescent="0.35">
      <c r="A768" s="1" t="s">
        <v>1003</v>
      </c>
      <c r="B768" s="1" t="s">
        <v>483</v>
      </c>
      <c r="C768" s="1" t="s">
        <v>61</v>
      </c>
      <c r="D768" s="1" t="s">
        <v>62</v>
      </c>
      <c r="E768" s="1" t="s">
        <v>32</v>
      </c>
      <c r="F768" s="1" t="s">
        <v>25</v>
      </c>
      <c r="G768" s="1" t="s">
        <v>18</v>
      </c>
      <c r="H768" s="1">
        <v>9252</v>
      </c>
      <c r="I768" s="1"/>
      <c r="J768" s="1"/>
      <c r="K768" s="1">
        <v>9000</v>
      </c>
      <c r="L768" s="2">
        <v>45324</v>
      </c>
    </row>
    <row r="769" spans="1:12" x14ac:dyDescent="0.35">
      <c r="A769" s="1" t="s">
        <v>1004</v>
      </c>
      <c r="B769" s="1" t="s">
        <v>150</v>
      </c>
      <c r="C769" s="1" t="s">
        <v>44</v>
      </c>
      <c r="D769" s="1" t="s">
        <v>45</v>
      </c>
      <c r="E769" s="1" t="s">
        <v>16</v>
      </c>
      <c r="F769" s="1" t="s">
        <v>39</v>
      </c>
      <c r="G769" s="1" t="s">
        <v>36</v>
      </c>
      <c r="H769" s="1">
        <v>14823</v>
      </c>
      <c r="I769" s="1" t="s">
        <v>33</v>
      </c>
      <c r="J769" s="1">
        <v>0.3</v>
      </c>
      <c r="K769" s="1">
        <v>13000</v>
      </c>
      <c r="L769" s="2">
        <v>45349</v>
      </c>
    </row>
    <row r="770" spans="1:12" x14ac:dyDescent="0.35">
      <c r="A770" s="1" t="s">
        <v>1005</v>
      </c>
      <c r="B770" s="1" t="s">
        <v>301</v>
      </c>
      <c r="C770" s="1" t="s">
        <v>30</v>
      </c>
      <c r="D770" s="1" t="s">
        <v>31</v>
      </c>
      <c r="E770" s="1" t="s">
        <v>46</v>
      </c>
      <c r="F770" s="1" t="s">
        <v>17</v>
      </c>
      <c r="G770" s="1" t="s">
        <v>26</v>
      </c>
      <c r="H770" s="1">
        <v>16763</v>
      </c>
      <c r="I770" s="1" t="s">
        <v>33</v>
      </c>
      <c r="J770" s="1">
        <v>0.3</v>
      </c>
      <c r="K770" s="1">
        <v>17000</v>
      </c>
      <c r="L770" s="2">
        <v>45330</v>
      </c>
    </row>
    <row r="771" spans="1:12" x14ac:dyDescent="0.35">
      <c r="A771" s="1" t="s">
        <v>1006</v>
      </c>
      <c r="B771" s="1" t="s">
        <v>56</v>
      </c>
      <c r="C771" s="1" t="s">
        <v>44</v>
      </c>
      <c r="D771" s="1" t="s">
        <v>45</v>
      </c>
      <c r="E771" s="1" t="s">
        <v>46</v>
      </c>
      <c r="F771" s="1" t="s">
        <v>39</v>
      </c>
      <c r="G771" s="1" t="s">
        <v>26</v>
      </c>
      <c r="H771" s="1">
        <v>12040</v>
      </c>
      <c r="I771" s="1" t="s">
        <v>33</v>
      </c>
      <c r="J771" s="1">
        <v>0.3</v>
      </c>
      <c r="K771" s="1">
        <v>13000</v>
      </c>
      <c r="L771" s="2">
        <v>45320</v>
      </c>
    </row>
    <row r="772" spans="1:12" x14ac:dyDescent="0.35">
      <c r="A772" s="1" t="s">
        <v>1007</v>
      </c>
      <c r="B772" s="1" t="s">
        <v>52</v>
      </c>
      <c r="C772" s="1" t="s">
        <v>14</v>
      </c>
      <c r="D772" s="1" t="s">
        <v>15</v>
      </c>
      <c r="E772" s="1" t="s">
        <v>16</v>
      </c>
      <c r="F772" s="1" t="s">
        <v>25</v>
      </c>
      <c r="G772" s="1" t="s">
        <v>36</v>
      </c>
      <c r="H772" s="1">
        <v>14440</v>
      </c>
      <c r="I772" s="1" t="s">
        <v>22</v>
      </c>
      <c r="J772" s="1">
        <v>0.1</v>
      </c>
      <c r="K772" s="1">
        <v>14000</v>
      </c>
      <c r="L772" s="2">
        <v>45325</v>
      </c>
    </row>
    <row r="773" spans="1:12" x14ac:dyDescent="0.35">
      <c r="A773" s="1" t="s">
        <v>1008</v>
      </c>
      <c r="B773" s="1" t="s">
        <v>256</v>
      </c>
      <c r="C773" s="1" t="s">
        <v>14</v>
      </c>
      <c r="D773" s="1" t="s">
        <v>15</v>
      </c>
      <c r="E773" s="1" t="s">
        <v>46</v>
      </c>
      <c r="F773" s="1" t="s">
        <v>25</v>
      </c>
      <c r="G773" s="1" t="s">
        <v>18</v>
      </c>
      <c r="H773" s="1">
        <v>15505</v>
      </c>
      <c r="I773" s="1" t="s">
        <v>33</v>
      </c>
      <c r="J773" s="1">
        <v>0.3</v>
      </c>
      <c r="K773" s="1">
        <v>14000</v>
      </c>
      <c r="L773" s="2">
        <v>45293</v>
      </c>
    </row>
    <row r="774" spans="1:12" x14ac:dyDescent="0.35">
      <c r="A774" s="1" t="s">
        <v>1009</v>
      </c>
      <c r="B774" s="1" t="s">
        <v>140</v>
      </c>
      <c r="C774" s="1" t="s">
        <v>30</v>
      </c>
      <c r="D774" s="1" t="s">
        <v>31</v>
      </c>
      <c r="E774" s="1" t="s">
        <v>16</v>
      </c>
      <c r="F774" s="1" t="s">
        <v>39</v>
      </c>
      <c r="G774" s="1" t="s">
        <v>26</v>
      </c>
      <c r="H774" s="1">
        <v>17337</v>
      </c>
      <c r="I774" s="1" t="s">
        <v>27</v>
      </c>
      <c r="J774" s="1"/>
      <c r="K774" s="1">
        <v>17000</v>
      </c>
      <c r="L774" s="2">
        <v>45301</v>
      </c>
    </row>
    <row r="775" spans="1:12" x14ac:dyDescent="0.35">
      <c r="A775" s="1" t="s">
        <v>1010</v>
      </c>
      <c r="B775" s="1" t="s">
        <v>43</v>
      </c>
      <c r="C775" s="1" t="s">
        <v>61</v>
      </c>
      <c r="D775" s="1" t="s">
        <v>62</v>
      </c>
      <c r="E775" s="1" t="s">
        <v>46</v>
      </c>
      <c r="F775" s="1" t="s">
        <v>25</v>
      </c>
      <c r="G775" s="1" t="s">
        <v>18</v>
      </c>
      <c r="H775" s="1">
        <v>8085</v>
      </c>
      <c r="I775" s="1" t="s">
        <v>33</v>
      </c>
      <c r="J775" s="1">
        <v>0.3</v>
      </c>
      <c r="K775" s="1">
        <v>9000</v>
      </c>
      <c r="L775" s="2">
        <v>45348</v>
      </c>
    </row>
    <row r="776" spans="1:12" x14ac:dyDescent="0.35">
      <c r="A776" s="1" t="s">
        <v>1011</v>
      </c>
      <c r="B776" s="1" t="s">
        <v>519</v>
      </c>
      <c r="C776" s="1" t="s">
        <v>44</v>
      </c>
      <c r="D776" s="1" t="s">
        <v>45</v>
      </c>
      <c r="E776" s="1" t="s">
        <v>46</v>
      </c>
      <c r="F776" s="1" t="s">
        <v>17</v>
      </c>
      <c r="G776" s="1" t="s">
        <v>18</v>
      </c>
      <c r="H776" s="1">
        <v>13336</v>
      </c>
      <c r="I776" s="1"/>
      <c r="J776" s="1"/>
      <c r="K776" s="1">
        <v>13000</v>
      </c>
      <c r="L776" s="2">
        <v>45328</v>
      </c>
    </row>
    <row r="777" spans="1:12" x14ac:dyDescent="0.35">
      <c r="A777" s="1" t="s">
        <v>1012</v>
      </c>
      <c r="B777" s="1" t="s">
        <v>553</v>
      </c>
      <c r="C777" s="1" t="s">
        <v>14</v>
      </c>
      <c r="D777" s="1" t="s">
        <v>15</v>
      </c>
      <c r="E777" s="1" t="s">
        <v>16</v>
      </c>
      <c r="F777" s="1" t="s">
        <v>17</v>
      </c>
      <c r="G777" s="1" t="s">
        <v>36</v>
      </c>
      <c r="H777" s="1">
        <v>12708</v>
      </c>
      <c r="I777" s="1"/>
      <c r="J777" s="1"/>
      <c r="K777" s="1">
        <v>14000</v>
      </c>
      <c r="L777" s="2">
        <v>45344</v>
      </c>
    </row>
    <row r="778" spans="1:12" x14ac:dyDescent="0.35">
      <c r="A778" s="1" t="s">
        <v>1013</v>
      </c>
      <c r="B778" s="1" t="s">
        <v>260</v>
      </c>
      <c r="C778" s="1" t="s">
        <v>14</v>
      </c>
      <c r="D778" s="1" t="s">
        <v>15</v>
      </c>
      <c r="E778" s="1" t="s">
        <v>16</v>
      </c>
      <c r="F778" s="1" t="s">
        <v>39</v>
      </c>
      <c r="G778" s="1" t="s">
        <v>36</v>
      </c>
      <c r="H778" s="1">
        <v>12153</v>
      </c>
      <c r="I778" s="1" t="s">
        <v>27</v>
      </c>
      <c r="J778" s="1"/>
      <c r="K778" s="1">
        <v>14000</v>
      </c>
      <c r="L778" s="2">
        <v>45316</v>
      </c>
    </row>
    <row r="779" spans="1:12" x14ac:dyDescent="0.35">
      <c r="A779" s="1" t="s">
        <v>1014</v>
      </c>
      <c r="B779" s="1" t="s">
        <v>200</v>
      </c>
      <c r="C779" s="1" t="s">
        <v>14</v>
      </c>
      <c r="D779" s="1" t="s">
        <v>15</v>
      </c>
      <c r="E779" s="1" t="s">
        <v>46</v>
      </c>
      <c r="F779" s="1" t="s">
        <v>17</v>
      </c>
      <c r="G779" s="1" t="s">
        <v>36</v>
      </c>
      <c r="H779" s="1">
        <v>13706</v>
      </c>
      <c r="I779" s="1" t="s">
        <v>22</v>
      </c>
      <c r="J779" s="1">
        <v>0.1</v>
      </c>
      <c r="K779" s="1">
        <v>14000</v>
      </c>
      <c r="L779" s="2">
        <v>45347</v>
      </c>
    </row>
    <row r="780" spans="1:12" x14ac:dyDescent="0.35">
      <c r="A780" s="1" t="s">
        <v>1015</v>
      </c>
      <c r="B780" s="1" t="s">
        <v>294</v>
      </c>
      <c r="C780" s="1" t="s">
        <v>14</v>
      </c>
      <c r="D780" s="1" t="s">
        <v>15</v>
      </c>
      <c r="E780" s="1" t="s">
        <v>16</v>
      </c>
      <c r="F780" s="1" t="s">
        <v>39</v>
      </c>
      <c r="G780" s="1" t="s">
        <v>36</v>
      </c>
      <c r="H780" s="1">
        <v>12221</v>
      </c>
      <c r="I780" s="1" t="s">
        <v>33</v>
      </c>
      <c r="J780" s="1">
        <v>0.3</v>
      </c>
      <c r="K780" s="1">
        <v>14000</v>
      </c>
      <c r="L780" s="2">
        <v>45325</v>
      </c>
    </row>
    <row r="781" spans="1:12" x14ac:dyDescent="0.35">
      <c r="A781" s="1" t="s">
        <v>1016</v>
      </c>
      <c r="B781" s="1" t="s">
        <v>125</v>
      </c>
      <c r="C781" s="1" t="s">
        <v>44</v>
      </c>
      <c r="D781" s="1" t="s">
        <v>45</v>
      </c>
      <c r="E781" s="1" t="s">
        <v>46</v>
      </c>
      <c r="F781" s="1" t="s">
        <v>39</v>
      </c>
      <c r="G781" s="1" t="s">
        <v>26</v>
      </c>
      <c r="H781" s="1">
        <v>11904</v>
      </c>
      <c r="I781" s="1" t="s">
        <v>19</v>
      </c>
      <c r="J781" s="1">
        <v>0.2</v>
      </c>
      <c r="K781" s="1">
        <v>13000</v>
      </c>
      <c r="L781" s="2">
        <v>45295</v>
      </c>
    </row>
    <row r="782" spans="1:12" x14ac:dyDescent="0.35">
      <c r="A782" s="1" t="s">
        <v>1017</v>
      </c>
      <c r="B782" s="1" t="s">
        <v>305</v>
      </c>
      <c r="C782" s="1" t="s">
        <v>61</v>
      </c>
      <c r="D782" s="1" t="s">
        <v>62</v>
      </c>
      <c r="E782" s="1" t="s">
        <v>46</v>
      </c>
      <c r="F782" s="1" t="s">
        <v>39</v>
      </c>
      <c r="G782" s="1" t="s">
        <v>26</v>
      </c>
      <c r="H782" s="1">
        <v>9067</v>
      </c>
      <c r="I782" s="1" t="s">
        <v>22</v>
      </c>
      <c r="J782" s="1">
        <v>0.1</v>
      </c>
      <c r="K782" s="1">
        <v>9000</v>
      </c>
      <c r="L782" s="2">
        <v>45306</v>
      </c>
    </row>
    <row r="783" spans="1:12" x14ac:dyDescent="0.35">
      <c r="A783" s="1" t="s">
        <v>1018</v>
      </c>
      <c r="B783" s="1" t="s">
        <v>435</v>
      </c>
      <c r="C783" s="1" t="s">
        <v>61</v>
      </c>
      <c r="D783" s="1" t="s">
        <v>62</v>
      </c>
      <c r="E783" s="1" t="s">
        <v>32</v>
      </c>
      <c r="F783" s="1" t="s">
        <v>25</v>
      </c>
      <c r="G783" s="1" t="s">
        <v>36</v>
      </c>
      <c r="H783" s="1">
        <v>7338</v>
      </c>
      <c r="I783" s="1"/>
      <c r="J783" s="1"/>
      <c r="K783" s="1">
        <v>9000</v>
      </c>
      <c r="L783" s="2">
        <v>45328</v>
      </c>
    </row>
    <row r="784" spans="1:12" x14ac:dyDescent="0.35">
      <c r="A784" s="1" t="s">
        <v>1019</v>
      </c>
      <c r="B784" s="1" t="s">
        <v>464</v>
      </c>
      <c r="C784" s="1" t="s">
        <v>61</v>
      </c>
      <c r="D784" s="1" t="s">
        <v>62</v>
      </c>
      <c r="E784" s="1" t="s">
        <v>46</v>
      </c>
      <c r="F784" s="1" t="s">
        <v>25</v>
      </c>
      <c r="G784" s="1" t="s">
        <v>36</v>
      </c>
      <c r="H784" s="1">
        <v>9055</v>
      </c>
      <c r="I784" s="1"/>
      <c r="J784" s="1"/>
      <c r="K784" s="1">
        <v>9000</v>
      </c>
      <c r="L784" s="2">
        <v>45341</v>
      </c>
    </row>
    <row r="785" spans="1:12" x14ac:dyDescent="0.35">
      <c r="A785" s="1" t="s">
        <v>1020</v>
      </c>
      <c r="B785" s="1" t="s">
        <v>153</v>
      </c>
      <c r="C785" s="1" t="s">
        <v>44</v>
      </c>
      <c r="D785" s="1" t="s">
        <v>45</v>
      </c>
      <c r="E785" s="1" t="s">
        <v>46</v>
      </c>
      <c r="F785" s="1" t="s">
        <v>39</v>
      </c>
      <c r="G785" s="1" t="s">
        <v>18</v>
      </c>
      <c r="H785" s="1">
        <v>12998</v>
      </c>
      <c r="I785" s="1"/>
      <c r="J785" s="1"/>
      <c r="K785" s="1">
        <v>13000</v>
      </c>
      <c r="L785" s="2">
        <v>45333</v>
      </c>
    </row>
    <row r="786" spans="1:12" x14ac:dyDescent="0.35">
      <c r="A786" s="1" t="s">
        <v>1021</v>
      </c>
      <c r="B786" s="1" t="s">
        <v>519</v>
      </c>
      <c r="C786" s="1" t="s">
        <v>44</v>
      </c>
      <c r="D786" s="1" t="s">
        <v>45</v>
      </c>
      <c r="E786" s="1" t="s">
        <v>32</v>
      </c>
      <c r="F786" s="1" t="s">
        <v>25</v>
      </c>
      <c r="G786" s="1" t="s">
        <v>36</v>
      </c>
      <c r="H786" s="1">
        <v>14181</v>
      </c>
      <c r="I786" s="1"/>
      <c r="J786" s="1"/>
      <c r="K786" s="1">
        <v>13000</v>
      </c>
      <c r="L786" s="2">
        <v>45312</v>
      </c>
    </row>
    <row r="787" spans="1:12" x14ac:dyDescent="0.35">
      <c r="A787" s="1" t="s">
        <v>1022</v>
      </c>
      <c r="B787" s="1" t="s">
        <v>163</v>
      </c>
      <c r="C787" s="1" t="s">
        <v>14</v>
      </c>
      <c r="D787" s="1" t="s">
        <v>15</v>
      </c>
      <c r="E787" s="1" t="s">
        <v>32</v>
      </c>
      <c r="F787" s="1" t="s">
        <v>39</v>
      </c>
      <c r="G787" s="1" t="s">
        <v>36</v>
      </c>
      <c r="H787" s="1">
        <v>13734</v>
      </c>
      <c r="I787" s="1" t="s">
        <v>33</v>
      </c>
      <c r="J787" s="1">
        <v>0.3</v>
      </c>
      <c r="K787" s="1">
        <v>14000</v>
      </c>
      <c r="L787" s="2">
        <v>45314</v>
      </c>
    </row>
    <row r="788" spans="1:12" x14ac:dyDescent="0.35">
      <c r="A788" s="1" t="s">
        <v>1023</v>
      </c>
      <c r="B788" s="1" t="s">
        <v>391</v>
      </c>
      <c r="C788" s="1" t="s">
        <v>30</v>
      </c>
      <c r="D788" s="1" t="s">
        <v>31</v>
      </c>
      <c r="E788" s="1" t="s">
        <v>16</v>
      </c>
      <c r="F788" s="1" t="s">
        <v>39</v>
      </c>
      <c r="G788" s="1" t="s">
        <v>18</v>
      </c>
      <c r="H788" s="1">
        <v>18152</v>
      </c>
      <c r="I788" s="1" t="s">
        <v>33</v>
      </c>
      <c r="J788" s="1">
        <v>0.3</v>
      </c>
      <c r="K788" s="1">
        <v>17000</v>
      </c>
      <c r="L788" s="2">
        <v>45302</v>
      </c>
    </row>
    <row r="789" spans="1:12" x14ac:dyDescent="0.35">
      <c r="A789" s="1" t="s">
        <v>1024</v>
      </c>
      <c r="B789" s="1" t="s">
        <v>38</v>
      </c>
      <c r="C789" s="1" t="s">
        <v>61</v>
      </c>
      <c r="D789" s="1" t="s">
        <v>62</v>
      </c>
      <c r="E789" s="1" t="s">
        <v>16</v>
      </c>
      <c r="F789" s="1" t="s">
        <v>25</v>
      </c>
      <c r="G789" s="1" t="s">
        <v>36</v>
      </c>
      <c r="H789" s="1">
        <v>7183</v>
      </c>
      <c r="I789" s="1" t="s">
        <v>19</v>
      </c>
      <c r="J789" s="1">
        <v>0.2</v>
      </c>
      <c r="K789" s="1">
        <v>9000</v>
      </c>
      <c r="L789" s="2">
        <v>45304</v>
      </c>
    </row>
    <row r="790" spans="1:12" x14ac:dyDescent="0.35">
      <c r="A790" s="1" t="s">
        <v>1025</v>
      </c>
      <c r="B790" s="1" t="s">
        <v>317</v>
      </c>
      <c r="C790" s="1" t="s">
        <v>44</v>
      </c>
      <c r="D790" s="1" t="s">
        <v>45</v>
      </c>
      <c r="E790" s="1" t="s">
        <v>16</v>
      </c>
      <c r="F790" s="1" t="s">
        <v>25</v>
      </c>
      <c r="G790" s="1" t="s">
        <v>18</v>
      </c>
      <c r="H790" s="1">
        <v>14029</v>
      </c>
      <c r="I790" s="1" t="s">
        <v>22</v>
      </c>
      <c r="J790" s="1">
        <v>0.1</v>
      </c>
      <c r="K790" s="1">
        <v>13000</v>
      </c>
      <c r="L790" s="2">
        <v>45307</v>
      </c>
    </row>
    <row r="791" spans="1:12" x14ac:dyDescent="0.35">
      <c r="A791" s="1" t="s">
        <v>1026</v>
      </c>
      <c r="B791" s="1" t="s">
        <v>373</v>
      </c>
      <c r="C791" s="1" t="s">
        <v>30</v>
      </c>
      <c r="D791" s="1" t="s">
        <v>31</v>
      </c>
      <c r="E791" s="1" t="s">
        <v>32</v>
      </c>
      <c r="F791" s="1" t="s">
        <v>17</v>
      </c>
      <c r="G791" s="1" t="s">
        <v>26</v>
      </c>
      <c r="H791" s="1">
        <v>18294</v>
      </c>
      <c r="I791" s="1" t="s">
        <v>22</v>
      </c>
      <c r="J791" s="1">
        <v>0.1</v>
      </c>
      <c r="K791" s="1">
        <v>17000</v>
      </c>
      <c r="L791" s="2">
        <v>45311</v>
      </c>
    </row>
    <row r="792" spans="1:12" x14ac:dyDescent="0.35">
      <c r="A792" s="1" t="s">
        <v>1027</v>
      </c>
      <c r="B792" s="1" t="s">
        <v>231</v>
      </c>
      <c r="C792" s="1" t="s">
        <v>14</v>
      </c>
      <c r="D792" s="1" t="s">
        <v>15</v>
      </c>
      <c r="E792" s="1" t="s">
        <v>46</v>
      </c>
      <c r="F792" s="1" t="s">
        <v>25</v>
      </c>
      <c r="G792" s="1" t="s">
        <v>26</v>
      </c>
      <c r="H792" s="1">
        <v>14203</v>
      </c>
      <c r="I792" s="1" t="s">
        <v>19</v>
      </c>
      <c r="J792" s="1">
        <v>0.2</v>
      </c>
      <c r="K792" s="1">
        <v>14000</v>
      </c>
      <c r="L792" s="2">
        <v>45305</v>
      </c>
    </row>
    <row r="793" spans="1:12" x14ac:dyDescent="0.35">
      <c r="A793" s="1" t="s">
        <v>1028</v>
      </c>
      <c r="B793" s="1" t="s">
        <v>168</v>
      </c>
      <c r="C793" s="1" t="s">
        <v>30</v>
      </c>
      <c r="D793" s="1" t="s">
        <v>31</v>
      </c>
      <c r="E793" s="1" t="s">
        <v>16</v>
      </c>
      <c r="F793" s="1" t="s">
        <v>17</v>
      </c>
      <c r="G793" s="1" t="s">
        <v>26</v>
      </c>
      <c r="H793" s="1">
        <v>17989</v>
      </c>
      <c r="I793" s="1" t="s">
        <v>19</v>
      </c>
      <c r="J793" s="1">
        <v>0.2</v>
      </c>
      <c r="K793" s="1">
        <v>17000</v>
      </c>
      <c r="L793" s="2">
        <v>45336</v>
      </c>
    </row>
    <row r="794" spans="1:12" x14ac:dyDescent="0.35">
      <c r="A794" s="1" t="s">
        <v>1029</v>
      </c>
      <c r="B794" s="1" t="s">
        <v>765</v>
      </c>
      <c r="C794" s="1" t="s">
        <v>14</v>
      </c>
      <c r="D794" s="1" t="s">
        <v>15</v>
      </c>
      <c r="E794" s="1" t="s">
        <v>46</v>
      </c>
      <c r="F794" s="1" t="s">
        <v>39</v>
      </c>
      <c r="G794" s="1" t="s">
        <v>26</v>
      </c>
      <c r="H794" s="1">
        <v>14157</v>
      </c>
      <c r="I794" s="1" t="s">
        <v>22</v>
      </c>
      <c r="J794" s="1">
        <v>0.1</v>
      </c>
      <c r="K794" s="1">
        <v>14000</v>
      </c>
      <c r="L794" s="2">
        <v>45308</v>
      </c>
    </row>
    <row r="795" spans="1:12" x14ac:dyDescent="0.35">
      <c r="A795" s="1" t="s">
        <v>1030</v>
      </c>
      <c r="B795" s="1" t="s">
        <v>557</v>
      </c>
      <c r="C795" s="1" t="s">
        <v>30</v>
      </c>
      <c r="D795" s="1" t="s">
        <v>31</v>
      </c>
      <c r="E795" s="1" t="s">
        <v>32</v>
      </c>
      <c r="F795" s="1" t="s">
        <v>39</v>
      </c>
      <c r="G795" s="1" t="s">
        <v>26</v>
      </c>
      <c r="H795" s="1">
        <v>16111</v>
      </c>
      <c r="I795" s="1" t="s">
        <v>22</v>
      </c>
      <c r="J795" s="1">
        <v>0.1</v>
      </c>
      <c r="K795" s="1">
        <v>17000</v>
      </c>
      <c r="L795" s="2">
        <v>45321</v>
      </c>
    </row>
    <row r="796" spans="1:12" x14ac:dyDescent="0.35">
      <c r="A796" s="1" t="s">
        <v>1031</v>
      </c>
      <c r="B796" s="1" t="s">
        <v>1032</v>
      </c>
      <c r="C796" s="1" t="s">
        <v>14</v>
      </c>
      <c r="D796" s="1" t="s">
        <v>15</v>
      </c>
      <c r="E796" s="1" t="s">
        <v>46</v>
      </c>
      <c r="F796" s="1" t="s">
        <v>39</v>
      </c>
      <c r="G796" s="1" t="s">
        <v>36</v>
      </c>
      <c r="H796" s="1">
        <v>14715</v>
      </c>
      <c r="I796" s="1" t="s">
        <v>33</v>
      </c>
      <c r="J796" s="1">
        <v>0.3</v>
      </c>
      <c r="K796" s="1">
        <v>14000</v>
      </c>
      <c r="L796" s="2">
        <v>45347</v>
      </c>
    </row>
    <row r="797" spans="1:12" x14ac:dyDescent="0.35">
      <c r="A797" s="1" t="s">
        <v>1033</v>
      </c>
      <c r="B797" s="1" t="s">
        <v>43</v>
      </c>
      <c r="C797" s="1" t="s">
        <v>30</v>
      </c>
      <c r="D797" s="1" t="s">
        <v>31</v>
      </c>
      <c r="E797" s="1" t="s">
        <v>16</v>
      </c>
      <c r="F797" s="1" t="s">
        <v>17</v>
      </c>
      <c r="G797" s="1" t="s">
        <v>18</v>
      </c>
      <c r="H797" s="1">
        <v>16559</v>
      </c>
      <c r="I797" s="1" t="s">
        <v>27</v>
      </c>
      <c r="J797" s="1"/>
      <c r="K797" s="1">
        <v>17000</v>
      </c>
      <c r="L797" s="2">
        <v>45337</v>
      </c>
    </row>
    <row r="798" spans="1:12" x14ac:dyDescent="0.35">
      <c r="A798" s="1" t="s">
        <v>1034</v>
      </c>
      <c r="B798" s="1" t="s">
        <v>432</v>
      </c>
      <c r="C798" s="1" t="s">
        <v>61</v>
      </c>
      <c r="D798" s="1" t="s">
        <v>62</v>
      </c>
      <c r="E798" s="1" t="s">
        <v>16</v>
      </c>
      <c r="F798" s="1" t="s">
        <v>39</v>
      </c>
      <c r="G798" s="1" t="s">
        <v>18</v>
      </c>
      <c r="H798" s="1">
        <v>7763</v>
      </c>
      <c r="I798" s="1" t="s">
        <v>19</v>
      </c>
      <c r="J798" s="1">
        <v>0.2</v>
      </c>
      <c r="K798" s="1">
        <v>9000</v>
      </c>
      <c r="L798" s="2">
        <v>45324</v>
      </c>
    </row>
    <row r="799" spans="1:12" x14ac:dyDescent="0.35">
      <c r="A799" s="1" t="s">
        <v>1035</v>
      </c>
      <c r="B799" s="1" t="s">
        <v>330</v>
      </c>
      <c r="C799" s="1" t="s">
        <v>14</v>
      </c>
      <c r="D799" s="1" t="s">
        <v>15</v>
      </c>
      <c r="E799" s="1" t="s">
        <v>32</v>
      </c>
      <c r="F799" s="1" t="s">
        <v>25</v>
      </c>
      <c r="G799" s="1" t="s">
        <v>26</v>
      </c>
      <c r="H799" s="1">
        <v>13248</v>
      </c>
      <c r="I799" s="1" t="s">
        <v>33</v>
      </c>
      <c r="J799" s="1">
        <v>0.3</v>
      </c>
      <c r="K799" s="1">
        <v>14000</v>
      </c>
      <c r="L799" s="2">
        <v>45323</v>
      </c>
    </row>
    <row r="800" spans="1:12" x14ac:dyDescent="0.35">
      <c r="A800" s="1" t="s">
        <v>1036</v>
      </c>
      <c r="B800" s="1" t="s">
        <v>101</v>
      </c>
      <c r="C800" s="1" t="s">
        <v>44</v>
      </c>
      <c r="D800" s="1" t="s">
        <v>45</v>
      </c>
      <c r="E800" s="1" t="s">
        <v>32</v>
      </c>
      <c r="F800" s="1" t="s">
        <v>17</v>
      </c>
      <c r="G800" s="1" t="s">
        <v>26</v>
      </c>
      <c r="H800" s="1">
        <v>12441</v>
      </c>
      <c r="I800" s="1" t="s">
        <v>33</v>
      </c>
      <c r="J800" s="1">
        <v>0.3</v>
      </c>
      <c r="K800" s="1">
        <v>13000</v>
      </c>
      <c r="L800" s="2">
        <v>45332</v>
      </c>
    </row>
    <row r="801" spans="1:12" x14ac:dyDescent="0.35">
      <c r="A801" s="1" t="s">
        <v>1037</v>
      </c>
      <c r="B801" s="1" t="s">
        <v>289</v>
      </c>
      <c r="C801" s="1" t="s">
        <v>30</v>
      </c>
      <c r="D801" s="1" t="s">
        <v>31</v>
      </c>
      <c r="E801" s="1" t="s">
        <v>32</v>
      </c>
      <c r="F801" s="1" t="s">
        <v>39</v>
      </c>
      <c r="G801" s="1" t="s">
        <v>36</v>
      </c>
      <c r="H801" s="1">
        <v>18599</v>
      </c>
      <c r="I801" s="1"/>
      <c r="J801" s="1"/>
      <c r="K801" s="1">
        <v>17000</v>
      </c>
      <c r="L801" s="2">
        <v>45348</v>
      </c>
    </row>
    <row r="802" spans="1:12" x14ac:dyDescent="0.35">
      <c r="A802" s="1" t="s">
        <v>1038</v>
      </c>
      <c r="B802" s="1" t="s">
        <v>676</v>
      </c>
      <c r="C802" s="1" t="s">
        <v>30</v>
      </c>
      <c r="D802" s="1" t="s">
        <v>31</v>
      </c>
      <c r="E802" s="1" t="s">
        <v>32</v>
      </c>
      <c r="F802" s="1" t="s">
        <v>25</v>
      </c>
      <c r="G802" s="1" t="s">
        <v>36</v>
      </c>
      <c r="H802" s="1">
        <v>18674</v>
      </c>
      <c r="I802" s="1"/>
      <c r="J802" s="1"/>
      <c r="K802" s="1">
        <v>17000</v>
      </c>
      <c r="L802" s="2">
        <v>45334</v>
      </c>
    </row>
    <row r="803" spans="1:12" x14ac:dyDescent="0.35">
      <c r="A803" s="1" t="s">
        <v>1039</v>
      </c>
      <c r="B803" s="1" t="s">
        <v>325</v>
      </c>
      <c r="C803" s="1" t="s">
        <v>61</v>
      </c>
      <c r="D803" s="1" t="s">
        <v>62</v>
      </c>
      <c r="E803" s="1" t="s">
        <v>16</v>
      </c>
      <c r="F803" s="1" t="s">
        <v>39</v>
      </c>
      <c r="G803" s="1" t="s">
        <v>26</v>
      </c>
      <c r="H803" s="1">
        <v>10574</v>
      </c>
      <c r="I803" s="1" t="s">
        <v>19</v>
      </c>
      <c r="J803" s="1">
        <v>0.2</v>
      </c>
      <c r="K803" s="1">
        <v>9000</v>
      </c>
      <c r="L803" s="2">
        <v>45318</v>
      </c>
    </row>
    <row r="804" spans="1:12" x14ac:dyDescent="0.35">
      <c r="A804" s="1" t="s">
        <v>1040</v>
      </c>
      <c r="B804" s="1" t="s">
        <v>56</v>
      </c>
      <c r="C804" s="1" t="s">
        <v>44</v>
      </c>
      <c r="D804" s="1" t="s">
        <v>45</v>
      </c>
      <c r="E804" s="1" t="s">
        <v>46</v>
      </c>
      <c r="F804" s="1" t="s">
        <v>17</v>
      </c>
      <c r="G804" s="1" t="s">
        <v>26</v>
      </c>
      <c r="H804" s="1">
        <v>12348</v>
      </c>
      <c r="I804" s="1"/>
      <c r="J804" s="1"/>
      <c r="K804" s="1">
        <v>13000</v>
      </c>
      <c r="L804" s="2">
        <v>45326</v>
      </c>
    </row>
    <row r="805" spans="1:12" x14ac:dyDescent="0.35">
      <c r="A805" s="1" t="s">
        <v>1041</v>
      </c>
      <c r="B805" s="1" t="s">
        <v>35</v>
      </c>
      <c r="C805" s="1" t="s">
        <v>44</v>
      </c>
      <c r="D805" s="1" t="s">
        <v>45</v>
      </c>
      <c r="E805" s="1" t="s">
        <v>16</v>
      </c>
      <c r="F805" s="1" t="s">
        <v>39</v>
      </c>
      <c r="G805" s="1" t="s">
        <v>26</v>
      </c>
      <c r="H805" s="1">
        <v>14277</v>
      </c>
      <c r="I805" s="1" t="s">
        <v>19</v>
      </c>
      <c r="J805" s="1">
        <v>0.2</v>
      </c>
      <c r="K805" s="1">
        <v>13000</v>
      </c>
      <c r="L805" s="2">
        <v>45347</v>
      </c>
    </row>
    <row r="806" spans="1:12" x14ac:dyDescent="0.35">
      <c r="A806" s="1" t="s">
        <v>1042</v>
      </c>
      <c r="B806" s="1" t="s">
        <v>256</v>
      </c>
      <c r="C806" s="1" t="s">
        <v>44</v>
      </c>
      <c r="D806" s="1" t="s">
        <v>45</v>
      </c>
      <c r="E806" s="1" t="s">
        <v>46</v>
      </c>
      <c r="F806" s="1" t="s">
        <v>25</v>
      </c>
      <c r="G806" s="1" t="s">
        <v>26</v>
      </c>
      <c r="H806" s="1">
        <v>14821</v>
      </c>
      <c r="I806" s="1" t="s">
        <v>27</v>
      </c>
      <c r="J806" s="1"/>
      <c r="K806" s="1">
        <v>13000</v>
      </c>
      <c r="L806" s="2">
        <v>45350</v>
      </c>
    </row>
    <row r="807" spans="1:12" x14ac:dyDescent="0.35">
      <c r="A807" s="1" t="s">
        <v>1043</v>
      </c>
      <c r="B807" s="1" t="s">
        <v>74</v>
      </c>
      <c r="C807" s="1" t="s">
        <v>14</v>
      </c>
      <c r="D807" s="1" t="s">
        <v>15</v>
      </c>
      <c r="E807" s="1" t="s">
        <v>16</v>
      </c>
      <c r="F807" s="1" t="s">
        <v>39</v>
      </c>
      <c r="G807" s="1" t="s">
        <v>26</v>
      </c>
      <c r="H807" s="1">
        <v>12484</v>
      </c>
      <c r="I807" s="1" t="s">
        <v>19</v>
      </c>
      <c r="J807" s="1">
        <v>0.2</v>
      </c>
      <c r="K807" s="1">
        <v>14000</v>
      </c>
      <c r="L807" s="2">
        <v>45312</v>
      </c>
    </row>
    <row r="808" spans="1:12" x14ac:dyDescent="0.35">
      <c r="A808" s="1" t="s">
        <v>1044</v>
      </c>
      <c r="B808" s="1" t="s">
        <v>412</v>
      </c>
      <c r="C808" s="1" t="s">
        <v>14</v>
      </c>
      <c r="D808" s="1" t="s">
        <v>15</v>
      </c>
      <c r="E808" s="1" t="s">
        <v>46</v>
      </c>
      <c r="F808" s="1" t="s">
        <v>17</v>
      </c>
      <c r="G808" s="1" t="s">
        <v>36</v>
      </c>
      <c r="H808" s="1">
        <v>13242</v>
      </c>
      <c r="I808" s="1"/>
      <c r="J808" s="1"/>
      <c r="K808" s="1">
        <v>14000</v>
      </c>
      <c r="L808" s="2">
        <v>45339</v>
      </c>
    </row>
    <row r="809" spans="1:12" x14ac:dyDescent="0.35">
      <c r="A809" s="1" t="s">
        <v>1045</v>
      </c>
      <c r="B809" s="1" t="s">
        <v>454</v>
      </c>
      <c r="C809" s="1" t="s">
        <v>30</v>
      </c>
      <c r="D809" s="1" t="s">
        <v>31</v>
      </c>
      <c r="E809" s="1" t="s">
        <v>32</v>
      </c>
      <c r="F809" s="1" t="s">
        <v>25</v>
      </c>
      <c r="G809" s="1" t="s">
        <v>18</v>
      </c>
      <c r="H809" s="1">
        <v>15538</v>
      </c>
      <c r="I809" s="1" t="s">
        <v>19</v>
      </c>
      <c r="J809" s="1">
        <v>0.2</v>
      </c>
      <c r="K809" s="1">
        <v>17000</v>
      </c>
      <c r="L809" s="2">
        <v>45293</v>
      </c>
    </row>
    <row r="810" spans="1:12" x14ac:dyDescent="0.35">
      <c r="A810" s="1" t="s">
        <v>1046</v>
      </c>
      <c r="B810" s="1" t="s">
        <v>522</v>
      </c>
      <c r="C810" s="1" t="s">
        <v>30</v>
      </c>
      <c r="D810" s="1" t="s">
        <v>31</v>
      </c>
      <c r="E810" s="1" t="s">
        <v>16</v>
      </c>
      <c r="F810" s="1" t="s">
        <v>39</v>
      </c>
      <c r="G810" s="1" t="s">
        <v>26</v>
      </c>
      <c r="H810" s="1">
        <v>15945</v>
      </c>
      <c r="I810" s="1" t="s">
        <v>27</v>
      </c>
      <c r="J810" s="1"/>
      <c r="K810" s="1">
        <v>17000</v>
      </c>
      <c r="L810" s="2">
        <v>45306</v>
      </c>
    </row>
    <row r="811" spans="1:12" x14ac:dyDescent="0.35">
      <c r="A811" s="1" t="s">
        <v>1047</v>
      </c>
      <c r="B811" s="1" t="s">
        <v>817</v>
      </c>
      <c r="C811" s="1" t="s">
        <v>14</v>
      </c>
      <c r="D811" s="1" t="s">
        <v>15</v>
      </c>
      <c r="E811" s="1" t="s">
        <v>46</v>
      </c>
      <c r="F811" s="1" t="s">
        <v>25</v>
      </c>
      <c r="G811" s="1" t="s">
        <v>26</v>
      </c>
      <c r="H811" s="1">
        <v>15194</v>
      </c>
      <c r="I811" s="1"/>
      <c r="J811" s="1"/>
      <c r="K811" s="1">
        <v>14000</v>
      </c>
      <c r="L811" s="2">
        <v>45300</v>
      </c>
    </row>
    <row r="812" spans="1:12" x14ac:dyDescent="0.35">
      <c r="A812" s="1" t="s">
        <v>1048</v>
      </c>
      <c r="B812" s="1" t="s">
        <v>105</v>
      </c>
      <c r="C812" s="1" t="s">
        <v>61</v>
      </c>
      <c r="D812" s="1" t="s">
        <v>62</v>
      </c>
      <c r="E812" s="1" t="s">
        <v>16</v>
      </c>
      <c r="F812" s="1" t="s">
        <v>39</v>
      </c>
      <c r="G812" s="1" t="s">
        <v>36</v>
      </c>
      <c r="H812" s="1">
        <v>7753</v>
      </c>
      <c r="I812" s="1"/>
      <c r="J812" s="1"/>
      <c r="K812" s="1">
        <v>9000</v>
      </c>
      <c r="L812" s="2">
        <v>45323</v>
      </c>
    </row>
    <row r="813" spans="1:12" x14ac:dyDescent="0.35">
      <c r="A813" s="1" t="s">
        <v>1049</v>
      </c>
      <c r="B813" s="1" t="s">
        <v>508</v>
      </c>
      <c r="C813" s="1" t="s">
        <v>44</v>
      </c>
      <c r="D813" s="1" t="s">
        <v>45</v>
      </c>
      <c r="E813" s="1" t="s">
        <v>32</v>
      </c>
      <c r="F813" s="1" t="s">
        <v>25</v>
      </c>
      <c r="G813" s="1" t="s">
        <v>18</v>
      </c>
      <c r="H813" s="1">
        <v>12673</v>
      </c>
      <c r="I813" s="1" t="s">
        <v>22</v>
      </c>
      <c r="J813" s="1">
        <v>0.1</v>
      </c>
      <c r="K813" s="1">
        <v>13000</v>
      </c>
      <c r="L813" s="2">
        <v>45351</v>
      </c>
    </row>
    <row r="814" spans="1:12" x14ac:dyDescent="0.35">
      <c r="A814" s="1" t="s">
        <v>1050</v>
      </c>
      <c r="B814" s="1" t="s">
        <v>70</v>
      </c>
      <c r="C814" s="1" t="s">
        <v>44</v>
      </c>
      <c r="D814" s="1" t="s">
        <v>45</v>
      </c>
      <c r="E814" s="1" t="s">
        <v>16</v>
      </c>
      <c r="F814" s="1" t="s">
        <v>39</v>
      </c>
      <c r="G814" s="1" t="s">
        <v>18</v>
      </c>
      <c r="H814" s="1">
        <v>14103</v>
      </c>
      <c r="I814" s="1" t="s">
        <v>19</v>
      </c>
      <c r="J814" s="1">
        <v>0.2</v>
      </c>
      <c r="K814" s="1">
        <v>13000</v>
      </c>
      <c r="L814" s="2">
        <v>45296</v>
      </c>
    </row>
    <row r="815" spans="1:12" x14ac:dyDescent="0.35">
      <c r="A815" s="1" t="s">
        <v>1051</v>
      </c>
      <c r="B815" s="1" t="s">
        <v>429</v>
      </c>
      <c r="C815" s="1" t="s">
        <v>61</v>
      </c>
      <c r="D815" s="1" t="s">
        <v>62</v>
      </c>
      <c r="E815" s="1" t="s">
        <v>16</v>
      </c>
      <c r="F815" s="1" t="s">
        <v>17</v>
      </c>
      <c r="G815" s="1" t="s">
        <v>36</v>
      </c>
      <c r="H815" s="1">
        <v>10635</v>
      </c>
      <c r="I815" s="1" t="s">
        <v>19</v>
      </c>
      <c r="J815" s="1">
        <v>0.2</v>
      </c>
      <c r="K815" s="1">
        <v>9000</v>
      </c>
      <c r="L815" s="2">
        <v>45319</v>
      </c>
    </row>
    <row r="816" spans="1:12" x14ac:dyDescent="0.35">
      <c r="A816" s="1" t="s">
        <v>1052</v>
      </c>
      <c r="B816" s="1" t="s">
        <v>155</v>
      </c>
      <c r="C816" s="1" t="s">
        <v>14</v>
      </c>
      <c r="D816" s="1" t="s">
        <v>15</v>
      </c>
      <c r="E816" s="1" t="s">
        <v>16</v>
      </c>
      <c r="F816" s="1" t="s">
        <v>39</v>
      </c>
      <c r="G816" s="1" t="s">
        <v>36</v>
      </c>
      <c r="H816" s="1">
        <v>14949</v>
      </c>
      <c r="I816" s="1" t="s">
        <v>33</v>
      </c>
      <c r="J816" s="1">
        <v>0.3</v>
      </c>
      <c r="K816" s="1">
        <v>14000</v>
      </c>
      <c r="L816" s="2">
        <v>45317</v>
      </c>
    </row>
    <row r="817" spans="1:12" x14ac:dyDescent="0.35">
      <c r="A817" s="1" t="s">
        <v>1053</v>
      </c>
      <c r="B817" s="1" t="s">
        <v>233</v>
      </c>
      <c r="C817" s="1" t="s">
        <v>14</v>
      </c>
      <c r="D817" s="1" t="s">
        <v>15</v>
      </c>
      <c r="E817" s="1" t="s">
        <v>16</v>
      </c>
      <c r="F817" s="1" t="s">
        <v>25</v>
      </c>
      <c r="G817" s="1" t="s">
        <v>36</v>
      </c>
      <c r="H817" s="1">
        <v>13871</v>
      </c>
      <c r="I817" s="1" t="s">
        <v>22</v>
      </c>
      <c r="J817" s="1">
        <v>0.1</v>
      </c>
      <c r="K817" s="1">
        <v>14000</v>
      </c>
      <c r="L817" s="2">
        <v>45348</v>
      </c>
    </row>
    <row r="818" spans="1:12" x14ac:dyDescent="0.35">
      <c r="A818" s="1" t="s">
        <v>1054</v>
      </c>
      <c r="B818" s="1" t="s">
        <v>24</v>
      </c>
      <c r="C818" s="1" t="s">
        <v>61</v>
      </c>
      <c r="D818" s="1" t="s">
        <v>62</v>
      </c>
      <c r="E818" s="1" t="s">
        <v>16</v>
      </c>
      <c r="F818" s="1" t="s">
        <v>25</v>
      </c>
      <c r="G818" s="1" t="s">
        <v>26</v>
      </c>
      <c r="H818" s="1">
        <v>8586</v>
      </c>
      <c r="I818" s="1" t="s">
        <v>27</v>
      </c>
      <c r="J818" s="1"/>
      <c r="K818" s="1">
        <v>9000</v>
      </c>
      <c r="L818" s="2">
        <v>45340</v>
      </c>
    </row>
    <row r="819" spans="1:12" x14ac:dyDescent="0.35">
      <c r="A819" s="1" t="s">
        <v>1055</v>
      </c>
      <c r="B819" s="1" t="s">
        <v>1032</v>
      </c>
      <c r="C819" s="1" t="s">
        <v>44</v>
      </c>
      <c r="D819" s="1" t="s">
        <v>45</v>
      </c>
      <c r="E819" s="1" t="s">
        <v>46</v>
      </c>
      <c r="F819" s="1" t="s">
        <v>17</v>
      </c>
      <c r="G819" s="1" t="s">
        <v>36</v>
      </c>
      <c r="H819" s="1">
        <v>14622</v>
      </c>
      <c r="I819" s="1" t="s">
        <v>33</v>
      </c>
      <c r="J819" s="1">
        <v>0.3</v>
      </c>
      <c r="K819" s="1">
        <v>13000</v>
      </c>
      <c r="L819" s="2">
        <v>45341</v>
      </c>
    </row>
    <row r="820" spans="1:12" x14ac:dyDescent="0.35">
      <c r="A820" s="1" t="s">
        <v>1056</v>
      </c>
      <c r="B820" s="1" t="s">
        <v>643</v>
      </c>
      <c r="C820" s="1" t="s">
        <v>61</v>
      </c>
      <c r="D820" s="1" t="s">
        <v>62</v>
      </c>
      <c r="E820" s="1" t="s">
        <v>32</v>
      </c>
      <c r="F820" s="1" t="s">
        <v>17</v>
      </c>
      <c r="G820" s="1" t="s">
        <v>36</v>
      </c>
      <c r="H820" s="1">
        <v>9511</v>
      </c>
      <c r="I820" s="1" t="s">
        <v>22</v>
      </c>
      <c r="J820" s="1">
        <v>0.1</v>
      </c>
      <c r="K820" s="1">
        <v>9000</v>
      </c>
      <c r="L820" s="2">
        <v>45336</v>
      </c>
    </row>
    <row r="821" spans="1:12" x14ac:dyDescent="0.35">
      <c r="A821" s="1" t="s">
        <v>1057</v>
      </c>
      <c r="B821" s="1" t="s">
        <v>80</v>
      </c>
      <c r="C821" s="1" t="s">
        <v>61</v>
      </c>
      <c r="D821" s="1" t="s">
        <v>62</v>
      </c>
      <c r="E821" s="1" t="s">
        <v>16</v>
      </c>
      <c r="F821" s="1" t="s">
        <v>17</v>
      </c>
      <c r="G821" s="1" t="s">
        <v>18</v>
      </c>
      <c r="H821" s="1">
        <v>9959</v>
      </c>
      <c r="I821" s="1" t="s">
        <v>27</v>
      </c>
      <c r="J821" s="1"/>
      <c r="K821" s="1">
        <v>9000</v>
      </c>
      <c r="L821" s="2">
        <v>45299</v>
      </c>
    </row>
    <row r="822" spans="1:12" x14ac:dyDescent="0.35">
      <c r="A822" s="1" t="s">
        <v>1058</v>
      </c>
      <c r="B822" s="1" t="s">
        <v>135</v>
      </c>
      <c r="C822" s="1" t="s">
        <v>44</v>
      </c>
      <c r="D822" s="1" t="s">
        <v>45</v>
      </c>
      <c r="E822" s="1" t="s">
        <v>46</v>
      </c>
      <c r="F822" s="1" t="s">
        <v>17</v>
      </c>
      <c r="G822" s="1" t="s">
        <v>36</v>
      </c>
      <c r="H822" s="1">
        <v>12846</v>
      </c>
      <c r="I822" s="1" t="s">
        <v>22</v>
      </c>
      <c r="J822" s="1">
        <v>0.1</v>
      </c>
      <c r="K822" s="1">
        <v>13000</v>
      </c>
      <c r="L822" s="2">
        <v>45303</v>
      </c>
    </row>
    <row r="823" spans="1:12" x14ac:dyDescent="0.35">
      <c r="A823" s="1" t="s">
        <v>1059</v>
      </c>
      <c r="B823" s="1" t="s">
        <v>600</v>
      </c>
      <c r="C823" s="1" t="s">
        <v>44</v>
      </c>
      <c r="D823" s="1" t="s">
        <v>45</v>
      </c>
      <c r="E823" s="1" t="s">
        <v>46</v>
      </c>
      <c r="F823" s="1" t="s">
        <v>25</v>
      </c>
      <c r="G823" s="1" t="s">
        <v>36</v>
      </c>
      <c r="H823" s="1">
        <v>12327</v>
      </c>
      <c r="I823" s="1" t="s">
        <v>19</v>
      </c>
      <c r="J823" s="1">
        <v>0.2</v>
      </c>
      <c r="K823" s="1">
        <v>13000</v>
      </c>
      <c r="L823" s="2">
        <v>45337</v>
      </c>
    </row>
    <row r="824" spans="1:12" x14ac:dyDescent="0.35">
      <c r="A824" s="1" t="s">
        <v>1060</v>
      </c>
      <c r="B824" s="1" t="s">
        <v>1000</v>
      </c>
      <c r="C824" s="1" t="s">
        <v>14</v>
      </c>
      <c r="D824" s="1" t="s">
        <v>15</v>
      </c>
      <c r="E824" s="1" t="s">
        <v>32</v>
      </c>
      <c r="F824" s="1" t="s">
        <v>39</v>
      </c>
      <c r="G824" s="1" t="s">
        <v>36</v>
      </c>
      <c r="H824" s="1">
        <v>14597</v>
      </c>
      <c r="I824" s="1" t="s">
        <v>33</v>
      </c>
      <c r="J824" s="1">
        <v>0.3</v>
      </c>
      <c r="K824" s="1">
        <v>14000</v>
      </c>
      <c r="L824" s="2">
        <v>45297</v>
      </c>
    </row>
    <row r="825" spans="1:12" x14ac:dyDescent="0.35">
      <c r="A825" s="1" t="s">
        <v>1061</v>
      </c>
      <c r="B825" s="1" t="s">
        <v>548</v>
      </c>
      <c r="C825" s="1" t="s">
        <v>61</v>
      </c>
      <c r="D825" s="1" t="s">
        <v>62</v>
      </c>
      <c r="E825" s="1" t="s">
        <v>16</v>
      </c>
      <c r="F825" s="1" t="s">
        <v>39</v>
      </c>
      <c r="G825" s="1" t="s">
        <v>26</v>
      </c>
      <c r="H825" s="1">
        <v>10890</v>
      </c>
      <c r="I825" s="1" t="s">
        <v>19</v>
      </c>
      <c r="J825" s="1">
        <v>0.2</v>
      </c>
      <c r="K825" s="1">
        <v>9000</v>
      </c>
      <c r="L825" s="2">
        <v>45316</v>
      </c>
    </row>
    <row r="826" spans="1:12" x14ac:dyDescent="0.35">
      <c r="A826" s="1" t="s">
        <v>1062</v>
      </c>
      <c r="B826" s="1" t="s">
        <v>388</v>
      </c>
      <c r="C826" s="1" t="s">
        <v>14</v>
      </c>
      <c r="D826" s="1" t="s">
        <v>15</v>
      </c>
      <c r="E826" s="1" t="s">
        <v>32</v>
      </c>
      <c r="F826" s="1" t="s">
        <v>17</v>
      </c>
      <c r="G826" s="1" t="s">
        <v>26</v>
      </c>
      <c r="H826" s="1">
        <v>15568</v>
      </c>
      <c r="I826" s="1" t="s">
        <v>19</v>
      </c>
      <c r="J826" s="1">
        <v>0.2</v>
      </c>
      <c r="K826" s="1">
        <v>14000</v>
      </c>
      <c r="L826" s="2">
        <v>45302</v>
      </c>
    </row>
    <row r="827" spans="1:12" x14ac:dyDescent="0.35">
      <c r="A827" s="1" t="s">
        <v>1063</v>
      </c>
      <c r="B827" s="1" t="s">
        <v>412</v>
      </c>
      <c r="C827" s="1" t="s">
        <v>44</v>
      </c>
      <c r="D827" s="1" t="s">
        <v>45</v>
      </c>
      <c r="E827" s="1" t="s">
        <v>16</v>
      </c>
      <c r="F827" s="1" t="s">
        <v>25</v>
      </c>
      <c r="G827" s="1" t="s">
        <v>36</v>
      </c>
      <c r="H827" s="1">
        <v>12261</v>
      </c>
      <c r="I827" s="1" t="s">
        <v>33</v>
      </c>
      <c r="J827" s="1">
        <v>0.3</v>
      </c>
      <c r="K827" s="1">
        <v>13000</v>
      </c>
      <c r="L827" s="2">
        <v>45338</v>
      </c>
    </row>
    <row r="828" spans="1:12" x14ac:dyDescent="0.35">
      <c r="A828" s="1" t="s">
        <v>1064</v>
      </c>
      <c r="B828" s="1" t="s">
        <v>298</v>
      </c>
      <c r="C828" s="1" t="s">
        <v>30</v>
      </c>
      <c r="D828" s="1" t="s">
        <v>31</v>
      </c>
      <c r="E828" s="1" t="s">
        <v>16</v>
      </c>
      <c r="F828" s="1" t="s">
        <v>25</v>
      </c>
      <c r="G828" s="1" t="s">
        <v>18</v>
      </c>
      <c r="H828" s="1">
        <v>18680</v>
      </c>
      <c r="I828" s="1" t="s">
        <v>19</v>
      </c>
      <c r="J828" s="1">
        <v>0.2</v>
      </c>
      <c r="K828" s="1">
        <v>17000</v>
      </c>
      <c r="L828" s="2">
        <v>45304</v>
      </c>
    </row>
    <row r="829" spans="1:12" x14ac:dyDescent="0.35">
      <c r="A829" s="1" t="s">
        <v>1065</v>
      </c>
      <c r="B829" s="1" t="s">
        <v>109</v>
      </c>
      <c r="C829" s="1" t="s">
        <v>30</v>
      </c>
      <c r="D829" s="1" t="s">
        <v>31</v>
      </c>
      <c r="E829" s="1" t="s">
        <v>32</v>
      </c>
      <c r="F829" s="1" t="s">
        <v>17</v>
      </c>
      <c r="G829" s="1" t="s">
        <v>36</v>
      </c>
      <c r="H829" s="1">
        <v>18503</v>
      </c>
      <c r="I829" s="1"/>
      <c r="J829" s="1"/>
      <c r="K829" s="1">
        <v>17000</v>
      </c>
      <c r="L829" s="2">
        <v>45326</v>
      </c>
    </row>
    <row r="830" spans="1:12" x14ac:dyDescent="0.35">
      <c r="A830" s="1" t="s">
        <v>1066</v>
      </c>
      <c r="B830" s="1" t="s">
        <v>64</v>
      </c>
      <c r="C830" s="1" t="s">
        <v>61</v>
      </c>
      <c r="D830" s="1" t="s">
        <v>62</v>
      </c>
      <c r="E830" s="1" t="s">
        <v>32</v>
      </c>
      <c r="F830" s="1" t="s">
        <v>25</v>
      </c>
      <c r="G830" s="1" t="s">
        <v>26</v>
      </c>
      <c r="H830" s="1">
        <v>9701</v>
      </c>
      <c r="I830" s="1"/>
      <c r="J830" s="1"/>
      <c r="K830" s="1">
        <v>9000</v>
      </c>
      <c r="L830" s="2">
        <v>45321</v>
      </c>
    </row>
    <row r="831" spans="1:12" x14ac:dyDescent="0.35">
      <c r="A831" s="1" t="s">
        <v>1067</v>
      </c>
      <c r="B831" s="1" t="s">
        <v>527</v>
      </c>
      <c r="C831" s="1" t="s">
        <v>14</v>
      </c>
      <c r="D831" s="1" t="s">
        <v>15</v>
      </c>
      <c r="E831" s="1" t="s">
        <v>16</v>
      </c>
      <c r="F831" s="1" t="s">
        <v>39</v>
      </c>
      <c r="G831" s="1" t="s">
        <v>18</v>
      </c>
      <c r="H831" s="1">
        <v>13002</v>
      </c>
      <c r="I831" s="1" t="s">
        <v>27</v>
      </c>
      <c r="J831" s="1"/>
      <c r="K831" s="1">
        <v>14000</v>
      </c>
      <c r="L831" s="2">
        <v>45309</v>
      </c>
    </row>
    <row r="832" spans="1:12" x14ac:dyDescent="0.35">
      <c r="A832" s="1" t="s">
        <v>1068</v>
      </c>
      <c r="B832" s="1" t="s">
        <v>209</v>
      </c>
      <c r="C832" s="1" t="s">
        <v>44</v>
      </c>
      <c r="D832" s="1" t="s">
        <v>45</v>
      </c>
      <c r="E832" s="1" t="s">
        <v>32</v>
      </c>
      <c r="F832" s="1" t="s">
        <v>25</v>
      </c>
      <c r="G832" s="1" t="s">
        <v>18</v>
      </c>
      <c r="H832" s="1">
        <v>11225</v>
      </c>
      <c r="I832" s="1" t="s">
        <v>33</v>
      </c>
      <c r="J832" s="1">
        <v>0.3</v>
      </c>
      <c r="K832" s="1">
        <v>13000</v>
      </c>
      <c r="L832" s="2">
        <v>45294</v>
      </c>
    </row>
    <row r="833" spans="1:12" x14ac:dyDescent="0.35">
      <c r="A833" s="1" t="s">
        <v>1069</v>
      </c>
      <c r="B833" s="1" t="s">
        <v>619</v>
      </c>
      <c r="C833" s="1" t="s">
        <v>14</v>
      </c>
      <c r="D833" s="1" t="s">
        <v>15</v>
      </c>
      <c r="E833" s="1" t="s">
        <v>16</v>
      </c>
      <c r="F833" s="1" t="s">
        <v>39</v>
      </c>
      <c r="G833" s="1" t="s">
        <v>26</v>
      </c>
      <c r="H833" s="1">
        <v>13222</v>
      </c>
      <c r="I833" s="1" t="s">
        <v>33</v>
      </c>
      <c r="J833" s="1">
        <v>0.3</v>
      </c>
      <c r="K833" s="1">
        <v>14000</v>
      </c>
      <c r="L833" s="2">
        <v>45350</v>
      </c>
    </row>
    <row r="834" spans="1:12" x14ac:dyDescent="0.35">
      <c r="A834" s="1" t="s">
        <v>1070</v>
      </c>
      <c r="B834" s="1" t="s">
        <v>43</v>
      </c>
      <c r="C834" s="1" t="s">
        <v>14</v>
      </c>
      <c r="D834" s="1" t="s">
        <v>15</v>
      </c>
      <c r="E834" s="1" t="s">
        <v>46</v>
      </c>
      <c r="F834" s="1" t="s">
        <v>25</v>
      </c>
      <c r="G834" s="1" t="s">
        <v>18</v>
      </c>
      <c r="H834" s="1">
        <v>14752</v>
      </c>
      <c r="I834" s="1" t="s">
        <v>33</v>
      </c>
      <c r="J834" s="1">
        <v>0.3</v>
      </c>
      <c r="K834" s="1">
        <v>14000</v>
      </c>
      <c r="L834" s="2">
        <v>45331</v>
      </c>
    </row>
    <row r="835" spans="1:12" x14ac:dyDescent="0.35">
      <c r="A835" s="1" t="s">
        <v>1071</v>
      </c>
      <c r="B835" s="1" t="s">
        <v>305</v>
      </c>
      <c r="C835" s="1" t="s">
        <v>44</v>
      </c>
      <c r="D835" s="1" t="s">
        <v>45</v>
      </c>
      <c r="E835" s="1" t="s">
        <v>46</v>
      </c>
      <c r="F835" s="1" t="s">
        <v>39</v>
      </c>
      <c r="G835" s="1" t="s">
        <v>26</v>
      </c>
      <c r="H835" s="1">
        <v>12475</v>
      </c>
      <c r="I835" s="1" t="s">
        <v>22</v>
      </c>
      <c r="J835" s="1">
        <v>0.1</v>
      </c>
      <c r="K835" s="1">
        <v>13000</v>
      </c>
      <c r="L835" s="2">
        <v>45297</v>
      </c>
    </row>
    <row r="836" spans="1:12" x14ac:dyDescent="0.35">
      <c r="A836" s="1" t="s">
        <v>1072</v>
      </c>
      <c r="B836" s="1" t="s">
        <v>1073</v>
      </c>
      <c r="C836" s="1" t="s">
        <v>30</v>
      </c>
      <c r="D836" s="1" t="s">
        <v>31</v>
      </c>
      <c r="E836" s="1" t="s">
        <v>46</v>
      </c>
      <c r="F836" s="1" t="s">
        <v>17</v>
      </c>
      <c r="G836" s="1" t="s">
        <v>18</v>
      </c>
      <c r="H836" s="1">
        <v>18106</v>
      </c>
      <c r="I836" s="1"/>
      <c r="J836" s="1"/>
      <c r="K836" s="1">
        <v>17000</v>
      </c>
      <c r="L836" s="2">
        <v>45345</v>
      </c>
    </row>
    <row r="837" spans="1:12" x14ac:dyDescent="0.35">
      <c r="A837" s="1" t="s">
        <v>1074</v>
      </c>
      <c r="B837" s="1" t="s">
        <v>905</v>
      </c>
      <c r="C837" s="1" t="s">
        <v>30</v>
      </c>
      <c r="D837" s="1" t="s">
        <v>31</v>
      </c>
      <c r="E837" s="1" t="s">
        <v>46</v>
      </c>
      <c r="F837" s="1" t="s">
        <v>25</v>
      </c>
      <c r="G837" s="1" t="s">
        <v>18</v>
      </c>
      <c r="H837" s="1">
        <v>17845</v>
      </c>
      <c r="I837" s="1" t="s">
        <v>33</v>
      </c>
      <c r="J837" s="1">
        <v>0.3</v>
      </c>
      <c r="K837" s="1">
        <v>17000</v>
      </c>
      <c r="L837" s="2">
        <v>45313</v>
      </c>
    </row>
    <row r="838" spans="1:12" x14ac:dyDescent="0.35">
      <c r="A838" s="1" t="s">
        <v>1075</v>
      </c>
      <c r="B838" s="1" t="s">
        <v>388</v>
      </c>
      <c r="C838" s="1" t="s">
        <v>44</v>
      </c>
      <c r="D838" s="1" t="s">
        <v>45</v>
      </c>
      <c r="E838" s="1" t="s">
        <v>16</v>
      </c>
      <c r="F838" s="1" t="s">
        <v>25</v>
      </c>
      <c r="G838" s="1" t="s">
        <v>26</v>
      </c>
      <c r="H838" s="1">
        <v>11238</v>
      </c>
      <c r="I838" s="1" t="s">
        <v>22</v>
      </c>
      <c r="J838" s="1">
        <v>0.1</v>
      </c>
      <c r="K838" s="1">
        <v>13000</v>
      </c>
      <c r="L838" s="2">
        <v>45328</v>
      </c>
    </row>
    <row r="839" spans="1:12" x14ac:dyDescent="0.35">
      <c r="A839" s="1" t="s">
        <v>1076</v>
      </c>
      <c r="B839" s="1" t="s">
        <v>765</v>
      </c>
      <c r="C839" s="1" t="s">
        <v>14</v>
      </c>
      <c r="D839" s="1" t="s">
        <v>15</v>
      </c>
      <c r="E839" s="1" t="s">
        <v>46</v>
      </c>
      <c r="F839" s="1" t="s">
        <v>39</v>
      </c>
      <c r="G839" s="1" t="s">
        <v>26</v>
      </c>
      <c r="H839" s="1">
        <v>14477</v>
      </c>
      <c r="I839" s="1" t="s">
        <v>33</v>
      </c>
      <c r="J839" s="1">
        <v>0.3</v>
      </c>
      <c r="K839" s="1">
        <v>14000</v>
      </c>
      <c r="L839" s="2">
        <v>45319</v>
      </c>
    </row>
    <row r="840" spans="1:12" x14ac:dyDescent="0.35">
      <c r="A840" s="1" t="s">
        <v>1077</v>
      </c>
      <c r="B840" s="1" t="s">
        <v>837</v>
      </c>
      <c r="C840" s="1" t="s">
        <v>30</v>
      </c>
      <c r="D840" s="1" t="s">
        <v>31</v>
      </c>
      <c r="E840" s="1" t="s">
        <v>46</v>
      </c>
      <c r="F840" s="1" t="s">
        <v>39</v>
      </c>
      <c r="G840" s="1" t="s">
        <v>26</v>
      </c>
      <c r="H840" s="1">
        <v>17552</v>
      </c>
      <c r="I840" s="1" t="s">
        <v>33</v>
      </c>
      <c r="J840" s="1">
        <v>0.3</v>
      </c>
      <c r="K840" s="1">
        <v>17000</v>
      </c>
      <c r="L840" s="2">
        <v>45351</v>
      </c>
    </row>
    <row r="841" spans="1:12" x14ac:dyDescent="0.35">
      <c r="A841" s="1" t="s">
        <v>1078</v>
      </c>
      <c r="B841" s="1" t="s">
        <v>720</v>
      </c>
      <c r="C841" s="1" t="s">
        <v>61</v>
      </c>
      <c r="D841" s="1" t="s">
        <v>62</v>
      </c>
      <c r="E841" s="1" t="s">
        <v>16</v>
      </c>
      <c r="F841" s="1" t="s">
        <v>39</v>
      </c>
      <c r="G841" s="1" t="s">
        <v>26</v>
      </c>
      <c r="H841" s="1">
        <v>9038</v>
      </c>
      <c r="I841" s="1"/>
      <c r="J841" s="1"/>
      <c r="K841" s="1">
        <v>9000</v>
      </c>
      <c r="L841" s="2">
        <v>45343</v>
      </c>
    </row>
    <row r="842" spans="1:12" x14ac:dyDescent="0.35">
      <c r="A842" s="1" t="s">
        <v>1079</v>
      </c>
      <c r="B842" s="1" t="s">
        <v>720</v>
      </c>
      <c r="C842" s="1" t="s">
        <v>44</v>
      </c>
      <c r="D842" s="1" t="s">
        <v>45</v>
      </c>
      <c r="E842" s="1" t="s">
        <v>16</v>
      </c>
      <c r="F842" s="1" t="s">
        <v>17</v>
      </c>
      <c r="G842" s="1" t="s">
        <v>18</v>
      </c>
      <c r="H842" s="1">
        <v>11006</v>
      </c>
      <c r="I842" s="1" t="s">
        <v>22</v>
      </c>
      <c r="J842" s="1">
        <v>0.1</v>
      </c>
      <c r="K842" s="1">
        <v>13000</v>
      </c>
      <c r="L842" s="2">
        <v>45293</v>
      </c>
    </row>
    <row r="843" spans="1:12" x14ac:dyDescent="0.35">
      <c r="A843" s="1" t="s">
        <v>1080</v>
      </c>
      <c r="B843" s="1" t="s">
        <v>332</v>
      </c>
      <c r="C843" s="1" t="s">
        <v>14</v>
      </c>
      <c r="D843" s="1" t="s">
        <v>15</v>
      </c>
      <c r="E843" s="1" t="s">
        <v>16</v>
      </c>
      <c r="F843" s="1" t="s">
        <v>25</v>
      </c>
      <c r="G843" s="1" t="s">
        <v>26</v>
      </c>
      <c r="H843" s="1">
        <v>13698</v>
      </c>
      <c r="I843" s="1"/>
      <c r="J843" s="1"/>
      <c r="K843" s="1">
        <v>14000</v>
      </c>
      <c r="L843" s="2">
        <v>45294</v>
      </c>
    </row>
    <row r="844" spans="1:12" x14ac:dyDescent="0.35">
      <c r="A844" s="1" t="s">
        <v>1081</v>
      </c>
      <c r="B844" s="1" t="s">
        <v>282</v>
      </c>
      <c r="C844" s="1" t="s">
        <v>44</v>
      </c>
      <c r="D844" s="1" t="s">
        <v>45</v>
      </c>
      <c r="E844" s="1" t="s">
        <v>32</v>
      </c>
      <c r="F844" s="1" t="s">
        <v>39</v>
      </c>
      <c r="G844" s="1" t="s">
        <v>18</v>
      </c>
      <c r="H844" s="1">
        <v>13826</v>
      </c>
      <c r="I844" s="1" t="s">
        <v>33</v>
      </c>
      <c r="J844" s="1">
        <v>0.3</v>
      </c>
      <c r="K844" s="1">
        <v>13000</v>
      </c>
      <c r="L844" s="2">
        <v>45308</v>
      </c>
    </row>
    <row r="845" spans="1:12" x14ac:dyDescent="0.35">
      <c r="A845" s="1" t="s">
        <v>1082</v>
      </c>
      <c r="B845" s="1" t="s">
        <v>652</v>
      </c>
      <c r="C845" s="1" t="s">
        <v>30</v>
      </c>
      <c r="D845" s="1" t="s">
        <v>31</v>
      </c>
      <c r="E845" s="1" t="s">
        <v>46</v>
      </c>
      <c r="F845" s="1" t="s">
        <v>39</v>
      </c>
      <c r="G845" s="1" t="s">
        <v>26</v>
      </c>
      <c r="H845" s="1">
        <v>16326</v>
      </c>
      <c r="I845" s="1" t="s">
        <v>22</v>
      </c>
      <c r="J845" s="1">
        <v>0.1</v>
      </c>
      <c r="K845" s="1">
        <v>17000</v>
      </c>
      <c r="L845" s="2">
        <v>45299</v>
      </c>
    </row>
    <row r="846" spans="1:12" x14ac:dyDescent="0.35">
      <c r="A846" s="1" t="s">
        <v>1083</v>
      </c>
      <c r="B846" s="1" t="s">
        <v>317</v>
      </c>
      <c r="C846" s="1" t="s">
        <v>30</v>
      </c>
      <c r="D846" s="1" t="s">
        <v>31</v>
      </c>
      <c r="E846" s="1" t="s">
        <v>46</v>
      </c>
      <c r="F846" s="1" t="s">
        <v>39</v>
      </c>
      <c r="G846" s="1" t="s">
        <v>26</v>
      </c>
      <c r="H846" s="1">
        <v>17523</v>
      </c>
      <c r="I846" s="1" t="s">
        <v>22</v>
      </c>
      <c r="J846" s="1">
        <v>0.1</v>
      </c>
      <c r="K846" s="1">
        <v>17000</v>
      </c>
      <c r="L846" s="2">
        <v>45345</v>
      </c>
    </row>
    <row r="847" spans="1:12" x14ac:dyDescent="0.35">
      <c r="A847" s="1" t="s">
        <v>1084</v>
      </c>
      <c r="B847" s="1" t="s">
        <v>35</v>
      </c>
      <c r="C847" s="1" t="s">
        <v>30</v>
      </c>
      <c r="D847" s="1" t="s">
        <v>31</v>
      </c>
      <c r="E847" s="1" t="s">
        <v>46</v>
      </c>
      <c r="F847" s="1" t="s">
        <v>39</v>
      </c>
      <c r="G847" s="1" t="s">
        <v>36</v>
      </c>
      <c r="H847" s="1">
        <v>18752</v>
      </c>
      <c r="I847" s="1"/>
      <c r="J847" s="1"/>
      <c r="K847" s="1">
        <v>17000</v>
      </c>
      <c r="L847" s="2">
        <v>45343</v>
      </c>
    </row>
    <row r="848" spans="1:12" x14ac:dyDescent="0.35">
      <c r="A848" s="1" t="s">
        <v>1085</v>
      </c>
      <c r="B848" s="1" t="s">
        <v>68</v>
      </c>
      <c r="C848" s="1" t="s">
        <v>44</v>
      </c>
      <c r="D848" s="1" t="s">
        <v>45</v>
      </c>
      <c r="E848" s="1" t="s">
        <v>46</v>
      </c>
      <c r="F848" s="1" t="s">
        <v>25</v>
      </c>
      <c r="G848" s="1" t="s">
        <v>26</v>
      </c>
      <c r="H848" s="1">
        <v>12886</v>
      </c>
      <c r="I848" s="1" t="s">
        <v>27</v>
      </c>
      <c r="J848" s="1"/>
      <c r="K848" s="1">
        <v>13000</v>
      </c>
      <c r="L848" s="2">
        <v>45349</v>
      </c>
    </row>
    <row r="849" spans="1:12" x14ac:dyDescent="0.35">
      <c r="A849" s="1" t="s">
        <v>1086</v>
      </c>
      <c r="B849" s="1" t="s">
        <v>802</v>
      </c>
      <c r="C849" s="1" t="s">
        <v>61</v>
      </c>
      <c r="D849" s="1" t="s">
        <v>62</v>
      </c>
      <c r="E849" s="1" t="s">
        <v>16</v>
      </c>
      <c r="F849" s="1" t="s">
        <v>25</v>
      </c>
      <c r="G849" s="1" t="s">
        <v>26</v>
      </c>
      <c r="H849" s="1">
        <v>8226</v>
      </c>
      <c r="I849" s="1" t="s">
        <v>27</v>
      </c>
      <c r="J849" s="1"/>
      <c r="K849" s="1">
        <v>9000</v>
      </c>
      <c r="L849" s="2">
        <v>45338</v>
      </c>
    </row>
    <row r="850" spans="1:12" x14ac:dyDescent="0.35">
      <c r="A850" s="1" t="s">
        <v>1087</v>
      </c>
      <c r="B850" s="1" t="s">
        <v>317</v>
      </c>
      <c r="C850" s="1" t="s">
        <v>14</v>
      </c>
      <c r="D850" s="1" t="s">
        <v>15</v>
      </c>
      <c r="E850" s="1" t="s">
        <v>32</v>
      </c>
      <c r="F850" s="1" t="s">
        <v>39</v>
      </c>
      <c r="G850" s="1" t="s">
        <v>26</v>
      </c>
      <c r="H850" s="1">
        <v>13358</v>
      </c>
      <c r="I850" s="1" t="s">
        <v>33</v>
      </c>
      <c r="J850" s="1">
        <v>0.3</v>
      </c>
      <c r="K850" s="1">
        <v>14000</v>
      </c>
      <c r="L850" s="2">
        <v>45296</v>
      </c>
    </row>
    <row r="851" spans="1:12" x14ac:dyDescent="0.35">
      <c r="A851" s="1" t="s">
        <v>1088</v>
      </c>
      <c r="B851" s="1" t="s">
        <v>256</v>
      </c>
      <c r="C851" s="1" t="s">
        <v>14</v>
      </c>
      <c r="D851" s="1" t="s">
        <v>15</v>
      </c>
      <c r="E851" s="1" t="s">
        <v>46</v>
      </c>
      <c r="F851" s="1" t="s">
        <v>17</v>
      </c>
      <c r="G851" s="1" t="s">
        <v>26</v>
      </c>
      <c r="H851" s="1">
        <v>14188</v>
      </c>
      <c r="I851" s="1" t="s">
        <v>19</v>
      </c>
      <c r="J851" s="1">
        <v>0.2</v>
      </c>
      <c r="K851" s="1">
        <v>14000</v>
      </c>
      <c r="L851" s="2">
        <v>45328</v>
      </c>
    </row>
    <row r="852" spans="1:12" x14ac:dyDescent="0.35">
      <c r="A852" s="1" t="s">
        <v>1089</v>
      </c>
      <c r="B852" s="1" t="s">
        <v>337</v>
      </c>
      <c r="C852" s="1" t="s">
        <v>44</v>
      </c>
      <c r="D852" s="1" t="s">
        <v>45</v>
      </c>
      <c r="E852" s="1" t="s">
        <v>16</v>
      </c>
      <c r="F852" s="1" t="s">
        <v>25</v>
      </c>
      <c r="G852" s="1" t="s">
        <v>36</v>
      </c>
      <c r="H852" s="1">
        <v>13888</v>
      </c>
      <c r="I852" s="1" t="s">
        <v>33</v>
      </c>
      <c r="J852" s="1">
        <v>0.3</v>
      </c>
      <c r="K852" s="1">
        <v>13000</v>
      </c>
      <c r="L852" s="2">
        <v>45337</v>
      </c>
    </row>
    <row r="853" spans="1:12" x14ac:dyDescent="0.35">
      <c r="A853" s="1" t="s">
        <v>1090</v>
      </c>
      <c r="B853" s="1" t="s">
        <v>584</v>
      </c>
      <c r="C853" s="1" t="s">
        <v>61</v>
      </c>
      <c r="D853" s="1" t="s">
        <v>62</v>
      </c>
      <c r="E853" s="1" t="s">
        <v>32</v>
      </c>
      <c r="F853" s="1" t="s">
        <v>17</v>
      </c>
      <c r="G853" s="1" t="s">
        <v>18</v>
      </c>
      <c r="H853" s="1">
        <v>8522</v>
      </c>
      <c r="I853" s="1"/>
      <c r="J853" s="1"/>
      <c r="K853" s="1">
        <v>9000</v>
      </c>
      <c r="L853" s="2">
        <v>45345</v>
      </c>
    </row>
    <row r="854" spans="1:12" x14ac:dyDescent="0.35">
      <c r="A854" s="1" t="s">
        <v>1091</v>
      </c>
      <c r="B854" s="1" t="s">
        <v>289</v>
      </c>
      <c r="C854" s="1" t="s">
        <v>30</v>
      </c>
      <c r="D854" s="1" t="s">
        <v>31</v>
      </c>
      <c r="E854" s="1" t="s">
        <v>32</v>
      </c>
      <c r="F854" s="1" t="s">
        <v>25</v>
      </c>
      <c r="G854" s="1" t="s">
        <v>36</v>
      </c>
      <c r="H854" s="1">
        <v>18215</v>
      </c>
      <c r="I854" s="1" t="s">
        <v>22</v>
      </c>
      <c r="J854" s="1">
        <v>0.1</v>
      </c>
      <c r="K854" s="1">
        <v>17000</v>
      </c>
      <c r="L854" s="2">
        <v>45341</v>
      </c>
    </row>
    <row r="855" spans="1:12" x14ac:dyDescent="0.35">
      <c r="A855" s="1" t="s">
        <v>1092</v>
      </c>
      <c r="B855" s="1" t="s">
        <v>229</v>
      </c>
      <c r="C855" s="1" t="s">
        <v>61</v>
      </c>
      <c r="D855" s="1" t="s">
        <v>62</v>
      </c>
      <c r="E855" s="1" t="s">
        <v>16</v>
      </c>
      <c r="F855" s="1" t="s">
        <v>25</v>
      </c>
      <c r="G855" s="1" t="s">
        <v>36</v>
      </c>
      <c r="H855" s="1">
        <v>10706</v>
      </c>
      <c r="I855" s="1" t="s">
        <v>27</v>
      </c>
      <c r="J855" s="1"/>
      <c r="K855" s="1">
        <v>9000</v>
      </c>
      <c r="L855" s="2">
        <v>45301</v>
      </c>
    </row>
    <row r="856" spans="1:12" x14ac:dyDescent="0.35">
      <c r="A856" s="1" t="s">
        <v>1093</v>
      </c>
      <c r="B856" s="1" t="s">
        <v>391</v>
      </c>
      <c r="C856" s="1" t="s">
        <v>61</v>
      </c>
      <c r="D856" s="1" t="s">
        <v>62</v>
      </c>
      <c r="E856" s="1" t="s">
        <v>16</v>
      </c>
      <c r="F856" s="1" t="s">
        <v>39</v>
      </c>
      <c r="G856" s="1" t="s">
        <v>36</v>
      </c>
      <c r="H856" s="1">
        <v>10176</v>
      </c>
      <c r="I856" s="1" t="s">
        <v>33</v>
      </c>
      <c r="J856" s="1">
        <v>0.3</v>
      </c>
      <c r="K856" s="1">
        <v>9000</v>
      </c>
      <c r="L856" s="2">
        <v>45301</v>
      </c>
    </row>
    <row r="857" spans="1:12" x14ac:dyDescent="0.35">
      <c r="A857" s="1" t="s">
        <v>1094</v>
      </c>
      <c r="B857" s="1" t="s">
        <v>140</v>
      </c>
      <c r="C857" s="1" t="s">
        <v>14</v>
      </c>
      <c r="D857" s="1" t="s">
        <v>15</v>
      </c>
      <c r="E857" s="1" t="s">
        <v>16</v>
      </c>
      <c r="F857" s="1" t="s">
        <v>39</v>
      </c>
      <c r="G857" s="1" t="s">
        <v>18</v>
      </c>
      <c r="H857" s="1">
        <v>12840</v>
      </c>
      <c r="I857" s="1" t="s">
        <v>22</v>
      </c>
      <c r="J857" s="1">
        <v>0.1</v>
      </c>
      <c r="K857" s="1">
        <v>14000</v>
      </c>
      <c r="L857" s="2">
        <v>45321</v>
      </c>
    </row>
    <row r="858" spans="1:12" x14ac:dyDescent="0.35">
      <c r="A858" s="1" t="s">
        <v>1095</v>
      </c>
      <c r="B858" s="1" t="s">
        <v>101</v>
      </c>
      <c r="C858" s="1" t="s">
        <v>14</v>
      </c>
      <c r="D858" s="1" t="s">
        <v>15</v>
      </c>
      <c r="E858" s="1" t="s">
        <v>32</v>
      </c>
      <c r="F858" s="1" t="s">
        <v>17</v>
      </c>
      <c r="G858" s="1" t="s">
        <v>18</v>
      </c>
      <c r="H858" s="1">
        <v>14814</v>
      </c>
      <c r="I858" s="1" t="s">
        <v>27</v>
      </c>
      <c r="J858" s="1"/>
      <c r="K858" s="1">
        <v>14000</v>
      </c>
      <c r="L858" s="2">
        <v>45347</v>
      </c>
    </row>
    <row r="859" spans="1:12" x14ac:dyDescent="0.35">
      <c r="A859" s="1" t="s">
        <v>1096</v>
      </c>
      <c r="B859" s="1" t="s">
        <v>432</v>
      </c>
      <c r="C859" s="1" t="s">
        <v>61</v>
      </c>
      <c r="D859" s="1" t="s">
        <v>62</v>
      </c>
      <c r="E859" s="1" t="s">
        <v>32</v>
      </c>
      <c r="F859" s="1" t="s">
        <v>25</v>
      </c>
      <c r="G859" s="1" t="s">
        <v>26</v>
      </c>
      <c r="H859" s="1">
        <v>10138</v>
      </c>
      <c r="I859" s="1" t="s">
        <v>33</v>
      </c>
      <c r="J859" s="1">
        <v>0.3</v>
      </c>
      <c r="K859" s="1">
        <v>9000</v>
      </c>
      <c r="L859" s="2">
        <v>45293</v>
      </c>
    </row>
    <row r="860" spans="1:12" x14ac:dyDescent="0.35">
      <c r="A860" s="1" t="s">
        <v>1097</v>
      </c>
      <c r="B860" s="1" t="s">
        <v>579</v>
      </c>
      <c r="C860" s="1" t="s">
        <v>30</v>
      </c>
      <c r="D860" s="1" t="s">
        <v>31</v>
      </c>
      <c r="E860" s="1" t="s">
        <v>16</v>
      </c>
      <c r="F860" s="1" t="s">
        <v>25</v>
      </c>
      <c r="G860" s="1" t="s">
        <v>36</v>
      </c>
      <c r="H860" s="1">
        <v>15821</v>
      </c>
      <c r="I860" s="1" t="s">
        <v>19</v>
      </c>
      <c r="J860" s="1">
        <v>0.2</v>
      </c>
      <c r="K860" s="1">
        <v>17000</v>
      </c>
      <c r="L860" s="2">
        <v>45310</v>
      </c>
    </row>
    <row r="861" spans="1:12" x14ac:dyDescent="0.35">
      <c r="A861" s="1" t="s">
        <v>1098</v>
      </c>
      <c r="B861" s="1" t="s">
        <v>307</v>
      </c>
      <c r="C861" s="1" t="s">
        <v>30</v>
      </c>
      <c r="D861" s="1" t="s">
        <v>31</v>
      </c>
      <c r="E861" s="1" t="s">
        <v>46</v>
      </c>
      <c r="F861" s="1" t="s">
        <v>39</v>
      </c>
      <c r="G861" s="1" t="s">
        <v>18</v>
      </c>
      <c r="H861" s="1">
        <v>16116</v>
      </c>
      <c r="I861" s="1" t="s">
        <v>19</v>
      </c>
      <c r="J861" s="1">
        <v>0.2</v>
      </c>
      <c r="K861" s="1">
        <v>17000</v>
      </c>
      <c r="L861" s="2">
        <v>45302</v>
      </c>
    </row>
    <row r="862" spans="1:12" x14ac:dyDescent="0.35">
      <c r="A862" s="1" t="s">
        <v>1099</v>
      </c>
      <c r="B862" s="1" t="s">
        <v>222</v>
      </c>
      <c r="C862" s="1" t="s">
        <v>14</v>
      </c>
      <c r="D862" s="1" t="s">
        <v>15</v>
      </c>
      <c r="E862" s="1" t="s">
        <v>16</v>
      </c>
      <c r="F862" s="1" t="s">
        <v>39</v>
      </c>
      <c r="G862" s="1" t="s">
        <v>26</v>
      </c>
      <c r="H862" s="1">
        <v>12419</v>
      </c>
      <c r="I862" s="1" t="s">
        <v>19</v>
      </c>
      <c r="J862" s="1">
        <v>0.2</v>
      </c>
      <c r="K862" s="1">
        <v>14000</v>
      </c>
      <c r="L862" s="2">
        <v>45326</v>
      </c>
    </row>
    <row r="863" spans="1:12" x14ac:dyDescent="0.35">
      <c r="A863" s="1" t="s">
        <v>1100</v>
      </c>
      <c r="B863" s="1" t="s">
        <v>301</v>
      </c>
      <c r="C863" s="1" t="s">
        <v>30</v>
      </c>
      <c r="D863" s="1" t="s">
        <v>31</v>
      </c>
      <c r="E863" s="1" t="s">
        <v>46</v>
      </c>
      <c r="F863" s="1" t="s">
        <v>25</v>
      </c>
      <c r="G863" s="1" t="s">
        <v>26</v>
      </c>
      <c r="H863" s="1">
        <v>18293</v>
      </c>
      <c r="I863" s="1" t="s">
        <v>33</v>
      </c>
      <c r="J863" s="1">
        <v>0.3</v>
      </c>
      <c r="K863" s="1">
        <v>17000</v>
      </c>
      <c r="L863" s="2">
        <v>45328</v>
      </c>
    </row>
    <row r="864" spans="1:12" x14ac:dyDescent="0.35">
      <c r="A864" s="1" t="s">
        <v>1101</v>
      </c>
      <c r="B864" s="1" t="s">
        <v>235</v>
      </c>
      <c r="C864" s="1" t="s">
        <v>14</v>
      </c>
      <c r="D864" s="1" t="s">
        <v>15</v>
      </c>
      <c r="E864" s="1" t="s">
        <v>46</v>
      </c>
      <c r="F864" s="1" t="s">
        <v>39</v>
      </c>
      <c r="G864" s="1" t="s">
        <v>36</v>
      </c>
      <c r="H864" s="1">
        <v>14214</v>
      </c>
      <c r="I864" s="1"/>
      <c r="J864" s="1"/>
      <c r="K864" s="1">
        <v>14000</v>
      </c>
      <c r="L864" s="2">
        <v>45295</v>
      </c>
    </row>
    <row r="865" spans="1:12" x14ac:dyDescent="0.35">
      <c r="A865" s="1" t="s">
        <v>1102</v>
      </c>
      <c r="B865" s="1" t="s">
        <v>557</v>
      </c>
      <c r="C865" s="1" t="s">
        <v>61</v>
      </c>
      <c r="D865" s="1" t="s">
        <v>62</v>
      </c>
      <c r="E865" s="1" t="s">
        <v>16</v>
      </c>
      <c r="F865" s="1" t="s">
        <v>25</v>
      </c>
      <c r="G865" s="1" t="s">
        <v>18</v>
      </c>
      <c r="H865" s="1">
        <v>8571</v>
      </c>
      <c r="I865" s="1" t="s">
        <v>22</v>
      </c>
      <c r="J865" s="1">
        <v>0.1</v>
      </c>
      <c r="K865" s="1">
        <v>9000</v>
      </c>
      <c r="L865" s="2">
        <v>45297</v>
      </c>
    </row>
    <row r="866" spans="1:12" x14ac:dyDescent="0.35">
      <c r="A866" s="1" t="s">
        <v>1103</v>
      </c>
      <c r="B866" s="1" t="s">
        <v>177</v>
      </c>
      <c r="C866" s="1" t="s">
        <v>44</v>
      </c>
      <c r="D866" s="1" t="s">
        <v>45</v>
      </c>
      <c r="E866" s="1" t="s">
        <v>16</v>
      </c>
      <c r="F866" s="1" t="s">
        <v>39</v>
      </c>
      <c r="G866" s="1" t="s">
        <v>26</v>
      </c>
      <c r="H866" s="1">
        <v>13578</v>
      </c>
      <c r="I866" s="1"/>
      <c r="J866" s="1"/>
      <c r="K866" s="1">
        <v>13000</v>
      </c>
      <c r="L866" s="2">
        <v>45331</v>
      </c>
    </row>
    <row r="867" spans="1:12" x14ac:dyDescent="0.35">
      <c r="A867" s="1" t="s">
        <v>1104</v>
      </c>
      <c r="B867" s="1" t="s">
        <v>1105</v>
      </c>
      <c r="C867" s="1" t="s">
        <v>30</v>
      </c>
      <c r="D867" s="1" t="s">
        <v>31</v>
      </c>
      <c r="E867" s="1" t="s">
        <v>32</v>
      </c>
      <c r="F867" s="1" t="s">
        <v>39</v>
      </c>
      <c r="G867" s="1" t="s">
        <v>26</v>
      </c>
      <c r="H867" s="1">
        <v>18314</v>
      </c>
      <c r="I867" s="1" t="s">
        <v>27</v>
      </c>
      <c r="J867" s="1"/>
      <c r="K867" s="1">
        <v>17000</v>
      </c>
      <c r="L867" s="2">
        <v>45297</v>
      </c>
    </row>
    <row r="868" spans="1:12" x14ac:dyDescent="0.35">
      <c r="A868" s="1" t="s">
        <v>1106</v>
      </c>
      <c r="B868" s="1" t="s">
        <v>148</v>
      </c>
      <c r="C868" s="1" t="s">
        <v>61</v>
      </c>
      <c r="D868" s="1" t="s">
        <v>62</v>
      </c>
      <c r="E868" s="1" t="s">
        <v>16</v>
      </c>
      <c r="F868" s="1" t="s">
        <v>25</v>
      </c>
      <c r="G868" s="1" t="s">
        <v>18</v>
      </c>
      <c r="H868" s="1">
        <v>10329</v>
      </c>
      <c r="I868" s="1"/>
      <c r="J868" s="1"/>
      <c r="K868" s="1">
        <v>9000</v>
      </c>
      <c r="L868" s="2">
        <v>45298</v>
      </c>
    </row>
    <row r="869" spans="1:12" x14ac:dyDescent="0.35">
      <c r="A869" s="1" t="s">
        <v>1107</v>
      </c>
      <c r="B869" s="1" t="s">
        <v>123</v>
      </c>
      <c r="C869" s="1" t="s">
        <v>61</v>
      </c>
      <c r="D869" s="1" t="s">
        <v>62</v>
      </c>
      <c r="E869" s="1" t="s">
        <v>46</v>
      </c>
      <c r="F869" s="1" t="s">
        <v>25</v>
      </c>
      <c r="G869" s="1" t="s">
        <v>18</v>
      </c>
      <c r="H869" s="1">
        <v>7588</v>
      </c>
      <c r="I869" s="1" t="s">
        <v>27</v>
      </c>
      <c r="J869" s="1"/>
      <c r="K869" s="1">
        <v>9000</v>
      </c>
      <c r="L869" s="2">
        <v>45308</v>
      </c>
    </row>
    <row r="870" spans="1:12" x14ac:dyDescent="0.35">
      <c r="A870" s="1" t="s">
        <v>1108</v>
      </c>
      <c r="B870" s="1" t="s">
        <v>827</v>
      </c>
      <c r="C870" s="1" t="s">
        <v>61</v>
      </c>
      <c r="D870" s="1" t="s">
        <v>62</v>
      </c>
      <c r="E870" s="1" t="s">
        <v>32</v>
      </c>
      <c r="F870" s="1" t="s">
        <v>39</v>
      </c>
      <c r="G870" s="1" t="s">
        <v>26</v>
      </c>
      <c r="H870" s="1">
        <v>8353</v>
      </c>
      <c r="I870" s="1" t="s">
        <v>33</v>
      </c>
      <c r="J870" s="1">
        <v>0.3</v>
      </c>
      <c r="K870" s="1">
        <v>9000</v>
      </c>
      <c r="L870" s="2">
        <v>45321</v>
      </c>
    </row>
    <row r="871" spans="1:12" x14ac:dyDescent="0.35">
      <c r="A871" s="1" t="s">
        <v>1109</v>
      </c>
      <c r="B871" s="1" t="s">
        <v>711</v>
      </c>
      <c r="C871" s="1" t="s">
        <v>14</v>
      </c>
      <c r="D871" s="1" t="s">
        <v>15</v>
      </c>
      <c r="E871" s="1" t="s">
        <v>46</v>
      </c>
      <c r="F871" s="1" t="s">
        <v>25</v>
      </c>
      <c r="G871" s="1" t="s">
        <v>36</v>
      </c>
      <c r="H871" s="1">
        <v>13960</v>
      </c>
      <c r="I871" s="1"/>
      <c r="J871" s="1"/>
      <c r="K871" s="1">
        <v>14000</v>
      </c>
      <c r="L871" s="2">
        <v>45346</v>
      </c>
    </row>
    <row r="872" spans="1:12" x14ac:dyDescent="0.35">
      <c r="A872" s="1" t="s">
        <v>1110</v>
      </c>
      <c r="B872" s="1" t="s">
        <v>256</v>
      </c>
      <c r="C872" s="1" t="s">
        <v>30</v>
      </c>
      <c r="D872" s="1" t="s">
        <v>31</v>
      </c>
      <c r="E872" s="1" t="s">
        <v>16</v>
      </c>
      <c r="F872" s="1" t="s">
        <v>39</v>
      </c>
      <c r="G872" s="1" t="s">
        <v>18</v>
      </c>
      <c r="H872" s="1">
        <v>17080</v>
      </c>
      <c r="I872" s="1" t="s">
        <v>22</v>
      </c>
      <c r="J872" s="1">
        <v>0.1</v>
      </c>
      <c r="K872" s="1">
        <v>17000</v>
      </c>
      <c r="L872" s="2">
        <v>45317</v>
      </c>
    </row>
    <row r="873" spans="1:12" x14ac:dyDescent="0.35">
      <c r="A873" s="1" t="s">
        <v>1111</v>
      </c>
      <c r="B873" s="1" t="s">
        <v>1112</v>
      </c>
      <c r="C873" s="1" t="s">
        <v>14</v>
      </c>
      <c r="D873" s="1" t="s">
        <v>15</v>
      </c>
      <c r="E873" s="1" t="s">
        <v>46</v>
      </c>
      <c r="F873" s="1" t="s">
        <v>39</v>
      </c>
      <c r="G873" s="1" t="s">
        <v>26</v>
      </c>
      <c r="H873" s="1">
        <v>12290</v>
      </c>
      <c r="I873" s="1" t="s">
        <v>33</v>
      </c>
      <c r="J873" s="1">
        <v>0.3</v>
      </c>
      <c r="K873" s="1">
        <v>14000</v>
      </c>
      <c r="L873" s="2">
        <v>45326</v>
      </c>
    </row>
    <row r="874" spans="1:12" x14ac:dyDescent="0.35">
      <c r="A874" s="1" t="s">
        <v>1113</v>
      </c>
      <c r="B874" s="1" t="s">
        <v>52</v>
      </c>
      <c r="C874" s="1" t="s">
        <v>61</v>
      </c>
      <c r="D874" s="1" t="s">
        <v>62</v>
      </c>
      <c r="E874" s="1" t="s">
        <v>32</v>
      </c>
      <c r="F874" s="1" t="s">
        <v>39</v>
      </c>
      <c r="G874" s="1" t="s">
        <v>18</v>
      </c>
      <c r="H874" s="1">
        <v>9244</v>
      </c>
      <c r="I874" s="1" t="s">
        <v>19</v>
      </c>
      <c r="J874" s="1">
        <v>0.2</v>
      </c>
      <c r="K874" s="1">
        <v>9000</v>
      </c>
      <c r="L874" s="2">
        <v>45322</v>
      </c>
    </row>
    <row r="875" spans="1:12" x14ac:dyDescent="0.35">
      <c r="A875" s="1" t="s">
        <v>1114</v>
      </c>
      <c r="B875" s="1" t="s">
        <v>41</v>
      </c>
      <c r="C875" s="1" t="s">
        <v>30</v>
      </c>
      <c r="D875" s="1" t="s">
        <v>31</v>
      </c>
      <c r="E875" s="1" t="s">
        <v>32</v>
      </c>
      <c r="F875" s="1" t="s">
        <v>39</v>
      </c>
      <c r="G875" s="1" t="s">
        <v>26</v>
      </c>
      <c r="H875" s="1">
        <v>16765</v>
      </c>
      <c r="I875" s="1"/>
      <c r="J875" s="1"/>
      <c r="K875" s="1">
        <v>17000</v>
      </c>
      <c r="L875" s="2">
        <v>45328</v>
      </c>
    </row>
    <row r="876" spans="1:12" x14ac:dyDescent="0.35">
      <c r="A876" s="1" t="s">
        <v>1115</v>
      </c>
      <c r="B876" s="1" t="s">
        <v>602</v>
      </c>
      <c r="C876" s="1" t="s">
        <v>44</v>
      </c>
      <c r="D876" s="1" t="s">
        <v>45</v>
      </c>
      <c r="E876" s="1" t="s">
        <v>32</v>
      </c>
      <c r="F876" s="1" t="s">
        <v>39</v>
      </c>
      <c r="G876" s="1" t="s">
        <v>26</v>
      </c>
      <c r="H876" s="1">
        <v>11319</v>
      </c>
      <c r="I876" s="1" t="s">
        <v>27</v>
      </c>
      <c r="J876" s="1"/>
      <c r="K876" s="1">
        <v>13000</v>
      </c>
      <c r="L876" s="2">
        <v>45345</v>
      </c>
    </row>
    <row r="877" spans="1:12" x14ac:dyDescent="0.35">
      <c r="A877" s="1" t="s">
        <v>1116</v>
      </c>
      <c r="B877" s="1" t="s">
        <v>227</v>
      </c>
      <c r="C877" s="1" t="s">
        <v>61</v>
      </c>
      <c r="D877" s="1" t="s">
        <v>62</v>
      </c>
      <c r="E877" s="1" t="s">
        <v>46</v>
      </c>
      <c r="F877" s="1" t="s">
        <v>39</v>
      </c>
      <c r="G877" s="1" t="s">
        <v>18</v>
      </c>
      <c r="H877" s="1">
        <v>10367</v>
      </c>
      <c r="I877" s="1"/>
      <c r="J877" s="1"/>
      <c r="K877" s="1">
        <v>9000</v>
      </c>
      <c r="L877" s="2">
        <v>45303</v>
      </c>
    </row>
    <row r="878" spans="1:12" x14ac:dyDescent="0.35">
      <c r="A878" s="1" t="s">
        <v>1117</v>
      </c>
      <c r="B878" s="1" t="s">
        <v>70</v>
      </c>
      <c r="C878" s="1" t="s">
        <v>14</v>
      </c>
      <c r="D878" s="1" t="s">
        <v>15</v>
      </c>
      <c r="E878" s="1" t="s">
        <v>16</v>
      </c>
      <c r="F878" s="1" t="s">
        <v>25</v>
      </c>
      <c r="G878" s="1" t="s">
        <v>26</v>
      </c>
      <c r="H878" s="1">
        <v>15334</v>
      </c>
      <c r="I878" s="1" t="s">
        <v>27</v>
      </c>
      <c r="J878" s="1"/>
      <c r="K878" s="1">
        <v>14000</v>
      </c>
      <c r="L878" s="2">
        <v>45341</v>
      </c>
    </row>
    <row r="879" spans="1:12" x14ac:dyDescent="0.35">
      <c r="A879" s="1" t="s">
        <v>1118</v>
      </c>
      <c r="B879" s="1" t="s">
        <v>487</v>
      </c>
      <c r="C879" s="1" t="s">
        <v>30</v>
      </c>
      <c r="D879" s="1" t="s">
        <v>31</v>
      </c>
      <c r="E879" s="1" t="s">
        <v>46</v>
      </c>
      <c r="F879" s="1" t="s">
        <v>39</v>
      </c>
      <c r="G879" s="1" t="s">
        <v>26</v>
      </c>
      <c r="H879" s="1">
        <v>15251</v>
      </c>
      <c r="I879" s="1" t="s">
        <v>22</v>
      </c>
      <c r="J879" s="1">
        <v>0.1</v>
      </c>
      <c r="K879" s="1">
        <v>17000</v>
      </c>
      <c r="L879" s="2">
        <v>45305</v>
      </c>
    </row>
    <row r="880" spans="1:12" x14ac:dyDescent="0.35">
      <c r="A880" s="1" t="s">
        <v>1119</v>
      </c>
      <c r="B880" s="1" t="s">
        <v>412</v>
      </c>
      <c r="C880" s="1" t="s">
        <v>14</v>
      </c>
      <c r="D880" s="1" t="s">
        <v>15</v>
      </c>
      <c r="E880" s="1" t="s">
        <v>32</v>
      </c>
      <c r="F880" s="1" t="s">
        <v>39</v>
      </c>
      <c r="G880" s="1" t="s">
        <v>18</v>
      </c>
      <c r="H880" s="1">
        <v>13855</v>
      </c>
      <c r="I880" s="1" t="s">
        <v>27</v>
      </c>
      <c r="J880" s="1"/>
      <c r="K880" s="1">
        <v>14000</v>
      </c>
      <c r="L880" s="2">
        <v>45310</v>
      </c>
    </row>
    <row r="881" spans="1:12" x14ac:dyDescent="0.35">
      <c r="A881" s="1" t="s">
        <v>1120</v>
      </c>
      <c r="B881" s="1" t="s">
        <v>617</v>
      </c>
      <c r="C881" s="1" t="s">
        <v>61</v>
      </c>
      <c r="D881" s="1" t="s">
        <v>62</v>
      </c>
      <c r="E881" s="1" t="s">
        <v>32</v>
      </c>
      <c r="F881" s="1" t="s">
        <v>25</v>
      </c>
      <c r="G881" s="1" t="s">
        <v>26</v>
      </c>
      <c r="H881" s="1">
        <v>10593</v>
      </c>
      <c r="I881" s="1" t="s">
        <v>33</v>
      </c>
      <c r="J881" s="1">
        <v>0.3</v>
      </c>
      <c r="K881" s="1">
        <v>9000</v>
      </c>
      <c r="L881" s="2">
        <v>45311</v>
      </c>
    </row>
    <row r="882" spans="1:12" x14ac:dyDescent="0.35">
      <c r="A882" s="1" t="s">
        <v>1121</v>
      </c>
      <c r="B882" s="1" t="s">
        <v>579</v>
      </c>
      <c r="C882" s="1" t="s">
        <v>30</v>
      </c>
      <c r="D882" s="1" t="s">
        <v>31</v>
      </c>
      <c r="E882" s="1" t="s">
        <v>46</v>
      </c>
      <c r="F882" s="1" t="s">
        <v>39</v>
      </c>
      <c r="G882" s="1" t="s">
        <v>36</v>
      </c>
      <c r="H882" s="1">
        <v>15365</v>
      </c>
      <c r="I882" s="1" t="s">
        <v>27</v>
      </c>
      <c r="J882" s="1"/>
      <c r="K882" s="1">
        <v>17000</v>
      </c>
      <c r="L882" s="2">
        <v>45292</v>
      </c>
    </row>
    <row r="883" spans="1:12" x14ac:dyDescent="0.35">
      <c r="A883" s="1" t="s">
        <v>1122</v>
      </c>
      <c r="B883" s="1" t="s">
        <v>86</v>
      </c>
      <c r="C883" s="1" t="s">
        <v>61</v>
      </c>
      <c r="D883" s="1" t="s">
        <v>62</v>
      </c>
      <c r="E883" s="1" t="s">
        <v>32</v>
      </c>
      <c r="F883" s="1" t="s">
        <v>17</v>
      </c>
      <c r="G883" s="1" t="s">
        <v>18</v>
      </c>
      <c r="H883" s="1">
        <v>8512</v>
      </c>
      <c r="I883" s="1" t="s">
        <v>27</v>
      </c>
      <c r="J883" s="1"/>
      <c r="K883" s="1">
        <v>9000</v>
      </c>
      <c r="L883" s="2">
        <v>45295</v>
      </c>
    </row>
    <row r="884" spans="1:12" x14ac:dyDescent="0.35">
      <c r="A884" s="1" t="s">
        <v>1123</v>
      </c>
      <c r="B884" s="1" t="s">
        <v>190</v>
      </c>
      <c r="C884" s="1" t="s">
        <v>30</v>
      </c>
      <c r="D884" s="1" t="s">
        <v>31</v>
      </c>
      <c r="E884" s="1" t="s">
        <v>32</v>
      </c>
      <c r="F884" s="1" t="s">
        <v>17</v>
      </c>
      <c r="G884" s="1" t="s">
        <v>18</v>
      </c>
      <c r="H884" s="1">
        <v>15963</v>
      </c>
      <c r="I884" s="1"/>
      <c r="J884" s="1"/>
      <c r="K884" s="1">
        <v>17000</v>
      </c>
      <c r="L884" s="2">
        <v>45336</v>
      </c>
    </row>
    <row r="885" spans="1:12" x14ac:dyDescent="0.35">
      <c r="A885" s="1" t="s">
        <v>1124</v>
      </c>
      <c r="B885" s="1" t="s">
        <v>337</v>
      </c>
      <c r="C885" s="1" t="s">
        <v>30</v>
      </c>
      <c r="D885" s="1" t="s">
        <v>31</v>
      </c>
      <c r="E885" s="1" t="s">
        <v>16</v>
      </c>
      <c r="F885" s="1" t="s">
        <v>17</v>
      </c>
      <c r="G885" s="1" t="s">
        <v>36</v>
      </c>
      <c r="H885" s="1">
        <v>16562</v>
      </c>
      <c r="I885" s="1"/>
      <c r="J885" s="1"/>
      <c r="K885" s="1">
        <v>17000</v>
      </c>
      <c r="L885" s="2">
        <v>45326</v>
      </c>
    </row>
    <row r="886" spans="1:12" x14ac:dyDescent="0.35">
      <c r="A886" s="1" t="s">
        <v>1125</v>
      </c>
      <c r="B886" s="1" t="s">
        <v>817</v>
      </c>
      <c r="C886" s="1" t="s">
        <v>44</v>
      </c>
      <c r="D886" s="1" t="s">
        <v>45</v>
      </c>
      <c r="E886" s="1" t="s">
        <v>46</v>
      </c>
      <c r="F886" s="1" t="s">
        <v>25</v>
      </c>
      <c r="G886" s="1" t="s">
        <v>18</v>
      </c>
      <c r="H886" s="1">
        <v>13275</v>
      </c>
      <c r="I886" s="1"/>
      <c r="J886" s="1"/>
      <c r="K886" s="1">
        <v>13000</v>
      </c>
      <c r="L886" s="2">
        <v>45345</v>
      </c>
    </row>
    <row r="887" spans="1:12" x14ac:dyDescent="0.35">
      <c r="A887" s="1" t="s">
        <v>1126</v>
      </c>
      <c r="B887" s="1" t="s">
        <v>827</v>
      </c>
      <c r="C887" s="1" t="s">
        <v>61</v>
      </c>
      <c r="D887" s="1" t="s">
        <v>62</v>
      </c>
      <c r="E887" s="1" t="s">
        <v>32</v>
      </c>
      <c r="F887" s="1" t="s">
        <v>17</v>
      </c>
      <c r="G887" s="1" t="s">
        <v>26</v>
      </c>
      <c r="H887" s="1">
        <v>7514</v>
      </c>
      <c r="I887" s="1" t="s">
        <v>19</v>
      </c>
      <c r="J887" s="1">
        <v>0.2</v>
      </c>
      <c r="K887" s="1">
        <v>9000</v>
      </c>
      <c r="L887" s="2">
        <v>45292</v>
      </c>
    </row>
    <row r="888" spans="1:12" x14ac:dyDescent="0.35">
      <c r="A888" s="1" t="s">
        <v>1127</v>
      </c>
      <c r="B888" s="1" t="s">
        <v>21</v>
      </c>
      <c r="C888" s="1" t="s">
        <v>14</v>
      </c>
      <c r="D888" s="1" t="s">
        <v>15</v>
      </c>
      <c r="E888" s="1" t="s">
        <v>32</v>
      </c>
      <c r="F888" s="1" t="s">
        <v>39</v>
      </c>
      <c r="G888" s="1" t="s">
        <v>36</v>
      </c>
      <c r="H888" s="1">
        <v>14694</v>
      </c>
      <c r="I888" s="1"/>
      <c r="J888" s="1"/>
      <c r="K888" s="1">
        <v>14000</v>
      </c>
      <c r="L888" s="2">
        <v>45300</v>
      </c>
    </row>
    <row r="889" spans="1:12" x14ac:dyDescent="0.35">
      <c r="A889" s="1" t="s">
        <v>1128</v>
      </c>
      <c r="B889" s="1" t="s">
        <v>843</v>
      </c>
      <c r="C889" s="1" t="s">
        <v>61</v>
      </c>
      <c r="D889" s="1" t="s">
        <v>62</v>
      </c>
      <c r="E889" s="1" t="s">
        <v>46</v>
      </c>
      <c r="F889" s="1" t="s">
        <v>39</v>
      </c>
      <c r="G889" s="1" t="s">
        <v>26</v>
      </c>
      <c r="H889" s="1">
        <v>10810</v>
      </c>
      <c r="I889" s="1"/>
      <c r="J889" s="1"/>
      <c r="K889" s="1">
        <v>9000</v>
      </c>
      <c r="L889" s="2">
        <v>45331</v>
      </c>
    </row>
    <row r="890" spans="1:12" x14ac:dyDescent="0.35">
      <c r="A890" s="1" t="s">
        <v>1129</v>
      </c>
      <c r="B890" s="1" t="s">
        <v>429</v>
      </c>
      <c r="C890" s="1" t="s">
        <v>61</v>
      </c>
      <c r="D890" s="1" t="s">
        <v>62</v>
      </c>
      <c r="E890" s="1" t="s">
        <v>16</v>
      </c>
      <c r="F890" s="1" t="s">
        <v>17</v>
      </c>
      <c r="G890" s="1" t="s">
        <v>36</v>
      </c>
      <c r="H890" s="1">
        <v>8455</v>
      </c>
      <c r="I890" s="1" t="s">
        <v>19</v>
      </c>
      <c r="J890" s="1">
        <v>0.2</v>
      </c>
      <c r="K890" s="1">
        <v>9000</v>
      </c>
      <c r="L890" s="2">
        <v>45303</v>
      </c>
    </row>
    <row r="891" spans="1:12" x14ac:dyDescent="0.35">
      <c r="A891" s="1" t="s">
        <v>1130</v>
      </c>
      <c r="B891" s="1" t="s">
        <v>617</v>
      </c>
      <c r="C891" s="1" t="s">
        <v>14</v>
      </c>
      <c r="D891" s="1" t="s">
        <v>15</v>
      </c>
      <c r="E891" s="1" t="s">
        <v>16</v>
      </c>
      <c r="F891" s="1" t="s">
        <v>17</v>
      </c>
      <c r="G891" s="1" t="s">
        <v>26</v>
      </c>
      <c r="H891" s="1">
        <v>12969</v>
      </c>
      <c r="I891" s="1" t="s">
        <v>27</v>
      </c>
      <c r="J891" s="1"/>
      <c r="K891" s="1">
        <v>14000</v>
      </c>
      <c r="L891" s="2">
        <v>45309</v>
      </c>
    </row>
    <row r="892" spans="1:12" x14ac:dyDescent="0.35">
      <c r="A892" s="1" t="s">
        <v>1131</v>
      </c>
      <c r="B892" s="1" t="s">
        <v>512</v>
      </c>
      <c r="C892" s="1" t="s">
        <v>30</v>
      </c>
      <c r="D892" s="1" t="s">
        <v>31</v>
      </c>
      <c r="E892" s="1" t="s">
        <v>32</v>
      </c>
      <c r="F892" s="1" t="s">
        <v>25</v>
      </c>
      <c r="G892" s="1" t="s">
        <v>26</v>
      </c>
      <c r="H892" s="1">
        <v>16979</v>
      </c>
      <c r="I892" s="1" t="s">
        <v>33</v>
      </c>
      <c r="J892" s="1">
        <v>0.3</v>
      </c>
      <c r="K892" s="1">
        <v>17000</v>
      </c>
      <c r="L892" s="2">
        <v>45299</v>
      </c>
    </row>
    <row r="893" spans="1:12" x14ac:dyDescent="0.35">
      <c r="A893" s="1" t="s">
        <v>1132</v>
      </c>
      <c r="B893" s="1" t="s">
        <v>356</v>
      </c>
      <c r="C893" s="1" t="s">
        <v>14</v>
      </c>
      <c r="D893" s="1" t="s">
        <v>15</v>
      </c>
      <c r="E893" s="1" t="s">
        <v>32</v>
      </c>
      <c r="F893" s="1" t="s">
        <v>39</v>
      </c>
      <c r="G893" s="1" t="s">
        <v>26</v>
      </c>
      <c r="H893" s="1">
        <v>14156</v>
      </c>
      <c r="I893" s="1" t="s">
        <v>33</v>
      </c>
      <c r="J893" s="1">
        <v>0.3</v>
      </c>
      <c r="K893" s="1">
        <v>14000</v>
      </c>
      <c r="L893" s="2">
        <v>45321</v>
      </c>
    </row>
    <row r="894" spans="1:12" x14ac:dyDescent="0.35">
      <c r="A894" s="1" t="s">
        <v>1133</v>
      </c>
      <c r="B894" s="1" t="s">
        <v>905</v>
      </c>
      <c r="C894" s="1" t="s">
        <v>14</v>
      </c>
      <c r="D894" s="1" t="s">
        <v>15</v>
      </c>
      <c r="E894" s="1" t="s">
        <v>32</v>
      </c>
      <c r="F894" s="1" t="s">
        <v>17</v>
      </c>
      <c r="G894" s="1" t="s">
        <v>26</v>
      </c>
      <c r="H894" s="1">
        <v>15037</v>
      </c>
      <c r="I894" s="1" t="s">
        <v>22</v>
      </c>
      <c r="J894" s="1">
        <v>0.1</v>
      </c>
      <c r="K894" s="1">
        <v>14000</v>
      </c>
      <c r="L894" s="2">
        <v>45335</v>
      </c>
    </row>
    <row r="895" spans="1:12" x14ac:dyDescent="0.35">
      <c r="A895" s="1" t="s">
        <v>1134</v>
      </c>
      <c r="B895" s="1" t="s">
        <v>416</v>
      </c>
      <c r="C895" s="1" t="s">
        <v>30</v>
      </c>
      <c r="D895" s="1" t="s">
        <v>31</v>
      </c>
      <c r="E895" s="1" t="s">
        <v>16</v>
      </c>
      <c r="F895" s="1" t="s">
        <v>25</v>
      </c>
      <c r="G895" s="1" t="s">
        <v>36</v>
      </c>
      <c r="H895" s="1">
        <v>17191</v>
      </c>
      <c r="I895" s="1" t="s">
        <v>22</v>
      </c>
      <c r="J895" s="1">
        <v>0.1</v>
      </c>
      <c r="K895" s="1">
        <v>17000</v>
      </c>
      <c r="L895" s="2">
        <v>45322</v>
      </c>
    </row>
    <row r="896" spans="1:12" x14ac:dyDescent="0.35">
      <c r="A896" s="1" t="s">
        <v>1135</v>
      </c>
      <c r="B896" s="1" t="s">
        <v>330</v>
      </c>
      <c r="C896" s="1" t="s">
        <v>61</v>
      </c>
      <c r="D896" s="1" t="s">
        <v>62</v>
      </c>
      <c r="E896" s="1" t="s">
        <v>16</v>
      </c>
      <c r="F896" s="1" t="s">
        <v>39</v>
      </c>
      <c r="G896" s="1" t="s">
        <v>36</v>
      </c>
      <c r="H896" s="1">
        <v>8724</v>
      </c>
      <c r="I896" s="1" t="s">
        <v>33</v>
      </c>
      <c r="J896" s="1">
        <v>0.3</v>
      </c>
      <c r="K896" s="1">
        <v>9000</v>
      </c>
      <c r="L896" s="2">
        <v>45343</v>
      </c>
    </row>
    <row r="897" spans="1:12" x14ac:dyDescent="0.35">
      <c r="A897" s="1" t="s">
        <v>1136</v>
      </c>
      <c r="B897" s="1" t="s">
        <v>361</v>
      </c>
      <c r="C897" s="1" t="s">
        <v>44</v>
      </c>
      <c r="D897" s="1" t="s">
        <v>45</v>
      </c>
      <c r="E897" s="1" t="s">
        <v>32</v>
      </c>
      <c r="F897" s="1" t="s">
        <v>39</v>
      </c>
      <c r="G897" s="1" t="s">
        <v>26</v>
      </c>
      <c r="H897" s="1">
        <v>14069</v>
      </c>
      <c r="I897" s="1" t="s">
        <v>33</v>
      </c>
      <c r="J897" s="1">
        <v>0.3</v>
      </c>
      <c r="K897" s="1">
        <v>13000</v>
      </c>
      <c r="L897" s="2">
        <v>45338</v>
      </c>
    </row>
    <row r="898" spans="1:12" x14ac:dyDescent="0.35">
      <c r="A898" s="1" t="s">
        <v>1137</v>
      </c>
      <c r="B898" s="1" t="s">
        <v>522</v>
      </c>
      <c r="C898" s="1" t="s">
        <v>30</v>
      </c>
      <c r="D898" s="1" t="s">
        <v>31</v>
      </c>
      <c r="E898" s="1" t="s">
        <v>32</v>
      </c>
      <c r="F898" s="1" t="s">
        <v>39</v>
      </c>
      <c r="G898" s="1" t="s">
        <v>36</v>
      </c>
      <c r="H898" s="1">
        <v>17368</v>
      </c>
      <c r="I898" s="1" t="s">
        <v>19</v>
      </c>
      <c r="J898" s="1">
        <v>0.2</v>
      </c>
      <c r="K898" s="1">
        <v>17000</v>
      </c>
      <c r="L898" s="2">
        <v>45328</v>
      </c>
    </row>
    <row r="899" spans="1:12" x14ac:dyDescent="0.35">
      <c r="A899" s="1" t="s">
        <v>1138</v>
      </c>
      <c r="B899" s="1" t="s">
        <v>68</v>
      </c>
      <c r="C899" s="1" t="s">
        <v>30</v>
      </c>
      <c r="D899" s="1" t="s">
        <v>31</v>
      </c>
      <c r="E899" s="1" t="s">
        <v>16</v>
      </c>
      <c r="F899" s="1" t="s">
        <v>39</v>
      </c>
      <c r="G899" s="1" t="s">
        <v>18</v>
      </c>
      <c r="H899" s="1">
        <v>16174</v>
      </c>
      <c r="I899" s="1"/>
      <c r="J899" s="1"/>
      <c r="K899" s="1">
        <v>17000</v>
      </c>
      <c r="L899" s="2">
        <v>45297</v>
      </c>
    </row>
    <row r="900" spans="1:12" x14ac:dyDescent="0.35">
      <c r="A900" s="1" t="s">
        <v>1139</v>
      </c>
      <c r="B900" s="1" t="s">
        <v>440</v>
      </c>
      <c r="C900" s="1" t="s">
        <v>14</v>
      </c>
      <c r="D900" s="1" t="s">
        <v>15</v>
      </c>
      <c r="E900" s="1" t="s">
        <v>46</v>
      </c>
      <c r="F900" s="1" t="s">
        <v>17</v>
      </c>
      <c r="G900" s="1" t="s">
        <v>18</v>
      </c>
      <c r="H900" s="1">
        <v>14522</v>
      </c>
      <c r="I900" s="1" t="s">
        <v>33</v>
      </c>
      <c r="J900" s="1">
        <v>0.3</v>
      </c>
      <c r="K900" s="1">
        <v>14000</v>
      </c>
      <c r="L900" s="2">
        <v>45309</v>
      </c>
    </row>
    <row r="901" spans="1:12" x14ac:dyDescent="0.35">
      <c r="A901" s="1" t="s">
        <v>1140</v>
      </c>
      <c r="B901" s="1" t="s">
        <v>643</v>
      </c>
      <c r="C901" s="1" t="s">
        <v>14</v>
      </c>
      <c r="D901" s="1" t="s">
        <v>15</v>
      </c>
      <c r="E901" s="1" t="s">
        <v>16</v>
      </c>
      <c r="F901" s="1" t="s">
        <v>25</v>
      </c>
      <c r="G901" s="1" t="s">
        <v>26</v>
      </c>
      <c r="H901" s="1">
        <v>12715</v>
      </c>
      <c r="I901" s="1" t="s">
        <v>27</v>
      </c>
      <c r="J901" s="1"/>
      <c r="K901" s="1">
        <v>14000</v>
      </c>
      <c r="L901" s="2">
        <v>45339</v>
      </c>
    </row>
    <row r="902" spans="1:12" x14ac:dyDescent="0.35">
      <c r="A902" s="1" t="s">
        <v>1141</v>
      </c>
      <c r="B902" s="1" t="s">
        <v>113</v>
      </c>
      <c r="C902" s="1" t="s">
        <v>61</v>
      </c>
      <c r="D902" s="1" t="s">
        <v>62</v>
      </c>
      <c r="E902" s="1" t="s">
        <v>46</v>
      </c>
      <c r="F902" s="1" t="s">
        <v>25</v>
      </c>
      <c r="G902" s="1" t="s">
        <v>36</v>
      </c>
      <c r="H902" s="1">
        <v>10205</v>
      </c>
      <c r="I902" s="1" t="s">
        <v>19</v>
      </c>
      <c r="J902" s="1">
        <v>0.2</v>
      </c>
      <c r="K902" s="1">
        <v>9000</v>
      </c>
      <c r="L902" s="2">
        <v>45323</v>
      </c>
    </row>
    <row r="903" spans="1:12" x14ac:dyDescent="0.35">
      <c r="A903" s="1" t="s">
        <v>1142</v>
      </c>
      <c r="B903" s="1" t="s">
        <v>135</v>
      </c>
      <c r="C903" s="1" t="s">
        <v>14</v>
      </c>
      <c r="D903" s="1" t="s">
        <v>15</v>
      </c>
      <c r="E903" s="1" t="s">
        <v>46</v>
      </c>
      <c r="F903" s="1" t="s">
        <v>25</v>
      </c>
      <c r="G903" s="1" t="s">
        <v>18</v>
      </c>
      <c r="H903" s="1">
        <v>14439</v>
      </c>
      <c r="I903" s="1" t="s">
        <v>19</v>
      </c>
      <c r="J903" s="1">
        <v>0.2</v>
      </c>
      <c r="K903" s="1">
        <v>14000</v>
      </c>
      <c r="L903" s="2">
        <v>45345</v>
      </c>
    </row>
    <row r="904" spans="1:12" x14ac:dyDescent="0.35">
      <c r="A904" s="1" t="s">
        <v>1143</v>
      </c>
      <c r="B904" s="1" t="s">
        <v>157</v>
      </c>
      <c r="C904" s="1" t="s">
        <v>61</v>
      </c>
      <c r="D904" s="1" t="s">
        <v>62</v>
      </c>
      <c r="E904" s="1" t="s">
        <v>46</v>
      </c>
      <c r="F904" s="1" t="s">
        <v>25</v>
      </c>
      <c r="G904" s="1" t="s">
        <v>26</v>
      </c>
      <c r="H904" s="1">
        <v>8802</v>
      </c>
      <c r="I904" s="1" t="s">
        <v>19</v>
      </c>
      <c r="J904" s="1">
        <v>0.2</v>
      </c>
      <c r="K904" s="1">
        <v>9000</v>
      </c>
      <c r="L904" s="2">
        <v>45305</v>
      </c>
    </row>
    <row r="905" spans="1:12" x14ac:dyDescent="0.35">
      <c r="A905" s="1" t="s">
        <v>1144</v>
      </c>
      <c r="B905" s="1" t="s">
        <v>233</v>
      </c>
      <c r="C905" s="1" t="s">
        <v>30</v>
      </c>
      <c r="D905" s="1" t="s">
        <v>31</v>
      </c>
      <c r="E905" s="1" t="s">
        <v>32</v>
      </c>
      <c r="F905" s="1" t="s">
        <v>39</v>
      </c>
      <c r="G905" s="1" t="s">
        <v>36</v>
      </c>
      <c r="H905" s="1">
        <v>18094</v>
      </c>
      <c r="I905" s="1" t="s">
        <v>22</v>
      </c>
      <c r="J905" s="1">
        <v>0.1</v>
      </c>
      <c r="K905" s="1">
        <v>17000</v>
      </c>
      <c r="L905" s="2">
        <v>45295</v>
      </c>
    </row>
    <row r="906" spans="1:12" x14ac:dyDescent="0.35">
      <c r="A906" s="1" t="s">
        <v>1145</v>
      </c>
      <c r="B906" s="1" t="s">
        <v>429</v>
      </c>
      <c r="C906" s="1" t="s">
        <v>61</v>
      </c>
      <c r="D906" s="1" t="s">
        <v>62</v>
      </c>
      <c r="E906" s="1" t="s">
        <v>46</v>
      </c>
      <c r="F906" s="1" t="s">
        <v>17</v>
      </c>
      <c r="G906" s="1" t="s">
        <v>36</v>
      </c>
      <c r="H906" s="1">
        <v>10056</v>
      </c>
      <c r="I906" s="1" t="s">
        <v>27</v>
      </c>
      <c r="J906" s="1"/>
      <c r="K906" s="1">
        <v>9000</v>
      </c>
      <c r="L906" s="2">
        <v>45306</v>
      </c>
    </row>
    <row r="907" spans="1:12" x14ac:dyDescent="0.35">
      <c r="A907" s="1" t="s">
        <v>1146</v>
      </c>
      <c r="B907" s="1" t="s">
        <v>274</v>
      </c>
      <c r="C907" s="1" t="s">
        <v>61</v>
      </c>
      <c r="D907" s="1" t="s">
        <v>62</v>
      </c>
      <c r="E907" s="1" t="s">
        <v>46</v>
      </c>
      <c r="F907" s="1" t="s">
        <v>17</v>
      </c>
      <c r="G907" s="1" t="s">
        <v>18</v>
      </c>
      <c r="H907" s="1">
        <v>9172</v>
      </c>
      <c r="I907" s="1"/>
      <c r="J907" s="1"/>
      <c r="K907" s="1">
        <v>9000</v>
      </c>
      <c r="L907" s="2">
        <v>45292</v>
      </c>
    </row>
    <row r="908" spans="1:12" x14ac:dyDescent="0.35">
      <c r="A908" s="1" t="s">
        <v>1147</v>
      </c>
      <c r="B908" s="1" t="s">
        <v>443</v>
      </c>
      <c r="C908" s="1" t="s">
        <v>61</v>
      </c>
      <c r="D908" s="1" t="s">
        <v>62</v>
      </c>
      <c r="E908" s="1" t="s">
        <v>46</v>
      </c>
      <c r="F908" s="1" t="s">
        <v>39</v>
      </c>
      <c r="G908" s="1" t="s">
        <v>36</v>
      </c>
      <c r="H908" s="1">
        <v>10939</v>
      </c>
      <c r="I908" s="1" t="s">
        <v>27</v>
      </c>
      <c r="J908" s="1"/>
      <c r="K908" s="1">
        <v>9000</v>
      </c>
      <c r="L908" s="2">
        <v>45335</v>
      </c>
    </row>
    <row r="909" spans="1:12" x14ac:dyDescent="0.35">
      <c r="A909" s="1" t="s">
        <v>1148</v>
      </c>
      <c r="B909" s="1" t="s">
        <v>76</v>
      </c>
      <c r="C909" s="1" t="s">
        <v>30</v>
      </c>
      <c r="D909" s="1" t="s">
        <v>31</v>
      </c>
      <c r="E909" s="1" t="s">
        <v>46</v>
      </c>
      <c r="F909" s="1" t="s">
        <v>39</v>
      </c>
      <c r="G909" s="1" t="s">
        <v>26</v>
      </c>
      <c r="H909" s="1">
        <v>18515</v>
      </c>
      <c r="I909" s="1" t="s">
        <v>33</v>
      </c>
      <c r="J909" s="1">
        <v>0.3</v>
      </c>
      <c r="K909" s="1">
        <v>17000</v>
      </c>
      <c r="L909" s="2">
        <v>45313</v>
      </c>
    </row>
    <row r="910" spans="1:12" x14ac:dyDescent="0.35">
      <c r="A910" s="1" t="s">
        <v>1149</v>
      </c>
      <c r="B910" s="1" t="s">
        <v>361</v>
      </c>
      <c r="C910" s="1" t="s">
        <v>14</v>
      </c>
      <c r="D910" s="1" t="s">
        <v>15</v>
      </c>
      <c r="E910" s="1" t="s">
        <v>46</v>
      </c>
      <c r="F910" s="1" t="s">
        <v>39</v>
      </c>
      <c r="G910" s="1" t="s">
        <v>26</v>
      </c>
      <c r="H910" s="1">
        <v>13602</v>
      </c>
      <c r="I910" s="1"/>
      <c r="J910" s="1"/>
      <c r="K910" s="1">
        <v>14000</v>
      </c>
      <c r="L910" s="2">
        <v>45341</v>
      </c>
    </row>
    <row r="911" spans="1:12" x14ac:dyDescent="0.35">
      <c r="A911" s="1" t="s">
        <v>1150</v>
      </c>
      <c r="B911" s="1" t="s">
        <v>305</v>
      </c>
      <c r="C911" s="1" t="s">
        <v>44</v>
      </c>
      <c r="D911" s="1" t="s">
        <v>45</v>
      </c>
      <c r="E911" s="1" t="s">
        <v>16</v>
      </c>
      <c r="F911" s="1" t="s">
        <v>39</v>
      </c>
      <c r="G911" s="1" t="s">
        <v>26</v>
      </c>
      <c r="H911" s="1">
        <v>14155</v>
      </c>
      <c r="I911" s="1" t="s">
        <v>19</v>
      </c>
      <c r="J911" s="1">
        <v>0.2</v>
      </c>
      <c r="K911" s="1">
        <v>13000</v>
      </c>
      <c r="L911" s="2">
        <v>45325</v>
      </c>
    </row>
    <row r="912" spans="1:12" x14ac:dyDescent="0.35">
      <c r="A912" s="1" t="s">
        <v>1151</v>
      </c>
      <c r="B912" s="1" t="s">
        <v>150</v>
      </c>
      <c r="C912" s="1" t="s">
        <v>44</v>
      </c>
      <c r="D912" s="1" t="s">
        <v>45</v>
      </c>
      <c r="E912" s="1" t="s">
        <v>46</v>
      </c>
      <c r="F912" s="1" t="s">
        <v>39</v>
      </c>
      <c r="G912" s="1" t="s">
        <v>18</v>
      </c>
      <c r="H912" s="1">
        <v>13755</v>
      </c>
      <c r="I912" s="1" t="s">
        <v>22</v>
      </c>
      <c r="J912" s="1">
        <v>0.1</v>
      </c>
      <c r="K912" s="1">
        <v>13000</v>
      </c>
      <c r="L912" s="2">
        <v>45345</v>
      </c>
    </row>
    <row r="913" spans="1:12" x14ac:dyDescent="0.35">
      <c r="A913" s="1" t="s">
        <v>1152</v>
      </c>
      <c r="B913" s="1" t="s">
        <v>43</v>
      </c>
      <c r="C913" s="1" t="s">
        <v>61</v>
      </c>
      <c r="D913" s="1" t="s">
        <v>62</v>
      </c>
      <c r="E913" s="1" t="s">
        <v>32</v>
      </c>
      <c r="F913" s="1" t="s">
        <v>39</v>
      </c>
      <c r="G913" s="1" t="s">
        <v>18</v>
      </c>
      <c r="H913" s="1">
        <v>9807</v>
      </c>
      <c r="I913" s="1"/>
      <c r="J913" s="1"/>
      <c r="K913" s="1">
        <v>9000</v>
      </c>
      <c r="L913" s="2">
        <v>45314</v>
      </c>
    </row>
    <row r="914" spans="1:12" x14ac:dyDescent="0.35">
      <c r="A914" s="1" t="s">
        <v>1153</v>
      </c>
      <c r="B914" s="1" t="s">
        <v>220</v>
      </c>
      <c r="C914" s="1" t="s">
        <v>30</v>
      </c>
      <c r="D914" s="1" t="s">
        <v>31</v>
      </c>
      <c r="E914" s="1" t="s">
        <v>46</v>
      </c>
      <c r="F914" s="1" t="s">
        <v>25</v>
      </c>
      <c r="G914" s="1" t="s">
        <v>18</v>
      </c>
      <c r="H914" s="1">
        <v>15097</v>
      </c>
      <c r="I914" s="1" t="s">
        <v>27</v>
      </c>
      <c r="J914" s="1"/>
      <c r="K914" s="1">
        <v>17000</v>
      </c>
      <c r="L914" s="2">
        <v>45297</v>
      </c>
    </row>
    <row r="915" spans="1:12" x14ac:dyDescent="0.35">
      <c r="A915" s="1" t="s">
        <v>1154</v>
      </c>
      <c r="B915" s="1" t="s">
        <v>109</v>
      </c>
      <c r="C915" s="1" t="s">
        <v>44</v>
      </c>
      <c r="D915" s="1" t="s">
        <v>45</v>
      </c>
      <c r="E915" s="1" t="s">
        <v>16</v>
      </c>
      <c r="F915" s="1" t="s">
        <v>39</v>
      </c>
      <c r="G915" s="1" t="s">
        <v>18</v>
      </c>
      <c r="H915" s="1">
        <v>13900</v>
      </c>
      <c r="I915" s="1" t="s">
        <v>22</v>
      </c>
      <c r="J915" s="1">
        <v>0.1</v>
      </c>
      <c r="K915" s="1">
        <v>13000</v>
      </c>
      <c r="L915" s="2">
        <v>45297</v>
      </c>
    </row>
    <row r="916" spans="1:12" x14ac:dyDescent="0.35">
      <c r="A916" s="1" t="s">
        <v>1155</v>
      </c>
      <c r="B916" s="1" t="s">
        <v>460</v>
      </c>
      <c r="C916" s="1" t="s">
        <v>44</v>
      </c>
      <c r="D916" s="1" t="s">
        <v>45</v>
      </c>
      <c r="E916" s="1" t="s">
        <v>46</v>
      </c>
      <c r="F916" s="1" t="s">
        <v>39</v>
      </c>
      <c r="G916" s="1" t="s">
        <v>26</v>
      </c>
      <c r="H916" s="1">
        <v>13318</v>
      </c>
      <c r="I916" s="1" t="s">
        <v>19</v>
      </c>
      <c r="J916" s="1">
        <v>0.2</v>
      </c>
      <c r="K916" s="1">
        <v>13000</v>
      </c>
      <c r="L916" s="2">
        <v>45349</v>
      </c>
    </row>
    <row r="917" spans="1:12" x14ac:dyDescent="0.35">
      <c r="A917" s="1" t="s">
        <v>1156</v>
      </c>
      <c r="B917" s="1" t="s">
        <v>173</v>
      </c>
      <c r="C917" s="1" t="s">
        <v>44</v>
      </c>
      <c r="D917" s="1" t="s">
        <v>45</v>
      </c>
      <c r="E917" s="1" t="s">
        <v>46</v>
      </c>
      <c r="F917" s="1" t="s">
        <v>17</v>
      </c>
      <c r="G917" s="1" t="s">
        <v>36</v>
      </c>
      <c r="H917" s="1">
        <v>13705</v>
      </c>
      <c r="I917" s="1" t="s">
        <v>22</v>
      </c>
      <c r="J917" s="1">
        <v>0.1</v>
      </c>
      <c r="K917" s="1">
        <v>13000</v>
      </c>
      <c r="L917" s="2">
        <v>45332</v>
      </c>
    </row>
    <row r="918" spans="1:12" x14ac:dyDescent="0.35">
      <c r="A918" s="1" t="s">
        <v>1157</v>
      </c>
      <c r="B918" s="1" t="s">
        <v>123</v>
      </c>
      <c r="C918" s="1" t="s">
        <v>61</v>
      </c>
      <c r="D918" s="1" t="s">
        <v>62</v>
      </c>
      <c r="E918" s="1" t="s">
        <v>16</v>
      </c>
      <c r="F918" s="1" t="s">
        <v>39</v>
      </c>
      <c r="G918" s="1" t="s">
        <v>36</v>
      </c>
      <c r="H918" s="1">
        <v>8054</v>
      </c>
      <c r="I918" s="1" t="s">
        <v>19</v>
      </c>
      <c r="J918" s="1">
        <v>0.2</v>
      </c>
      <c r="K918" s="1">
        <v>9000</v>
      </c>
      <c r="L918" s="2">
        <v>45341</v>
      </c>
    </row>
    <row r="919" spans="1:12" x14ac:dyDescent="0.35">
      <c r="A919" s="1" t="s">
        <v>1158</v>
      </c>
      <c r="B919" s="1" t="s">
        <v>263</v>
      </c>
      <c r="C919" s="1" t="s">
        <v>14</v>
      </c>
      <c r="D919" s="1" t="s">
        <v>15</v>
      </c>
      <c r="E919" s="1" t="s">
        <v>46</v>
      </c>
      <c r="F919" s="1" t="s">
        <v>17</v>
      </c>
      <c r="G919" s="1" t="s">
        <v>36</v>
      </c>
      <c r="H919" s="1">
        <v>12246</v>
      </c>
      <c r="I919" s="1" t="s">
        <v>33</v>
      </c>
      <c r="J919" s="1">
        <v>0.3</v>
      </c>
      <c r="K919" s="1">
        <v>14000</v>
      </c>
      <c r="L919" s="2">
        <v>45344</v>
      </c>
    </row>
    <row r="920" spans="1:12" x14ac:dyDescent="0.35">
      <c r="A920" s="1" t="s">
        <v>1159</v>
      </c>
      <c r="B920" s="1" t="s">
        <v>58</v>
      </c>
      <c r="C920" s="1" t="s">
        <v>61</v>
      </c>
      <c r="D920" s="1" t="s">
        <v>62</v>
      </c>
      <c r="E920" s="1" t="s">
        <v>32</v>
      </c>
      <c r="F920" s="1" t="s">
        <v>17</v>
      </c>
      <c r="G920" s="1" t="s">
        <v>18</v>
      </c>
      <c r="H920" s="1">
        <v>9499</v>
      </c>
      <c r="I920" s="1"/>
      <c r="J920" s="1"/>
      <c r="K920" s="1">
        <v>9000</v>
      </c>
      <c r="L920" s="2">
        <v>45303</v>
      </c>
    </row>
    <row r="921" spans="1:12" x14ac:dyDescent="0.35">
      <c r="A921" s="1" t="s">
        <v>1160</v>
      </c>
      <c r="B921" s="1" t="s">
        <v>591</v>
      </c>
      <c r="C921" s="1" t="s">
        <v>14</v>
      </c>
      <c r="D921" s="1" t="s">
        <v>15</v>
      </c>
      <c r="E921" s="1" t="s">
        <v>32</v>
      </c>
      <c r="F921" s="1" t="s">
        <v>39</v>
      </c>
      <c r="G921" s="1" t="s">
        <v>36</v>
      </c>
      <c r="H921" s="1">
        <v>12894</v>
      </c>
      <c r="I921" s="1" t="s">
        <v>27</v>
      </c>
      <c r="J921" s="1"/>
      <c r="K921" s="1">
        <v>14000</v>
      </c>
      <c r="L921" s="2">
        <v>45333</v>
      </c>
    </row>
    <row r="922" spans="1:12" x14ac:dyDescent="0.35">
      <c r="A922" s="1" t="s">
        <v>1161</v>
      </c>
      <c r="B922" s="1" t="s">
        <v>245</v>
      </c>
      <c r="C922" s="1" t="s">
        <v>30</v>
      </c>
      <c r="D922" s="1" t="s">
        <v>31</v>
      </c>
      <c r="E922" s="1" t="s">
        <v>32</v>
      </c>
      <c r="F922" s="1" t="s">
        <v>25</v>
      </c>
      <c r="G922" s="1" t="s">
        <v>18</v>
      </c>
      <c r="H922" s="1">
        <v>15288</v>
      </c>
      <c r="I922" s="1" t="s">
        <v>27</v>
      </c>
      <c r="J922" s="1"/>
      <c r="K922" s="1">
        <v>17000</v>
      </c>
      <c r="L922" s="2">
        <v>45338</v>
      </c>
    </row>
    <row r="923" spans="1:12" x14ac:dyDescent="0.35">
      <c r="A923" s="1" t="s">
        <v>1162</v>
      </c>
      <c r="B923" s="1" t="s">
        <v>443</v>
      </c>
      <c r="C923" s="1" t="s">
        <v>61</v>
      </c>
      <c r="D923" s="1" t="s">
        <v>62</v>
      </c>
      <c r="E923" s="1" t="s">
        <v>32</v>
      </c>
      <c r="F923" s="1" t="s">
        <v>17</v>
      </c>
      <c r="G923" s="1" t="s">
        <v>18</v>
      </c>
      <c r="H923" s="1">
        <v>9674</v>
      </c>
      <c r="I923" s="1" t="s">
        <v>22</v>
      </c>
      <c r="J923" s="1">
        <v>0.1</v>
      </c>
      <c r="K923" s="1">
        <v>9000</v>
      </c>
      <c r="L923" s="2">
        <v>45351</v>
      </c>
    </row>
    <row r="924" spans="1:12" x14ac:dyDescent="0.35">
      <c r="A924" s="1" t="s">
        <v>1163</v>
      </c>
      <c r="B924" s="1" t="s">
        <v>68</v>
      </c>
      <c r="C924" s="1" t="s">
        <v>61</v>
      </c>
      <c r="D924" s="1" t="s">
        <v>62</v>
      </c>
      <c r="E924" s="1" t="s">
        <v>46</v>
      </c>
      <c r="F924" s="1" t="s">
        <v>25</v>
      </c>
      <c r="G924" s="1" t="s">
        <v>26</v>
      </c>
      <c r="H924" s="1">
        <v>8350</v>
      </c>
      <c r="I924" s="1"/>
      <c r="J924" s="1"/>
      <c r="K924" s="1">
        <v>9000</v>
      </c>
      <c r="L924" s="2">
        <v>45328</v>
      </c>
    </row>
    <row r="925" spans="1:12" x14ac:dyDescent="0.35">
      <c r="A925" s="1" t="s">
        <v>1164</v>
      </c>
      <c r="B925" s="1" t="s">
        <v>166</v>
      </c>
      <c r="C925" s="1" t="s">
        <v>61</v>
      </c>
      <c r="D925" s="1" t="s">
        <v>62</v>
      </c>
      <c r="E925" s="1" t="s">
        <v>46</v>
      </c>
      <c r="F925" s="1" t="s">
        <v>17</v>
      </c>
      <c r="G925" s="1" t="s">
        <v>36</v>
      </c>
      <c r="H925" s="1">
        <v>10457</v>
      </c>
      <c r="I925" s="1" t="s">
        <v>22</v>
      </c>
      <c r="J925" s="1">
        <v>0.1</v>
      </c>
      <c r="K925" s="1">
        <v>9000</v>
      </c>
      <c r="L925" s="2">
        <v>45326</v>
      </c>
    </row>
    <row r="926" spans="1:12" x14ac:dyDescent="0.35">
      <c r="A926" s="1" t="s">
        <v>1165</v>
      </c>
      <c r="B926" s="1" t="s">
        <v>500</v>
      </c>
      <c r="C926" s="1" t="s">
        <v>61</v>
      </c>
      <c r="D926" s="1" t="s">
        <v>62</v>
      </c>
      <c r="E926" s="1" t="s">
        <v>16</v>
      </c>
      <c r="F926" s="1" t="s">
        <v>17</v>
      </c>
      <c r="G926" s="1" t="s">
        <v>18</v>
      </c>
      <c r="H926" s="1">
        <v>9323</v>
      </c>
      <c r="I926" s="1" t="s">
        <v>27</v>
      </c>
      <c r="J926" s="1"/>
      <c r="K926" s="1">
        <v>9000</v>
      </c>
      <c r="L926" s="2">
        <v>45351</v>
      </c>
    </row>
    <row r="927" spans="1:12" x14ac:dyDescent="0.35">
      <c r="A927" s="1" t="s">
        <v>1166</v>
      </c>
      <c r="B927" s="1" t="s">
        <v>282</v>
      </c>
      <c r="C927" s="1" t="s">
        <v>30</v>
      </c>
      <c r="D927" s="1" t="s">
        <v>31</v>
      </c>
      <c r="E927" s="1" t="s">
        <v>46</v>
      </c>
      <c r="F927" s="1" t="s">
        <v>25</v>
      </c>
      <c r="G927" s="1" t="s">
        <v>26</v>
      </c>
      <c r="H927" s="1">
        <v>18927</v>
      </c>
      <c r="I927" s="1" t="s">
        <v>22</v>
      </c>
      <c r="J927" s="1">
        <v>0.1</v>
      </c>
      <c r="K927" s="1">
        <v>17000</v>
      </c>
      <c r="L927" s="2">
        <v>45315</v>
      </c>
    </row>
    <row r="928" spans="1:12" x14ac:dyDescent="0.35">
      <c r="A928" s="1" t="s">
        <v>1167</v>
      </c>
      <c r="B928" s="1" t="s">
        <v>105</v>
      </c>
      <c r="C928" s="1" t="s">
        <v>30</v>
      </c>
      <c r="D928" s="1" t="s">
        <v>31</v>
      </c>
      <c r="E928" s="1" t="s">
        <v>32</v>
      </c>
      <c r="F928" s="1" t="s">
        <v>17</v>
      </c>
      <c r="G928" s="1" t="s">
        <v>36</v>
      </c>
      <c r="H928" s="1">
        <v>17653</v>
      </c>
      <c r="I928" s="1" t="s">
        <v>19</v>
      </c>
      <c r="J928" s="1">
        <v>0.2</v>
      </c>
      <c r="K928" s="1">
        <v>17000</v>
      </c>
      <c r="L928" s="2">
        <v>45303</v>
      </c>
    </row>
    <row r="929" spans="1:12" x14ac:dyDescent="0.35">
      <c r="A929" s="1" t="s">
        <v>1168</v>
      </c>
      <c r="B929" s="1" t="s">
        <v>184</v>
      </c>
      <c r="C929" s="1" t="s">
        <v>61</v>
      </c>
      <c r="D929" s="1" t="s">
        <v>62</v>
      </c>
      <c r="E929" s="1" t="s">
        <v>16</v>
      </c>
      <c r="F929" s="1" t="s">
        <v>25</v>
      </c>
      <c r="G929" s="1" t="s">
        <v>36</v>
      </c>
      <c r="H929" s="1">
        <v>9850</v>
      </c>
      <c r="I929" s="1"/>
      <c r="J929" s="1"/>
      <c r="K929" s="1">
        <v>9000</v>
      </c>
      <c r="L929" s="2">
        <v>45349</v>
      </c>
    </row>
    <row r="930" spans="1:12" x14ac:dyDescent="0.35">
      <c r="A930" s="1" t="s">
        <v>1169</v>
      </c>
      <c r="B930" s="1" t="s">
        <v>21</v>
      </c>
      <c r="C930" s="1" t="s">
        <v>30</v>
      </c>
      <c r="D930" s="1" t="s">
        <v>31</v>
      </c>
      <c r="E930" s="1" t="s">
        <v>46</v>
      </c>
      <c r="F930" s="1" t="s">
        <v>25</v>
      </c>
      <c r="G930" s="1" t="s">
        <v>26</v>
      </c>
      <c r="H930" s="1">
        <v>16793</v>
      </c>
      <c r="I930" s="1" t="s">
        <v>19</v>
      </c>
      <c r="J930" s="1">
        <v>0.2</v>
      </c>
      <c r="K930" s="1">
        <v>17000</v>
      </c>
      <c r="L930" s="2">
        <v>45300</v>
      </c>
    </row>
    <row r="931" spans="1:12" x14ac:dyDescent="0.35">
      <c r="A931" s="1" t="s">
        <v>1170</v>
      </c>
      <c r="B931" s="1" t="s">
        <v>192</v>
      </c>
      <c r="C931" s="1" t="s">
        <v>14</v>
      </c>
      <c r="D931" s="1" t="s">
        <v>15</v>
      </c>
      <c r="E931" s="1" t="s">
        <v>16</v>
      </c>
      <c r="F931" s="1" t="s">
        <v>39</v>
      </c>
      <c r="G931" s="1" t="s">
        <v>18</v>
      </c>
      <c r="H931" s="1">
        <v>14003</v>
      </c>
      <c r="I931" s="1"/>
      <c r="J931" s="1"/>
      <c r="K931" s="1">
        <v>14000</v>
      </c>
      <c r="L931" s="2">
        <v>45296</v>
      </c>
    </row>
    <row r="932" spans="1:12" x14ac:dyDescent="0.35">
      <c r="A932" s="1" t="s">
        <v>1171</v>
      </c>
      <c r="B932" s="1" t="s">
        <v>133</v>
      </c>
      <c r="C932" s="1" t="s">
        <v>30</v>
      </c>
      <c r="D932" s="1" t="s">
        <v>31</v>
      </c>
      <c r="E932" s="1" t="s">
        <v>46</v>
      </c>
      <c r="F932" s="1" t="s">
        <v>39</v>
      </c>
      <c r="G932" s="1" t="s">
        <v>36</v>
      </c>
      <c r="H932" s="1">
        <v>18959</v>
      </c>
      <c r="I932" s="1" t="s">
        <v>22</v>
      </c>
      <c r="J932" s="1">
        <v>0.1</v>
      </c>
      <c r="K932" s="1">
        <v>17000</v>
      </c>
      <c r="L932" s="2">
        <v>45294</v>
      </c>
    </row>
    <row r="933" spans="1:12" x14ac:dyDescent="0.35">
      <c r="A933" s="1" t="s">
        <v>1172</v>
      </c>
      <c r="B933" s="1" t="s">
        <v>327</v>
      </c>
      <c r="C933" s="1" t="s">
        <v>30</v>
      </c>
      <c r="D933" s="1" t="s">
        <v>31</v>
      </c>
      <c r="E933" s="1" t="s">
        <v>16</v>
      </c>
      <c r="F933" s="1" t="s">
        <v>25</v>
      </c>
      <c r="G933" s="1" t="s">
        <v>36</v>
      </c>
      <c r="H933" s="1">
        <v>15484</v>
      </c>
      <c r="I933" s="1" t="s">
        <v>19</v>
      </c>
      <c r="J933" s="1">
        <v>0.2</v>
      </c>
      <c r="K933" s="1">
        <v>17000</v>
      </c>
      <c r="L933" s="2">
        <v>45343</v>
      </c>
    </row>
    <row r="934" spans="1:12" x14ac:dyDescent="0.35">
      <c r="A934" s="1" t="s">
        <v>1173</v>
      </c>
      <c r="B934" s="1" t="s">
        <v>92</v>
      </c>
      <c r="C934" s="1" t="s">
        <v>61</v>
      </c>
      <c r="D934" s="1" t="s">
        <v>62</v>
      </c>
      <c r="E934" s="1" t="s">
        <v>16</v>
      </c>
      <c r="F934" s="1" t="s">
        <v>39</v>
      </c>
      <c r="G934" s="1" t="s">
        <v>18</v>
      </c>
      <c r="H934" s="1">
        <v>10035</v>
      </c>
      <c r="I934" s="1" t="s">
        <v>27</v>
      </c>
      <c r="J934" s="1"/>
      <c r="K934" s="1">
        <v>9000</v>
      </c>
      <c r="L934" s="2">
        <v>45306</v>
      </c>
    </row>
    <row r="935" spans="1:12" x14ac:dyDescent="0.35">
      <c r="A935" s="1" t="s">
        <v>1174</v>
      </c>
      <c r="B935" s="1" t="s">
        <v>403</v>
      </c>
      <c r="C935" s="1" t="s">
        <v>14</v>
      </c>
      <c r="D935" s="1" t="s">
        <v>15</v>
      </c>
      <c r="E935" s="1" t="s">
        <v>16</v>
      </c>
      <c r="F935" s="1" t="s">
        <v>25</v>
      </c>
      <c r="G935" s="1" t="s">
        <v>36</v>
      </c>
      <c r="H935" s="1">
        <v>14678</v>
      </c>
      <c r="I935" s="1" t="s">
        <v>22</v>
      </c>
      <c r="J935" s="1">
        <v>0.1</v>
      </c>
      <c r="K935" s="1">
        <v>14000</v>
      </c>
      <c r="L935" s="2">
        <v>45322</v>
      </c>
    </row>
    <row r="936" spans="1:12" x14ac:dyDescent="0.35">
      <c r="A936" s="1" t="s">
        <v>1175</v>
      </c>
      <c r="B936" s="1" t="s">
        <v>60</v>
      </c>
      <c r="C936" s="1" t="s">
        <v>14</v>
      </c>
      <c r="D936" s="1" t="s">
        <v>15</v>
      </c>
      <c r="E936" s="1" t="s">
        <v>32</v>
      </c>
      <c r="F936" s="1" t="s">
        <v>39</v>
      </c>
      <c r="G936" s="1" t="s">
        <v>26</v>
      </c>
      <c r="H936" s="1">
        <v>12534</v>
      </c>
      <c r="I936" s="1" t="s">
        <v>22</v>
      </c>
      <c r="J936" s="1">
        <v>0.1</v>
      </c>
      <c r="K936" s="1">
        <v>14000</v>
      </c>
      <c r="L936" s="2">
        <v>45303</v>
      </c>
    </row>
    <row r="937" spans="1:12" x14ac:dyDescent="0.35">
      <c r="A937" s="1" t="s">
        <v>1176</v>
      </c>
      <c r="B937" s="1" t="s">
        <v>1032</v>
      </c>
      <c r="C937" s="1" t="s">
        <v>30</v>
      </c>
      <c r="D937" s="1" t="s">
        <v>31</v>
      </c>
      <c r="E937" s="1" t="s">
        <v>32</v>
      </c>
      <c r="F937" s="1" t="s">
        <v>17</v>
      </c>
      <c r="G937" s="1" t="s">
        <v>26</v>
      </c>
      <c r="H937" s="1">
        <v>15699</v>
      </c>
      <c r="I937" s="1" t="s">
        <v>27</v>
      </c>
      <c r="J937" s="1"/>
      <c r="K937" s="1">
        <v>17000</v>
      </c>
      <c r="L937" s="2">
        <v>45296</v>
      </c>
    </row>
    <row r="938" spans="1:12" x14ac:dyDescent="0.35">
      <c r="A938" s="1" t="s">
        <v>1177</v>
      </c>
      <c r="B938" s="1" t="s">
        <v>319</v>
      </c>
      <c r="C938" s="1" t="s">
        <v>14</v>
      </c>
      <c r="D938" s="1" t="s">
        <v>15</v>
      </c>
      <c r="E938" s="1" t="s">
        <v>32</v>
      </c>
      <c r="F938" s="1" t="s">
        <v>17</v>
      </c>
      <c r="G938" s="1" t="s">
        <v>26</v>
      </c>
      <c r="H938" s="1">
        <v>15273</v>
      </c>
      <c r="I938" s="1" t="s">
        <v>27</v>
      </c>
      <c r="J938" s="1"/>
      <c r="K938" s="1">
        <v>14000</v>
      </c>
      <c r="L938" s="2">
        <v>45306</v>
      </c>
    </row>
    <row r="939" spans="1:12" x14ac:dyDescent="0.35">
      <c r="A939" s="1" t="s">
        <v>1178</v>
      </c>
      <c r="B939" s="1" t="s">
        <v>200</v>
      </c>
      <c r="C939" s="1" t="s">
        <v>44</v>
      </c>
      <c r="D939" s="1" t="s">
        <v>45</v>
      </c>
      <c r="E939" s="1" t="s">
        <v>46</v>
      </c>
      <c r="F939" s="1" t="s">
        <v>17</v>
      </c>
      <c r="G939" s="1" t="s">
        <v>26</v>
      </c>
      <c r="H939" s="1">
        <v>13778</v>
      </c>
      <c r="I939" s="1"/>
      <c r="J939" s="1"/>
      <c r="K939" s="1">
        <v>13000</v>
      </c>
      <c r="L939" s="2">
        <v>45312</v>
      </c>
    </row>
    <row r="940" spans="1:12" x14ac:dyDescent="0.35">
      <c r="A940" s="1" t="s">
        <v>1179</v>
      </c>
      <c r="B940" s="1" t="s">
        <v>21</v>
      </c>
      <c r="C940" s="1" t="s">
        <v>44</v>
      </c>
      <c r="D940" s="1" t="s">
        <v>45</v>
      </c>
      <c r="E940" s="1" t="s">
        <v>46</v>
      </c>
      <c r="F940" s="1" t="s">
        <v>25</v>
      </c>
      <c r="G940" s="1" t="s">
        <v>18</v>
      </c>
      <c r="H940" s="1">
        <v>13429</v>
      </c>
      <c r="I940" s="1" t="s">
        <v>19</v>
      </c>
      <c r="J940" s="1">
        <v>0.2</v>
      </c>
      <c r="K940" s="1">
        <v>13000</v>
      </c>
      <c r="L940" s="2">
        <v>45313</v>
      </c>
    </row>
    <row r="941" spans="1:12" x14ac:dyDescent="0.35">
      <c r="A941" s="1" t="s">
        <v>1180</v>
      </c>
      <c r="B941" s="1" t="s">
        <v>78</v>
      </c>
      <c r="C941" s="1" t="s">
        <v>30</v>
      </c>
      <c r="D941" s="1" t="s">
        <v>31</v>
      </c>
      <c r="E941" s="1" t="s">
        <v>32</v>
      </c>
      <c r="F941" s="1" t="s">
        <v>17</v>
      </c>
      <c r="G941" s="1" t="s">
        <v>18</v>
      </c>
      <c r="H941" s="1">
        <v>17852</v>
      </c>
      <c r="I941" s="1" t="s">
        <v>33</v>
      </c>
      <c r="J941" s="1">
        <v>0.3</v>
      </c>
      <c r="K941" s="1">
        <v>17000</v>
      </c>
      <c r="L941" s="2">
        <v>45327</v>
      </c>
    </row>
    <row r="942" spans="1:12" x14ac:dyDescent="0.35">
      <c r="A942" s="1" t="s">
        <v>1181</v>
      </c>
      <c r="B942" s="1" t="s">
        <v>429</v>
      </c>
      <c r="C942" s="1" t="s">
        <v>44</v>
      </c>
      <c r="D942" s="1" t="s">
        <v>45</v>
      </c>
      <c r="E942" s="1" t="s">
        <v>16</v>
      </c>
      <c r="F942" s="1" t="s">
        <v>25</v>
      </c>
      <c r="G942" s="1" t="s">
        <v>18</v>
      </c>
      <c r="H942" s="1">
        <v>11409</v>
      </c>
      <c r="I942" s="1" t="s">
        <v>27</v>
      </c>
      <c r="J942" s="1"/>
      <c r="K942" s="1">
        <v>13000</v>
      </c>
      <c r="L942" s="2">
        <v>45316</v>
      </c>
    </row>
    <row r="943" spans="1:12" x14ac:dyDescent="0.35">
      <c r="A943" s="1" t="s">
        <v>1182</v>
      </c>
      <c r="B943" s="1" t="s">
        <v>72</v>
      </c>
      <c r="C943" s="1" t="s">
        <v>14</v>
      </c>
      <c r="D943" s="1" t="s">
        <v>15</v>
      </c>
      <c r="E943" s="1" t="s">
        <v>46</v>
      </c>
      <c r="F943" s="1" t="s">
        <v>25</v>
      </c>
      <c r="G943" s="1" t="s">
        <v>18</v>
      </c>
      <c r="H943" s="1">
        <v>12029</v>
      </c>
      <c r="I943" s="1" t="s">
        <v>19</v>
      </c>
      <c r="J943" s="1">
        <v>0.2</v>
      </c>
      <c r="K943" s="1">
        <v>14000</v>
      </c>
      <c r="L943" s="2">
        <v>45351</v>
      </c>
    </row>
    <row r="944" spans="1:12" x14ac:dyDescent="0.35">
      <c r="A944" s="1" t="s">
        <v>1183</v>
      </c>
      <c r="B944" s="1" t="s">
        <v>173</v>
      </c>
      <c r="C944" s="1" t="s">
        <v>30</v>
      </c>
      <c r="D944" s="1" t="s">
        <v>31</v>
      </c>
      <c r="E944" s="1" t="s">
        <v>46</v>
      </c>
      <c r="F944" s="1" t="s">
        <v>39</v>
      </c>
      <c r="G944" s="1" t="s">
        <v>36</v>
      </c>
      <c r="H944" s="1">
        <v>17835</v>
      </c>
      <c r="I944" s="1" t="s">
        <v>19</v>
      </c>
      <c r="J944" s="1">
        <v>0.2</v>
      </c>
      <c r="K944" s="1">
        <v>17000</v>
      </c>
      <c r="L944" s="2">
        <v>45305</v>
      </c>
    </row>
    <row r="945" spans="1:12" x14ac:dyDescent="0.35">
      <c r="A945" s="1" t="s">
        <v>1184</v>
      </c>
      <c r="B945" s="1" t="s">
        <v>113</v>
      </c>
      <c r="C945" s="1" t="s">
        <v>30</v>
      </c>
      <c r="D945" s="1" t="s">
        <v>31</v>
      </c>
      <c r="E945" s="1" t="s">
        <v>16</v>
      </c>
      <c r="F945" s="1" t="s">
        <v>17</v>
      </c>
      <c r="G945" s="1" t="s">
        <v>36</v>
      </c>
      <c r="H945" s="1">
        <v>15979</v>
      </c>
      <c r="I945" s="1" t="s">
        <v>19</v>
      </c>
      <c r="J945" s="1">
        <v>0.2</v>
      </c>
      <c r="K945" s="1">
        <v>17000</v>
      </c>
      <c r="L945" s="2">
        <v>45331</v>
      </c>
    </row>
    <row r="946" spans="1:12" x14ac:dyDescent="0.35">
      <c r="A946" s="1" t="s">
        <v>1185</v>
      </c>
      <c r="B946" s="1" t="s">
        <v>464</v>
      </c>
      <c r="C946" s="1" t="s">
        <v>44</v>
      </c>
      <c r="D946" s="1" t="s">
        <v>45</v>
      </c>
      <c r="E946" s="1" t="s">
        <v>16</v>
      </c>
      <c r="F946" s="1" t="s">
        <v>17</v>
      </c>
      <c r="G946" s="1" t="s">
        <v>26</v>
      </c>
      <c r="H946" s="1">
        <v>14892</v>
      </c>
      <c r="I946" s="1" t="s">
        <v>22</v>
      </c>
      <c r="J946" s="1">
        <v>0.1</v>
      </c>
      <c r="K946" s="1">
        <v>13000</v>
      </c>
      <c r="L946" s="2">
        <v>45332</v>
      </c>
    </row>
    <row r="947" spans="1:12" x14ac:dyDescent="0.35">
      <c r="A947" s="1" t="s">
        <v>1186</v>
      </c>
      <c r="B947" s="1" t="s">
        <v>393</v>
      </c>
      <c r="C947" s="1" t="s">
        <v>30</v>
      </c>
      <c r="D947" s="1" t="s">
        <v>31</v>
      </c>
      <c r="E947" s="1" t="s">
        <v>46</v>
      </c>
      <c r="F947" s="1" t="s">
        <v>17</v>
      </c>
      <c r="G947" s="1" t="s">
        <v>18</v>
      </c>
      <c r="H947" s="1">
        <v>17284</v>
      </c>
      <c r="I947" s="1" t="s">
        <v>19</v>
      </c>
      <c r="J947" s="1">
        <v>0.2</v>
      </c>
      <c r="K947" s="1">
        <v>17000</v>
      </c>
      <c r="L947" s="2">
        <v>45304</v>
      </c>
    </row>
    <row r="948" spans="1:12" x14ac:dyDescent="0.35">
      <c r="A948" s="1" t="s">
        <v>1187</v>
      </c>
      <c r="B948" s="1" t="s">
        <v>241</v>
      </c>
      <c r="C948" s="1" t="s">
        <v>14</v>
      </c>
      <c r="D948" s="1" t="s">
        <v>15</v>
      </c>
      <c r="E948" s="1" t="s">
        <v>16</v>
      </c>
      <c r="F948" s="1" t="s">
        <v>17</v>
      </c>
      <c r="G948" s="1" t="s">
        <v>26</v>
      </c>
      <c r="H948" s="1">
        <v>14078</v>
      </c>
      <c r="I948" s="1" t="s">
        <v>19</v>
      </c>
      <c r="J948" s="1">
        <v>0.2</v>
      </c>
      <c r="K948" s="1">
        <v>14000</v>
      </c>
      <c r="L948" s="2">
        <v>45321</v>
      </c>
    </row>
    <row r="949" spans="1:12" x14ac:dyDescent="0.35">
      <c r="A949" s="1" t="s">
        <v>1188</v>
      </c>
      <c r="B949" s="1" t="s">
        <v>426</v>
      </c>
      <c r="C949" s="1" t="s">
        <v>44</v>
      </c>
      <c r="D949" s="1" t="s">
        <v>45</v>
      </c>
      <c r="E949" s="1" t="s">
        <v>46</v>
      </c>
      <c r="F949" s="1" t="s">
        <v>25</v>
      </c>
      <c r="G949" s="1" t="s">
        <v>18</v>
      </c>
      <c r="H949" s="1">
        <v>11461</v>
      </c>
      <c r="I949" s="1" t="s">
        <v>19</v>
      </c>
      <c r="J949" s="1">
        <v>0.2</v>
      </c>
      <c r="K949" s="1">
        <v>13000</v>
      </c>
      <c r="L949" s="2">
        <v>45335</v>
      </c>
    </row>
    <row r="950" spans="1:12" x14ac:dyDescent="0.35">
      <c r="A950" s="1" t="s">
        <v>1189</v>
      </c>
      <c r="B950" s="1" t="s">
        <v>1190</v>
      </c>
      <c r="C950" s="1" t="s">
        <v>61</v>
      </c>
      <c r="D950" s="1" t="s">
        <v>62</v>
      </c>
      <c r="E950" s="1" t="s">
        <v>32</v>
      </c>
      <c r="F950" s="1" t="s">
        <v>25</v>
      </c>
      <c r="G950" s="1" t="s">
        <v>26</v>
      </c>
      <c r="H950" s="1">
        <v>10779</v>
      </c>
      <c r="I950" s="1" t="s">
        <v>22</v>
      </c>
      <c r="J950" s="1">
        <v>0.1</v>
      </c>
      <c r="K950" s="1">
        <v>9000</v>
      </c>
      <c r="L950" s="2">
        <v>45295</v>
      </c>
    </row>
    <row r="951" spans="1:12" x14ac:dyDescent="0.35">
      <c r="A951" s="1" t="s">
        <v>1191</v>
      </c>
      <c r="B951" s="1" t="s">
        <v>317</v>
      </c>
      <c r="C951" s="1" t="s">
        <v>30</v>
      </c>
      <c r="D951" s="1" t="s">
        <v>31</v>
      </c>
      <c r="E951" s="1" t="s">
        <v>32</v>
      </c>
      <c r="F951" s="1" t="s">
        <v>17</v>
      </c>
      <c r="G951" s="1" t="s">
        <v>36</v>
      </c>
      <c r="H951" s="1">
        <v>16369</v>
      </c>
      <c r="I951" s="1" t="s">
        <v>27</v>
      </c>
      <c r="J951" s="1"/>
      <c r="K951" s="1">
        <v>17000</v>
      </c>
      <c r="L951" s="2">
        <v>45343</v>
      </c>
    </row>
    <row r="952" spans="1:12" x14ac:dyDescent="0.35">
      <c r="A952" s="1" t="s">
        <v>1192</v>
      </c>
      <c r="B952" s="1" t="s">
        <v>148</v>
      </c>
      <c r="C952" s="1" t="s">
        <v>61</v>
      </c>
      <c r="D952" s="1" t="s">
        <v>62</v>
      </c>
      <c r="E952" s="1" t="s">
        <v>32</v>
      </c>
      <c r="F952" s="1" t="s">
        <v>25</v>
      </c>
      <c r="G952" s="1" t="s">
        <v>26</v>
      </c>
      <c r="H952" s="1">
        <v>7214</v>
      </c>
      <c r="I952" s="1" t="s">
        <v>27</v>
      </c>
      <c r="J952" s="1"/>
      <c r="K952" s="1">
        <v>9000</v>
      </c>
      <c r="L952" s="2">
        <v>45303</v>
      </c>
    </row>
    <row r="953" spans="1:12" x14ac:dyDescent="0.35">
      <c r="A953" s="1" t="s">
        <v>1193</v>
      </c>
      <c r="B953" s="1" t="s">
        <v>135</v>
      </c>
      <c r="C953" s="1" t="s">
        <v>14</v>
      </c>
      <c r="D953" s="1" t="s">
        <v>15</v>
      </c>
      <c r="E953" s="1" t="s">
        <v>46</v>
      </c>
      <c r="F953" s="1" t="s">
        <v>39</v>
      </c>
      <c r="G953" s="1" t="s">
        <v>18</v>
      </c>
      <c r="H953" s="1">
        <v>12290</v>
      </c>
      <c r="I953" s="1" t="s">
        <v>19</v>
      </c>
      <c r="J953" s="1">
        <v>0.2</v>
      </c>
      <c r="K953" s="1">
        <v>14000</v>
      </c>
      <c r="L953" s="2">
        <v>45338</v>
      </c>
    </row>
    <row r="954" spans="1:12" x14ac:dyDescent="0.35">
      <c r="A954" s="1" t="s">
        <v>1194</v>
      </c>
      <c r="B954" s="1" t="s">
        <v>600</v>
      </c>
      <c r="C954" s="1" t="s">
        <v>30</v>
      </c>
      <c r="D954" s="1" t="s">
        <v>31</v>
      </c>
      <c r="E954" s="1" t="s">
        <v>46</v>
      </c>
      <c r="F954" s="1" t="s">
        <v>25</v>
      </c>
      <c r="G954" s="1" t="s">
        <v>26</v>
      </c>
      <c r="H954" s="1">
        <v>17772</v>
      </c>
      <c r="I954" s="1" t="s">
        <v>33</v>
      </c>
      <c r="J954" s="1">
        <v>0.3</v>
      </c>
      <c r="K954" s="1">
        <v>17000</v>
      </c>
      <c r="L954" s="2">
        <v>45306</v>
      </c>
    </row>
    <row r="955" spans="1:12" x14ac:dyDescent="0.35">
      <c r="A955" s="1" t="s">
        <v>1195</v>
      </c>
      <c r="B955" s="1" t="s">
        <v>652</v>
      </c>
      <c r="C955" s="1" t="s">
        <v>30</v>
      </c>
      <c r="D955" s="1" t="s">
        <v>31</v>
      </c>
      <c r="E955" s="1" t="s">
        <v>32</v>
      </c>
      <c r="F955" s="1" t="s">
        <v>25</v>
      </c>
      <c r="G955" s="1" t="s">
        <v>18</v>
      </c>
      <c r="H955" s="1">
        <v>18021</v>
      </c>
      <c r="I955" s="1"/>
      <c r="J955" s="1"/>
      <c r="K955" s="1">
        <v>17000</v>
      </c>
      <c r="L955" s="2">
        <v>45347</v>
      </c>
    </row>
    <row r="956" spans="1:12" x14ac:dyDescent="0.35">
      <c r="A956" s="1" t="s">
        <v>1196</v>
      </c>
      <c r="B956" s="1" t="s">
        <v>414</v>
      </c>
      <c r="C956" s="1" t="s">
        <v>44</v>
      </c>
      <c r="D956" s="1" t="s">
        <v>45</v>
      </c>
      <c r="E956" s="1" t="s">
        <v>32</v>
      </c>
      <c r="F956" s="1" t="s">
        <v>17</v>
      </c>
      <c r="G956" s="1" t="s">
        <v>26</v>
      </c>
      <c r="H956" s="1">
        <v>12984</v>
      </c>
      <c r="I956" s="1" t="s">
        <v>22</v>
      </c>
      <c r="J956" s="1">
        <v>0.1</v>
      </c>
      <c r="K956" s="1">
        <v>13000</v>
      </c>
      <c r="L956" s="2">
        <v>45348</v>
      </c>
    </row>
    <row r="957" spans="1:12" x14ac:dyDescent="0.35">
      <c r="A957" s="1" t="s">
        <v>1197</v>
      </c>
      <c r="B957" s="1" t="s">
        <v>186</v>
      </c>
      <c r="C957" s="1" t="s">
        <v>44</v>
      </c>
      <c r="D957" s="1" t="s">
        <v>45</v>
      </c>
      <c r="E957" s="1" t="s">
        <v>16</v>
      </c>
      <c r="F957" s="1" t="s">
        <v>17</v>
      </c>
      <c r="G957" s="1" t="s">
        <v>18</v>
      </c>
      <c r="H957" s="1">
        <v>12586</v>
      </c>
      <c r="I957" s="1" t="s">
        <v>33</v>
      </c>
      <c r="J957" s="1">
        <v>0.3</v>
      </c>
      <c r="K957" s="1">
        <v>13000</v>
      </c>
      <c r="L957" s="2">
        <v>45300</v>
      </c>
    </row>
    <row r="958" spans="1:12" x14ac:dyDescent="0.35">
      <c r="A958" s="1" t="s">
        <v>1198</v>
      </c>
      <c r="B958" s="1" t="s">
        <v>483</v>
      </c>
      <c r="C958" s="1" t="s">
        <v>44</v>
      </c>
      <c r="D958" s="1" t="s">
        <v>45</v>
      </c>
      <c r="E958" s="1" t="s">
        <v>16</v>
      </c>
      <c r="F958" s="1" t="s">
        <v>17</v>
      </c>
      <c r="G958" s="1" t="s">
        <v>36</v>
      </c>
      <c r="H958" s="1">
        <v>11828</v>
      </c>
      <c r="I958" s="1" t="s">
        <v>33</v>
      </c>
      <c r="J958" s="1">
        <v>0.3</v>
      </c>
      <c r="K958" s="1">
        <v>13000</v>
      </c>
      <c r="L958" s="2">
        <v>45300</v>
      </c>
    </row>
    <row r="959" spans="1:12" x14ac:dyDescent="0.35">
      <c r="A959" s="1" t="s">
        <v>1199</v>
      </c>
      <c r="B959" s="1" t="s">
        <v>190</v>
      </c>
      <c r="C959" s="1" t="s">
        <v>14</v>
      </c>
      <c r="D959" s="1" t="s">
        <v>15</v>
      </c>
      <c r="E959" s="1" t="s">
        <v>46</v>
      </c>
      <c r="F959" s="1" t="s">
        <v>25</v>
      </c>
      <c r="G959" s="1" t="s">
        <v>18</v>
      </c>
      <c r="H959" s="1">
        <v>15488</v>
      </c>
      <c r="I959" s="1"/>
      <c r="J959" s="1"/>
      <c r="K959" s="1">
        <v>14000</v>
      </c>
      <c r="L959" s="2">
        <v>45321</v>
      </c>
    </row>
    <row r="960" spans="1:12" x14ac:dyDescent="0.35">
      <c r="A960" s="1" t="s">
        <v>1200</v>
      </c>
      <c r="B960" s="1" t="s">
        <v>186</v>
      </c>
      <c r="C960" s="1" t="s">
        <v>30</v>
      </c>
      <c r="D960" s="1" t="s">
        <v>31</v>
      </c>
      <c r="E960" s="1" t="s">
        <v>32</v>
      </c>
      <c r="F960" s="1" t="s">
        <v>17</v>
      </c>
      <c r="G960" s="1" t="s">
        <v>26</v>
      </c>
      <c r="H960" s="1">
        <v>15642</v>
      </c>
      <c r="I960" s="1" t="s">
        <v>27</v>
      </c>
      <c r="J960" s="1"/>
      <c r="K960" s="1">
        <v>17000</v>
      </c>
      <c r="L960" s="2">
        <v>45349</v>
      </c>
    </row>
    <row r="961" spans="1:12" x14ac:dyDescent="0.35">
      <c r="A961" s="1" t="s">
        <v>1201</v>
      </c>
      <c r="B961" s="1" t="s">
        <v>720</v>
      </c>
      <c r="C961" s="1" t="s">
        <v>44</v>
      </c>
      <c r="D961" s="1" t="s">
        <v>45</v>
      </c>
      <c r="E961" s="1" t="s">
        <v>32</v>
      </c>
      <c r="F961" s="1" t="s">
        <v>17</v>
      </c>
      <c r="G961" s="1" t="s">
        <v>26</v>
      </c>
      <c r="H961" s="1">
        <v>13003</v>
      </c>
      <c r="I961" s="1" t="s">
        <v>19</v>
      </c>
      <c r="J961" s="1">
        <v>0.2</v>
      </c>
      <c r="K961" s="1">
        <v>13000</v>
      </c>
      <c r="L961" s="2">
        <v>45329</v>
      </c>
    </row>
    <row r="962" spans="1:12" x14ac:dyDescent="0.35">
      <c r="A962" s="1" t="s">
        <v>1202</v>
      </c>
      <c r="B962" s="1" t="s">
        <v>752</v>
      </c>
      <c r="C962" s="1" t="s">
        <v>61</v>
      </c>
      <c r="D962" s="1" t="s">
        <v>62</v>
      </c>
      <c r="E962" s="1" t="s">
        <v>46</v>
      </c>
      <c r="F962" s="1" t="s">
        <v>25</v>
      </c>
      <c r="G962" s="1" t="s">
        <v>26</v>
      </c>
      <c r="H962" s="1">
        <v>8753</v>
      </c>
      <c r="I962" s="1" t="s">
        <v>19</v>
      </c>
      <c r="J962" s="1">
        <v>0.2</v>
      </c>
      <c r="K962" s="1">
        <v>9000</v>
      </c>
      <c r="L962" s="2">
        <v>45307</v>
      </c>
    </row>
    <row r="963" spans="1:12" x14ac:dyDescent="0.35">
      <c r="A963" s="1" t="s">
        <v>1203</v>
      </c>
      <c r="B963" s="1" t="s">
        <v>666</v>
      </c>
      <c r="C963" s="1" t="s">
        <v>44</v>
      </c>
      <c r="D963" s="1" t="s">
        <v>45</v>
      </c>
      <c r="E963" s="1" t="s">
        <v>16</v>
      </c>
      <c r="F963" s="1" t="s">
        <v>25</v>
      </c>
      <c r="G963" s="1" t="s">
        <v>26</v>
      </c>
      <c r="H963" s="1">
        <v>14679</v>
      </c>
      <c r="I963" s="1" t="s">
        <v>22</v>
      </c>
      <c r="J963" s="1">
        <v>0.1</v>
      </c>
      <c r="K963" s="1">
        <v>13000</v>
      </c>
      <c r="L963" s="2">
        <v>45318</v>
      </c>
    </row>
    <row r="964" spans="1:12" x14ac:dyDescent="0.35">
      <c r="A964" s="1" t="s">
        <v>1204</v>
      </c>
      <c r="B964" s="1" t="s">
        <v>161</v>
      </c>
      <c r="C964" s="1" t="s">
        <v>61</v>
      </c>
      <c r="D964" s="1" t="s">
        <v>62</v>
      </c>
      <c r="E964" s="1" t="s">
        <v>16</v>
      </c>
      <c r="F964" s="1" t="s">
        <v>39</v>
      </c>
      <c r="G964" s="1" t="s">
        <v>18</v>
      </c>
      <c r="H964" s="1">
        <v>8743</v>
      </c>
      <c r="I964" s="1" t="s">
        <v>27</v>
      </c>
      <c r="J964" s="1"/>
      <c r="K964" s="1">
        <v>9000</v>
      </c>
      <c r="L964" s="2">
        <v>45317</v>
      </c>
    </row>
    <row r="965" spans="1:12" x14ac:dyDescent="0.35">
      <c r="A965" s="1" t="s">
        <v>1205</v>
      </c>
      <c r="B965" s="1" t="s">
        <v>157</v>
      </c>
      <c r="C965" s="1" t="s">
        <v>14</v>
      </c>
      <c r="D965" s="1" t="s">
        <v>15</v>
      </c>
      <c r="E965" s="1" t="s">
        <v>46</v>
      </c>
      <c r="F965" s="1" t="s">
        <v>17</v>
      </c>
      <c r="G965" s="1" t="s">
        <v>18</v>
      </c>
      <c r="H965" s="1">
        <v>12340</v>
      </c>
      <c r="I965" s="1" t="s">
        <v>27</v>
      </c>
      <c r="J965" s="1"/>
      <c r="K965" s="1">
        <v>14000</v>
      </c>
      <c r="L965" s="2">
        <v>45340</v>
      </c>
    </row>
    <row r="966" spans="1:12" x14ac:dyDescent="0.35">
      <c r="A966" s="1" t="s">
        <v>1206</v>
      </c>
      <c r="B966" s="1" t="s">
        <v>190</v>
      </c>
      <c r="C966" s="1" t="s">
        <v>61</v>
      </c>
      <c r="D966" s="1" t="s">
        <v>62</v>
      </c>
      <c r="E966" s="1" t="s">
        <v>32</v>
      </c>
      <c r="F966" s="1" t="s">
        <v>25</v>
      </c>
      <c r="G966" s="1" t="s">
        <v>36</v>
      </c>
      <c r="H966" s="1">
        <v>8211</v>
      </c>
      <c r="I966" s="1" t="s">
        <v>19</v>
      </c>
      <c r="J966" s="1">
        <v>0.2</v>
      </c>
      <c r="K966" s="1">
        <v>9000</v>
      </c>
      <c r="L966" s="2">
        <v>45333</v>
      </c>
    </row>
    <row r="967" spans="1:12" x14ac:dyDescent="0.35">
      <c r="A967" s="1" t="s">
        <v>1207</v>
      </c>
      <c r="B967" s="1" t="s">
        <v>43</v>
      </c>
      <c r="C967" s="1" t="s">
        <v>61</v>
      </c>
      <c r="D967" s="1" t="s">
        <v>62</v>
      </c>
      <c r="E967" s="1" t="s">
        <v>16</v>
      </c>
      <c r="F967" s="1" t="s">
        <v>17</v>
      </c>
      <c r="G967" s="1" t="s">
        <v>18</v>
      </c>
      <c r="H967" s="1">
        <v>9880</v>
      </c>
      <c r="I967" s="1"/>
      <c r="J967" s="1"/>
      <c r="K967" s="1">
        <v>9000</v>
      </c>
      <c r="L967" s="2">
        <v>45346</v>
      </c>
    </row>
    <row r="968" spans="1:12" x14ac:dyDescent="0.35">
      <c r="A968" s="1" t="s">
        <v>1208</v>
      </c>
      <c r="B968" s="1" t="s">
        <v>233</v>
      </c>
      <c r="C968" s="1" t="s">
        <v>14</v>
      </c>
      <c r="D968" s="1" t="s">
        <v>15</v>
      </c>
      <c r="E968" s="1" t="s">
        <v>46</v>
      </c>
      <c r="F968" s="1" t="s">
        <v>17</v>
      </c>
      <c r="G968" s="1" t="s">
        <v>18</v>
      </c>
      <c r="H968" s="1">
        <v>15580</v>
      </c>
      <c r="I968" s="1"/>
      <c r="J968" s="1"/>
      <c r="K968" s="1">
        <v>14000</v>
      </c>
      <c r="L968" s="2">
        <v>45303</v>
      </c>
    </row>
    <row r="969" spans="1:12" x14ac:dyDescent="0.35">
      <c r="A969" s="1" t="s">
        <v>1209</v>
      </c>
      <c r="B969" s="1" t="s">
        <v>140</v>
      </c>
      <c r="C969" s="1" t="s">
        <v>30</v>
      </c>
      <c r="D969" s="1" t="s">
        <v>31</v>
      </c>
      <c r="E969" s="1" t="s">
        <v>16</v>
      </c>
      <c r="F969" s="1" t="s">
        <v>17</v>
      </c>
      <c r="G969" s="1" t="s">
        <v>26</v>
      </c>
      <c r="H969" s="1">
        <v>17594</v>
      </c>
      <c r="I969" s="1" t="s">
        <v>22</v>
      </c>
      <c r="J969" s="1">
        <v>0.1</v>
      </c>
      <c r="K969" s="1">
        <v>17000</v>
      </c>
      <c r="L969" s="2">
        <v>45347</v>
      </c>
    </row>
    <row r="970" spans="1:12" x14ac:dyDescent="0.35">
      <c r="A970" s="1" t="s">
        <v>1210</v>
      </c>
      <c r="B970" s="1" t="s">
        <v>13</v>
      </c>
      <c r="C970" s="1" t="s">
        <v>61</v>
      </c>
      <c r="D970" s="1" t="s">
        <v>62</v>
      </c>
      <c r="E970" s="1" t="s">
        <v>16</v>
      </c>
      <c r="F970" s="1" t="s">
        <v>17</v>
      </c>
      <c r="G970" s="1" t="s">
        <v>26</v>
      </c>
      <c r="H970" s="1">
        <v>7133</v>
      </c>
      <c r="I970" s="1" t="s">
        <v>33</v>
      </c>
      <c r="J970" s="1">
        <v>0.3</v>
      </c>
      <c r="K970" s="1">
        <v>9000</v>
      </c>
      <c r="L970" s="2">
        <v>45319</v>
      </c>
    </row>
    <row r="971" spans="1:12" x14ac:dyDescent="0.35">
      <c r="A971" s="1" t="s">
        <v>1211</v>
      </c>
      <c r="B971" s="1" t="s">
        <v>1073</v>
      </c>
      <c r="C971" s="1" t="s">
        <v>44</v>
      </c>
      <c r="D971" s="1" t="s">
        <v>45</v>
      </c>
      <c r="E971" s="1" t="s">
        <v>16</v>
      </c>
      <c r="F971" s="1" t="s">
        <v>25</v>
      </c>
      <c r="G971" s="1" t="s">
        <v>26</v>
      </c>
      <c r="H971" s="1">
        <v>14607</v>
      </c>
      <c r="I971" s="1" t="s">
        <v>33</v>
      </c>
      <c r="J971" s="1">
        <v>0.3</v>
      </c>
      <c r="K971" s="1">
        <v>13000</v>
      </c>
      <c r="L971" s="2">
        <v>45339</v>
      </c>
    </row>
    <row r="972" spans="1:12" x14ac:dyDescent="0.35">
      <c r="A972" s="1" t="s">
        <v>1212</v>
      </c>
      <c r="B972" s="1" t="s">
        <v>987</v>
      </c>
      <c r="C972" s="1" t="s">
        <v>30</v>
      </c>
      <c r="D972" s="1" t="s">
        <v>31</v>
      </c>
      <c r="E972" s="1" t="s">
        <v>32</v>
      </c>
      <c r="F972" s="1" t="s">
        <v>25</v>
      </c>
      <c r="G972" s="1" t="s">
        <v>36</v>
      </c>
      <c r="H972" s="1">
        <v>16497</v>
      </c>
      <c r="I972" s="1"/>
      <c r="J972" s="1"/>
      <c r="K972" s="1">
        <v>17000</v>
      </c>
      <c r="L972" s="2">
        <v>45331</v>
      </c>
    </row>
    <row r="973" spans="1:12" x14ac:dyDescent="0.35">
      <c r="A973" s="1" t="s">
        <v>1213</v>
      </c>
      <c r="B973" s="1" t="s">
        <v>125</v>
      </c>
      <c r="C973" s="1" t="s">
        <v>30</v>
      </c>
      <c r="D973" s="1" t="s">
        <v>31</v>
      </c>
      <c r="E973" s="1" t="s">
        <v>32</v>
      </c>
      <c r="F973" s="1" t="s">
        <v>39</v>
      </c>
      <c r="G973" s="1" t="s">
        <v>26</v>
      </c>
      <c r="H973" s="1">
        <v>17887</v>
      </c>
      <c r="I973" s="1" t="s">
        <v>22</v>
      </c>
      <c r="J973" s="1">
        <v>0.1</v>
      </c>
      <c r="K973" s="1">
        <v>17000</v>
      </c>
      <c r="L973" s="2">
        <v>45327</v>
      </c>
    </row>
    <row r="974" spans="1:12" x14ac:dyDescent="0.35">
      <c r="A974" s="1" t="s">
        <v>1214</v>
      </c>
      <c r="B974" s="1" t="s">
        <v>276</v>
      </c>
      <c r="C974" s="1" t="s">
        <v>44</v>
      </c>
      <c r="D974" s="1" t="s">
        <v>45</v>
      </c>
      <c r="E974" s="1" t="s">
        <v>32</v>
      </c>
      <c r="F974" s="1" t="s">
        <v>17</v>
      </c>
      <c r="G974" s="1" t="s">
        <v>18</v>
      </c>
      <c r="H974" s="1">
        <v>13210</v>
      </c>
      <c r="I974" s="1" t="s">
        <v>22</v>
      </c>
      <c r="J974" s="1">
        <v>0.1</v>
      </c>
      <c r="K974" s="1">
        <v>13000</v>
      </c>
      <c r="L974" s="2">
        <v>45333</v>
      </c>
    </row>
    <row r="975" spans="1:12" x14ac:dyDescent="0.35">
      <c r="A975" s="1" t="s">
        <v>1215</v>
      </c>
      <c r="B975" s="1" t="s">
        <v>483</v>
      </c>
      <c r="C975" s="1" t="s">
        <v>44</v>
      </c>
      <c r="D975" s="1" t="s">
        <v>45</v>
      </c>
      <c r="E975" s="1" t="s">
        <v>16</v>
      </c>
      <c r="F975" s="1" t="s">
        <v>25</v>
      </c>
      <c r="G975" s="1" t="s">
        <v>36</v>
      </c>
      <c r="H975" s="1">
        <v>12444</v>
      </c>
      <c r="I975" s="1" t="s">
        <v>33</v>
      </c>
      <c r="J975" s="1">
        <v>0.3</v>
      </c>
      <c r="K975" s="1">
        <v>13000</v>
      </c>
      <c r="L975" s="2">
        <v>45324</v>
      </c>
    </row>
    <row r="976" spans="1:12" x14ac:dyDescent="0.35">
      <c r="A976" s="1" t="s">
        <v>1216</v>
      </c>
      <c r="B976" s="1" t="s">
        <v>90</v>
      </c>
      <c r="C976" s="1" t="s">
        <v>30</v>
      </c>
      <c r="D976" s="1" t="s">
        <v>31</v>
      </c>
      <c r="E976" s="1" t="s">
        <v>32</v>
      </c>
      <c r="F976" s="1" t="s">
        <v>25</v>
      </c>
      <c r="G976" s="1" t="s">
        <v>36</v>
      </c>
      <c r="H976" s="1">
        <v>16414</v>
      </c>
      <c r="I976" s="1"/>
      <c r="J976" s="1"/>
      <c r="K976" s="1">
        <v>17000</v>
      </c>
      <c r="L976" s="2">
        <v>45323</v>
      </c>
    </row>
    <row r="977" spans="1:12" x14ac:dyDescent="0.35">
      <c r="A977" s="1" t="s">
        <v>1217</v>
      </c>
      <c r="B977" s="1" t="s">
        <v>168</v>
      </c>
      <c r="C977" s="1" t="s">
        <v>14</v>
      </c>
      <c r="D977" s="1" t="s">
        <v>15</v>
      </c>
      <c r="E977" s="1" t="s">
        <v>46</v>
      </c>
      <c r="F977" s="1" t="s">
        <v>39</v>
      </c>
      <c r="G977" s="1" t="s">
        <v>26</v>
      </c>
      <c r="H977" s="1">
        <v>14778</v>
      </c>
      <c r="I977" s="1" t="s">
        <v>27</v>
      </c>
      <c r="J977" s="1"/>
      <c r="K977" s="1">
        <v>14000</v>
      </c>
      <c r="L977" s="2">
        <v>45349</v>
      </c>
    </row>
    <row r="978" spans="1:12" x14ac:dyDescent="0.35">
      <c r="A978" s="1" t="s">
        <v>1218</v>
      </c>
      <c r="B978" s="1" t="s">
        <v>48</v>
      </c>
      <c r="C978" s="1" t="s">
        <v>30</v>
      </c>
      <c r="D978" s="1" t="s">
        <v>31</v>
      </c>
      <c r="E978" s="1" t="s">
        <v>16</v>
      </c>
      <c r="F978" s="1" t="s">
        <v>39</v>
      </c>
      <c r="G978" s="1" t="s">
        <v>18</v>
      </c>
      <c r="H978" s="1">
        <v>15771</v>
      </c>
      <c r="I978" s="1"/>
      <c r="J978" s="1"/>
      <c r="K978" s="1">
        <v>17000</v>
      </c>
      <c r="L978" s="2">
        <v>45297</v>
      </c>
    </row>
    <row r="979" spans="1:12" x14ac:dyDescent="0.35">
      <c r="A979" s="1" t="s">
        <v>1219</v>
      </c>
      <c r="B979" s="1" t="s">
        <v>66</v>
      </c>
      <c r="C979" s="1" t="s">
        <v>44</v>
      </c>
      <c r="D979" s="1" t="s">
        <v>45</v>
      </c>
      <c r="E979" s="1" t="s">
        <v>46</v>
      </c>
      <c r="F979" s="1" t="s">
        <v>25</v>
      </c>
      <c r="G979" s="1" t="s">
        <v>18</v>
      </c>
      <c r="H979" s="1">
        <v>11674</v>
      </c>
      <c r="I979" s="1" t="s">
        <v>33</v>
      </c>
      <c r="J979" s="1">
        <v>0.3</v>
      </c>
      <c r="K979" s="1">
        <v>13000</v>
      </c>
      <c r="L979" s="2">
        <v>45299</v>
      </c>
    </row>
    <row r="980" spans="1:12" x14ac:dyDescent="0.35">
      <c r="A980" s="1" t="s">
        <v>1220</v>
      </c>
      <c r="B980" s="1" t="s">
        <v>153</v>
      </c>
      <c r="C980" s="1" t="s">
        <v>61</v>
      </c>
      <c r="D980" s="1" t="s">
        <v>62</v>
      </c>
      <c r="E980" s="1" t="s">
        <v>32</v>
      </c>
      <c r="F980" s="1" t="s">
        <v>25</v>
      </c>
      <c r="G980" s="1" t="s">
        <v>26</v>
      </c>
      <c r="H980" s="1">
        <v>10899</v>
      </c>
      <c r="I980" s="1" t="s">
        <v>22</v>
      </c>
      <c r="J980" s="1">
        <v>0.1</v>
      </c>
      <c r="K980" s="1">
        <v>9000</v>
      </c>
      <c r="L980" s="2">
        <v>45310</v>
      </c>
    </row>
    <row r="981" spans="1:12" x14ac:dyDescent="0.35">
      <c r="A981" s="1" t="s">
        <v>1221</v>
      </c>
      <c r="B981" s="1" t="s">
        <v>274</v>
      </c>
      <c r="C981" s="1" t="s">
        <v>44</v>
      </c>
      <c r="D981" s="1" t="s">
        <v>45</v>
      </c>
      <c r="E981" s="1" t="s">
        <v>46</v>
      </c>
      <c r="F981" s="1" t="s">
        <v>17</v>
      </c>
      <c r="G981" s="1" t="s">
        <v>36</v>
      </c>
      <c r="H981" s="1">
        <v>12818</v>
      </c>
      <c r="I981" s="1" t="s">
        <v>22</v>
      </c>
      <c r="J981" s="1">
        <v>0.1</v>
      </c>
      <c r="K981" s="1">
        <v>13000</v>
      </c>
      <c r="L981" s="2">
        <v>45310</v>
      </c>
    </row>
    <row r="982" spans="1:12" x14ac:dyDescent="0.35">
      <c r="A982" s="1" t="s">
        <v>1222</v>
      </c>
      <c r="B982" s="1" t="s">
        <v>229</v>
      </c>
      <c r="C982" s="1" t="s">
        <v>14</v>
      </c>
      <c r="D982" s="1" t="s">
        <v>15</v>
      </c>
      <c r="E982" s="1" t="s">
        <v>32</v>
      </c>
      <c r="F982" s="1" t="s">
        <v>39</v>
      </c>
      <c r="G982" s="1" t="s">
        <v>26</v>
      </c>
      <c r="H982" s="1">
        <v>13375</v>
      </c>
      <c r="I982" s="1"/>
      <c r="J982" s="1"/>
      <c r="K982" s="1">
        <v>14000</v>
      </c>
      <c r="L982" s="2">
        <v>45329</v>
      </c>
    </row>
    <row r="983" spans="1:12" x14ac:dyDescent="0.35">
      <c r="A983" s="1" t="s">
        <v>1223</v>
      </c>
      <c r="B983" s="1" t="s">
        <v>150</v>
      </c>
      <c r="C983" s="1" t="s">
        <v>30</v>
      </c>
      <c r="D983" s="1" t="s">
        <v>31</v>
      </c>
      <c r="E983" s="1" t="s">
        <v>46</v>
      </c>
      <c r="F983" s="1" t="s">
        <v>39</v>
      </c>
      <c r="G983" s="1" t="s">
        <v>26</v>
      </c>
      <c r="H983" s="1">
        <v>17854</v>
      </c>
      <c r="I983" s="1" t="s">
        <v>27</v>
      </c>
      <c r="J983" s="1"/>
      <c r="K983" s="1">
        <v>17000</v>
      </c>
      <c r="L983" s="2">
        <v>45345</v>
      </c>
    </row>
    <row r="984" spans="1:12" x14ac:dyDescent="0.35">
      <c r="A984" s="1" t="s">
        <v>1224</v>
      </c>
      <c r="B984" s="1" t="s">
        <v>544</v>
      </c>
      <c r="C984" s="1" t="s">
        <v>61</v>
      </c>
      <c r="D984" s="1" t="s">
        <v>62</v>
      </c>
      <c r="E984" s="1" t="s">
        <v>46</v>
      </c>
      <c r="F984" s="1" t="s">
        <v>39</v>
      </c>
      <c r="G984" s="1" t="s">
        <v>18</v>
      </c>
      <c r="H984" s="1">
        <v>10679</v>
      </c>
      <c r="I984" s="1" t="s">
        <v>33</v>
      </c>
      <c r="J984" s="1">
        <v>0.3</v>
      </c>
      <c r="K984" s="1">
        <v>9000</v>
      </c>
      <c r="L984" s="2">
        <v>45302</v>
      </c>
    </row>
    <row r="985" spans="1:12" x14ac:dyDescent="0.35">
      <c r="A985" s="1" t="s">
        <v>1225</v>
      </c>
      <c r="B985" s="1" t="s">
        <v>1073</v>
      </c>
      <c r="C985" s="1" t="s">
        <v>44</v>
      </c>
      <c r="D985" s="1" t="s">
        <v>45</v>
      </c>
      <c r="E985" s="1" t="s">
        <v>46</v>
      </c>
      <c r="F985" s="1" t="s">
        <v>17</v>
      </c>
      <c r="G985" s="1" t="s">
        <v>36</v>
      </c>
      <c r="H985" s="1">
        <v>14152</v>
      </c>
      <c r="I985" s="1" t="s">
        <v>22</v>
      </c>
      <c r="J985" s="1">
        <v>0.1</v>
      </c>
      <c r="K985" s="1">
        <v>13000</v>
      </c>
      <c r="L985" s="2">
        <v>45301</v>
      </c>
    </row>
    <row r="986" spans="1:12" x14ac:dyDescent="0.35">
      <c r="A986" s="1" t="s">
        <v>1226</v>
      </c>
      <c r="B986" s="1" t="s">
        <v>1105</v>
      </c>
      <c r="C986" s="1" t="s">
        <v>61</v>
      </c>
      <c r="D986" s="1" t="s">
        <v>62</v>
      </c>
      <c r="E986" s="1" t="s">
        <v>32</v>
      </c>
      <c r="F986" s="1" t="s">
        <v>39</v>
      </c>
      <c r="G986" s="1" t="s">
        <v>18</v>
      </c>
      <c r="H986" s="1">
        <v>9915</v>
      </c>
      <c r="I986" s="1" t="s">
        <v>27</v>
      </c>
      <c r="J986" s="1"/>
      <c r="K986" s="1">
        <v>9000</v>
      </c>
      <c r="L986" s="2">
        <v>45310</v>
      </c>
    </row>
    <row r="987" spans="1:12" x14ac:dyDescent="0.35">
      <c r="A987" s="1" t="s">
        <v>1227</v>
      </c>
      <c r="B987" s="1" t="s">
        <v>175</v>
      </c>
      <c r="C987" s="1" t="s">
        <v>44</v>
      </c>
      <c r="D987" s="1" t="s">
        <v>45</v>
      </c>
      <c r="E987" s="1" t="s">
        <v>32</v>
      </c>
      <c r="F987" s="1" t="s">
        <v>25</v>
      </c>
      <c r="G987" s="1" t="s">
        <v>18</v>
      </c>
      <c r="H987" s="1">
        <v>11168</v>
      </c>
      <c r="I987" s="1" t="s">
        <v>33</v>
      </c>
      <c r="J987" s="1">
        <v>0.3</v>
      </c>
      <c r="K987" s="1">
        <v>13000</v>
      </c>
      <c r="L987" s="2">
        <v>45328</v>
      </c>
    </row>
    <row r="988" spans="1:12" x14ac:dyDescent="0.35">
      <c r="A988" s="1" t="s">
        <v>1228</v>
      </c>
      <c r="B988" s="1" t="s">
        <v>429</v>
      </c>
      <c r="C988" s="1" t="s">
        <v>30</v>
      </c>
      <c r="D988" s="1" t="s">
        <v>31</v>
      </c>
      <c r="E988" s="1" t="s">
        <v>46</v>
      </c>
      <c r="F988" s="1" t="s">
        <v>25</v>
      </c>
      <c r="G988" s="1" t="s">
        <v>18</v>
      </c>
      <c r="H988" s="1">
        <v>17303</v>
      </c>
      <c r="I988" s="1" t="s">
        <v>22</v>
      </c>
      <c r="J988" s="1">
        <v>0.1</v>
      </c>
      <c r="K988" s="1">
        <v>17000</v>
      </c>
      <c r="L988" s="2">
        <v>45334</v>
      </c>
    </row>
    <row r="989" spans="1:12" x14ac:dyDescent="0.35">
      <c r="A989" s="1" t="s">
        <v>1229</v>
      </c>
      <c r="B989" s="1" t="s">
        <v>282</v>
      </c>
      <c r="C989" s="1" t="s">
        <v>44</v>
      </c>
      <c r="D989" s="1" t="s">
        <v>45</v>
      </c>
      <c r="E989" s="1" t="s">
        <v>46</v>
      </c>
      <c r="F989" s="1" t="s">
        <v>17</v>
      </c>
      <c r="G989" s="1" t="s">
        <v>26</v>
      </c>
      <c r="H989" s="1">
        <v>14995</v>
      </c>
      <c r="I989" s="1" t="s">
        <v>19</v>
      </c>
      <c r="J989" s="1">
        <v>0.2</v>
      </c>
      <c r="K989" s="1">
        <v>13000</v>
      </c>
      <c r="L989" s="2">
        <v>45326</v>
      </c>
    </row>
    <row r="990" spans="1:12" x14ac:dyDescent="0.35">
      <c r="A990" s="1" t="s">
        <v>1230</v>
      </c>
      <c r="B990" s="1" t="s">
        <v>222</v>
      </c>
      <c r="C990" s="1" t="s">
        <v>14</v>
      </c>
      <c r="D990" s="1" t="s">
        <v>15</v>
      </c>
      <c r="E990" s="1" t="s">
        <v>46</v>
      </c>
      <c r="F990" s="1" t="s">
        <v>17</v>
      </c>
      <c r="G990" s="1" t="s">
        <v>18</v>
      </c>
      <c r="H990" s="1">
        <v>15882</v>
      </c>
      <c r="I990" s="1"/>
      <c r="J990" s="1"/>
      <c r="K990" s="1">
        <v>14000</v>
      </c>
      <c r="L990" s="2">
        <v>45351</v>
      </c>
    </row>
    <row r="991" spans="1:12" x14ac:dyDescent="0.35">
      <c r="A991" s="1" t="s">
        <v>1231</v>
      </c>
      <c r="B991" s="1" t="s">
        <v>728</v>
      </c>
      <c r="C991" s="1" t="s">
        <v>14</v>
      </c>
      <c r="D991" s="1" t="s">
        <v>15</v>
      </c>
      <c r="E991" s="1" t="s">
        <v>16</v>
      </c>
      <c r="F991" s="1" t="s">
        <v>39</v>
      </c>
      <c r="G991" s="1" t="s">
        <v>26</v>
      </c>
      <c r="H991" s="1">
        <v>13356</v>
      </c>
      <c r="I991" s="1" t="s">
        <v>33</v>
      </c>
      <c r="J991" s="1">
        <v>0.3</v>
      </c>
      <c r="K991" s="1">
        <v>14000</v>
      </c>
      <c r="L991" s="2">
        <v>45322</v>
      </c>
    </row>
    <row r="992" spans="1:12" x14ac:dyDescent="0.35">
      <c r="A992" s="1" t="s">
        <v>1232</v>
      </c>
      <c r="B992" s="1" t="s">
        <v>111</v>
      </c>
      <c r="C992" s="1" t="s">
        <v>44</v>
      </c>
      <c r="D992" s="1" t="s">
        <v>45</v>
      </c>
      <c r="E992" s="1" t="s">
        <v>16</v>
      </c>
      <c r="F992" s="1" t="s">
        <v>39</v>
      </c>
      <c r="G992" s="1" t="s">
        <v>36</v>
      </c>
      <c r="H992" s="1">
        <v>12387</v>
      </c>
      <c r="I992" s="1" t="s">
        <v>22</v>
      </c>
      <c r="J992" s="1">
        <v>0.1</v>
      </c>
      <c r="K992" s="1">
        <v>13000</v>
      </c>
      <c r="L992" s="2">
        <v>45338</v>
      </c>
    </row>
    <row r="993" spans="1:12" x14ac:dyDescent="0.35">
      <c r="A993" s="1" t="s">
        <v>1233</v>
      </c>
      <c r="B993" s="1" t="s">
        <v>711</v>
      </c>
      <c r="C993" s="1" t="s">
        <v>44</v>
      </c>
      <c r="D993" s="1" t="s">
        <v>45</v>
      </c>
      <c r="E993" s="1" t="s">
        <v>16</v>
      </c>
      <c r="F993" s="1" t="s">
        <v>39</v>
      </c>
      <c r="G993" s="1" t="s">
        <v>18</v>
      </c>
      <c r="H993" s="1">
        <v>12261</v>
      </c>
      <c r="I993" s="1" t="s">
        <v>22</v>
      </c>
      <c r="J993" s="1">
        <v>0.1</v>
      </c>
      <c r="K993" s="1">
        <v>13000</v>
      </c>
      <c r="L993" s="2">
        <v>45317</v>
      </c>
    </row>
    <row r="994" spans="1:12" x14ac:dyDescent="0.35">
      <c r="A994" s="1" t="s">
        <v>1234</v>
      </c>
      <c r="B994" s="1" t="s">
        <v>837</v>
      </c>
      <c r="C994" s="1" t="s">
        <v>44</v>
      </c>
      <c r="D994" s="1" t="s">
        <v>45</v>
      </c>
      <c r="E994" s="1" t="s">
        <v>46</v>
      </c>
      <c r="F994" s="1" t="s">
        <v>17</v>
      </c>
      <c r="G994" s="1" t="s">
        <v>18</v>
      </c>
      <c r="H994" s="1">
        <v>12336</v>
      </c>
      <c r="I994" s="1" t="s">
        <v>22</v>
      </c>
      <c r="J994" s="1">
        <v>0.1</v>
      </c>
      <c r="K994" s="1">
        <v>13000</v>
      </c>
      <c r="L994" s="2">
        <v>45330</v>
      </c>
    </row>
    <row r="995" spans="1:12" x14ac:dyDescent="0.35">
      <c r="A995" s="1" t="s">
        <v>1235</v>
      </c>
      <c r="B995" s="1" t="s">
        <v>239</v>
      </c>
      <c r="C995" s="1" t="s">
        <v>44</v>
      </c>
      <c r="D995" s="1" t="s">
        <v>45</v>
      </c>
      <c r="E995" s="1" t="s">
        <v>46</v>
      </c>
      <c r="F995" s="1" t="s">
        <v>25</v>
      </c>
      <c r="G995" s="1" t="s">
        <v>18</v>
      </c>
      <c r="H995" s="1">
        <v>11342</v>
      </c>
      <c r="I995" s="1" t="s">
        <v>27</v>
      </c>
      <c r="J995" s="1"/>
      <c r="K995" s="1">
        <v>13000</v>
      </c>
      <c r="L995" s="2">
        <v>45346</v>
      </c>
    </row>
    <row r="996" spans="1:12" x14ac:dyDescent="0.35">
      <c r="A996" s="1" t="s">
        <v>1236</v>
      </c>
      <c r="B996" s="1" t="s">
        <v>332</v>
      </c>
      <c r="C996" s="1" t="s">
        <v>14</v>
      </c>
      <c r="D996" s="1" t="s">
        <v>15</v>
      </c>
      <c r="E996" s="1" t="s">
        <v>16</v>
      </c>
      <c r="F996" s="1" t="s">
        <v>17</v>
      </c>
      <c r="G996" s="1" t="s">
        <v>18</v>
      </c>
      <c r="H996" s="1">
        <v>14008</v>
      </c>
      <c r="I996" s="1" t="s">
        <v>33</v>
      </c>
      <c r="J996" s="1">
        <v>0.3</v>
      </c>
      <c r="K996" s="1">
        <v>14000</v>
      </c>
      <c r="L996" s="2">
        <v>45330</v>
      </c>
    </row>
    <row r="997" spans="1:12" x14ac:dyDescent="0.35">
      <c r="A997" s="1" t="s">
        <v>1237</v>
      </c>
      <c r="B997" s="1" t="s">
        <v>86</v>
      </c>
      <c r="C997" s="1" t="s">
        <v>14</v>
      </c>
      <c r="D997" s="1" t="s">
        <v>15</v>
      </c>
      <c r="E997" s="1" t="s">
        <v>16</v>
      </c>
      <c r="F997" s="1" t="s">
        <v>17</v>
      </c>
      <c r="G997" s="1" t="s">
        <v>36</v>
      </c>
      <c r="H997" s="1">
        <v>12605</v>
      </c>
      <c r="I997" s="1"/>
      <c r="J997" s="1"/>
      <c r="K997" s="1">
        <v>14000</v>
      </c>
      <c r="L997" s="2">
        <v>45315</v>
      </c>
    </row>
    <row r="998" spans="1:12" x14ac:dyDescent="0.35">
      <c r="A998" s="1" t="s">
        <v>1238</v>
      </c>
      <c r="B998" s="1" t="s">
        <v>474</v>
      </c>
      <c r="C998" s="1" t="s">
        <v>14</v>
      </c>
      <c r="D998" s="1" t="s">
        <v>15</v>
      </c>
      <c r="E998" s="1" t="s">
        <v>46</v>
      </c>
      <c r="F998" s="1" t="s">
        <v>17</v>
      </c>
      <c r="G998" s="1" t="s">
        <v>36</v>
      </c>
      <c r="H998" s="1">
        <v>13261</v>
      </c>
      <c r="I998" s="1"/>
      <c r="J998" s="1"/>
      <c r="K998" s="1">
        <v>14000</v>
      </c>
      <c r="L998" s="2">
        <v>45347</v>
      </c>
    </row>
    <row r="999" spans="1:12" x14ac:dyDescent="0.35">
      <c r="A999" s="1" t="s">
        <v>1239</v>
      </c>
      <c r="B999" s="1" t="s">
        <v>905</v>
      </c>
      <c r="C999" s="1" t="s">
        <v>44</v>
      </c>
      <c r="D999" s="1" t="s">
        <v>45</v>
      </c>
      <c r="E999" s="1" t="s">
        <v>16</v>
      </c>
      <c r="F999" s="1" t="s">
        <v>17</v>
      </c>
      <c r="G999" s="1" t="s">
        <v>26</v>
      </c>
      <c r="H999" s="1">
        <v>12702</v>
      </c>
      <c r="I999" s="1"/>
      <c r="J999" s="1"/>
      <c r="K999" s="1">
        <v>13000</v>
      </c>
      <c r="L999" s="2">
        <v>45310</v>
      </c>
    </row>
    <row r="1000" spans="1:12" x14ac:dyDescent="0.35">
      <c r="A1000" s="1" t="s">
        <v>1240</v>
      </c>
      <c r="B1000" s="1" t="s">
        <v>135</v>
      </c>
      <c r="C1000" s="1" t="s">
        <v>61</v>
      </c>
      <c r="D1000" s="1" t="s">
        <v>62</v>
      </c>
      <c r="E1000" s="1" t="s">
        <v>16</v>
      </c>
      <c r="F1000" s="1" t="s">
        <v>17</v>
      </c>
      <c r="G1000" s="1" t="s">
        <v>18</v>
      </c>
      <c r="H1000" s="1">
        <v>10422</v>
      </c>
      <c r="I1000" s="1" t="s">
        <v>27</v>
      </c>
      <c r="J1000" s="1"/>
      <c r="K1000" s="1">
        <v>9000</v>
      </c>
      <c r="L1000" s="2">
        <v>45330</v>
      </c>
    </row>
    <row r="1001" spans="1:12"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83145-8617-4F84-B1ED-72A3B69FFBA1}">
  <dimension ref="A1:Q1001"/>
  <sheetViews>
    <sheetView topLeftCell="C1" workbookViewId="0">
      <selection activeCell="O7" sqref="O7"/>
    </sheetView>
  </sheetViews>
  <sheetFormatPr defaultRowHeight="14.5" x14ac:dyDescent="0.35"/>
  <cols>
    <col min="1" max="1" width="8.81640625" bestFit="1" customWidth="1"/>
    <col min="2" max="2" width="13.54296875" bestFit="1" customWidth="1"/>
    <col min="3" max="3" width="8.36328125" bestFit="1" customWidth="1"/>
    <col min="4" max="4" width="12.453125" bestFit="1" customWidth="1"/>
    <col min="5" max="5" width="7.26953125" bestFit="1" customWidth="1"/>
    <col min="6" max="6" width="11.36328125" bestFit="1" customWidth="1"/>
    <col min="7" max="7" width="7.7265625" bestFit="1" customWidth="1"/>
    <col min="8" max="8" width="14.26953125" bestFit="1" customWidth="1"/>
    <col min="9" max="9" width="12.36328125" bestFit="1" customWidth="1"/>
    <col min="10" max="10" width="14.54296875" bestFit="1" customWidth="1"/>
    <col min="11" max="11" width="12.90625" bestFit="1" customWidth="1"/>
    <col min="12" max="12" width="11.816406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row>
    <row r="2" spans="1:17" x14ac:dyDescent="0.35">
      <c r="A2" s="1" t="s">
        <v>12</v>
      </c>
      <c r="B2" s="1" t="s">
        <v>13</v>
      </c>
      <c r="C2" s="1" t="s">
        <v>14</v>
      </c>
      <c r="D2" s="1" t="s">
        <v>15</v>
      </c>
      <c r="E2" s="1" t="s">
        <v>16</v>
      </c>
      <c r="F2" s="1" t="s">
        <v>17</v>
      </c>
      <c r="G2" s="1" t="s">
        <v>18</v>
      </c>
      <c r="H2" s="1">
        <v>12914</v>
      </c>
      <c r="I2" s="1" t="s">
        <v>19</v>
      </c>
      <c r="J2" s="1">
        <v>0.2</v>
      </c>
      <c r="K2" s="1">
        <v>14000</v>
      </c>
      <c r="L2" s="2">
        <v>45339</v>
      </c>
    </row>
    <row r="3" spans="1:17" x14ac:dyDescent="0.35">
      <c r="A3" s="1" t="s">
        <v>20</v>
      </c>
      <c r="B3" s="1" t="s">
        <v>21</v>
      </c>
      <c r="C3" s="1" t="s">
        <v>14</v>
      </c>
      <c r="D3" s="1" t="s">
        <v>15</v>
      </c>
      <c r="E3" s="1" t="s">
        <v>16</v>
      </c>
      <c r="F3" s="1" t="s">
        <v>17</v>
      </c>
      <c r="G3" s="1" t="s">
        <v>18</v>
      </c>
      <c r="H3" s="1">
        <v>12122</v>
      </c>
      <c r="I3" s="1" t="s">
        <v>22</v>
      </c>
      <c r="J3" s="1">
        <v>0.1</v>
      </c>
      <c r="K3" s="1">
        <v>14000</v>
      </c>
      <c r="L3" s="2">
        <v>45305</v>
      </c>
      <c r="N3" s="6"/>
      <c r="O3" s="19" t="s">
        <v>1256</v>
      </c>
      <c r="P3" s="6"/>
      <c r="Q3" s="12">
        <f>COUNTIFS($D$2:$D$1001,"Data Analytics",$G$2:$G$1001,"Web")</f>
        <v>65</v>
      </c>
    </row>
    <row r="4" spans="1:17" x14ac:dyDescent="0.35">
      <c r="A4" s="1" t="s">
        <v>23</v>
      </c>
      <c r="B4" s="1" t="s">
        <v>24</v>
      </c>
      <c r="C4" s="1" t="s">
        <v>14</v>
      </c>
      <c r="D4" s="1" t="s">
        <v>15</v>
      </c>
      <c r="E4" s="1" t="s">
        <v>16</v>
      </c>
      <c r="F4" s="1" t="s">
        <v>25</v>
      </c>
      <c r="G4" s="1" t="s">
        <v>26</v>
      </c>
      <c r="H4" s="1">
        <v>14661</v>
      </c>
      <c r="I4" s="1" t="s">
        <v>27</v>
      </c>
      <c r="J4" s="1"/>
      <c r="K4" s="1">
        <v>14000</v>
      </c>
      <c r="L4" s="2">
        <v>45318</v>
      </c>
    </row>
    <row r="5" spans="1:17" x14ac:dyDescent="0.35">
      <c r="A5" s="1" t="s">
        <v>28</v>
      </c>
      <c r="B5" s="1" t="s">
        <v>29</v>
      </c>
      <c r="C5" s="1" t="s">
        <v>30</v>
      </c>
      <c r="D5" s="1" t="s">
        <v>31</v>
      </c>
      <c r="E5" s="1" t="s">
        <v>32</v>
      </c>
      <c r="F5" s="1" t="s">
        <v>25</v>
      </c>
      <c r="G5" s="1" t="s">
        <v>26</v>
      </c>
      <c r="H5" s="1">
        <v>16731</v>
      </c>
      <c r="I5" s="1" t="s">
        <v>33</v>
      </c>
      <c r="J5" s="1">
        <v>0.3</v>
      </c>
      <c r="K5" s="1">
        <v>17000</v>
      </c>
      <c r="L5" s="2">
        <v>45309</v>
      </c>
    </row>
    <row r="6" spans="1:17" x14ac:dyDescent="0.35">
      <c r="A6" s="1" t="s">
        <v>34</v>
      </c>
      <c r="B6" s="1" t="s">
        <v>35</v>
      </c>
      <c r="C6" s="1" t="s">
        <v>30</v>
      </c>
      <c r="D6" s="1" t="s">
        <v>31</v>
      </c>
      <c r="E6" s="1" t="s">
        <v>32</v>
      </c>
      <c r="F6" s="1" t="s">
        <v>25</v>
      </c>
      <c r="G6" s="1" t="s">
        <v>36</v>
      </c>
      <c r="H6" s="1">
        <v>15396</v>
      </c>
      <c r="I6" s="1" t="s">
        <v>33</v>
      </c>
      <c r="J6" s="1">
        <v>0.3</v>
      </c>
      <c r="K6" s="1">
        <v>17000</v>
      </c>
      <c r="L6" s="2">
        <v>45346</v>
      </c>
    </row>
    <row r="7" spans="1:17" x14ac:dyDescent="0.35">
      <c r="A7" s="1" t="s">
        <v>37</v>
      </c>
      <c r="B7" s="1" t="s">
        <v>38</v>
      </c>
      <c r="C7" s="1" t="s">
        <v>30</v>
      </c>
      <c r="D7" s="1" t="s">
        <v>31</v>
      </c>
      <c r="E7" s="1" t="s">
        <v>32</v>
      </c>
      <c r="F7" s="1" t="s">
        <v>39</v>
      </c>
      <c r="G7" s="1" t="s">
        <v>36</v>
      </c>
      <c r="H7" s="1">
        <v>17196</v>
      </c>
      <c r="I7" s="1" t="s">
        <v>22</v>
      </c>
      <c r="J7" s="1">
        <v>0.1</v>
      </c>
      <c r="K7" s="1">
        <v>17000</v>
      </c>
      <c r="L7" s="2">
        <v>45351</v>
      </c>
    </row>
    <row r="8" spans="1:17" x14ac:dyDescent="0.35">
      <c r="A8" s="1" t="s">
        <v>40</v>
      </c>
      <c r="B8" s="1" t="s">
        <v>41</v>
      </c>
      <c r="C8" s="1" t="s">
        <v>30</v>
      </c>
      <c r="D8" s="1" t="s">
        <v>31</v>
      </c>
      <c r="E8" s="1" t="s">
        <v>16</v>
      </c>
      <c r="F8" s="1" t="s">
        <v>39</v>
      </c>
      <c r="G8" s="1" t="s">
        <v>36</v>
      </c>
      <c r="H8" s="1">
        <v>17364</v>
      </c>
      <c r="I8" s="1" t="s">
        <v>19</v>
      </c>
      <c r="J8" s="1">
        <v>0.2</v>
      </c>
      <c r="K8" s="1">
        <v>17000</v>
      </c>
      <c r="L8" s="2">
        <v>45337</v>
      </c>
    </row>
    <row r="9" spans="1:17" x14ac:dyDescent="0.35">
      <c r="A9" s="1" t="s">
        <v>42</v>
      </c>
      <c r="B9" s="1" t="s">
        <v>43</v>
      </c>
      <c r="C9" s="1" t="s">
        <v>44</v>
      </c>
      <c r="D9" s="1" t="s">
        <v>45</v>
      </c>
      <c r="E9" s="1" t="s">
        <v>46</v>
      </c>
      <c r="F9" s="1" t="s">
        <v>25</v>
      </c>
      <c r="G9" s="1" t="s">
        <v>18</v>
      </c>
      <c r="H9" s="1">
        <v>14549</v>
      </c>
      <c r="I9" s="1" t="s">
        <v>22</v>
      </c>
      <c r="J9" s="1">
        <v>0.1</v>
      </c>
      <c r="K9" s="1">
        <v>13000</v>
      </c>
      <c r="L9" s="2">
        <v>45316</v>
      </c>
    </row>
    <row r="10" spans="1:17" x14ac:dyDescent="0.35">
      <c r="A10" s="1" t="s">
        <v>47</v>
      </c>
      <c r="B10" s="1" t="s">
        <v>48</v>
      </c>
      <c r="C10" s="1" t="s">
        <v>30</v>
      </c>
      <c r="D10" s="1" t="s">
        <v>31</v>
      </c>
      <c r="E10" s="1" t="s">
        <v>32</v>
      </c>
      <c r="F10" s="1" t="s">
        <v>17</v>
      </c>
      <c r="G10" s="1" t="s">
        <v>36</v>
      </c>
      <c r="H10" s="1">
        <v>15858</v>
      </c>
      <c r="I10" s="1" t="s">
        <v>33</v>
      </c>
      <c r="J10" s="1">
        <v>0.3</v>
      </c>
      <c r="K10" s="1">
        <v>17000</v>
      </c>
      <c r="L10" s="2">
        <v>45336</v>
      </c>
    </row>
    <row r="11" spans="1:17" x14ac:dyDescent="0.35">
      <c r="A11" s="1" t="s">
        <v>49</v>
      </c>
      <c r="B11" s="1" t="s">
        <v>50</v>
      </c>
      <c r="C11" s="1" t="s">
        <v>14</v>
      </c>
      <c r="D11" s="1" t="s">
        <v>15</v>
      </c>
      <c r="E11" s="1" t="s">
        <v>16</v>
      </c>
      <c r="F11" s="1" t="s">
        <v>39</v>
      </c>
      <c r="G11" s="1" t="s">
        <v>18</v>
      </c>
      <c r="H11" s="1">
        <v>14187</v>
      </c>
      <c r="I11" s="1" t="s">
        <v>19</v>
      </c>
      <c r="J11" s="1">
        <v>0.2</v>
      </c>
      <c r="K11" s="1">
        <v>14000</v>
      </c>
      <c r="L11" s="2">
        <v>45302</v>
      </c>
    </row>
    <row r="12" spans="1:17" x14ac:dyDescent="0.35">
      <c r="A12" s="1" t="s">
        <v>51</v>
      </c>
      <c r="B12" s="1" t="s">
        <v>52</v>
      </c>
      <c r="C12" s="1" t="s">
        <v>30</v>
      </c>
      <c r="D12" s="1" t="s">
        <v>31</v>
      </c>
      <c r="E12" s="1" t="s">
        <v>16</v>
      </c>
      <c r="F12" s="1" t="s">
        <v>39</v>
      </c>
      <c r="G12" s="1" t="s">
        <v>26</v>
      </c>
      <c r="H12" s="1">
        <v>15899</v>
      </c>
      <c r="I12" s="1" t="s">
        <v>33</v>
      </c>
      <c r="J12" s="1">
        <v>0.3</v>
      </c>
      <c r="K12" s="1">
        <v>17000</v>
      </c>
      <c r="L12" s="2">
        <v>45345</v>
      </c>
    </row>
    <row r="13" spans="1:17" x14ac:dyDescent="0.35">
      <c r="A13" s="1" t="s">
        <v>53</v>
      </c>
      <c r="B13" s="1" t="s">
        <v>54</v>
      </c>
      <c r="C13" s="1" t="s">
        <v>14</v>
      </c>
      <c r="D13" s="1" t="s">
        <v>15</v>
      </c>
      <c r="E13" s="1" t="s">
        <v>32</v>
      </c>
      <c r="F13" s="1" t="s">
        <v>25</v>
      </c>
      <c r="G13" s="1" t="s">
        <v>36</v>
      </c>
      <c r="H13" s="1">
        <v>13643</v>
      </c>
      <c r="I13" s="1" t="s">
        <v>33</v>
      </c>
      <c r="J13" s="1">
        <v>0.3</v>
      </c>
      <c r="K13" s="1">
        <v>14000</v>
      </c>
      <c r="L13" s="2">
        <v>45296</v>
      </c>
    </row>
    <row r="14" spans="1:17" x14ac:dyDescent="0.35">
      <c r="A14" s="1" t="s">
        <v>55</v>
      </c>
      <c r="B14" s="1" t="s">
        <v>56</v>
      </c>
      <c r="C14" s="1" t="s">
        <v>30</v>
      </c>
      <c r="D14" s="1" t="s">
        <v>31</v>
      </c>
      <c r="E14" s="1" t="s">
        <v>32</v>
      </c>
      <c r="F14" s="1" t="s">
        <v>39</v>
      </c>
      <c r="G14" s="1" t="s">
        <v>36</v>
      </c>
      <c r="H14" s="1">
        <v>16620</v>
      </c>
      <c r="I14" s="1"/>
      <c r="J14" s="1"/>
      <c r="K14" s="1">
        <v>17000</v>
      </c>
      <c r="L14" s="2">
        <v>45301</v>
      </c>
    </row>
    <row r="15" spans="1:17" x14ac:dyDescent="0.35">
      <c r="A15" s="1" t="s">
        <v>57</v>
      </c>
      <c r="B15" s="1" t="s">
        <v>58</v>
      </c>
      <c r="C15" s="1" t="s">
        <v>44</v>
      </c>
      <c r="D15" s="1" t="s">
        <v>45</v>
      </c>
      <c r="E15" s="1" t="s">
        <v>16</v>
      </c>
      <c r="F15" s="1" t="s">
        <v>39</v>
      </c>
      <c r="G15" s="1" t="s">
        <v>26</v>
      </c>
      <c r="H15" s="1">
        <v>12076</v>
      </c>
      <c r="I15" s="1" t="s">
        <v>27</v>
      </c>
      <c r="J15" s="1"/>
      <c r="K15" s="1">
        <v>13000</v>
      </c>
      <c r="L15" s="2">
        <v>45319</v>
      </c>
    </row>
    <row r="16" spans="1:17" x14ac:dyDescent="0.35">
      <c r="A16" s="1" t="s">
        <v>59</v>
      </c>
      <c r="B16" s="1" t="s">
        <v>60</v>
      </c>
      <c r="C16" s="1" t="s">
        <v>61</v>
      </c>
      <c r="D16" s="1" t="s">
        <v>62</v>
      </c>
      <c r="E16" s="1" t="s">
        <v>46</v>
      </c>
      <c r="F16" s="1" t="s">
        <v>25</v>
      </c>
      <c r="G16" s="1" t="s">
        <v>18</v>
      </c>
      <c r="H16" s="1">
        <v>9087</v>
      </c>
      <c r="I16" s="1"/>
      <c r="J16" s="1"/>
      <c r="K16" s="1">
        <v>9000</v>
      </c>
      <c r="L16" s="2">
        <v>45297</v>
      </c>
    </row>
    <row r="17" spans="1:12" x14ac:dyDescent="0.35">
      <c r="A17" s="1" t="s">
        <v>63</v>
      </c>
      <c r="B17" s="1" t="s">
        <v>64</v>
      </c>
      <c r="C17" s="1" t="s">
        <v>14</v>
      </c>
      <c r="D17" s="1" t="s">
        <v>15</v>
      </c>
      <c r="E17" s="1" t="s">
        <v>32</v>
      </c>
      <c r="F17" s="1" t="s">
        <v>39</v>
      </c>
      <c r="G17" s="1" t="s">
        <v>18</v>
      </c>
      <c r="H17" s="1">
        <v>15244</v>
      </c>
      <c r="I17" s="1"/>
      <c r="J17" s="1"/>
      <c r="K17" s="1">
        <v>14000</v>
      </c>
      <c r="L17" s="2">
        <v>45330</v>
      </c>
    </row>
    <row r="18" spans="1:12" x14ac:dyDescent="0.35">
      <c r="A18" s="1" t="s">
        <v>65</v>
      </c>
      <c r="B18" s="1" t="s">
        <v>66</v>
      </c>
      <c r="C18" s="1" t="s">
        <v>61</v>
      </c>
      <c r="D18" s="1" t="s">
        <v>62</v>
      </c>
      <c r="E18" s="1" t="s">
        <v>16</v>
      </c>
      <c r="F18" s="1" t="s">
        <v>17</v>
      </c>
      <c r="G18" s="1" t="s">
        <v>26</v>
      </c>
      <c r="H18" s="1">
        <v>8029</v>
      </c>
      <c r="I18" s="1" t="s">
        <v>27</v>
      </c>
      <c r="J18" s="1"/>
      <c r="K18" s="1">
        <v>9000</v>
      </c>
      <c r="L18" s="2">
        <v>45347</v>
      </c>
    </row>
    <row r="19" spans="1:12" x14ac:dyDescent="0.35">
      <c r="A19" s="1" t="s">
        <v>67</v>
      </c>
      <c r="B19" s="1" t="s">
        <v>68</v>
      </c>
      <c r="C19" s="1" t="s">
        <v>14</v>
      </c>
      <c r="D19" s="1" t="s">
        <v>15</v>
      </c>
      <c r="E19" s="1" t="s">
        <v>16</v>
      </c>
      <c r="F19" s="1" t="s">
        <v>39</v>
      </c>
      <c r="G19" s="1" t="s">
        <v>36</v>
      </c>
      <c r="H19" s="1">
        <v>15148</v>
      </c>
      <c r="I19" s="1" t="s">
        <v>33</v>
      </c>
      <c r="J19" s="1">
        <v>0.3</v>
      </c>
      <c r="K19" s="1">
        <v>14000</v>
      </c>
      <c r="L19" s="2">
        <v>45299</v>
      </c>
    </row>
    <row r="20" spans="1:12" x14ac:dyDescent="0.35">
      <c r="A20" s="1" t="s">
        <v>69</v>
      </c>
      <c r="B20" s="1" t="s">
        <v>70</v>
      </c>
      <c r="C20" s="1" t="s">
        <v>44</v>
      </c>
      <c r="D20" s="1" t="s">
        <v>45</v>
      </c>
      <c r="E20" s="1" t="s">
        <v>46</v>
      </c>
      <c r="F20" s="1" t="s">
        <v>25</v>
      </c>
      <c r="G20" s="1" t="s">
        <v>26</v>
      </c>
      <c r="H20" s="1">
        <v>14587</v>
      </c>
      <c r="I20" s="1" t="s">
        <v>33</v>
      </c>
      <c r="J20" s="1">
        <v>0.3</v>
      </c>
      <c r="K20" s="1">
        <v>13000</v>
      </c>
      <c r="L20" s="2">
        <v>45324</v>
      </c>
    </row>
    <row r="21" spans="1:12" x14ac:dyDescent="0.35">
      <c r="A21" s="1" t="s">
        <v>71</v>
      </c>
      <c r="B21" s="1" t="s">
        <v>72</v>
      </c>
      <c r="C21" s="1" t="s">
        <v>14</v>
      </c>
      <c r="D21" s="1" t="s">
        <v>15</v>
      </c>
      <c r="E21" s="1" t="s">
        <v>16</v>
      </c>
      <c r="F21" s="1" t="s">
        <v>17</v>
      </c>
      <c r="G21" s="1" t="s">
        <v>26</v>
      </c>
      <c r="H21" s="1">
        <v>14079</v>
      </c>
      <c r="I21" s="1" t="s">
        <v>27</v>
      </c>
      <c r="J21" s="1"/>
      <c r="K21" s="1">
        <v>14000</v>
      </c>
      <c r="L21" s="2">
        <v>45304</v>
      </c>
    </row>
    <row r="22" spans="1:12" x14ac:dyDescent="0.35">
      <c r="A22" s="1" t="s">
        <v>73</v>
      </c>
      <c r="B22" s="1" t="s">
        <v>74</v>
      </c>
      <c r="C22" s="1" t="s">
        <v>44</v>
      </c>
      <c r="D22" s="1" t="s">
        <v>45</v>
      </c>
      <c r="E22" s="1" t="s">
        <v>16</v>
      </c>
      <c r="F22" s="1" t="s">
        <v>39</v>
      </c>
      <c r="G22" s="1" t="s">
        <v>18</v>
      </c>
      <c r="H22" s="1">
        <v>13453</v>
      </c>
      <c r="I22" s="1" t="s">
        <v>33</v>
      </c>
      <c r="J22" s="1">
        <v>0.3</v>
      </c>
      <c r="K22" s="1">
        <v>13000</v>
      </c>
      <c r="L22" s="2">
        <v>45323</v>
      </c>
    </row>
    <row r="23" spans="1:12" x14ac:dyDescent="0.35">
      <c r="A23" s="1" t="s">
        <v>75</v>
      </c>
      <c r="B23" s="1" t="s">
        <v>76</v>
      </c>
      <c r="C23" s="1" t="s">
        <v>30</v>
      </c>
      <c r="D23" s="1" t="s">
        <v>31</v>
      </c>
      <c r="E23" s="1" t="s">
        <v>46</v>
      </c>
      <c r="F23" s="1" t="s">
        <v>25</v>
      </c>
      <c r="G23" s="1" t="s">
        <v>18</v>
      </c>
      <c r="H23" s="1">
        <v>15986</v>
      </c>
      <c r="I23" s="1" t="s">
        <v>27</v>
      </c>
      <c r="J23" s="1"/>
      <c r="K23" s="1">
        <v>17000</v>
      </c>
      <c r="L23" s="2">
        <v>45352</v>
      </c>
    </row>
    <row r="24" spans="1:12" x14ac:dyDescent="0.35">
      <c r="A24" s="1" t="s">
        <v>77</v>
      </c>
      <c r="B24" s="1" t="s">
        <v>78</v>
      </c>
      <c r="C24" s="1" t="s">
        <v>61</v>
      </c>
      <c r="D24" s="1" t="s">
        <v>62</v>
      </c>
      <c r="E24" s="1" t="s">
        <v>32</v>
      </c>
      <c r="F24" s="1" t="s">
        <v>39</v>
      </c>
      <c r="G24" s="1" t="s">
        <v>18</v>
      </c>
      <c r="H24" s="1">
        <v>7525</v>
      </c>
      <c r="I24" s="1"/>
      <c r="J24" s="1"/>
      <c r="K24" s="1">
        <v>9000</v>
      </c>
      <c r="L24" s="2">
        <v>45352</v>
      </c>
    </row>
    <row r="25" spans="1:12" x14ac:dyDescent="0.35">
      <c r="A25" s="1" t="s">
        <v>79</v>
      </c>
      <c r="B25" s="1" t="s">
        <v>80</v>
      </c>
      <c r="C25" s="1" t="s">
        <v>30</v>
      </c>
      <c r="D25" s="1" t="s">
        <v>31</v>
      </c>
      <c r="E25" s="1" t="s">
        <v>16</v>
      </c>
      <c r="F25" s="1" t="s">
        <v>39</v>
      </c>
      <c r="G25" s="1" t="s">
        <v>36</v>
      </c>
      <c r="H25" s="1">
        <v>18950</v>
      </c>
      <c r="I25" s="1" t="s">
        <v>19</v>
      </c>
      <c r="J25" s="1">
        <v>0.2</v>
      </c>
      <c r="K25" s="1">
        <v>17000</v>
      </c>
      <c r="L25" s="2">
        <v>45351</v>
      </c>
    </row>
    <row r="26" spans="1:12" x14ac:dyDescent="0.35">
      <c r="A26" s="1" t="s">
        <v>81</v>
      </c>
      <c r="B26" s="1" t="s">
        <v>82</v>
      </c>
      <c r="C26" s="1" t="s">
        <v>44</v>
      </c>
      <c r="D26" s="1" t="s">
        <v>45</v>
      </c>
      <c r="E26" s="1" t="s">
        <v>16</v>
      </c>
      <c r="F26" s="1" t="s">
        <v>17</v>
      </c>
      <c r="G26" s="1" t="s">
        <v>36</v>
      </c>
      <c r="H26" s="1">
        <v>13751</v>
      </c>
      <c r="I26" s="1" t="s">
        <v>33</v>
      </c>
      <c r="J26" s="1">
        <v>0.3</v>
      </c>
      <c r="K26" s="1">
        <v>13000</v>
      </c>
      <c r="L26" s="2">
        <v>45320</v>
      </c>
    </row>
    <row r="27" spans="1:12" x14ac:dyDescent="0.35">
      <c r="A27" s="1" t="s">
        <v>83</v>
      </c>
      <c r="B27" s="1" t="s">
        <v>84</v>
      </c>
      <c r="C27" s="1" t="s">
        <v>61</v>
      </c>
      <c r="D27" s="1" t="s">
        <v>62</v>
      </c>
      <c r="E27" s="1" t="s">
        <v>32</v>
      </c>
      <c r="F27" s="1" t="s">
        <v>25</v>
      </c>
      <c r="G27" s="1" t="s">
        <v>18</v>
      </c>
      <c r="H27" s="1">
        <v>7262</v>
      </c>
      <c r="I27" s="1" t="s">
        <v>33</v>
      </c>
      <c r="J27" s="1">
        <v>0.3</v>
      </c>
      <c r="K27" s="1">
        <v>9000</v>
      </c>
      <c r="L27" s="2">
        <v>45293</v>
      </c>
    </row>
    <row r="28" spans="1:12" x14ac:dyDescent="0.35">
      <c r="A28" s="1" t="s">
        <v>85</v>
      </c>
      <c r="B28" s="1" t="s">
        <v>86</v>
      </c>
      <c r="C28" s="1" t="s">
        <v>44</v>
      </c>
      <c r="D28" s="1" t="s">
        <v>45</v>
      </c>
      <c r="E28" s="1" t="s">
        <v>16</v>
      </c>
      <c r="F28" s="1" t="s">
        <v>25</v>
      </c>
      <c r="G28" s="1" t="s">
        <v>18</v>
      </c>
      <c r="H28" s="1">
        <v>11290</v>
      </c>
      <c r="I28" s="1" t="s">
        <v>22</v>
      </c>
      <c r="J28" s="1">
        <v>0.1</v>
      </c>
      <c r="K28" s="1">
        <v>13000</v>
      </c>
      <c r="L28" s="2">
        <v>45306</v>
      </c>
    </row>
    <row r="29" spans="1:12" x14ac:dyDescent="0.35">
      <c r="A29" s="1" t="s">
        <v>87</v>
      </c>
      <c r="B29" s="1" t="s">
        <v>43</v>
      </c>
      <c r="C29" s="1" t="s">
        <v>30</v>
      </c>
      <c r="D29" s="1" t="s">
        <v>31</v>
      </c>
      <c r="E29" s="1" t="s">
        <v>32</v>
      </c>
      <c r="F29" s="1" t="s">
        <v>39</v>
      </c>
      <c r="G29" s="1" t="s">
        <v>18</v>
      </c>
      <c r="H29" s="1">
        <v>16140</v>
      </c>
      <c r="I29" s="1"/>
      <c r="J29" s="1"/>
      <c r="K29" s="1">
        <v>17000</v>
      </c>
      <c r="L29" s="2">
        <v>45305</v>
      </c>
    </row>
    <row r="30" spans="1:12" x14ac:dyDescent="0.35">
      <c r="A30" s="1" t="s">
        <v>88</v>
      </c>
      <c r="B30" s="1" t="s">
        <v>80</v>
      </c>
      <c r="C30" s="1" t="s">
        <v>61</v>
      </c>
      <c r="D30" s="1" t="s">
        <v>62</v>
      </c>
      <c r="E30" s="1" t="s">
        <v>32</v>
      </c>
      <c r="F30" s="1" t="s">
        <v>17</v>
      </c>
      <c r="G30" s="1" t="s">
        <v>36</v>
      </c>
      <c r="H30" s="1">
        <v>7779</v>
      </c>
      <c r="I30" s="1" t="s">
        <v>22</v>
      </c>
      <c r="J30" s="1">
        <v>0.1</v>
      </c>
      <c r="K30" s="1">
        <v>9000</v>
      </c>
      <c r="L30" s="2">
        <v>45298</v>
      </c>
    </row>
    <row r="31" spans="1:12" x14ac:dyDescent="0.35">
      <c r="A31" s="1" t="s">
        <v>89</v>
      </c>
      <c r="B31" s="1" t="s">
        <v>90</v>
      </c>
      <c r="C31" s="1" t="s">
        <v>30</v>
      </c>
      <c r="D31" s="1" t="s">
        <v>31</v>
      </c>
      <c r="E31" s="1" t="s">
        <v>46</v>
      </c>
      <c r="F31" s="1" t="s">
        <v>17</v>
      </c>
      <c r="G31" s="1" t="s">
        <v>36</v>
      </c>
      <c r="H31" s="1">
        <v>18538</v>
      </c>
      <c r="I31" s="1" t="s">
        <v>22</v>
      </c>
      <c r="J31" s="1">
        <v>0.1</v>
      </c>
      <c r="K31" s="1">
        <v>17000</v>
      </c>
      <c r="L31" s="2">
        <v>45335</v>
      </c>
    </row>
    <row r="32" spans="1:12" x14ac:dyDescent="0.35">
      <c r="A32" s="1" t="s">
        <v>91</v>
      </c>
      <c r="B32" s="1" t="s">
        <v>92</v>
      </c>
      <c r="C32" s="1" t="s">
        <v>14</v>
      </c>
      <c r="D32" s="1" t="s">
        <v>15</v>
      </c>
      <c r="E32" s="1" t="s">
        <v>32</v>
      </c>
      <c r="F32" s="1" t="s">
        <v>17</v>
      </c>
      <c r="G32" s="1" t="s">
        <v>26</v>
      </c>
      <c r="H32" s="1">
        <v>13389</v>
      </c>
      <c r="I32" s="1" t="s">
        <v>22</v>
      </c>
      <c r="J32" s="1">
        <v>0.1</v>
      </c>
      <c r="K32" s="1">
        <v>14000</v>
      </c>
      <c r="L32" s="2">
        <v>45307</v>
      </c>
    </row>
    <row r="33" spans="1:12" x14ac:dyDescent="0.35">
      <c r="A33" s="1" t="s">
        <v>93</v>
      </c>
      <c r="B33" s="1" t="s">
        <v>94</v>
      </c>
      <c r="C33" s="1" t="s">
        <v>61</v>
      </c>
      <c r="D33" s="1" t="s">
        <v>62</v>
      </c>
      <c r="E33" s="1" t="s">
        <v>32</v>
      </c>
      <c r="F33" s="1" t="s">
        <v>17</v>
      </c>
      <c r="G33" s="1" t="s">
        <v>18</v>
      </c>
      <c r="H33" s="1">
        <v>8140</v>
      </c>
      <c r="I33" s="1"/>
      <c r="J33" s="1"/>
      <c r="K33" s="1">
        <v>9000</v>
      </c>
      <c r="L33" s="2">
        <v>45307</v>
      </c>
    </row>
    <row r="34" spans="1:12" x14ac:dyDescent="0.35">
      <c r="A34" s="1" t="s">
        <v>95</v>
      </c>
      <c r="B34" s="1" t="s">
        <v>96</v>
      </c>
      <c r="C34" s="1" t="s">
        <v>61</v>
      </c>
      <c r="D34" s="1" t="s">
        <v>62</v>
      </c>
      <c r="E34" s="1" t="s">
        <v>16</v>
      </c>
      <c r="F34" s="1" t="s">
        <v>25</v>
      </c>
      <c r="G34" s="1" t="s">
        <v>18</v>
      </c>
      <c r="H34" s="1">
        <v>9671</v>
      </c>
      <c r="I34" s="1" t="s">
        <v>27</v>
      </c>
      <c r="J34" s="1"/>
      <c r="K34" s="1">
        <v>9000</v>
      </c>
      <c r="L34" s="2">
        <v>45345</v>
      </c>
    </row>
    <row r="35" spans="1:12" x14ac:dyDescent="0.35">
      <c r="A35" s="1" t="s">
        <v>97</v>
      </c>
      <c r="B35" s="1" t="s">
        <v>76</v>
      </c>
      <c r="C35" s="1" t="s">
        <v>44</v>
      </c>
      <c r="D35" s="1" t="s">
        <v>45</v>
      </c>
      <c r="E35" s="1" t="s">
        <v>32</v>
      </c>
      <c r="F35" s="1" t="s">
        <v>17</v>
      </c>
      <c r="G35" s="1" t="s">
        <v>36</v>
      </c>
      <c r="H35" s="1">
        <v>12971</v>
      </c>
      <c r="I35" s="1" t="s">
        <v>19</v>
      </c>
      <c r="J35" s="1">
        <v>0.2</v>
      </c>
      <c r="K35" s="1">
        <v>13000</v>
      </c>
      <c r="L35" s="2">
        <v>45347</v>
      </c>
    </row>
    <row r="36" spans="1:12" x14ac:dyDescent="0.35">
      <c r="A36" s="1" t="s">
        <v>98</v>
      </c>
      <c r="B36" s="1" t="s">
        <v>99</v>
      </c>
      <c r="C36" s="1" t="s">
        <v>44</v>
      </c>
      <c r="D36" s="1" t="s">
        <v>45</v>
      </c>
      <c r="E36" s="1" t="s">
        <v>46</v>
      </c>
      <c r="F36" s="1" t="s">
        <v>25</v>
      </c>
      <c r="G36" s="1" t="s">
        <v>36</v>
      </c>
      <c r="H36" s="1">
        <v>12086</v>
      </c>
      <c r="I36" s="1"/>
      <c r="J36" s="1"/>
      <c r="K36" s="1">
        <v>13000</v>
      </c>
      <c r="L36" s="2">
        <v>45310</v>
      </c>
    </row>
    <row r="37" spans="1:12" x14ac:dyDescent="0.35">
      <c r="A37" s="1" t="s">
        <v>100</v>
      </c>
      <c r="B37" s="1" t="s">
        <v>101</v>
      </c>
      <c r="C37" s="1" t="s">
        <v>61</v>
      </c>
      <c r="D37" s="1" t="s">
        <v>62</v>
      </c>
      <c r="E37" s="1" t="s">
        <v>32</v>
      </c>
      <c r="F37" s="1" t="s">
        <v>25</v>
      </c>
      <c r="G37" s="1" t="s">
        <v>36</v>
      </c>
      <c r="H37" s="1">
        <v>7891</v>
      </c>
      <c r="I37" s="1" t="s">
        <v>22</v>
      </c>
      <c r="J37" s="1">
        <v>0.1</v>
      </c>
      <c r="K37" s="1">
        <v>9000</v>
      </c>
      <c r="L37" s="2">
        <v>45329</v>
      </c>
    </row>
    <row r="38" spans="1:12" x14ac:dyDescent="0.35">
      <c r="A38" s="1" t="s">
        <v>102</v>
      </c>
      <c r="B38" s="1" t="s">
        <v>103</v>
      </c>
      <c r="C38" s="1" t="s">
        <v>14</v>
      </c>
      <c r="D38" s="1" t="s">
        <v>15</v>
      </c>
      <c r="E38" s="1" t="s">
        <v>16</v>
      </c>
      <c r="F38" s="1" t="s">
        <v>17</v>
      </c>
      <c r="G38" s="1" t="s">
        <v>18</v>
      </c>
      <c r="H38" s="1">
        <v>12205</v>
      </c>
      <c r="I38" s="1" t="s">
        <v>27</v>
      </c>
      <c r="J38" s="1"/>
      <c r="K38" s="1">
        <v>14000</v>
      </c>
      <c r="L38" s="2">
        <v>45322</v>
      </c>
    </row>
    <row r="39" spans="1:12" x14ac:dyDescent="0.35">
      <c r="A39" s="1" t="s">
        <v>104</v>
      </c>
      <c r="B39" s="1" t="s">
        <v>105</v>
      </c>
      <c r="C39" s="1" t="s">
        <v>44</v>
      </c>
      <c r="D39" s="1" t="s">
        <v>45</v>
      </c>
      <c r="E39" s="1" t="s">
        <v>32</v>
      </c>
      <c r="F39" s="1" t="s">
        <v>39</v>
      </c>
      <c r="G39" s="1" t="s">
        <v>18</v>
      </c>
      <c r="H39" s="1">
        <v>14487</v>
      </c>
      <c r="I39" s="1" t="s">
        <v>19</v>
      </c>
      <c r="J39" s="1">
        <v>0.2</v>
      </c>
      <c r="K39" s="1">
        <v>13000</v>
      </c>
      <c r="L39" s="2">
        <v>45296</v>
      </c>
    </row>
    <row r="40" spans="1:12" x14ac:dyDescent="0.35">
      <c r="A40" s="1" t="s">
        <v>106</v>
      </c>
      <c r="B40" s="1" t="s">
        <v>107</v>
      </c>
      <c r="C40" s="1" t="s">
        <v>44</v>
      </c>
      <c r="D40" s="1" t="s">
        <v>45</v>
      </c>
      <c r="E40" s="1" t="s">
        <v>46</v>
      </c>
      <c r="F40" s="1" t="s">
        <v>25</v>
      </c>
      <c r="G40" s="1" t="s">
        <v>26</v>
      </c>
      <c r="H40" s="1">
        <v>12008</v>
      </c>
      <c r="I40" s="1" t="s">
        <v>27</v>
      </c>
      <c r="J40" s="1"/>
      <c r="K40" s="1">
        <v>13000</v>
      </c>
      <c r="L40" s="2">
        <v>45330</v>
      </c>
    </row>
    <row r="41" spans="1:12" x14ac:dyDescent="0.35">
      <c r="A41" s="1" t="s">
        <v>108</v>
      </c>
      <c r="B41" s="1" t="s">
        <v>109</v>
      </c>
      <c r="C41" s="1" t="s">
        <v>14</v>
      </c>
      <c r="D41" s="1" t="s">
        <v>15</v>
      </c>
      <c r="E41" s="1" t="s">
        <v>46</v>
      </c>
      <c r="F41" s="1" t="s">
        <v>39</v>
      </c>
      <c r="G41" s="1" t="s">
        <v>26</v>
      </c>
      <c r="H41" s="1">
        <v>14315</v>
      </c>
      <c r="I41" s="1" t="s">
        <v>27</v>
      </c>
      <c r="J41" s="1"/>
      <c r="K41" s="1">
        <v>14000</v>
      </c>
      <c r="L41" s="2">
        <v>45312</v>
      </c>
    </row>
    <row r="42" spans="1:12" x14ac:dyDescent="0.35">
      <c r="A42" s="1" t="s">
        <v>110</v>
      </c>
      <c r="B42" s="1" t="s">
        <v>111</v>
      </c>
      <c r="C42" s="1" t="s">
        <v>44</v>
      </c>
      <c r="D42" s="1" t="s">
        <v>45</v>
      </c>
      <c r="E42" s="1" t="s">
        <v>16</v>
      </c>
      <c r="F42" s="1" t="s">
        <v>39</v>
      </c>
      <c r="G42" s="1" t="s">
        <v>36</v>
      </c>
      <c r="H42" s="1">
        <v>11977</v>
      </c>
      <c r="I42" s="1" t="s">
        <v>33</v>
      </c>
      <c r="J42" s="1">
        <v>0.3</v>
      </c>
      <c r="K42" s="1">
        <v>13000</v>
      </c>
      <c r="L42" s="2">
        <v>45317</v>
      </c>
    </row>
    <row r="43" spans="1:12" x14ac:dyDescent="0.35">
      <c r="A43" s="1" t="s">
        <v>112</v>
      </c>
      <c r="B43" s="1" t="s">
        <v>113</v>
      </c>
      <c r="C43" s="1" t="s">
        <v>30</v>
      </c>
      <c r="D43" s="1" t="s">
        <v>31</v>
      </c>
      <c r="E43" s="1" t="s">
        <v>46</v>
      </c>
      <c r="F43" s="1" t="s">
        <v>17</v>
      </c>
      <c r="G43" s="1" t="s">
        <v>18</v>
      </c>
      <c r="H43" s="1">
        <v>15038</v>
      </c>
      <c r="I43" s="1"/>
      <c r="J43" s="1"/>
      <c r="K43" s="1">
        <v>17000</v>
      </c>
      <c r="L43" s="2">
        <v>45331</v>
      </c>
    </row>
    <row r="44" spans="1:12" x14ac:dyDescent="0.35">
      <c r="A44" s="1" t="s">
        <v>114</v>
      </c>
      <c r="B44" s="1" t="s">
        <v>107</v>
      </c>
      <c r="C44" s="1" t="s">
        <v>14</v>
      </c>
      <c r="D44" s="1" t="s">
        <v>15</v>
      </c>
      <c r="E44" s="1" t="s">
        <v>16</v>
      </c>
      <c r="F44" s="1" t="s">
        <v>25</v>
      </c>
      <c r="G44" s="1" t="s">
        <v>26</v>
      </c>
      <c r="H44" s="1">
        <v>13086</v>
      </c>
      <c r="I44" s="1" t="s">
        <v>19</v>
      </c>
      <c r="J44" s="1">
        <v>0.2</v>
      </c>
      <c r="K44" s="1">
        <v>14000</v>
      </c>
      <c r="L44" s="2">
        <v>45351</v>
      </c>
    </row>
    <row r="45" spans="1:12" x14ac:dyDescent="0.35">
      <c r="A45" s="1" t="s">
        <v>115</v>
      </c>
      <c r="B45" s="1" t="s">
        <v>116</v>
      </c>
      <c r="C45" s="1" t="s">
        <v>44</v>
      </c>
      <c r="D45" s="1" t="s">
        <v>45</v>
      </c>
      <c r="E45" s="1" t="s">
        <v>46</v>
      </c>
      <c r="F45" s="1" t="s">
        <v>17</v>
      </c>
      <c r="G45" s="1" t="s">
        <v>18</v>
      </c>
      <c r="H45" s="1">
        <v>12794</v>
      </c>
      <c r="I45" s="1" t="s">
        <v>27</v>
      </c>
      <c r="J45" s="1"/>
      <c r="K45" s="1">
        <v>13000</v>
      </c>
      <c r="L45" s="2">
        <v>45337</v>
      </c>
    </row>
    <row r="46" spans="1:12" x14ac:dyDescent="0.35">
      <c r="A46" s="1" t="s">
        <v>117</v>
      </c>
      <c r="B46" s="1" t="s">
        <v>118</v>
      </c>
      <c r="C46" s="1" t="s">
        <v>14</v>
      </c>
      <c r="D46" s="1" t="s">
        <v>15</v>
      </c>
      <c r="E46" s="1" t="s">
        <v>16</v>
      </c>
      <c r="F46" s="1" t="s">
        <v>39</v>
      </c>
      <c r="G46" s="1" t="s">
        <v>36</v>
      </c>
      <c r="H46" s="1">
        <v>15816</v>
      </c>
      <c r="I46" s="1" t="s">
        <v>22</v>
      </c>
      <c r="J46" s="1">
        <v>0.1</v>
      </c>
      <c r="K46" s="1">
        <v>14000</v>
      </c>
      <c r="L46" s="2">
        <v>45352</v>
      </c>
    </row>
    <row r="47" spans="1:12" x14ac:dyDescent="0.35">
      <c r="A47" s="1" t="s">
        <v>119</v>
      </c>
      <c r="B47" s="1" t="s">
        <v>120</v>
      </c>
      <c r="C47" s="1" t="s">
        <v>30</v>
      </c>
      <c r="D47" s="1" t="s">
        <v>31</v>
      </c>
      <c r="E47" s="1" t="s">
        <v>32</v>
      </c>
      <c r="F47" s="1" t="s">
        <v>25</v>
      </c>
      <c r="G47" s="1" t="s">
        <v>26</v>
      </c>
      <c r="H47" s="1">
        <v>17266</v>
      </c>
      <c r="I47" s="1" t="s">
        <v>19</v>
      </c>
      <c r="J47" s="1">
        <v>0.2</v>
      </c>
      <c r="K47" s="1">
        <v>17000</v>
      </c>
      <c r="L47" s="2">
        <v>45309</v>
      </c>
    </row>
    <row r="48" spans="1:12" x14ac:dyDescent="0.35">
      <c r="A48" s="1" t="s">
        <v>121</v>
      </c>
      <c r="B48" s="1" t="s">
        <v>118</v>
      </c>
      <c r="C48" s="1" t="s">
        <v>44</v>
      </c>
      <c r="D48" s="1" t="s">
        <v>45</v>
      </c>
      <c r="E48" s="1" t="s">
        <v>16</v>
      </c>
      <c r="F48" s="1" t="s">
        <v>17</v>
      </c>
      <c r="G48" s="1" t="s">
        <v>18</v>
      </c>
      <c r="H48" s="1">
        <v>13815</v>
      </c>
      <c r="I48" s="1" t="s">
        <v>33</v>
      </c>
      <c r="J48" s="1">
        <v>0.3</v>
      </c>
      <c r="K48" s="1">
        <v>13000</v>
      </c>
      <c r="L48" s="2">
        <v>45324</v>
      </c>
    </row>
    <row r="49" spans="1:12" x14ac:dyDescent="0.35">
      <c r="A49" s="1" t="s">
        <v>122</v>
      </c>
      <c r="B49" s="1" t="s">
        <v>123</v>
      </c>
      <c r="C49" s="1" t="s">
        <v>14</v>
      </c>
      <c r="D49" s="1" t="s">
        <v>15</v>
      </c>
      <c r="E49" s="1" t="s">
        <v>32</v>
      </c>
      <c r="F49" s="1" t="s">
        <v>39</v>
      </c>
      <c r="G49" s="1" t="s">
        <v>36</v>
      </c>
      <c r="H49" s="1">
        <v>15397</v>
      </c>
      <c r="I49" s="1" t="s">
        <v>33</v>
      </c>
      <c r="J49" s="1">
        <v>0.3</v>
      </c>
      <c r="K49" s="1">
        <v>14000</v>
      </c>
      <c r="L49" s="2">
        <v>45294</v>
      </c>
    </row>
    <row r="50" spans="1:12" x14ac:dyDescent="0.35">
      <c r="A50" s="1" t="s">
        <v>124</v>
      </c>
      <c r="B50" s="1" t="s">
        <v>125</v>
      </c>
      <c r="C50" s="1" t="s">
        <v>44</v>
      </c>
      <c r="D50" s="1" t="s">
        <v>45</v>
      </c>
      <c r="E50" s="1" t="s">
        <v>16</v>
      </c>
      <c r="F50" s="1" t="s">
        <v>17</v>
      </c>
      <c r="G50" s="1" t="s">
        <v>18</v>
      </c>
      <c r="H50" s="1">
        <v>14036</v>
      </c>
      <c r="I50" s="1"/>
      <c r="J50" s="1"/>
      <c r="K50" s="1">
        <v>13000</v>
      </c>
      <c r="L50" s="2">
        <v>45327</v>
      </c>
    </row>
    <row r="51" spans="1:12" x14ac:dyDescent="0.35">
      <c r="A51" s="1" t="s">
        <v>126</v>
      </c>
      <c r="B51" s="1" t="s">
        <v>127</v>
      </c>
      <c r="C51" s="1" t="s">
        <v>14</v>
      </c>
      <c r="D51" s="1" t="s">
        <v>15</v>
      </c>
      <c r="E51" s="1" t="s">
        <v>32</v>
      </c>
      <c r="F51" s="1" t="s">
        <v>25</v>
      </c>
      <c r="G51" s="1" t="s">
        <v>26</v>
      </c>
      <c r="H51" s="1">
        <v>15702</v>
      </c>
      <c r="I51" s="1" t="s">
        <v>19</v>
      </c>
      <c r="J51" s="1">
        <v>0.2</v>
      </c>
      <c r="K51" s="1">
        <v>14000</v>
      </c>
      <c r="L51" s="2">
        <v>45326</v>
      </c>
    </row>
    <row r="52" spans="1:12" x14ac:dyDescent="0.35">
      <c r="A52" s="1" t="s">
        <v>128</v>
      </c>
      <c r="B52" s="1" t="s">
        <v>129</v>
      </c>
      <c r="C52" s="1" t="s">
        <v>30</v>
      </c>
      <c r="D52" s="1" t="s">
        <v>31</v>
      </c>
      <c r="E52" s="1" t="s">
        <v>16</v>
      </c>
      <c r="F52" s="1" t="s">
        <v>39</v>
      </c>
      <c r="G52" s="1" t="s">
        <v>18</v>
      </c>
      <c r="H52" s="1">
        <v>16760</v>
      </c>
      <c r="I52" s="1" t="s">
        <v>19</v>
      </c>
      <c r="J52" s="1">
        <v>0.2</v>
      </c>
      <c r="K52" s="1">
        <v>17000</v>
      </c>
      <c r="L52" s="2">
        <v>45294</v>
      </c>
    </row>
    <row r="53" spans="1:12" x14ac:dyDescent="0.35">
      <c r="A53" s="1" t="s">
        <v>130</v>
      </c>
      <c r="B53" s="1" t="s">
        <v>131</v>
      </c>
      <c r="C53" s="1" t="s">
        <v>14</v>
      </c>
      <c r="D53" s="1" t="s">
        <v>15</v>
      </c>
      <c r="E53" s="1" t="s">
        <v>46</v>
      </c>
      <c r="F53" s="1" t="s">
        <v>25</v>
      </c>
      <c r="G53" s="1" t="s">
        <v>26</v>
      </c>
      <c r="H53" s="1">
        <v>13022</v>
      </c>
      <c r="I53" s="1" t="s">
        <v>22</v>
      </c>
      <c r="J53" s="1">
        <v>0.1</v>
      </c>
      <c r="K53" s="1">
        <v>14000</v>
      </c>
      <c r="L53" s="2">
        <v>45314</v>
      </c>
    </row>
    <row r="54" spans="1:12" x14ac:dyDescent="0.35">
      <c r="A54" s="1" t="s">
        <v>132</v>
      </c>
      <c r="B54" s="1" t="s">
        <v>133</v>
      </c>
      <c r="C54" s="1" t="s">
        <v>61</v>
      </c>
      <c r="D54" s="1" t="s">
        <v>62</v>
      </c>
      <c r="E54" s="1" t="s">
        <v>16</v>
      </c>
      <c r="F54" s="1" t="s">
        <v>39</v>
      </c>
      <c r="G54" s="1" t="s">
        <v>18</v>
      </c>
      <c r="H54" s="1">
        <v>10791</v>
      </c>
      <c r="I54" s="1" t="s">
        <v>19</v>
      </c>
      <c r="J54" s="1">
        <v>0.2</v>
      </c>
      <c r="K54" s="1">
        <v>9000</v>
      </c>
      <c r="L54" s="2">
        <v>45347</v>
      </c>
    </row>
    <row r="55" spans="1:12" x14ac:dyDescent="0.35">
      <c r="A55" s="1" t="s">
        <v>134</v>
      </c>
      <c r="B55" s="1" t="s">
        <v>135</v>
      </c>
      <c r="C55" s="1" t="s">
        <v>44</v>
      </c>
      <c r="D55" s="1" t="s">
        <v>45</v>
      </c>
      <c r="E55" s="1" t="s">
        <v>46</v>
      </c>
      <c r="F55" s="1" t="s">
        <v>25</v>
      </c>
      <c r="G55" s="1" t="s">
        <v>18</v>
      </c>
      <c r="H55" s="1">
        <v>14016</v>
      </c>
      <c r="I55" s="1" t="s">
        <v>33</v>
      </c>
      <c r="J55" s="1">
        <v>0.3</v>
      </c>
      <c r="K55" s="1">
        <v>13000</v>
      </c>
      <c r="L55" s="2">
        <v>45342</v>
      </c>
    </row>
    <row r="56" spans="1:12" x14ac:dyDescent="0.35">
      <c r="A56" s="1" t="s">
        <v>136</v>
      </c>
      <c r="B56" s="1" t="s">
        <v>137</v>
      </c>
      <c r="C56" s="1" t="s">
        <v>44</v>
      </c>
      <c r="D56" s="1" t="s">
        <v>45</v>
      </c>
      <c r="E56" s="1" t="s">
        <v>46</v>
      </c>
      <c r="F56" s="1" t="s">
        <v>25</v>
      </c>
      <c r="G56" s="1" t="s">
        <v>26</v>
      </c>
      <c r="H56" s="1">
        <v>11442</v>
      </c>
      <c r="I56" s="1"/>
      <c r="J56" s="1"/>
      <c r="K56" s="1">
        <v>13000</v>
      </c>
      <c r="L56" s="2">
        <v>45347</v>
      </c>
    </row>
    <row r="57" spans="1:12" x14ac:dyDescent="0.35">
      <c r="A57" s="1" t="s">
        <v>138</v>
      </c>
      <c r="B57" s="1" t="s">
        <v>129</v>
      </c>
      <c r="C57" s="1" t="s">
        <v>61</v>
      </c>
      <c r="D57" s="1" t="s">
        <v>62</v>
      </c>
      <c r="E57" s="1" t="s">
        <v>32</v>
      </c>
      <c r="F57" s="1" t="s">
        <v>25</v>
      </c>
      <c r="G57" s="1" t="s">
        <v>36</v>
      </c>
      <c r="H57" s="1">
        <v>8432</v>
      </c>
      <c r="I57" s="1" t="s">
        <v>33</v>
      </c>
      <c r="J57" s="1">
        <v>0.3</v>
      </c>
      <c r="K57" s="1">
        <v>9000</v>
      </c>
      <c r="L57" s="2">
        <v>45344</v>
      </c>
    </row>
    <row r="58" spans="1:12" x14ac:dyDescent="0.35">
      <c r="A58" s="1" t="s">
        <v>139</v>
      </c>
      <c r="B58" s="1" t="s">
        <v>140</v>
      </c>
      <c r="C58" s="1" t="s">
        <v>44</v>
      </c>
      <c r="D58" s="1" t="s">
        <v>45</v>
      </c>
      <c r="E58" s="1" t="s">
        <v>32</v>
      </c>
      <c r="F58" s="1" t="s">
        <v>25</v>
      </c>
      <c r="G58" s="1" t="s">
        <v>26</v>
      </c>
      <c r="H58" s="1">
        <v>11791</v>
      </c>
      <c r="I58" s="1"/>
      <c r="J58" s="1"/>
      <c r="K58" s="1">
        <v>13000</v>
      </c>
      <c r="L58" s="2">
        <v>45313</v>
      </c>
    </row>
    <row r="59" spans="1:12" x14ac:dyDescent="0.35">
      <c r="A59" s="1" t="s">
        <v>141</v>
      </c>
      <c r="B59" s="1" t="s">
        <v>142</v>
      </c>
      <c r="C59" s="1" t="s">
        <v>14</v>
      </c>
      <c r="D59" s="1" t="s">
        <v>15</v>
      </c>
      <c r="E59" s="1" t="s">
        <v>46</v>
      </c>
      <c r="F59" s="1" t="s">
        <v>17</v>
      </c>
      <c r="G59" s="1" t="s">
        <v>26</v>
      </c>
      <c r="H59" s="1">
        <v>14086</v>
      </c>
      <c r="I59" s="1"/>
      <c r="J59" s="1"/>
      <c r="K59" s="1">
        <v>14000</v>
      </c>
      <c r="L59" s="2">
        <v>45335</v>
      </c>
    </row>
    <row r="60" spans="1:12" x14ac:dyDescent="0.35">
      <c r="A60" s="1" t="s">
        <v>143</v>
      </c>
      <c r="B60" s="1" t="s">
        <v>144</v>
      </c>
      <c r="C60" s="1" t="s">
        <v>30</v>
      </c>
      <c r="D60" s="1" t="s">
        <v>31</v>
      </c>
      <c r="E60" s="1" t="s">
        <v>32</v>
      </c>
      <c r="F60" s="1" t="s">
        <v>25</v>
      </c>
      <c r="G60" s="1" t="s">
        <v>36</v>
      </c>
      <c r="H60" s="1">
        <v>15731</v>
      </c>
      <c r="I60" s="1" t="s">
        <v>27</v>
      </c>
      <c r="J60" s="1"/>
      <c r="K60" s="1">
        <v>17000</v>
      </c>
      <c r="L60" s="2">
        <v>45308</v>
      </c>
    </row>
    <row r="61" spans="1:12" x14ac:dyDescent="0.35">
      <c r="A61" s="1" t="s">
        <v>145</v>
      </c>
      <c r="B61" s="1" t="s">
        <v>76</v>
      </c>
      <c r="C61" s="1" t="s">
        <v>61</v>
      </c>
      <c r="D61" s="1" t="s">
        <v>62</v>
      </c>
      <c r="E61" s="1" t="s">
        <v>46</v>
      </c>
      <c r="F61" s="1" t="s">
        <v>39</v>
      </c>
      <c r="G61" s="1" t="s">
        <v>36</v>
      </c>
      <c r="H61" s="1">
        <v>8787</v>
      </c>
      <c r="I61" s="1" t="s">
        <v>27</v>
      </c>
      <c r="J61" s="1"/>
      <c r="K61" s="1">
        <v>9000</v>
      </c>
      <c r="L61" s="2">
        <v>45324</v>
      </c>
    </row>
    <row r="62" spans="1:12" x14ac:dyDescent="0.35">
      <c r="A62" s="1" t="s">
        <v>146</v>
      </c>
      <c r="B62" s="1" t="s">
        <v>66</v>
      </c>
      <c r="C62" s="1" t="s">
        <v>44</v>
      </c>
      <c r="D62" s="1" t="s">
        <v>45</v>
      </c>
      <c r="E62" s="1" t="s">
        <v>46</v>
      </c>
      <c r="F62" s="1" t="s">
        <v>25</v>
      </c>
      <c r="G62" s="1" t="s">
        <v>26</v>
      </c>
      <c r="H62" s="1">
        <v>12786</v>
      </c>
      <c r="I62" s="1" t="s">
        <v>22</v>
      </c>
      <c r="J62" s="1">
        <v>0.1</v>
      </c>
      <c r="K62" s="1">
        <v>13000</v>
      </c>
      <c r="L62" s="2">
        <v>45325</v>
      </c>
    </row>
    <row r="63" spans="1:12" x14ac:dyDescent="0.35">
      <c r="A63" s="1" t="s">
        <v>147</v>
      </c>
      <c r="B63" s="1" t="s">
        <v>148</v>
      </c>
      <c r="C63" s="1" t="s">
        <v>44</v>
      </c>
      <c r="D63" s="1" t="s">
        <v>45</v>
      </c>
      <c r="E63" s="1" t="s">
        <v>46</v>
      </c>
      <c r="F63" s="1" t="s">
        <v>17</v>
      </c>
      <c r="G63" s="1" t="s">
        <v>18</v>
      </c>
      <c r="H63" s="1">
        <v>14886</v>
      </c>
      <c r="I63" s="1" t="s">
        <v>33</v>
      </c>
      <c r="J63" s="1">
        <v>0.3</v>
      </c>
      <c r="K63" s="1">
        <v>13000</v>
      </c>
      <c r="L63" s="2">
        <v>45331</v>
      </c>
    </row>
    <row r="64" spans="1:12" x14ac:dyDescent="0.35">
      <c r="A64" s="1" t="s">
        <v>149</v>
      </c>
      <c r="B64" s="1" t="s">
        <v>150</v>
      </c>
      <c r="C64" s="1" t="s">
        <v>14</v>
      </c>
      <c r="D64" s="1" t="s">
        <v>15</v>
      </c>
      <c r="E64" s="1" t="s">
        <v>16</v>
      </c>
      <c r="F64" s="1" t="s">
        <v>17</v>
      </c>
      <c r="G64" s="1" t="s">
        <v>26</v>
      </c>
      <c r="H64" s="1">
        <v>13266</v>
      </c>
      <c r="I64" s="1"/>
      <c r="J64" s="1"/>
      <c r="K64" s="1">
        <v>14000</v>
      </c>
      <c r="L64" s="2">
        <v>45312</v>
      </c>
    </row>
    <row r="65" spans="1:12" x14ac:dyDescent="0.35">
      <c r="A65" s="1" t="s">
        <v>151</v>
      </c>
      <c r="B65" s="1" t="s">
        <v>101</v>
      </c>
      <c r="C65" s="1" t="s">
        <v>30</v>
      </c>
      <c r="D65" s="1" t="s">
        <v>31</v>
      </c>
      <c r="E65" s="1" t="s">
        <v>16</v>
      </c>
      <c r="F65" s="1" t="s">
        <v>25</v>
      </c>
      <c r="G65" s="1" t="s">
        <v>18</v>
      </c>
      <c r="H65" s="1">
        <v>16722</v>
      </c>
      <c r="I65" s="1"/>
      <c r="J65" s="1"/>
      <c r="K65" s="1">
        <v>17000</v>
      </c>
      <c r="L65" s="2">
        <v>45335</v>
      </c>
    </row>
    <row r="66" spans="1:12" x14ac:dyDescent="0.35">
      <c r="A66" s="1" t="s">
        <v>152</v>
      </c>
      <c r="B66" s="1" t="s">
        <v>153</v>
      </c>
      <c r="C66" s="1" t="s">
        <v>30</v>
      </c>
      <c r="D66" s="1" t="s">
        <v>31</v>
      </c>
      <c r="E66" s="1" t="s">
        <v>46</v>
      </c>
      <c r="F66" s="1" t="s">
        <v>39</v>
      </c>
      <c r="G66" s="1" t="s">
        <v>18</v>
      </c>
      <c r="H66" s="1">
        <v>16244</v>
      </c>
      <c r="I66" s="1" t="s">
        <v>33</v>
      </c>
      <c r="J66" s="1">
        <v>0.3</v>
      </c>
      <c r="K66" s="1">
        <v>17000</v>
      </c>
      <c r="L66" s="2">
        <v>45305</v>
      </c>
    </row>
    <row r="67" spans="1:12" x14ac:dyDescent="0.35">
      <c r="A67" s="1" t="s">
        <v>154</v>
      </c>
      <c r="B67" s="1" t="s">
        <v>155</v>
      </c>
      <c r="C67" s="1" t="s">
        <v>30</v>
      </c>
      <c r="D67" s="1" t="s">
        <v>31</v>
      </c>
      <c r="E67" s="1" t="s">
        <v>46</v>
      </c>
      <c r="F67" s="1" t="s">
        <v>17</v>
      </c>
      <c r="G67" s="1" t="s">
        <v>36</v>
      </c>
      <c r="H67" s="1">
        <v>17767</v>
      </c>
      <c r="I67" s="1" t="s">
        <v>19</v>
      </c>
      <c r="J67" s="1">
        <v>0.2</v>
      </c>
      <c r="K67" s="1">
        <v>17000</v>
      </c>
      <c r="L67" s="2">
        <v>45324</v>
      </c>
    </row>
    <row r="68" spans="1:12" x14ac:dyDescent="0.35">
      <c r="A68" s="1" t="s">
        <v>156</v>
      </c>
      <c r="B68" s="1" t="s">
        <v>157</v>
      </c>
      <c r="C68" s="1" t="s">
        <v>44</v>
      </c>
      <c r="D68" s="1" t="s">
        <v>45</v>
      </c>
      <c r="E68" s="1" t="s">
        <v>16</v>
      </c>
      <c r="F68" s="1" t="s">
        <v>25</v>
      </c>
      <c r="G68" s="1" t="s">
        <v>36</v>
      </c>
      <c r="H68" s="1">
        <v>13111</v>
      </c>
      <c r="I68" s="1" t="s">
        <v>27</v>
      </c>
      <c r="J68" s="1"/>
      <c r="K68" s="1">
        <v>13000</v>
      </c>
      <c r="L68" s="2">
        <v>45313</v>
      </c>
    </row>
    <row r="69" spans="1:12" x14ac:dyDescent="0.35">
      <c r="A69" s="1" t="s">
        <v>158</v>
      </c>
      <c r="B69" s="1" t="s">
        <v>159</v>
      </c>
      <c r="C69" s="1" t="s">
        <v>44</v>
      </c>
      <c r="D69" s="1" t="s">
        <v>45</v>
      </c>
      <c r="E69" s="1" t="s">
        <v>16</v>
      </c>
      <c r="F69" s="1" t="s">
        <v>17</v>
      </c>
      <c r="G69" s="1" t="s">
        <v>18</v>
      </c>
      <c r="H69" s="1">
        <v>14303</v>
      </c>
      <c r="I69" s="1" t="s">
        <v>19</v>
      </c>
      <c r="J69" s="1">
        <v>0.2</v>
      </c>
      <c r="K69" s="1">
        <v>13000</v>
      </c>
      <c r="L69" s="2">
        <v>45301</v>
      </c>
    </row>
    <row r="70" spans="1:12" x14ac:dyDescent="0.35">
      <c r="A70" s="1" t="s">
        <v>160</v>
      </c>
      <c r="B70" s="1" t="s">
        <v>161</v>
      </c>
      <c r="C70" s="1" t="s">
        <v>44</v>
      </c>
      <c r="D70" s="1" t="s">
        <v>45</v>
      </c>
      <c r="E70" s="1" t="s">
        <v>46</v>
      </c>
      <c r="F70" s="1" t="s">
        <v>39</v>
      </c>
      <c r="G70" s="1" t="s">
        <v>18</v>
      </c>
      <c r="H70" s="1">
        <v>12865</v>
      </c>
      <c r="I70" s="1"/>
      <c r="J70" s="1"/>
      <c r="K70" s="1">
        <v>13000</v>
      </c>
      <c r="L70" s="2">
        <v>45348</v>
      </c>
    </row>
    <row r="71" spans="1:12" x14ac:dyDescent="0.35">
      <c r="A71" s="1" t="s">
        <v>162</v>
      </c>
      <c r="B71" s="1" t="s">
        <v>163</v>
      </c>
      <c r="C71" s="1" t="s">
        <v>44</v>
      </c>
      <c r="D71" s="1" t="s">
        <v>45</v>
      </c>
      <c r="E71" s="1" t="s">
        <v>16</v>
      </c>
      <c r="F71" s="1" t="s">
        <v>39</v>
      </c>
      <c r="G71" s="1" t="s">
        <v>36</v>
      </c>
      <c r="H71" s="1">
        <v>13024</v>
      </c>
      <c r="I71" s="1"/>
      <c r="J71" s="1"/>
      <c r="K71" s="1">
        <v>13000</v>
      </c>
      <c r="L71" s="2">
        <v>45307</v>
      </c>
    </row>
    <row r="72" spans="1:12" x14ac:dyDescent="0.35">
      <c r="A72" s="1" t="s">
        <v>164</v>
      </c>
      <c r="B72" s="1" t="s">
        <v>113</v>
      </c>
      <c r="C72" s="1" t="s">
        <v>14</v>
      </c>
      <c r="D72" s="1" t="s">
        <v>15</v>
      </c>
      <c r="E72" s="1" t="s">
        <v>32</v>
      </c>
      <c r="F72" s="1" t="s">
        <v>17</v>
      </c>
      <c r="G72" s="1" t="s">
        <v>18</v>
      </c>
      <c r="H72" s="1">
        <v>12720</v>
      </c>
      <c r="I72" s="1" t="s">
        <v>27</v>
      </c>
      <c r="J72" s="1"/>
      <c r="K72" s="1">
        <v>14000</v>
      </c>
      <c r="L72" s="2">
        <v>45321</v>
      </c>
    </row>
    <row r="73" spans="1:12" x14ac:dyDescent="0.35">
      <c r="A73" s="1" t="s">
        <v>165</v>
      </c>
      <c r="B73" s="1" t="s">
        <v>166</v>
      </c>
      <c r="C73" s="1" t="s">
        <v>44</v>
      </c>
      <c r="D73" s="1" t="s">
        <v>45</v>
      </c>
      <c r="E73" s="1" t="s">
        <v>32</v>
      </c>
      <c r="F73" s="1" t="s">
        <v>17</v>
      </c>
      <c r="G73" s="1" t="s">
        <v>18</v>
      </c>
      <c r="H73" s="1">
        <v>14282</v>
      </c>
      <c r="I73" s="1"/>
      <c r="J73" s="1"/>
      <c r="K73" s="1">
        <v>13000</v>
      </c>
      <c r="L73" s="2">
        <v>45334</v>
      </c>
    </row>
    <row r="74" spans="1:12" x14ac:dyDescent="0.35">
      <c r="A74" s="1" t="s">
        <v>167</v>
      </c>
      <c r="B74" s="1" t="s">
        <v>168</v>
      </c>
      <c r="C74" s="1" t="s">
        <v>30</v>
      </c>
      <c r="D74" s="1" t="s">
        <v>31</v>
      </c>
      <c r="E74" s="1" t="s">
        <v>46</v>
      </c>
      <c r="F74" s="1" t="s">
        <v>39</v>
      </c>
      <c r="G74" s="1" t="s">
        <v>26</v>
      </c>
      <c r="H74" s="1">
        <v>18653</v>
      </c>
      <c r="I74" s="1" t="s">
        <v>27</v>
      </c>
      <c r="J74" s="1"/>
      <c r="K74" s="1">
        <v>17000</v>
      </c>
      <c r="L74" s="2">
        <v>45319</v>
      </c>
    </row>
    <row r="75" spans="1:12" x14ac:dyDescent="0.35">
      <c r="A75" s="1" t="s">
        <v>169</v>
      </c>
      <c r="B75" s="1" t="s">
        <v>144</v>
      </c>
      <c r="C75" s="1" t="s">
        <v>61</v>
      </c>
      <c r="D75" s="1" t="s">
        <v>62</v>
      </c>
      <c r="E75" s="1" t="s">
        <v>32</v>
      </c>
      <c r="F75" s="1" t="s">
        <v>39</v>
      </c>
      <c r="G75" s="1" t="s">
        <v>36</v>
      </c>
      <c r="H75" s="1">
        <v>8843</v>
      </c>
      <c r="I75" s="1" t="s">
        <v>33</v>
      </c>
      <c r="J75" s="1">
        <v>0.3</v>
      </c>
      <c r="K75" s="1">
        <v>9000</v>
      </c>
      <c r="L75" s="2">
        <v>45340</v>
      </c>
    </row>
    <row r="76" spans="1:12" x14ac:dyDescent="0.35">
      <c r="A76" s="1" t="s">
        <v>170</v>
      </c>
      <c r="B76" s="1" t="s">
        <v>171</v>
      </c>
      <c r="C76" s="1" t="s">
        <v>30</v>
      </c>
      <c r="D76" s="1" t="s">
        <v>31</v>
      </c>
      <c r="E76" s="1" t="s">
        <v>16</v>
      </c>
      <c r="F76" s="1" t="s">
        <v>17</v>
      </c>
      <c r="G76" s="1" t="s">
        <v>26</v>
      </c>
      <c r="H76" s="1">
        <v>15979</v>
      </c>
      <c r="I76" s="1" t="s">
        <v>33</v>
      </c>
      <c r="J76" s="1">
        <v>0.3</v>
      </c>
      <c r="K76" s="1">
        <v>17000</v>
      </c>
      <c r="L76" s="2">
        <v>45320</v>
      </c>
    </row>
    <row r="77" spans="1:12" x14ac:dyDescent="0.35">
      <c r="A77" s="1" t="s">
        <v>172</v>
      </c>
      <c r="B77" s="1" t="s">
        <v>173</v>
      </c>
      <c r="C77" s="1" t="s">
        <v>30</v>
      </c>
      <c r="D77" s="1" t="s">
        <v>31</v>
      </c>
      <c r="E77" s="1" t="s">
        <v>32</v>
      </c>
      <c r="F77" s="1" t="s">
        <v>17</v>
      </c>
      <c r="G77" s="1" t="s">
        <v>36</v>
      </c>
      <c r="H77" s="1">
        <v>16309</v>
      </c>
      <c r="I77" s="1" t="s">
        <v>27</v>
      </c>
      <c r="J77" s="1"/>
      <c r="K77" s="1">
        <v>17000</v>
      </c>
      <c r="L77" s="2">
        <v>45297</v>
      </c>
    </row>
    <row r="78" spans="1:12" x14ac:dyDescent="0.35">
      <c r="A78" s="1" t="s">
        <v>174</v>
      </c>
      <c r="B78" s="1" t="s">
        <v>175</v>
      </c>
      <c r="C78" s="1" t="s">
        <v>44</v>
      </c>
      <c r="D78" s="1" t="s">
        <v>45</v>
      </c>
      <c r="E78" s="1" t="s">
        <v>46</v>
      </c>
      <c r="F78" s="1" t="s">
        <v>39</v>
      </c>
      <c r="G78" s="1" t="s">
        <v>18</v>
      </c>
      <c r="H78" s="1">
        <v>13893</v>
      </c>
      <c r="I78" s="1" t="s">
        <v>19</v>
      </c>
      <c r="J78" s="1">
        <v>0.2</v>
      </c>
      <c r="K78" s="1">
        <v>13000</v>
      </c>
      <c r="L78" s="2">
        <v>45296</v>
      </c>
    </row>
    <row r="79" spans="1:12" x14ac:dyDescent="0.35">
      <c r="A79" s="1" t="s">
        <v>176</v>
      </c>
      <c r="B79" s="1" t="s">
        <v>177</v>
      </c>
      <c r="C79" s="1" t="s">
        <v>30</v>
      </c>
      <c r="D79" s="1" t="s">
        <v>31</v>
      </c>
      <c r="E79" s="1" t="s">
        <v>16</v>
      </c>
      <c r="F79" s="1" t="s">
        <v>17</v>
      </c>
      <c r="G79" s="1" t="s">
        <v>36</v>
      </c>
      <c r="H79" s="1">
        <v>15255</v>
      </c>
      <c r="I79" s="1" t="s">
        <v>19</v>
      </c>
      <c r="J79" s="1">
        <v>0.2</v>
      </c>
      <c r="K79" s="1">
        <v>17000</v>
      </c>
      <c r="L79" s="2">
        <v>45345</v>
      </c>
    </row>
    <row r="80" spans="1:12" x14ac:dyDescent="0.35">
      <c r="A80" s="1" t="s">
        <v>178</v>
      </c>
      <c r="B80" s="1" t="s">
        <v>177</v>
      </c>
      <c r="C80" s="1" t="s">
        <v>14</v>
      </c>
      <c r="D80" s="1" t="s">
        <v>15</v>
      </c>
      <c r="E80" s="1" t="s">
        <v>16</v>
      </c>
      <c r="F80" s="1" t="s">
        <v>17</v>
      </c>
      <c r="G80" s="1" t="s">
        <v>36</v>
      </c>
      <c r="H80" s="1">
        <v>12024</v>
      </c>
      <c r="I80" s="1" t="s">
        <v>33</v>
      </c>
      <c r="J80" s="1">
        <v>0.3</v>
      </c>
      <c r="K80" s="1">
        <v>14000</v>
      </c>
      <c r="L80" s="2">
        <v>45311</v>
      </c>
    </row>
    <row r="81" spans="1:12" x14ac:dyDescent="0.35">
      <c r="A81" s="1" t="s">
        <v>179</v>
      </c>
      <c r="B81" s="1" t="s">
        <v>180</v>
      </c>
      <c r="C81" s="1" t="s">
        <v>61</v>
      </c>
      <c r="D81" s="1" t="s">
        <v>62</v>
      </c>
      <c r="E81" s="1" t="s">
        <v>16</v>
      </c>
      <c r="F81" s="1" t="s">
        <v>39</v>
      </c>
      <c r="G81" s="1" t="s">
        <v>26</v>
      </c>
      <c r="H81" s="1">
        <v>9236</v>
      </c>
      <c r="I81" s="1" t="s">
        <v>27</v>
      </c>
      <c r="J81" s="1"/>
      <c r="K81" s="1">
        <v>9000</v>
      </c>
      <c r="L81" s="2">
        <v>45349</v>
      </c>
    </row>
    <row r="82" spans="1:12" x14ac:dyDescent="0.35">
      <c r="A82" s="1" t="s">
        <v>181</v>
      </c>
      <c r="B82" s="1" t="s">
        <v>29</v>
      </c>
      <c r="C82" s="1" t="s">
        <v>44</v>
      </c>
      <c r="D82" s="1" t="s">
        <v>45</v>
      </c>
      <c r="E82" s="1" t="s">
        <v>46</v>
      </c>
      <c r="F82" s="1" t="s">
        <v>17</v>
      </c>
      <c r="G82" s="1" t="s">
        <v>36</v>
      </c>
      <c r="H82" s="1">
        <v>11118</v>
      </c>
      <c r="I82" s="1"/>
      <c r="J82" s="1"/>
      <c r="K82" s="1">
        <v>13000</v>
      </c>
      <c r="L82" s="2">
        <v>45313</v>
      </c>
    </row>
    <row r="83" spans="1:12" x14ac:dyDescent="0.35">
      <c r="A83" s="1" t="s">
        <v>182</v>
      </c>
      <c r="B83" s="1" t="s">
        <v>92</v>
      </c>
      <c r="C83" s="1" t="s">
        <v>61</v>
      </c>
      <c r="D83" s="1" t="s">
        <v>62</v>
      </c>
      <c r="E83" s="1" t="s">
        <v>16</v>
      </c>
      <c r="F83" s="1" t="s">
        <v>25</v>
      </c>
      <c r="G83" s="1" t="s">
        <v>36</v>
      </c>
      <c r="H83" s="1">
        <v>10766</v>
      </c>
      <c r="I83" s="1" t="s">
        <v>19</v>
      </c>
      <c r="J83" s="1">
        <v>0.2</v>
      </c>
      <c r="K83" s="1">
        <v>9000</v>
      </c>
      <c r="L83" s="2">
        <v>45331</v>
      </c>
    </row>
    <row r="84" spans="1:12" x14ac:dyDescent="0.35">
      <c r="A84" s="1" t="s">
        <v>183</v>
      </c>
      <c r="B84" s="1" t="s">
        <v>184</v>
      </c>
      <c r="C84" s="1" t="s">
        <v>61</v>
      </c>
      <c r="D84" s="1" t="s">
        <v>62</v>
      </c>
      <c r="E84" s="1" t="s">
        <v>16</v>
      </c>
      <c r="F84" s="1" t="s">
        <v>39</v>
      </c>
      <c r="G84" s="1" t="s">
        <v>26</v>
      </c>
      <c r="H84" s="1">
        <v>7111</v>
      </c>
      <c r="I84" s="1" t="s">
        <v>22</v>
      </c>
      <c r="J84" s="1">
        <v>0.1</v>
      </c>
      <c r="K84" s="1">
        <v>9000</v>
      </c>
      <c r="L84" s="2">
        <v>45333</v>
      </c>
    </row>
    <row r="85" spans="1:12" x14ac:dyDescent="0.35">
      <c r="A85" s="1" t="s">
        <v>185</v>
      </c>
      <c r="B85" s="1" t="s">
        <v>186</v>
      </c>
      <c r="C85" s="1" t="s">
        <v>61</v>
      </c>
      <c r="D85" s="1" t="s">
        <v>62</v>
      </c>
      <c r="E85" s="1" t="s">
        <v>32</v>
      </c>
      <c r="F85" s="1" t="s">
        <v>25</v>
      </c>
      <c r="G85" s="1" t="s">
        <v>36</v>
      </c>
      <c r="H85" s="1">
        <v>8552</v>
      </c>
      <c r="I85" s="1" t="s">
        <v>33</v>
      </c>
      <c r="J85" s="1">
        <v>0.3</v>
      </c>
      <c r="K85" s="1">
        <v>9000</v>
      </c>
      <c r="L85" s="2">
        <v>45305</v>
      </c>
    </row>
    <row r="86" spans="1:12" x14ac:dyDescent="0.35">
      <c r="A86" s="1" t="s">
        <v>187</v>
      </c>
      <c r="B86" s="1" t="s">
        <v>188</v>
      </c>
      <c r="C86" s="1" t="s">
        <v>30</v>
      </c>
      <c r="D86" s="1" t="s">
        <v>31</v>
      </c>
      <c r="E86" s="1" t="s">
        <v>46</v>
      </c>
      <c r="F86" s="1" t="s">
        <v>17</v>
      </c>
      <c r="G86" s="1" t="s">
        <v>36</v>
      </c>
      <c r="H86" s="1">
        <v>16033</v>
      </c>
      <c r="I86" s="1" t="s">
        <v>22</v>
      </c>
      <c r="J86" s="1">
        <v>0.1</v>
      </c>
      <c r="K86" s="1">
        <v>17000</v>
      </c>
      <c r="L86" s="2">
        <v>45322</v>
      </c>
    </row>
    <row r="87" spans="1:12" x14ac:dyDescent="0.35">
      <c r="A87" s="1" t="s">
        <v>189</v>
      </c>
      <c r="B87" s="1" t="s">
        <v>190</v>
      </c>
      <c r="C87" s="1" t="s">
        <v>14</v>
      </c>
      <c r="D87" s="1" t="s">
        <v>15</v>
      </c>
      <c r="E87" s="1" t="s">
        <v>46</v>
      </c>
      <c r="F87" s="1" t="s">
        <v>25</v>
      </c>
      <c r="G87" s="1" t="s">
        <v>26</v>
      </c>
      <c r="H87" s="1">
        <v>12281</v>
      </c>
      <c r="I87" s="1" t="s">
        <v>22</v>
      </c>
      <c r="J87" s="1">
        <v>0.1</v>
      </c>
      <c r="K87" s="1">
        <v>14000</v>
      </c>
      <c r="L87" s="2">
        <v>45340</v>
      </c>
    </row>
    <row r="88" spans="1:12" x14ac:dyDescent="0.35">
      <c r="A88" s="1" t="s">
        <v>191</v>
      </c>
      <c r="B88" s="1" t="s">
        <v>192</v>
      </c>
      <c r="C88" s="1" t="s">
        <v>44</v>
      </c>
      <c r="D88" s="1" t="s">
        <v>45</v>
      </c>
      <c r="E88" s="1" t="s">
        <v>32</v>
      </c>
      <c r="F88" s="1" t="s">
        <v>39</v>
      </c>
      <c r="G88" s="1" t="s">
        <v>18</v>
      </c>
      <c r="H88" s="1">
        <v>11977</v>
      </c>
      <c r="I88" s="1" t="s">
        <v>19</v>
      </c>
      <c r="J88" s="1">
        <v>0.2</v>
      </c>
      <c r="K88" s="1">
        <v>13000</v>
      </c>
      <c r="L88" s="2">
        <v>45322</v>
      </c>
    </row>
    <row r="89" spans="1:12" x14ac:dyDescent="0.35">
      <c r="A89" s="1" t="s">
        <v>193</v>
      </c>
      <c r="B89" s="1" t="s">
        <v>13</v>
      </c>
      <c r="C89" s="1" t="s">
        <v>44</v>
      </c>
      <c r="D89" s="1" t="s">
        <v>45</v>
      </c>
      <c r="E89" s="1" t="s">
        <v>46</v>
      </c>
      <c r="F89" s="1" t="s">
        <v>39</v>
      </c>
      <c r="G89" s="1" t="s">
        <v>36</v>
      </c>
      <c r="H89" s="1">
        <v>14141</v>
      </c>
      <c r="I89" s="1" t="s">
        <v>33</v>
      </c>
      <c r="J89" s="1">
        <v>0.3</v>
      </c>
      <c r="K89" s="1">
        <v>13000</v>
      </c>
      <c r="L89" s="2">
        <v>45302</v>
      </c>
    </row>
    <row r="90" spans="1:12" x14ac:dyDescent="0.35">
      <c r="A90" s="1" t="s">
        <v>194</v>
      </c>
      <c r="B90" s="1" t="s">
        <v>195</v>
      </c>
      <c r="C90" s="1" t="s">
        <v>14</v>
      </c>
      <c r="D90" s="1" t="s">
        <v>15</v>
      </c>
      <c r="E90" s="1" t="s">
        <v>32</v>
      </c>
      <c r="F90" s="1" t="s">
        <v>17</v>
      </c>
      <c r="G90" s="1" t="s">
        <v>18</v>
      </c>
      <c r="H90" s="1">
        <v>14370</v>
      </c>
      <c r="I90" s="1" t="s">
        <v>22</v>
      </c>
      <c r="J90" s="1">
        <v>0.1</v>
      </c>
      <c r="K90" s="1">
        <v>14000</v>
      </c>
      <c r="L90" s="2">
        <v>45351</v>
      </c>
    </row>
    <row r="91" spans="1:12" x14ac:dyDescent="0.35">
      <c r="A91" s="1" t="s">
        <v>196</v>
      </c>
      <c r="B91" s="1" t="s">
        <v>118</v>
      </c>
      <c r="C91" s="1" t="s">
        <v>61</v>
      </c>
      <c r="D91" s="1" t="s">
        <v>62</v>
      </c>
      <c r="E91" s="1" t="s">
        <v>46</v>
      </c>
      <c r="F91" s="1" t="s">
        <v>39</v>
      </c>
      <c r="G91" s="1" t="s">
        <v>18</v>
      </c>
      <c r="H91" s="1">
        <v>7311</v>
      </c>
      <c r="I91" s="1" t="s">
        <v>27</v>
      </c>
      <c r="J91" s="1"/>
      <c r="K91" s="1">
        <v>9000</v>
      </c>
      <c r="L91" s="2">
        <v>45336</v>
      </c>
    </row>
    <row r="92" spans="1:12" x14ac:dyDescent="0.35">
      <c r="A92" s="1" t="s">
        <v>197</v>
      </c>
      <c r="B92" s="1" t="s">
        <v>198</v>
      </c>
      <c r="C92" s="1" t="s">
        <v>44</v>
      </c>
      <c r="D92" s="1" t="s">
        <v>45</v>
      </c>
      <c r="E92" s="1" t="s">
        <v>32</v>
      </c>
      <c r="F92" s="1" t="s">
        <v>39</v>
      </c>
      <c r="G92" s="1" t="s">
        <v>36</v>
      </c>
      <c r="H92" s="1">
        <v>14482</v>
      </c>
      <c r="I92" s="1" t="s">
        <v>27</v>
      </c>
      <c r="J92" s="1"/>
      <c r="K92" s="1">
        <v>13000</v>
      </c>
      <c r="L92" s="2">
        <v>45343</v>
      </c>
    </row>
    <row r="93" spans="1:12" x14ac:dyDescent="0.35">
      <c r="A93" s="1" t="s">
        <v>199</v>
      </c>
      <c r="B93" s="1" t="s">
        <v>200</v>
      </c>
      <c r="C93" s="1" t="s">
        <v>14</v>
      </c>
      <c r="D93" s="1" t="s">
        <v>15</v>
      </c>
      <c r="E93" s="1" t="s">
        <v>46</v>
      </c>
      <c r="F93" s="1" t="s">
        <v>39</v>
      </c>
      <c r="G93" s="1" t="s">
        <v>36</v>
      </c>
      <c r="H93" s="1">
        <v>14709</v>
      </c>
      <c r="I93" s="1" t="s">
        <v>33</v>
      </c>
      <c r="J93" s="1">
        <v>0.3</v>
      </c>
      <c r="K93" s="1">
        <v>14000</v>
      </c>
      <c r="L93" s="2">
        <v>45296</v>
      </c>
    </row>
    <row r="94" spans="1:12" x14ac:dyDescent="0.35">
      <c r="A94" s="1" t="s">
        <v>201</v>
      </c>
      <c r="B94" s="1" t="s">
        <v>202</v>
      </c>
      <c r="C94" s="1" t="s">
        <v>30</v>
      </c>
      <c r="D94" s="1" t="s">
        <v>31</v>
      </c>
      <c r="E94" s="1" t="s">
        <v>32</v>
      </c>
      <c r="F94" s="1" t="s">
        <v>17</v>
      </c>
      <c r="G94" s="1" t="s">
        <v>36</v>
      </c>
      <c r="H94" s="1">
        <v>15432</v>
      </c>
      <c r="I94" s="1"/>
      <c r="J94" s="1"/>
      <c r="K94" s="1">
        <v>17000</v>
      </c>
      <c r="L94" s="2">
        <v>45315</v>
      </c>
    </row>
    <row r="95" spans="1:12" x14ac:dyDescent="0.35">
      <c r="A95" s="1" t="s">
        <v>203</v>
      </c>
      <c r="B95" s="1" t="s">
        <v>204</v>
      </c>
      <c r="C95" s="1" t="s">
        <v>61</v>
      </c>
      <c r="D95" s="1" t="s">
        <v>62</v>
      </c>
      <c r="E95" s="1" t="s">
        <v>16</v>
      </c>
      <c r="F95" s="1" t="s">
        <v>25</v>
      </c>
      <c r="G95" s="1" t="s">
        <v>36</v>
      </c>
      <c r="H95" s="1">
        <v>7721</v>
      </c>
      <c r="I95" s="1" t="s">
        <v>27</v>
      </c>
      <c r="J95" s="1"/>
      <c r="K95" s="1">
        <v>9000</v>
      </c>
      <c r="L95" s="2">
        <v>45333</v>
      </c>
    </row>
    <row r="96" spans="1:12" x14ac:dyDescent="0.35">
      <c r="A96" s="1" t="s">
        <v>205</v>
      </c>
      <c r="B96" s="1" t="s">
        <v>118</v>
      </c>
      <c r="C96" s="1" t="s">
        <v>61</v>
      </c>
      <c r="D96" s="1" t="s">
        <v>62</v>
      </c>
      <c r="E96" s="1" t="s">
        <v>46</v>
      </c>
      <c r="F96" s="1" t="s">
        <v>17</v>
      </c>
      <c r="G96" s="1" t="s">
        <v>26</v>
      </c>
      <c r="H96" s="1">
        <v>9426</v>
      </c>
      <c r="I96" s="1" t="s">
        <v>33</v>
      </c>
      <c r="J96" s="1">
        <v>0.3</v>
      </c>
      <c r="K96" s="1">
        <v>9000</v>
      </c>
      <c r="L96" s="2">
        <v>45312</v>
      </c>
    </row>
    <row r="97" spans="1:12" x14ac:dyDescent="0.35">
      <c r="A97" s="1" t="s">
        <v>206</v>
      </c>
      <c r="B97" s="1" t="s">
        <v>207</v>
      </c>
      <c r="C97" s="1" t="s">
        <v>14</v>
      </c>
      <c r="D97" s="1" t="s">
        <v>15</v>
      </c>
      <c r="E97" s="1" t="s">
        <v>46</v>
      </c>
      <c r="F97" s="1" t="s">
        <v>17</v>
      </c>
      <c r="G97" s="1" t="s">
        <v>18</v>
      </c>
      <c r="H97" s="1">
        <v>15073</v>
      </c>
      <c r="I97" s="1"/>
      <c r="J97" s="1"/>
      <c r="K97" s="1">
        <v>14000</v>
      </c>
      <c r="L97" s="2">
        <v>45328</v>
      </c>
    </row>
    <row r="98" spans="1:12" x14ac:dyDescent="0.35">
      <c r="A98" s="1" t="s">
        <v>208</v>
      </c>
      <c r="B98" s="1" t="s">
        <v>209</v>
      </c>
      <c r="C98" s="1" t="s">
        <v>61</v>
      </c>
      <c r="D98" s="1" t="s">
        <v>62</v>
      </c>
      <c r="E98" s="1" t="s">
        <v>46</v>
      </c>
      <c r="F98" s="1" t="s">
        <v>25</v>
      </c>
      <c r="G98" s="1" t="s">
        <v>36</v>
      </c>
      <c r="H98" s="1">
        <v>10485</v>
      </c>
      <c r="I98" s="1" t="s">
        <v>33</v>
      </c>
      <c r="J98" s="1">
        <v>0.3</v>
      </c>
      <c r="K98" s="1">
        <v>9000</v>
      </c>
      <c r="L98" s="2">
        <v>45303</v>
      </c>
    </row>
    <row r="99" spans="1:12" x14ac:dyDescent="0.35">
      <c r="A99" s="1" t="s">
        <v>210</v>
      </c>
      <c r="B99" s="1" t="s">
        <v>211</v>
      </c>
      <c r="C99" s="1" t="s">
        <v>30</v>
      </c>
      <c r="D99" s="1" t="s">
        <v>31</v>
      </c>
      <c r="E99" s="1" t="s">
        <v>46</v>
      </c>
      <c r="F99" s="1" t="s">
        <v>17</v>
      </c>
      <c r="G99" s="1" t="s">
        <v>36</v>
      </c>
      <c r="H99" s="1">
        <v>18605</v>
      </c>
      <c r="I99" s="1" t="s">
        <v>27</v>
      </c>
      <c r="J99" s="1"/>
      <c r="K99" s="1">
        <v>17000</v>
      </c>
      <c r="L99" s="2">
        <v>45336</v>
      </c>
    </row>
    <row r="100" spans="1:12" x14ac:dyDescent="0.35">
      <c r="A100" s="1" t="s">
        <v>212</v>
      </c>
      <c r="B100" s="1" t="s">
        <v>111</v>
      </c>
      <c r="C100" s="1" t="s">
        <v>14</v>
      </c>
      <c r="D100" s="1" t="s">
        <v>15</v>
      </c>
      <c r="E100" s="1" t="s">
        <v>16</v>
      </c>
      <c r="F100" s="1" t="s">
        <v>25</v>
      </c>
      <c r="G100" s="1" t="s">
        <v>18</v>
      </c>
      <c r="H100" s="1">
        <v>12988</v>
      </c>
      <c r="I100" s="1"/>
      <c r="J100" s="1"/>
      <c r="K100" s="1">
        <v>14000</v>
      </c>
      <c r="L100" s="2">
        <v>45323</v>
      </c>
    </row>
    <row r="101" spans="1:12" x14ac:dyDescent="0.35">
      <c r="A101" s="1" t="s">
        <v>213</v>
      </c>
      <c r="B101" s="1" t="s">
        <v>82</v>
      </c>
      <c r="C101" s="1" t="s">
        <v>44</v>
      </c>
      <c r="D101" s="1" t="s">
        <v>45</v>
      </c>
      <c r="E101" s="1" t="s">
        <v>16</v>
      </c>
      <c r="F101" s="1" t="s">
        <v>17</v>
      </c>
      <c r="G101" s="1" t="s">
        <v>26</v>
      </c>
      <c r="H101" s="1">
        <v>13915</v>
      </c>
      <c r="I101" s="1"/>
      <c r="J101" s="1"/>
      <c r="K101" s="1">
        <v>13000</v>
      </c>
      <c r="L101" s="2">
        <v>45320</v>
      </c>
    </row>
    <row r="102" spans="1:12" x14ac:dyDescent="0.35">
      <c r="A102" s="1" t="s">
        <v>214</v>
      </c>
      <c r="B102" s="1" t="s">
        <v>64</v>
      </c>
      <c r="C102" s="1" t="s">
        <v>14</v>
      </c>
      <c r="D102" s="1" t="s">
        <v>15</v>
      </c>
      <c r="E102" s="1" t="s">
        <v>46</v>
      </c>
      <c r="F102" s="1" t="s">
        <v>25</v>
      </c>
      <c r="G102" s="1" t="s">
        <v>36</v>
      </c>
      <c r="H102" s="1">
        <v>14833</v>
      </c>
      <c r="I102" s="1" t="s">
        <v>19</v>
      </c>
      <c r="J102" s="1">
        <v>0.2</v>
      </c>
      <c r="K102" s="1">
        <v>14000</v>
      </c>
      <c r="L102" s="2">
        <v>45311</v>
      </c>
    </row>
    <row r="103" spans="1:12" x14ac:dyDescent="0.35">
      <c r="A103" s="1" t="s">
        <v>215</v>
      </c>
      <c r="B103" s="1" t="s">
        <v>163</v>
      </c>
      <c r="C103" s="1" t="s">
        <v>30</v>
      </c>
      <c r="D103" s="1" t="s">
        <v>31</v>
      </c>
      <c r="E103" s="1" t="s">
        <v>46</v>
      </c>
      <c r="F103" s="1" t="s">
        <v>39</v>
      </c>
      <c r="G103" s="1" t="s">
        <v>26</v>
      </c>
      <c r="H103" s="1">
        <v>16408</v>
      </c>
      <c r="I103" s="1"/>
      <c r="J103" s="1"/>
      <c r="K103" s="1">
        <v>17000</v>
      </c>
      <c r="L103" s="2">
        <v>45339</v>
      </c>
    </row>
    <row r="104" spans="1:12" x14ac:dyDescent="0.35">
      <c r="A104" s="1" t="s">
        <v>216</v>
      </c>
      <c r="B104" s="1" t="s">
        <v>217</v>
      </c>
      <c r="C104" s="1" t="s">
        <v>30</v>
      </c>
      <c r="D104" s="1" t="s">
        <v>31</v>
      </c>
      <c r="E104" s="1" t="s">
        <v>16</v>
      </c>
      <c r="F104" s="1" t="s">
        <v>17</v>
      </c>
      <c r="G104" s="1" t="s">
        <v>36</v>
      </c>
      <c r="H104" s="1">
        <v>16255</v>
      </c>
      <c r="I104" s="1" t="s">
        <v>33</v>
      </c>
      <c r="J104" s="1">
        <v>0.3</v>
      </c>
      <c r="K104" s="1">
        <v>17000</v>
      </c>
      <c r="L104" s="2">
        <v>45306</v>
      </c>
    </row>
    <row r="105" spans="1:12" x14ac:dyDescent="0.35">
      <c r="A105" s="1" t="s">
        <v>218</v>
      </c>
      <c r="B105" s="1" t="s">
        <v>173</v>
      </c>
      <c r="C105" s="1" t="s">
        <v>44</v>
      </c>
      <c r="D105" s="1" t="s">
        <v>45</v>
      </c>
      <c r="E105" s="1" t="s">
        <v>46</v>
      </c>
      <c r="F105" s="1" t="s">
        <v>25</v>
      </c>
      <c r="G105" s="1" t="s">
        <v>26</v>
      </c>
      <c r="H105" s="1">
        <v>13194</v>
      </c>
      <c r="I105" s="1" t="s">
        <v>19</v>
      </c>
      <c r="J105" s="1">
        <v>0.2</v>
      </c>
      <c r="K105" s="1">
        <v>13000</v>
      </c>
      <c r="L105" s="2">
        <v>45304</v>
      </c>
    </row>
    <row r="106" spans="1:12" x14ac:dyDescent="0.35">
      <c r="A106" s="1" t="s">
        <v>219</v>
      </c>
      <c r="B106" s="1" t="s">
        <v>220</v>
      </c>
      <c r="C106" s="1" t="s">
        <v>61</v>
      </c>
      <c r="D106" s="1" t="s">
        <v>62</v>
      </c>
      <c r="E106" s="1" t="s">
        <v>46</v>
      </c>
      <c r="F106" s="1" t="s">
        <v>39</v>
      </c>
      <c r="G106" s="1" t="s">
        <v>26</v>
      </c>
      <c r="H106" s="1">
        <v>11000</v>
      </c>
      <c r="I106" s="1" t="s">
        <v>27</v>
      </c>
      <c r="J106" s="1"/>
      <c r="K106" s="1">
        <v>9000</v>
      </c>
      <c r="L106" s="2">
        <v>45330</v>
      </c>
    </row>
    <row r="107" spans="1:12" x14ac:dyDescent="0.35">
      <c r="A107" s="1" t="s">
        <v>221</v>
      </c>
      <c r="B107" s="1" t="s">
        <v>222</v>
      </c>
      <c r="C107" s="1" t="s">
        <v>44</v>
      </c>
      <c r="D107" s="1" t="s">
        <v>45</v>
      </c>
      <c r="E107" s="1" t="s">
        <v>46</v>
      </c>
      <c r="F107" s="1" t="s">
        <v>25</v>
      </c>
      <c r="G107" s="1" t="s">
        <v>36</v>
      </c>
      <c r="H107" s="1">
        <v>11734</v>
      </c>
      <c r="I107" s="1" t="s">
        <v>33</v>
      </c>
      <c r="J107" s="1">
        <v>0.3</v>
      </c>
      <c r="K107" s="1">
        <v>13000</v>
      </c>
      <c r="L107" s="2">
        <v>45292</v>
      </c>
    </row>
    <row r="108" spans="1:12" x14ac:dyDescent="0.35">
      <c r="A108" s="1" t="s">
        <v>223</v>
      </c>
      <c r="B108" s="1" t="s">
        <v>103</v>
      </c>
      <c r="C108" s="1" t="s">
        <v>44</v>
      </c>
      <c r="D108" s="1" t="s">
        <v>45</v>
      </c>
      <c r="E108" s="1" t="s">
        <v>46</v>
      </c>
      <c r="F108" s="1" t="s">
        <v>25</v>
      </c>
      <c r="G108" s="1" t="s">
        <v>18</v>
      </c>
      <c r="H108" s="1">
        <v>13266</v>
      </c>
      <c r="I108" s="1" t="s">
        <v>33</v>
      </c>
      <c r="J108" s="1">
        <v>0.3</v>
      </c>
      <c r="K108" s="1">
        <v>13000</v>
      </c>
      <c r="L108" s="2">
        <v>45336</v>
      </c>
    </row>
    <row r="109" spans="1:12" x14ac:dyDescent="0.35">
      <c r="A109" s="1" t="s">
        <v>224</v>
      </c>
      <c r="B109" s="1" t="s">
        <v>113</v>
      </c>
      <c r="C109" s="1" t="s">
        <v>61</v>
      </c>
      <c r="D109" s="1" t="s">
        <v>62</v>
      </c>
      <c r="E109" s="1" t="s">
        <v>32</v>
      </c>
      <c r="F109" s="1" t="s">
        <v>25</v>
      </c>
      <c r="G109" s="1" t="s">
        <v>26</v>
      </c>
      <c r="H109" s="1">
        <v>8164</v>
      </c>
      <c r="I109" s="1"/>
      <c r="J109" s="1"/>
      <c r="K109" s="1">
        <v>9000</v>
      </c>
      <c r="L109" s="2">
        <v>45322</v>
      </c>
    </row>
    <row r="110" spans="1:12" x14ac:dyDescent="0.35">
      <c r="A110" s="1" t="s">
        <v>225</v>
      </c>
      <c r="B110" s="1" t="s">
        <v>188</v>
      </c>
      <c r="C110" s="1" t="s">
        <v>44</v>
      </c>
      <c r="D110" s="1" t="s">
        <v>45</v>
      </c>
      <c r="E110" s="1" t="s">
        <v>32</v>
      </c>
      <c r="F110" s="1" t="s">
        <v>17</v>
      </c>
      <c r="G110" s="1" t="s">
        <v>36</v>
      </c>
      <c r="H110" s="1">
        <v>11467</v>
      </c>
      <c r="I110" s="1" t="s">
        <v>22</v>
      </c>
      <c r="J110" s="1">
        <v>0.1</v>
      </c>
      <c r="K110" s="1">
        <v>13000</v>
      </c>
      <c r="L110" s="2">
        <v>45317</v>
      </c>
    </row>
    <row r="111" spans="1:12" x14ac:dyDescent="0.35">
      <c r="A111" s="1" t="s">
        <v>226</v>
      </c>
      <c r="B111" s="1" t="s">
        <v>227</v>
      </c>
      <c r="C111" s="1" t="s">
        <v>14</v>
      </c>
      <c r="D111" s="1" t="s">
        <v>15</v>
      </c>
      <c r="E111" s="1" t="s">
        <v>32</v>
      </c>
      <c r="F111" s="1" t="s">
        <v>25</v>
      </c>
      <c r="G111" s="1" t="s">
        <v>26</v>
      </c>
      <c r="H111" s="1">
        <v>15887</v>
      </c>
      <c r="I111" s="1" t="s">
        <v>33</v>
      </c>
      <c r="J111" s="1">
        <v>0.3</v>
      </c>
      <c r="K111" s="1">
        <v>14000</v>
      </c>
      <c r="L111" s="2">
        <v>45297</v>
      </c>
    </row>
    <row r="112" spans="1:12" x14ac:dyDescent="0.35">
      <c r="A112" s="1" t="s">
        <v>228</v>
      </c>
      <c r="B112" s="1" t="s">
        <v>229</v>
      </c>
      <c r="C112" s="1" t="s">
        <v>61</v>
      </c>
      <c r="D112" s="1" t="s">
        <v>62</v>
      </c>
      <c r="E112" s="1" t="s">
        <v>16</v>
      </c>
      <c r="F112" s="1" t="s">
        <v>39</v>
      </c>
      <c r="G112" s="1" t="s">
        <v>26</v>
      </c>
      <c r="H112" s="1">
        <v>7924</v>
      </c>
      <c r="I112" s="1" t="s">
        <v>27</v>
      </c>
      <c r="J112" s="1"/>
      <c r="K112" s="1">
        <v>9000</v>
      </c>
      <c r="L112" s="2">
        <v>45316</v>
      </c>
    </row>
    <row r="113" spans="1:12" x14ac:dyDescent="0.35">
      <c r="A113" s="1" t="s">
        <v>230</v>
      </c>
      <c r="B113" s="1" t="s">
        <v>231</v>
      </c>
      <c r="C113" s="1" t="s">
        <v>30</v>
      </c>
      <c r="D113" s="1" t="s">
        <v>31</v>
      </c>
      <c r="E113" s="1" t="s">
        <v>16</v>
      </c>
      <c r="F113" s="1" t="s">
        <v>17</v>
      </c>
      <c r="G113" s="1" t="s">
        <v>36</v>
      </c>
      <c r="H113" s="1">
        <v>17329</v>
      </c>
      <c r="I113" s="1" t="s">
        <v>27</v>
      </c>
      <c r="J113" s="1"/>
      <c r="K113" s="1">
        <v>17000</v>
      </c>
      <c r="L113" s="2">
        <v>45295</v>
      </c>
    </row>
    <row r="114" spans="1:12" x14ac:dyDescent="0.35">
      <c r="A114" s="1" t="s">
        <v>232</v>
      </c>
      <c r="B114" s="1" t="s">
        <v>233</v>
      </c>
      <c r="C114" s="1" t="s">
        <v>14</v>
      </c>
      <c r="D114" s="1" t="s">
        <v>15</v>
      </c>
      <c r="E114" s="1" t="s">
        <v>32</v>
      </c>
      <c r="F114" s="1" t="s">
        <v>39</v>
      </c>
      <c r="G114" s="1" t="s">
        <v>18</v>
      </c>
      <c r="H114" s="1">
        <v>13083</v>
      </c>
      <c r="I114" s="1" t="s">
        <v>22</v>
      </c>
      <c r="J114" s="1">
        <v>0.1</v>
      </c>
      <c r="K114" s="1">
        <v>14000</v>
      </c>
      <c r="L114" s="2">
        <v>45302</v>
      </c>
    </row>
    <row r="115" spans="1:12" x14ac:dyDescent="0.35">
      <c r="A115" s="1" t="s">
        <v>234</v>
      </c>
      <c r="B115" s="1" t="s">
        <v>235</v>
      </c>
      <c r="C115" s="1" t="s">
        <v>14</v>
      </c>
      <c r="D115" s="1" t="s">
        <v>15</v>
      </c>
      <c r="E115" s="1" t="s">
        <v>32</v>
      </c>
      <c r="F115" s="1" t="s">
        <v>25</v>
      </c>
      <c r="G115" s="1" t="s">
        <v>36</v>
      </c>
      <c r="H115" s="1">
        <v>13845</v>
      </c>
      <c r="I115" s="1" t="s">
        <v>27</v>
      </c>
      <c r="J115" s="1"/>
      <c r="K115" s="1">
        <v>14000</v>
      </c>
      <c r="L115" s="2">
        <v>45322</v>
      </c>
    </row>
    <row r="116" spans="1:12" x14ac:dyDescent="0.35">
      <c r="A116" s="1" t="s">
        <v>236</v>
      </c>
      <c r="B116" s="1" t="s">
        <v>237</v>
      </c>
      <c r="C116" s="1" t="s">
        <v>44</v>
      </c>
      <c r="D116" s="1" t="s">
        <v>45</v>
      </c>
      <c r="E116" s="1" t="s">
        <v>46</v>
      </c>
      <c r="F116" s="1" t="s">
        <v>39</v>
      </c>
      <c r="G116" s="1" t="s">
        <v>36</v>
      </c>
      <c r="H116" s="1">
        <v>13879</v>
      </c>
      <c r="I116" s="1"/>
      <c r="J116" s="1"/>
      <c r="K116" s="1">
        <v>13000</v>
      </c>
      <c r="L116" s="2">
        <v>45296</v>
      </c>
    </row>
    <row r="117" spans="1:12" x14ac:dyDescent="0.35">
      <c r="A117" s="1" t="s">
        <v>238</v>
      </c>
      <c r="B117" s="1" t="s">
        <v>239</v>
      </c>
      <c r="C117" s="1" t="s">
        <v>30</v>
      </c>
      <c r="D117" s="1" t="s">
        <v>31</v>
      </c>
      <c r="E117" s="1" t="s">
        <v>16</v>
      </c>
      <c r="F117" s="1" t="s">
        <v>39</v>
      </c>
      <c r="G117" s="1" t="s">
        <v>26</v>
      </c>
      <c r="H117" s="1">
        <v>18292</v>
      </c>
      <c r="I117" s="1" t="s">
        <v>19</v>
      </c>
      <c r="J117" s="1">
        <v>0.2</v>
      </c>
      <c r="K117" s="1">
        <v>17000</v>
      </c>
      <c r="L117" s="2">
        <v>45319</v>
      </c>
    </row>
    <row r="118" spans="1:12" x14ac:dyDescent="0.35">
      <c r="A118" s="1" t="s">
        <v>240</v>
      </c>
      <c r="B118" s="1" t="s">
        <v>241</v>
      </c>
      <c r="C118" s="1" t="s">
        <v>44</v>
      </c>
      <c r="D118" s="1" t="s">
        <v>45</v>
      </c>
      <c r="E118" s="1" t="s">
        <v>16</v>
      </c>
      <c r="F118" s="1" t="s">
        <v>25</v>
      </c>
      <c r="G118" s="1" t="s">
        <v>36</v>
      </c>
      <c r="H118" s="1">
        <v>14385</v>
      </c>
      <c r="I118" s="1" t="s">
        <v>19</v>
      </c>
      <c r="J118" s="1">
        <v>0.2</v>
      </c>
      <c r="K118" s="1">
        <v>13000</v>
      </c>
      <c r="L118" s="2">
        <v>45296</v>
      </c>
    </row>
    <row r="119" spans="1:12" x14ac:dyDescent="0.35">
      <c r="A119" s="1" t="s">
        <v>242</v>
      </c>
      <c r="B119" s="1" t="s">
        <v>243</v>
      </c>
      <c r="C119" s="1" t="s">
        <v>30</v>
      </c>
      <c r="D119" s="1" t="s">
        <v>31</v>
      </c>
      <c r="E119" s="1" t="s">
        <v>16</v>
      </c>
      <c r="F119" s="1" t="s">
        <v>39</v>
      </c>
      <c r="G119" s="1" t="s">
        <v>26</v>
      </c>
      <c r="H119" s="1">
        <v>18773</v>
      </c>
      <c r="I119" s="1" t="s">
        <v>33</v>
      </c>
      <c r="J119" s="1">
        <v>0.3</v>
      </c>
      <c r="K119" s="1">
        <v>17000</v>
      </c>
      <c r="L119" s="2">
        <v>45320</v>
      </c>
    </row>
    <row r="120" spans="1:12" x14ac:dyDescent="0.35">
      <c r="A120" s="1" t="s">
        <v>244</v>
      </c>
      <c r="B120" s="1" t="s">
        <v>245</v>
      </c>
      <c r="C120" s="1" t="s">
        <v>30</v>
      </c>
      <c r="D120" s="1" t="s">
        <v>31</v>
      </c>
      <c r="E120" s="1" t="s">
        <v>16</v>
      </c>
      <c r="F120" s="1" t="s">
        <v>17</v>
      </c>
      <c r="G120" s="1" t="s">
        <v>36</v>
      </c>
      <c r="H120" s="1">
        <v>17049</v>
      </c>
      <c r="I120" s="1" t="s">
        <v>27</v>
      </c>
      <c r="J120" s="1"/>
      <c r="K120" s="1">
        <v>17000</v>
      </c>
      <c r="L120" s="2">
        <v>45323</v>
      </c>
    </row>
    <row r="121" spans="1:12" x14ac:dyDescent="0.35">
      <c r="A121" s="1" t="s">
        <v>246</v>
      </c>
      <c r="B121" s="1" t="s">
        <v>227</v>
      </c>
      <c r="C121" s="1" t="s">
        <v>14</v>
      </c>
      <c r="D121" s="1" t="s">
        <v>15</v>
      </c>
      <c r="E121" s="1" t="s">
        <v>46</v>
      </c>
      <c r="F121" s="1" t="s">
        <v>39</v>
      </c>
      <c r="G121" s="1" t="s">
        <v>36</v>
      </c>
      <c r="H121" s="1">
        <v>14472</v>
      </c>
      <c r="I121" s="1" t="s">
        <v>33</v>
      </c>
      <c r="J121" s="1">
        <v>0.3</v>
      </c>
      <c r="K121" s="1">
        <v>14000</v>
      </c>
      <c r="L121" s="2">
        <v>45293</v>
      </c>
    </row>
    <row r="122" spans="1:12" x14ac:dyDescent="0.35">
      <c r="A122" s="1" t="s">
        <v>247</v>
      </c>
      <c r="B122" s="1" t="s">
        <v>248</v>
      </c>
      <c r="C122" s="1" t="s">
        <v>14</v>
      </c>
      <c r="D122" s="1" t="s">
        <v>15</v>
      </c>
      <c r="E122" s="1" t="s">
        <v>16</v>
      </c>
      <c r="F122" s="1" t="s">
        <v>17</v>
      </c>
      <c r="G122" s="1" t="s">
        <v>26</v>
      </c>
      <c r="H122" s="1">
        <v>12164</v>
      </c>
      <c r="I122" s="1" t="s">
        <v>19</v>
      </c>
      <c r="J122" s="1">
        <v>0.2</v>
      </c>
      <c r="K122" s="1">
        <v>14000</v>
      </c>
      <c r="L122" s="2">
        <v>45322</v>
      </c>
    </row>
    <row r="123" spans="1:12" x14ac:dyDescent="0.35">
      <c r="A123" s="1" t="s">
        <v>249</v>
      </c>
      <c r="B123" s="1" t="s">
        <v>202</v>
      </c>
      <c r="C123" s="1" t="s">
        <v>61</v>
      </c>
      <c r="D123" s="1" t="s">
        <v>62</v>
      </c>
      <c r="E123" s="1" t="s">
        <v>46</v>
      </c>
      <c r="F123" s="1" t="s">
        <v>25</v>
      </c>
      <c r="G123" s="1" t="s">
        <v>26</v>
      </c>
      <c r="H123" s="1">
        <v>8785</v>
      </c>
      <c r="I123" s="1"/>
      <c r="J123" s="1"/>
      <c r="K123" s="1">
        <v>9000</v>
      </c>
      <c r="L123" s="2">
        <v>45297</v>
      </c>
    </row>
    <row r="124" spans="1:12" x14ac:dyDescent="0.35">
      <c r="A124" s="1" t="s">
        <v>250</v>
      </c>
      <c r="B124" s="1" t="s">
        <v>188</v>
      </c>
      <c r="C124" s="1" t="s">
        <v>61</v>
      </c>
      <c r="D124" s="1" t="s">
        <v>62</v>
      </c>
      <c r="E124" s="1" t="s">
        <v>46</v>
      </c>
      <c r="F124" s="1" t="s">
        <v>17</v>
      </c>
      <c r="G124" s="1" t="s">
        <v>26</v>
      </c>
      <c r="H124" s="1">
        <v>7428</v>
      </c>
      <c r="I124" s="1" t="s">
        <v>19</v>
      </c>
      <c r="J124" s="1">
        <v>0.2</v>
      </c>
      <c r="K124" s="1">
        <v>9000</v>
      </c>
      <c r="L124" s="2">
        <v>45313</v>
      </c>
    </row>
    <row r="125" spans="1:12" x14ac:dyDescent="0.35">
      <c r="A125" s="1" t="s">
        <v>251</v>
      </c>
      <c r="B125" s="1" t="s">
        <v>101</v>
      </c>
      <c r="C125" s="1" t="s">
        <v>61</v>
      </c>
      <c r="D125" s="1" t="s">
        <v>62</v>
      </c>
      <c r="E125" s="1" t="s">
        <v>46</v>
      </c>
      <c r="F125" s="1" t="s">
        <v>39</v>
      </c>
      <c r="G125" s="1" t="s">
        <v>36</v>
      </c>
      <c r="H125" s="1">
        <v>10332</v>
      </c>
      <c r="I125" s="1" t="s">
        <v>27</v>
      </c>
      <c r="J125" s="1"/>
      <c r="K125" s="1">
        <v>9000</v>
      </c>
      <c r="L125" s="2">
        <v>45294</v>
      </c>
    </row>
    <row r="126" spans="1:12" x14ac:dyDescent="0.35">
      <c r="A126" s="1" t="s">
        <v>252</v>
      </c>
      <c r="B126" s="1" t="s">
        <v>227</v>
      </c>
      <c r="C126" s="1" t="s">
        <v>30</v>
      </c>
      <c r="D126" s="1" t="s">
        <v>31</v>
      </c>
      <c r="E126" s="1" t="s">
        <v>46</v>
      </c>
      <c r="F126" s="1" t="s">
        <v>17</v>
      </c>
      <c r="G126" s="1" t="s">
        <v>18</v>
      </c>
      <c r="H126" s="1">
        <v>18973</v>
      </c>
      <c r="I126" s="1"/>
      <c r="J126" s="1"/>
      <c r="K126" s="1">
        <v>17000</v>
      </c>
      <c r="L126" s="2">
        <v>45347</v>
      </c>
    </row>
    <row r="127" spans="1:12" x14ac:dyDescent="0.35">
      <c r="A127" s="1" t="s">
        <v>253</v>
      </c>
      <c r="B127" s="1" t="s">
        <v>105</v>
      </c>
      <c r="C127" s="1" t="s">
        <v>14</v>
      </c>
      <c r="D127" s="1" t="s">
        <v>15</v>
      </c>
      <c r="E127" s="1" t="s">
        <v>16</v>
      </c>
      <c r="F127" s="1" t="s">
        <v>39</v>
      </c>
      <c r="G127" s="1" t="s">
        <v>36</v>
      </c>
      <c r="H127" s="1">
        <v>13692</v>
      </c>
      <c r="I127" s="1" t="s">
        <v>22</v>
      </c>
      <c r="J127" s="1">
        <v>0.1</v>
      </c>
      <c r="K127" s="1">
        <v>14000</v>
      </c>
      <c r="L127" s="2">
        <v>45304</v>
      </c>
    </row>
    <row r="128" spans="1:12" x14ac:dyDescent="0.35">
      <c r="A128" s="1" t="s">
        <v>254</v>
      </c>
      <c r="B128" s="1" t="s">
        <v>217</v>
      </c>
      <c r="C128" s="1" t="s">
        <v>61</v>
      </c>
      <c r="D128" s="1" t="s">
        <v>62</v>
      </c>
      <c r="E128" s="1" t="s">
        <v>16</v>
      </c>
      <c r="F128" s="1" t="s">
        <v>17</v>
      </c>
      <c r="G128" s="1" t="s">
        <v>18</v>
      </c>
      <c r="H128" s="1">
        <v>7833</v>
      </c>
      <c r="I128" s="1" t="s">
        <v>33</v>
      </c>
      <c r="J128" s="1">
        <v>0.3</v>
      </c>
      <c r="K128" s="1">
        <v>9000</v>
      </c>
      <c r="L128" s="2">
        <v>45327</v>
      </c>
    </row>
    <row r="129" spans="1:12" x14ac:dyDescent="0.35">
      <c r="A129" s="1" t="s">
        <v>255</v>
      </c>
      <c r="B129" s="1" t="s">
        <v>256</v>
      </c>
      <c r="C129" s="1" t="s">
        <v>61</v>
      </c>
      <c r="D129" s="1" t="s">
        <v>62</v>
      </c>
      <c r="E129" s="1" t="s">
        <v>16</v>
      </c>
      <c r="F129" s="1" t="s">
        <v>17</v>
      </c>
      <c r="G129" s="1" t="s">
        <v>18</v>
      </c>
      <c r="H129" s="1">
        <v>7118</v>
      </c>
      <c r="I129" s="1" t="s">
        <v>27</v>
      </c>
      <c r="J129" s="1"/>
      <c r="K129" s="1">
        <v>9000</v>
      </c>
      <c r="L129" s="2">
        <v>45343</v>
      </c>
    </row>
    <row r="130" spans="1:12" x14ac:dyDescent="0.35">
      <c r="A130" s="1" t="s">
        <v>257</v>
      </c>
      <c r="B130" s="1" t="s">
        <v>220</v>
      </c>
      <c r="C130" s="1" t="s">
        <v>44</v>
      </c>
      <c r="D130" s="1" t="s">
        <v>45</v>
      </c>
      <c r="E130" s="1" t="s">
        <v>46</v>
      </c>
      <c r="F130" s="1" t="s">
        <v>39</v>
      </c>
      <c r="G130" s="1" t="s">
        <v>18</v>
      </c>
      <c r="H130" s="1">
        <v>13262</v>
      </c>
      <c r="I130" s="1"/>
      <c r="J130" s="1"/>
      <c r="K130" s="1">
        <v>13000</v>
      </c>
      <c r="L130" s="2">
        <v>45297</v>
      </c>
    </row>
    <row r="131" spans="1:12" x14ac:dyDescent="0.35">
      <c r="A131" s="1" t="s">
        <v>258</v>
      </c>
      <c r="B131" s="1" t="s">
        <v>171</v>
      </c>
      <c r="C131" s="1" t="s">
        <v>14</v>
      </c>
      <c r="D131" s="1" t="s">
        <v>15</v>
      </c>
      <c r="E131" s="1" t="s">
        <v>46</v>
      </c>
      <c r="F131" s="1" t="s">
        <v>25</v>
      </c>
      <c r="G131" s="1" t="s">
        <v>26</v>
      </c>
      <c r="H131" s="1">
        <v>15408</v>
      </c>
      <c r="I131" s="1" t="s">
        <v>19</v>
      </c>
      <c r="J131" s="1">
        <v>0.2</v>
      </c>
      <c r="K131" s="1">
        <v>14000</v>
      </c>
      <c r="L131" s="2">
        <v>45323</v>
      </c>
    </row>
    <row r="132" spans="1:12" x14ac:dyDescent="0.35">
      <c r="A132" s="1" t="s">
        <v>259</v>
      </c>
      <c r="B132" s="1" t="s">
        <v>260</v>
      </c>
      <c r="C132" s="1" t="s">
        <v>30</v>
      </c>
      <c r="D132" s="1" t="s">
        <v>31</v>
      </c>
      <c r="E132" s="1" t="s">
        <v>16</v>
      </c>
      <c r="F132" s="1" t="s">
        <v>39</v>
      </c>
      <c r="G132" s="1" t="s">
        <v>36</v>
      </c>
      <c r="H132" s="1">
        <v>16701</v>
      </c>
      <c r="I132" s="1"/>
      <c r="J132" s="1"/>
      <c r="K132" s="1">
        <v>17000</v>
      </c>
      <c r="L132" s="2">
        <v>45322</v>
      </c>
    </row>
    <row r="133" spans="1:12" x14ac:dyDescent="0.35">
      <c r="A133" s="1" t="s">
        <v>261</v>
      </c>
      <c r="B133" s="1" t="s">
        <v>29</v>
      </c>
      <c r="C133" s="1" t="s">
        <v>44</v>
      </c>
      <c r="D133" s="1" t="s">
        <v>45</v>
      </c>
      <c r="E133" s="1" t="s">
        <v>46</v>
      </c>
      <c r="F133" s="1" t="s">
        <v>25</v>
      </c>
      <c r="G133" s="1" t="s">
        <v>26</v>
      </c>
      <c r="H133" s="1">
        <v>13081</v>
      </c>
      <c r="I133" s="1" t="s">
        <v>19</v>
      </c>
      <c r="J133" s="1">
        <v>0.2</v>
      </c>
      <c r="K133" s="1">
        <v>13000</v>
      </c>
      <c r="L133" s="2">
        <v>45347</v>
      </c>
    </row>
    <row r="134" spans="1:12" x14ac:dyDescent="0.35">
      <c r="A134" s="1" t="s">
        <v>262</v>
      </c>
      <c r="B134" s="1" t="s">
        <v>263</v>
      </c>
      <c r="C134" s="1" t="s">
        <v>61</v>
      </c>
      <c r="D134" s="1" t="s">
        <v>62</v>
      </c>
      <c r="E134" s="1" t="s">
        <v>46</v>
      </c>
      <c r="F134" s="1" t="s">
        <v>39</v>
      </c>
      <c r="G134" s="1" t="s">
        <v>36</v>
      </c>
      <c r="H134" s="1">
        <v>10360</v>
      </c>
      <c r="I134" s="1" t="s">
        <v>22</v>
      </c>
      <c r="J134" s="1">
        <v>0.1</v>
      </c>
      <c r="K134" s="1">
        <v>9000</v>
      </c>
      <c r="L134" s="2">
        <v>45310</v>
      </c>
    </row>
    <row r="135" spans="1:12" x14ac:dyDescent="0.35">
      <c r="A135" s="1" t="s">
        <v>264</v>
      </c>
      <c r="B135" s="1" t="s">
        <v>265</v>
      </c>
      <c r="C135" s="1" t="s">
        <v>61</v>
      </c>
      <c r="D135" s="1" t="s">
        <v>62</v>
      </c>
      <c r="E135" s="1" t="s">
        <v>32</v>
      </c>
      <c r="F135" s="1" t="s">
        <v>17</v>
      </c>
      <c r="G135" s="1" t="s">
        <v>26</v>
      </c>
      <c r="H135" s="1">
        <v>8983</v>
      </c>
      <c r="I135" s="1" t="s">
        <v>33</v>
      </c>
      <c r="J135" s="1">
        <v>0.3</v>
      </c>
      <c r="K135" s="1">
        <v>9000</v>
      </c>
      <c r="L135" s="2">
        <v>45313</v>
      </c>
    </row>
    <row r="136" spans="1:12" x14ac:dyDescent="0.35">
      <c r="A136" s="1" t="s">
        <v>266</v>
      </c>
      <c r="B136" s="1" t="s">
        <v>82</v>
      </c>
      <c r="C136" s="1" t="s">
        <v>61</v>
      </c>
      <c r="D136" s="1" t="s">
        <v>62</v>
      </c>
      <c r="E136" s="1" t="s">
        <v>46</v>
      </c>
      <c r="F136" s="1" t="s">
        <v>17</v>
      </c>
      <c r="G136" s="1" t="s">
        <v>18</v>
      </c>
      <c r="H136" s="1">
        <v>9856</v>
      </c>
      <c r="I136" s="1" t="s">
        <v>19</v>
      </c>
      <c r="J136" s="1">
        <v>0.2</v>
      </c>
      <c r="K136" s="1">
        <v>9000</v>
      </c>
      <c r="L136" s="2">
        <v>45328</v>
      </c>
    </row>
    <row r="137" spans="1:12" x14ac:dyDescent="0.35">
      <c r="A137" s="1" t="s">
        <v>267</v>
      </c>
      <c r="B137" s="1" t="s">
        <v>268</v>
      </c>
      <c r="C137" s="1" t="s">
        <v>61</v>
      </c>
      <c r="D137" s="1" t="s">
        <v>62</v>
      </c>
      <c r="E137" s="1" t="s">
        <v>32</v>
      </c>
      <c r="F137" s="1" t="s">
        <v>17</v>
      </c>
      <c r="G137" s="1" t="s">
        <v>26</v>
      </c>
      <c r="H137" s="1">
        <v>8937</v>
      </c>
      <c r="I137" s="1"/>
      <c r="J137" s="1"/>
      <c r="K137" s="1">
        <v>9000</v>
      </c>
      <c r="L137" s="2">
        <v>45316</v>
      </c>
    </row>
    <row r="138" spans="1:12" x14ac:dyDescent="0.35">
      <c r="A138" s="1" t="s">
        <v>269</v>
      </c>
      <c r="B138" s="1" t="s">
        <v>270</v>
      </c>
      <c r="C138" s="1" t="s">
        <v>44</v>
      </c>
      <c r="D138" s="1" t="s">
        <v>45</v>
      </c>
      <c r="E138" s="1" t="s">
        <v>46</v>
      </c>
      <c r="F138" s="1" t="s">
        <v>25</v>
      </c>
      <c r="G138" s="1" t="s">
        <v>18</v>
      </c>
      <c r="H138" s="1">
        <v>13057</v>
      </c>
      <c r="I138" s="1" t="s">
        <v>27</v>
      </c>
      <c r="J138" s="1"/>
      <c r="K138" s="1">
        <v>13000</v>
      </c>
      <c r="L138" s="2">
        <v>45313</v>
      </c>
    </row>
    <row r="139" spans="1:12" x14ac:dyDescent="0.35">
      <c r="A139" s="1" t="s">
        <v>271</v>
      </c>
      <c r="B139" s="1" t="s">
        <v>96</v>
      </c>
      <c r="C139" s="1" t="s">
        <v>61</v>
      </c>
      <c r="D139" s="1" t="s">
        <v>62</v>
      </c>
      <c r="E139" s="1" t="s">
        <v>32</v>
      </c>
      <c r="F139" s="1" t="s">
        <v>39</v>
      </c>
      <c r="G139" s="1" t="s">
        <v>36</v>
      </c>
      <c r="H139" s="1">
        <v>7062</v>
      </c>
      <c r="I139" s="1" t="s">
        <v>19</v>
      </c>
      <c r="J139" s="1">
        <v>0.2</v>
      </c>
      <c r="K139" s="1">
        <v>9000</v>
      </c>
      <c r="L139" s="2">
        <v>45318</v>
      </c>
    </row>
    <row r="140" spans="1:12" x14ac:dyDescent="0.35">
      <c r="A140" s="1" t="s">
        <v>272</v>
      </c>
      <c r="B140" s="1" t="s">
        <v>198</v>
      </c>
      <c r="C140" s="1" t="s">
        <v>44</v>
      </c>
      <c r="D140" s="1" t="s">
        <v>45</v>
      </c>
      <c r="E140" s="1" t="s">
        <v>32</v>
      </c>
      <c r="F140" s="1" t="s">
        <v>17</v>
      </c>
      <c r="G140" s="1" t="s">
        <v>36</v>
      </c>
      <c r="H140" s="1">
        <v>12386</v>
      </c>
      <c r="I140" s="1" t="s">
        <v>27</v>
      </c>
      <c r="J140" s="1"/>
      <c r="K140" s="1">
        <v>13000</v>
      </c>
      <c r="L140" s="2">
        <v>45336</v>
      </c>
    </row>
    <row r="141" spans="1:12" x14ac:dyDescent="0.35">
      <c r="A141" s="1" t="s">
        <v>273</v>
      </c>
      <c r="B141" s="1" t="s">
        <v>274</v>
      </c>
      <c r="C141" s="1" t="s">
        <v>14</v>
      </c>
      <c r="D141" s="1" t="s">
        <v>15</v>
      </c>
      <c r="E141" s="1" t="s">
        <v>46</v>
      </c>
      <c r="F141" s="1" t="s">
        <v>39</v>
      </c>
      <c r="G141" s="1" t="s">
        <v>26</v>
      </c>
      <c r="H141" s="1">
        <v>13556</v>
      </c>
      <c r="I141" s="1" t="s">
        <v>33</v>
      </c>
      <c r="J141" s="1">
        <v>0.3</v>
      </c>
      <c r="K141" s="1">
        <v>14000</v>
      </c>
      <c r="L141" s="2">
        <v>45332</v>
      </c>
    </row>
    <row r="142" spans="1:12" x14ac:dyDescent="0.35">
      <c r="A142" s="1" t="s">
        <v>275</v>
      </c>
      <c r="B142" s="1" t="s">
        <v>276</v>
      </c>
      <c r="C142" s="1" t="s">
        <v>61</v>
      </c>
      <c r="D142" s="1" t="s">
        <v>62</v>
      </c>
      <c r="E142" s="1" t="s">
        <v>16</v>
      </c>
      <c r="F142" s="1" t="s">
        <v>25</v>
      </c>
      <c r="G142" s="1" t="s">
        <v>26</v>
      </c>
      <c r="H142" s="1">
        <v>7280</v>
      </c>
      <c r="I142" s="1" t="s">
        <v>19</v>
      </c>
      <c r="J142" s="1">
        <v>0.2</v>
      </c>
      <c r="K142" s="1">
        <v>9000</v>
      </c>
      <c r="L142" s="2">
        <v>45332</v>
      </c>
    </row>
    <row r="143" spans="1:12" x14ac:dyDescent="0.35">
      <c r="A143" s="1" t="s">
        <v>277</v>
      </c>
      <c r="B143" s="1" t="s">
        <v>278</v>
      </c>
      <c r="C143" s="1" t="s">
        <v>44</v>
      </c>
      <c r="D143" s="1" t="s">
        <v>45</v>
      </c>
      <c r="E143" s="1" t="s">
        <v>16</v>
      </c>
      <c r="F143" s="1" t="s">
        <v>25</v>
      </c>
      <c r="G143" s="1" t="s">
        <v>36</v>
      </c>
      <c r="H143" s="1">
        <v>11403</v>
      </c>
      <c r="I143" s="1" t="s">
        <v>22</v>
      </c>
      <c r="J143" s="1">
        <v>0.1</v>
      </c>
      <c r="K143" s="1">
        <v>13000</v>
      </c>
      <c r="L143" s="2">
        <v>45320</v>
      </c>
    </row>
    <row r="144" spans="1:12" x14ac:dyDescent="0.35">
      <c r="A144" s="1" t="s">
        <v>279</v>
      </c>
      <c r="B144" s="1" t="s">
        <v>280</v>
      </c>
      <c r="C144" s="1" t="s">
        <v>30</v>
      </c>
      <c r="D144" s="1" t="s">
        <v>31</v>
      </c>
      <c r="E144" s="1" t="s">
        <v>32</v>
      </c>
      <c r="F144" s="1" t="s">
        <v>25</v>
      </c>
      <c r="G144" s="1" t="s">
        <v>36</v>
      </c>
      <c r="H144" s="1">
        <v>18261</v>
      </c>
      <c r="I144" s="1" t="s">
        <v>22</v>
      </c>
      <c r="J144" s="1">
        <v>0.1</v>
      </c>
      <c r="K144" s="1">
        <v>17000</v>
      </c>
      <c r="L144" s="2">
        <v>45310</v>
      </c>
    </row>
    <row r="145" spans="1:12" x14ac:dyDescent="0.35">
      <c r="A145" s="1" t="s">
        <v>281</v>
      </c>
      <c r="B145" s="1" t="s">
        <v>282</v>
      </c>
      <c r="C145" s="1" t="s">
        <v>61</v>
      </c>
      <c r="D145" s="1" t="s">
        <v>62</v>
      </c>
      <c r="E145" s="1" t="s">
        <v>32</v>
      </c>
      <c r="F145" s="1" t="s">
        <v>25</v>
      </c>
      <c r="G145" s="1" t="s">
        <v>26</v>
      </c>
      <c r="H145" s="1">
        <v>8687</v>
      </c>
      <c r="I145" s="1" t="s">
        <v>27</v>
      </c>
      <c r="J145" s="1"/>
      <c r="K145" s="1">
        <v>9000</v>
      </c>
      <c r="L145" s="2">
        <v>45335</v>
      </c>
    </row>
    <row r="146" spans="1:12" x14ac:dyDescent="0.35">
      <c r="A146" s="1" t="s">
        <v>283</v>
      </c>
      <c r="B146" s="1" t="s">
        <v>72</v>
      </c>
      <c r="C146" s="1" t="s">
        <v>44</v>
      </c>
      <c r="D146" s="1" t="s">
        <v>45</v>
      </c>
      <c r="E146" s="1" t="s">
        <v>32</v>
      </c>
      <c r="F146" s="1" t="s">
        <v>25</v>
      </c>
      <c r="G146" s="1" t="s">
        <v>26</v>
      </c>
      <c r="H146" s="1">
        <v>14566</v>
      </c>
      <c r="I146" s="1"/>
      <c r="J146" s="1"/>
      <c r="K146" s="1">
        <v>13000</v>
      </c>
      <c r="L146" s="2">
        <v>45331</v>
      </c>
    </row>
    <row r="147" spans="1:12" x14ac:dyDescent="0.35">
      <c r="A147" s="1" t="s">
        <v>284</v>
      </c>
      <c r="B147" s="1" t="s">
        <v>239</v>
      </c>
      <c r="C147" s="1" t="s">
        <v>61</v>
      </c>
      <c r="D147" s="1" t="s">
        <v>62</v>
      </c>
      <c r="E147" s="1" t="s">
        <v>16</v>
      </c>
      <c r="F147" s="1" t="s">
        <v>25</v>
      </c>
      <c r="G147" s="1" t="s">
        <v>18</v>
      </c>
      <c r="H147" s="1">
        <v>8888</v>
      </c>
      <c r="I147" s="1" t="s">
        <v>33</v>
      </c>
      <c r="J147" s="1">
        <v>0.3</v>
      </c>
      <c r="K147" s="1">
        <v>9000</v>
      </c>
      <c r="L147" s="2">
        <v>45321</v>
      </c>
    </row>
    <row r="148" spans="1:12" x14ac:dyDescent="0.35">
      <c r="A148" s="1" t="s">
        <v>285</v>
      </c>
      <c r="B148" s="1" t="s">
        <v>286</v>
      </c>
      <c r="C148" s="1" t="s">
        <v>14</v>
      </c>
      <c r="D148" s="1" t="s">
        <v>15</v>
      </c>
      <c r="E148" s="1" t="s">
        <v>46</v>
      </c>
      <c r="F148" s="1" t="s">
        <v>17</v>
      </c>
      <c r="G148" s="1" t="s">
        <v>26</v>
      </c>
      <c r="H148" s="1">
        <v>14238</v>
      </c>
      <c r="I148" s="1" t="s">
        <v>19</v>
      </c>
      <c r="J148" s="1">
        <v>0.2</v>
      </c>
      <c r="K148" s="1">
        <v>14000</v>
      </c>
      <c r="L148" s="2">
        <v>45296</v>
      </c>
    </row>
    <row r="149" spans="1:12" x14ac:dyDescent="0.35">
      <c r="A149" s="1" t="s">
        <v>287</v>
      </c>
      <c r="B149" s="1" t="s">
        <v>188</v>
      </c>
      <c r="C149" s="1" t="s">
        <v>30</v>
      </c>
      <c r="D149" s="1" t="s">
        <v>31</v>
      </c>
      <c r="E149" s="1" t="s">
        <v>16</v>
      </c>
      <c r="F149" s="1" t="s">
        <v>17</v>
      </c>
      <c r="G149" s="1" t="s">
        <v>26</v>
      </c>
      <c r="H149" s="1">
        <v>16024</v>
      </c>
      <c r="I149" s="1"/>
      <c r="J149" s="1"/>
      <c r="K149" s="1">
        <v>17000</v>
      </c>
      <c r="L149" s="2">
        <v>45346</v>
      </c>
    </row>
    <row r="150" spans="1:12" x14ac:dyDescent="0.35">
      <c r="A150" s="1" t="s">
        <v>288</v>
      </c>
      <c r="B150" s="1" t="s">
        <v>289</v>
      </c>
      <c r="C150" s="1" t="s">
        <v>61</v>
      </c>
      <c r="D150" s="1" t="s">
        <v>62</v>
      </c>
      <c r="E150" s="1" t="s">
        <v>46</v>
      </c>
      <c r="F150" s="1" t="s">
        <v>25</v>
      </c>
      <c r="G150" s="1" t="s">
        <v>18</v>
      </c>
      <c r="H150" s="1">
        <v>8562</v>
      </c>
      <c r="I150" s="1" t="s">
        <v>27</v>
      </c>
      <c r="J150" s="1"/>
      <c r="K150" s="1">
        <v>9000</v>
      </c>
      <c r="L150" s="2">
        <v>45314</v>
      </c>
    </row>
    <row r="151" spans="1:12" x14ac:dyDescent="0.35">
      <c r="A151" s="1" t="s">
        <v>290</v>
      </c>
      <c r="B151" s="1" t="s">
        <v>291</v>
      </c>
      <c r="C151" s="1" t="s">
        <v>30</v>
      </c>
      <c r="D151" s="1" t="s">
        <v>31</v>
      </c>
      <c r="E151" s="1" t="s">
        <v>32</v>
      </c>
      <c r="F151" s="1" t="s">
        <v>39</v>
      </c>
      <c r="G151" s="1" t="s">
        <v>36</v>
      </c>
      <c r="H151" s="1">
        <v>16124</v>
      </c>
      <c r="I151" s="1" t="s">
        <v>22</v>
      </c>
      <c r="J151" s="1">
        <v>0.1</v>
      </c>
      <c r="K151" s="1">
        <v>17000</v>
      </c>
      <c r="L151" s="2">
        <v>45328</v>
      </c>
    </row>
    <row r="152" spans="1:12" x14ac:dyDescent="0.35">
      <c r="A152" s="1" t="s">
        <v>292</v>
      </c>
      <c r="B152" s="1" t="s">
        <v>198</v>
      </c>
      <c r="C152" s="1" t="s">
        <v>14</v>
      </c>
      <c r="D152" s="1" t="s">
        <v>15</v>
      </c>
      <c r="E152" s="1" t="s">
        <v>16</v>
      </c>
      <c r="F152" s="1" t="s">
        <v>39</v>
      </c>
      <c r="G152" s="1" t="s">
        <v>36</v>
      </c>
      <c r="H152" s="1">
        <v>15411</v>
      </c>
      <c r="I152" s="1" t="s">
        <v>33</v>
      </c>
      <c r="J152" s="1">
        <v>0.3</v>
      </c>
      <c r="K152" s="1">
        <v>14000</v>
      </c>
      <c r="L152" s="2">
        <v>45341</v>
      </c>
    </row>
    <row r="153" spans="1:12" x14ac:dyDescent="0.35">
      <c r="A153" s="1" t="s">
        <v>293</v>
      </c>
      <c r="B153" s="1" t="s">
        <v>294</v>
      </c>
      <c r="C153" s="1" t="s">
        <v>30</v>
      </c>
      <c r="D153" s="1" t="s">
        <v>31</v>
      </c>
      <c r="E153" s="1" t="s">
        <v>32</v>
      </c>
      <c r="F153" s="1" t="s">
        <v>39</v>
      </c>
      <c r="G153" s="1" t="s">
        <v>18</v>
      </c>
      <c r="H153" s="1">
        <v>17543</v>
      </c>
      <c r="I153" s="1" t="s">
        <v>33</v>
      </c>
      <c r="J153" s="1">
        <v>0.3</v>
      </c>
      <c r="K153" s="1">
        <v>17000</v>
      </c>
      <c r="L153" s="2">
        <v>45335</v>
      </c>
    </row>
    <row r="154" spans="1:12" x14ac:dyDescent="0.35">
      <c r="A154" s="1" t="s">
        <v>295</v>
      </c>
      <c r="B154" s="1" t="s">
        <v>296</v>
      </c>
      <c r="C154" s="1" t="s">
        <v>44</v>
      </c>
      <c r="D154" s="1" t="s">
        <v>45</v>
      </c>
      <c r="E154" s="1" t="s">
        <v>16</v>
      </c>
      <c r="F154" s="1" t="s">
        <v>25</v>
      </c>
      <c r="G154" s="1" t="s">
        <v>26</v>
      </c>
      <c r="H154" s="1">
        <v>13647</v>
      </c>
      <c r="I154" s="1" t="s">
        <v>22</v>
      </c>
      <c r="J154" s="1">
        <v>0.1</v>
      </c>
      <c r="K154" s="1">
        <v>13000</v>
      </c>
      <c r="L154" s="2">
        <v>45311</v>
      </c>
    </row>
    <row r="155" spans="1:12" x14ac:dyDescent="0.35">
      <c r="A155" s="1" t="s">
        <v>297</v>
      </c>
      <c r="B155" s="1" t="s">
        <v>298</v>
      </c>
      <c r="C155" s="1" t="s">
        <v>14</v>
      </c>
      <c r="D155" s="1" t="s">
        <v>15</v>
      </c>
      <c r="E155" s="1" t="s">
        <v>16</v>
      </c>
      <c r="F155" s="1" t="s">
        <v>17</v>
      </c>
      <c r="G155" s="1" t="s">
        <v>26</v>
      </c>
      <c r="H155" s="1">
        <v>12538</v>
      </c>
      <c r="I155" s="1" t="s">
        <v>22</v>
      </c>
      <c r="J155" s="1">
        <v>0.1</v>
      </c>
      <c r="K155" s="1">
        <v>14000</v>
      </c>
      <c r="L155" s="2">
        <v>45350</v>
      </c>
    </row>
    <row r="156" spans="1:12" x14ac:dyDescent="0.35">
      <c r="A156" s="1" t="s">
        <v>299</v>
      </c>
      <c r="B156" s="1" t="s">
        <v>131</v>
      </c>
      <c r="C156" s="1" t="s">
        <v>61</v>
      </c>
      <c r="D156" s="1" t="s">
        <v>62</v>
      </c>
      <c r="E156" s="1" t="s">
        <v>32</v>
      </c>
      <c r="F156" s="1" t="s">
        <v>25</v>
      </c>
      <c r="G156" s="1" t="s">
        <v>18</v>
      </c>
      <c r="H156" s="1">
        <v>10221</v>
      </c>
      <c r="I156" s="1" t="s">
        <v>27</v>
      </c>
      <c r="J156" s="1"/>
      <c r="K156" s="1">
        <v>9000</v>
      </c>
      <c r="L156" s="2">
        <v>45348</v>
      </c>
    </row>
    <row r="157" spans="1:12" x14ac:dyDescent="0.35">
      <c r="A157" s="1" t="s">
        <v>300</v>
      </c>
      <c r="B157" s="1" t="s">
        <v>301</v>
      </c>
      <c r="C157" s="1" t="s">
        <v>30</v>
      </c>
      <c r="D157" s="1" t="s">
        <v>31</v>
      </c>
      <c r="E157" s="1" t="s">
        <v>32</v>
      </c>
      <c r="F157" s="1" t="s">
        <v>17</v>
      </c>
      <c r="G157" s="1" t="s">
        <v>36</v>
      </c>
      <c r="H157" s="1">
        <v>18962</v>
      </c>
      <c r="I157" s="1" t="s">
        <v>33</v>
      </c>
      <c r="J157" s="1">
        <v>0.3</v>
      </c>
      <c r="K157" s="1">
        <v>17000</v>
      </c>
      <c r="L157" s="2">
        <v>45339</v>
      </c>
    </row>
    <row r="158" spans="1:12" x14ac:dyDescent="0.35">
      <c r="A158" s="1" t="s">
        <v>302</v>
      </c>
      <c r="B158" s="1" t="s">
        <v>303</v>
      </c>
      <c r="C158" s="1" t="s">
        <v>14</v>
      </c>
      <c r="D158" s="1" t="s">
        <v>15</v>
      </c>
      <c r="E158" s="1" t="s">
        <v>46</v>
      </c>
      <c r="F158" s="1" t="s">
        <v>25</v>
      </c>
      <c r="G158" s="1" t="s">
        <v>18</v>
      </c>
      <c r="H158" s="1">
        <v>15089</v>
      </c>
      <c r="I158" s="1" t="s">
        <v>19</v>
      </c>
      <c r="J158" s="1">
        <v>0.2</v>
      </c>
      <c r="K158" s="1">
        <v>14000</v>
      </c>
      <c r="L158" s="2">
        <v>45347</v>
      </c>
    </row>
    <row r="159" spans="1:12" x14ac:dyDescent="0.35">
      <c r="A159" s="1" t="s">
        <v>304</v>
      </c>
      <c r="B159" s="1" t="s">
        <v>305</v>
      </c>
      <c r="C159" s="1" t="s">
        <v>61</v>
      </c>
      <c r="D159" s="1" t="s">
        <v>62</v>
      </c>
      <c r="E159" s="1" t="s">
        <v>16</v>
      </c>
      <c r="F159" s="1" t="s">
        <v>17</v>
      </c>
      <c r="G159" s="1" t="s">
        <v>18</v>
      </c>
      <c r="H159" s="1">
        <v>10238</v>
      </c>
      <c r="I159" s="1"/>
      <c r="J159" s="1"/>
      <c r="K159" s="1">
        <v>9000</v>
      </c>
      <c r="L159" s="2">
        <v>45292</v>
      </c>
    </row>
    <row r="160" spans="1:12" x14ac:dyDescent="0.35">
      <c r="A160" s="1" t="s">
        <v>306</v>
      </c>
      <c r="B160" s="1" t="s">
        <v>307</v>
      </c>
      <c r="C160" s="1" t="s">
        <v>14</v>
      </c>
      <c r="D160" s="1" t="s">
        <v>15</v>
      </c>
      <c r="E160" s="1" t="s">
        <v>46</v>
      </c>
      <c r="F160" s="1" t="s">
        <v>17</v>
      </c>
      <c r="G160" s="1" t="s">
        <v>26</v>
      </c>
      <c r="H160" s="1">
        <v>15067</v>
      </c>
      <c r="I160" s="1" t="s">
        <v>33</v>
      </c>
      <c r="J160" s="1">
        <v>0.3</v>
      </c>
      <c r="K160" s="1">
        <v>14000</v>
      </c>
      <c r="L160" s="2">
        <v>45329</v>
      </c>
    </row>
    <row r="161" spans="1:12" x14ac:dyDescent="0.35">
      <c r="A161" s="1" t="s">
        <v>308</v>
      </c>
      <c r="B161" s="1" t="s">
        <v>309</v>
      </c>
      <c r="C161" s="1" t="s">
        <v>30</v>
      </c>
      <c r="D161" s="1" t="s">
        <v>31</v>
      </c>
      <c r="E161" s="1" t="s">
        <v>32</v>
      </c>
      <c r="F161" s="1" t="s">
        <v>39</v>
      </c>
      <c r="G161" s="1" t="s">
        <v>18</v>
      </c>
      <c r="H161" s="1">
        <v>16931</v>
      </c>
      <c r="I161" s="1" t="s">
        <v>22</v>
      </c>
      <c r="J161" s="1">
        <v>0.1</v>
      </c>
      <c r="K161" s="1">
        <v>17000</v>
      </c>
      <c r="L161" s="2">
        <v>45331</v>
      </c>
    </row>
    <row r="162" spans="1:12" x14ac:dyDescent="0.35">
      <c r="A162" s="1" t="s">
        <v>310</v>
      </c>
      <c r="B162" s="1" t="s">
        <v>84</v>
      </c>
      <c r="C162" s="1" t="s">
        <v>30</v>
      </c>
      <c r="D162" s="1" t="s">
        <v>31</v>
      </c>
      <c r="E162" s="1" t="s">
        <v>16</v>
      </c>
      <c r="F162" s="1" t="s">
        <v>25</v>
      </c>
      <c r="G162" s="1" t="s">
        <v>26</v>
      </c>
      <c r="H162" s="1">
        <v>15258</v>
      </c>
      <c r="I162" s="1"/>
      <c r="J162" s="1"/>
      <c r="K162" s="1">
        <v>17000</v>
      </c>
      <c r="L162" s="2">
        <v>45350</v>
      </c>
    </row>
    <row r="163" spans="1:12" x14ac:dyDescent="0.35">
      <c r="A163" s="1" t="s">
        <v>311</v>
      </c>
      <c r="B163" s="1" t="s">
        <v>265</v>
      </c>
      <c r="C163" s="1" t="s">
        <v>61</v>
      </c>
      <c r="D163" s="1" t="s">
        <v>62</v>
      </c>
      <c r="E163" s="1" t="s">
        <v>32</v>
      </c>
      <c r="F163" s="1" t="s">
        <v>25</v>
      </c>
      <c r="G163" s="1" t="s">
        <v>18</v>
      </c>
      <c r="H163" s="1">
        <v>10875</v>
      </c>
      <c r="I163" s="1" t="s">
        <v>22</v>
      </c>
      <c r="J163" s="1">
        <v>0.1</v>
      </c>
      <c r="K163" s="1">
        <v>9000</v>
      </c>
      <c r="L163" s="2">
        <v>45311</v>
      </c>
    </row>
    <row r="164" spans="1:12" x14ac:dyDescent="0.35">
      <c r="A164" s="1" t="s">
        <v>312</v>
      </c>
      <c r="B164" s="1" t="s">
        <v>227</v>
      </c>
      <c r="C164" s="1" t="s">
        <v>14</v>
      </c>
      <c r="D164" s="1" t="s">
        <v>15</v>
      </c>
      <c r="E164" s="1" t="s">
        <v>32</v>
      </c>
      <c r="F164" s="1" t="s">
        <v>39</v>
      </c>
      <c r="G164" s="1" t="s">
        <v>18</v>
      </c>
      <c r="H164" s="1">
        <v>13591</v>
      </c>
      <c r="I164" s="1"/>
      <c r="J164" s="1"/>
      <c r="K164" s="1">
        <v>14000</v>
      </c>
      <c r="L164" s="2">
        <v>45315</v>
      </c>
    </row>
    <row r="165" spans="1:12" x14ac:dyDescent="0.35">
      <c r="A165" s="1" t="s">
        <v>313</v>
      </c>
      <c r="B165" s="1" t="s">
        <v>305</v>
      </c>
      <c r="C165" s="1" t="s">
        <v>61</v>
      </c>
      <c r="D165" s="1" t="s">
        <v>62</v>
      </c>
      <c r="E165" s="1" t="s">
        <v>16</v>
      </c>
      <c r="F165" s="1" t="s">
        <v>39</v>
      </c>
      <c r="G165" s="1" t="s">
        <v>26</v>
      </c>
      <c r="H165" s="1">
        <v>7632</v>
      </c>
      <c r="I165" s="1"/>
      <c r="J165" s="1"/>
      <c r="K165" s="1">
        <v>9000</v>
      </c>
      <c r="L165" s="2">
        <v>45333</v>
      </c>
    </row>
    <row r="166" spans="1:12" x14ac:dyDescent="0.35">
      <c r="A166" s="1" t="s">
        <v>314</v>
      </c>
      <c r="B166" s="1" t="s">
        <v>159</v>
      </c>
      <c r="C166" s="1" t="s">
        <v>61</v>
      </c>
      <c r="D166" s="1" t="s">
        <v>62</v>
      </c>
      <c r="E166" s="1" t="s">
        <v>16</v>
      </c>
      <c r="F166" s="1" t="s">
        <v>17</v>
      </c>
      <c r="G166" s="1" t="s">
        <v>36</v>
      </c>
      <c r="H166" s="1">
        <v>7134</v>
      </c>
      <c r="I166" s="1" t="s">
        <v>33</v>
      </c>
      <c r="J166" s="1">
        <v>0.3</v>
      </c>
      <c r="K166" s="1">
        <v>9000</v>
      </c>
      <c r="L166" s="2">
        <v>45305</v>
      </c>
    </row>
    <row r="167" spans="1:12" x14ac:dyDescent="0.35">
      <c r="A167" s="1" t="s">
        <v>315</v>
      </c>
      <c r="B167" s="1" t="s">
        <v>231</v>
      </c>
      <c r="C167" s="1" t="s">
        <v>44</v>
      </c>
      <c r="D167" s="1" t="s">
        <v>45</v>
      </c>
      <c r="E167" s="1" t="s">
        <v>46</v>
      </c>
      <c r="F167" s="1" t="s">
        <v>25</v>
      </c>
      <c r="G167" s="1" t="s">
        <v>26</v>
      </c>
      <c r="H167" s="1">
        <v>12504</v>
      </c>
      <c r="I167" s="1" t="s">
        <v>27</v>
      </c>
      <c r="J167" s="1"/>
      <c r="K167" s="1">
        <v>13000</v>
      </c>
      <c r="L167" s="2">
        <v>45349</v>
      </c>
    </row>
    <row r="168" spans="1:12" x14ac:dyDescent="0.35">
      <c r="A168" s="1" t="s">
        <v>316</v>
      </c>
      <c r="B168" s="1" t="s">
        <v>317</v>
      </c>
      <c r="C168" s="1" t="s">
        <v>14</v>
      </c>
      <c r="D168" s="1" t="s">
        <v>15</v>
      </c>
      <c r="E168" s="1" t="s">
        <v>46</v>
      </c>
      <c r="F168" s="1" t="s">
        <v>17</v>
      </c>
      <c r="G168" s="1" t="s">
        <v>18</v>
      </c>
      <c r="H168" s="1">
        <v>15965</v>
      </c>
      <c r="I168" s="1" t="s">
        <v>22</v>
      </c>
      <c r="J168" s="1">
        <v>0.1</v>
      </c>
      <c r="K168" s="1">
        <v>14000</v>
      </c>
      <c r="L168" s="2">
        <v>45352</v>
      </c>
    </row>
    <row r="169" spans="1:12" x14ac:dyDescent="0.35">
      <c r="A169" s="1" t="s">
        <v>318</v>
      </c>
      <c r="B169" s="1" t="s">
        <v>319</v>
      </c>
      <c r="C169" s="1" t="s">
        <v>61</v>
      </c>
      <c r="D169" s="1" t="s">
        <v>62</v>
      </c>
      <c r="E169" s="1" t="s">
        <v>32</v>
      </c>
      <c r="F169" s="1" t="s">
        <v>39</v>
      </c>
      <c r="G169" s="1" t="s">
        <v>18</v>
      </c>
      <c r="H169" s="1">
        <v>9628</v>
      </c>
      <c r="I169" s="1" t="s">
        <v>27</v>
      </c>
      <c r="J169" s="1"/>
      <c r="K169" s="1">
        <v>9000</v>
      </c>
      <c r="L169" s="2">
        <v>45293</v>
      </c>
    </row>
    <row r="170" spans="1:12" x14ac:dyDescent="0.35">
      <c r="A170" s="1" t="s">
        <v>320</v>
      </c>
      <c r="B170" s="1" t="s">
        <v>321</v>
      </c>
      <c r="C170" s="1" t="s">
        <v>30</v>
      </c>
      <c r="D170" s="1" t="s">
        <v>31</v>
      </c>
      <c r="E170" s="1" t="s">
        <v>32</v>
      </c>
      <c r="F170" s="1" t="s">
        <v>25</v>
      </c>
      <c r="G170" s="1" t="s">
        <v>26</v>
      </c>
      <c r="H170" s="1">
        <v>15840</v>
      </c>
      <c r="I170" s="1" t="s">
        <v>22</v>
      </c>
      <c r="J170" s="1">
        <v>0.1</v>
      </c>
      <c r="K170" s="1">
        <v>17000</v>
      </c>
      <c r="L170" s="2">
        <v>45345</v>
      </c>
    </row>
    <row r="171" spans="1:12" x14ac:dyDescent="0.35">
      <c r="A171" s="1" t="s">
        <v>322</v>
      </c>
      <c r="B171" s="1" t="s">
        <v>133</v>
      </c>
      <c r="C171" s="1" t="s">
        <v>44</v>
      </c>
      <c r="D171" s="1" t="s">
        <v>45</v>
      </c>
      <c r="E171" s="1" t="s">
        <v>16</v>
      </c>
      <c r="F171" s="1" t="s">
        <v>25</v>
      </c>
      <c r="G171" s="1" t="s">
        <v>18</v>
      </c>
      <c r="H171" s="1">
        <v>12345</v>
      </c>
      <c r="I171" s="1" t="s">
        <v>19</v>
      </c>
      <c r="J171" s="1">
        <v>0.2</v>
      </c>
      <c r="K171" s="1">
        <v>13000</v>
      </c>
      <c r="L171" s="2">
        <v>45342</v>
      </c>
    </row>
    <row r="172" spans="1:12" x14ac:dyDescent="0.35">
      <c r="A172" s="1" t="s">
        <v>323</v>
      </c>
      <c r="B172" s="1" t="s">
        <v>60</v>
      </c>
      <c r="C172" s="1" t="s">
        <v>14</v>
      </c>
      <c r="D172" s="1" t="s">
        <v>15</v>
      </c>
      <c r="E172" s="1" t="s">
        <v>46</v>
      </c>
      <c r="F172" s="1" t="s">
        <v>25</v>
      </c>
      <c r="G172" s="1" t="s">
        <v>18</v>
      </c>
      <c r="H172" s="1">
        <v>14212</v>
      </c>
      <c r="I172" s="1" t="s">
        <v>33</v>
      </c>
      <c r="J172" s="1">
        <v>0.3</v>
      </c>
      <c r="K172" s="1">
        <v>14000</v>
      </c>
      <c r="L172" s="2">
        <v>45343</v>
      </c>
    </row>
    <row r="173" spans="1:12" x14ac:dyDescent="0.35">
      <c r="A173" s="1" t="s">
        <v>324</v>
      </c>
      <c r="B173" s="1" t="s">
        <v>325</v>
      </c>
      <c r="C173" s="1" t="s">
        <v>14</v>
      </c>
      <c r="D173" s="1" t="s">
        <v>15</v>
      </c>
      <c r="E173" s="1" t="s">
        <v>32</v>
      </c>
      <c r="F173" s="1" t="s">
        <v>25</v>
      </c>
      <c r="G173" s="1" t="s">
        <v>36</v>
      </c>
      <c r="H173" s="1">
        <v>15235</v>
      </c>
      <c r="I173" s="1" t="s">
        <v>19</v>
      </c>
      <c r="J173" s="1">
        <v>0.2</v>
      </c>
      <c r="K173" s="1">
        <v>14000</v>
      </c>
      <c r="L173" s="2">
        <v>45329</v>
      </c>
    </row>
    <row r="174" spans="1:12" x14ac:dyDescent="0.35">
      <c r="A174" s="1" t="s">
        <v>326</v>
      </c>
      <c r="B174" s="1" t="s">
        <v>327</v>
      </c>
      <c r="C174" s="1" t="s">
        <v>44</v>
      </c>
      <c r="D174" s="1" t="s">
        <v>45</v>
      </c>
      <c r="E174" s="1" t="s">
        <v>46</v>
      </c>
      <c r="F174" s="1" t="s">
        <v>25</v>
      </c>
      <c r="G174" s="1" t="s">
        <v>18</v>
      </c>
      <c r="H174" s="1">
        <v>14038</v>
      </c>
      <c r="I174" s="1"/>
      <c r="J174" s="1"/>
      <c r="K174" s="1">
        <v>13000</v>
      </c>
      <c r="L174" s="2">
        <v>45325</v>
      </c>
    </row>
    <row r="175" spans="1:12" x14ac:dyDescent="0.35">
      <c r="A175" s="1" t="s">
        <v>328</v>
      </c>
      <c r="B175" s="1" t="s">
        <v>173</v>
      </c>
      <c r="C175" s="1" t="s">
        <v>14</v>
      </c>
      <c r="D175" s="1" t="s">
        <v>15</v>
      </c>
      <c r="E175" s="1" t="s">
        <v>46</v>
      </c>
      <c r="F175" s="1" t="s">
        <v>17</v>
      </c>
      <c r="G175" s="1" t="s">
        <v>36</v>
      </c>
      <c r="H175" s="1">
        <v>14102</v>
      </c>
      <c r="I175" s="1" t="s">
        <v>27</v>
      </c>
      <c r="J175" s="1"/>
      <c r="K175" s="1">
        <v>14000</v>
      </c>
      <c r="L175" s="2">
        <v>45298</v>
      </c>
    </row>
    <row r="176" spans="1:12" x14ac:dyDescent="0.35">
      <c r="A176" s="1" t="s">
        <v>329</v>
      </c>
      <c r="B176" s="1" t="s">
        <v>330</v>
      </c>
      <c r="C176" s="1" t="s">
        <v>44</v>
      </c>
      <c r="D176" s="1" t="s">
        <v>45</v>
      </c>
      <c r="E176" s="1" t="s">
        <v>16</v>
      </c>
      <c r="F176" s="1" t="s">
        <v>25</v>
      </c>
      <c r="G176" s="1" t="s">
        <v>26</v>
      </c>
      <c r="H176" s="1">
        <v>14208</v>
      </c>
      <c r="I176" s="1" t="s">
        <v>27</v>
      </c>
      <c r="J176" s="1"/>
      <c r="K176" s="1">
        <v>13000</v>
      </c>
      <c r="L176" s="2">
        <v>45311</v>
      </c>
    </row>
    <row r="177" spans="1:12" x14ac:dyDescent="0.35">
      <c r="A177" s="1" t="s">
        <v>331</v>
      </c>
      <c r="B177" s="1" t="s">
        <v>332</v>
      </c>
      <c r="C177" s="1" t="s">
        <v>14</v>
      </c>
      <c r="D177" s="1" t="s">
        <v>15</v>
      </c>
      <c r="E177" s="1" t="s">
        <v>32</v>
      </c>
      <c r="F177" s="1" t="s">
        <v>17</v>
      </c>
      <c r="G177" s="1" t="s">
        <v>36</v>
      </c>
      <c r="H177" s="1">
        <v>13746</v>
      </c>
      <c r="I177" s="1" t="s">
        <v>22</v>
      </c>
      <c r="J177" s="1">
        <v>0.1</v>
      </c>
      <c r="K177" s="1">
        <v>14000</v>
      </c>
      <c r="L177" s="2">
        <v>45323</v>
      </c>
    </row>
    <row r="178" spans="1:12" x14ac:dyDescent="0.35">
      <c r="A178" s="1" t="s">
        <v>333</v>
      </c>
      <c r="B178" s="1" t="s">
        <v>334</v>
      </c>
      <c r="C178" s="1" t="s">
        <v>14</v>
      </c>
      <c r="D178" s="1" t="s">
        <v>15</v>
      </c>
      <c r="E178" s="1" t="s">
        <v>32</v>
      </c>
      <c r="F178" s="1" t="s">
        <v>17</v>
      </c>
      <c r="G178" s="1" t="s">
        <v>26</v>
      </c>
      <c r="H178" s="1">
        <v>12607</v>
      </c>
      <c r="I178" s="1" t="s">
        <v>22</v>
      </c>
      <c r="J178" s="1">
        <v>0.1</v>
      </c>
      <c r="K178" s="1">
        <v>14000</v>
      </c>
      <c r="L178" s="2">
        <v>45300</v>
      </c>
    </row>
    <row r="179" spans="1:12" x14ac:dyDescent="0.35">
      <c r="A179" s="1" t="s">
        <v>335</v>
      </c>
      <c r="B179" s="1" t="s">
        <v>118</v>
      </c>
      <c r="C179" s="1" t="s">
        <v>30</v>
      </c>
      <c r="D179" s="1" t="s">
        <v>31</v>
      </c>
      <c r="E179" s="1" t="s">
        <v>46</v>
      </c>
      <c r="F179" s="1" t="s">
        <v>39</v>
      </c>
      <c r="G179" s="1" t="s">
        <v>26</v>
      </c>
      <c r="H179" s="1">
        <v>16207</v>
      </c>
      <c r="I179" s="1"/>
      <c r="J179" s="1"/>
      <c r="K179" s="1">
        <v>17000</v>
      </c>
      <c r="L179" s="2">
        <v>45324</v>
      </c>
    </row>
    <row r="180" spans="1:12" x14ac:dyDescent="0.35">
      <c r="A180" s="1" t="s">
        <v>336</v>
      </c>
      <c r="B180" s="1" t="s">
        <v>337</v>
      </c>
      <c r="C180" s="1" t="s">
        <v>14</v>
      </c>
      <c r="D180" s="1" t="s">
        <v>15</v>
      </c>
      <c r="E180" s="1" t="s">
        <v>16</v>
      </c>
      <c r="F180" s="1" t="s">
        <v>25</v>
      </c>
      <c r="G180" s="1" t="s">
        <v>26</v>
      </c>
      <c r="H180" s="1">
        <v>14666</v>
      </c>
      <c r="I180" s="1" t="s">
        <v>27</v>
      </c>
      <c r="J180" s="1"/>
      <c r="K180" s="1">
        <v>14000</v>
      </c>
      <c r="L180" s="2">
        <v>45338</v>
      </c>
    </row>
    <row r="181" spans="1:12" x14ac:dyDescent="0.35">
      <c r="A181" s="1" t="s">
        <v>338</v>
      </c>
      <c r="B181" s="1" t="s">
        <v>207</v>
      </c>
      <c r="C181" s="1" t="s">
        <v>61</v>
      </c>
      <c r="D181" s="1" t="s">
        <v>62</v>
      </c>
      <c r="E181" s="1" t="s">
        <v>46</v>
      </c>
      <c r="F181" s="1" t="s">
        <v>25</v>
      </c>
      <c r="G181" s="1" t="s">
        <v>36</v>
      </c>
      <c r="H181" s="1">
        <v>8388</v>
      </c>
      <c r="I181" s="1"/>
      <c r="J181" s="1"/>
      <c r="K181" s="1">
        <v>9000</v>
      </c>
      <c r="L181" s="2">
        <v>45317</v>
      </c>
    </row>
    <row r="182" spans="1:12" x14ac:dyDescent="0.35">
      <c r="A182" s="1" t="s">
        <v>339</v>
      </c>
      <c r="B182" s="1" t="s">
        <v>101</v>
      </c>
      <c r="C182" s="1" t="s">
        <v>14</v>
      </c>
      <c r="D182" s="1" t="s">
        <v>15</v>
      </c>
      <c r="E182" s="1" t="s">
        <v>46</v>
      </c>
      <c r="F182" s="1" t="s">
        <v>17</v>
      </c>
      <c r="G182" s="1" t="s">
        <v>36</v>
      </c>
      <c r="H182" s="1">
        <v>14724</v>
      </c>
      <c r="I182" s="1" t="s">
        <v>33</v>
      </c>
      <c r="J182" s="1">
        <v>0.3</v>
      </c>
      <c r="K182" s="1">
        <v>14000</v>
      </c>
      <c r="L182" s="2">
        <v>45315</v>
      </c>
    </row>
    <row r="183" spans="1:12" x14ac:dyDescent="0.35">
      <c r="A183" s="1" t="s">
        <v>340</v>
      </c>
      <c r="B183" s="1" t="s">
        <v>113</v>
      </c>
      <c r="C183" s="1" t="s">
        <v>61</v>
      </c>
      <c r="D183" s="1" t="s">
        <v>62</v>
      </c>
      <c r="E183" s="1" t="s">
        <v>32</v>
      </c>
      <c r="F183" s="1" t="s">
        <v>25</v>
      </c>
      <c r="G183" s="1" t="s">
        <v>18</v>
      </c>
      <c r="H183" s="1">
        <v>7381</v>
      </c>
      <c r="I183" s="1"/>
      <c r="J183" s="1"/>
      <c r="K183" s="1">
        <v>9000</v>
      </c>
      <c r="L183" s="2">
        <v>45298</v>
      </c>
    </row>
    <row r="184" spans="1:12" x14ac:dyDescent="0.35">
      <c r="A184" s="1" t="s">
        <v>341</v>
      </c>
      <c r="B184" s="1" t="s">
        <v>342</v>
      </c>
      <c r="C184" s="1" t="s">
        <v>30</v>
      </c>
      <c r="D184" s="1" t="s">
        <v>31</v>
      </c>
      <c r="E184" s="1" t="s">
        <v>32</v>
      </c>
      <c r="F184" s="1" t="s">
        <v>39</v>
      </c>
      <c r="G184" s="1" t="s">
        <v>18</v>
      </c>
      <c r="H184" s="1">
        <v>17402</v>
      </c>
      <c r="I184" s="1" t="s">
        <v>27</v>
      </c>
      <c r="J184" s="1"/>
      <c r="K184" s="1">
        <v>17000</v>
      </c>
      <c r="L184" s="2">
        <v>45327</v>
      </c>
    </row>
    <row r="185" spans="1:12" x14ac:dyDescent="0.35">
      <c r="A185" s="1" t="s">
        <v>343</v>
      </c>
      <c r="B185" s="1" t="s">
        <v>150</v>
      </c>
      <c r="C185" s="1" t="s">
        <v>14</v>
      </c>
      <c r="D185" s="1" t="s">
        <v>15</v>
      </c>
      <c r="E185" s="1" t="s">
        <v>46</v>
      </c>
      <c r="F185" s="1" t="s">
        <v>17</v>
      </c>
      <c r="G185" s="1" t="s">
        <v>26</v>
      </c>
      <c r="H185" s="1">
        <v>15854</v>
      </c>
      <c r="I185" s="1"/>
      <c r="J185" s="1"/>
      <c r="K185" s="1">
        <v>14000</v>
      </c>
      <c r="L185" s="2">
        <v>45347</v>
      </c>
    </row>
    <row r="186" spans="1:12" x14ac:dyDescent="0.35">
      <c r="A186" s="1" t="s">
        <v>344</v>
      </c>
      <c r="B186" s="1" t="s">
        <v>260</v>
      </c>
      <c r="C186" s="1" t="s">
        <v>14</v>
      </c>
      <c r="D186" s="1" t="s">
        <v>15</v>
      </c>
      <c r="E186" s="1" t="s">
        <v>46</v>
      </c>
      <c r="F186" s="1" t="s">
        <v>39</v>
      </c>
      <c r="G186" s="1" t="s">
        <v>36</v>
      </c>
      <c r="H186" s="1">
        <v>13440</v>
      </c>
      <c r="I186" s="1" t="s">
        <v>22</v>
      </c>
      <c r="J186" s="1">
        <v>0.1</v>
      </c>
      <c r="K186" s="1">
        <v>14000</v>
      </c>
      <c r="L186" s="2">
        <v>45328</v>
      </c>
    </row>
    <row r="187" spans="1:12" x14ac:dyDescent="0.35">
      <c r="A187" s="1" t="s">
        <v>345</v>
      </c>
      <c r="B187" s="1" t="s">
        <v>346</v>
      </c>
      <c r="C187" s="1" t="s">
        <v>44</v>
      </c>
      <c r="D187" s="1" t="s">
        <v>45</v>
      </c>
      <c r="E187" s="1" t="s">
        <v>16</v>
      </c>
      <c r="F187" s="1" t="s">
        <v>17</v>
      </c>
      <c r="G187" s="1" t="s">
        <v>18</v>
      </c>
      <c r="H187" s="1">
        <v>14470</v>
      </c>
      <c r="I187" s="1" t="s">
        <v>22</v>
      </c>
      <c r="J187" s="1">
        <v>0.1</v>
      </c>
      <c r="K187" s="1">
        <v>13000</v>
      </c>
      <c r="L187" s="2">
        <v>45314</v>
      </c>
    </row>
    <row r="188" spans="1:12" x14ac:dyDescent="0.35">
      <c r="A188" s="1" t="s">
        <v>347</v>
      </c>
      <c r="B188" s="1" t="s">
        <v>144</v>
      </c>
      <c r="C188" s="1" t="s">
        <v>30</v>
      </c>
      <c r="D188" s="1" t="s">
        <v>31</v>
      </c>
      <c r="E188" s="1" t="s">
        <v>32</v>
      </c>
      <c r="F188" s="1" t="s">
        <v>17</v>
      </c>
      <c r="G188" s="1" t="s">
        <v>26</v>
      </c>
      <c r="H188" s="1">
        <v>15926</v>
      </c>
      <c r="I188" s="1"/>
      <c r="J188" s="1"/>
      <c r="K188" s="1">
        <v>17000</v>
      </c>
      <c r="L188" s="2">
        <v>45346</v>
      </c>
    </row>
    <row r="189" spans="1:12" x14ac:dyDescent="0.35">
      <c r="A189" s="1" t="s">
        <v>348</v>
      </c>
      <c r="B189" s="1" t="s">
        <v>82</v>
      </c>
      <c r="C189" s="1" t="s">
        <v>14</v>
      </c>
      <c r="D189" s="1" t="s">
        <v>15</v>
      </c>
      <c r="E189" s="1" t="s">
        <v>16</v>
      </c>
      <c r="F189" s="1" t="s">
        <v>39</v>
      </c>
      <c r="G189" s="1" t="s">
        <v>26</v>
      </c>
      <c r="H189" s="1">
        <v>13095</v>
      </c>
      <c r="I189" s="1" t="s">
        <v>22</v>
      </c>
      <c r="J189" s="1">
        <v>0.1</v>
      </c>
      <c r="K189" s="1">
        <v>14000</v>
      </c>
      <c r="L189" s="2">
        <v>45303</v>
      </c>
    </row>
    <row r="190" spans="1:12" x14ac:dyDescent="0.35">
      <c r="A190" s="1" t="s">
        <v>349</v>
      </c>
      <c r="B190" s="1" t="s">
        <v>350</v>
      </c>
      <c r="C190" s="1" t="s">
        <v>30</v>
      </c>
      <c r="D190" s="1" t="s">
        <v>31</v>
      </c>
      <c r="E190" s="1" t="s">
        <v>46</v>
      </c>
      <c r="F190" s="1" t="s">
        <v>17</v>
      </c>
      <c r="G190" s="1" t="s">
        <v>18</v>
      </c>
      <c r="H190" s="1">
        <v>15743</v>
      </c>
      <c r="I190" s="1" t="s">
        <v>19</v>
      </c>
      <c r="J190" s="1">
        <v>0.2</v>
      </c>
      <c r="K190" s="1">
        <v>17000</v>
      </c>
      <c r="L190" s="2">
        <v>45328</v>
      </c>
    </row>
    <row r="191" spans="1:12" x14ac:dyDescent="0.35">
      <c r="A191" s="1" t="s">
        <v>351</v>
      </c>
      <c r="B191" s="1" t="s">
        <v>90</v>
      </c>
      <c r="C191" s="1" t="s">
        <v>14</v>
      </c>
      <c r="D191" s="1" t="s">
        <v>15</v>
      </c>
      <c r="E191" s="1" t="s">
        <v>32</v>
      </c>
      <c r="F191" s="1" t="s">
        <v>39</v>
      </c>
      <c r="G191" s="1" t="s">
        <v>26</v>
      </c>
      <c r="H191" s="1">
        <v>15980</v>
      </c>
      <c r="I191" s="1" t="s">
        <v>22</v>
      </c>
      <c r="J191" s="1">
        <v>0.1</v>
      </c>
      <c r="K191" s="1">
        <v>14000</v>
      </c>
      <c r="L191" s="2">
        <v>45297</v>
      </c>
    </row>
    <row r="192" spans="1:12" x14ac:dyDescent="0.35">
      <c r="A192" s="1" t="s">
        <v>352</v>
      </c>
      <c r="B192" s="1" t="s">
        <v>103</v>
      </c>
      <c r="C192" s="1" t="s">
        <v>44</v>
      </c>
      <c r="D192" s="1" t="s">
        <v>45</v>
      </c>
      <c r="E192" s="1" t="s">
        <v>46</v>
      </c>
      <c r="F192" s="1" t="s">
        <v>17</v>
      </c>
      <c r="G192" s="1" t="s">
        <v>36</v>
      </c>
      <c r="H192" s="1">
        <v>12396</v>
      </c>
      <c r="I192" s="1" t="s">
        <v>19</v>
      </c>
      <c r="J192" s="1">
        <v>0.2</v>
      </c>
      <c r="K192" s="1">
        <v>13000</v>
      </c>
      <c r="L192" s="2">
        <v>45315</v>
      </c>
    </row>
    <row r="193" spans="1:12" x14ac:dyDescent="0.35">
      <c r="A193" s="1" t="s">
        <v>353</v>
      </c>
      <c r="B193" s="1" t="s">
        <v>350</v>
      </c>
      <c r="C193" s="1" t="s">
        <v>30</v>
      </c>
      <c r="D193" s="1" t="s">
        <v>31</v>
      </c>
      <c r="E193" s="1" t="s">
        <v>16</v>
      </c>
      <c r="F193" s="1" t="s">
        <v>39</v>
      </c>
      <c r="G193" s="1" t="s">
        <v>18</v>
      </c>
      <c r="H193" s="1">
        <v>18618</v>
      </c>
      <c r="I193" s="1" t="s">
        <v>22</v>
      </c>
      <c r="J193" s="1">
        <v>0.1</v>
      </c>
      <c r="K193" s="1">
        <v>17000</v>
      </c>
      <c r="L193" s="2">
        <v>45301</v>
      </c>
    </row>
    <row r="194" spans="1:12" x14ac:dyDescent="0.35">
      <c r="A194" s="1" t="s">
        <v>354</v>
      </c>
      <c r="B194" s="1" t="s">
        <v>135</v>
      </c>
      <c r="C194" s="1" t="s">
        <v>14</v>
      </c>
      <c r="D194" s="1" t="s">
        <v>15</v>
      </c>
      <c r="E194" s="1" t="s">
        <v>16</v>
      </c>
      <c r="F194" s="1" t="s">
        <v>25</v>
      </c>
      <c r="G194" s="1" t="s">
        <v>36</v>
      </c>
      <c r="H194" s="1">
        <v>13814</v>
      </c>
      <c r="I194" s="1"/>
      <c r="J194" s="1"/>
      <c r="K194" s="1">
        <v>14000</v>
      </c>
      <c r="L194" s="2">
        <v>45323</v>
      </c>
    </row>
    <row r="195" spans="1:12" x14ac:dyDescent="0.35">
      <c r="A195" s="1" t="s">
        <v>355</v>
      </c>
      <c r="B195" s="1" t="s">
        <v>356</v>
      </c>
      <c r="C195" s="1" t="s">
        <v>61</v>
      </c>
      <c r="D195" s="1" t="s">
        <v>62</v>
      </c>
      <c r="E195" s="1" t="s">
        <v>46</v>
      </c>
      <c r="F195" s="1" t="s">
        <v>25</v>
      </c>
      <c r="G195" s="1" t="s">
        <v>26</v>
      </c>
      <c r="H195" s="1">
        <v>7466</v>
      </c>
      <c r="I195" s="1" t="s">
        <v>33</v>
      </c>
      <c r="J195" s="1">
        <v>0.3</v>
      </c>
      <c r="K195" s="1">
        <v>9000</v>
      </c>
      <c r="L195" s="2">
        <v>45319</v>
      </c>
    </row>
    <row r="196" spans="1:12" x14ac:dyDescent="0.35">
      <c r="A196" s="1" t="s">
        <v>357</v>
      </c>
      <c r="B196" s="1" t="s">
        <v>263</v>
      </c>
      <c r="C196" s="1" t="s">
        <v>61</v>
      </c>
      <c r="D196" s="1" t="s">
        <v>62</v>
      </c>
      <c r="E196" s="1" t="s">
        <v>16</v>
      </c>
      <c r="F196" s="1" t="s">
        <v>39</v>
      </c>
      <c r="G196" s="1" t="s">
        <v>36</v>
      </c>
      <c r="H196" s="1">
        <v>7186</v>
      </c>
      <c r="I196" s="1" t="s">
        <v>19</v>
      </c>
      <c r="J196" s="1">
        <v>0.2</v>
      </c>
      <c r="K196" s="1">
        <v>9000</v>
      </c>
      <c r="L196" s="2">
        <v>45317</v>
      </c>
    </row>
    <row r="197" spans="1:12" x14ac:dyDescent="0.35">
      <c r="A197" s="1" t="s">
        <v>358</v>
      </c>
      <c r="B197" s="1" t="s">
        <v>359</v>
      </c>
      <c r="C197" s="1" t="s">
        <v>14</v>
      </c>
      <c r="D197" s="1" t="s">
        <v>15</v>
      </c>
      <c r="E197" s="1" t="s">
        <v>32</v>
      </c>
      <c r="F197" s="1" t="s">
        <v>17</v>
      </c>
      <c r="G197" s="1" t="s">
        <v>18</v>
      </c>
      <c r="H197" s="1">
        <v>15143</v>
      </c>
      <c r="I197" s="1" t="s">
        <v>19</v>
      </c>
      <c r="J197" s="1">
        <v>0.2</v>
      </c>
      <c r="K197" s="1">
        <v>14000</v>
      </c>
      <c r="L197" s="2">
        <v>45340</v>
      </c>
    </row>
    <row r="198" spans="1:12" x14ac:dyDescent="0.35">
      <c r="A198" s="1" t="s">
        <v>360</v>
      </c>
      <c r="B198" s="1" t="s">
        <v>361</v>
      </c>
      <c r="C198" s="1" t="s">
        <v>30</v>
      </c>
      <c r="D198" s="1" t="s">
        <v>31</v>
      </c>
      <c r="E198" s="1" t="s">
        <v>32</v>
      </c>
      <c r="F198" s="1" t="s">
        <v>25</v>
      </c>
      <c r="G198" s="1" t="s">
        <v>36</v>
      </c>
      <c r="H198" s="1">
        <v>18059</v>
      </c>
      <c r="I198" s="1"/>
      <c r="J198" s="1"/>
      <c r="K198" s="1">
        <v>17000</v>
      </c>
      <c r="L198" s="2">
        <v>45303</v>
      </c>
    </row>
    <row r="199" spans="1:12" x14ac:dyDescent="0.35">
      <c r="A199" s="1" t="s">
        <v>362</v>
      </c>
      <c r="B199" s="1" t="s">
        <v>363</v>
      </c>
      <c r="C199" s="1" t="s">
        <v>44</v>
      </c>
      <c r="D199" s="1" t="s">
        <v>45</v>
      </c>
      <c r="E199" s="1" t="s">
        <v>16</v>
      </c>
      <c r="F199" s="1" t="s">
        <v>39</v>
      </c>
      <c r="G199" s="1" t="s">
        <v>26</v>
      </c>
      <c r="H199" s="1">
        <v>14302</v>
      </c>
      <c r="I199" s="1" t="s">
        <v>33</v>
      </c>
      <c r="J199" s="1">
        <v>0.3</v>
      </c>
      <c r="K199" s="1">
        <v>13000</v>
      </c>
      <c r="L199" s="2">
        <v>45296</v>
      </c>
    </row>
    <row r="200" spans="1:12" x14ac:dyDescent="0.35">
      <c r="A200" s="1" t="s">
        <v>364</v>
      </c>
      <c r="B200" s="1" t="s">
        <v>309</v>
      </c>
      <c r="C200" s="1" t="s">
        <v>14</v>
      </c>
      <c r="D200" s="1" t="s">
        <v>15</v>
      </c>
      <c r="E200" s="1" t="s">
        <v>46</v>
      </c>
      <c r="F200" s="1" t="s">
        <v>25</v>
      </c>
      <c r="G200" s="1" t="s">
        <v>36</v>
      </c>
      <c r="H200" s="1">
        <v>15773</v>
      </c>
      <c r="I200" s="1" t="s">
        <v>22</v>
      </c>
      <c r="J200" s="1">
        <v>0.1</v>
      </c>
      <c r="K200" s="1">
        <v>14000</v>
      </c>
      <c r="L200" s="2">
        <v>45347</v>
      </c>
    </row>
    <row r="201" spans="1:12" x14ac:dyDescent="0.35">
      <c r="A201" s="1" t="s">
        <v>365</v>
      </c>
      <c r="B201" s="1" t="s">
        <v>38</v>
      </c>
      <c r="C201" s="1" t="s">
        <v>61</v>
      </c>
      <c r="D201" s="1" t="s">
        <v>62</v>
      </c>
      <c r="E201" s="1" t="s">
        <v>16</v>
      </c>
      <c r="F201" s="1" t="s">
        <v>17</v>
      </c>
      <c r="G201" s="1" t="s">
        <v>26</v>
      </c>
      <c r="H201" s="1">
        <v>9622</v>
      </c>
      <c r="I201" s="1"/>
      <c r="J201" s="1"/>
      <c r="K201" s="1">
        <v>9000</v>
      </c>
      <c r="L201" s="2">
        <v>45310</v>
      </c>
    </row>
    <row r="202" spans="1:12" x14ac:dyDescent="0.35">
      <c r="A202" s="1" t="s">
        <v>366</v>
      </c>
      <c r="B202" s="1" t="s">
        <v>66</v>
      </c>
      <c r="C202" s="1" t="s">
        <v>14</v>
      </c>
      <c r="D202" s="1" t="s">
        <v>15</v>
      </c>
      <c r="E202" s="1" t="s">
        <v>46</v>
      </c>
      <c r="F202" s="1" t="s">
        <v>25</v>
      </c>
      <c r="G202" s="1" t="s">
        <v>26</v>
      </c>
      <c r="H202" s="1">
        <v>13884</v>
      </c>
      <c r="I202" s="1" t="s">
        <v>33</v>
      </c>
      <c r="J202" s="1">
        <v>0.3</v>
      </c>
      <c r="K202" s="1">
        <v>14000</v>
      </c>
      <c r="L202" s="2">
        <v>45297</v>
      </c>
    </row>
    <row r="203" spans="1:12" x14ac:dyDescent="0.35">
      <c r="A203" s="1" t="s">
        <v>367</v>
      </c>
      <c r="B203" s="1" t="s">
        <v>309</v>
      </c>
      <c r="C203" s="1" t="s">
        <v>14</v>
      </c>
      <c r="D203" s="1" t="s">
        <v>15</v>
      </c>
      <c r="E203" s="1" t="s">
        <v>32</v>
      </c>
      <c r="F203" s="1" t="s">
        <v>17</v>
      </c>
      <c r="G203" s="1" t="s">
        <v>26</v>
      </c>
      <c r="H203" s="1">
        <v>13640</v>
      </c>
      <c r="I203" s="1" t="s">
        <v>27</v>
      </c>
      <c r="J203" s="1"/>
      <c r="K203" s="1">
        <v>14000</v>
      </c>
      <c r="L203" s="2">
        <v>45297</v>
      </c>
    </row>
    <row r="204" spans="1:12" x14ac:dyDescent="0.35">
      <c r="A204" s="1" t="s">
        <v>368</v>
      </c>
      <c r="B204" s="1" t="s">
        <v>309</v>
      </c>
      <c r="C204" s="1" t="s">
        <v>30</v>
      </c>
      <c r="D204" s="1" t="s">
        <v>31</v>
      </c>
      <c r="E204" s="1" t="s">
        <v>16</v>
      </c>
      <c r="F204" s="1" t="s">
        <v>17</v>
      </c>
      <c r="G204" s="1" t="s">
        <v>18</v>
      </c>
      <c r="H204" s="1">
        <v>16364</v>
      </c>
      <c r="I204" s="1" t="s">
        <v>19</v>
      </c>
      <c r="J204" s="1">
        <v>0.2</v>
      </c>
      <c r="K204" s="1">
        <v>17000</v>
      </c>
      <c r="L204" s="2">
        <v>45296</v>
      </c>
    </row>
    <row r="205" spans="1:12" x14ac:dyDescent="0.35">
      <c r="A205" s="1" t="s">
        <v>369</v>
      </c>
      <c r="B205" s="1" t="s">
        <v>202</v>
      </c>
      <c r="C205" s="1" t="s">
        <v>14</v>
      </c>
      <c r="D205" s="1" t="s">
        <v>15</v>
      </c>
      <c r="E205" s="1" t="s">
        <v>16</v>
      </c>
      <c r="F205" s="1" t="s">
        <v>39</v>
      </c>
      <c r="G205" s="1" t="s">
        <v>18</v>
      </c>
      <c r="H205" s="1">
        <v>15710</v>
      </c>
      <c r="I205" s="1" t="s">
        <v>33</v>
      </c>
      <c r="J205" s="1">
        <v>0.3</v>
      </c>
      <c r="K205" s="1">
        <v>14000</v>
      </c>
      <c r="L205" s="2">
        <v>45314</v>
      </c>
    </row>
    <row r="206" spans="1:12" x14ac:dyDescent="0.35">
      <c r="A206" s="1" t="s">
        <v>370</v>
      </c>
      <c r="B206" s="1" t="s">
        <v>371</v>
      </c>
      <c r="C206" s="1" t="s">
        <v>44</v>
      </c>
      <c r="D206" s="1" t="s">
        <v>45</v>
      </c>
      <c r="E206" s="1" t="s">
        <v>32</v>
      </c>
      <c r="F206" s="1" t="s">
        <v>25</v>
      </c>
      <c r="G206" s="1" t="s">
        <v>18</v>
      </c>
      <c r="H206" s="1">
        <v>12048</v>
      </c>
      <c r="I206" s="1" t="s">
        <v>19</v>
      </c>
      <c r="J206" s="1">
        <v>0.2</v>
      </c>
      <c r="K206" s="1">
        <v>13000</v>
      </c>
      <c r="L206" s="2">
        <v>45303</v>
      </c>
    </row>
    <row r="207" spans="1:12" x14ac:dyDescent="0.35">
      <c r="A207" s="1" t="s">
        <v>372</v>
      </c>
      <c r="B207" s="1" t="s">
        <v>373</v>
      </c>
      <c r="C207" s="1" t="s">
        <v>14</v>
      </c>
      <c r="D207" s="1" t="s">
        <v>15</v>
      </c>
      <c r="E207" s="1" t="s">
        <v>32</v>
      </c>
      <c r="F207" s="1" t="s">
        <v>39</v>
      </c>
      <c r="G207" s="1" t="s">
        <v>36</v>
      </c>
      <c r="H207" s="1">
        <v>13900</v>
      </c>
      <c r="I207" s="1" t="s">
        <v>27</v>
      </c>
      <c r="J207" s="1"/>
      <c r="K207" s="1">
        <v>14000</v>
      </c>
      <c r="L207" s="2">
        <v>45340</v>
      </c>
    </row>
    <row r="208" spans="1:12" x14ac:dyDescent="0.35">
      <c r="A208" s="1" t="s">
        <v>374</v>
      </c>
      <c r="B208" s="1" t="s">
        <v>356</v>
      </c>
      <c r="C208" s="1" t="s">
        <v>30</v>
      </c>
      <c r="D208" s="1" t="s">
        <v>31</v>
      </c>
      <c r="E208" s="1" t="s">
        <v>16</v>
      </c>
      <c r="F208" s="1" t="s">
        <v>17</v>
      </c>
      <c r="G208" s="1" t="s">
        <v>18</v>
      </c>
      <c r="H208" s="1">
        <v>16801</v>
      </c>
      <c r="I208" s="1" t="s">
        <v>22</v>
      </c>
      <c r="J208" s="1">
        <v>0.1</v>
      </c>
      <c r="K208" s="1">
        <v>17000</v>
      </c>
      <c r="L208" s="2">
        <v>45322</v>
      </c>
    </row>
    <row r="209" spans="1:12" x14ac:dyDescent="0.35">
      <c r="A209" s="1" t="s">
        <v>375</v>
      </c>
      <c r="B209" s="1" t="s">
        <v>332</v>
      </c>
      <c r="C209" s="1" t="s">
        <v>30</v>
      </c>
      <c r="D209" s="1" t="s">
        <v>31</v>
      </c>
      <c r="E209" s="1" t="s">
        <v>46</v>
      </c>
      <c r="F209" s="1" t="s">
        <v>39</v>
      </c>
      <c r="G209" s="1" t="s">
        <v>18</v>
      </c>
      <c r="H209" s="1">
        <v>16441</v>
      </c>
      <c r="I209" s="1" t="s">
        <v>27</v>
      </c>
      <c r="J209" s="1"/>
      <c r="K209" s="1">
        <v>17000</v>
      </c>
      <c r="L209" s="2">
        <v>45296</v>
      </c>
    </row>
    <row r="210" spans="1:12" x14ac:dyDescent="0.35">
      <c r="A210" s="1" t="s">
        <v>376</v>
      </c>
      <c r="B210" s="1" t="s">
        <v>48</v>
      </c>
      <c r="C210" s="1" t="s">
        <v>61</v>
      </c>
      <c r="D210" s="1" t="s">
        <v>62</v>
      </c>
      <c r="E210" s="1" t="s">
        <v>32</v>
      </c>
      <c r="F210" s="1" t="s">
        <v>25</v>
      </c>
      <c r="G210" s="1" t="s">
        <v>36</v>
      </c>
      <c r="H210" s="1">
        <v>10406</v>
      </c>
      <c r="I210" s="1" t="s">
        <v>33</v>
      </c>
      <c r="J210" s="1">
        <v>0.3</v>
      </c>
      <c r="K210" s="1">
        <v>9000</v>
      </c>
      <c r="L210" s="2">
        <v>45296</v>
      </c>
    </row>
    <row r="211" spans="1:12" x14ac:dyDescent="0.35">
      <c r="A211" s="1" t="s">
        <v>377</v>
      </c>
      <c r="B211" s="1" t="s">
        <v>204</v>
      </c>
      <c r="C211" s="1" t="s">
        <v>14</v>
      </c>
      <c r="D211" s="1" t="s">
        <v>15</v>
      </c>
      <c r="E211" s="1" t="s">
        <v>16</v>
      </c>
      <c r="F211" s="1" t="s">
        <v>39</v>
      </c>
      <c r="G211" s="1" t="s">
        <v>26</v>
      </c>
      <c r="H211" s="1">
        <v>13574</v>
      </c>
      <c r="I211" s="1"/>
      <c r="J211" s="1"/>
      <c r="K211" s="1">
        <v>14000</v>
      </c>
      <c r="L211" s="2">
        <v>45329</v>
      </c>
    </row>
    <row r="212" spans="1:12" x14ac:dyDescent="0.35">
      <c r="A212" s="1" t="s">
        <v>378</v>
      </c>
      <c r="B212" s="1" t="s">
        <v>82</v>
      </c>
      <c r="C212" s="1" t="s">
        <v>14</v>
      </c>
      <c r="D212" s="1" t="s">
        <v>15</v>
      </c>
      <c r="E212" s="1" t="s">
        <v>46</v>
      </c>
      <c r="F212" s="1" t="s">
        <v>39</v>
      </c>
      <c r="G212" s="1" t="s">
        <v>26</v>
      </c>
      <c r="H212" s="1">
        <v>12771</v>
      </c>
      <c r="I212" s="1" t="s">
        <v>33</v>
      </c>
      <c r="J212" s="1">
        <v>0.3</v>
      </c>
      <c r="K212" s="1">
        <v>14000</v>
      </c>
      <c r="L212" s="2">
        <v>45330</v>
      </c>
    </row>
    <row r="213" spans="1:12" x14ac:dyDescent="0.35">
      <c r="A213" s="1" t="s">
        <v>379</v>
      </c>
      <c r="B213" s="1" t="s">
        <v>330</v>
      </c>
      <c r="C213" s="1" t="s">
        <v>44</v>
      </c>
      <c r="D213" s="1" t="s">
        <v>45</v>
      </c>
      <c r="E213" s="1" t="s">
        <v>32</v>
      </c>
      <c r="F213" s="1" t="s">
        <v>17</v>
      </c>
      <c r="G213" s="1" t="s">
        <v>18</v>
      </c>
      <c r="H213" s="1">
        <v>14321</v>
      </c>
      <c r="I213" s="1" t="s">
        <v>33</v>
      </c>
      <c r="J213" s="1">
        <v>0.3</v>
      </c>
      <c r="K213" s="1">
        <v>13000</v>
      </c>
      <c r="L213" s="2">
        <v>45337</v>
      </c>
    </row>
    <row r="214" spans="1:12" x14ac:dyDescent="0.35">
      <c r="A214" s="1" t="s">
        <v>380</v>
      </c>
      <c r="B214" s="1" t="s">
        <v>241</v>
      </c>
      <c r="C214" s="1" t="s">
        <v>44</v>
      </c>
      <c r="D214" s="1" t="s">
        <v>45</v>
      </c>
      <c r="E214" s="1" t="s">
        <v>32</v>
      </c>
      <c r="F214" s="1" t="s">
        <v>25</v>
      </c>
      <c r="G214" s="1" t="s">
        <v>26</v>
      </c>
      <c r="H214" s="1">
        <v>12793</v>
      </c>
      <c r="I214" s="1"/>
      <c r="J214" s="1"/>
      <c r="K214" s="1">
        <v>13000</v>
      </c>
      <c r="L214" s="2">
        <v>45325</v>
      </c>
    </row>
    <row r="215" spans="1:12" x14ac:dyDescent="0.35">
      <c r="A215" s="1" t="s">
        <v>381</v>
      </c>
      <c r="B215" s="1" t="s">
        <v>382</v>
      </c>
      <c r="C215" s="1" t="s">
        <v>44</v>
      </c>
      <c r="D215" s="1" t="s">
        <v>45</v>
      </c>
      <c r="E215" s="1" t="s">
        <v>46</v>
      </c>
      <c r="F215" s="1" t="s">
        <v>17</v>
      </c>
      <c r="G215" s="1" t="s">
        <v>36</v>
      </c>
      <c r="H215" s="1">
        <v>12586</v>
      </c>
      <c r="I215" s="1"/>
      <c r="J215" s="1"/>
      <c r="K215" s="1">
        <v>13000</v>
      </c>
      <c r="L215" s="2">
        <v>45341</v>
      </c>
    </row>
    <row r="216" spans="1:12" x14ac:dyDescent="0.35">
      <c r="A216" s="1" t="s">
        <v>383</v>
      </c>
      <c r="B216" s="1" t="s">
        <v>150</v>
      </c>
      <c r="C216" s="1" t="s">
        <v>14</v>
      </c>
      <c r="D216" s="1" t="s">
        <v>15</v>
      </c>
      <c r="E216" s="1" t="s">
        <v>16</v>
      </c>
      <c r="F216" s="1" t="s">
        <v>39</v>
      </c>
      <c r="G216" s="1" t="s">
        <v>36</v>
      </c>
      <c r="H216" s="1">
        <v>12269</v>
      </c>
      <c r="I216" s="1" t="s">
        <v>33</v>
      </c>
      <c r="J216" s="1">
        <v>0.3</v>
      </c>
      <c r="K216" s="1">
        <v>14000</v>
      </c>
      <c r="L216" s="2">
        <v>45298</v>
      </c>
    </row>
    <row r="217" spans="1:12" x14ac:dyDescent="0.35">
      <c r="A217" s="1" t="s">
        <v>384</v>
      </c>
      <c r="B217" s="1" t="s">
        <v>202</v>
      </c>
      <c r="C217" s="1" t="s">
        <v>61</v>
      </c>
      <c r="D217" s="1" t="s">
        <v>62</v>
      </c>
      <c r="E217" s="1" t="s">
        <v>46</v>
      </c>
      <c r="F217" s="1" t="s">
        <v>17</v>
      </c>
      <c r="G217" s="1" t="s">
        <v>26</v>
      </c>
      <c r="H217" s="1">
        <v>10488</v>
      </c>
      <c r="I217" s="1" t="s">
        <v>27</v>
      </c>
      <c r="J217" s="1"/>
      <c r="K217" s="1">
        <v>9000</v>
      </c>
      <c r="L217" s="2">
        <v>45347</v>
      </c>
    </row>
    <row r="218" spans="1:12" x14ac:dyDescent="0.35">
      <c r="A218" s="1" t="s">
        <v>385</v>
      </c>
      <c r="B218" s="1" t="s">
        <v>74</v>
      </c>
      <c r="C218" s="1" t="s">
        <v>14</v>
      </c>
      <c r="D218" s="1" t="s">
        <v>15</v>
      </c>
      <c r="E218" s="1" t="s">
        <v>16</v>
      </c>
      <c r="F218" s="1" t="s">
        <v>39</v>
      </c>
      <c r="G218" s="1" t="s">
        <v>18</v>
      </c>
      <c r="H218" s="1">
        <v>15754</v>
      </c>
      <c r="I218" s="1" t="s">
        <v>33</v>
      </c>
      <c r="J218" s="1">
        <v>0.3</v>
      </c>
      <c r="K218" s="1">
        <v>14000</v>
      </c>
      <c r="L218" s="2">
        <v>45311</v>
      </c>
    </row>
    <row r="219" spans="1:12" x14ac:dyDescent="0.35">
      <c r="A219" s="1" t="s">
        <v>386</v>
      </c>
      <c r="B219" s="1" t="s">
        <v>305</v>
      </c>
      <c r="C219" s="1" t="s">
        <v>61</v>
      </c>
      <c r="D219" s="1" t="s">
        <v>62</v>
      </c>
      <c r="E219" s="1" t="s">
        <v>32</v>
      </c>
      <c r="F219" s="1" t="s">
        <v>39</v>
      </c>
      <c r="G219" s="1" t="s">
        <v>26</v>
      </c>
      <c r="H219" s="1">
        <v>10842</v>
      </c>
      <c r="I219" s="1" t="s">
        <v>22</v>
      </c>
      <c r="J219" s="1">
        <v>0.1</v>
      </c>
      <c r="K219" s="1">
        <v>9000</v>
      </c>
      <c r="L219" s="2">
        <v>45311</v>
      </c>
    </row>
    <row r="220" spans="1:12" x14ac:dyDescent="0.35">
      <c r="A220" s="1" t="s">
        <v>387</v>
      </c>
      <c r="B220" s="1" t="s">
        <v>388</v>
      </c>
      <c r="C220" s="1" t="s">
        <v>30</v>
      </c>
      <c r="D220" s="1" t="s">
        <v>31</v>
      </c>
      <c r="E220" s="1" t="s">
        <v>32</v>
      </c>
      <c r="F220" s="1" t="s">
        <v>39</v>
      </c>
      <c r="G220" s="1" t="s">
        <v>26</v>
      </c>
      <c r="H220" s="1">
        <v>18395</v>
      </c>
      <c r="I220" s="1" t="s">
        <v>27</v>
      </c>
      <c r="J220" s="1"/>
      <c r="K220" s="1">
        <v>17000</v>
      </c>
      <c r="L220" s="2">
        <v>45297</v>
      </c>
    </row>
    <row r="221" spans="1:12" x14ac:dyDescent="0.35">
      <c r="A221" s="1" t="s">
        <v>389</v>
      </c>
      <c r="B221" s="1" t="s">
        <v>92</v>
      </c>
      <c r="C221" s="1" t="s">
        <v>61</v>
      </c>
      <c r="D221" s="1" t="s">
        <v>62</v>
      </c>
      <c r="E221" s="1" t="s">
        <v>16</v>
      </c>
      <c r="F221" s="1" t="s">
        <v>17</v>
      </c>
      <c r="G221" s="1" t="s">
        <v>18</v>
      </c>
      <c r="H221" s="1">
        <v>8485</v>
      </c>
      <c r="I221" s="1" t="s">
        <v>33</v>
      </c>
      <c r="J221" s="1">
        <v>0.3</v>
      </c>
      <c r="K221" s="1">
        <v>9000</v>
      </c>
      <c r="L221" s="2">
        <v>45303</v>
      </c>
    </row>
    <row r="222" spans="1:12" x14ac:dyDescent="0.35">
      <c r="A222" s="1" t="s">
        <v>390</v>
      </c>
      <c r="B222" s="1" t="s">
        <v>391</v>
      </c>
      <c r="C222" s="1" t="s">
        <v>61</v>
      </c>
      <c r="D222" s="1" t="s">
        <v>62</v>
      </c>
      <c r="E222" s="1" t="s">
        <v>32</v>
      </c>
      <c r="F222" s="1" t="s">
        <v>25</v>
      </c>
      <c r="G222" s="1" t="s">
        <v>18</v>
      </c>
      <c r="H222" s="1">
        <v>7634</v>
      </c>
      <c r="I222" s="1" t="s">
        <v>22</v>
      </c>
      <c r="J222" s="1">
        <v>0.1</v>
      </c>
      <c r="K222" s="1">
        <v>9000</v>
      </c>
      <c r="L222" s="2">
        <v>45310</v>
      </c>
    </row>
    <row r="223" spans="1:12" x14ac:dyDescent="0.35">
      <c r="A223" s="1" t="s">
        <v>392</v>
      </c>
      <c r="B223" s="1" t="s">
        <v>393</v>
      </c>
      <c r="C223" s="1" t="s">
        <v>14</v>
      </c>
      <c r="D223" s="1" t="s">
        <v>15</v>
      </c>
      <c r="E223" s="1" t="s">
        <v>16</v>
      </c>
      <c r="F223" s="1" t="s">
        <v>39</v>
      </c>
      <c r="G223" s="1" t="s">
        <v>26</v>
      </c>
      <c r="H223" s="1">
        <v>15619</v>
      </c>
      <c r="I223" s="1" t="s">
        <v>27</v>
      </c>
      <c r="J223" s="1"/>
      <c r="K223" s="1">
        <v>14000</v>
      </c>
      <c r="L223" s="2">
        <v>45294</v>
      </c>
    </row>
    <row r="224" spans="1:12" x14ac:dyDescent="0.35">
      <c r="A224" s="1" t="s">
        <v>394</v>
      </c>
      <c r="B224" s="1" t="s">
        <v>317</v>
      </c>
      <c r="C224" s="1" t="s">
        <v>44</v>
      </c>
      <c r="D224" s="1" t="s">
        <v>45</v>
      </c>
      <c r="E224" s="1" t="s">
        <v>16</v>
      </c>
      <c r="F224" s="1" t="s">
        <v>17</v>
      </c>
      <c r="G224" s="1" t="s">
        <v>18</v>
      </c>
      <c r="H224" s="1">
        <v>11664</v>
      </c>
      <c r="I224" s="1" t="s">
        <v>19</v>
      </c>
      <c r="J224" s="1">
        <v>0.2</v>
      </c>
      <c r="K224" s="1">
        <v>13000</v>
      </c>
      <c r="L224" s="2">
        <v>45345</v>
      </c>
    </row>
    <row r="225" spans="1:12" x14ac:dyDescent="0.35">
      <c r="A225" s="1" t="s">
        <v>395</v>
      </c>
      <c r="B225" s="1" t="s">
        <v>276</v>
      </c>
      <c r="C225" s="1" t="s">
        <v>44</v>
      </c>
      <c r="D225" s="1" t="s">
        <v>45</v>
      </c>
      <c r="E225" s="1" t="s">
        <v>16</v>
      </c>
      <c r="F225" s="1" t="s">
        <v>17</v>
      </c>
      <c r="G225" s="1" t="s">
        <v>18</v>
      </c>
      <c r="H225" s="1">
        <v>12682</v>
      </c>
      <c r="I225" s="1" t="s">
        <v>33</v>
      </c>
      <c r="J225" s="1">
        <v>0.3</v>
      </c>
      <c r="K225" s="1">
        <v>13000</v>
      </c>
      <c r="L225" s="2">
        <v>45335</v>
      </c>
    </row>
    <row r="226" spans="1:12" x14ac:dyDescent="0.35">
      <c r="A226" s="1" t="s">
        <v>396</v>
      </c>
      <c r="B226" s="1" t="s">
        <v>397</v>
      </c>
      <c r="C226" s="1" t="s">
        <v>61</v>
      </c>
      <c r="D226" s="1" t="s">
        <v>62</v>
      </c>
      <c r="E226" s="1" t="s">
        <v>16</v>
      </c>
      <c r="F226" s="1" t="s">
        <v>17</v>
      </c>
      <c r="G226" s="1" t="s">
        <v>26</v>
      </c>
      <c r="H226" s="1">
        <v>10210</v>
      </c>
      <c r="I226" s="1"/>
      <c r="J226" s="1"/>
      <c r="K226" s="1">
        <v>9000</v>
      </c>
      <c r="L226" s="2">
        <v>45306</v>
      </c>
    </row>
    <row r="227" spans="1:12" x14ac:dyDescent="0.35">
      <c r="A227" s="1" t="s">
        <v>398</v>
      </c>
      <c r="B227" s="1" t="s">
        <v>346</v>
      </c>
      <c r="C227" s="1" t="s">
        <v>30</v>
      </c>
      <c r="D227" s="1" t="s">
        <v>31</v>
      </c>
      <c r="E227" s="1" t="s">
        <v>46</v>
      </c>
      <c r="F227" s="1" t="s">
        <v>25</v>
      </c>
      <c r="G227" s="1" t="s">
        <v>36</v>
      </c>
      <c r="H227" s="1">
        <v>17778</v>
      </c>
      <c r="I227" s="1" t="s">
        <v>27</v>
      </c>
      <c r="J227" s="1"/>
      <c r="K227" s="1">
        <v>17000</v>
      </c>
      <c r="L227" s="2">
        <v>45320</v>
      </c>
    </row>
    <row r="228" spans="1:12" x14ac:dyDescent="0.35">
      <c r="A228" s="1" t="s">
        <v>399</v>
      </c>
      <c r="B228" s="1" t="s">
        <v>157</v>
      </c>
      <c r="C228" s="1" t="s">
        <v>30</v>
      </c>
      <c r="D228" s="1" t="s">
        <v>31</v>
      </c>
      <c r="E228" s="1" t="s">
        <v>46</v>
      </c>
      <c r="F228" s="1" t="s">
        <v>39</v>
      </c>
      <c r="G228" s="1" t="s">
        <v>26</v>
      </c>
      <c r="H228" s="1">
        <v>16714</v>
      </c>
      <c r="I228" s="1" t="s">
        <v>19</v>
      </c>
      <c r="J228" s="1">
        <v>0.2</v>
      </c>
      <c r="K228" s="1">
        <v>17000</v>
      </c>
      <c r="L228" s="2">
        <v>45344</v>
      </c>
    </row>
    <row r="229" spans="1:12" x14ac:dyDescent="0.35">
      <c r="A229" s="1" t="s">
        <v>400</v>
      </c>
      <c r="B229" s="1" t="s">
        <v>401</v>
      </c>
      <c r="C229" s="1" t="s">
        <v>44</v>
      </c>
      <c r="D229" s="1" t="s">
        <v>45</v>
      </c>
      <c r="E229" s="1" t="s">
        <v>46</v>
      </c>
      <c r="F229" s="1" t="s">
        <v>25</v>
      </c>
      <c r="G229" s="1" t="s">
        <v>26</v>
      </c>
      <c r="H229" s="1">
        <v>12968</v>
      </c>
      <c r="I229" s="1" t="s">
        <v>33</v>
      </c>
      <c r="J229" s="1">
        <v>0.3</v>
      </c>
      <c r="K229" s="1">
        <v>13000</v>
      </c>
      <c r="L229" s="2">
        <v>45327</v>
      </c>
    </row>
    <row r="230" spans="1:12" x14ac:dyDescent="0.35">
      <c r="A230" s="1" t="s">
        <v>402</v>
      </c>
      <c r="B230" s="1" t="s">
        <v>403</v>
      </c>
      <c r="C230" s="1" t="s">
        <v>14</v>
      </c>
      <c r="D230" s="1" t="s">
        <v>15</v>
      </c>
      <c r="E230" s="1" t="s">
        <v>46</v>
      </c>
      <c r="F230" s="1" t="s">
        <v>25</v>
      </c>
      <c r="G230" s="1" t="s">
        <v>18</v>
      </c>
      <c r="H230" s="1">
        <v>13117</v>
      </c>
      <c r="I230" s="1"/>
      <c r="J230" s="1"/>
      <c r="K230" s="1">
        <v>14000</v>
      </c>
      <c r="L230" s="2">
        <v>45349</v>
      </c>
    </row>
    <row r="231" spans="1:12" x14ac:dyDescent="0.35">
      <c r="A231" s="1" t="s">
        <v>404</v>
      </c>
      <c r="B231" s="1" t="s">
        <v>80</v>
      </c>
      <c r="C231" s="1" t="s">
        <v>61</v>
      </c>
      <c r="D231" s="1" t="s">
        <v>62</v>
      </c>
      <c r="E231" s="1" t="s">
        <v>32</v>
      </c>
      <c r="F231" s="1" t="s">
        <v>25</v>
      </c>
      <c r="G231" s="1" t="s">
        <v>36</v>
      </c>
      <c r="H231" s="1">
        <v>10623</v>
      </c>
      <c r="I231" s="1" t="s">
        <v>33</v>
      </c>
      <c r="J231" s="1">
        <v>0.3</v>
      </c>
      <c r="K231" s="1">
        <v>9000</v>
      </c>
      <c r="L231" s="2">
        <v>45351</v>
      </c>
    </row>
    <row r="232" spans="1:12" x14ac:dyDescent="0.35">
      <c r="A232" s="1" t="s">
        <v>405</v>
      </c>
      <c r="B232" s="1" t="s">
        <v>406</v>
      </c>
      <c r="C232" s="1" t="s">
        <v>14</v>
      </c>
      <c r="D232" s="1" t="s">
        <v>15</v>
      </c>
      <c r="E232" s="1" t="s">
        <v>46</v>
      </c>
      <c r="F232" s="1" t="s">
        <v>39</v>
      </c>
      <c r="G232" s="1" t="s">
        <v>36</v>
      </c>
      <c r="H232" s="1">
        <v>12965</v>
      </c>
      <c r="I232" s="1"/>
      <c r="J232" s="1"/>
      <c r="K232" s="1">
        <v>14000</v>
      </c>
      <c r="L232" s="2">
        <v>45297</v>
      </c>
    </row>
    <row r="233" spans="1:12" x14ac:dyDescent="0.35">
      <c r="A233" s="1" t="s">
        <v>407</v>
      </c>
      <c r="B233" s="1" t="s">
        <v>408</v>
      </c>
      <c r="C233" s="1" t="s">
        <v>14</v>
      </c>
      <c r="D233" s="1" t="s">
        <v>15</v>
      </c>
      <c r="E233" s="1" t="s">
        <v>46</v>
      </c>
      <c r="F233" s="1" t="s">
        <v>25</v>
      </c>
      <c r="G233" s="1" t="s">
        <v>26</v>
      </c>
      <c r="H233" s="1">
        <v>14662</v>
      </c>
      <c r="I233" s="1" t="s">
        <v>33</v>
      </c>
      <c r="J233" s="1">
        <v>0.3</v>
      </c>
      <c r="K233" s="1">
        <v>14000</v>
      </c>
      <c r="L233" s="2">
        <v>45342</v>
      </c>
    </row>
    <row r="234" spans="1:12" x14ac:dyDescent="0.35">
      <c r="A234" s="1" t="s">
        <v>409</v>
      </c>
      <c r="B234" s="1" t="s">
        <v>175</v>
      </c>
      <c r="C234" s="1" t="s">
        <v>14</v>
      </c>
      <c r="D234" s="1" t="s">
        <v>15</v>
      </c>
      <c r="E234" s="1" t="s">
        <v>46</v>
      </c>
      <c r="F234" s="1" t="s">
        <v>17</v>
      </c>
      <c r="G234" s="1" t="s">
        <v>26</v>
      </c>
      <c r="H234" s="1">
        <v>15404</v>
      </c>
      <c r="I234" s="1" t="s">
        <v>19</v>
      </c>
      <c r="J234" s="1">
        <v>0.2</v>
      </c>
      <c r="K234" s="1">
        <v>14000</v>
      </c>
      <c r="L234" s="2">
        <v>45340</v>
      </c>
    </row>
    <row r="235" spans="1:12" x14ac:dyDescent="0.35">
      <c r="A235" s="1" t="s">
        <v>410</v>
      </c>
      <c r="B235" s="1" t="s">
        <v>334</v>
      </c>
      <c r="C235" s="1" t="s">
        <v>61</v>
      </c>
      <c r="D235" s="1" t="s">
        <v>62</v>
      </c>
      <c r="E235" s="1" t="s">
        <v>16</v>
      </c>
      <c r="F235" s="1" t="s">
        <v>25</v>
      </c>
      <c r="G235" s="1" t="s">
        <v>18</v>
      </c>
      <c r="H235" s="1">
        <v>7077</v>
      </c>
      <c r="I235" s="1" t="s">
        <v>33</v>
      </c>
      <c r="J235" s="1">
        <v>0.3</v>
      </c>
      <c r="K235" s="1">
        <v>9000</v>
      </c>
      <c r="L235" s="2">
        <v>45305</v>
      </c>
    </row>
    <row r="236" spans="1:12" x14ac:dyDescent="0.35">
      <c r="A236" s="1" t="s">
        <v>411</v>
      </c>
      <c r="B236" s="1" t="s">
        <v>412</v>
      </c>
      <c r="C236" s="1" t="s">
        <v>61</v>
      </c>
      <c r="D236" s="1" t="s">
        <v>62</v>
      </c>
      <c r="E236" s="1" t="s">
        <v>32</v>
      </c>
      <c r="F236" s="1" t="s">
        <v>17</v>
      </c>
      <c r="G236" s="1" t="s">
        <v>18</v>
      </c>
      <c r="H236" s="1">
        <v>8233</v>
      </c>
      <c r="I236" s="1" t="s">
        <v>22</v>
      </c>
      <c r="J236" s="1">
        <v>0.1</v>
      </c>
      <c r="K236" s="1">
        <v>9000</v>
      </c>
      <c r="L236" s="2">
        <v>45295</v>
      </c>
    </row>
    <row r="237" spans="1:12" x14ac:dyDescent="0.35">
      <c r="A237" s="1" t="s">
        <v>413</v>
      </c>
      <c r="B237" s="1" t="s">
        <v>414</v>
      </c>
      <c r="C237" s="1" t="s">
        <v>61</v>
      </c>
      <c r="D237" s="1" t="s">
        <v>62</v>
      </c>
      <c r="E237" s="1" t="s">
        <v>32</v>
      </c>
      <c r="F237" s="1" t="s">
        <v>25</v>
      </c>
      <c r="G237" s="1" t="s">
        <v>36</v>
      </c>
      <c r="H237" s="1">
        <v>9444</v>
      </c>
      <c r="I237" s="1" t="s">
        <v>27</v>
      </c>
      <c r="J237" s="1"/>
      <c r="K237" s="1">
        <v>9000</v>
      </c>
      <c r="L237" s="2">
        <v>45293</v>
      </c>
    </row>
    <row r="238" spans="1:12" x14ac:dyDescent="0.35">
      <c r="A238" s="1" t="s">
        <v>415</v>
      </c>
      <c r="B238" s="1" t="s">
        <v>416</v>
      </c>
      <c r="C238" s="1" t="s">
        <v>44</v>
      </c>
      <c r="D238" s="1" t="s">
        <v>45</v>
      </c>
      <c r="E238" s="1" t="s">
        <v>16</v>
      </c>
      <c r="F238" s="1" t="s">
        <v>25</v>
      </c>
      <c r="G238" s="1" t="s">
        <v>36</v>
      </c>
      <c r="H238" s="1">
        <v>12758</v>
      </c>
      <c r="I238" s="1" t="s">
        <v>22</v>
      </c>
      <c r="J238" s="1">
        <v>0.1</v>
      </c>
      <c r="K238" s="1">
        <v>13000</v>
      </c>
      <c r="L238" s="2">
        <v>45331</v>
      </c>
    </row>
    <row r="239" spans="1:12" x14ac:dyDescent="0.35">
      <c r="A239" s="1" t="s">
        <v>417</v>
      </c>
      <c r="B239" s="1" t="s">
        <v>408</v>
      </c>
      <c r="C239" s="1" t="s">
        <v>61</v>
      </c>
      <c r="D239" s="1" t="s">
        <v>62</v>
      </c>
      <c r="E239" s="1" t="s">
        <v>32</v>
      </c>
      <c r="F239" s="1" t="s">
        <v>39</v>
      </c>
      <c r="G239" s="1" t="s">
        <v>26</v>
      </c>
      <c r="H239" s="1">
        <v>7350</v>
      </c>
      <c r="I239" s="1" t="s">
        <v>27</v>
      </c>
      <c r="J239" s="1"/>
      <c r="K239" s="1">
        <v>9000</v>
      </c>
      <c r="L239" s="2">
        <v>45315</v>
      </c>
    </row>
    <row r="240" spans="1:12" x14ac:dyDescent="0.35">
      <c r="A240" s="1" t="s">
        <v>418</v>
      </c>
      <c r="B240" s="1" t="s">
        <v>241</v>
      </c>
      <c r="C240" s="1" t="s">
        <v>14</v>
      </c>
      <c r="D240" s="1" t="s">
        <v>15</v>
      </c>
      <c r="E240" s="1" t="s">
        <v>46</v>
      </c>
      <c r="F240" s="1" t="s">
        <v>17</v>
      </c>
      <c r="G240" s="1" t="s">
        <v>18</v>
      </c>
      <c r="H240" s="1">
        <v>14603</v>
      </c>
      <c r="I240" s="1"/>
      <c r="J240" s="1"/>
      <c r="K240" s="1">
        <v>14000</v>
      </c>
      <c r="L240" s="2">
        <v>45315</v>
      </c>
    </row>
    <row r="241" spans="1:12" x14ac:dyDescent="0.35">
      <c r="A241" s="1" t="s">
        <v>419</v>
      </c>
      <c r="B241" s="1" t="s">
        <v>350</v>
      </c>
      <c r="C241" s="1" t="s">
        <v>14</v>
      </c>
      <c r="D241" s="1" t="s">
        <v>15</v>
      </c>
      <c r="E241" s="1" t="s">
        <v>46</v>
      </c>
      <c r="F241" s="1" t="s">
        <v>25</v>
      </c>
      <c r="G241" s="1" t="s">
        <v>36</v>
      </c>
      <c r="H241" s="1">
        <v>12987</v>
      </c>
      <c r="I241" s="1" t="s">
        <v>22</v>
      </c>
      <c r="J241" s="1">
        <v>0.1</v>
      </c>
      <c r="K241" s="1">
        <v>14000</v>
      </c>
      <c r="L241" s="2">
        <v>45341</v>
      </c>
    </row>
    <row r="242" spans="1:12" x14ac:dyDescent="0.35">
      <c r="A242" s="1" t="s">
        <v>420</v>
      </c>
      <c r="B242" s="1" t="s">
        <v>233</v>
      </c>
      <c r="C242" s="1" t="s">
        <v>30</v>
      </c>
      <c r="D242" s="1" t="s">
        <v>31</v>
      </c>
      <c r="E242" s="1" t="s">
        <v>32</v>
      </c>
      <c r="F242" s="1" t="s">
        <v>25</v>
      </c>
      <c r="G242" s="1" t="s">
        <v>36</v>
      </c>
      <c r="H242" s="1">
        <v>17236</v>
      </c>
      <c r="I242" s="1" t="s">
        <v>33</v>
      </c>
      <c r="J242" s="1">
        <v>0.3</v>
      </c>
      <c r="K242" s="1">
        <v>17000</v>
      </c>
      <c r="L242" s="2">
        <v>45344</v>
      </c>
    </row>
    <row r="243" spans="1:12" x14ac:dyDescent="0.35">
      <c r="A243" s="1" t="s">
        <v>421</v>
      </c>
      <c r="B243" s="1" t="s">
        <v>422</v>
      </c>
      <c r="C243" s="1" t="s">
        <v>61</v>
      </c>
      <c r="D243" s="1" t="s">
        <v>62</v>
      </c>
      <c r="E243" s="1" t="s">
        <v>16</v>
      </c>
      <c r="F243" s="1" t="s">
        <v>17</v>
      </c>
      <c r="G243" s="1" t="s">
        <v>26</v>
      </c>
      <c r="H243" s="1">
        <v>7746</v>
      </c>
      <c r="I243" s="1" t="s">
        <v>19</v>
      </c>
      <c r="J243" s="1">
        <v>0.2</v>
      </c>
      <c r="K243" s="1">
        <v>9000</v>
      </c>
      <c r="L243" s="2">
        <v>45296</v>
      </c>
    </row>
    <row r="244" spans="1:12" x14ac:dyDescent="0.35">
      <c r="A244" s="1" t="s">
        <v>423</v>
      </c>
      <c r="B244" s="1" t="s">
        <v>276</v>
      </c>
      <c r="C244" s="1" t="s">
        <v>61</v>
      </c>
      <c r="D244" s="1" t="s">
        <v>62</v>
      </c>
      <c r="E244" s="1" t="s">
        <v>32</v>
      </c>
      <c r="F244" s="1" t="s">
        <v>17</v>
      </c>
      <c r="G244" s="1" t="s">
        <v>18</v>
      </c>
      <c r="H244" s="1">
        <v>7179</v>
      </c>
      <c r="I244" s="1" t="s">
        <v>19</v>
      </c>
      <c r="J244" s="1">
        <v>0.2</v>
      </c>
      <c r="K244" s="1">
        <v>9000</v>
      </c>
      <c r="L244" s="2">
        <v>45348</v>
      </c>
    </row>
    <row r="245" spans="1:12" x14ac:dyDescent="0.35">
      <c r="A245" s="1" t="s">
        <v>424</v>
      </c>
      <c r="B245" s="1" t="s">
        <v>125</v>
      </c>
      <c r="C245" s="1" t="s">
        <v>30</v>
      </c>
      <c r="D245" s="1" t="s">
        <v>31</v>
      </c>
      <c r="E245" s="1" t="s">
        <v>16</v>
      </c>
      <c r="F245" s="1" t="s">
        <v>17</v>
      </c>
      <c r="G245" s="1" t="s">
        <v>26</v>
      </c>
      <c r="H245" s="1">
        <v>16939</v>
      </c>
      <c r="I245" s="1" t="s">
        <v>33</v>
      </c>
      <c r="J245" s="1">
        <v>0.3</v>
      </c>
      <c r="K245" s="1">
        <v>17000</v>
      </c>
      <c r="L245" s="2">
        <v>45294</v>
      </c>
    </row>
    <row r="246" spans="1:12" x14ac:dyDescent="0.35">
      <c r="A246" s="1" t="s">
        <v>425</v>
      </c>
      <c r="B246" s="1" t="s">
        <v>426</v>
      </c>
      <c r="C246" s="1" t="s">
        <v>44</v>
      </c>
      <c r="D246" s="1" t="s">
        <v>45</v>
      </c>
      <c r="E246" s="1" t="s">
        <v>46</v>
      </c>
      <c r="F246" s="1" t="s">
        <v>17</v>
      </c>
      <c r="G246" s="1" t="s">
        <v>18</v>
      </c>
      <c r="H246" s="1">
        <v>14546</v>
      </c>
      <c r="I246" s="1" t="s">
        <v>33</v>
      </c>
      <c r="J246" s="1">
        <v>0.3</v>
      </c>
      <c r="K246" s="1">
        <v>13000</v>
      </c>
      <c r="L246" s="2">
        <v>45309</v>
      </c>
    </row>
    <row r="247" spans="1:12" x14ac:dyDescent="0.35">
      <c r="A247" s="1" t="s">
        <v>427</v>
      </c>
      <c r="B247" s="1" t="s">
        <v>200</v>
      </c>
      <c r="C247" s="1" t="s">
        <v>30</v>
      </c>
      <c r="D247" s="1" t="s">
        <v>31</v>
      </c>
      <c r="E247" s="1" t="s">
        <v>46</v>
      </c>
      <c r="F247" s="1" t="s">
        <v>17</v>
      </c>
      <c r="G247" s="1" t="s">
        <v>26</v>
      </c>
      <c r="H247" s="1">
        <v>16801</v>
      </c>
      <c r="I247" s="1"/>
      <c r="J247" s="1"/>
      <c r="K247" s="1">
        <v>17000</v>
      </c>
      <c r="L247" s="2">
        <v>45313</v>
      </c>
    </row>
    <row r="248" spans="1:12" x14ac:dyDescent="0.35">
      <c r="A248" s="1" t="s">
        <v>428</v>
      </c>
      <c r="B248" s="1" t="s">
        <v>429</v>
      </c>
      <c r="C248" s="1" t="s">
        <v>61</v>
      </c>
      <c r="D248" s="1" t="s">
        <v>62</v>
      </c>
      <c r="E248" s="1" t="s">
        <v>46</v>
      </c>
      <c r="F248" s="1" t="s">
        <v>39</v>
      </c>
      <c r="G248" s="1" t="s">
        <v>36</v>
      </c>
      <c r="H248" s="1">
        <v>10281</v>
      </c>
      <c r="I248" s="1" t="s">
        <v>22</v>
      </c>
      <c r="J248" s="1">
        <v>0.1</v>
      </c>
      <c r="K248" s="1">
        <v>9000</v>
      </c>
      <c r="L248" s="2">
        <v>45338</v>
      </c>
    </row>
    <row r="249" spans="1:12" x14ac:dyDescent="0.35">
      <c r="A249" s="1" t="s">
        <v>430</v>
      </c>
      <c r="B249" s="1" t="s">
        <v>41</v>
      </c>
      <c r="C249" s="1" t="s">
        <v>61</v>
      </c>
      <c r="D249" s="1" t="s">
        <v>62</v>
      </c>
      <c r="E249" s="1" t="s">
        <v>16</v>
      </c>
      <c r="F249" s="1" t="s">
        <v>25</v>
      </c>
      <c r="G249" s="1" t="s">
        <v>26</v>
      </c>
      <c r="H249" s="1">
        <v>8203</v>
      </c>
      <c r="I249" s="1" t="s">
        <v>33</v>
      </c>
      <c r="J249" s="1">
        <v>0.3</v>
      </c>
      <c r="K249" s="1">
        <v>9000</v>
      </c>
      <c r="L249" s="2">
        <v>45298</v>
      </c>
    </row>
    <row r="250" spans="1:12" x14ac:dyDescent="0.35">
      <c r="A250" s="1" t="s">
        <v>431</v>
      </c>
      <c r="B250" s="1" t="s">
        <v>432</v>
      </c>
      <c r="C250" s="1" t="s">
        <v>30</v>
      </c>
      <c r="D250" s="1" t="s">
        <v>31</v>
      </c>
      <c r="E250" s="1" t="s">
        <v>46</v>
      </c>
      <c r="F250" s="1" t="s">
        <v>17</v>
      </c>
      <c r="G250" s="1" t="s">
        <v>26</v>
      </c>
      <c r="H250" s="1">
        <v>17939</v>
      </c>
      <c r="I250" s="1"/>
      <c r="J250" s="1"/>
      <c r="K250" s="1">
        <v>17000</v>
      </c>
      <c r="L250" s="2">
        <v>45302</v>
      </c>
    </row>
    <row r="251" spans="1:12" x14ac:dyDescent="0.35">
      <c r="A251" s="1" t="s">
        <v>433</v>
      </c>
      <c r="B251" s="1" t="s">
        <v>334</v>
      </c>
      <c r="C251" s="1" t="s">
        <v>30</v>
      </c>
      <c r="D251" s="1" t="s">
        <v>31</v>
      </c>
      <c r="E251" s="1" t="s">
        <v>46</v>
      </c>
      <c r="F251" s="1" t="s">
        <v>25</v>
      </c>
      <c r="G251" s="1" t="s">
        <v>26</v>
      </c>
      <c r="H251" s="1">
        <v>18563</v>
      </c>
      <c r="I251" s="1" t="s">
        <v>33</v>
      </c>
      <c r="J251" s="1">
        <v>0.3</v>
      </c>
      <c r="K251" s="1">
        <v>17000</v>
      </c>
      <c r="L251" s="2">
        <v>45331</v>
      </c>
    </row>
    <row r="252" spans="1:12" x14ac:dyDescent="0.35">
      <c r="A252" s="1" t="s">
        <v>434</v>
      </c>
      <c r="B252" s="1" t="s">
        <v>435</v>
      </c>
      <c r="C252" s="1" t="s">
        <v>14</v>
      </c>
      <c r="D252" s="1" t="s">
        <v>15</v>
      </c>
      <c r="E252" s="1" t="s">
        <v>32</v>
      </c>
      <c r="F252" s="1" t="s">
        <v>39</v>
      </c>
      <c r="G252" s="1" t="s">
        <v>26</v>
      </c>
      <c r="H252" s="1">
        <v>13663</v>
      </c>
      <c r="I252" s="1" t="s">
        <v>33</v>
      </c>
      <c r="J252" s="1">
        <v>0.3</v>
      </c>
      <c r="K252" s="1">
        <v>14000</v>
      </c>
      <c r="L252" s="2">
        <v>45324</v>
      </c>
    </row>
    <row r="253" spans="1:12" x14ac:dyDescent="0.35">
      <c r="A253" s="1" t="s">
        <v>436</v>
      </c>
      <c r="B253" s="1" t="s">
        <v>296</v>
      </c>
      <c r="C253" s="1" t="s">
        <v>44</v>
      </c>
      <c r="D253" s="1" t="s">
        <v>45</v>
      </c>
      <c r="E253" s="1" t="s">
        <v>32</v>
      </c>
      <c r="F253" s="1" t="s">
        <v>25</v>
      </c>
      <c r="G253" s="1" t="s">
        <v>26</v>
      </c>
      <c r="H253" s="1">
        <v>13777</v>
      </c>
      <c r="I253" s="1"/>
      <c r="J253" s="1"/>
      <c r="K253" s="1">
        <v>13000</v>
      </c>
      <c r="L253" s="2">
        <v>45294</v>
      </c>
    </row>
    <row r="254" spans="1:12" x14ac:dyDescent="0.35">
      <c r="A254" s="1" t="s">
        <v>437</v>
      </c>
      <c r="B254" s="1" t="s">
        <v>325</v>
      </c>
      <c r="C254" s="1" t="s">
        <v>44</v>
      </c>
      <c r="D254" s="1" t="s">
        <v>45</v>
      </c>
      <c r="E254" s="1" t="s">
        <v>16</v>
      </c>
      <c r="F254" s="1" t="s">
        <v>17</v>
      </c>
      <c r="G254" s="1" t="s">
        <v>36</v>
      </c>
      <c r="H254" s="1">
        <v>12568</v>
      </c>
      <c r="I254" s="1" t="s">
        <v>27</v>
      </c>
      <c r="J254" s="1"/>
      <c r="K254" s="1">
        <v>13000</v>
      </c>
      <c r="L254" s="2">
        <v>45294</v>
      </c>
    </row>
    <row r="255" spans="1:12" x14ac:dyDescent="0.35">
      <c r="A255" s="1" t="s">
        <v>438</v>
      </c>
      <c r="B255" s="1" t="s">
        <v>373</v>
      </c>
      <c r="C255" s="1" t="s">
        <v>61</v>
      </c>
      <c r="D255" s="1" t="s">
        <v>62</v>
      </c>
      <c r="E255" s="1" t="s">
        <v>46</v>
      </c>
      <c r="F255" s="1" t="s">
        <v>17</v>
      </c>
      <c r="G255" s="1" t="s">
        <v>36</v>
      </c>
      <c r="H255" s="1">
        <v>10125</v>
      </c>
      <c r="I255" s="1" t="s">
        <v>22</v>
      </c>
      <c r="J255" s="1">
        <v>0.1</v>
      </c>
      <c r="K255" s="1">
        <v>9000</v>
      </c>
      <c r="L255" s="2">
        <v>45328</v>
      </c>
    </row>
    <row r="256" spans="1:12" x14ac:dyDescent="0.35">
      <c r="A256" s="1" t="s">
        <v>439</v>
      </c>
      <c r="B256" s="1" t="s">
        <v>440</v>
      </c>
      <c r="C256" s="1" t="s">
        <v>30</v>
      </c>
      <c r="D256" s="1" t="s">
        <v>31</v>
      </c>
      <c r="E256" s="1" t="s">
        <v>46</v>
      </c>
      <c r="F256" s="1" t="s">
        <v>17</v>
      </c>
      <c r="G256" s="1" t="s">
        <v>26</v>
      </c>
      <c r="H256" s="1">
        <v>16141</v>
      </c>
      <c r="I256" s="1" t="s">
        <v>19</v>
      </c>
      <c r="J256" s="1">
        <v>0.2</v>
      </c>
      <c r="K256" s="1">
        <v>17000</v>
      </c>
      <c r="L256" s="2">
        <v>45299</v>
      </c>
    </row>
    <row r="257" spans="1:12" x14ac:dyDescent="0.35">
      <c r="A257" s="1" t="s">
        <v>441</v>
      </c>
      <c r="B257" s="1" t="s">
        <v>190</v>
      </c>
      <c r="C257" s="1" t="s">
        <v>44</v>
      </c>
      <c r="D257" s="1" t="s">
        <v>45</v>
      </c>
      <c r="E257" s="1" t="s">
        <v>46</v>
      </c>
      <c r="F257" s="1" t="s">
        <v>39</v>
      </c>
      <c r="G257" s="1" t="s">
        <v>36</v>
      </c>
      <c r="H257" s="1">
        <v>14741</v>
      </c>
      <c r="I257" s="1" t="s">
        <v>27</v>
      </c>
      <c r="J257" s="1"/>
      <c r="K257" s="1">
        <v>13000</v>
      </c>
      <c r="L257" s="2">
        <v>45299</v>
      </c>
    </row>
    <row r="258" spans="1:12" x14ac:dyDescent="0.35">
      <c r="A258" s="1" t="s">
        <v>442</v>
      </c>
      <c r="B258" s="1" t="s">
        <v>443</v>
      </c>
      <c r="C258" s="1" t="s">
        <v>30</v>
      </c>
      <c r="D258" s="1" t="s">
        <v>31</v>
      </c>
      <c r="E258" s="1" t="s">
        <v>16</v>
      </c>
      <c r="F258" s="1" t="s">
        <v>17</v>
      </c>
      <c r="G258" s="1" t="s">
        <v>18</v>
      </c>
      <c r="H258" s="1">
        <v>17506</v>
      </c>
      <c r="I258" s="1" t="s">
        <v>33</v>
      </c>
      <c r="J258" s="1">
        <v>0.3</v>
      </c>
      <c r="K258" s="1">
        <v>17000</v>
      </c>
      <c r="L258" s="2">
        <v>45336</v>
      </c>
    </row>
    <row r="259" spans="1:12" x14ac:dyDescent="0.35">
      <c r="A259" s="1" t="s">
        <v>444</v>
      </c>
      <c r="B259" s="1" t="s">
        <v>445</v>
      </c>
      <c r="C259" s="1" t="s">
        <v>44</v>
      </c>
      <c r="D259" s="1" t="s">
        <v>45</v>
      </c>
      <c r="E259" s="1" t="s">
        <v>32</v>
      </c>
      <c r="F259" s="1" t="s">
        <v>25</v>
      </c>
      <c r="G259" s="1" t="s">
        <v>18</v>
      </c>
      <c r="H259" s="1">
        <v>12851</v>
      </c>
      <c r="I259" s="1" t="s">
        <v>19</v>
      </c>
      <c r="J259" s="1">
        <v>0.2</v>
      </c>
      <c r="K259" s="1">
        <v>13000</v>
      </c>
      <c r="L259" s="2">
        <v>45349</v>
      </c>
    </row>
    <row r="260" spans="1:12" x14ac:dyDescent="0.35">
      <c r="A260" s="1" t="s">
        <v>446</v>
      </c>
      <c r="B260" s="1" t="s">
        <v>334</v>
      </c>
      <c r="C260" s="1" t="s">
        <v>14</v>
      </c>
      <c r="D260" s="1" t="s">
        <v>15</v>
      </c>
      <c r="E260" s="1" t="s">
        <v>16</v>
      </c>
      <c r="F260" s="1" t="s">
        <v>17</v>
      </c>
      <c r="G260" s="1" t="s">
        <v>26</v>
      </c>
      <c r="H260" s="1">
        <v>13423</v>
      </c>
      <c r="I260" s="1" t="s">
        <v>22</v>
      </c>
      <c r="J260" s="1">
        <v>0.1</v>
      </c>
      <c r="K260" s="1">
        <v>14000</v>
      </c>
      <c r="L260" s="2">
        <v>45327</v>
      </c>
    </row>
    <row r="261" spans="1:12" x14ac:dyDescent="0.35">
      <c r="A261" s="1" t="s">
        <v>447</v>
      </c>
      <c r="B261" s="1" t="s">
        <v>448</v>
      </c>
      <c r="C261" s="1" t="s">
        <v>30</v>
      </c>
      <c r="D261" s="1" t="s">
        <v>31</v>
      </c>
      <c r="E261" s="1" t="s">
        <v>32</v>
      </c>
      <c r="F261" s="1" t="s">
        <v>39</v>
      </c>
      <c r="G261" s="1" t="s">
        <v>26</v>
      </c>
      <c r="H261" s="1">
        <v>18798</v>
      </c>
      <c r="I261" s="1" t="s">
        <v>19</v>
      </c>
      <c r="J261" s="1">
        <v>0.2</v>
      </c>
      <c r="K261" s="1">
        <v>17000</v>
      </c>
      <c r="L261" s="2">
        <v>45342</v>
      </c>
    </row>
    <row r="262" spans="1:12" x14ac:dyDescent="0.35">
      <c r="A262" s="1" t="s">
        <v>449</v>
      </c>
      <c r="B262" s="1" t="s">
        <v>301</v>
      </c>
      <c r="C262" s="1" t="s">
        <v>44</v>
      </c>
      <c r="D262" s="1" t="s">
        <v>45</v>
      </c>
      <c r="E262" s="1" t="s">
        <v>32</v>
      </c>
      <c r="F262" s="1" t="s">
        <v>25</v>
      </c>
      <c r="G262" s="1" t="s">
        <v>18</v>
      </c>
      <c r="H262" s="1">
        <v>11969</v>
      </c>
      <c r="I262" s="1"/>
      <c r="J262" s="1"/>
      <c r="K262" s="1">
        <v>13000</v>
      </c>
      <c r="L262" s="2">
        <v>45293</v>
      </c>
    </row>
    <row r="263" spans="1:12" x14ac:dyDescent="0.35">
      <c r="A263" s="1" t="s">
        <v>450</v>
      </c>
      <c r="B263" s="1" t="s">
        <v>301</v>
      </c>
      <c r="C263" s="1" t="s">
        <v>30</v>
      </c>
      <c r="D263" s="1" t="s">
        <v>31</v>
      </c>
      <c r="E263" s="1" t="s">
        <v>46</v>
      </c>
      <c r="F263" s="1" t="s">
        <v>39</v>
      </c>
      <c r="G263" s="1" t="s">
        <v>18</v>
      </c>
      <c r="H263" s="1">
        <v>17506</v>
      </c>
      <c r="I263" s="1" t="s">
        <v>22</v>
      </c>
      <c r="J263" s="1">
        <v>0.1</v>
      </c>
      <c r="K263" s="1">
        <v>17000</v>
      </c>
      <c r="L263" s="2">
        <v>45296</v>
      </c>
    </row>
    <row r="264" spans="1:12" x14ac:dyDescent="0.35">
      <c r="A264" s="1" t="s">
        <v>451</v>
      </c>
      <c r="B264" s="1" t="s">
        <v>70</v>
      </c>
      <c r="C264" s="1" t="s">
        <v>61</v>
      </c>
      <c r="D264" s="1" t="s">
        <v>62</v>
      </c>
      <c r="E264" s="1" t="s">
        <v>16</v>
      </c>
      <c r="F264" s="1" t="s">
        <v>17</v>
      </c>
      <c r="G264" s="1" t="s">
        <v>36</v>
      </c>
      <c r="H264" s="1">
        <v>10372</v>
      </c>
      <c r="I264" s="1" t="s">
        <v>27</v>
      </c>
      <c r="J264" s="1"/>
      <c r="K264" s="1">
        <v>9000</v>
      </c>
      <c r="L264" s="2">
        <v>45296</v>
      </c>
    </row>
    <row r="265" spans="1:12" x14ac:dyDescent="0.35">
      <c r="A265" s="1" t="s">
        <v>452</v>
      </c>
      <c r="B265" s="1" t="s">
        <v>74</v>
      </c>
      <c r="C265" s="1" t="s">
        <v>14</v>
      </c>
      <c r="D265" s="1" t="s">
        <v>15</v>
      </c>
      <c r="E265" s="1" t="s">
        <v>46</v>
      </c>
      <c r="F265" s="1" t="s">
        <v>17</v>
      </c>
      <c r="G265" s="1" t="s">
        <v>26</v>
      </c>
      <c r="H265" s="1">
        <v>14119</v>
      </c>
      <c r="I265" s="1" t="s">
        <v>33</v>
      </c>
      <c r="J265" s="1">
        <v>0.3</v>
      </c>
      <c r="K265" s="1">
        <v>14000</v>
      </c>
      <c r="L265" s="2">
        <v>45300</v>
      </c>
    </row>
    <row r="266" spans="1:12" x14ac:dyDescent="0.35">
      <c r="A266" s="1" t="s">
        <v>453</v>
      </c>
      <c r="B266" s="1" t="s">
        <v>454</v>
      </c>
      <c r="C266" s="1" t="s">
        <v>44</v>
      </c>
      <c r="D266" s="1" t="s">
        <v>45</v>
      </c>
      <c r="E266" s="1" t="s">
        <v>32</v>
      </c>
      <c r="F266" s="1" t="s">
        <v>17</v>
      </c>
      <c r="G266" s="1" t="s">
        <v>26</v>
      </c>
      <c r="H266" s="1">
        <v>14730</v>
      </c>
      <c r="I266" s="1" t="s">
        <v>22</v>
      </c>
      <c r="J266" s="1">
        <v>0.1</v>
      </c>
      <c r="K266" s="1">
        <v>13000</v>
      </c>
      <c r="L266" s="2">
        <v>45345</v>
      </c>
    </row>
    <row r="267" spans="1:12" x14ac:dyDescent="0.35">
      <c r="A267" s="1" t="s">
        <v>455</v>
      </c>
      <c r="B267" s="1" t="s">
        <v>241</v>
      </c>
      <c r="C267" s="1" t="s">
        <v>44</v>
      </c>
      <c r="D267" s="1" t="s">
        <v>45</v>
      </c>
      <c r="E267" s="1" t="s">
        <v>46</v>
      </c>
      <c r="F267" s="1" t="s">
        <v>25</v>
      </c>
      <c r="G267" s="1" t="s">
        <v>18</v>
      </c>
      <c r="H267" s="1">
        <v>12321</v>
      </c>
      <c r="I267" s="1" t="s">
        <v>19</v>
      </c>
      <c r="J267" s="1">
        <v>0.2</v>
      </c>
      <c r="K267" s="1">
        <v>13000</v>
      </c>
      <c r="L267" s="2">
        <v>45314</v>
      </c>
    </row>
    <row r="268" spans="1:12" x14ac:dyDescent="0.35">
      <c r="A268" s="1" t="s">
        <v>456</v>
      </c>
      <c r="B268" s="1" t="s">
        <v>448</v>
      </c>
      <c r="C268" s="1" t="s">
        <v>14</v>
      </c>
      <c r="D268" s="1" t="s">
        <v>15</v>
      </c>
      <c r="E268" s="1" t="s">
        <v>46</v>
      </c>
      <c r="F268" s="1" t="s">
        <v>25</v>
      </c>
      <c r="G268" s="1" t="s">
        <v>26</v>
      </c>
      <c r="H268" s="1">
        <v>15917</v>
      </c>
      <c r="I268" s="1" t="s">
        <v>27</v>
      </c>
      <c r="J268" s="1"/>
      <c r="K268" s="1">
        <v>14000</v>
      </c>
      <c r="L268" s="2">
        <v>45309</v>
      </c>
    </row>
    <row r="269" spans="1:12" x14ac:dyDescent="0.35">
      <c r="A269" s="1" t="s">
        <v>457</v>
      </c>
      <c r="B269" s="1" t="s">
        <v>113</v>
      </c>
      <c r="C269" s="1" t="s">
        <v>30</v>
      </c>
      <c r="D269" s="1" t="s">
        <v>31</v>
      </c>
      <c r="E269" s="1" t="s">
        <v>16</v>
      </c>
      <c r="F269" s="1" t="s">
        <v>39</v>
      </c>
      <c r="G269" s="1" t="s">
        <v>18</v>
      </c>
      <c r="H269" s="1">
        <v>17058</v>
      </c>
      <c r="I269" s="1" t="s">
        <v>19</v>
      </c>
      <c r="J269" s="1">
        <v>0.2</v>
      </c>
      <c r="K269" s="1">
        <v>17000</v>
      </c>
      <c r="L269" s="2">
        <v>45329</v>
      </c>
    </row>
    <row r="270" spans="1:12" x14ac:dyDescent="0.35">
      <c r="A270" s="1" t="s">
        <v>458</v>
      </c>
      <c r="B270" s="1" t="s">
        <v>373</v>
      </c>
      <c r="C270" s="1" t="s">
        <v>44</v>
      </c>
      <c r="D270" s="1" t="s">
        <v>45</v>
      </c>
      <c r="E270" s="1" t="s">
        <v>16</v>
      </c>
      <c r="F270" s="1" t="s">
        <v>39</v>
      </c>
      <c r="G270" s="1" t="s">
        <v>26</v>
      </c>
      <c r="H270" s="1">
        <v>14694</v>
      </c>
      <c r="I270" s="1" t="s">
        <v>27</v>
      </c>
      <c r="J270" s="1"/>
      <c r="K270" s="1">
        <v>13000</v>
      </c>
      <c r="L270" s="2">
        <v>45313</v>
      </c>
    </row>
    <row r="271" spans="1:12" x14ac:dyDescent="0.35">
      <c r="A271" s="1" t="s">
        <v>459</v>
      </c>
      <c r="B271" s="1" t="s">
        <v>460</v>
      </c>
      <c r="C271" s="1" t="s">
        <v>14</v>
      </c>
      <c r="D271" s="1" t="s">
        <v>15</v>
      </c>
      <c r="E271" s="1" t="s">
        <v>32</v>
      </c>
      <c r="F271" s="1" t="s">
        <v>25</v>
      </c>
      <c r="G271" s="1" t="s">
        <v>18</v>
      </c>
      <c r="H271" s="1">
        <v>15885</v>
      </c>
      <c r="I271" s="1" t="s">
        <v>27</v>
      </c>
      <c r="J271" s="1"/>
      <c r="K271" s="1">
        <v>14000</v>
      </c>
      <c r="L271" s="2">
        <v>45308</v>
      </c>
    </row>
    <row r="272" spans="1:12" x14ac:dyDescent="0.35">
      <c r="A272" s="1" t="s">
        <v>461</v>
      </c>
      <c r="B272" s="1" t="s">
        <v>239</v>
      </c>
      <c r="C272" s="1" t="s">
        <v>61</v>
      </c>
      <c r="D272" s="1" t="s">
        <v>62</v>
      </c>
      <c r="E272" s="1" t="s">
        <v>16</v>
      </c>
      <c r="F272" s="1" t="s">
        <v>39</v>
      </c>
      <c r="G272" s="1" t="s">
        <v>18</v>
      </c>
      <c r="H272" s="1">
        <v>9039</v>
      </c>
      <c r="I272" s="1" t="s">
        <v>27</v>
      </c>
      <c r="J272" s="1"/>
      <c r="K272" s="1">
        <v>9000</v>
      </c>
      <c r="L272" s="2">
        <v>45310</v>
      </c>
    </row>
    <row r="273" spans="1:12" x14ac:dyDescent="0.35">
      <c r="A273" s="1" t="s">
        <v>462</v>
      </c>
      <c r="B273" s="1" t="s">
        <v>278</v>
      </c>
      <c r="C273" s="1" t="s">
        <v>61</v>
      </c>
      <c r="D273" s="1" t="s">
        <v>62</v>
      </c>
      <c r="E273" s="1" t="s">
        <v>32</v>
      </c>
      <c r="F273" s="1" t="s">
        <v>39</v>
      </c>
      <c r="G273" s="1" t="s">
        <v>36</v>
      </c>
      <c r="H273" s="1">
        <v>8218</v>
      </c>
      <c r="I273" s="1"/>
      <c r="J273" s="1"/>
      <c r="K273" s="1">
        <v>9000</v>
      </c>
      <c r="L273" s="2">
        <v>45296</v>
      </c>
    </row>
    <row r="274" spans="1:12" x14ac:dyDescent="0.35">
      <c r="A274" s="1" t="s">
        <v>463</v>
      </c>
      <c r="B274" s="1" t="s">
        <v>464</v>
      </c>
      <c r="C274" s="1" t="s">
        <v>44</v>
      </c>
      <c r="D274" s="1" t="s">
        <v>45</v>
      </c>
      <c r="E274" s="1" t="s">
        <v>46</v>
      </c>
      <c r="F274" s="1" t="s">
        <v>17</v>
      </c>
      <c r="G274" s="1" t="s">
        <v>36</v>
      </c>
      <c r="H274" s="1">
        <v>12902</v>
      </c>
      <c r="I274" s="1" t="s">
        <v>19</v>
      </c>
      <c r="J274" s="1">
        <v>0.2</v>
      </c>
      <c r="K274" s="1">
        <v>13000</v>
      </c>
      <c r="L274" s="2">
        <v>45313</v>
      </c>
    </row>
    <row r="275" spans="1:12" x14ac:dyDescent="0.35">
      <c r="A275" s="1" t="s">
        <v>465</v>
      </c>
      <c r="B275" s="1" t="s">
        <v>373</v>
      </c>
      <c r="C275" s="1" t="s">
        <v>30</v>
      </c>
      <c r="D275" s="1" t="s">
        <v>31</v>
      </c>
      <c r="E275" s="1" t="s">
        <v>16</v>
      </c>
      <c r="F275" s="1" t="s">
        <v>17</v>
      </c>
      <c r="G275" s="1" t="s">
        <v>26</v>
      </c>
      <c r="H275" s="1">
        <v>18525</v>
      </c>
      <c r="I275" s="1" t="s">
        <v>33</v>
      </c>
      <c r="J275" s="1">
        <v>0.3</v>
      </c>
      <c r="K275" s="1">
        <v>17000</v>
      </c>
      <c r="L275" s="2">
        <v>45317</v>
      </c>
    </row>
    <row r="276" spans="1:12" x14ac:dyDescent="0.35">
      <c r="A276" s="1" t="s">
        <v>466</v>
      </c>
      <c r="B276" s="1" t="s">
        <v>135</v>
      </c>
      <c r="C276" s="1" t="s">
        <v>30</v>
      </c>
      <c r="D276" s="1" t="s">
        <v>31</v>
      </c>
      <c r="E276" s="1" t="s">
        <v>16</v>
      </c>
      <c r="F276" s="1" t="s">
        <v>39</v>
      </c>
      <c r="G276" s="1" t="s">
        <v>18</v>
      </c>
      <c r="H276" s="1">
        <v>16307</v>
      </c>
      <c r="I276" s="1" t="s">
        <v>19</v>
      </c>
      <c r="J276" s="1">
        <v>0.2</v>
      </c>
      <c r="K276" s="1">
        <v>17000</v>
      </c>
      <c r="L276" s="2">
        <v>45321</v>
      </c>
    </row>
    <row r="277" spans="1:12" x14ac:dyDescent="0.35">
      <c r="A277" s="1" t="s">
        <v>467</v>
      </c>
      <c r="B277" s="1" t="s">
        <v>263</v>
      </c>
      <c r="C277" s="1" t="s">
        <v>61</v>
      </c>
      <c r="D277" s="1" t="s">
        <v>62</v>
      </c>
      <c r="E277" s="1" t="s">
        <v>32</v>
      </c>
      <c r="F277" s="1" t="s">
        <v>25</v>
      </c>
      <c r="G277" s="1" t="s">
        <v>18</v>
      </c>
      <c r="H277" s="1">
        <v>7207</v>
      </c>
      <c r="I277" s="1" t="s">
        <v>33</v>
      </c>
      <c r="J277" s="1">
        <v>0.3</v>
      </c>
      <c r="K277" s="1">
        <v>9000</v>
      </c>
      <c r="L277" s="2">
        <v>45352</v>
      </c>
    </row>
    <row r="278" spans="1:12" x14ac:dyDescent="0.35">
      <c r="A278" s="1" t="s">
        <v>468</v>
      </c>
      <c r="B278" s="1" t="s">
        <v>309</v>
      </c>
      <c r="C278" s="1" t="s">
        <v>61</v>
      </c>
      <c r="D278" s="1" t="s">
        <v>62</v>
      </c>
      <c r="E278" s="1" t="s">
        <v>32</v>
      </c>
      <c r="F278" s="1" t="s">
        <v>25</v>
      </c>
      <c r="G278" s="1" t="s">
        <v>36</v>
      </c>
      <c r="H278" s="1">
        <v>10824</v>
      </c>
      <c r="I278" s="1" t="s">
        <v>27</v>
      </c>
      <c r="J278" s="1"/>
      <c r="K278" s="1">
        <v>9000</v>
      </c>
      <c r="L278" s="2">
        <v>45338</v>
      </c>
    </row>
    <row r="279" spans="1:12" x14ac:dyDescent="0.35">
      <c r="A279" s="1" t="s">
        <v>469</v>
      </c>
      <c r="B279" s="1" t="s">
        <v>408</v>
      </c>
      <c r="C279" s="1" t="s">
        <v>44</v>
      </c>
      <c r="D279" s="1" t="s">
        <v>45</v>
      </c>
      <c r="E279" s="1" t="s">
        <v>46</v>
      </c>
      <c r="F279" s="1" t="s">
        <v>39</v>
      </c>
      <c r="G279" s="1" t="s">
        <v>36</v>
      </c>
      <c r="H279" s="1">
        <v>13042</v>
      </c>
      <c r="I279" s="1" t="s">
        <v>33</v>
      </c>
      <c r="J279" s="1">
        <v>0.3</v>
      </c>
      <c r="K279" s="1">
        <v>13000</v>
      </c>
      <c r="L279" s="2">
        <v>45323</v>
      </c>
    </row>
    <row r="280" spans="1:12" x14ac:dyDescent="0.35">
      <c r="A280" s="1" t="s">
        <v>470</v>
      </c>
      <c r="B280" s="1" t="s">
        <v>76</v>
      </c>
      <c r="C280" s="1" t="s">
        <v>61</v>
      </c>
      <c r="D280" s="1" t="s">
        <v>62</v>
      </c>
      <c r="E280" s="1" t="s">
        <v>16</v>
      </c>
      <c r="F280" s="1" t="s">
        <v>17</v>
      </c>
      <c r="G280" s="1" t="s">
        <v>18</v>
      </c>
      <c r="H280" s="1">
        <v>7881</v>
      </c>
      <c r="I280" s="1" t="s">
        <v>27</v>
      </c>
      <c r="J280" s="1"/>
      <c r="K280" s="1">
        <v>9000</v>
      </c>
      <c r="L280" s="2">
        <v>45314</v>
      </c>
    </row>
    <row r="281" spans="1:12" x14ac:dyDescent="0.35">
      <c r="A281" s="1" t="s">
        <v>471</v>
      </c>
      <c r="B281" s="1" t="s">
        <v>161</v>
      </c>
      <c r="C281" s="1" t="s">
        <v>30</v>
      </c>
      <c r="D281" s="1" t="s">
        <v>31</v>
      </c>
      <c r="E281" s="1" t="s">
        <v>46</v>
      </c>
      <c r="F281" s="1" t="s">
        <v>39</v>
      </c>
      <c r="G281" s="1" t="s">
        <v>26</v>
      </c>
      <c r="H281" s="1">
        <v>17754</v>
      </c>
      <c r="I281" s="1"/>
      <c r="J281" s="1"/>
      <c r="K281" s="1">
        <v>17000</v>
      </c>
      <c r="L281" s="2">
        <v>45310</v>
      </c>
    </row>
    <row r="282" spans="1:12" x14ac:dyDescent="0.35">
      <c r="A282" s="1" t="s">
        <v>472</v>
      </c>
      <c r="B282" s="1" t="s">
        <v>184</v>
      </c>
      <c r="C282" s="1" t="s">
        <v>14</v>
      </c>
      <c r="D282" s="1" t="s">
        <v>15</v>
      </c>
      <c r="E282" s="1" t="s">
        <v>46</v>
      </c>
      <c r="F282" s="1" t="s">
        <v>25</v>
      </c>
      <c r="G282" s="1" t="s">
        <v>36</v>
      </c>
      <c r="H282" s="1">
        <v>14979</v>
      </c>
      <c r="I282" s="1" t="s">
        <v>33</v>
      </c>
      <c r="J282" s="1">
        <v>0.3</v>
      </c>
      <c r="K282" s="1">
        <v>14000</v>
      </c>
      <c r="L282" s="2">
        <v>45340</v>
      </c>
    </row>
    <row r="283" spans="1:12" x14ac:dyDescent="0.35">
      <c r="A283" s="1" t="s">
        <v>473</v>
      </c>
      <c r="B283" s="1" t="s">
        <v>474</v>
      </c>
      <c r="C283" s="1" t="s">
        <v>14</v>
      </c>
      <c r="D283" s="1" t="s">
        <v>15</v>
      </c>
      <c r="E283" s="1" t="s">
        <v>46</v>
      </c>
      <c r="F283" s="1" t="s">
        <v>25</v>
      </c>
      <c r="G283" s="1" t="s">
        <v>26</v>
      </c>
      <c r="H283" s="1">
        <v>14301</v>
      </c>
      <c r="I283" s="1" t="s">
        <v>19</v>
      </c>
      <c r="J283" s="1">
        <v>0.2</v>
      </c>
      <c r="K283" s="1">
        <v>14000</v>
      </c>
      <c r="L283" s="2">
        <v>45315</v>
      </c>
    </row>
    <row r="284" spans="1:12" x14ac:dyDescent="0.35">
      <c r="A284" s="1" t="s">
        <v>475</v>
      </c>
      <c r="B284" s="1" t="s">
        <v>448</v>
      </c>
      <c r="C284" s="1" t="s">
        <v>14</v>
      </c>
      <c r="D284" s="1" t="s">
        <v>15</v>
      </c>
      <c r="E284" s="1" t="s">
        <v>46</v>
      </c>
      <c r="F284" s="1" t="s">
        <v>39</v>
      </c>
      <c r="G284" s="1" t="s">
        <v>36</v>
      </c>
      <c r="H284" s="1">
        <v>15130</v>
      </c>
      <c r="I284" s="1" t="s">
        <v>27</v>
      </c>
      <c r="J284" s="1"/>
      <c r="K284" s="1">
        <v>14000</v>
      </c>
      <c r="L284" s="2">
        <v>45309</v>
      </c>
    </row>
    <row r="285" spans="1:12" x14ac:dyDescent="0.35">
      <c r="A285" s="1" t="s">
        <v>476</v>
      </c>
      <c r="B285" s="1" t="s">
        <v>460</v>
      </c>
      <c r="C285" s="1" t="s">
        <v>14</v>
      </c>
      <c r="D285" s="1" t="s">
        <v>15</v>
      </c>
      <c r="E285" s="1" t="s">
        <v>32</v>
      </c>
      <c r="F285" s="1" t="s">
        <v>25</v>
      </c>
      <c r="G285" s="1" t="s">
        <v>36</v>
      </c>
      <c r="H285" s="1">
        <v>13528</v>
      </c>
      <c r="I285" s="1" t="s">
        <v>33</v>
      </c>
      <c r="J285" s="1">
        <v>0.3</v>
      </c>
      <c r="K285" s="1">
        <v>14000</v>
      </c>
      <c r="L285" s="2">
        <v>45327</v>
      </c>
    </row>
    <row r="286" spans="1:12" x14ac:dyDescent="0.35">
      <c r="A286" s="1" t="s">
        <v>477</v>
      </c>
      <c r="B286" s="1" t="s">
        <v>478</v>
      </c>
      <c r="C286" s="1" t="s">
        <v>44</v>
      </c>
      <c r="D286" s="1" t="s">
        <v>45</v>
      </c>
      <c r="E286" s="1" t="s">
        <v>32</v>
      </c>
      <c r="F286" s="1" t="s">
        <v>39</v>
      </c>
      <c r="G286" s="1" t="s">
        <v>26</v>
      </c>
      <c r="H286" s="1">
        <v>12644</v>
      </c>
      <c r="I286" s="1" t="s">
        <v>27</v>
      </c>
      <c r="J286" s="1"/>
      <c r="K286" s="1">
        <v>13000</v>
      </c>
      <c r="L286" s="2">
        <v>45294</v>
      </c>
    </row>
    <row r="287" spans="1:12" x14ac:dyDescent="0.35">
      <c r="A287" s="1" t="s">
        <v>479</v>
      </c>
      <c r="B287" s="1" t="s">
        <v>161</v>
      </c>
      <c r="C287" s="1" t="s">
        <v>44</v>
      </c>
      <c r="D287" s="1" t="s">
        <v>45</v>
      </c>
      <c r="E287" s="1" t="s">
        <v>16</v>
      </c>
      <c r="F287" s="1" t="s">
        <v>17</v>
      </c>
      <c r="G287" s="1" t="s">
        <v>36</v>
      </c>
      <c r="H287" s="1">
        <v>13127</v>
      </c>
      <c r="I287" s="1"/>
      <c r="J287" s="1"/>
      <c r="K287" s="1">
        <v>13000</v>
      </c>
      <c r="L287" s="2">
        <v>45301</v>
      </c>
    </row>
    <row r="288" spans="1:12" x14ac:dyDescent="0.35">
      <c r="A288" s="1" t="s">
        <v>480</v>
      </c>
      <c r="B288" s="1" t="s">
        <v>86</v>
      </c>
      <c r="C288" s="1" t="s">
        <v>44</v>
      </c>
      <c r="D288" s="1" t="s">
        <v>45</v>
      </c>
      <c r="E288" s="1" t="s">
        <v>46</v>
      </c>
      <c r="F288" s="1" t="s">
        <v>39</v>
      </c>
      <c r="G288" s="1" t="s">
        <v>36</v>
      </c>
      <c r="H288" s="1">
        <v>11665</v>
      </c>
      <c r="I288" s="1"/>
      <c r="J288" s="1"/>
      <c r="K288" s="1">
        <v>13000</v>
      </c>
      <c r="L288" s="2">
        <v>45331</v>
      </c>
    </row>
    <row r="289" spans="1:12" x14ac:dyDescent="0.35">
      <c r="A289" s="1" t="s">
        <v>481</v>
      </c>
      <c r="B289" s="1" t="s">
        <v>371</v>
      </c>
      <c r="C289" s="1" t="s">
        <v>30</v>
      </c>
      <c r="D289" s="1" t="s">
        <v>31</v>
      </c>
      <c r="E289" s="1" t="s">
        <v>16</v>
      </c>
      <c r="F289" s="1" t="s">
        <v>17</v>
      </c>
      <c r="G289" s="1" t="s">
        <v>26</v>
      </c>
      <c r="H289" s="1">
        <v>18392</v>
      </c>
      <c r="I289" s="1" t="s">
        <v>27</v>
      </c>
      <c r="J289" s="1"/>
      <c r="K289" s="1">
        <v>17000</v>
      </c>
      <c r="L289" s="2">
        <v>45326</v>
      </c>
    </row>
    <row r="290" spans="1:12" x14ac:dyDescent="0.35">
      <c r="A290" s="1" t="s">
        <v>482</v>
      </c>
      <c r="B290" s="1" t="s">
        <v>483</v>
      </c>
      <c r="C290" s="1" t="s">
        <v>30</v>
      </c>
      <c r="D290" s="1" t="s">
        <v>31</v>
      </c>
      <c r="E290" s="1" t="s">
        <v>46</v>
      </c>
      <c r="F290" s="1" t="s">
        <v>25</v>
      </c>
      <c r="G290" s="1" t="s">
        <v>36</v>
      </c>
      <c r="H290" s="1">
        <v>16356</v>
      </c>
      <c r="I290" s="1" t="s">
        <v>22</v>
      </c>
      <c r="J290" s="1">
        <v>0.1</v>
      </c>
      <c r="K290" s="1">
        <v>17000</v>
      </c>
      <c r="L290" s="2">
        <v>45318</v>
      </c>
    </row>
    <row r="291" spans="1:12" x14ac:dyDescent="0.35">
      <c r="A291" s="1" t="s">
        <v>484</v>
      </c>
      <c r="B291" s="1" t="s">
        <v>291</v>
      </c>
      <c r="C291" s="1" t="s">
        <v>14</v>
      </c>
      <c r="D291" s="1" t="s">
        <v>15</v>
      </c>
      <c r="E291" s="1" t="s">
        <v>16</v>
      </c>
      <c r="F291" s="1" t="s">
        <v>17</v>
      </c>
      <c r="G291" s="1" t="s">
        <v>36</v>
      </c>
      <c r="H291" s="1">
        <v>15961</v>
      </c>
      <c r="I291" s="1" t="s">
        <v>27</v>
      </c>
      <c r="J291" s="1"/>
      <c r="K291" s="1">
        <v>14000</v>
      </c>
      <c r="L291" s="2">
        <v>45328</v>
      </c>
    </row>
    <row r="292" spans="1:12" x14ac:dyDescent="0.35">
      <c r="A292" s="1" t="s">
        <v>485</v>
      </c>
      <c r="B292" s="1" t="s">
        <v>220</v>
      </c>
      <c r="C292" s="1" t="s">
        <v>14</v>
      </c>
      <c r="D292" s="1" t="s">
        <v>15</v>
      </c>
      <c r="E292" s="1" t="s">
        <v>16</v>
      </c>
      <c r="F292" s="1" t="s">
        <v>17</v>
      </c>
      <c r="G292" s="1" t="s">
        <v>18</v>
      </c>
      <c r="H292" s="1">
        <v>14147</v>
      </c>
      <c r="I292" s="1" t="s">
        <v>27</v>
      </c>
      <c r="J292" s="1"/>
      <c r="K292" s="1">
        <v>14000</v>
      </c>
      <c r="L292" s="2">
        <v>45341</v>
      </c>
    </row>
    <row r="293" spans="1:12" x14ac:dyDescent="0.35">
      <c r="A293" s="1" t="s">
        <v>486</v>
      </c>
      <c r="B293" s="1" t="s">
        <v>487</v>
      </c>
      <c r="C293" s="1" t="s">
        <v>44</v>
      </c>
      <c r="D293" s="1" t="s">
        <v>45</v>
      </c>
      <c r="E293" s="1" t="s">
        <v>16</v>
      </c>
      <c r="F293" s="1" t="s">
        <v>25</v>
      </c>
      <c r="G293" s="1" t="s">
        <v>18</v>
      </c>
      <c r="H293" s="1">
        <v>13345</v>
      </c>
      <c r="I293" s="1" t="s">
        <v>22</v>
      </c>
      <c r="J293" s="1">
        <v>0.1</v>
      </c>
      <c r="K293" s="1">
        <v>13000</v>
      </c>
      <c r="L293" s="2">
        <v>45304</v>
      </c>
    </row>
    <row r="294" spans="1:12" x14ac:dyDescent="0.35">
      <c r="A294" s="1" t="s">
        <v>488</v>
      </c>
      <c r="B294" s="1" t="s">
        <v>489</v>
      </c>
      <c r="C294" s="1" t="s">
        <v>30</v>
      </c>
      <c r="D294" s="1" t="s">
        <v>31</v>
      </c>
      <c r="E294" s="1" t="s">
        <v>46</v>
      </c>
      <c r="F294" s="1" t="s">
        <v>25</v>
      </c>
      <c r="G294" s="1" t="s">
        <v>36</v>
      </c>
      <c r="H294" s="1">
        <v>17828</v>
      </c>
      <c r="I294" s="1" t="s">
        <v>19</v>
      </c>
      <c r="J294" s="1">
        <v>0.2</v>
      </c>
      <c r="K294" s="1">
        <v>17000</v>
      </c>
      <c r="L294" s="2">
        <v>45318</v>
      </c>
    </row>
    <row r="295" spans="1:12" x14ac:dyDescent="0.35">
      <c r="A295" s="1" t="s">
        <v>490</v>
      </c>
      <c r="B295" s="1" t="s">
        <v>82</v>
      </c>
      <c r="C295" s="1" t="s">
        <v>61</v>
      </c>
      <c r="D295" s="1" t="s">
        <v>62</v>
      </c>
      <c r="E295" s="1" t="s">
        <v>16</v>
      </c>
      <c r="F295" s="1" t="s">
        <v>39</v>
      </c>
      <c r="G295" s="1" t="s">
        <v>18</v>
      </c>
      <c r="H295" s="1">
        <v>9890</v>
      </c>
      <c r="I295" s="1" t="s">
        <v>19</v>
      </c>
      <c r="J295" s="1">
        <v>0.2</v>
      </c>
      <c r="K295" s="1">
        <v>9000</v>
      </c>
      <c r="L295" s="2">
        <v>45325</v>
      </c>
    </row>
    <row r="296" spans="1:12" x14ac:dyDescent="0.35">
      <c r="A296" s="1" t="s">
        <v>491</v>
      </c>
      <c r="B296" s="1" t="s">
        <v>24</v>
      </c>
      <c r="C296" s="1" t="s">
        <v>30</v>
      </c>
      <c r="D296" s="1" t="s">
        <v>31</v>
      </c>
      <c r="E296" s="1" t="s">
        <v>16</v>
      </c>
      <c r="F296" s="1" t="s">
        <v>17</v>
      </c>
      <c r="G296" s="1" t="s">
        <v>26</v>
      </c>
      <c r="H296" s="1">
        <v>16543</v>
      </c>
      <c r="I296" s="1" t="s">
        <v>33</v>
      </c>
      <c r="J296" s="1">
        <v>0.3</v>
      </c>
      <c r="K296" s="1">
        <v>17000</v>
      </c>
      <c r="L296" s="2">
        <v>45303</v>
      </c>
    </row>
    <row r="297" spans="1:12" x14ac:dyDescent="0.35">
      <c r="A297" s="1" t="s">
        <v>492</v>
      </c>
      <c r="B297" s="1" t="s">
        <v>330</v>
      </c>
      <c r="C297" s="1" t="s">
        <v>30</v>
      </c>
      <c r="D297" s="1" t="s">
        <v>31</v>
      </c>
      <c r="E297" s="1" t="s">
        <v>16</v>
      </c>
      <c r="F297" s="1" t="s">
        <v>17</v>
      </c>
      <c r="G297" s="1" t="s">
        <v>26</v>
      </c>
      <c r="H297" s="1">
        <v>18162</v>
      </c>
      <c r="I297" s="1" t="s">
        <v>33</v>
      </c>
      <c r="J297" s="1">
        <v>0.3</v>
      </c>
      <c r="K297" s="1">
        <v>17000</v>
      </c>
      <c r="L297" s="2">
        <v>45331</v>
      </c>
    </row>
    <row r="298" spans="1:12" x14ac:dyDescent="0.35">
      <c r="A298" s="1" t="s">
        <v>493</v>
      </c>
      <c r="B298" s="1" t="s">
        <v>211</v>
      </c>
      <c r="C298" s="1" t="s">
        <v>44</v>
      </c>
      <c r="D298" s="1" t="s">
        <v>45</v>
      </c>
      <c r="E298" s="1" t="s">
        <v>46</v>
      </c>
      <c r="F298" s="1" t="s">
        <v>39</v>
      </c>
      <c r="G298" s="1" t="s">
        <v>36</v>
      </c>
      <c r="H298" s="1">
        <v>11921</v>
      </c>
      <c r="I298" s="1" t="s">
        <v>33</v>
      </c>
      <c r="J298" s="1">
        <v>0.3</v>
      </c>
      <c r="K298" s="1">
        <v>13000</v>
      </c>
      <c r="L298" s="2">
        <v>45341</v>
      </c>
    </row>
    <row r="299" spans="1:12" x14ac:dyDescent="0.35">
      <c r="A299" s="1" t="s">
        <v>494</v>
      </c>
      <c r="B299" s="1" t="s">
        <v>350</v>
      </c>
      <c r="C299" s="1" t="s">
        <v>44</v>
      </c>
      <c r="D299" s="1" t="s">
        <v>45</v>
      </c>
      <c r="E299" s="1" t="s">
        <v>16</v>
      </c>
      <c r="F299" s="1" t="s">
        <v>39</v>
      </c>
      <c r="G299" s="1" t="s">
        <v>36</v>
      </c>
      <c r="H299" s="1">
        <v>12298</v>
      </c>
      <c r="I299" s="1"/>
      <c r="J299" s="1"/>
      <c r="K299" s="1">
        <v>13000</v>
      </c>
      <c r="L299" s="2">
        <v>45314</v>
      </c>
    </row>
    <row r="300" spans="1:12" x14ac:dyDescent="0.35">
      <c r="A300" s="1" t="s">
        <v>495</v>
      </c>
      <c r="B300" s="1" t="s">
        <v>82</v>
      </c>
      <c r="C300" s="1" t="s">
        <v>30</v>
      </c>
      <c r="D300" s="1" t="s">
        <v>31</v>
      </c>
      <c r="E300" s="1" t="s">
        <v>46</v>
      </c>
      <c r="F300" s="1" t="s">
        <v>25</v>
      </c>
      <c r="G300" s="1" t="s">
        <v>26</v>
      </c>
      <c r="H300" s="1">
        <v>17771</v>
      </c>
      <c r="I300" s="1" t="s">
        <v>27</v>
      </c>
      <c r="J300" s="1"/>
      <c r="K300" s="1">
        <v>17000</v>
      </c>
      <c r="L300" s="2">
        <v>45316</v>
      </c>
    </row>
    <row r="301" spans="1:12" x14ac:dyDescent="0.35">
      <c r="A301" s="1" t="s">
        <v>496</v>
      </c>
      <c r="B301" s="1" t="s">
        <v>137</v>
      </c>
      <c r="C301" s="1" t="s">
        <v>30</v>
      </c>
      <c r="D301" s="1" t="s">
        <v>31</v>
      </c>
      <c r="E301" s="1" t="s">
        <v>32</v>
      </c>
      <c r="F301" s="1" t="s">
        <v>17</v>
      </c>
      <c r="G301" s="1" t="s">
        <v>18</v>
      </c>
      <c r="H301" s="1">
        <v>16178</v>
      </c>
      <c r="I301" s="1" t="s">
        <v>22</v>
      </c>
      <c r="J301" s="1">
        <v>0.1</v>
      </c>
      <c r="K301" s="1">
        <v>17000</v>
      </c>
      <c r="L301" s="2">
        <v>45314</v>
      </c>
    </row>
    <row r="302" spans="1:12" x14ac:dyDescent="0.35">
      <c r="A302" s="1" t="s">
        <v>497</v>
      </c>
      <c r="B302" s="1" t="s">
        <v>445</v>
      </c>
      <c r="C302" s="1" t="s">
        <v>30</v>
      </c>
      <c r="D302" s="1" t="s">
        <v>31</v>
      </c>
      <c r="E302" s="1" t="s">
        <v>16</v>
      </c>
      <c r="F302" s="1" t="s">
        <v>17</v>
      </c>
      <c r="G302" s="1" t="s">
        <v>18</v>
      </c>
      <c r="H302" s="1">
        <v>15827</v>
      </c>
      <c r="I302" s="1" t="s">
        <v>27</v>
      </c>
      <c r="J302" s="1"/>
      <c r="K302" s="1">
        <v>17000</v>
      </c>
      <c r="L302" s="2">
        <v>45309</v>
      </c>
    </row>
    <row r="303" spans="1:12" x14ac:dyDescent="0.35">
      <c r="A303" s="1" t="s">
        <v>498</v>
      </c>
      <c r="B303" s="1" t="s">
        <v>84</v>
      </c>
      <c r="C303" s="1" t="s">
        <v>30</v>
      </c>
      <c r="D303" s="1" t="s">
        <v>31</v>
      </c>
      <c r="E303" s="1" t="s">
        <v>32</v>
      </c>
      <c r="F303" s="1" t="s">
        <v>25</v>
      </c>
      <c r="G303" s="1" t="s">
        <v>26</v>
      </c>
      <c r="H303" s="1">
        <v>18034</v>
      </c>
      <c r="I303" s="1" t="s">
        <v>27</v>
      </c>
      <c r="J303" s="1"/>
      <c r="K303" s="1">
        <v>17000</v>
      </c>
      <c r="L303" s="2">
        <v>45307</v>
      </c>
    </row>
    <row r="304" spans="1:12" x14ac:dyDescent="0.35">
      <c r="A304" s="1" t="s">
        <v>499</v>
      </c>
      <c r="B304" s="1" t="s">
        <v>500</v>
      </c>
      <c r="C304" s="1" t="s">
        <v>44</v>
      </c>
      <c r="D304" s="1" t="s">
        <v>45</v>
      </c>
      <c r="E304" s="1" t="s">
        <v>16</v>
      </c>
      <c r="F304" s="1" t="s">
        <v>25</v>
      </c>
      <c r="G304" s="1" t="s">
        <v>18</v>
      </c>
      <c r="H304" s="1">
        <v>11410</v>
      </c>
      <c r="I304" s="1"/>
      <c r="J304" s="1"/>
      <c r="K304" s="1">
        <v>13000</v>
      </c>
      <c r="L304" s="2">
        <v>45313</v>
      </c>
    </row>
    <row r="305" spans="1:12" x14ac:dyDescent="0.35">
      <c r="A305" s="1" t="s">
        <v>501</v>
      </c>
      <c r="B305" s="1" t="s">
        <v>334</v>
      </c>
      <c r="C305" s="1" t="s">
        <v>14</v>
      </c>
      <c r="D305" s="1" t="s">
        <v>15</v>
      </c>
      <c r="E305" s="1" t="s">
        <v>16</v>
      </c>
      <c r="F305" s="1" t="s">
        <v>25</v>
      </c>
      <c r="G305" s="1" t="s">
        <v>18</v>
      </c>
      <c r="H305" s="1">
        <v>15950</v>
      </c>
      <c r="I305" s="1" t="s">
        <v>27</v>
      </c>
      <c r="J305" s="1"/>
      <c r="K305" s="1">
        <v>14000</v>
      </c>
      <c r="L305" s="2">
        <v>45351</v>
      </c>
    </row>
    <row r="306" spans="1:12" x14ac:dyDescent="0.35">
      <c r="A306" s="1" t="s">
        <v>502</v>
      </c>
      <c r="B306" s="1" t="s">
        <v>363</v>
      </c>
      <c r="C306" s="1" t="s">
        <v>61</v>
      </c>
      <c r="D306" s="1" t="s">
        <v>62</v>
      </c>
      <c r="E306" s="1" t="s">
        <v>46</v>
      </c>
      <c r="F306" s="1" t="s">
        <v>39</v>
      </c>
      <c r="G306" s="1" t="s">
        <v>18</v>
      </c>
      <c r="H306" s="1">
        <v>10096</v>
      </c>
      <c r="I306" s="1" t="s">
        <v>33</v>
      </c>
      <c r="J306" s="1">
        <v>0.3</v>
      </c>
      <c r="K306" s="1">
        <v>9000</v>
      </c>
      <c r="L306" s="2">
        <v>45312</v>
      </c>
    </row>
    <row r="307" spans="1:12" x14ac:dyDescent="0.35">
      <c r="A307" s="1" t="s">
        <v>503</v>
      </c>
      <c r="B307" s="1" t="s">
        <v>286</v>
      </c>
      <c r="C307" s="1" t="s">
        <v>14</v>
      </c>
      <c r="D307" s="1" t="s">
        <v>15</v>
      </c>
      <c r="E307" s="1" t="s">
        <v>32</v>
      </c>
      <c r="F307" s="1" t="s">
        <v>39</v>
      </c>
      <c r="G307" s="1" t="s">
        <v>26</v>
      </c>
      <c r="H307" s="1">
        <v>12951</v>
      </c>
      <c r="I307" s="1" t="s">
        <v>27</v>
      </c>
      <c r="J307" s="1"/>
      <c r="K307" s="1">
        <v>14000</v>
      </c>
      <c r="L307" s="2">
        <v>45339</v>
      </c>
    </row>
    <row r="308" spans="1:12" x14ac:dyDescent="0.35">
      <c r="A308" s="1" t="s">
        <v>504</v>
      </c>
      <c r="B308" s="1" t="s">
        <v>371</v>
      </c>
      <c r="C308" s="1" t="s">
        <v>14</v>
      </c>
      <c r="D308" s="1" t="s">
        <v>15</v>
      </c>
      <c r="E308" s="1" t="s">
        <v>32</v>
      </c>
      <c r="F308" s="1" t="s">
        <v>17</v>
      </c>
      <c r="G308" s="1" t="s">
        <v>18</v>
      </c>
      <c r="H308" s="1">
        <v>15825</v>
      </c>
      <c r="I308" s="1" t="s">
        <v>22</v>
      </c>
      <c r="J308" s="1">
        <v>0.1</v>
      </c>
      <c r="K308" s="1">
        <v>14000</v>
      </c>
      <c r="L308" s="2">
        <v>45345</v>
      </c>
    </row>
    <row r="309" spans="1:12" x14ac:dyDescent="0.35">
      <c r="A309" s="1" t="s">
        <v>505</v>
      </c>
      <c r="B309" s="1" t="s">
        <v>155</v>
      </c>
      <c r="C309" s="1" t="s">
        <v>61</v>
      </c>
      <c r="D309" s="1" t="s">
        <v>62</v>
      </c>
      <c r="E309" s="1" t="s">
        <v>32</v>
      </c>
      <c r="F309" s="1" t="s">
        <v>39</v>
      </c>
      <c r="G309" s="1" t="s">
        <v>36</v>
      </c>
      <c r="H309" s="1">
        <v>10591</v>
      </c>
      <c r="I309" s="1" t="s">
        <v>22</v>
      </c>
      <c r="J309" s="1">
        <v>0.1</v>
      </c>
      <c r="K309" s="1">
        <v>9000</v>
      </c>
      <c r="L309" s="2">
        <v>45292</v>
      </c>
    </row>
    <row r="310" spans="1:12" x14ac:dyDescent="0.35">
      <c r="A310" s="1" t="s">
        <v>506</v>
      </c>
      <c r="B310" s="1" t="s">
        <v>118</v>
      </c>
      <c r="C310" s="1" t="s">
        <v>14</v>
      </c>
      <c r="D310" s="1" t="s">
        <v>15</v>
      </c>
      <c r="E310" s="1" t="s">
        <v>46</v>
      </c>
      <c r="F310" s="1" t="s">
        <v>17</v>
      </c>
      <c r="G310" s="1" t="s">
        <v>36</v>
      </c>
      <c r="H310" s="1">
        <v>14626</v>
      </c>
      <c r="I310" s="1" t="s">
        <v>27</v>
      </c>
      <c r="J310" s="1"/>
      <c r="K310" s="1">
        <v>14000</v>
      </c>
      <c r="L310" s="2">
        <v>45325</v>
      </c>
    </row>
    <row r="311" spans="1:12" x14ac:dyDescent="0.35">
      <c r="A311" s="1" t="s">
        <v>507</v>
      </c>
      <c r="B311" s="1" t="s">
        <v>508</v>
      </c>
      <c r="C311" s="1" t="s">
        <v>61</v>
      </c>
      <c r="D311" s="1" t="s">
        <v>62</v>
      </c>
      <c r="E311" s="1" t="s">
        <v>46</v>
      </c>
      <c r="F311" s="1" t="s">
        <v>25</v>
      </c>
      <c r="G311" s="1" t="s">
        <v>18</v>
      </c>
      <c r="H311" s="1">
        <v>8354</v>
      </c>
      <c r="I311" s="1" t="s">
        <v>19</v>
      </c>
      <c r="J311" s="1">
        <v>0.2</v>
      </c>
      <c r="K311" s="1">
        <v>9000</v>
      </c>
      <c r="L311" s="2">
        <v>45338</v>
      </c>
    </row>
    <row r="312" spans="1:12" x14ac:dyDescent="0.35">
      <c r="A312" s="1" t="s">
        <v>509</v>
      </c>
      <c r="B312" s="1" t="s">
        <v>332</v>
      </c>
      <c r="C312" s="1" t="s">
        <v>30</v>
      </c>
      <c r="D312" s="1" t="s">
        <v>31</v>
      </c>
      <c r="E312" s="1" t="s">
        <v>16</v>
      </c>
      <c r="F312" s="1" t="s">
        <v>25</v>
      </c>
      <c r="G312" s="1" t="s">
        <v>18</v>
      </c>
      <c r="H312" s="1">
        <v>18017</v>
      </c>
      <c r="I312" s="1" t="s">
        <v>33</v>
      </c>
      <c r="J312" s="1">
        <v>0.3</v>
      </c>
      <c r="K312" s="1">
        <v>17000</v>
      </c>
      <c r="L312" s="2">
        <v>45342</v>
      </c>
    </row>
    <row r="313" spans="1:12" x14ac:dyDescent="0.35">
      <c r="A313" s="1" t="s">
        <v>510</v>
      </c>
      <c r="B313" s="1" t="s">
        <v>118</v>
      </c>
      <c r="C313" s="1" t="s">
        <v>44</v>
      </c>
      <c r="D313" s="1" t="s">
        <v>45</v>
      </c>
      <c r="E313" s="1" t="s">
        <v>32</v>
      </c>
      <c r="F313" s="1" t="s">
        <v>39</v>
      </c>
      <c r="G313" s="1" t="s">
        <v>26</v>
      </c>
      <c r="H313" s="1">
        <v>14674</v>
      </c>
      <c r="I313" s="1"/>
      <c r="J313" s="1"/>
      <c r="K313" s="1">
        <v>13000</v>
      </c>
      <c r="L313" s="2">
        <v>45344</v>
      </c>
    </row>
    <row r="314" spans="1:12" x14ac:dyDescent="0.35">
      <c r="A314" s="1" t="s">
        <v>511</v>
      </c>
      <c r="B314" s="1" t="s">
        <v>512</v>
      </c>
      <c r="C314" s="1" t="s">
        <v>30</v>
      </c>
      <c r="D314" s="1" t="s">
        <v>31</v>
      </c>
      <c r="E314" s="1" t="s">
        <v>32</v>
      </c>
      <c r="F314" s="1" t="s">
        <v>17</v>
      </c>
      <c r="G314" s="1" t="s">
        <v>26</v>
      </c>
      <c r="H314" s="1">
        <v>15390</v>
      </c>
      <c r="I314" s="1" t="s">
        <v>19</v>
      </c>
      <c r="J314" s="1">
        <v>0.2</v>
      </c>
      <c r="K314" s="1">
        <v>17000</v>
      </c>
      <c r="L314" s="2">
        <v>45300</v>
      </c>
    </row>
    <row r="315" spans="1:12" x14ac:dyDescent="0.35">
      <c r="A315" s="1" t="s">
        <v>513</v>
      </c>
      <c r="B315" s="1" t="s">
        <v>188</v>
      </c>
      <c r="C315" s="1" t="s">
        <v>44</v>
      </c>
      <c r="D315" s="1" t="s">
        <v>45</v>
      </c>
      <c r="E315" s="1" t="s">
        <v>32</v>
      </c>
      <c r="F315" s="1" t="s">
        <v>17</v>
      </c>
      <c r="G315" s="1" t="s">
        <v>36</v>
      </c>
      <c r="H315" s="1">
        <v>11964</v>
      </c>
      <c r="I315" s="1"/>
      <c r="J315" s="1"/>
      <c r="K315" s="1">
        <v>13000</v>
      </c>
      <c r="L315" s="2">
        <v>45340</v>
      </c>
    </row>
    <row r="316" spans="1:12" x14ac:dyDescent="0.35">
      <c r="A316" s="1" t="s">
        <v>514</v>
      </c>
      <c r="B316" s="1" t="s">
        <v>131</v>
      </c>
      <c r="C316" s="1" t="s">
        <v>30</v>
      </c>
      <c r="D316" s="1" t="s">
        <v>31</v>
      </c>
      <c r="E316" s="1" t="s">
        <v>16</v>
      </c>
      <c r="F316" s="1" t="s">
        <v>39</v>
      </c>
      <c r="G316" s="1" t="s">
        <v>26</v>
      </c>
      <c r="H316" s="1">
        <v>15046</v>
      </c>
      <c r="I316" s="1" t="s">
        <v>33</v>
      </c>
      <c r="J316" s="1">
        <v>0.3</v>
      </c>
      <c r="K316" s="1">
        <v>17000</v>
      </c>
      <c r="L316" s="2">
        <v>45333</v>
      </c>
    </row>
    <row r="317" spans="1:12" x14ac:dyDescent="0.35">
      <c r="A317" s="1" t="s">
        <v>515</v>
      </c>
      <c r="B317" s="1" t="s">
        <v>516</v>
      </c>
      <c r="C317" s="1" t="s">
        <v>44</v>
      </c>
      <c r="D317" s="1" t="s">
        <v>45</v>
      </c>
      <c r="E317" s="1" t="s">
        <v>32</v>
      </c>
      <c r="F317" s="1" t="s">
        <v>39</v>
      </c>
      <c r="G317" s="1" t="s">
        <v>18</v>
      </c>
      <c r="H317" s="1">
        <v>12906</v>
      </c>
      <c r="I317" s="1" t="s">
        <v>33</v>
      </c>
      <c r="J317" s="1">
        <v>0.3</v>
      </c>
      <c r="K317" s="1">
        <v>13000</v>
      </c>
      <c r="L317" s="2">
        <v>45302</v>
      </c>
    </row>
    <row r="318" spans="1:12" x14ac:dyDescent="0.35">
      <c r="A318" s="1" t="s">
        <v>517</v>
      </c>
      <c r="B318" s="1" t="s">
        <v>274</v>
      </c>
      <c r="C318" s="1" t="s">
        <v>30</v>
      </c>
      <c r="D318" s="1" t="s">
        <v>31</v>
      </c>
      <c r="E318" s="1" t="s">
        <v>16</v>
      </c>
      <c r="F318" s="1" t="s">
        <v>25</v>
      </c>
      <c r="G318" s="1" t="s">
        <v>26</v>
      </c>
      <c r="H318" s="1">
        <v>18752</v>
      </c>
      <c r="I318" s="1" t="s">
        <v>33</v>
      </c>
      <c r="J318" s="1">
        <v>0.3</v>
      </c>
      <c r="K318" s="1">
        <v>17000</v>
      </c>
      <c r="L318" s="2">
        <v>45315</v>
      </c>
    </row>
    <row r="319" spans="1:12" x14ac:dyDescent="0.35">
      <c r="A319" s="1" t="s">
        <v>518</v>
      </c>
      <c r="B319" s="1" t="s">
        <v>519</v>
      </c>
      <c r="C319" s="1" t="s">
        <v>44</v>
      </c>
      <c r="D319" s="1" t="s">
        <v>45</v>
      </c>
      <c r="E319" s="1" t="s">
        <v>32</v>
      </c>
      <c r="F319" s="1" t="s">
        <v>17</v>
      </c>
      <c r="G319" s="1" t="s">
        <v>18</v>
      </c>
      <c r="H319" s="1">
        <v>12863</v>
      </c>
      <c r="I319" s="1" t="s">
        <v>27</v>
      </c>
      <c r="J319" s="1"/>
      <c r="K319" s="1">
        <v>13000</v>
      </c>
      <c r="L319" s="2">
        <v>45315</v>
      </c>
    </row>
    <row r="320" spans="1:12" x14ac:dyDescent="0.35">
      <c r="A320" s="1" t="s">
        <v>520</v>
      </c>
      <c r="B320" s="1" t="s">
        <v>101</v>
      </c>
      <c r="C320" s="1" t="s">
        <v>61</v>
      </c>
      <c r="D320" s="1" t="s">
        <v>62</v>
      </c>
      <c r="E320" s="1" t="s">
        <v>16</v>
      </c>
      <c r="F320" s="1" t="s">
        <v>39</v>
      </c>
      <c r="G320" s="1" t="s">
        <v>18</v>
      </c>
      <c r="H320" s="1">
        <v>10120</v>
      </c>
      <c r="I320" s="1" t="s">
        <v>19</v>
      </c>
      <c r="J320" s="1">
        <v>0.2</v>
      </c>
      <c r="K320" s="1">
        <v>9000</v>
      </c>
      <c r="L320" s="2">
        <v>45335</v>
      </c>
    </row>
    <row r="321" spans="1:12" x14ac:dyDescent="0.35">
      <c r="A321" s="1" t="s">
        <v>521</v>
      </c>
      <c r="B321" s="1" t="s">
        <v>522</v>
      </c>
      <c r="C321" s="1" t="s">
        <v>14</v>
      </c>
      <c r="D321" s="1" t="s">
        <v>15</v>
      </c>
      <c r="E321" s="1" t="s">
        <v>16</v>
      </c>
      <c r="F321" s="1" t="s">
        <v>17</v>
      </c>
      <c r="G321" s="1" t="s">
        <v>26</v>
      </c>
      <c r="H321" s="1">
        <v>14882</v>
      </c>
      <c r="I321" s="1" t="s">
        <v>33</v>
      </c>
      <c r="J321" s="1">
        <v>0.3</v>
      </c>
      <c r="K321" s="1">
        <v>14000</v>
      </c>
      <c r="L321" s="2">
        <v>45296</v>
      </c>
    </row>
    <row r="322" spans="1:12" x14ac:dyDescent="0.35">
      <c r="A322" s="1" t="s">
        <v>523</v>
      </c>
      <c r="B322" s="1" t="s">
        <v>60</v>
      </c>
      <c r="C322" s="1" t="s">
        <v>14</v>
      </c>
      <c r="D322" s="1" t="s">
        <v>15</v>
      </c>
      <c r="E322" s="1" t="s">
        <v>32</v>
      </c>
      <c r="F322" s="1" t="s">
        <v>39</v>
      </c>
      <c r="G322" s="1" t="s">
        <v>26</v>
      </c>
      <c r="H322" s="1">
        <v>12828</v>
      </c>
      <c r="I322" s="1" t="s">
        <v>27</v>
      </c>
      <c r="J322" s="1"/>
      <c r="K322" s="1">
        <v>14000</v>
      </c>
      <c r="L322" s="2">
        <v>45326</v>
      </c>
    </row>
    <row r="323" spans="1:12" x14ac:dyDescent="0.35">
      <c r="A323" s="1" t="s">
        <v>524</v>
      </c>
      <c r="B323" s="1" t="s">
        <v>175</v>
      </c>
      <c r="C323" s="1" t="s">
        <v>30</v>
      </c>
      <c r="D323" s="1" t="s">
        <v>31</v>
      </c>
      <c r="E323" s="1" t="s">
        <v>16</v>
      </c>
      <c r="F323" s="1" t="s">
        <v>17</v>
      </c>
      <c r="G323" s="1" t="s">
        <v>18</v>
      </c>
      <c r="H323" s="1">
        <v>17786</v>
      </c>
      <c r="I323" s="1" t="s">
        <v>19</v>
      </c>
      <c r="J323" s="1">
        <v>0.2</v>
      </c>
      <c r="K323" s="1">
        <v>17000</v>
      </c>
      <c r="L323" s="2">
        <v>45337</v>
      </c>
    </row>
    <row r="324" spans="1:12" x14ac:dyDescent="0.35">
      <c r="A324" s="1" t="s">
        <v>525</v>
      </c>
      <c r="B324" s="1" t="s">
        <v>356</v>
      </c>
      <c r="C324" s="1" t="s">
        <v>14</v>
      </c>
      <c r="D324" s="1" t="s">
        <v>15</v>
      </c>
      <c r="E324" s="1" t="s">
        <v>16</v>
      </c>
      <c r="F324" s="1" t="s">
        <v>17</v>
      </c>
      <c r="G324" s="1" t="s">
        <v>18</v>
      </c>
      <c r="H324" s="1">
        <v>13857</v>
      </c>
      <c r="I324" s="1" t="s">
        <v>19</v>
      </c>
      <c r="J324" s="1">
        <v>0.2</v>
      </c>
      <c r="K324" s="1">
        <v>14000</v>
      </c>
      <c r="L324" s="2">
        <v>45324</v>
      </c>
    </row>
    <row r="325" spans="1:12" x14ac:dyDescent="0.35">
      <c r="A325" s="1" t="s">
        <v>526</v>
      </c>
      <c r="B325" s="1" t="s">
        <v>527</v>
      </c>
      <c r="C325" s="1" t="s">
        <v>14</v>
      </c>
      <c r="D325" s="1" t="s">
        <v>15</v>
      </c>
      <c r="E325" s="1" t="s">
        <v>16</v>
      </c>
      <c r="F325" s="1" t="s">
        <v>17</v>
      </c>
      <c r="G325" s="1" t="s">
        <v>26</v>
      </c>
      <c r="H325" s="1">
        <v>15305</v>
      </c>
      <c r="I325" s="1" t="s">
        <v>33</v>
      </c>
      <c r="J325" s="1">
        <v>0.3</v>
      </c>
      <c r="K325" s="1">
        <v>14000</v>
      </c>
      <c r="L325" s="2">
        <v>45338</v>
      </c>
    </row>
    <row r="326" spans="1:12" x14ac:dyDescent="0.35">
      <c r="A326" s="1" t="s">
        <v>528</v>
      </c>
      <c r="B326" s="1" t="s">
        <v>406</v>
      </c>
      <c r="C326" s="1" t="s">
        <v>30</v>
      </c>
      <c r="D326" s="1" t="s">
        <v>31</v>
      </c>
      <c r="E326" s="1" t="s">
        <v>32</v>
      </c>
      <c r="F326" s="1" t="s">
        <v>39</v>
      </c>
      <c r="G326" s="1" t="s">
        <v>18</v>
      </c>
      <c r="H326" s="1">
        <v>17368</v>
      </c>
      <c r="I326" s="1" t="s">
        <v>22</v>
      </c>
      <c r="J326" s="1">
        <v>0.1</v>
      </c>
      <c r="K326" s="1">
        <v>17000</v>
      </c>
      <c r="L326" s="2">
        <v>45294</v>
      </c>
    </row>
    <row r="327" spans="1:12" x14ac:dyDescent="0.35">
      <c r="A327" s="1" t="s">
        <v>529</v>
      </c>
      <c r="B327" s="1" t="s">
        <v>474</v>
      </c>
      <c r="C327" s="1" t="s">
        <v>14</v>
      </c>
      <c r="D327" s="1" t="s">
        <v>15</v>
      </c>
      <c r="E327" s="1" t="s">
        <v>16</v>
      </c>
      <c r="F327" s="1" t="s">
        <v>25</v>
      </c>
      <c r="G327" s="1" t="s">
        <v>18</v>
      </c>
      <c r="H327" s="1">
        <v>15824</v>
      </c>
      <c r="I327" s="1"/>
      <c r="J327" s="1"/>
      <c r="K327" s="1">
        <v>14000</v>
      </c>
      <c r="L327" s="2">
        <v>45294</v>
      </c>
    </row>
    <row r="328" spans="1:12" x14ac:dyDescent="0.35">
      <c r="A328" s="1" t="s">
        <v>530</v>
      </c>
      <c r="B328" s="1" t="s">
        <v>70</v>
      </c>
      <c r="C328" s="1" t="s">
        <v>44</v>
      </c>
      <c r="D328" s="1" t="s">
        <v>45</v>
      </c>
      <c r="E328" s="1" t="s">
        <v>32</v>
      </c>
      <c r="F328" s="1" t="s">
        <v>39</v>
      </c>
      <c r="G328" s="1" t="s">
        <v>26</v>
      </c>
      <c r="H328" s="1">
        <v>13645</v>
      </c>
      <c r="I328" s="1"/>
      <c r="J328" s="1"/>
      <c r="K328" s="1">
        <v>13000</v>
      </c>
      <c r="L328" s="2">
        <v>45315</v>
      </c>
    </row>
    <row r="329" spans="1:12" x14ac:dyDescent="0.35">
      <c r="A329" s="1" t="s">
        <v>531</v>
      </c>
      <c r="B329" s="1" t="s">
        <v>137</v>
      </c>
      <c r="C329" s="1" t="s">
        <v>61</v>
      </c>
      <c r="D329" s="1" t="s">
        <v>62</v>
      </c>
      <c r="E329" s="1" t="s">
        <v>46</v>
      </c>
      <c r="F329" s="1" t="s">
        <v>17</v>
      </c>
      <c r="G329" s="1" t="s">
        <v>18</v>
      </c>
      <c r="H329" s="1">
        <v>9796</v>
      </c>
      <c r="I329" s="1" t="s">
        <v>27</v>
      </c>
      <c r="J329" s="1"/>
      <c r="K329" s="1">
        <v>9000</v>
      </c>
      <c r="L329" s="2">
        <v>45300</v>
      </c>
    </row>
    <row r="330" spans="1:12" x14ac:dyDescent="0.35">
      <c r="A330" s="1" t="s">
        <v>532</v>
      </c>
      <c r="B330" s="1" t="s">
        <v>204</v>
      </c>
      <c r="C330" s="1" t="s">
        <v>30</v>
      </c>
      <c r="D330" s="1" t="s">
        <v>31</v>
      </c>
      <c r="E330" s="1" t="s">
        <v>32</v>
      </c>
      <c r="F330" s="1" t="s">
        <v>25</v>
      </c>
      <c r="G330" s="1" t="s">
        <v>26</v>
      </c>
      <c r="H330" s="1">
        <v>16609</v>
      </c>
      <c r="I330" s="1" t="s">
        <v>27</v>
      </c>
      <c r="J330" s="1"/>
      <c r="K330" s="1">
        <v>17000</v>
      </c>
      <c r="L330" s="2">
        <v>45300</v>
      </c>
    </row>
    <row r="331" spans="1:12" x14ac:dyDescent="0.35">
      <c r="A331" s="1" t="s">
        <v>533</v>
      </c>
      <c r="B331" s="1" t="s">
        <v>397</v>
      </c>
      <c r="C331" s="1" t="s">
        <v>14</v>
      </c>
      <c r="D331" s="1" t="s">
        <v>15</v>
      </c>
      <c r="E331" s="1" t="s">
        <v>32</v>
      </c>
      <c r="F331" s="1" t="s">
        <v>17</v>
      </c>
      <c r="G331" s="1" t="s">
        <v>36</v>
      </c>
      <c r="H331" s="1">
        <v>14758</v>
      </c>
      <c r="I331" s="1" t="s">
        <v>27</v>
      </c>
      <c r="J331" s="1"/>
      <c r="K331" s="1">
        <v>14000</v>
      </c>
      <c r="L331" s="2">
        <v>45319</v>
      </c>
    </row>
    <row r="332" spans="1:12" x14ac:dyDescent="0.35">
      <c r="A332" s="1" t="s">
        <v>534</v>
      </c>
      <c r="B332" s="1" t="s">
        <v>388</v>
      </c>
      <c r="C332" s="1" t="s">
        <v>44</v>
      </c>
      <c r="D332" s="1" t="s">
        <v>45</v>
      </c>
      <c r="E332" s="1" t="s">
        <v>32</v>
      </c>
      <c r="F332" s="1" t="s">
        <v>17</v>
      </c>
      <c r="G332" s="1" t="s">
        <v>36</v>
      </c>
      <c r="H332" s="1">
        <v>11635</v>
      </c>
      <c r="I332" s="1" t="s">
        <v>33</v>
      </c>
      <c r="J332" s="1">
        <v>0.3</v>
      </c>
      <c r="K332" s="1">
        <v>13000</v>
      </c>
      <c r="L332" s="2">
        <v>45304</v>
      </c>
    </row>
    <row r="333" spans="1:12" x14ac:dyDescent="0.35">
      <c r="A333" s="1" t="s">
        <v>535</v>
      </c>
      <c r="B333" s="1" t="s">
        <v>260</v>
      </c>
      <c r="C333" s="1" t="s">
        <v>14</v>
      </c>
      <c r="D333" s="1" t="s">
        <v>15</v>
      </c>
      <c r="E333" s="1" t="s">
        <v>32</v>
      </c>
      <c r="F333" s="1" t="s">
        <v>39</v>
      </c>
      <c r="G333" s="1" t="s">
        <v>36</v>
      </c>
      <c r="H333" s="1">
        <v>14518</v>
      </c>
      <c r="I333" s="1" t="s">
        <v>22</v>
      </c>
      <c r="J333" s="1">
        <v>0.1</v>
      </c>
      <c r="K333" s="1">
        <v>14000</v>
      </c>
      <c r="L333" s="2">
        <v>45307</v>
      </c>
    </row>
    <row r="334" spans="1:12" x14ac:dyDescent="0.35">
      <c r="A334" s="1" t="s">
        <v>536</v>
      </c>
      <c r="B334" s="1" t="s">
        <v>229</v>
      </c>
      <c r="C334" s="1" t="s">
        <v>14</v>
      </c>
      <c r="D334" s="1" t="s">
        <v>15</v>
      </c>
      <c r="E334" s="1" t="s">
        <v>16</v>
      </c>
      <c r="F334" s="1" t="s">
        <v>25</v>
      </c>
      <c r="G334" s="1" t="s">
        <v>36</v>
      </c>
      <c r="H334" s="1">
        <v>14448</v>
      </c>
      <c r="I334" s="1" t="s">
        <v>22</v>
      </c>
      <c r="J334" s="1">
        <v>0.1</v>
      </c>
      <c r="K334" s="1">
        <v>14000</v>
      </c>
      <c r="L334" s="2">
        <v>45307</v>
      </c>
    </row>
    <row r="335" spans="1:12" x14ac:dyDescent="0.35">
      <c r="A335" s="1" t="s">
        <v>537</v>
      </c>
      <c r="B335" s="1" t="s">
        <v>464</v>
      </c>
      <c r="C335" s="1" t="s">
        <v>61</v>
      </c>
      <c r="D335" s="1" t="s">
        <v>62</v>
      </c>
      <c r="E335" s="1" t="s">
        <v>46</v>
      </c>
      <c r="F335" s="1" t="s">
        <v>25</v>
      </c>
      <c r="G335" s="1" t="s">
        <v>26</v>
      </c>
      <c r="H335" s="1">
        <v>7889</v>
      </c>
      <c r="I335" s="1" t="s">
        <v>22</v>
      </c>
      <c r="J335" s="1">
        <v>0.1</v>
      </c>
      <c r="K335" s="1">
        <v>9000</v>
      </c>
      <c r="L335" s="2">
        <v>45300</v>
      </c>
    </row>
    <row r="336" spans="1:12" x14ac:dyDescent="0.35">
      <c r="A336" s="1" t="s">
        <v>538</v>
      </c>
      <c r="B336" s="1" t="s">
        <v>448</v>
      </c>
      <c r="C336" s="1" t="s">
        <v>44</v>
      </c>
      <c r="D336" s="1" t="s">
        <v>45</v>
      </c>
      <c r="E336" s="1" t="s">
        <v>16</v>
      </c>
      <c r="F336" s="1" t="s">
        <v>39</v>
      </c>
      <c r="G336" s="1" t="s">
        <v>36</v>
      </c>
      <c r="H336" s="1">
        <v>13365</v>
      </c>
      <c r="I336" s="1" t="s">
        <v>27</v>
      </c>
      <c r="J336" s="1"/>
      <c r="K336" s="1">
        <v>13000</v>
      </c>
      <c r="L336" s="2">
        <v>45341</v>
      </c>
    </row>
    <row r="337" spans="1:12" x14ac:dyDescent="0.35">
      <c r="A337" s="1" t="s">
        <v>539</v>
      </c>
      <c r="B337" s="1" t="s">
        <v>204</v>
      </c>
      <c r="C337" s="1" t="s">
        <v>30</v>
      </c>
      <c r="D337" s="1" t="s">
        <v>31</v>
      </c>
      <c r="E337" s="1" t="s">
        <v>32</v>
      </c>
      <c r="F337" s="1" t="s">
        <v>17</v>
      </c>
      <c r="G337" s="1" t="s">
        <v>18</v>
      </c>
      <c r="H337" s="1">
        <v>17704</v>
      </c>
      <c r="I337" s="1" t="s">
        <v>27</v>
      </c>
      <c r="J337" s="1"/>
      <c r="K337" s="1">
        <v>17000</v>
      </c>
      <c r="L337" s="2">
        <v>45306</v>
      </c>
    </row>
    <row r="338" spans="1:12" x14ac:dyDescent="0.35">
      <c r="A338" s="1" t="s">
        <v>540</v>
      </c>
      <c r="B338" s="1" t="s">
        <v>435</v>
      </c>
      <c r="C338" s="1" t="s">
        <v>30</v>
      </c>
      <c r="D338" s="1" t="s">
        <v>31</v>
      </c>
      <c r="E338" s="1" t="s">
        <v>32</v>
      </c>
      <c r="F338" s="1" t="s">
        <v>39</v>
      </c>
      <c r="G338" s="1" t="s">
        <v>26</v>
      </c>
      <c r="H338" s="1">
        <v>18603</v>
      </c>
      <c r="I338" s="1" t="s">
        <v>19</v>
      </c>
      <c r="J338" s="1">
        <v>0.2</v>
      </c>
      <c r="K338" s="1">
        <v>17000</v>
      </c>
      <c r="L338" s="2">
        <v>45332</v>
      </c>
    </row>
    <row r="339" spans="1:12" x14ac:dyDescent="0.35">
      <c r="A339" s="1" t="s">
        <v>541</v>
      </c>
      <c r="B339" s="1" t="s">
        <v>90</v>
      </c>
      <c r="C339" s="1" t="s">
        <v>61</v>
      </c>
      <c r="D339" s="1" t="s">
        <v>62</v>
      </c>
      <c r="E339" s="1" t="s">
        <v>32</v>
      </c>
      <c r="F339" s="1" t="s">
        <v>17</v>
      </c>
      <c r="G339" s="1" t="s">
        <v>26</v>
      </c>
      <c r="H339" s="1">
        <v>9749</v>
      </c>
      <c r="I339" s="1"/>
      <c r="J339" s="1"/>
      <c r="K339" s="1">
        <v>9000</v>
      </c>
      <c r="L339" s="2">
        <v>45342</v>
      </c>
    </row>
    <row r="340" spans="1:12" x14ac:dyDescent="0.35">
      <c r="A340" s="1" t="s">
        <v>542</v>
      </c>
      <c r="B340" s="1" t="s">
        <v>217</v>
      </c>
      <c r="C340" s="1" t="s">
        <v>61</v>
      </c>
      <c r="D340" s="1" t="s">
        <v>62</v>
      </c>
      <c r="E340" s="1" t="s">
        <v>46</v>
      </c>
      <c r="F340" s="1" t="s">
        <v>25</v>
      </c>
      <c r="G340" s="1" t="s">
        <v>36</v>
      </c>
      <c r="H340" s="1">
        <v>8541</v>
      </c>
      <c r="I340" s="1" t="s">
        <v>19</v>
      </c>
      <c r="J340" s="1">
        <v>0.2</v>
      </c>
      <c r="K340" s="1">
        <v>9000</v>
      </c>
      <c r="L340" s="2">
        <v>45340</v>
      </c>
    </row>
    <row r="341" spans="1:12" x14ac:dyDescent="0.35">
      <c r="A341" s="1" t="s">
        <v>543</v>
      </c>
      <c r="B341" s="1" t="s">
        <v>544</v>
      </c>
      <c r="C341" s="1" t="s">
        <v>44</v>
      </c>
      <c r="D341" s="1" t="s">
        <v>45</v>
      </c>
      <c r="E341" s="1" t="s">
        <v>32</v>
      </c>
      <c r="F341" s="1" t="s">
        <v>17</v>
      </c>
      <c r="G341" s="1" t="s">
        <v>26</v>
      </c>
      <c r="H341" s="1">
        <v>11591</v>
      </c>
      <c r="I341" s="1"/>
      <c r="J341" s="1"/>
      <c r="K341" s="1">
        <v>13000</v>
      </c>
      <c r="L341" s="2">
        <v>45350</v>
      </c>
    </row>
    <row r="342" spans="1:12" x14ac:dyDescent="0.35">
      <c r="A342" s="1" t="s">
        <v>545</v>
      </c>
      <c r="B342" s="1" t="s">
        <v>166</v>
      </c>
      <c r="C342" s="1" t="s">
        <v>61</v>
      </c>
      <c r="D342" s="1" t="s">
        <v>62</v>
      </c>
      <c r="E342" s="1" t="s">
        <v>46</v>
      </c>
      <c r="F342" s="1" t="s">
        <v>39</v>
      </c>
      <c r="G342" s="1" t="s">
        <v>26</v>
      </c>
      <c r="H342" s="1">
        <v>7549</v>
      </c>
      <c r="I342" s="1"/>
      <c r="J342" s="1"/>
      <c r="K342" s="1">
        <v>9000</v>
      </c>
      <c r="L342" s="2">
        <v>45307</v>
      </c>
    </row>
    <row r="343" spans="1:12" x14ac:dyDescent="0.35">
      <c r="A343" s="1" t="s">
        <v>546</v>
      </c>
      <c r="B343" s="1" t="s">
        <v>289</v>
      </c>
      <c r="C343" s="1" t="s">
        <v>30</v>
      </c>
      <c r="D343" s="1" t="s">
        <v>31</v>
      </c>
      <c r="E343" s="1" t="s">
        <v>16</v>
      </c>
      <c r="F343" s="1" t="s">
        <v>25</v>
      </c>
      <c r="G343" s="1" t="s">
        <v>36</v>
      </c>
      <c r="H343" s="1">
        <v>18469</v>
      </c>
      <c r="I343" s="1" t="s">
        <v>33</v>
      </c>
      <c r="J343" s="1">
        <v>0.3</v>
      </c>
      <c r="K343" s="1">
        <v>17000</v>
      </c>
      <c r="L343" s="2">
        <v>45297</v>
      </c>
    </row>
    <row r="344" spans="1:12" x14ac:dyDescent="0.35">
      <c r="A344" s="1" t="s">
        <v>547</v>
      </c>
      <c r="B344" s="1" t="s">
        <v>548</v>
      </c>
      <c r="C344" s="1" t="s">
        <v>44</v>
      </c>
      <c r="D344" s="1" t="s">
        <v>45</v>
      </c>
      <c r="E344" s="1" t="s">
        <v>32</v>
      </c>
      <c r="F344" s="1" t="s">
        <v>17</v>
      </c>
      <c r="G344" s="1" t="s">
        <v>36</v>
      </c>
      <c r="H344" s="1">
        <v>13759</v>
      </c>
      <c r="I344" s="1" t="s">
        <v>27</v>
      </c>
      <c r="J344" s="1"/>
      <c r="K344" s="1">
        <v>13000</v>
      </c>
      <c r="L344" s="2">
        <v>45330</v>
      </c>
    </row>
    <row r="345" spans="1:12" x14ac:dyDescent="0.35">
      <c r="A345" s="1" t="s">
        <v>549</v>
      </c>
      <c r="B345" s="1" t="s">
        <v>129</v>
      </c>
      <c r="C345" s="1" t="s">
        <v>14</v>
      </c>
      <c r="D345" s="1" t="s">
        <v>15</v>
      </c>
      <c r="E345" s="1" t="s">
        <v>32</v>
      </c>
      <c r="F345" s="1" t="s">
        <v>39</v>
      </c>
      <c r="G345" s="1" t="s">
        <v>26</v>
      </c>
      <c r="H345" s="1">
        <v>14750</v>
      </c>
      <c r="I345" s="1" t="s">
        <v>27</v>
      </c>
      <c r="J345" s="1"/>
      <c r="K345" s="1">
        <v>14000</v>
      </c>
      <c r="L345" s="2">
        <v>45305</v>
      </c>
    </row>
    <row r="346" spans="1:12" x14ac:dyDescent="0.35">
      <c r="A346" s="1" t="s">
        <v>550</v>
      </c>
      <c r="B346" s="1" t="s">
        <v>211</v>
      </c>
      <c r="C346" s="1" t="s">
        <v>30</v>
      </c>
      <c r="D346" s="1" t="s">
        <v>31</v>
      </c>
      <c r="E346" s="1" t="s">
        <v>46</v>
      </c>
      <c r="F346" s="1" t="s">
        <v>25</v>
      </c>
      <c r="G346" s="1" t="s">
        <v>18</v>
      </c>
      <c r="H346" s="1">
        <v>18838</v>
      </c>
      <c r="I346" s="1" t="s">
        <v>19</v>
      </c>
      <c r="J346" s="1">
        <v>0.2</v>
      </c>
      <c r="K346" s="1">
        <v>17000</v>
      </c>
      <c r="L346" s="2">
        <v>45339</v>
      </c>
    </row>
    <row r="347" spans="1:12" x14ac:dyDescent="0.35">
      <c r="A347" s="1" t="s">
        <v>551</v>
      </c>
      <c r="B347" s="1" t="s">
        <v>173</v>
      </c>
      <c r="C347" s="1" t="s">
        <v>61</v>
      </c>
      <c r="D347" s="1" t="s">
        <v>62</v>
      </c>
      <c r="E347" s="1" t="s">
        <v>32</v>
      </c>
      <c r="F347" s="1" t="s">
        <v>39</v>
      </c>
      <c r="G347" s="1" t="s">
        <v>26</v>
      </c>
      <c r="H347" s="1">
        <v>9882</v>
      </c>
      <c r="I347" s="1" t="s">
        <v>19</v>
      </c>
      <c r="J347" s="1">
        <v>0.2</v>
      </c>
      <c r="K347" s="1">
        <v>9000</v>
      </c>
      <c r="L347" s="2">
        <v>45317</v>
      </c>
    </row>
    <row r="348" spans="1:12" x14ac:dyDescent="0.35">
      <c r="A348" s="1" t="s">
        <v>552</v>
      </c>
      <c r="B348" s="1" t="s">
        <v>553</v>
      </c>
      <c r="C348" s="1" t="s">
        <v>30</v>
      </c>
      <c r="D348" s="1" t="s">
        <v>31</v>
      </c>
      <c r="E348" s="1" t="s">
        <v>46</v>
      </c>
      <c r="F348" s="1" t="s">
        <v>17</v>
      </c>
      <c r="G348" s="1" t="s">
        <v>36</v>
      </c>
      <c r="H348" s="1">
        <v>17185</v>
      </c>
      <c r="I348" s="1" t="s">
        <v>33</v>
      </c>
      <c r="J348" s="1">
        <v>0.3</v>
      </c>
      <c r="K348" s="1">
        <v>17000</v>
      </c>
      <c r="L348" s="2">
        <v>45311</v>
      </c>
    </row>
    <row r="349" spans="1:12" x14ac:dyDescent="0.35">
      <c r="A349" s="1" t="s">
        <v>554</v>
      </c>
      <c r="B349" s="1" t="s">
        <v>131</v>
      </c>
      <c r="C349" s="1" t="s">
        <v>61</v>
      </c>
      <c r="D349" s="1" t="s">
        <v>62</v>
      </c>
      <c r="E349" s="1" t="s">
        <v>46</v>
      </c>
      <c r="F349" s="1" t="s">
        <v>25</v>
      </c>
      <c r="G349" s="1" t="s">
        <v>26</v>
      </c>
      <c r="H349" s="1">
        <v>8923</v>
      </c>
      <c r="I349" s="1" t="s">
        <v>33</v>
      </c>
      <c r="J349" s="1">
        <v>0.3</v>
      </c>
      <c r="K349" s="1">
        <v>9000</v>
      </c>
      <c r="L349" s="2">
        <v>45350</v>
      </c>
    </row>
    <row r="350" spans="1:12" x14ac:dyDescent="0.35">
      <c r="A350" s="1" t="s">
        <v>555</v>
      </c>
      <c r="B350" s="1" t="s">
        <v>391</v>
      </c>
      <c r="C350" s="1" t="s">
        <v>30</v>
      </c>
      <c r="D350" s="1" t="s">
        <v>31</v>
      </c>
      <c r="E350" s="1" t="s">
        <v>46</v>
      </c>
      <c r="F350" s="1" t="s">
        <v>25</v>
      </c>
      <c r="G350" s="1" t="s">
        <v>26</v>
      </c>
      <c r="H350" s="1">
        <v>18539</v>
      </c>
      <c r="I350" s="1" t="s">
        <v>19</v>
      </c>
      <c r="J350" s="1">
        <v>0.2</v>
      </c>
      <c r="K350" s="1">
        <v>17000</v>
      </c>
      <c r="L350" s="2">
        <v>45339</v>
      </c>
    </row>
    <row r="351" spans="1:12" x14ac:dyDescent="0.35">
      <c r="A351" s="1" t="s">
        <v>556</v>
      </c>
      <c r="B351" s="1" t="s">
        <v>557</v>
      </c>
      <c r="C351" s="1" t="s">
        <v>30</v>
      </c>
      <c r="D351" s="1" t="s">
        <v>31</v>
      </c>
      <c r="E351" s="1" t="s">
        <v>16</v>
      </c>
      <c r="F351" s="1" t="s">
        <v>39</v>
      </c>
      <c r="G351" s="1" t="s">
        <v>26</v>
      </c>
      <c r="H351" s="1">
        <v>17949</v>
      </c>
      <c r="I351" s="1"/>
      <c r="J351" s="1"/>
      <c r="K351" s="1">
        <v>17000</v>
      </c>
      <c r="L351" s="2">
        <v>45310</v>
      </c>
    </row>
    <row r="352" spans="1:12" x14ac:dyDescent="0.35">
      <c r="A352" s="1" t="s">
        <v>558</v>
      </c>
      <c r="B352" s="1" t="s">
        <v>35</v>
      </c>
      <c r="C352" s="1" t="s">
        <v>30</v>
      </c>
      <c r="D352" s="1" t="s">
        <v>31</v>
      </c>
      <c r="E352" s="1" t="s">
        <v>32</v>
      </c>
      <c r="F352" s="1" t="s">
        <v>17</v>
      </c>
      <c r="G352" s="1" t="s">
        <v>26</v>
      </c>
      <c r="H352" s="1">
        <v>18413</v>
      </c>
      <c r="I352" s="1" t="s">
        <v>19</v>
      </c>
      <c r="J352" s="1">
        <v>0.2</v>
      </c>
      <c r="K352" s="1">
        <v>17000</v>
      </c>
      <c r="L352" s="2">
        <v>45323</v>
      </c>
    </row>
    <row r="353" spans="1:12" x14ac:dyDescent="0.35">
      <c r="A353" s="1" t="s">
        <v>559</v>
      </c>
      <c r="B353" s="1" t="s">
        <v>202</v>
      </c>
      <c r="C353" s="1" t="s">
        <v>30</v>
      </c>
      <c r="D353" s="1" t="s">
        <v>31</v>
      </c>
      <c r="E353" s="1" t="s">
        <v>46</v>
      </c>
      <c r="F353" s="1" t="s">
        <v>17</v>
      </c>
      <c r="G353" s="1" t="s">
        <v>26</v>
      </c>
      <c r="H353" s="1">
        <v>17628</v>
      </c>
      <c r="I353" s="1"/>
      <c r="J353" s="1"/>
      <c r="K353" s="1">
        <v>17000</v>
      </c>
      <c r="L353" s="2">
        <v>45321</v>
      </c>
    </row>
    <row r="354" spans="1:12" x14ac:dyDescent="0.35">
      <c r="A354" s="1" t="s">
        <v>560</v>
      </c>
      <c r="B354" s="1" t="s">
        <v>280</v>
      </c>
      <c r="C354" s="1" t="s">
        <v>30</v>
      </c>
      <c r="D354" s="1" t="s">
        <v>31</v>
      </c>
      <c r="E354" s="1" t="s">
        <v>32</v>
      </c>
      <c r="F354" s="1" t="s">
        <v>25</v>
      </c>
      <c r="G354" s="1" t="s">
        <v>26</v>
      </c>
      <c r="H354" s="1">
        <v>17238</v>
      </c>
      <c r="I354" s="1"/>
      <c r="J354" s="1"/>
      <c r="K354" s="1">
        <v>17000</v>
      </c>
      <c r="L354" s="2">
        <v>45303</v>
      </c>
    </row>
    <row r="355" spans="1:12" x14ac:dyDescent="0.35">
      <c r="A355" s="1" t="s">
        <v>561</v>
      </c>
      <c r="B355" s="1" t="s">
        <v>84</v>
      </c>
      <c r="C355" s="1" t="s">
        <v>14</v>
      </c>
      <c r="D355" s="1" t="s">
        <v>15</v>
      </c>
      <c r="E355" s="1" t="s">
        <v>16</v>
      </c>
      <c r="F355" s="1" t="s">
        <v>25</v>
      </c>
      <c r="G355" s="1" t="s">
        <v>18</v>
      </c>
      <c r="H355" s="1">
        <v>15871</v>
      </c>
      <c r="I355" s="1" t="s">
        <v>22</v>
      </c>
      <c r="J355" s="1">
        <v>0.1</v>
      </c>
      <c r="K355" s="1">
        <v>14000</v>
      </c>
      <c r="L355" s="2">
        <v>45340</v>
      </c>
    </row>
    <row r="356" spans="1:12" x14ac:dyDescent="0.35">
      <c r="A356" s="1" t="s">
        <v>562</v>
      </c>
      <c r="B356" s="1" t="s">
        <v>406</v>
      </c>
      <c r="C356" s="1" t="s">
        <v>44</v>
      </c>
      <c r="D356" s="1" t="s">
        <v>45</v>
      </c>
      <c r="E356" s="1" t="s">
        <v>16</v>
      </c>
      <c r="F356" s="1" t="s">
        <v>25</v>
      </c>
      <c r="G356" s="1" t="s">
        <v>18</v>
      </c>
      <c r="H356" s="1">
        <v>13896</v>
      </c>
      <c r="I356" s="1" t="s">
        <v>19</v>
      </c>
      <c r="J356" s="1">
        <v>0.2</v>
      </c>
      <c r="K356" s="1">
        <v>13000</v>
      </c>
      <c r="L356" s="2">
        <v>45292</v>
      </c>
    </row>
    <row r="357" spans="1:12" x14ac:dyDescent="0.35">
      <c r="A357" s="1" t="s">
        <v>563</v>
      </c>
      <c r="B357" s="1" t="s">
        <v>24</v>
      </c>
      <c r="C357" s="1" t="s">
        <v>61</v>
      </c>
      <c r="D357" s="1" t="s">
        <v>62</v>
      </c>
      <c r="E357" s="1" t="s">
        <v>46</v>
      </c>
      <c r="F357" s="1" t="s">
        <v>25</v>
      </c>
      <c r="G357" s="1" t="s">
        <v>26</v>
      </c>
      <c r="H357" s="1">
        <v>9612</v>
      </c>
      <c r="I357" s="1" t="s">
        <v>27</v>
      </c>
      <c r="J357" s="1"/>
      <c r="K357" s="1">
        <v>9000</v>
      </c>
      <c r="L357" s="2">
        <v>45350</v>
      </c>
    </row>
    <row r="358" spans="1:12" x14ac:dyDescent="0.35">
      <c r="A358" s="1" t="s">
        <v>564</v>
      </c>
      <c r="B358" s="1" t="s">
        <v>332</v>
      </c>
      <c r="C358" s="1" t="s">
        <v>61</v>
      </c>
      <c r="D358" s="1" t="s">
        <v>62</v>
      </c>
      <c r="E358" s="1" t="s">
        <v>32</v>
      </c>
      <c r="F358" s="1" t="s">
        <v>25</v>
      </c>
      <c r="G358" s="1" t="s">
        <v>26</v>
      </c>
      <c r="H358" s="1">
        <v>9259</v>
      </c>
      <c r="I358" s="1"/>
      <c r="J358" s="1"/>
      <c r="K358" s="1">
        <v>9000</v>
      </c>
      <c r="L358" s="2">
        <v>45292</v>
      </c>
    </row>
    <row r="359" spans="1:12" x14ac:dyDescent="0.35">
      <c r="A359" s="1" t="s">
        <v>565</v>
      </c>
      <c r="B359" s="1" t="s">
        <v>166</v>
      </c>
      <c r="C359" s="1" t="s">
        <v>30</v>
      </c>
      <c r="D359" s="1" t="s">
        <v>31</v>
      </c>
      <c r="E359" s="1" t="s">
        <v>16</v>
      </c>
      <c r="F359" s="1" t="s">
        <v>17</v>
      </c>
      <c r="G359" s="1" t="s">
        <v>18</v>
      </c>
      <c r="H359" s="1">
        <v>17057</v>
      </c>
      <c r="I359" s="1"/>
      <c r="J359" s="1"/>
      <c r="K359" s="1">
        <v>17000</v>
      </c>
      <c r="L359" s="2">
        <v>45343</v>
      </c>
    </row>
    <row r="360" spans="1:12" x14ac:dyDescent="0.35">
      <c r="A360" s="1" t="s">
        <v>566</v>
      </c>
      <c r="B360" s="1" t="s">
        <v>120</v>
      </c>
      <c r="C360" s="1" t="s">
        <v>14</v>
      </c>
      <c r="D360" s="1" t="s">
        <v>15</v>
      </c>
      <c r="E360" s="1" t="s">
        <v>32</v>
      </c>
      <c r="F360" s="1" t="s">
        <v>39</v>
      </c>
      <c r="G360" s="1" t="s">
        <v>18</v>
      </c>
      <c r="H360" s="1">
        <v>12987</v>
      </c>
      <c r="I360" s="1" t="s">
        <v>19</v>
      </c>
      <c r="J360" s="1">
        <v>0.2</v>
      </c>
      <c r="K360" s="1">
        <v>14000</v>
      </c>
      <c r="L360" s="2">
        <v>45331</v>
      </c>
    </row>
    <row r="361" spans="1:12" x14ac:dyDescent="0.35">
      <c r="A361" s="1" t="s">
        <v>567</v>
      </c>
      <c r="B361" s="1" t="s">
        <v>448</v>
      </c>
      <c r="C361" s="1" t="s">
        <v>30</v>
      </c>
      <c r="D361" s="1" t="s">
        <v>31</v>
      </c>
      <c r="E361" s="1" t="s">
        <v>46</v>
      </c>
      <c r="F361" s="1" t="s">
        <v>17</v>
      </c>
      <c r="G361" s="1" t="s">
        <v>18</v>
      </c>
      <c r="H361" s="1">
        <v>16528</v>
      </c>
      <c r="I361" s="1"/>
      <c r="J361" s="1"/>
      <c r="K361" s="1">
        <v>17000</v>
      </c>
      <c r="L361" s="2">
        <v>45321</v>
      </c>
    </row>
    <row r="362" spans="1:12" x14ac:dyDescent="0.35">
      <c r="A362" s="1" t="s">
        <v>568</v>
      </c>
      <c r="B362" s="1" t="s">
        <v>519</v>
      </c>
      <c r="C362" s="1" t="s">
        <v>44</v>
      </c>
      <c r="D362" s="1" t="s">
        <v>45</v>
      </c>
      <c r="E362" s="1" t="s">
        <v>46</v>
      </c>
      <c r="F362" s="1" t="s">
        <v>39</v>
      </c>
      <c r="G362" s="1" t="s">
        <v>18</v>
      </c>
      <c r="H362" s="1">
        <v>13677</v>
      </c>
      <c r="I362" s="1" t="s">
        <v>22</v>
      </c>
      <c r="J362" s="1">
        <v>0.1</v>
      </c>
      <c r="K362" s="1">
        <v>13000</v>
      </c>
      <c r="L362" s="2">
        <v>45297</v>
      </c>
    </row>
    <row r="363" spans="1:12" x14ac:dyDescent="0.35">
      <c r="A363" s="1" t="s">
        <v>569</v>
      </c>
      <c r="B363" s="1" t="s">
        <v>177</v>
      </c>
      <c r="C363" s="1" t="s">
        <v>61</v>
      </c>
      <c r="D363" s="1" t="s">
        <v>62</v>
      </c>
      <c r="E363" s="1" t="s">
        <v>16</v>
      </c>
      <c r="F363" s="1" t="s">
        <v>17</v>
      </c>
      <c r="G363" s="1" t="s">
        <v>18</v>
      </c>
      <c r="H363" s="1">
        <v>9608</v>
      </c>
      <c r="I363" s="1" t="s">
        <v>22</v>
      </c>
      <c r="J363" s="1">
        <v>0.1</v>
      </c>
      <c r="K363" s="1">
        <v>9000</v>
      </c>
      <c r="L363" s="2">
        <v>45336</v>
      </c>
    </row>
    <row r="364" spans="1:12" x14ac:dyDescent="0.35">
      <c r="A364" s="1" t="s">
        <v>570</v>
      </c>
      <c r="B364" s="1" t="s">
        <v>325</v>
      </c>
      <c r="C364" s="1" t="s">
        <v>61</v>
      </c>
      <c r="D364" s="1" t="s">
        <v>62</v>
      </c>
      <c r="E364" s="1" t="s">
        <v>46</v>
      </c>
      <c r="F364" s="1" t="s">
        <v>39</v>
      </c>
      <c r="G364" s="1" t="s">
        <v>36</v>
      </c>
      <c r="H364" s="1">
        <v>9317</v>
      </c>
      <c r="I364" s="1" t="s">
        <v>22</v>
      </c>
      <c r="J364" s="1">
        <v>0.1</v>
      </c>
      <c r="K364" s="1">
        <v>9000</v>
      </c>
      <c r="L364" s="2">
        <v>45349</v>
      </c>
    </row>
    <row r="365" spans="1:12" x14ac:dyDescent="0.35">
      <c r="A365" s="1" t="s">
        <v>571</v>
      </c>
      <c r="B365" s="1" t="s">
        <v>184</v>
      </c>
      <c r="C365" s="1" t="s">
        <v>44</v>
      </c>
      <c r="D365" s="1" t="s">
        <v>45</v>
      </c>
      <c r="E365" s="1" t="s">
        <v>32</v>
      </c>
      <c r="F365" s="1" t="s">
        <v>39</v>
      </c>
      <c r="G365" s="1" t="s">
        <v>26</v>
      </c>
      <c r="H365" s="1">
        <v>12947</v>
      </c>
      <c r="I365" s="1" t="s">
        <v>33</v>
      </c>
      <c r="J365" s="1">
        <v>0.3</v>
      </c>
      <c r="K365" s="1">
        <v>13000</v>
      </c>
      <c r="L365" s="2">
        <v>45294</v>
      </c>
    </row>
    <row r="366" spans="1:12" x14ac:dyDescent="0.35">
      <c r="A366" s="1" t="s">
        <v>572</v>
      </c>
      <c r="B366" s="1" t="s">
        <v>403</v>
      </c>
      <c r="C366" s="1" t="s">
        <v>30</v>
      </c>
      <c r="D366" s="1" t="s">
        <v>31</v>
      </c>
      <c r="E366" s="1" t="s">
        <v>16</v>
      </c>
      <c r="F366" s="1" t="s">
        <v>39</v>
      </c>
      <c r="G366" s="1" t="s">
        <v>26</v>
      </c>
      <c r="H366" s="1">
        <v>15134</v>
      </c>
      <c r="I366" s="1" t="s">
        <v>19</v>
      </c>
      <c r="J366" s="1">
        <v>0.2</v>
      </c>
      <c r="K366" s="1">
        <v>17000</v>
      </c>
      <c r="L366" s="2">
        <v>45351</v>
      </c>
    </row>
    <row r="367" spans="1:12" x14ac:dyDescent="0.35">
      <c r="A367" s="1" t="s">
        <v>573</v>
      </c>
      <c r="B367" s="1" t="s">
        <v>303</v>
      </c>
      <c r="C367" s="1" t="s">
        <v>14</v>
      </c>
      <c r="D367" s="1" t="s">
        <v>15</v>
      </c>
      <c r="E367" s="1" t="s">
        <v>32</v>
      </c>
      <c r="F367" s="1" t="s">
        <v>39</v>
      </c>
      <c r="G367" s="1" t="s">
        <v>18</v>
      </c>
      <c r="H367" s="1">
        <v>15081</v>
      </c>
      <c r="I367" s="1"/>
      <c r="J367" s="1"/>
      <c r="K367" s="1">
        <v>14000</v>
      </c>
      <c r="L367" s="2">
        <v>45351</v>
      </c>
    </row>
    <row r="368" spans="1:12" x14ac:dyDescent="0.35">
      <c r="A368" s="1" t="s">
        <v>574</v>
      </c>
      <c r="B368" s="1" t="s">
        <v>263</v>
      </c>
      <c r="C368" s="1" t="s">
        <v>44</v>
      </c>
      <c r="D368" s="1" t="s">
        <v>45</v>
      </c>
      <c r="E368" s="1" t="s">
        <v>16</v>
      </c>
      <c r="F368" s="1" t="s">
        <v>25</v>
      </c>
      <c r="G368" s="1" t="s">
        <v>26</v>
      </c>
      <c r="H368" s="1">
        <v>14418</v>
      </c>
      <c r="I368" s="1"/>
      <c r="J368" s="1"/>
      <c r="K368" s="1">
        <v>13000</v>
      </c>
      <c r="L368" s="2">
        <v>45335</v>
      </c>
    </row>
    <row r="369" spans="1:12" x14ac:dyDescent="0.35">
      <c r="A369" s="1" t="s">
        <v>575</v>
      </c>
      <c r="B369" s="1" t="s">
        <v>84</v>
      </c>
      <c r="C369" s="1" t="s">
        <v>30</v>
      </c>
      <c r="D369" s="1" t="s">
        <v>31</v>
      </c>
      <c r="E369" s="1" t="s">
        <v>46</v>
      </c>
      <c r="F369" s="1" t="s">
        <v>39</v>
      </c>
      <c r="G369" s="1" t="s">
        <v>18</v>
      </c>
      <c r="H369" s="1">
        <v>18237</v>
      </c>
      <c r="I369" s="1" t="s">
        <v>22</v>
      </c>
      <c r="J369" s="1">
        <v>0.1</v>
      </c>
      <c r="K369" s="1">
        <v>17000</v>
      </c>
      <c r="L369" s="2">
        <v>45324</v>
      </c>
    </row>
    <row r="370" spans="1:12" x14ac:dyDescent="0.35">
      <c r="A370" s="1" t="s">
        <v>576</v>
      </c>
      <c r="B370" s="1" t="s">
        <v>577</v>
      </c>
      <c r="C370" s="1" t="s">
        <v>14</v>
      </c>
      <c r="D370" s="1" t="s">
        <v>15</v>
      </c>
      <c r="E370" s="1" t="s">
        <v>32</v>
      </c>
      <c r="F370" s="1" t="s">
        <v>17</v>
      </c>
      <c r="G370" s="1" t="s">
        <v>18</v>
      </c>
      <c r="H370" s="1">
        <v>15435</v>
      </c>
      <c r="I370" s="1" t="s">
        <v>22</v>
      </c>
      <c r="J370" s="1">
        <v>0.1</v>
      </c>
      <c r="K370" s="1">
        <v>14000</v>
      </c>
      <c r="L370" s="2">
        <v>45313</v>
      </c>
    </row>
    <row r="371" spans="1:12" x14ac:dyDescent="0.35">
      <c r="A371" s="1" t="s">
        <v>578</v>
      </c>
      <c r="B371" s="1" t="s">
        <v>579</v>
      </c>
      <c r="C371" s="1" t="s">
        <v>61</v>
      </c>
      <c r="D371" s="1" t="s">
        <v>62</v>
      </c>
      <c r="E371" s="1" t="s">
        <v>46</v>
      </c>
      <c r="F371" s="1" t="s">
        <v>25</v>
      </c>
      <c r="G371" s="1" t="s">
        <v>26</v>
      </c>
      <c r="H371" s="1">
        <v>8119</v>
      </c>
      <c r="I371" s="1"/>
      <c r="J371" s="1"/>
      <c r="K371" s="1">
        <v>9000</v>
      </c>
      <c r="L371" s="2">
        <v>45323</v>
      </c>
    </row>
    <row r="372" spans="1:12" x14ac:dyDescent="0.35">
      <c r="A372" s="1" t="s">
        <v>580</v>
      </c>
      <c r="B372" s="1" t="s">
        <v>391</v>
      </c>
      <c r="C372" s="1" t="s">
        <v>61</v>
      </c>
      <c r="D372" s="1" t="s">
        <v>62</v>
      </c>
      <c r="E372" s="1" t="s">
        <v>46</v>
      </c>
      <c r="F372" s="1" t="s">
        <v>25</v>
      </c>
      <c r="G372" s="1" t="s">
        <v>26</v>
      </c>
      <c r="H372" s="1">
        <v>9399</v>
      </c>
      <c r="I372" s="1"/>
      <c r="J372" s="1"/>
      <c r="K372" s="1">
        <v>9000</v>
      </c>
      <c r="L372" s="2">
        <v>45297</v>
      </c>
    </row>
    <row r="373" spans="1:12" x14ac:dyDescent="0.35">
      <c r="A373" s="1" t="s">
        <v>581</v>
      </c>
      <c r="B373" s="1" t="s">
        <v>522</v>
      </c>
      <c r="C373" s="1" t="s">
        <v>30</v>
      </c>
      <c r="D373" s="1" t="s">
        <v>31</v>
      </c>
      <c r="E373" s="1" t="s">
        <v>32</v>
      </c>
      <c r="F373" s="1" t="s">
        <v>39</v>
      </c>
      <c r="G373" s="1" t="s">
        <v>18</v>
      </c>
      <c r="H373" s="1">
        <v>15336</v>
      </c>
      <c r="I373" s="1" t="s">
        <v>33</v>
      </c>
      <c r="J373" s="1">
        <v>0.3</v>
      </c>
      <c r="K373" s="1">
        <v>17000</v>
      </c>
      <c r="L373" s="2">
        <v>45301</v>
      </c>
    </row>
    <row r="374" spans="1:12" x14ac:dyDescent="0.35">
      <c r="A374" s="1" t="s">
        <v>582</v>
      </c>
      <c r="B374" s="1" t="s">
        <v>101</v>
      </c>
      <c r="C374" s="1" t="s">
        <v>44</v>
      </c>
      <c r="D374" s="1" t="s">
        <v>45</v>
      </c>
      <c r="E374" s="1" t="s">
        <v>16</v>
      </c>
      <c r="F374" s="1" t="s">
        <v>17</v>
      </c>
      <c r="G374" s="1" t="s">
        <v>36</v>
      </c>
      <c r="H374" s="1">
        <v>12477</v>
      </c>
      <c r="I374" s="1" t="s">
        <v>22</v>
      </c>
      <c r="J374" s="1">
        <v>0.1</v>
      </c>
      <c r="K374" s="1">
        <v>13000</v>
      </c>
      <c r="L374" s="2">
        <v>45297</v>
      </c>
    </row>
    <row r="375" spans="1:12" x14ac:dyDescent="0.35">
      <c r="A375" s="1" t="s">
        <v>583</v>
      </c>
      <c r="B375" s="1" t="s">
        <v>584</v>
      </c>
      <c r="C375" s="1" t="s">
        <v>61</v>
      </c>
      <c r="D375" s="1" t="s">
        <v>62</v>
      </c>
      <c r="E375" s="1" t="s">
        <v>46</v>
      </c>
      <c r="F375" s="1" t="s">
        <v>17</v>
      </c>
      <c r="G375" s="1" t="s">
        <v>18</v>
      </c>
      <c r="H375" s="1">
        <v>7542</v>
      </c>
      <c r="I375" s="1" t="s">
        <v>22</v>
      </c>
      <c r="J375" s="1">
        <v>0.1</v>
      </c>
      <c r="K375" s="1">
        <v>9000</v>
      </c>
      <c r="L375" s="2">
        <v>45303</v>
      </c>
    </row>
    <row r="376" spans="1:12" x14ac:dyDescent="0.35">
      <c r="A376" s="1" t="s">
        <v>585</v>
      </c>
      <c r="B376" s="1" t="s">
        <v>527</v>
      </c>
      <c r="C376" s="1" t="s">
        <v>61</v>
      </c>
      <c r="D376" s="1" t="s">
        <v>62</v>
      </c>
      <c r="E376" s="1" t="s">
        <v>32</v>
      </c>
      <c r="F376" s="1" t="s">
        <v>25</v>
      </c>
      <c r="G376" s="1" t="s">
        <v>18</v>
      </c>
      <c r="H376" s="1">
        <v>8449</v>
      </c>
      <c r="I376" s="1" t="s">
        <v>27</v>
      </c>
      <c r="J376" s="1"/>
      <c r="K376" s="1">
        <v>9000</v>
      </c>
      <c r="L376" s="2">
        <v>45297</v>
      </c>
    </row>
    <row r="377" spans="1:12" x14ac:dyDescent="0.35">
      <c r="A377" s="1" t="s">
        <v>586</v>
      </c>
      <c r="B377" s="1" t="s">
        <v>195</v>
      </c>
      <c r="C377" s="1" t="s">
        <v>30</v>
      </c>
      <c r="D377" s="1" t="s">
        <v>31</v>
      </c>
      <c r="E377" s="1" t="s">
        <v>46</v>
      </c>
      <c r="F377" s="1" t="s">
        <v>25</v>
      </c>
      <c r="G377" s="1" t="s">
        <v>36</v>
      </c>
      <c r="H377" s="1">
        <v>16694</v>
      </c>
      <c r="I377" s="1"/>
      <c r="J377" s="1"/>
      <c r="K377" s="1">
        <v>17000</v>
      </c>
      <c r="L377" s="2">
        <v>45341</v>
      </c>
    </row>
    <row r="378" spans="1:12" x14ac:dyDescent="0.35">
      <c r="A378" s="1" t="s">
        <v>587</v>
      </c>
      <c r="B378" s="1" t="s">
        <v>173</v>
      </c>
      <c r="C378" s="1" t="s">
        <v>44</v>
      </c>
      <c r="D378" s="1" t="s">
        <v>45</v>
      </c>
      <c r="E378" s="1" t="s">
        <v>16</v>
      </c>
      <c r="F378" s="1" t="s">
        <v>39</v>
      </c>
      <c r="G378" s="1" t="s">
        <v>18</v>
      </c>
      <c r="H378" s="1">
        <v>13807</v>
      </c>
      <c r="I378" s="1"/>
      <c r="J378" s="1"/>
      <c r="K378" s="1">
        <v>13000</v>
      </c>
      <c r="L378" s="2">
        <v>45302</v>
      </c>
    </row>
    <row r="379" spans="1:12" x14ac:dyDescent="0.35">
      <c r="A379" s="1" t="s">
        <v>588</v>
      </c>
      <c r="B379" s="1" t="s">
        <v>256</v>
      </c>
      <c r="C379" s="1" t="s">
        <v>30</v>
      </c>
      <c r="D379" s="1" t="s">
        <v>31</v>
      </c>
      <c r="E379" s="1" t="s">
        <v>46</v>
      </c>
      <c r="F379" s="1" t="s">
        <v>17</v>
      </c>
      <c r="G379" s="1" t="s">
        <v>18</v>
      </c>
      <c r="H379" s="1">
        <v>15259</v>
      </c>
      <c r="I379" s="1" t="s">
        <v>19</v>
      </c>
      <c r="J379" s="1">
        <v>0.2</v>
      </c>
      <c r="K379" s="1">
        <v>17000</v>
      </c>
      <c r="L379" s="2">
        <v>45319</v>
      </c>
    </row>
    <row r="380" spans="1:12" x14ac:dyDescent="0.35">
      <c r="A380" s="1" t="s">
        <v>589</v>
      </c>
      <c r="B380" s="1" t="s">
        <v>70</v>
      </c>
      <c r="C380" s="1" t="s">
        <v>30</v>
      </c>
      <c r="D380" s="1" t="s">
        <v>31</v>
      </c>
      <c r="E380" s="1" t="s">
        <v>46</v>
      </c>
      <c r="F380" s="1" t="s">
        <v>25</v>
      </c>
      <c r="G380" s="1" t="s">
        <v>36</v>
      </c>
      <c r="H380" s="1">
        <v>16030</v>
      </c>
      <c r="I380" s="1" t="s">
        <v>19</v>
      </c>
      <c r="J380" s="1">
        <v>0.2</v>
      </c>
      <c r="K380" s="1">
        <v>17000</v>
      </c>
      <c r="L380" s="2">
        <v>45338</v>
      </c>
    </row>
    <row r="381" spans="1:12" x14ac:dyDescent="0.35">
      <c r="A381" s="1" t="s">
        <v>590</v>
      </c>
      <c r="B381" s="1" t="s">
        <v>591</v>
      </c>
      <c r="C381" s="1" t="s">
        <v>44</v>
      </c>
      <c r="D381" s="1" t="s">
        <v>45</v>
      </c>
      <c r="E381" s="1" t="s">
        <v>46</v>
      </c>
      <c r="F381" s="1" t="s">
        <v>25</v>
      </c>
      <c r="G381" s="1" t="s">
        <v>18</v>
      </c>
      <c r="H381" s="1">
        <v>12247</v>
      </c>
      <c r="I381" s="1" t="s">
        <v>22</v>
      </c>
      <c r="J381" s="1">
        <v>0.1</v>
      </c>
      <c r="K381" s="1">
        <v>13000</v>
      </c>
      <c r="L381" s="2">
        <v>45352</v>
      </c>
    </row>
    <row r="382" spans="1:12" x14ac:dyDescent="0.35">
      <c r="A382" s="1" t="s">
        <v>592</v>
      </c>
      <c r="B382" s="1" t="s">
        <v>474</v>
      </c>
      <c r="C382" s="1" t="s">
        <v>61</v>
      </c>
      <c r="D382" s="1" t="s">
        <v>62</v>
      </c>
      <c r="E382" s="1" t="s">
        <v>46</v>
      </c>
      <c r="F382" s="1" t="s">
        <v>17</v>
      </c>
      <c r="G382" s="1" t="s">
        <v>36</v>
      </c>
      <c r="H382" s="1">
        <v>8763</v>
      </c>
      <c r="I382" s="1" t="s">
        <v>27</v>
      </c>
      <c r="J382" s="1"/>
      <c r="K382" s="1">
        <v>9000</v>
      </c>
      <c r="L382" s="2">
        <v>45300</v>
      </c>
    </row>
    <row r="383" spans="1:12" x14ac:dyDescent="0.35">
      <c r="A383" s="1" t="s">
        <v>593</v>
      </c>
      <c r="B383" s="1" t="s">
        <v>131</v>
      </c>
      <c r="C383" s="1" t="s">
        <v>44</v>
      </c>
      <c r="D383" s="1" t="s">
        <v>45</v>
      </c>
      <c r="E383" s="1" t="s">
        <v>46</v>
      </c>
      <c r="F383" s="1" t="s">
        <v>17</v>
      </c>
      <c r="G383" s="1" t="s">
        <v>18</v>
      </c>
      <c r="H383" s="1">
        <v>14950</v>
      </c>
      <c r="I383" s="1"/>
      <c r="J383" s="1"/>
      <c r="K383" s="1">
        <v>13000</v>
      </c>
      <c r="L383" s="2">
        <v>45312</v>
      </c>
    </row>
    <row r="384" spans="1:12" x14ac:dyDescent="0.35">
      <c r="A384" s="1" t="s">
        <v>594</v>
      </c>
      <c r="B384" s="1" t="s">
        <v>350</v>
      </c>
      <c r="C384" s="1" t="s">
        <v>61</v>
      </c>
      <c r="D384" s="1" t="s">
        <v>62</v>
      </c>
      <c r="E384" s="1" t="s">
        <v>16</v>
      </c>
      <c r="F384" s="1" t="s">
        <v>25</v>
      </c>
      <c r="G384" s="1" t="s">
        <v>36</v>
      </c>
      <c r="H384" s="1">
        <v>8540</v>
      </c>
      <c r="I384" s="1" t="s">
        <v>33</v>
      </c>
      <c r="J384" s="1">
        <v>0.3</v>
      </c>
      <c r="K384" s="1">
        <v>9000</v>
      </c>
      <c r="L384" s="2">
        <v>45344</v>
      </c>
    </row>
    <row r="385" spans="1:12" x14ac:dyDescent="0.35">
      <c r="A385" s="1" t="s">
        <v>595</v>
      </c>
      <c r="B385" s="1" t="s">
        <v>180</v>
      </c>
      <c r="C385" s="1" t="s">
        <v>30</v>
      </c>
      <c r="D385" s="1" t="s">
        <v>31</v>
      </c>
      <c r="E385" s="1" t="s">
        <v>32</v>
      </c>
      <c r="F385" s="1" t="s">
        <v>39</v>
      </c>
      <c r="G385" s="1" t="s">
        <v>18</v>
      </c>
      <c r="H385" s="1">
        <v>17425</v>
      </c>
      <c r="I385" s="1" t="s">
        <v>27</v>
      </c>
      <c r="J385" s="1"/>
      <c r="K385" s="1">
        <v>17000</v>
      </c>
      <c r="L385" s="2">
        <v>45303</v>
      </c>
    </row>
    <row r="386" spans="1:12" x14ac:dyDescent="0.35">
      <c r="A386" s="1" t="s">
        <v>596</v>
      </c>
      <c r="B386" s="1" t="s">
        <v>270</v>
      </c>
      <c r="C386" s="1" t="s">
        <v>14</v>
      </c>
      <c r="D386" s="1" t="s">
        <v>15</v>
      </c>
      <c r="E386" s="1" t="s">
        <v>16</v>
      </c>
      <c r="F386" s="1" t="s">
        <v>17</v>
      </c>
      <c r="G386" s="1" t="s">
        <v>26</v>
      </c>
      <c r="H386" s="1">
        <v>12858</v>
      </c>
      <c r="I386" s="1"/>
      <c r="J386" s="1"/>
      <c r="K386" s="1">
        <v>14000</v>
      </c>
      <c r="L386" s="2">
        <v>45343</v>
      </c>
    </row>
    <row r="387" spans="1:12" x14ac:dyDescent="0.35">
      <c r="A387" s="1" t="s">
        <v>597</v>
      </c>
      <c r="B387" s="1" t="s">
        <v>142</v>
      </c>
      <c r="C387" s="1" t="s">
        <v>14</v>
      </c>
      <c r="D387" s="1" t="s">
        <v>15</v>
      </c>
      <c r="E387" s="1" t="s">
        <v>46</v>
      </c>
      <c r="F387" s="1" t="s">
        <v>39</v>
      </c>
      <c r="G387" s="1" t="s">
        <v>36</v>
      </c>
      <c r="H387" s="1">
        <v>12570</v>
      </c>
      <c r="I387" s="1" t="s">
        <v>33</v>
      </c>
      <c r="J387" s="1">
        <v>0.3</v>
      </c>
      <c r="K387" s="1">
        <v>14000</v>
      </c>
      <c r="L387" s="2">
        <v>45307</v>
      </c>
    </row>
    <row r="388" spans="1:12" x14ac:dyDescent="0.35">
      <c r="A388" s="1" t="s">
        <v>598</v>
      </c>
      <c r="B388" s="1" t="s">
        <v>286</v>
      </c>
      <c r="C388" s="1" t="s">
        <v>44</v>
      </c>
      <c r="D388" s="1" t="s">
        <v>45</v>
      </c>
      <c r="E388" s="1" t="s">
        <v>16</v>
      </c>
      <c r="F388" s="1" t="s">
        <v>17</v>
      </c>
      <c r="G388" s="1" t="s">
        <v>36</v>
      </c>
      <c r="H388" s="1">
        <v>11302</v>
      </c>
      <c r="I388" s="1"/>
      <c r="J388" s="1"/>
      <c r="K388" s="1">
        <v>13000</v>
      </c>
      <c r="L388" s="2">
        <v>45330</v>
      </c>
    </row>
    <row r="389" spans="1:12" x14ac:dyDescent="0.35">
      <c r="A389" s="1" t="s">
        <v>599</v>
      </c>
      <c r="B389" s="1" t="s">
        <v>600</v>
      </c>
      <c r="C389" s="1" t="s">
        <v>61</v>
      </c>
      <c r="D389" s="1" t="s">
        <v>62</v>
      </c>
      <c r="E389" s="1" t="s">
        <v>16</v>
      </c>
      <c r="F389" s="1" t="s">
        <v>39</v>
      </c>
      <c r="G389" s="1" t="s">
        <v>26</v>
      </c>
      <c r="H389" s="1">
        <v>8713</v>
      </c>
      <c r="I389" s="1" t="s">
        <v>27</v>
      </c>
      <c r="J389" s="1"/>
      <c r="K389" s="1">
        <v>9000</v>
      </c>
      <c r="L389" s="2">
        <v>45294</v>
      </c>
    </row>
    <row r="390" spans="1:12" x14ac:dyDescent="0.35">
      <c r="A390" s="1" t="s">
        <v>601</v>
      </c>
      <c r="B390" s="1" t="s">
        <v>602</v>
      </c>
      <c r="C390" s="1" t="s">
        <v>14</v>
      </c>
      <c r="D390" s="1" t="s">
        <v>15</v>
      </c>
      <c r="E390" s="1" t="s">
        <v>32</v>
      </c>
      <c r="F390" s="1" t="s">
        <v>25</v>
      </c>
      <c r="G390" s="1" t="s">
        <v>26</v>
      </c>
      <c r="H390" s="1">
        <v>14722</v>
      </c>
      <c r="I390" s="1" t="s">
        <v>33</v>
      </c>
      <c r="J390" s="1">
        <v>0.3</v>
      </c>
      <c r="K390" s="1">
        <v>14000</v>
      </c>
      <c r="L390" s="2">
        <v>45302</v>
      </c>
    </row>
    <row r="391" spans="1:12" x14ac:dyDescent="0.35">
      <c r="A391" s="1" t="s">
        <v>603</v>
      </c>
      <c r="B391" s="1" t="s">
        <v>163</v>
      </c>
      <c r="C391" s="1" t="s">
        <v>14</v>
      </c>
      <c r="D391" s="1" t="s">
        <v>15</v>
      </c>
      <c r="E391" s="1" t="s">
        <v>16</v>
      </c>
      <c r="F391" s="1" t="s">
        <v>39</v>
      </c>
      <c r="G391" s="1" t="s">
        <v>26</v>
      </c>
      <c r="H391" s="1">
        <v>14649</v>
      </c>
      <c r="I391" s="1"/>
      <c r="J391" s="1"/>
      <c r="K391" s="1">
        <v>14000</v>
      </c>
      <c r="L391" s="2">
        <v>45340</v>
      </c>
    </row>
    <row r="392" spans="1:12" x14ac:dyDescent="0.35">
      <c r="A392" s="1" t="s">
        <v>604</v>
      </c>
      <c r="B392" s="1" t="s">
        <v>478</v>
      </c>
      <c r="C392" s="1" t="s">
        <v>61</v>
      </c>
      <c r="D392" s="1" t="s">
        <v>62</v>
      </c>
      <c r="E392" s="1" t="s">
        <v>32</v>
      </c>
      <c r="F392" s="1" t="s">
        <v>25</v>
      </c>
      <c r="G392" s="1" t="s">
        <v>18</v>
      </c>
      <c r="H392" s="1">
        <v>8059</v>
      </c>
      <c r="I392" s="1" t="s">
        <v>19</v>
      </c>
      <c r="J392" s="1">
        <v>0.2</v>
      </c>
      <c r="K392" s="1">
        <v>9000</v>
      </c>
      <c r="L392" s="2">
        <v>45324</v>
      </c>
    </row>
    <row r="393" spans="1:12" x14ac:dyDescent="0.35">
      <c r="A393" s="1" t="s">
        <v>605</v>
      </c>
      <c r="B393" s="1" t="s">
        <v>103</v>
      </c>
      <c r="C393" s="1" t="s">
        <v>44</v>
      </c>
      <c r="D393" s="1" t="s">
        <v>45</v>
      </c>
      <c r="E393" s="1" t="s">
        <v>46</v>
      </c>
      <c r="F393" s="1" t="s">
        <v>17</v>
      </c>
      <c r="G393" s="1" t="s">
        <v>36</v>
      </c>
      <c r="H393" s="1">
        <v>12896</v>
      </c>
      <c r="I393" s="1" t="s">
        <v>27</v>
      </c>
      <c r="J393" s="1"/>
      <c r="K393" s="1">
        <v>13000</v>
      </c>
      <c r="L393" s="2">
        <v>45336</v>
      </c>
    </row>
    <row r="394" spans="1:12" x14ac:dyDescent="0.35">
      <c r="A394" s="1" t="s">
        <v>606</v>
      </c>
      <c r="B394" s="1" t="s">
        <v>80</v>
      </c>
      <c r="C394" s="1" t="s">
        <v>30</v>
      </c>
      <c r="D394" s="1" t="s">
        <v>31</v>
      </c>
      <c r="E394" s="1" t="s">
        <v>32</v>
      </c>
      <c r="F394" s="1" t="s">
        <v>17</v>
      </c>
      <c r="G394" s="1" t="s">
        <v>18</v>
      </c>
      <c r="H394" s="1">
        <v>16210</v>
      </c>
      <c r="I394" s="1"/>
      <c r="J394" s="1"/>
      <c r="K394" s="1">
        <v>17000</v>
      </c>
      <c r="L394" s="2">
        <v>45350</v>
      </c>
    </row>
    <row r="395" spans="1:12" x14ac:dyDescent="0.35">
      <c r="A395" s="1" t="s">
        <v>607</v>
      </c>
      <c r="B395" s="1" t="s">
        <v>78</v>
      </c>
      <c r="C395" s="1" t="s">
        <v>44</v>
      </c>
      <c r="D395" s="1" t="s">
        <v>45</v>
      </c>
      <c r="E395" s="1" t="s">
        <v>46</v>
      </c>
      <c r="F395" s="1" t="s">
        <v>17</v>
      </c>
      <c r="G395" s="1" t="s">
        <v>36</v>
      </c>
      <c r="H395" s="1">
        <v>12865</v>
      </c>
      <c r="I395" s="1" t="s">
        <v>19</v>
      </c>
      <c r="J395" s="1">
        <v>0.2</v>
      </c>
      <c r="K395" s="1">
        <v>13000</v>
      </c>
      <c r="L395" s="2">
        <v>45325</v>
      </c>
    </row>
    <row r="396" spans="1:12" x14ac:dyDescent="0.35">
      <c r="A396" s="1" t="s">
        <v>608</v>
      </c>
      <c r="B396" s="1" t="s">
        <v>188</v>
      </c>
      <c r="C396" s="1" t="s">
        <v>61</v>
      </c>
      <c r="D396" s="1" t="s">
        <v>62</v>
      </c>
      <c r="E396" s="1" t="s">
        <v>32</v>
      </c>
      <c r="F396" s="1" t="s">
        <v>17</v>
      </c>
      <c r="G396" s="1" t="s">
        <v>26</v>
      </c>
      <c r="H396" s="1">
        <v>9853</v>
      </c>
      <c r="I396" s="1"/>
      <c r="J396" s="1"/>
      <c r="K396" s="1">
        <v>9000</v>
      </c>
      <c r="L396" s="2">
        <v>45312</v>
      </c>
    </row>
    <row r="397" spans="1:12" x14ac:dyDescent="0.35">
      <c r="A397" s="1" t="s">
        <v>609</v>
      </c>
      <c r="B397" s="1" t="s">
        <v>263</v>
      </c>
      <c r="C397" s="1" t="s">
        <v>14</v>
      </c>
      <c r="D397" s="1" t="s">
        <v>15</v>
      </c>
      <c r="E397" s="1" t="s">
        <v>16</v>
      </c>
      <c r="F397" s="1" t="s">
        <v>25</v>
      </c>
      <c r="G397" s="1" t="s">
        <v>18</v>
      </c>
      <c r="H397" s="1">
        <v>15478</v>
      </c>
      <c r="I397" s="1" t="s">
        <v>33</v>
      </c>
      <c r="J397" s="1">
        <v>0.3</v>
      </c>
      <c r="K397" s="1">
        <v>14000</v>
      </c>
      <c r="L397" s="2">
        <v>45333</v>
      </c>
    </row>
    <row r="398" spans="1:12" x14ac:dyDescent="0.35">
      <c r="A398" s="1" t="s">
        <v>610</v>
      </c>
      <c r="B398" s="1" t="s">
        <v>21</v>
      </c>
      <c r="C398" s="1" t="s">
        <v>44</v>
      </c>
      <c r="D398" s="1" t="s">
        <v>45</v>
      </c>
      <c r="E398" s="1" t="s">
        <v>16</v>
      </c>
      <c r="F398" s="1" t="s">
        <v>25</v>
      </c>
      <c r="G398" s="1" t="s">
        <v>26</v>
      </c>
      <c r="H398" s="1">
        <v>11714</v>
      </c>
      <c r="I398" s="1" t="s">
        <v>27</v>
      </c>
      <c r="J398" s="1"/>
      <c r="K398" s="1">
        <v>13000</v>
      </c>
      <c r="L398" s="2">
        <v>45302</v>
      </c>
    </row>
    <row r="399" spans="1:12" x14ac:dyDescent="0.35">
      <c r="A399" s="1" t="s">
        <v>611</v>
      </c>
      <c r="B399" s="1" t="s">
        <v>301</v>
      </c>
      <c r="C399" s="1" t="s">
        <v>61</v>
      </c>
      <c r="D399" s="1" t="s">
        <v>62</v>
      </c>
      <c r="E399" s="1" t="s">
        <v>46</v>
      </c>
      <c r="F399" s="1" t="s">
        <v>25</v>
      </c>
      <c r="G399" s="1" t="s">
        <v>36</v>
      </c>
      <c r="H399" s="1">
        <v>9579</v>
      </c>
      <c r="I399" s="1" t="s">
        <v>19</v>
      </c>
      <c r="J399" s="1">
        <v>0.2</v>
      </c>
      <c r="K399" s="1">
        <v>9000</v>
      </c>
      <c r="L399" s="2">
        <v>45303</v>
      </c>
    </row>
    <row r="400" spans="1:12" x14ac:dyDescent="0.35">
      <c r="A400" s="1" t="s">
        <v>612</v>
      </c>
      <c r="B400" s="1" t="s">
        <v>92</v>
      </c>
      <c r="C400" s="1" t="s">
        <v>61</v>
      </c>
      <c r="D400" s="1" t="s">
        <v>62</v>
      </c>
      <c r="E400" s="1" t="s">
        <v>46</v>
      </c>
      <c r="F400" s="1" t="s">
        <v>25</v>
      </c>
      <c r="G400" s="1" t="s">
        <v>26</v>
      </c>
      <c r="H400" s="1">
        <v>9515</v>
      </c>
      <c r="I400" s="1" t="s">
        <v>19</v>
      </c>
      <c r="J400" s="1">
        <v>0.2</v>
      </c>
      <c r="K400" s="1">
        <v>9000</v>
      </c>
      <c r="L400" s="2">
        <v>45320</v>
      </c>
    </row>
    <row r="401" spans="1:12" x14ac:dyDescent="0.35">
      <c r="A401" s="1" t="s">
        <v>613</v>
      </c>
      <c r="B401" s="1" t="s">
        <v>337</v>
      </c>
      <c r="C401" s="1" t="s">
        <v>61</v>
      </c>
      <c r="D401" s="1" t="s">
        <v>62</v>
      </c>
      <c r="E401" s="1" t="s">
        <v>32</v>
      </c>
      <c r="F401" s="1" t="s">
        <v>39</v>
      </c>
      <c r="G401" s="1" t="s">
        <v>18</v>
      </c>
      <c r="H401" s="1">
        <v>7842</v>
      </c>
      <c r="I401" s="1" t="s">
        <v>33</v>
      </c>
      <c r="J401" s="1">
        <v>0.3</v>
      </c>
      <c r="K401" s="1">
        <v>9000</v>
      </c>
      <c r="L401" s="2">
        <v>45340</v>
      </c>
    </row>
    <row r="402" spans="1:12" x14ac:dyDescent="0.35">
      <c r="A402" s="1" t="s">
        <v>614</v>
      </c>
      <c r="B402" s="1" t="s">
        <v>276</v>
      </c>
      <c r="C402" s="1" t="s">
        <v>14</v>
      </c>
      <c r="D402" s="1" t="s">
        <v>15</v>
      </c>
      <c r="E402" s="1" t="s">
        <v>16</v>
      </c>
      <c r="F402" s="1" t="s">
        <v>25</v>
      </c>
      <c r="G402" s="1" t="s">
        <v>26</v>
      </c>
      <c r="H402" s="1">
        <v>12765</v>
      </c>
      <c r="I402" s="1" t="s">
        <v>33</v>
      </c>
      <c r="J402" s="1">
        <v>0.3</v>
      </c>
      <c r="K402" s="1">
        <v>14000</v>
      </c>
      <c r="L402" s="2">
        <v>45312</v>
      </c>
    </row>
    <row r="403" spans="1:12" x14ac:dyDescent="0.35">
      <c r="A403" s="1" t="s">
        <v>615</v>
      </c>
      <c r="B403" s="1" t="s">
        <v>29</v>
      </c>
      <c r="C403" s="1" t="s">
        <v>14</v>
      </c>
      <c r="D403" s="1" t="s">
        <v>15</v>
      </c>
      <c r="E403" s="1" t="s">
        <v>46</v>
      </c>
      <c r="F403" s="1" t="s">
        <v>39</v>
      </c>
      <c r="G403" s="1" t="s">
        <v>36</v>
      </c>
      <c r="H403" s="1">
        <v>14161</v>
      </c>
      <c r="I403" s="1" t="s">
        <v>33</v>
      </c>
      <c r="J403" s="1">
        <v>0.3</v>
      </c>
      <c r="K403" s="1">
        <v>14000</v>
      </c>
      <c r="L403" s="2">
        <v>45330</v>
      </c>
    </row>
    <row r="404" spans="1:12" x14ac:dyDescent="0.35">
      <c r="A404" s="1" t="s">
        <v>616</v>
      </c>
      <c r="B404" s="1" t="s">
        <v>617</v>
      </c>
      <c r="C404" s="1" t="s">
        <v>61</v>
      </c>
      <c r="D404" s="1" t="s">
        <v>62</v>
      </c>
      <c r="E404" s="1" t="s">
        <v>16</v>
      </c>
      <c r="F404" s="1" t="s">
        <v>25</v>
      </c>
      <c r="G404" s="1" t="s">
        <v>36</v>
      </c>
      <c r="H404" s="1">
        <v>8441</v>
      </c>
      <c r="I404" s="1"/>
      <c r="J404" s="1"/>
      <c r="K404" s="1">
        <v>9000</v>
      </c>
      <c r="L404" s="2">
        <v>45331</v>
      </c>
    </row>
    <row r="405" spans="1:12" x14ac:dyDescent="0.35">
      <c r="A405" s="1" t="s">
        <v>618</v>
      </c>
      <c r="B405" s="1" t="s">
        <v>619</v>
      </c>
      <c r="C405" s="1" t="s">
        <v>30</v>
      </c>
      <c r="D405" s="1" t="s">
        <v>31</v>
      </c>
      <c r="E405" s="1" t="s">
        <v>16</v>
      </c>
      <c r="F405" s="1" t="s">
        <v>39</v>
      </c>
      <c r="G405" s="1" t="s">
        <v>18</v>
      </c>
      <c r="H405" s="1">
        <v>17752</v>
      </c>
      <c r="I405" s="1" t="s">
        <v>19</v>
      </c>
      <c r="J405" s="1">
        <v>0.2</v>
      </c>
      <c r="K405" s="1">
        <v>17000</v>
      </c>
      <c r="L405" s="2">
        <v>45312</v>
      </c>
    </row>
    <row r="406" spans="1:12" x14ac:dyDescent="0.35">
      <c r="A406" s="1" t="s">
        <v>620</v>
      </c>
      <c r="B406" s="1" t="s">
        <v>248</v>
      </c>
      <c r="C406" s="1" t="s">
        <v>30</v>
      </c>
      <c r="D406" s="1" t="s">
        <v>31</v>
      </c>
      <c r="E406" s="1" t="s">
        <v>32</v>
      </c>
      <c r="F406" s="1" t="s">
        <v>25</v>
      </c>
      <c r="G406" s="1" t="s">
        <v>36</v>
      </c>
      <c r="H406" s="1">
        <v>17840</v>
      </c>
      <c r="I406" s="1" t="s">
        <v>19</v>
      </c>
      <c r="J406" s="1">
        <v>0.2</v>
      </c>
      <c r="K406" s="1">
        <v>17000</v>
      </c>
      <c r="L406" s="2">
        <v>45324</v>
      </c>
    </row>
    <row r="407" spans="1:12" x14ac:dyDescent="0.35">
      <c r="A407" s="1" t="s">
        <v>621</v>
      </c>
      <c r="B407" s="1" t="s">
        <v>177</v>
      </c>
      <c r="C407" s="1" t="s">
        <v>44</v>
      </c>
      <c r="D407" s="1" t="s">
        <v>45</v>
      </c>
      <c r="E407" s="1" t="s">
        <v>16</v>
      </c>
      <c r="F407" s="1" t="s">
        <v>17</v>
      </c>
      <c r="G407" s="1" t="s">
        <v>36</v>
      </c>
      <c r="H407" s="1">
        <v>11760</v>
      </c>
      <c r="I407" s="1"/>
      <c r="J407" s="1"/>
      <c r="K407" s="1">
        <v>13000</v>
      </c>
      <c r="L407" s="2">
        <v>45332</v>
      </c>
    </row>
    <row r="408" spans="1:12" x14ac:dyDescent="0.35">
      <c r="A408" s="1" t="s">
        <v>622</v>
      </c>
      <c r="B408" s="1" t="s">
        <v>548</v>
      </c>
      <c r="C408" s="1" t="s">
        <v>44</v>
      </c>
      <c r="D408" s="1" t="s">
        <v>45</v>
      </c>
      <c r="E408" s="1" t="s">
        <v>16</v>
      </c>
      <c r="F408" s="1" t="s">
        <v>25</v>
      </c>
      <c r="G408" s="1" t="s">
        <v>36</v>
      </c>
      <c r="H408" s="1">
        <v>12183</v>
      </c>
      <c r="I408" s="1" t="s">
        <v>19</v>
      </c>
      <c r="J408" s="1">
        <v>0.2</v>
      </c>
      <c r="K408" s="1">
        <v>13000</v>
      </c>
      <c r="L408" s="2">
        <v>45303</v>
      </c>
    </row>
    <row r="409" spans="1:12" x14ac:dyDescent="0.35">
      <c r="A409" s="1" t="s">
        <v>623</v>
      </c>
      <c r="B409" s="1" t="s">
        <v>624</v>
      </c>
      <c r="C409" s="1" t="s">
        <v>61</v>
      </c>
      <c r="D409" s="1" t="s">
        <v>62</v>
      </c>
      <c r="E409" s="1" t="s">
        <v>16</v>
      </c>
      <c r="F409" s="1" t="s">
        <v>25</v>
      </c>
      <c r="G409" s="1" t="s">
        <v>36</v>
      </c>
      <c r="H409" s="1">
        <v>10898</v>
      </c>
      <c r="I409" s="1" t="s">
        <v>22</v>
      </c>
      <c r="J409" s="1">
        <v>0.1</v>
      </c>
      <c r="K409" s="1">
        <v>9000</v>
      </c>
      <c r="L409" s="2">
        <v>45323</v>
      </c>
    </row>
    <row r="410" spans="1:12" x14ac:dyDescent="0.35">
      <c r="A410" s="1" t="s">
        <v>625</v>
      </c>
      <c r="B410" s="1" t="s">
        <v>35</v>
      </c>
      <c r="C410" s="1" t="s">
        <v>61</v>
      </c>
      <c r="D410" s="1" t="s">
        <v>62</v>
      </c>
      <c r="E410" s="1" t="s">
        <v>16</v>
      </c>
      <c r="F410" s="1" t="s">
        <v>39</v>
      </c>
      <c r="G410" s="1" t="s">
        <v>26</v>
      </c>
      <c r="H410" s="1">
        <v>9027</v>
      </c>
      <c r="I410" s="1"/>
      <c r="J410" s="1"/>
      <c r="K410" s="1">
        <v>9000</v>
      </c>
      <c r="L410" s="2">
        <v>45335</v>
      </c>
    </row>
    <row r="411" spans="1:12" x14ac:dyDescent="0.35">
      <c r="A411" s="1" t="s">
        <v>626</v>
      </c>
      <c r="B411" s="1" t="s">
        <v>52</v>
      </c>
      <c r="C411" s="1" t="s">
        <v>61</v>
      </c>
      <c r="D411" s="1" t="s">
        <v>62</v>
      </c>
      <c r="E411" s="1" t="s">
        <v>46</v>
      </c>
      <c r="F411" s="1" t="s">
        <v>25</v>
      </c>
      <c r="G411" s="1" t="s">
        <v>18</v>
      </c>
      <c r="H411" s="1">
        <v>9315</v>
      </c>
      <c r="I411" s="1" t="s">
        <v>22</v>
      </c>
      <c r="J411" s="1">
        <v>0.1</v>
      </c>
      <c r="K411" s="1">
        <v>9000</v>
      </c>
      <c r="L411" s="2">
        <v>45342</v>
      </c>
    </row>
    <row r="412" spans="1:12" x14ac:dyDescent="0.35">
      <c r="A412" s="1" t="s">
        <v>627</v>
      </c>
      <c r="B412" s="1" t="s">
        <v>294</v>
      </c>
      <c r="C412" s="1" t="s">
        <v>30</v>
      </c>
      <c r="D412" s="1" t="s">
        <v>31</v>
      </c>
      <c r="E412" s="1" t="s">
        <v>32</v>
      </c>
      <c r="F412" s="1" t="s">
        <v>17</v>
      </c>
      <c r="G412" s="1" t="s">
        <v>18</v>
      </c>
      <c r="H412" s="1">
        <v>17202</v>
      </c>
      <c r="I412" s="1" t="s">
        <v>33</v>
      </c>
      <c r="J412" s="1">
        <v>0.3</v>
      </c>
      <c r="K412" s="1">
        <v>17000</v>
      </c>
      <c r="L412" s="2">
        <v>45302</v>
      </c>
    </row>
    <row r="413" spans="1:12" x14ac:dyDescent="0.35">
      <c r="A413" s="1" t="s">
        <v>628</v>
      </c>
      <c r="B413" s="1" t="s">
        <v>298</v>
      </c>
      <c r="C413" s="1" t="s">
        <v>61</v>
      </c>
      <c r="D413" s="1" t="s">
        <v>62</v>
      </c>
      <c r="E413" s="1" t="s">
        <v>16</v>
      </c>
      <c r="F413" s="1" t="s">
        <v>39</v>
      </c>
      <c r="G413" s="1" t="s">
        <v>18</v>
      </c>
      <c r="H413" s="1">
        <v>9345</v>
      </c>
      <c r="I413" s="1" t="s">
        <v>22</v>
      </c>
      <c r="J413" s="1">
        <v>0.1</v>
      </c>
      <c r="K413" s="1">
        <v>9000</v>
      </c>
      <c r="L413" s="2">
        <v>45309</v>
      </c>
    </row>
    <row r="414" spans="1:12" x14ac:dyDescent="0.35">
      <c r="A414" s="1" t="s">
        <v>629</v>
      </c>
      <c r="B414" s="1" t="s">
        <v>133</v>
      </c>
      <c r="C414" s="1" t="s">
        <v>30</v>
      </c>
      <c r="D414" s="1" t="s">
        <v>31</v>
      </c>
      <c r="E414" s="1" t="s">
        <v>16</v>
      </c>
      <c r="F414" s="1" t="s">
        <v>25</v>
      </c>
      <c r="G414" s="1" t="s">
        <v>26</v>
      </c>
      <c r="H414" s="1">
        <v>16807</v>
      </c>
      <c r="I414" s="1" t="s">
        <v>27</v>
      </c>
      <c r="J414" s="1"/>
      <c r="K414" s="1">
        <v>17000</v>
      </c>
      <c r="L414" s="2">
        <v>45305</v>
      </c>
    </row>
    <row r="415" spans="1:12" x14ac:dyDescent="0.35">
      <c r="A415" s="1" t="s">
        <v>630</v>
      </c>
      <c r="B415" s="1" t="s">
        <v>41</v>
      </c>
      <c r="C415" s="1" t="s">
        <v>44</v>
      </c>
      <c r="D415" s="1" t="s">
        <v>45</v>
      </c>
      <c r="E415" s="1" t="s">
        <v>46</v>
      </c>
      <c r="F415" s="1" t="s">
        <v>25</v>
      </c>
      <c r="G415" s="1" t="s">
        <v>36</v>
      </c>
      <c r="H415" s="1">
        <v>12076</v>
      </c>
      <c r="I415" s="1" t="s">
        <v>33</v>
      </c>
      <c r="J415" s="1">
        <v>0.3</v>
      </c>
      <c r="K415" s="1">
        <v>13000</v>
      </c>
      <c r="L415" s="2">
        <v>45347</v>
      </c>
    </row>
    <row r="416" spans="1:12" x14ac:dyDescent="0.35">
      <c r="A416" s="1" t="s">
        <v>631</v>
      </c>
      <c r="B416" s="1" t="s">
        <v>96</v>
      </c>
      <c r="C416" s="1" t="s">
        <v>61</v>
      </c>
      <c r="D416" s="1" t="s">
        <v>62</v>
      </c>
      <c r="E416" s="1" t="s">
        <v>32</v>
      </c>
      <c r="F416" s="1" t="s">
        <v>25</v>
      </c>
      <c r="G416" s="1" t="s">
        <v>18</v>
      </c>
      <c r="H416" s="1">
        <v>10320</v>
      </c>
      <c r="I416" s="1" t="s">
        <v>27</v>
      </c>
      <c r="J416" s="1"/>
      <c r="K416" s="1">
        <v>9000</v>
      </c>
      <c r="L416" s="2">
        <v>45336</v>
      </c>
    </row>
    <row r="417" spans="1:12" x14ac:dyDescent="0.35">
      <c r="A417" s="1" t="s">
        <v>632</v>
      </c>
      <c r="B417" s="1" t="s">
        <v>624</v>
      </c>
      <c r="C417" s="1" t="s">
        <v>61</v>
      </c>
      <c r="D417" s="1" t="s">
        <v>62</v>
      </c>
      <c r="E417" s="1" t="s">
        <v>32</v>
      </c>
      <c r="F417" s="1" t="s">
        <v>39</v>
      </c>
      <c r="G417" s="1" t="s">
        <v>18</v>
      </c>
      <c r="H417" s="1">
        <v>10214</v>
      </c>
      <c r="I417" s="1" t="s">
        <v>19</v>
      </c>
      <c r="J417" s="1">
        <v>0.2</v>
      </c>
      <c r="K417" s="1">
        <v>9000</v>
      </c>
      <c r="L417" s="2">
        <v>45344</v>
      </c>
    </row>
    <row r="418" spans="1:12" x14ac:dyDescent="0.35">
      <c r="A418" s="1" t="s">
        <v>633</v>
      </c>
      <c r="B418" s="1" t="s">
        <v>401</v>
      </c>
      <c r="C418" s="1" t="s">
        <v>14</v>
      </c>
      <c r="D418" s="1" t="s">
        <v>15</v>
      </c>
      <c r="E418" s="1" t="s">
        <v>16</v>
      </c>
      <c r="F418" s="1" t="s">
        <v>17</v>
      </c>
      <c r="G418" s="1" t="s">
        <v>26</v>
      </c>
      <c r="H418" s="1">
        <v>13151</v>
      </c>
      <c r="I418" s="1" t="s">
        <v>27</v>
      </c>
      <c r="J418" s="1"/>
      <c r="K418" s="1">
        <v>14000</v>
      </c>
      <c r="L418" s="2">
        <v>45326</v>
      </c>
    </row>
    <row r="419" spans="1:12" x14ac:dyDescent="0.35">
      <c r="A419" s="1" t="s">
        <v>634</v>
      </c>
      <c r="B419" s="1" t="s">
        <v>74</v>
      </c>
      <c r="C419" s="1" t="s">
        <v>30</v>
      </c>
      <c r="D419" s="1" t="s">
        <v>31</v>
      </c>
      <c r="E419" s="1" t="s">
        <v>46</v>
      </c>
      <c r="F419" s="1" t="s">
        <v>39</v>
      </c>
      <c r="G419" s="1" t="s">
        <v>36</v>
      </c>
      <c r="H419" s="1">
        <v>18901</v>
      </c>
      <c r="I419" s="1" t="s">
        <v>27</v>
      </c>
      <c r="J419" s="1"/>
      <c r="K419" s="1">
        <v>17000</v>
      </c>
      <c r="L419" s="2">
        <v>45349</v>
      </c>
    </row>
    <row r="420" spans="1:12" x14ac:dyDescent="0.35">
      <c r="A420" s="1" t="s">
        <v>635</v>
      </c>
      <c r="B420" s="1" t="s">
        <v>204</v>
      </c>
      <c r="C420" s="1" t="s">
        <v>14</v>
      </c>
      <c r="D420" s="1" t="s">
        <v>15</v>
      </c>
      <c r="E420" s="1" t="s">
        <v>32</v>
      </c>
      <c r="F420" s="1" t="s">
        <v>17</v>
      </c>
      <c r="G420" s="1" t="s">
        <v>18</v>
      </c>
      <c r="H420" s="1">
        <v>13135</v>
      </c>
      <c r="I420" s="1" t="s">
        <v>19</v>
      </c>
      <c r="J420" s="1">
        <v>0.2</v>
      </c>
      <c r="K420" s="1">
        <v>14000</v>
      </c>
      <c r="L420" s="2">
        <v>45336</v>
      </c>
    </row>
    <row r="421" spans="1:12" x14ac:dyDescent="0.35">
      <c r="A421" s="1" t="s">
        <v>636</v>
      </c>
      <c r="B421" s="1" t="s">
        <v>412</v>
      </c>
      <c r="C421" s="1" t="s">
        <v>44</v>
      </c>
      <c r="D421" s="1" t="s">
        <v>45</v>
      </c>
      <c r="E421" s="1" t="s">
        <v>32</v>
      </c>
      <c r="F421" s="1" t="s">
        <v>39</v>
      </c>
      <c r="G421" s="1" t="s">
        <v>36</v>
      </c>
      <c r="H421" s="1">
        <v>14393</v>
      </c>
      <c r="I421" s="1" t="s">
        <v>19</v>
      </c>
      <c r="J421" s="1">
        <v>0.2</v>
      </c>
      <c r="K421" s="1">
        <v>13000</v>
      </c>
      <c r="L421" s="2">
        <v>45340</v>
      </c>
    </row>
    <row r="422" spans="1:12" x14ac:dyDescent="0.35">
      <c r="A422" s="1" t="s">
        <v>637</v>
      </c>
      <c r="B422" s="1" t="s">
        <v>198</v>
      </c>
      <c r="C422" s="1" t="s">
        <v>61</v>
      </c>
      <c r="D422" s="1" t="s">
        <v>62</v>
      </c>
      <c r="E422" s="1" t="s">
        <v>46</v>
      </c>
      <c r="F422" s="1" t="s">
        <v>25</v>
      </c>
      <c r="G422" s="1" t="s">
        <v>26</v>
      </c>
      <c r="H422" s="1">
        <v>9590</v>
      </c>
      <c r="I422" s="1" t="s">
        <v>33</v>
      </c>
      <c r="J422" s="1">
        <v>0.3</v>
      </c>
      <c r="K422" s="1">
        <v>9000</v>
      </c>
      <c r="L422" s="2">
        <v>45332</v>
      </c>
    </row>
    <row r="423" spans="1:12" x14ac:dyDescent="0.35">
      <c r="A423" s="1" t="s">
        <v>638</v>
      </c>
      <c r="B423" s="1" t="s">
        <v>177</v>
      </c>
      <c r="C423" s="1" t="s">
        <v>61</v>
      </c>
      <c r="D423" s="1" t="s">
        <v>62</v>
      </c>
      <c r="E423" s="1" t="s">
        <v>32</v>
      </c>
      <c r="F423" s="1" t="s">
        <v>39</v>
      </c>
      <c r="G423" s="1" t="s">
        <v>18</v>
      </c>
      <c r="H423" s="1">
        <v>8650</v>
      </c>
      <c r="I423" s="1" t="s">
        <v>27</v>
      </c>
      <c r="J423" s="1"/>
      <c r="K423" s="1">
        <v>9000</v>
      </c>
      <c r="L423" s="2">
        <v>45339</v>
      </c>
    </row>
    <row r="424" spans="1:12" x14ac:dyDescent="0.35">
      <c r="A424" s="1" t="s">
        <v>639</v>
      </c>
      <c r="B424" s="1" t="s">
        <v>350</v>
      </c>
      <c r="C424" s="1" t="s">
        <v>30</v>
      </c>
      <c r="D424" s="1" t="s">
        <v>31</v>
      </c>
      <c r="E424" s="1" t="s">
        <v>46</v>
      </c>
      <c r="F424" s="1" t="s">
        <v>17</v>
      </c>
      <c r="G424" s="1" t="s">
        <v>36</v>
      </c>
      <c r="H424" s="1">
        <v>17383</v>
      </c>
      <c r="I424" s="1" t="s">
        <v>22</v>
      </c>
      <c r="J424" s="1">
        <v>0.1</v>
      </c>
      <c r="K424" s="1">
        <v>17000</v>
      </c>
      <c r="L424" s="2">
        <v>45347</v>
      </c>
    </row>
    <row r="425" spans="1:12" x14ac:dyDescent="0.35">
      <c r="A425" s="1" t="s">
        <v>640</v>
      </c>
      <c r="B425" s="1" t="s">
        <v>140</v>
      </c>
      <c r="C425" s="1" t="s">
        <v>14</v>
      </c>
      <c r="D425" s="1" t="s">
        <v>15</v>
      </c>
      <c r="E425" s="1" t="s">
        <v>16</v>
      </c>
      <c r="F425" s="1" t="s">
        <v>17</v>
      </c>
      <c r="G425" s="1" t="s">
        <v>26</v>
      </c>
      <c r="H425" s="1">
        <v>14720</v>
      </c>
      <c r="I425" s="1" t="s">
        <v>33</v>
      </c>
      <c r="J425" s="1">
        <v>0.3</v>
      </c>
      <c r="K425" s="1">
        <v>14000</v>
      </c>
      <c r="L425" s="2">
        <v>45346</v>
      </c>
    </row>
    <row r="426" spans="1:12" x14ac:dyDescent="0.35">
      <c r="A426" s="1" t="s">
        <v>641</v>
      </c>
      <c r="B426" s="1" t="s">
        <v>200</v>
      </c>
      <c r="C426" s="1" t="s">
        <v>61</v>
      </c>
      <c r="D426" s="1" t="s">
        <v>62</v>
      </c>
      <c r="E426" s="1" t="s">
        <v>32</v>
      </c>
      <c r="F426" s="1" t="s">
        <v>17</v>
      </c>
      <c r="G426" s="1" t="s">
        <v>18</v>
      </c>
      <c r="H426" s="1">
        <v>9026</v>
      </c>
      <c r="I426" s="1" t="s">
        <v>33</v>
      </c>
      <c r="J426" s="1">
        <v>0.3</v>
      </c>
      <c r="K426" s="1">
        <v>9000</v>
      </c>
      <c r="L426" s="2">
        <v>45312</v>
      </c>
    </row>
    <row r="427" spans="1:12" x14ac:dyDescent="0.35">
      <c r="A427" s="1" t="s">
        <v>642</v>
      </c>
      <c r="B427" s="1" t="s">
        <v>643</v>
      </c>
      <c r="C427" s="1" t="s">
        <v>30</v>
      </c>
      <c r="D427" s="1" t="s">
        <v>31</v>
      </c>
      <c r="E427" s="1" t="s">
        <v>16</v>
      </c>
      <c r="F427" s="1" t="s">
        <v>39</v>
      </c>
      <c r="G427" s="1" t="s">
        <v>18</v>
      </c>
      <c r="H427" s="1">
        <v>17318</v>
      </c>
      <c r="I427" s="1"/>
      <c r="J427" s="1"/>
      <c r="K427" s="1">
        <v>17000</v>
      </c>
      <c r="L427" s="2">
        <v>45342</v>
      </c>
    </row>
    <row r="428" spans="1:12" x14ac:dyDescent="0.35">
      <c r="A428" s="1" t="s">
        <v>644</v>
      </c>
      <c r="B428" s="1" t="s">
        <v>150</v>
      </c>
      <c r="C428" s="1" t="s">
        <v>14</v>
      </c>
      <c r="D428" s="1" t="s">
        <v>15</v>
      </c>
      <c r="E428" s="1" t="s">
        <v>32</v>
      </c>
      <c r="F428" s="1" t="s">
        <v>25</v>
      </c>
      <c r="G428" s="1" t="s">
        <v>26</v>
      </c>
      <c r="H428" s="1">
        <v>15210</v>
      </c>
      <c r="I428" s="1"/>
      <c r="J428" s="1"/>
      <c r="K428" s="1">
        <v>14000</v>
      </c>
      <c r="L428" s="2">
        <v>45293</v>
      </c>
    </row>
    <row r="429" spans="1:12" x14ac:dyDescent="0.35">
      <c r="A429" s="1" t="s">
        <v>645</v>
      </c>
      <c r="B429" s="1" t="s">
        <v>159</v>
      </c>
      <c r="C429" s="1" t="s">
        <v>44</v>
      </c>
      <c r="D429" s="1" t="s">
        <v>45</v>
      </c>
      <c r="E429" s="1" t="s">
        <v>46</v>
      </c>
      <c r="F429" s="1" t="s">
        <v>17</v>
      </c>
      <c r="G429" s="1" t="s">
        <v>18</v>
      </c>
      <c r="H429" s="1">
        <v>14924</v>
      </c>
      <c r="I429" s="1"/>
      <c r="J429" s="1"/>
      <c r="K429" s="1">
        <v>13000</v>
      </c>
      <c r="L429" s="2">
        <v>45304</v>
      </c>
    </row>
    <row r="430" spans="1:12" x14ac:dyDescent="0.35">
      <c r="A430" s="1" t="s">
        <v>646</v>
      </c>
      <c r="B430" s="1" t="s">
        <v>153</v>
      </c>
      <c r="C430" s="1" t="s">
        <v>30</v>
      </c>
      <c r="D430" s="1" t="s">
        <v>31</v>
      </c>
      <c r="E430" s="1" t="s">
        <v>32</v>
      </c>
      <c r="F430" s="1" t="s">
        <v>17</v>
      </c>
      <c r="G430" s="1" t="s">
        <v>18</v>
      </c>
      <c r="H430" s="1">
        <v>17681</v>
      </c>
      <c r="I430" s="1" t="s">
        <v>33</v>
      </c>
      <c r="J430" s="1">
        <v>0.3</v>
      </c>
      <c r="K430" s="1">
        <v>17000</v>
      </c>
      <c r="L430" s="2">
        <v>45308</v>
      </c>
    </row>
    <row r="431" spans="1:12" x14ac:dyDescent="0.35">
      <c r="A431" s="1" t="s">
        <v>647</v>
      </c>
      <c r="B431" s="1" t="s">
        <v>432</v>
      </c>
      <c r="C431" s="1" t="s">
        <v>44</v>
      </c>
      <c r="D431" s="1" t="s">
        <v>45</v>
      </c>
      <c r="E431" s="1" t="s">
        <v>32</v>
      </c>
      <c r="F431" s="1" t="s">
        <v>17</v>
      </c>
      <c r="G431" s="1" t="s">
        <v>26</v>
      </c>
      <c r="H431" s="1">
        <v>12251</v>
      </c>
      <c r="I431" s="1" t="s">
        <v>19</v>
      </c>
      <c r="J431" s="1">
        <v>0.2</v>
      </c>
      <c r="K431" s="1">
        <v>13000</v>
      </c>
      <c r="L431" s="2">
        <v>45319</v>
      </c>
    </row>
    <row r="432" spans="1:12" x14ac:dyDescent="0.35">
      <c r="A432" s="1" t="s">
        <v>648</v>
      </c>
      <c r="B432" s="1" t="s">
        <v>13</v>
      </c>
      <c r="C432" s="1" t="s">
        <v>14</v>
      </c>
      <c r="D432" s="1" t="s">
        <v>15</v>
      </c>
      <c r="E432" s="1" t="s">
        <v>32</v>
      </c>
      <c r="F432" s="1" t="s">
        <v>25</v>
      </c>
      <c r="G432" s="1" t="s">
        <v>36</v>
      </c>
      <c r="H432" s="1">
        <v>12319</v>
      </c>
      <c r="I432" s="1" t="s">
        <v>19</v>
      </c>
      <c r="J432" s="1">
        <v>0.2</v>
      </c>
      <c r="K432" s="1">
        <v>14000</v>
      </c>
      <c r="L432" s="2">
        <v>45329</v>
      </c>
    </row>
    <row r="433" spans="1:12" x14ac:dyDescent="0.35">
      <c r="A433" s="1" t="s">
        <v>649</v>
      </c>
      <c r="B433" s="1" t="s">
        <v>24</v>
      </c>
      <c r="C433" s="1" t="s">
        <v>61</v>
      </c>
      <c r="D433" s="1" t="s">
        <v>62</v>
      </c>
      <c r="E433" s="1" t="s">
        <v>32</v>
      </c>
      <c r="F433" s="1" t="s">
        <v>25</v>
      </c>
      <c r="G433" s="1" t="s">
        <v>26</v>
      </c>
      <c r="H433" s="1">
        <v>8407</v>
      </c>
      <c r="I433" s="1" t="s">
        <v>22</v>
      </c>
      <c r="J433" s="1">
        <v>0.1</v>
      </c>
      <c r="K433" s="1">
        <v>9000</v>
      </c>
      <c r="L433" s="2">
        <v>45347</v>
      </c>
    </row>
    <row r="434" spans="1:12" x14ac:dyDescent="0.35">
      <c r="A434" s="1" t="s">
        <v>650</v>
      </c>
      <c r="B434" s="1" t="s">
        <v>101</v>
      </c>
      <c r="C434" s="1" t="s">
        <v>44</v>
      </c>
      <c r="D434" s="1" t="s">
        <v>45</v>
      </c>
      <c r="E434" s="1" t="s">
        <v>46</v>
      </c>
      <c r="F434" s="1" t="s">
        <v>25</v>
      </c>
      <c r="G434" s="1" t="s">
        <v>18</v>
      </c>
      <c r="H434" s="1">
        <v>12569</v>
      </c>
      <c r="I434" s="1" t="s">
        <v>22</v>
      </c>
      <c r="J434" s="1">
        <v>0.1</v>
      </c>
      <c r="K434" s="1">
        <v>13000</v>
      </c>
      <c r="L434" s="2">
        <v>45338</v>
      </c>
    </row>
    <row r="435" spans="1:12" x14ac:dyDescent="0.35">
      <c r="A435" s="1" t="s">
        <v>651</v>
      </c>
      <c r="B435" s="1" t="s">
        <v>652</v>
      </c>
      <c r="C435" s="1" t="s">
        <v>14</v>
      </c>
      <c r="D435" s="1" t="s">
        <v>15</v>
      </c>
      <c r="E435" s="1" t="s">
        <v>46</v>
      </c>
      <c r="F435" s="1" t="s">
        <v>17</v>
      </c>
      <c r="G435" s="1" t="s">
        <v>36</v>
      </c>
      <c r="H435" s="1">
        <v>12561</v>
      </c>
      <c r="I435" s="1"/>
      <c r="J435" s="1"/>
      <c r="K435" s="1">
        <v>14000</v>
      </c>
      <c r="L435" s="2">
        <v>45341</v>
      </c>
    </row>
    <row r="436" spans="1:12" x14ac:dyDescent="0.35">
      <c r="A436" s="1" t="s">
        <v>653</v>
      </c>
      <c r="B436" s="1" t="s">
        <v>393</v>
      </c>
      <c r="C436" s="1" t="s">
        <v>44</v>
      </c>
      <c r="D436" s="1" t="s">
        <v>45</v>
      </c>
      <c r="E436" s="1" t="s">
        <v>16</v>
      </c>
      <c r="F436" s="1" t="s">
        <v>39</v>
      </c>
      <c r="G436" s="1" t="s">
        <v>18</v>
      </c>
      <c r="H436" s="1">
        <v>11280</v>
      </c>
      <c r="I436" s="1" t="s">
        <v>27</v>
      </c>
      <c r="J436" s="1"/>
      <c r="K436" s="1">
        <v>13000</v>
      </c>
      <c r="L436" s="2">
        <v>45328</v>
      </c>
    </row>
    <row r="437" spans="1:12" x14ac:dyDescent="0.35">
      <c r="A437" s="1" t="s">
        <v>654</v>
      </c>
      <c r="B437" s="1" t="s">
        <v>109</v>
      </c>
      <c r="C437" s="1" t="s">
        <v>44</v>
      </c>
      <c r="D437" s="1" t="s">
        <v>45</v>
      </c>
      <c r="E437" s="1" t="s">
        <v>46</v>
      </c>
      <c r="F437" s="1" t="s">
        <v>17</v>
      </c>
      <c r="G437" s="1" t="s">
        <v>26</v>
      </c>
      <c r="H437" s="1">
        <v>11872</v>
      </c>
      <c r="I437" s="1" t="s">
        <v>19</v>
      </c>
      <c r="J437" s="1">
        <v>0.2</v>
      </c>
      <c r="K437" s="1">
        <v>13000</v>
      </c>
      <c r="L437" s="2">
        <v>45350</v>
      </c>
    </row>
    <row r="438" spans="1:12" x14ac:dyDescent="0.35">
      <c r="A438" s="1" t="s">
        <v>655</v>
      </c>
      <c r="B438" s="1" t="s">
        <v>617</v>
      </c>
      <c r="C438" s="1" t="s">
        <v>61</v>
      </c>
      <c r="D438" s="1" t="s">
        <v>62</v>
      </c>
      <c r="E438" s="1" t="s">
        <v>32</v>
      </c>
      <c r="F438" s="1" t="s">
        <v>25</v>
      </c>
      <c r="G438" s="1" t="s">
        <v>18</v>
      </c>
      <c r="H438" s="1">
        <v>7573</v>
      </c>
      <c r="I438" s="1" t="s">
        <v>22</v>
      </c>
      <c r="J438" s="1">
        <v>0.1</v>
      </c>
      <c r="K438" s="1">
        <v>9000</v>
      </c>
      <c r="L438" s="2">
        <v>45329</v>
      </c>
    </row>
    <row r="439" spans="1:12" x14ac:dyDescent="0.35">
      <c r="A439" s="1" t="s">
        <v>656</v>
      </c>
      <c r="B439" s="1" t="s">
        <v>127</v>
      </c>
      <c r="C439" s="1" t="s">
        <v>30</v>
      </c>
      <c r="D439" s="1" t="s">
        <v>31</v>
      </c>
      <c r="E439" s="1" t="s">
        <v>46</v>
      </c>
      <c r="F439" s="1" t="s">
        <v>17</v>
      </c>
      <c r="G439" s="1" t="s">
        <v>18</v>
      </c>
      <c r="H439" s="1">
        <v>16014</v>
      </c>
      <c r="I439" s="1" t="s">
        <v>33</v>
      </c>
      <c r="J439" s="1">
        <v>0.3</v>
      </c>
      <c r="K439" s="1">
        <v>17000</v>
      </c>
      <c r="L439" s="2">
        <v>45333</v>
      </c>
    </row>
    <row r="440" spans="1:12" x14ac:dyDescent="0.35">
      <c r="A440" s="1" t="s">
        <v>657</v>
      </c>
      <c r="B440" s="1" t="s">
        <v>248</v>
      </c>
      <c r="C440" s="1" t="s">
        <v>30</v>
      </c>
      <c r="D440" s="1" t="s">
        <v>31</v>
      </c>
      <c r="E440" s="1" t="s">
        <v>16</v>
      </c>
      <c r="F440" s="1" t="s">
        <v>25</v>
      </c>
      <c r="G440" s="1" t="s">
        <v>26</v>
      </c>
      <c r="H440" s="1">
        <v>18587</v>
      </c>
      <c r="I440" s="1" t="s">
        <v>33</v>
      </c>
      <c r="J440" s="1">
        <v>0.3</v>
      </c>
      <c r="K440" s="1">
        <v>17000</v>
      </c>
      <c r="L440" s="2">
        <v>45305</v>
      </c>
    </row>
    <row r="441" spans="1:12" x14ac:dyDescent="0.35">
      <c r="A441" s="1" t="s">
        <v>658</v>
      </c>
      <c r="B441" s="1" t="s">
        <v>382</v>
      </c>
      <c r="C441" s="1" t="s">
        <v>44</v>
      </c>
      <c r="D441" s="1" t="s">
        <v>45</v>
      </c>
      <c r="E441" s="1" t="s">
        <v>16</v>
      </c>
      <c r="F441" s="1" t="s">
        <v>17</v>
      </c>
      <c r="G441" s="1" t="s">
        <v>36</v>
      </c>
      <c r="H441" s="1">
        <v>13646</v>
      </c>
      <c r="I441" s="1" t="s">
        <v>22</v>
      </c>
      <c r="J441" s="1">
        <v>0.1</v>
      </c>
      <c r="K441" s="1">
        <v>13000</v>
      </c>
      <c r="L441" s="2">
        <v>45342</v>
      </c>
    </row>
    <row r="442" spans="1:12" x14ac:dyDescent="0.35">
      <c r="A442" s="1" t="s">
        <v>659</v>
      </c>
      <c r="B442" s="1" t="s">
        <v>148</v>
      </c>
      <c r="C442" s="1" t="s">
        <v>44</v>
      </c>
      <c r="D442" s="1" t="s">
        <v>45</v>
      </c>
      <c r="E442" s="1" t="s">
        <v>46</v>
      </c>
      <c r="F442" s="1" t="s">
        <v>17</v>
      </c>
      <c r="G442" s="1" t="s">
        <v>18</v>
      </c>
      <c r="H442" s="1">
        <v>11987</v>
      </c>
      <c r="I442" s="1"/>
      <c r="J442" s="1"/>
      <c r="K442" s="1">
        <v>13000</v>
      </c>
      <c r="L442" s="2">
        <v>45332</v>
      </c>
    </row>
    <row r="443" spans="1:12" x14ac:dyDescent="0.35">
      <c r="A443" s="1" t="s">
        <v>660</v>
      </c>
      <c r="B443" s="1" t="s">
        <v>107</v>
      </c>
      <c r="C443" s="1" t="s">
        <v>14</v>
      </c>
      <c r="D443" s="1" t="s">
        <v>15</v>
      </c>
      <c r="E443" s="1" t="s">
        <v>46</v>
      </c>
      <c r="F443" s="1" t="s">
        <v>17</v>
      </c>
      <c r="G443" s="1" t="s">
        <v>18</v>
      </c>
      <c r="H443" s="1">
        <v>13584</v>
      </c>
      <c r="I443" s="1" t="s">
        <v>27</v>
      </c>
      <c r="J443" s="1"/>
      <c r="K443" s="1">
        <v>14000</v>
      </c>
      <c r="L443" s="2">
        <v>45318</v>
      </c>
    </row>
    <row r="444" spans="1:12" x14ac:dyDescent="0.35">
      <c r="A444" s="1" t="s">
        <v>661</v>
      </c>
      <c r="B444" s="1" t="s">
        <v>301</v>
      </c>
      <c r="C444" s="1" t="s">
        <v>44</v>
      </c>
      <c r="D444" s="1" t="s">
        <v>45</v>
      </c>
      <c r="E444" s="1" t="s">
        <v>46</v>
      </c>
      <c r="F444" s="1" t="s">
        <v>25</v>
      </c>
      <c r="G444" s="1" t="s">
        <v>18</v>
      </c>
      <c r="H444" s="1">
        <v>13405</v>
      </c>
      <c r="I444" s="1" t="s">
        <v>22</v>
      </c>
      <c r="J444" s="1">
        <v>0.1</v>
      </c>
      <c r="K444" s="1">
        <v>13000</v>
      </c>
      <c r="L444" s="2">
        <v>45292</v>
      </c>
    </row>
    <row r="445" spans="1:12" x14ac:dyDescent="0.35">
      <c r="A445" s="1" t="s">
        <v>662</v>
      </c>
      <c r="B445" s="1" t="s">
        <v>289</v>
      </c>
      <c r="C445" s="1" t="s">
        <v>14</v>
      </c>
      <c r="D445" s="1" t="s">
        <v>15</v>
      </c>
      <c r="E445" s="1" t="s">
        <v>32</v>
      </c>
      <c r="F445" s="1" t="s">
        <v>17</v>
      </c>
      <c r="G445" s="1" t="s">
        <v>26</v>
      </c>
      <c r="H445" s="1">
        <v>13173</v>
      </c>
      <c r="I445" s="1" t="s">
        <v>27</v>
      </c>
      <c r="J445" s="1"/>
      <c r="K445" s="1">
        <v>14000</v>
      </c>
      <c r="L445" s="2">
        <v>45341</v>
      </c>
    </row>
    <row r="446" spans="1:12" x14ac:dyDescent="0.35">
      <c r="A446" s="1" t="s">
        <v>663</v>
      </c>
      <c r="B446" s="1" t="s">
        <v>177</v>
      </c>
      <c r="C446" s="1" t="s">
        <v>61</v>
      </c>
      <c r="D446" s="1" t="s">
        <v>62</v>
      </c>
      <c r="E446" s="1" t="s">
        <v>32</v>
      </c>
      <c r="F446" s="1" t="s">
        <v>39</v>
      </c>
      <c r="G446" s="1" t="s">
        <v>26</v>
      </c>
      <c r="H446" s="1">
        <v>9202</v>
      </c>
      <c r="I446" s="1" t="s">
        <v>27</v>
      </c>
      <c r="J446" s="1"/>
      <c r="K446" s="1">
        <v>9000</v>
      </c>
      <c r="L446" s="2">
        <v>45301</v>
      </c>
    </row>
    <row r="447" spans="1:12" x14ac:dyDescent="0.35">
      <c r="A447" s="1" t="s">
        <v>664</v>
      </c>
      <c r="B447" s="1" t="s">
        <v>222</v>
      </c>
      <c r="C447" s="1" t="s">
        <v>30</v>
      </c>
      <c r="D447" s="1" t="s">
        <v>31</v>
      </c>
      <c r="E447" s="1" t="s">
        <v>32</v>
      </c>
      <c r="F447" s="1" t="s">
        <v>39</v>
      </c>
      <c r="G447" s="1" t="s">
        <v>18</v>
      </c>
      <c r="H447" s="1">
        <v>18990</v>
      </c>
      <c r="I447" s="1" t="s">
        <v>19</v>
      </c>
      <c r="J447" s="1">
        <v>0.2</v>
      </c>
      <c r="K447" s="1">
        <v>17000</v>
      </c>
      <c r="L447" s="2">
        <v>45326</v>
      </c>
    </row>
    <row r="448" spans="1:12" x14ac:dyDescent="0.35">
      <c r="A448" s="1" t="s">
        <v>665</v>
      </c>
      <c r="B448" s="1" t="s">
        <v>666</v>
      </c>
      <c r="C448" s="1" t="s">
        <v>14</v>
      </c>
      <c r="D448" s="1" t="s">
        <v>15</v>
      </c>
      <c r="E448" s="1" t="s">
        <v>46</v>
      </c>
      <c r="F448" s="1" t="s">
        <v>39</v>
      </c>
      <c r="G448" s="1" t="s">
        <v>36</v>
      </c>
      <c r="H448" s="1">
        <v>14989</v>
      </c>
      <c r="I448" s="1" t="s">
        <v>19</v>
      </c>
      <c r="J448" s="1">
        <v>0.2</v>
      </c>
      <c r="K448" s="1">
        <v>14000</v>
      </c>
      <c r="L448" s="2">
        <v>45295</v>
      </c>
    </row>
    <row r="449" spans="1:12" x14ac:dyDescent="0.35">
      <c r="A449" s="1" t="s">
        <v>667</v>
      </c>
      <c r="B449" s="1" t="s">
        <v>229</v>
      </c>
      <c r="C449" s="1" t="s">
        <v>61</v>
      </c>
      <c r="D449" s="1" t="s">
        <v>62</v>
      </c>
      <c r="E449" s="1" t="s">
        <v>32</v>
      </c>
      <c r="F449" s="1" t="s">
        <v>17</v>
      </c>
      <c r="G449" s="1" t="s">
        <v>26</v>
      </c>
      <c r="H449" s="1">
        <v>9493</v>
      </c>
      <c r="I449" s="1" t="s">
        <v>22</v>
      </c>
      <c r="J449" s="1">
        <v>0.1</v>
      </c>
      <c r="K449" s="1">
        <v>9000</v>
      </c>
      <c r="L449" s="2">
        <v>45311</v>
      </c>
    </row>
    <row r="450" spans="1:12" x14ac:dyDescent="0.35">
      <c r="A450" s="1" t="s">
        <v>668</v>
      </c>
      <c r="B450" s="1" t="s">
        <v>305</v>
      </c>
      <c r="C450" s="1" t="s">
        <v>44</v>
      </c>
      <c r="D450" s="1" t="s">
        <v>45</v>
      </c>
      <c r="E450" s="1" t="s">
        <v>32</v>
      </c>
      <c r="F450" s="1" t="s">
        <v>25</v>
      </c>
      <c r="G450" s="1" t="s">
        <v>26</v>
      </c>
      <c r="H450" s="1">
        <v>11562</v>
      </c>
      <c r="I450" s="1" t="s">
        <v>22</v>
      </c>
      <c r="J450" s="1">
        <v>0.1</v>
      </c>
      <c r="K450" s="1">
        <v>13000</v>
      </c>
      <c r="L450" s="2">
        <v>45302</v>
      </c>
    </row>
    <row r="451" spans="1:12" x14ac:dyDescent="0.35">
      <c r="A451" s="1" t="s">
        <v>669</v>
      </c>
      <c r="B451" s="1" t="s">
        <v>188</v>
      </c>
      <c r="C451" s="1" t="s">
        <v>30</v>
      </c>
      <c r="D451" s="1" t="s">
        <v>31</v>
      </c>
      <c r="E451" s="1" t="s">
        <v>32</v>
      </c>
      <c r="F451" s="1" t="s">
        <v>17</v>
      </c>
      <c r="G451" s="1" t="s">
        <v>18</v>
      </c>
      <c r="H451" s="1">
        <v>18071</v>
      </c>
      <c r="I451" s="1" t="s">
        <v>33</v>
      </c>
      <c r="J451" s="1">
        <v>0.3</v>
      </c>
      <c r="K451" s="1">
        <v>17000</v>
      </c>
      <c r="L451" s="2">
        <v>45338</v>
      </c>
    </row>
    <row r="452" spans="1:12" x14ac:dyDescent="0.35">
      <c r="A452" s="1" t="s">
        <v>670</v>
      </c>
      <c r="B452" s="1" t="s">
        <v>403</v>
      </c>
      <c r="C452" s="1" t="s">
        <v>14</v>
      </c>
      <c r="D452" s="1" t="s">
        <v>15</v>
      </c>
      <c r="E452" s="1" t="s">
        <v>46</v>
      </c>
      <c r="F452" s="1" t="s">
        <v>17</v>
      </c>
      <c r="G452" s="1" t="s">
        <v>36</v>
      </c>
      <c r="H452" s="1">
        <v>14145</v>
      </c>
      <c r="I452" s="1" t="s">
        <v>22</v>
      </c>
      <c r="J452" s="1">
        <v>0.1</v>
      </c>
      <c r="K452" s="1">
        <v>14000</v>
      </c>
      <c r="L452" s="2">
        <v>45308</v>
      </c>
    </row>
    <row r="453" spans="1:12" x14ac:dyDescent="0.35">
      <c r="A453" s="1" t="s">
        <v>671</v>
      </c>
      <c r="B453" s="1" t="s">
        <v>672</v>
      </c>
      <c r="C453" s="1" t="s">
        <v>14</v>
      </c>
      <c r="D453" s="1" t="s">
        <v>15</v>
      </c>
      <c r="E453" s="1" t="s">
        <v>46</v>
      </c>
      <c r="F453" s="1" t="s">
        <v>17</v>
      </c>
      <c r="G453" s="1" t="s">
        <v>26</v>
      </c>
      <c r="H453" s="1">
        <v>13475</v>
      </c>
      <c r="I453" s="1" t="s">
        <v>22</v>
      </c>
      <c r="J453" s="1">
        <v>0.1</v>
      </c>
      <c r="K453" s="1">
        <v>14000</v>
      </c>
      <c r="L453" s="2">
        <v>45323</v>
      </c>
    </row>
    <row r="454" spans="1:12" x14ac:dyDescent="0.35">
      <c r="A454" s="1" t="s">
        <v>673</v>
      </c>
      <c r="B454" s="1" t="s">
        <v>460</v>
      </c>
      <c r="C454" s="1" t="s">
        <v>44</v>
      </c>
      <c r="D454" s="1" t="s">
        <v>45</v>
      </c>
      <c r="E454" s="1" t="s">
        <v>46</v>
      </c>
      <c r="F454" s="1" t="s">
        <v>25</v>
      </c>
      <c r="G454" s="1" t="s">
        <v>36</v>
      </c>
      <c r="H454" s="1">
        <v>14167</v>
      </c>
      <c r="I454" s="1" t="s">
        <v>22</v>
      </c>
      <c r="J454" s="1">
        <v>0.1</v>
      </c>
      <c r="K454" s="1">
        <v>13000</v>
      </c>
      <c r="L454" s="2">
        <v>45349</v>
      </c>
    </row>
    <row r="455" spans="1:12" x14ac:dyDescent="0.35">
      <c r="A455" s="1" t="s">
        <v>674</v>
      </c>
      <c r="B455" s="1" t="s">
        <v>209</v>
      </c>
      <c r="C455" s="1" t="s">
        <v>14</v>
      </c>
      <c r="D455" s="1" t="s">
        <v>15</v>
      </c>
      <c r="E455" s="1" t="s">
        <v>32</v>
      </c>
      <c r="F455" s="1" t="s">
        <v>39</v>
      </c>
      <c r="G455" s="1" t="s">
        <v>26</v>
      </c>
      <c r="H455" s="1">
        <v>12010</v>
      </c>
      <c r="I455" s="1" t="s">
        <v>22</v>
      </c>
      <c r="J455" s="1">
        <v>0.1</v>
      </c>
      <c r="K455" s="1">
        <v>14000</v>
      </c>
      <c r="L455" s="2">
        <v>45346</v>
      </c>
    </row>
    <row r="456" spans="1:12" x14ac:dyDescent="0.35">
      <c r="A456" s="1" t="s">
        <v>675</v>
      </c>
      <c r="B456" s="1" t="s">
        <v>676</v>
      </c>
      <c r="C456" s="1" t="s">
        <v>44</v>
      </c>
      <c r="D456" s="1" t="s">
        <v>45</v>
      </c>
      <c r="E456" s="1" t="s">
        <v>32</v>
      </c>
      <c r="F456" s="1" t="s">
        <v>17</v>
      </c>
      <c r="G456" s="1" t="s">
        <v>36</v>
      </c>
      <c r="H456" s="1">
        <v>12568</v>
      </c>
      <c r="I456" s="1" t="s">
        <v>19</v>
      </c>
      <c r="J456" s="1">
        <v>0.2</v>
      </c>
      <c r="K456" s="1">
        <v>13000</v>
      </c>
      <c r="L456" s="2">
        <v>45303</v>
      </c>
    </row>
    <row r="457" spans="1:12" x14ac:dyDescent="0.35">
      <c r="A457" s="1" t="s">
        <v>677</v>
      </c>
      <c r="B457" s="1" t="s">
        <v>454</v>
      </c>
      <c r="C457" s="1" t="s">
        <v>14</v>
      </c>
      <c r="D457" s="1" t="s">
        <v>15</v>
      </c>
      <c r="E457" s="1" t="s">
        <v>16</v>
      </c>
      <c r="F457" s="1" t="s">
        <v>39</v>
      </c>
      <c r="G457" s="1" t="s">
        <v>26</v>
      </c>
      <c r="H457" s="1">
        <v>14685</v>
      </c>
      <c r="I457" s="1"/>
      <c r="J457" s="1"/>
      <c r="K457" s="1">
        <v>14000</v>
      </c>
      <c r="L457" s="2">
        <v>45306</v>
      </c>
    </row>
    <row r="458" spans="1:12" x14ac:dyDescent="0.35">
      <c r="A458" s="1" t="s">
        <v>678</v>
      </c>
      <c r="B458" s="1" t="s">
        <v>408</v>
      </c>
      <c r="C458" s="1" t="s">
        <v>61</v>
      </c>
      <c r="D458" s="1" t="s">
        <v>62</v>
      </c>
      <c r="E458" s="1" t="s">
        <v>16</v>
      </c>
      <c r="F458" s="1" t="s">
        <v>17</v>
      </c>
      <c r="G458" s="1" t="s">
        <v>36</v>
      </c>
      <c r="H458" s="1">
        <v>10383</v>
      </c>
      <c r="I458" s="1" t="s">
        <v>22</v>
      </c>
      <c r="J458" s="1">
        <v>0.1</v>
      </c>
      <c r="K458" s="1">
        <v>9000</v>
      </c>
      <c r="L458" s="2">
        <v>45328</v>
      </c>
    </row>
    <row r="459" spans="1:12" x14ac:dyDescent="0.35">
      <c r="A459" s="1" t="s">
        <v>679</v>
      </c>
      <c r="B459" s="1" t="s">
        <v>116</v>
      </c>
      <c r="C459" s="1" t="s">
        <v>14</v>
      </c>
      <c r="D459" s="1" t="s">
        <v>15</v>
      </c>
      <c r="E459" s="1" t="s">
        <v>32</v>
      </c>
      <c r="F459" s="1" t="s">
        <v>25</v>
      </c>
      <c r="G459" s="1" t="s">
        <v>26</v>
      </c>
      <c r="H459" s="1">
        <v>12188</v>
      </c>
      <c r="I459" s="1"/>
      <c r="J459" s="1"/>
      <c r="K459" s="1">
        <v>14000</v>
      </c>
      <c r="L459" s="2">
        <v>45296</v>
      </c>
    </row>
    <row r="460" spans="1:12" x14ac:dyDescent="0.35">
      <c r="A460" s="1" t="s">
        <v>680</v>
      </c>
      <c r="B460" s="1" t="s">
        <v>445</v>
      </c>
      <c r="C460" s="1" t="s">
        <v>30</v>
      </c>
      <c r="D460" s="1" t="s">
        <v>31</v>
      </c>
      <c r="E460" s="1" t="s">
        <v>46</v>
      </c>
      <c r="F460" s="1" t="s">
        <v>17</v>
      </c>
      <c r="G460" s="1" t="s">
        <v>18</v>
      </c>
      <c r="H460" s="1">
        <v>17265</v>
      </c>
      <c r="I460" s="1"/>
      <c r="J460" s="1"/>
      <c r="K460" s="1">
        <v>17000</v>
      </c>
      <c r="L460" s="2">
        <v>45292</v>
      </c>
    </row>
    <row r="461" spans="1:12" x14ac:dyDescent="0.35">
      <c r="A461" s="1" t="s">
        <v>681</v>
      </c>
      <c r="B461" s="1" t="s">
        <v>408</v>
      </c>
      <c r="C461" s="1" t="s">
        <v>30</v>
      </c>
      <c r="D461" s="1" t="s">
        <v>31</v>
      </c>
      <c r="E461" s="1" t="s">
        <v>16</v>
      </c>
      <c r="F461" s="1" t="s">
        <v>17</v>
      </c>
      <c r="G461" s="1" t="s">
        <v>26</v>
      </c>
      <c r="H461" s="1">
        <v>17550</v>
      </c>
      <c r="I461" s="1" t="s">
        <v>19</v>
      </c>
      <c r="J461" s="1">
        <v>0.2</v>
      </c>
      <c r="K461" s="1">
        <v>17000</v>
      </c>
      <c r="L461" s="2">
        <v>45321</v>
      </c>
    </row>
    <row r="462" spans="1:12" x14ac:dyDescent="0.35">
      <c r="A462" s="1" t="s">
        <v>682</v>
      </c>
      <c r="B462" s="1" t="s">
        <v>38</v>
      </c>
      <c r="C462" s="1" t="s">
        <v>61</v>
      </c>
      <c r="D462" s="1" t="s">
        <v>62</v>
      </c>
      <c r="E462" s="1" t="s">
        <v>32</v>
      </c>
      <c r="F462" s="1" t="s">
        <v>39</v>
      </c>
      <c r="G462" s="1" t="s">
        <v>26</v>
      </c>
      <c r="H462" s="1">
        <v>10114</v>
      </c>
      <c r="I462" s="1" t="s">
        <v>19</v>
      </c>
      <c r="J462" s="1">
        <v>0.2</v>
      </c>
      <c r="K462" s="1">
        <v>9000</v>
      </c>
      <c r="L462" s="2">
        <v>45301</v>
      </c>
    </row>
    <row r="463" spans="1:12" x14ac:dyDescent="0.35">
      <c r="A463" s="1" t="s">
        <v>683</v>
      </c>
      <c r="B463" s="1" t="s">
        <v>406</v>
      </c>
      <c r="C463" s="1" t="s">
        <v>14</v>
      </c>
      <c r="D463" s="1" t="s">
        <v>15</v>
      </c>
      <c r="E463" s="1" t="s">
        <v>32</v>
      </c>
      <c r="F463" s="1" t="s">
        <v>39</v>
      </c>
      <c r="G463" s="1" t="s">
        <v>36</v>
      </c>
      <c r="H463" s="1">
        <v>14604</v>
      </c>
      <c r="I463" s="1" t="s">
        <v>22</v>
      </c>
      <c r="J463" s="1">
        <v>0.1</v>
      </c>
      <c r="K463" s="1">
        <v>14000</v>
      </c>
      <c r="L463" s="2">
        <v>45352</v>
      </c>
    </row>
    <row r="464" spans="1:12" x14ac:dyDescent="0.35">
      <c r="A464" s="1" t="s">
        <v>684</v>
      </c>
      <c r="B464" s="1" t="s">
        <v>327</v>
      </c>
      <c r="C464" s="1" t="s">
        <v>61</v>
      </c>
      <c r="D464" s="1" t="s">
        <v>62</v>
      </c>
      <c r="E464" s="1" t="s">
        <v>16</v>
      </c>
      <c r="F464" s="1" t="s">
        <v>39</v>
      </c>
      <c r="G464" s="1" t="s">
        <v>36</v>
      </c>
      <c r="H464" s="1">
        <v>7425</v>
      </c>
      <c r="I464" s="1" t="s">
        <v>19</v>
      </c>
      <c r="J464" s="1">
        <v>0.2</v>
      </c>
      <c r="K464" s="1">
        <v>9000</v>
      </c>
      <c r="L464" s="2">
        <v>45325</v>
      </c>
    </row>
    <row r="465" spans="1:12" x14ac:dyDescent="0.35">
      <c r="A465" s="1" t="s">
        <v>685</v>
      </c>
      <c r="B465" s="1" t="s">
        <v>414</v>
      </c>
      <c r="C465" s="1" t="s">
        <v>61</v>
      </c>
      <c r="D465" s="1" t="s">
        <v>62</v>
      </c>
      <c r="E465" s="1" t="s">
        <v>32</v>
      </c>
      <c r="F465" s="1" t="s">
        <v>25</v>
      </c>
      <c r="G465" s="1" t="s">
        <v>26</v>
      </c>
      <c r="H465" s="1">
        <v>8146</v>
      </c>
      <c r="I465" s="1" t="s">
        <v>22</v>
      </c>
      <c r="J465" s="1">
        <v>0.1</v>
      </c>
      <c r="K465" s="1">
        <v>9000</v>
      </c>
      <c r="L465" s="2">
        <v>45294</v>
      </c>
    </row>
    <row r="466" spans="1:12" x14ac:dyDescent="0.35">
      <c r="A466" s="1" t="s">
        <v>686</v>
      </c>
      <c r="B466" s="1" t="s">
        <v>553</v>
      </c>
      <c r="C466" s="1" t="s">
        <v>61</v>
      </c>
      <c r="D466" s="1" t="s">
        <v>62</v>
      </c>
      <c r="E466" s="1" t="s">
        <v>16</v>
      </c>
      <c r="F466" s="1" t="s">
        <v>17</v>
      </c>
      <c r="G466" s="1" t="s">
        <v>36</v>
      </c>
      <c r="H466" s="1">
        <v>10991</v>
      </c>
      <c r="I466" s="1" t="s">
        <v>22</v>
      </c>
      <c r="J466" s="1">
        <v>0.1</v>
      </c>
      <c r="K466" s="1">
        <v>9000</v>
      </c>
      <c r="L466" s="2">
        <v>45329</v>
      </c>
    </row>
    <row r="467" spans="1:12" x14ac:dyDescent="0.35">
      <c r="A467" s="1" t="s">
        <v>687</v>
      </c>
      <c r="B467" s="1" t="s">
        <v>241</v>
      </c>
      <c r="C467" s="1" t="s">
        <v>44</v>
      </c>
      <c r="D467" s="1" t="s">
        <v>45</v>
      </c>
      <c r="E467" s="1" t="s">
        <v>16</v>
      </c>
      <c r="F467" s="1" t="s">
        <v>17</v>
      </c>
      <c r="G467" s="1" t="s">
        <v>18</v>
      </c>
      <c r="H467" s="1">
        <v>13424</v>
      </c>
      <c r="I467" s="1" t="s">
        <v>27</v>
      </c>
      <c r="J467" s="1"/>
      <c r="K467" s="1">
        <v>13000</v>
      </c>
      <c r="L467" s="2">
        <v>45295</v>
      </c>
    </row>
    <row r="468" spans="1:12" x14ac:dyDescent="0.35">
      <c r="A468" s="1" t="s">
        <v>688</v>
      </c>
      <c r="B468" s="1" t="s">
        <v>274</v>
      </c>
      <c r="C468" s="1" t="s">
        <v>44</v>
      </c>
      <c r="D468" s="1" t="s">
        <v>45</v>
      </c>
      <c r="E468" s="1" t="s">
        <v>32</v>
      </c>
      <c r="F468" s="1" t="s">
        <v>17</v>
      </c>
      <c r="G468" s="1" t="s">
        <v>36</v>
      </c>
      <c r="H468" s="1">
        <v>14485</v>
      </c>
      <c r="I468" s="1" t="s">
        <v>33</v>
      </c>
      <c r="J468" s="1">
        <v>0.3</v>
      </c>
      <c r="K468" s="1">
        <v>13000</v>
      </c>
      <c r="L468" s="2">
        <v>45351</v>
      </c>
    </row>
    <row r="469" spans="1:12" x14ac:dyDescent="0.35">
      <c r="A469" s="1" t="s">
        <v>689</v>
      </c>
      <c r="B469" s="1" t="s">
        <v>180</v>
      </c>
      <c r="C469" s="1" t="s">
        <v>30</v>
      </c>
      <c r="D469" s="1" t="s">
        <v>31</v>
      </c>
      <c r="E469" s="1" t="s">
        <v>46</v>
      </c>
      <c r="F469" s="1" t="s">
        <v>17</v>
      </c>
      <c r="G469" s="1" t="s">
        <v>36</v>
      </c>
      <c r="H469" s="1">
        <v>15956</v>
      </c>
      <c r="I469" s="1" t="s">
        <v>22</v>
      </c>
      <c r="J469" s="1">
        <v>0.1</v>
      </c>
      <c r="K469" s="1">
        <v>17000</v>
      </c>
      <c r="L469" s="2">
        <v>45352</v>
      </c>
    </row>
    <row r="470" spans="1:12" x14ac:dyDescent="0.35">
      <c r="A470" s="1" t="s">
        <v>690</v>
      </c>
      <c r="B470" s="1" t="s">
        <v>235</v>
      </c>
      <c r="C470" s="1" t="s">
        <v>14</v>
      </c>
      <c r="D470" s="1" t="s">
        <v>15</v>
      </c>
      <c r="E470" s="1" t="s">
        <v>32</v>
      </c>
      <c r="F470" s="1" t="s">
        <v>25</v>
      </c>
      <c r="G470" s="1" t="s">
        <v>18</v>
      </c>
      <c r="H470" s="1">
        <v>13841</v>
      </c>
      <c r="I470" s="1"/>
      <c r="J470" s="1"/>
      <c r="K470" s="1">
        <v>14000</v>
      </c>
      <c r="L470" s="2">
        <v>45312</v>
      </c>
    </row>
    <row r="471" spans="1:12" x14ac:dyDescent="0.35">
      <c r="A471" s="1" t="s">
        <v>691</v>
      </c>
      <c r="B471" s="1" t="s">
        <v>41</v>
      </c>
      <c r="C471" s="1" t="s">
        <v>30</v>
      </c>
      <c r="D471" s="1" t="s">
        <v>31</v>
      </c>
      <c r="E471" s="1" t="s">
        <v>32</v>
      </c>
      <c r="F471" s="1" t="s">
        <v>17</v>
      </c>
      <c r="G471" s="1" t="s">
        <v>36</v>
      </c>
      <c r="H471" s="1">
        <v>16897</v>
      </c>
      <c r="I471" s="1" t="s">
        <v>33</v>
      </c>
      <c r="J471" s="1">
        <v>0.3</v>
      </c>
      <c r="K471" s="1">
        <v>17000</v>
      </c>
      <c r="L471" s="2">
        <v>45346</v>
      </c>
    </row>
    <row r="472" spans="1:12" x14ac:dyDescent="0.35">
      <c r="A472" s="1" t="s">
        <v>692</v>
      </c>
      <c r="B472" s="1" t="s">
        <v>78</v>
      </c>
      <c r="C472" s="1" t="s">
        <v>44</v>
      </c>
      <c r="D472" s="1" t="s">
        <v>45</v>
      </c>
      <c r="E472" s="1" t="s">
        <v>16</v>
      </c>
      <c r="F472" s="1" t="s">
        <v>17</v>
      </c>
      <c r="G472" s="1" t="s">
        <v>26</v>
      </c>
      <c r="H472" s="1">
        <v>13854</v>
      </c>
      <c r="I472" s="1" t="s">
        <v>27</v>
      </c>
      <c r="J472" s="1"/>
      <c r="K472" s="1">
        <v>13000</v>
      </c>
      <c r="L472" s="2">
        <v>45294</v>
      </c>
    </row>
    <row r="473" spans="1:12" x14ac:dyDescent="0.35">
      <c r="A473" s="1" t="s">
        <v>693</v>
      </c>
      <c r="B473" s="1" t="s">
        <v>171</v>
      </c>
      <c r="C473" s="1" t="s">
        <v>30</v>
      </c>
      <c r="D473" s="1" t="s">
        <v>31</v>
      </c>
      <c r="E473" s="1" t="s">
        <v>32</v>
      </c>
      <c r="F473" s="1" t="s">
        <v>25</v>
      </c>
      <c r="G473" s="1" t="s">
        <v>26</v>
      </c>
      <c r="H473" s="1">
        <v>16016</v>
      </c>
      <c r="I473" s="1" t="s">
        <v>33</v>
      </c>
      <c r="J473" s="1">
        <v>0.3</v>
      </c>
      <c r="K473" s="1">
        <v>17000</v>
      </c>
      <c r="L473" s="2">
        <v>45317</v>
      </c>
    </row>
    <row r="474" spans="1:12" x14ac:dyDescent="0.35">
      <c r="A474" s="1" t="s">
        <v>694</v>
      </c>
      <c r="B474" s="1" t="s">
        <v>184</v>
      </c>
      <c r="C474" s="1" t="s">
        <v>30</v>
      </c>
      <c r="D474" s="1" t="s">
        <v>31</v>
      </c>
      <c r="E474" s="1" t="s">
        <v>46</v>
      </c>
      <c r="F474" s="1" t="s">
        <v>25</v>
      </c>
      <c r="G474" s="1" t="s">
        <v>18</v>
      </c>
      <c r="H474" s="1">
        <v>18899</v>
      </c>
      <c r="I474" s="1"/>
      <c r="J474" s="1"/>
      <c r="K474" s="1">
        <v>17000</v>
      </c>
      <c r="L474" s="2">
        <v>45346</v>
      </c>
    </row>
    <row r="475" spans="1:12" x14ac:dyDescent="0.35">
      <c r="A475" s="1" t="s">
        <v>695</v>
      </c>
      <c r="B475" s="1" t="s">
        <v>330</v>
      </c>
      <c r="C475" s="1" t="s">
        <v>44</v>
      </c>
      <c r="D475" s="1" t="s">
        <v>45</v>
      </c>
      <c r="E475" s="1" t="s">
        <v>32</v>
      </c>
      <c r="F475" s="1" t="s">
        <v>17</v>
      </c>
      <c r="G475" s="1" t="s">
        <v>18</v>
      </c>
      <c r="H475" s="1">
        <v>14292</v>
      </c>
      <c r="I475" s="1" t="s">
        <v>19</v>
      </c>
      <c r="J475" s="1">
        <v>0.2</v>
      </c>
      <c r="K475" s="1">
        <v>13000</v>
      </c>
      <c r="L475" s="2">
        <v>45299</v>
      </c>
    </row>
    <row r="476" spans="1:12" x14ac:dyDescent="0.35">
      <c r="A476" s="1" t="s">
        <v>696</v>
      </c>
      <c r="B476" s="1" t="s">
        <v>161</v>
      </c>
      <c r="C476" s="1" t="s">
        <v>44</v>
      </c>
      <c r="D476" s="1" t="s">
        <v>45</v>
      </c>
      <c r="E476" s="1" t="s">
        <v>32</v>
      </c>
      <c r="F476" s="1" t="s">
        <v>25</v>
      </c>
      <c r="G476" s="1" t="s">
        <v>36</v>
      </c>
      <c r="H476" s="1">
        <v>12524</v>
      </c>
      <c r="I476" s="1" t="s">
        <v>22</v>
      </c>
      <c r="J476" s="1">
        <v>0.1</v>
      </c>
      <c r="K476" s="1">
        <v>13000</v>
      </c>
      <c r="L476" s="2">
        <v>45329</v>
      </c>
    </row>
    <row r="477" spans="1:12" x14ac:dyDescent="0.35">
      <c r="A477" s="1" t="s">
        <v>697</v>
      </c>
      <c r="B477" s="1" t="s">
        <v>291</v>
      </c>
      <c r="C477" s="1" t="s">
        <v>14</v>
      </c>
      <c r="D477" s="1" t="s">
        <v>15</v>
      </c>
      <c r="E477" s="1" t="s">
        <v>32</v>
      </c>
      <c r="F477" s="1" t="s">
        <v>25</v>
      </c>
      <c r="G477" s="1" t="s">
        <v>18</v>
      </c>
      <c r="H477" s="1">
        <v>15696</v>
      </c>
      <c r="I477" s="1"/>
      <c r="J477" s="1"/>
      <c r="K477" s="1">
        <v>14000</v>
      </c>
      <c r="L477" s="2">
        <v>45343</v>
      </c>
    </row>
    <row r="478" spans="1:12" x14ac:dyDescent="0.35">
      <c r="A478" s="1" t="s">
        <v>698</v>
      </c>
      <c r="B478" s="1" t="s">
        <v>325</v>
      </c>
      <c r="C478" s="1" t="s">
        <v>30</v>
      </c>
      <c r="D478" s="1" t="s">
        <v>31</v>
      </c>
      <c r="E478" s="1" t="s">
        <v>32</v>
      </c>
      <c r="F478" s="1" t="s">
        <v>25</v>
      </c>
      <c r="G478" s="1" t="s">
        <v>36</v>
      </c>
      <c r="H478" s="1">
        <v>15207</v>
      </c>
      <c r="I478" s="1" t="s">
        <v>19</v>
      </c>
      <c r="J478" s="1">
        <v>0.2</v>
      </c>
      <c r="K478" s="1">
        <v>17000</v>
      </c>
      <c r="L478" s="2">
        <v>45351</v>
      </c>
    </row>
    <row r="479" spans="1:12" x14ac:dyDescent="0.35">
      <c r="A479" s="1" t="s">
        <v>699</v>
      </c>
      <c r="B479" s="1" t="s">
        <v>337</v>
      </c>
      <c r="C479" s="1" t="s">
        <v>61</v>
      </c>
      <c r="D479" s="1" t="s">
        <v>62</v>
      </c>
      <c r="E479" s="1" t="s">
        <v>46</v>
      </c>
      <c r="F479" s="1" t="s">
        <v>25</v>
      </c>
      <c r="G479" s="1" t="s">
        <v>36</v>
      </c>
      <c r="H479" s="1">
        <v>9798</v>
      </c>
      <c r="I479" s="1"/>
      <c r="J479" s="1"/>
      <c r="K479" s="1">
        <v>9000</v>
      </c>
      <c r="L479" s="2">
        <v>45303</v>
      </c>
    </row>
    <row r="480" spans="1:12" x14ac:dyDescent="0.35">
      <c r="A480" s="1" t="s">
        <v>700</v>
      </c>
      <c r="B480" s="1" t="s">
        <v>408</v>
      </c>
      <c r="C480" s="1" t="s">
        <v>44</v>
      </c>
      <c r="D480" s="1" t="s">
        <v>45</v>
      </c>
      <c r="E480" s="1" t="s">
        <v>46</v>
      </c>
      <c r="F480" s="1" t="s">
        <v>17</v>
      </c>
      <c r="G480" s="1" t="s">
        <v>36</v>
      </c>
      <c r="H480" s="1">
        <v>14618</v>
      </c>
      <c r="I480" s="1" t="s">
        <v>19</v>
      </c>
      <c r="J480" s="1">
        <v>0.2</v>
      </c>
      <c r="K480" s="1">
        <v>13000</v>
      </c>
      <c r="L480" s="2">
        <v>45294</v>
      </c>
    </row>
    <row r="481" spans="1:12" x14ac:dyDescent="0.35">
      <c r="A481" s="1" t="s">
        <v>701</v>
      </c>
      <c r="B481" s="1" t="s">
        <v>195</v>
      </c>
      <c r="C481" s="1" t="s">
        <v>44</v>
      </c>
      <c r="D481" s="1" t="s">
        <v>45</v>
      </c>
      <c r="E481" s="1" t="s">
        <v>16</v>
      </c>
      <c r="F481" s="1" t="s">
        <v>17</v>
      </c>
      <c r="G481" s="1" t="s">
        <v>36</v>
      </c>
      <c r="H481" s="1">
        <v>12687</v>
      </c>
      <c r="I481" s="1" t="s">
        <v>27</v>
      </c>
      <c r="J481" s="1"/>
      <c r="K481" s="1">
        <v>13000</v>
      </c>
      <c r="L481" s="2">
        <v>45322</v>
      </c>
    </row>
    <row r="482" spans="1:12" x14ac:dyDescent="0.35">
      <c r="A482" s="1" t="s">
        <v>702</v>
      </c>
      <c r="B482" s="1" t="s">
        <v>76</v>
      </c>
      <c r="C482" s="1" t="s">
        <v>30</v>
      </c>
      <c r="D482" s="1" t="s">
        <v>31</v>
      </c>
      <c r="E482" s="1" t="s">
        <v>46</v>
      </c>
      <c r="F482" s="1" t="s">
        <v>25</v>
      </c>
      <c r="G482" s="1" t="s">
        <v>36</v>
      </c>
      <c r="H482" s="1">
        <v>15816</v>
      </c>
      <c r="I482" s="1" t="s">
        <v>27</v>
      </c>
      <c r="J482" s="1"/>
      <c r="K482" s="1">
        <v>17000</v>
      </c>
      <c r="L482" s="2">
        <v>45307</v>
      </c>
    </row>
    <row r="483" spans="1:12" x14ac:dyDescent="0.35">
      <c r="A483" s="1" t="s">
        <v>703</v>
      </c>
      <c r="B483" s="1" t="s">
        <v>270</v>
      </c>
      <c r="C483" s="1" t="s">
        <v>14</v>
      </c>
      <c r="D483" s="1" t="s">
        <v>15</v>
      </c>
      <c r="E483" s="1" t="s">
        <v>46</v>
      </c>
      <c r="F483" s="1" t="s">
        <v>39</v>
      </c>
      <c r="G483" s="1" t="s">
        <v>36</v>
      </c>
      <c r="H483" s="1">
        <v>13964</v>
      </c>
      <c r="I483" s="1" t="s">
        <v>27</v>
      </c>
      <c r="J483" s="1"/>
      <c r="K483" s="1">
        <v>14000</v>
      </c>
      <c r="L483" s="2">
        <v>45342</v>
      </c>
    </row>
    <row r="484" spans="1:12" x14ac:dyDescent="0.35">
      <c r="A484" s="1" t="s">
        <v>704</v>
      </c>
      <c r="B484" s="1" t="s">
        <v>188</v>
      </c>
      <c r="C484" s="1" t="s">
        <v>30</v>
      </c>
      <c r="D484" s="1" t="s">
        <v>31</v>
      </c>
      <c r="E484" s="1" t="s">
        <v>46</v>
      </c>
      <c r="F484" s="1" t="s">
        <v>17</v>
      </c>
      <c r="G484" s="1" t="s">
        <v>18</v>
      </c>
      <c r="H484" s="1">
        <v>15106</v>
      </c>
      <c r="I484" s="1" t="s">
        <v>33</v>
      </c>
      <c r="J484" s="1">
        <v>0.3</v>
      </c>
      <c r="K484" s="1">
        <v>17000</v>
      </c>
      <c r="L484" s="2">
        <v>45330</v>
      </c>
    </row>
    <row r="485" spans="1:12" x14ac:dyDescent="0.35">
      <c r="A485" s="1" t="s">
        <v>705</v>
      </c>
      <c r="B485" s="1" t="s">
        <v>500</v>
      </c>
      <c r="C485" s="1" t="s">
        <v>30</v>
      </c>
      <c r="D485" s="1" t="s">
        <v>31</v>
      </c>
      <c r="E485" s="1" t="s">
        <v>32</v>
      </c>
      <c r="F485" s="1" t="s">
        <v>17</v>
      </c>
      <c r="G485" s="1" t="s">
        <v>26</v>
      </c>
      <c r="H485" s="1">
        <v>16464</v>
      </c>
      <c r="I485" s="1" t="s">
        <v>27</v>
      </c>
      <c r="J485" s="1"/>
      <c r="K485" s="1">
        <v>17000</v>
      </c>
      <c r="L485" s="2">
        <v>45306</v>
      </c>
    </row>
    <row r="486" spans="1:12" x14ac:dyDescent="0.35">
      <c r="A486" s="1" t="s">
        <v>706</v>
      </c>
      <c r="B486" s="1" t="s">
        <v>325</v>
      </c>
      <c r="C486" s="1" t="s">
        <v>44</v>
      </c>
      <c r="D486" s="1" t="s">
        <v>45</v>
      </c>
      <c r="E486" s="1" t="s">
        <v>16</v>
      </c>
      <c r="F486" s="1" t="s">
        <v>25</v>
      </c>
      <c r="G486" s="1" t="s">
        <v>36</v>
      </c>
      <c r="H486" s="1">
        <v>13185</v>
      </c>
      <c r="I486" s="1" t="s">
        <v>22</v>
      </c>
      <c r="J486" s="1">
        <v>0.1</v>
      </c>
      <c r="K486" s="1">
        <v>13000</v>
      </c>
      <c r="L486" s="2">
        <v>45340</v>
      </c>
    </row>
    <row r="487" spans="1:12" x14ac:dyDescent="0.35">
      <c r="A487" s="1" t="s">
        <v>707</v>
      </c>
      <c r="B487" s="1" t="s">
        <v>56</v>
      </c>
      <c r="C487" s="1" t="s">
        <v>61</v>
      </c>
      <c r="D487" s="1" t="s">
        <v>62</v>
      </c>
      <c r="E487" s="1" t="s">
        <v>46</v>
      </c>
      <c r="F487" s="1" t="s">
        <v>25</v>
      </c>
      <c r="G487" s="1" t="s">
        <v>18</v>
      </c>
      <c r="H487" s="1">
        <v>7968</v>
      </c>
      <c r="I487" s="1" t="s">
        <v>27</v>
      </c>
      <c r="J487" s="1"/>
      <c r="K487" s="1">
        <v>9000</v>
      </c>
      <c r="L487" s="2">
        <v>45312</v>
      </c>
    </row>
    <row r="488" spans="1:12" x14ac:dyDescent="0.35">
      <c r="A488" s="1" t="s">
        <v>708</v>
      </c>
      <c r="B488" s="1" t="s">
        <v>296</v>
      </c>
      <c r="C488" s="1" t="s">
        <v>30</v>
      </c>
      <c r="D488" s="1" t="s">
        <v>31</v>
      </c>
      <c r="E488" s="1" t="s">
        <v>16</v>
      </c>
      <c r="F488" s="1" t="s">
        <v>25</v>
      </c>
      <c r="G488" s="1" t="s">
        <v>26</v>
      </c>
      <c r="H488" s="1">
        <v>17869</v>
      </c>
      <c r="I488" s="1" t="s">
        <v>33</v>
      </c>
      <c r="J488" s="1">
        <v>0.3</v>
      </c>
      <c r="K488" s="1">
        <v>17000</v>
      </c>
      <c r="L488" s="2">
        <v>45352</v>
      </c>
    </row>
    <row r="489" spans="1:12" x14ac:dyDescent="0.35">
      <c r="A489" s="1" t="s">
        <v>709</v>
      </c>
      <c r="B489" s="1" t="s">
        <v>195</v>
      </c>
      <c r="C489" s="1" t="s">
        <v>44</v>
      </c>
      <c r="D489" s="1" t="s">
        <v>45</v>
      </c>
      <c r="E489" s="1" t="s">
        <v>16</v>
      </c>
      <c r="F489" s="1" t="s">
        <v>25</v>
      </c>
      <c r="G489" s="1" t="s">
        <v>36</v>
      </c>
      <c r="H489" s="1">
        <v>13220</v>
      </c>
      <c r="I489" s="1" t="s">
        <v>33</v>
      </c>
      <c r="J489" s="1">
        <v>0.3</v>
      </c>
      <c r="K489" s="1">
        <v>13000</v>
      </c>
      <c r="L489" s="2">
        <v>45303</v>
      </c>
    </row>
    <row r="490" spans="1:12" x14ac:dyDescent="0.35">
      <c r="A490" s="1" t="s">
        <v>710</v>
      </c>
      <c r="B490" s="1" t="s">
        <v>711</v>
      </c>
      <c r="C490" s="1" t="s">
        <v>14</v>
      </c>
      <c r="D490" s="1" t="s">
        <v>15</v>
      </c>
      <c r="E490" s="1" t="s">
        <v>32</v>
      </c>
      <c r="F490" s="1" t="s">
        <v>25</v>
      </c>
      <c r="G490" s="1" t="s">
        <v>26</v>
      </c>
      <c r="H490" s="1">
        <v>12896</v>
      </c>
      <c r="I490" s="1" t="s">
        <v>22</v>
      </c>
      <c r="J490" s="1">
        <v>0.1</v>
      </c>
      <c r="K490" s="1">
        <v>14000</v>
      </c>
      <c r="L490" s="2">
        <v>45325</v>
      </c>
    </row>
    <row r="491" spans="1:12" x14ac:dyDescent="0.35">
      <c r="A491" s="1" t="s">
        <v>712</v>
      </c>
      <c r="B491" s="1" t="s">
        <v>711</v>
      </c>
      <c r="C491" s="1" t="s">
        <v>30</v>
      </c>
      <c r="D491" s="1" t="s">
        <v>31</v>
      </c>
      <c r="E491" s="1" t="s">
        <v>16</v>
      </c>
      <c r="F491" s="1" t="s">
        <v>25</v>
      </c>
      <c r="G491" s="1" t="s">
        <v>18</v>
      </c>
      <c r="H491" s="1">
        <v>16395</v>
      </c>
      <c r="I491" s="1" t="s">
        <v>19</v>
      </c>
      <c r="J491" s="1">
        <v>0.2</v>
      </c>
      <c r="K491" s="1">
        <v>17000</v>
      </c>
      <c r="L491" s="2">
        <v>45350</v>
      </c>
    </row>
    <row r="492" spans="1:12" x14ac:dyDescent="0.35">
      <c r="A492" s="1" t="s">
        <v>713</v>
      </c>
      <c r="B492" s="1" t="s">
        <v>140</v>
      </c>
      <c r="C492" s="1" t="s">
        <v>30</v>
      </c>
      <c r="D492" s="1" t="s">
        <v>31</v>
      </c>
      <c r="E492" s="1" t="s">
        <v>32</v>
      </c>
      <c r="F492" s="1" t="s">
        <v>25</v>
      </c>
      <c r="G492" s="1" t="s">
        <v>18</v>
      </c>
      <c r="H492" s="1">
        <v>17402</v>
      </c>
      <c r="I492" s="1" t="s">
        <v>19</v>
      </c>
      <c r="J492" s="1">
        <v>0.2</v>
      </c>
      <c r="K492" s="1">
        <v>17000</v>
      </c>
      <c r="L492" s="2">
        <v>45341</v>
      </c>
    </row>
    <row r="493" spans="1:12" x14ac:dyDescent="0.35">
      <c r="A493" s="1" t="s">
        <v>714</v>
      </c>
      <c r="B493" s="1" t="s">
        <v>159</v>
      </c>
      <c r="C493" s="1" t="s">
        <v>30</v>
      </c>
      <c r="D493" s="1" t="s">
        <v>31</v>
      </c>
      <c r="E493" s="1" t="s">
        <v>32</v>
      </c>
      <c r="F493" s="1" t="s">
        <v>17</v>
      </c>
      <c r="G493" s="1" t="s">
        <v>26</v>
      </c>
      <c r="H493" s="1">
        <v>18858</v>
      </c>
      <c r="I493" s="1"/>
      <c r="J493" s="1"/>
      <c r="K493" s="1">
        <v>17000</v>
      </c>
      <c r="L493" s="2">
        <v>45329</v>
      </c>
    </row>
    <row r="494" spans="1:12" x14ac:dyDescent="0.35">
      <c r="A494" s="1" t="s">
        <v>715</v>
      </c>
      <c r="B494" s="1" t="s">
        <v>432</v>
      </c>
      <c r="C494" s="1" t="s">
        <v>30</v>
      </c>
      <c r="D494" s="1" t="s">
        <v>31</v>
      </c>
      <c r="E494" s="1" t="s">
        <v>46</v>
      </c>
      <c r="F494" s="1" t="s">
        <v>25</v>
      </c>
      <c r="G494" s="1" t="s">
        <v>18</v>
      </c>
      <c r="H494" s="1">
        <v>17999</v>
      </c>
      <c r="I494" s="1"/>
      <c r="J494" s="1"/>
      <c r="K494" s="1">
        <v>17000</v>
      </c>
      <c r="L494" s="2">
        <v>45342</v>
      </c>
    </row>
    <row r="495" spans="1:12" x14ac:dyDescent="0.35">
      <c r="A495" s="1" t="s">
        <v>716</v>
      </c>
      <c r="B495" s="1" t="s">
        <v>591</v>
      </c>
      <c r="C495" s="1" t="s">
        <v>30</v>
      </c>
      <c r="D495" s="1" t="s">
        <v>31</v>
      </c>
      <c r="E495" s="1" t="s">
        <v>32</v>
      </c>
      <c r="F495" s="1" t="s">
        <v>39</v>
      </c>
      <c r="G495" s="1" t="s">
        <v>26</v>
      </c>
      <c r="H495" s="1">
        <v>17840</v>
      </c>
      <c r="I495" s="1" t="s">
        <v>27</v>
      </c>
      <c r="J495" s="1"/>
      <c r="K495" s="1">
        <v>17000</v>
      </c>
      <c r="L495" s="2">
        <v>45342</v>
      </c>
    </row>
    <row r="496" spans="1:12" x14ac:dyDescent="0.35">
      <c r="A496" s="1" t="s">
        <v>717</v>
      </c>
      <c r="B496" s="1" t="s">
        <v>408</v>
      </c>
      <c r="C496" s="1" t="s">
        <v>44</v>
      </c>
      <c r="D496" s="1" t="s">
        <v>45</v>
      </c>
      <c r="E496" s="1" t="s">
        <v>46</v>
      </c>
      <c r="F496" s="1" t="s">
        <v>17</v>
      </c>
      <c r="G496" s="1" t="s">
        <v>26</v>
      </c>
      <c r="H496" s="1">
        <v>13820</v>
      </c>
      <c r="I496" s="1" t="s">
        <v>33</v>
      </c>
      <c r="J496" s="1">
        <v>0.3</v>
      </c>
      <c r="K496" s="1">
        <v>13000</v>
      </c>
      <c r="L496" s="2">
        <v>45300</v>
      </c>
    </row>
    <row r="497" spans="1:12" x14ac:dyDescent="0.35">
      <c r="A497" s="1" t="s">
        <v>718</v>
      </c>
      <c r="B497" s="1" t="s">
        <v>280</v>
      </c>
      <c r="C497" s="1" t="s">
        <v>14</v>
      </c>
      <c r="D497" s="1" t="s">
        <v>15</v>
      </c>
      <c r="E497" s="1" t="s">
        <v>16</v>
      </c>
      <c r="F497" s="1" t="s">
        <v>39</v>
      </c>
      <c r="G497" s="1" t="s">
        <v>36</v>
      </c>
      <c r="H497" s="1">
        <v>15484</v>
      </c>
      <c r="I497" s="1" t="s">
        <v>27</v>
      </c>
      <c r="J497" s="1"/>
      <c r="K497" s="1">
        <v>14000</v>
      </c>
      <c r="L497" s="2">
        <v>45294</v>
      </c>
    </row>
    <row r="498" spans="1:12" x14ac:dyDescent="0.35">
      <c r="A498" s="1" t="s">
        <v>719</v>
      </c>
      <c r="B498" s="1" t="s">
        <v>720</v>
      </c>
      <c r="C498" s="1" t="s">
        <v>30</v>
      </c>
      <c r="D498" s="1" t="s">
        <v>31</v>
      </c>
      <c r="E498" s="1" t="s">
        <v>16</v>
      </c>
      <c r="F498" s="1" t="s">
        <v>25</v>
      </c>
      <c r="G498" s="1" t="s">
        <v>26</v>
      </c>
      <c r="H498" s="1">
        <v>17316</v>
      </c>
      <c r="I498" s="1" t="s">
        <v>22</v>
      </c>
      <c r="J498" s="1">
        <v>0.1</v>
      </c>
      <c r="K498" s="1">
        <v>17000</v>
      </c>
      <c r="L498" s="2">
        <v>45351</v>
      </c>
    </row>
    <row r="499" spans="1:12" x14ac:dyDescent="0.35">
      <c r="A499" s="1" t="s">
        <v>721</v>
      </c>
      <c r="B499" s="1" t="s">
        <v>508</v>
      </c>
      <c r="C499" s="1" t="s">
        <v>30</v>
      </c>
      <c r="D499" s="1" t="s">
        <v>31</v>
      </c>
      <c r="E499" s="1" t="s">
        <v>16</v>
      </c>
      <c r="F499" s="1" t="s">
        <v>25</v>
      </c>
      <c r="G499" s="1" t="s">
        <v>18</v>
      </c>
      <c r="H499" s="1">
        <v>16420</v>
      </c>
      <c r="I499" s="1" t="s">
        <v>33</v>
      </c>
      <c r="J499" s="1">
        <v>0.3</v>
      </c>
      <c r="K499" s="1">
        <v>17000</v>
      </c>
      <c r="L499" s="2">
        <v>45302</v>
      </c>
    </row>
    <row r="500" spans="1:12" x14ac:dyDescent="0.35">
      <c r="A500" s="1" t="s">
        <v>722</v>
      </c>
      <c r="B500" s="1" t="s">
        <v>13</v>
      </c>
      <c r="C500" s="1" t="s">
        <v>30</v>
      </c>
      <c r="D500" s="1" t="s">
        <v>31</v>
      </c>
      <c r="E500" s="1" t="s">
        <v>46</v>
      </c>
      <c r="F500" s="1" t="s">
        <v>25</v>
      </c>
      <c r="G500" s="1" t="s">
        <v>36</v>
      </c>
      <c r="H500" s="1">
        <v>15858</v>
      </c>
      <c r="I500" s="1" t="s">
        <v>19</v>
      </c>
      <c r="J500" s="1">
        <v>0.2</v>
      </c>
      <c r="K500" s="1">
        <v>17000</v>
      </c>
      <c r="L500" s="2">
        <v>45336</v>
      </c>
    </row>
    <row r="501" spans="1:12" x14ac:dyDescent="0.35">
      <c r="A501" s="1" t="s">
        <v>723</v>
      </c>
      <c r="B501" s="1" t="s">
        <v>432</v>
      </c>
      <c r="C501" s="1" t="s">
        <v>30</v>
      </c>
      <c r="D501" s="1" t="s">
        <v>31</v>
      </c>
      <c r="E501" s="1" t="s">
        <v>32</v>
      </c>
      <c r="F501" s="1" t="s">
        <v>39</v>
      </c>
      <c r="G501" s="1" t="s">
        <v>18</v>
      </c>
      <c r="H501" s="1">
        <v>15197</v>
      </c>
      <c r="I501" s="1"/>
      <c r="J501" s="1"/>
      <c r="K501" s="1">
        <v>17000</v>
      </c>
      <c r="L501" s="2">
        <v>45320</v>
      </c>
    </row>
    <row r="502" spans="1:12" x14ac:dyDescent="0.35">
      <c r="A502" s="1" t="s">
        <v>724</v>
      </c>
      <c r="B502" s="1" t="s">
        <v>127</v>
      </c>
      <c r="C502" s="1" t="s">
        <v>44</v>
      </c>
      <c r="D502" s="1" t="s">
        <v>45</v>
      </c>
      <c r="E502" s="1" t="s">
        <v>46</v>
      </c>
      <c r="F502" s="1" t="s">
        <v>17</v>
      </c>
      <c r="G502" s="1" t="s">
        <v>36</v>
      </c>
      <c r="H502" s="1">
        <v>12438</v>
      </c>
      <c r="I502" s="1" t="s">
        <v>27</v>
      </c>
      <c r="J502" s="1"/>
      <c r="K502" s="1">
        <v>13000</v>
      </c>
      <c r="L502" s="2">
        <v>45316</v>
      </c>
    </row>
    <row r="503" spans="1:12" x14ac:dyDescent="0.35">
      <c r="A503" s="1" t="s">
        <v>725</v>
      </c>
      <c r="B503" s="1" t="s">
        <v>159</v>
      </c>
      <c r="C503" s="1" t="s">
        <v>61</v>
      </c>
      <c r="D503" s="1" t="s">
        <v>62</v>
      </c>
      <c r="E503" s="1" t="s">
        <v>16</v>
      </c>
      <c r="F503" s="1" t="s">
        <v>39</v>
      </c>
      <c r="G503" s="1" t="s">
        <v>26</v>
      </c>
      <c r="H503" s="1">
        <v>7923</v>
      </c>
      <c r="I503" s="1" t="s">
        <v>19</v>
      </c>
      <c r="J503" s="1">
        <v>0.2</v>
      </c>
      <c r="K503" s="1">
        <v>9000</v>
      </c>
      <c r="L503" s="2">
        <v>45320</v>
      </c>
    </row>
    <row r="504" spans="1:12" x14ac:dyDescent="0.35">
      <c r="A504" s="1" t="s">
        <v>726</v>
      </c>
      <c r="B504" s="1" t="s">
        <v>200</v>
      </c>
      <c r="C504" s="1" t="s">
        <v>14</v>
      </c>
      <c r="D504" s="1" t="s">
        <v>15</v>
      </c>
      <c r="E504" s="1" t="s">
        <v>46</v>
      </c>
      <c r="F504" s="1" t="s">
        <v>25</v>
      </c>
      <c r="G504" s="1" t="s">
        <v>36</v>
      </c>
      <c r="H504" s="1">
        <v>13069</v>
      </c>
      <c r="I504" s="1" t="s">
        <v>22</v>
      </c>
      <c r="J504" s="1">
        <v>0.1</v>
      </c>
      <c r="K504" s="1">
        <v>14000</v>
      </c>
      <c r="L504" s="2">
        <v>45296</v>
      </c>
    </row>
    <row r="505" spans="1:12" x14ac:dyDescent="0.35">
      <c r="A505" s="1" t="s">
        <v>727</v>
      </c>
      <c r="B505" s="1" t="s">
        <v>728</v>
      </c>
      <c r="C505" s="1" t="s">
        <v>61</v>
      </c>
      <c r="D505" s="1" t="s">
        <v>62</v>
      </c>
      <c r="E505" s="1" t="s">
        <v>32</v>
      </c>
      <c r="F505" s="1" t="s">
        <v>39</v>
      </c>
      <c r="G505" s="1" t="s">
        <v>18</v>
      </c>
      <c r="H505" s="1">
        <v>9240</v>
      </c>
      <c r="I505" s="1" t="s">
        <v>22</v>
      </c>
      <c r="J505" s="1">
        <v>0.1</v>
      </c>
      <c r="K505" s="1">
        <v>9000</v>
      </c>
      <c r="L505" s="2">
        <v>45313</v>
      </c>
    </row>
    <row r="506" spans="1:12" x14ac:dyDescent="0.35">
      <c r="A506" s="1" t="s">
        <v>729</v>
      </c>
      <c r="B506" s="1" t="s">
        <v>195</v>
      </c>
      <c r="C506" s="1" t="s">
        <v>61</v>
      </c>
      <c r="D506" s="1" t="s">
        <v>62</v>
      </c>
      <c r="E506" s="1" t="s">
        <v>16</v>
      </c>
      <c r="F506" s="1" t="s">
        <v>25</v>
      </c>
      <c r="G506" s="1" t="s">
        <v>36</v>
      </c>
      <c r="H506" s="1">
        <v>10860</v>
      </c>
      <c r="I506" s="1" t="s">
        <v>19</v>
      </c>
      <c r="J506" s="1">
        <v>0.2</v>
      </c>
      <c r="K506" s="1">
        <v>9000</v>
      </c>
      <c r="L506" s="2">
        <v>45330</v>
      </c>
    </row>
    <row r="507" spans="1:12" x14ac:dyDescent="0.35">
      <c r="A507" s="1" t="s">
        <v>730</v>
      </c>
      <c r="B507" s="1" t="s">
        <v>137</v>
      </c>
      <c r="C507" s="1" t="s">
        <v>44</v>
      </c>
      <c r="D507" s="1" t="s">
        <v>45</v>
      </c>
      <c r="E507" s="1" t="s">
        <v>32</v>
      </c>
      <c r="F507" s="1" t="s">
        <v>25</v>
      </c>
      <c r="G507" s="1" t="s">
        <v>36</v>
      </c>
      <c r="H507" s="1">
        <v>11841</v>
      </c>
      <c r="I507" s="1" t="s">
        <v>19</v>
      </c>
      <c r="J507" s="1">
        <v>0.2</v>
      </c>
      <c r="K507" s="1">
        <v>13000</v>
      </c>
      <c r="L507" s="2">
        <v>45318</v>
      </c>
    </row>
    <row r="508" spans="1:12" x14ac:dyDescent="0.35">
      <c r="A508" s="1" t="s">
        <v>731</v>
      </c>
      <c r="B508" s="1" t="s">
        <v>103</v>
      </c>
      <c r="C508" s="1" t="s">
        <v>30</v>
      </c>
      <c r="D508" s="1" t="s">
        <v>31</v>
      </c>
      <c r="E508" s="1" t="s">
        <v>16</v>
      </c>
      <c r="F508" s="1" t="s">
        <v>17</v>
      </c>
      <c r="G508" s="1" t="s">
        <v>36</v>
      </c>
      <c r="H508" s="1">
        <v>15972</v>
      </c>
      <c r="I508" s="1" t="s">
        <v>22</v>
      </c>
      <c r="J508" s="1">
        <v>0.1</v>
      </c>
      <c r="K508" s="1">
        <v>17000</v>
      </c>
      <c r="L508" s="2">
        <v>45295</v>
      </c>
    </row>
    <row r="509" spans="1:12" x14ac:dyDescent="0.35">
      <c r="A509" s="1" t="s">
        <v>732</v>
      </c>
      <c r="B509" s="1" t="s">
        <v>617</v>
      </c>
      <c r="C509" s="1" t="s">
        <v>61</v>
      </c>
      <c r="D509" s="1" t="s">
        <v>62</v>
      </c>
      <c r="E509" s="1" t="s">
        <v>32</v>
      </c>
      <c r="F509" s="1" t="s">
        <v>25</v>
      </c>
      <c r="G509" s="1" t="s">
        <v>36</v>
      </c>
      <c r="H509" s="1">
        <v>7015</v>
      </c>
      <c r="I509" s="1"/>
      <c r="J509" s="1"/>
      <c r="K509" s="1">
        <v>9000</v>
      </c>
      <c r="L509" s="2">
        <v>45297</v>
      </c>
    </row>
    <row r="510" spans="1:12" x14ac:dyDescent="0.35">
      <c r="A510" s="1" t="s">
        <v>733</v>
      </c>
      <c r="B510" s="1" t="s">
        <v>142</v>
      </c>
      <c r="C510" s="1" t="s">
        <v>61</v>
      </c>
      <c r="D510" s="1" t="s">
        <v>62</v>
      </c>
      <c r="E510" s="1" t="s">
        <v>32</v>
      </c>
      <c r="F510" s="1" t="s">
        <v>25</v>
      </c>
      <c r="G510" s="1" t="s">
        <v>18</v>
      </c>
      <c r="H510" s="1">
        <v>7847</v>
      </c>
      <c r="I510" s="1" t="s">
        <v>19</v>
      </c>
      <c r="J510" s="1">
        <v>0.2</v>
      </c>
      <c r="K510" s="1">
        <v>9000</v>
      </c>
      <c r="L510" s="2">
        <v>45332</v>
      </c>
    </row>
    <row r="511" spans="1:12" x14ac:dyDescent="0.35">
      <c r="A511" s="1" t="s">
        <v>734</v>
      </c>
      <c r="B511" s="1" t="s">
        <v>222</v>
      </c>
      <c r="C511" s="1" t="s">
        <v>61</v>
      </c>
      <c r="D511" s="1" t="s">
        <v>62</v>
      </c>
      <c r="E511" s="1" t="s">
        <v>32</v>
      </c>
      <c r="F511" s="1" t="s">
        <v>17</v>
      </c>
      <c r="G511" s="1" t="s">
        <v>36</v>
      </c>
      <c r="H511" s="1">
        <v>8928</v>
      </c>
      <c r="I511" s="1"/>
      <c r="J511" s="1"/>
      <c r="K511" s="1">
        <v>9000</v>
      </c>
      <c r="L511" s="2">
        <v>45349</v>
      </c>
    </row>
    <row r="512" spans="1:12" x14ac:dyDescent="0.35">
      <c r="A512" s="1" t="s">
        <v>735</v>
      </c>
      <c r="B512" s="1" t="s">
        <v>278</v>
      </c>
      <c r="C512" s="1" t="s">
        <v>14</v>
      </c>
      <c r="D512" s="1" t="s">
        <v>15</v>
      </c>
      <c r="E512" s="1" t="s">
        <v>16</v>
      </c>
      <c r="F512" s="1" t="s">
        <v>39</v>
      </c>
      <c r="G512" s="1" t="s">
        <v>36</v>
      </c>
      <c r="H512" s="1">
        <v>12757</v>
      </c>
      <c r="I512" s="1" t="s">
        <v>33</v>
      </c>
      <c r="J512" s="1">
        <v>0.3</v>
      </c>
      <c r="K512" s="1">
        <v>14000</v>
      </c>
      <c r="L512" s="2">
        <v>45348</v>
      </c>
    </row>
    <row r="513" spans="1:12" x14ac:dyDescent="0.35">
      <c r="A513" s="1" t="s">
        <v>736</v>
      </c>
      <c r="B513" s="1" t="s">
        <v>474</v>
      </c>
      <c r="C513" s="1" t="s">
        <v>44</v>
      </c>
      <c r="D513" s="1" t="s">
        <v>45</v>
      </c>
      <c r="E513" s="1" t="s">
        <v>46</v>
      </c>
      <c r="F513" s="1" t="s">
        <v>25</v>
      </c>
      <c r="G513" s="1" t="s">
        <v>36</v>
      </c>
      <c r="H513" s="1">
        <v>12801</v>
      </c>
      <c r="I513" s="1"/>
      <c r="J513" s="1"/>
      <c r="K513" s="1">
        <v>13000</v>
      </c>
      <c r="L513" s="2">
        <v>45308</v>
      </c>
    </row>
    <row r="514" spans="1:12" x14ac:dyDescent="0.35">
      <c r="A514" s="1" t="s">
        <v>737</v>
      </c>
      <c r="B514" s="1" t="s">
        <v>171</v>
      </c>
      <c r="C514" s="1" t="s">
        <v>30</v>
      </c>
      <c r="D514" s="1" t="s">
        <v>31</v>
      </c>
      <c r="E514" s="1" t="s">
        <v>16</v>
      </c>
      <c r="F514" s="1" t="s">
        <v>25</v>
      </c>
      <c r="G514" s="1" t="s">
        <v>18</v>
      </c>
      <c r="H514" s="1">
        <v>18081</v>
      </c>
      <c r="I514" s="1" t="s">
        <v>22</v>
      </c>
      <c r="J514" s="1">
        <v>0.1</v>
      </c>
      <c r="K514" s="1">
        <v>17000</v>
      </c>
      <c r="L514" s="2">
        <v>45297</v>
      </c>
    </row>
    <row r="515" spans="1:12" x14ac:dyDescent="0.35">
      <c r="A515" s="1" t="s">
        <v>738</v>
      </c>
      <c r="B515" s="1" t="s">
        <v>317</v>
      </c>
      <c r="C515" s="1" t="s">
        <v>61</v>
      </c>
      <c r="D515" s="1" t="s">
        <v>62</v>
      </c>
      <c r="E515" s="1" t="s">
        <v>16</v>
      </c>
      <c r="F515" s="1" t="s">
        <v>25</v>
      </c>
      <c r="G515" s="1" t="s">
        <v>26</v>
      </c>
      <c r="H515" s="1">
        <v>7249</v>
      </c>
      <c r="I515" s="1"/>
      <c r="J515" s="1"/>
      <c r="K515" s="1">
        <v>9000</v>
      </c>
      <c r="L515" s="2">
        <v>45344</v>
      </c>
    </row>
    <row r="516" spans="1:12" x14ac:dyDescent="0.35">
      <c r="A516" s="1" t="s">
        <v>739</v>
      </c>
      <c r="B516" s="1" t="s">
        <v>388</v>
      </c>
      <c r="C516" s="1" t="s">
        <v>61</v>
      </c>
      <c r="D516" s="1" t="s">
        <v>62</v>
      </c>
      <c r="E516" s="1" t="s">
        <v>16</v>
      </c>
      <c r="F516" s="1" t="s">
        <v>25</v>
      </c>
      <c r="G516" s="1" t="s">
        <v>36</v>
      </c>
      <c r="H516" s="1">
        <v>8224</v>
      </c>
      <c r="I516" s="1" t="s">
        <v>22</v>
      </c>
      <c r="J516" s="1">
        <v>0.1</v>
      </c>
      <c r="K516" s="1">
        <v>9000</v>
      </c>
      <c r="L516" s="2">
        <v>45317</v>
      </c>
    </row>
    <row r="517" spans="1:12" x14ac:dyDescent="0.35">
      <c r="A517" s="1" t="s">
        <v>740</v>
      </c>
      <c r="B517" s="1" t="s">
        <v>454</v>
      </c>
      <c r="C517" s="1" t="s">
        <v>14</v>
      </c>
      <c r="D517" s="1" t="s">
        <v>15</v>
      </c>
      <c r="E517" s="1" t="s">
        <v>16</v>
      </c>
      <c r="F517" s="1" t="s">
        <v>39</v>
      </c>
      <c r="G517" s="1" t="s">
        <v>26</v>
      </c>
      <c r="H517" s="1">
        <v>15278</v>
      </c>
      <c r="I517" s="1" t="s">
        <v>27</v>
      </c>
      <c r="J517" s="1"/>
      <c r="K517" s="1">
        <v>14000</v>
      </c>
      <c r="L517" s="2">
        <v>45335</v>
      </c>
    </row>
    <row r="518" spans="1:12" x14ac:dyDescent="0.35">
      <c r="A518" s="1" t="s">
        <v>741</v>
      </c>
      <c r="B518" s="1" t="s">
        <v>373</v>
      </c>
      <c r="C518" s="1" t="s">
        <v>14</v>
      </c>
      <c r="D518" s="1" t="s">
        <v>15</v>
      </c>
      <c r="E518" s="1" t="s">
        <v>46</v>
      </c>
      <c r="F518" s="1" t="s">
        <v>25</v>
      </c>
      <c r="G518" s="1" t="s">
        <v>18</v>
      </c>
      <c r="H518" s="1">
        <v>15981</v>
      </c>
      <c r="I518" s="1" t="s">
        <v>19</v>
      </c>
      <c r="J518" s="1">
        <v>0.2</v>
      </c>
      <c r="K518" s="1">
        <v>14000</v>
      </c>
      <c r="L518" s="2">
        <v>45343</v>
      </c>
    </row>
    <row r="519" spans="1:12" x14ac:dyDescent="0.35">
      <c r="A519" s="1" t="s">
        <v>742</v>
      </c>
      <c r="B519" s="1" t="s">
        <v>235</v>
      </c>
      <c r="C519" s="1" t="s">
        <v>14</v>
      </c>
      <c r="D519" s="1" t="s">
        <v>15</v>
      </c>
      <c r="E519" s="1" t="s">
        <v>46</v>
      </c>
      <c r="F519" s="1" t="s">
        <v>25</v>
      </c>
      <c r="G519" s="1" t="s">
        <v>26</v>
      </c>
      <c r="H519" s="1">
        <v>13783</v>
      </c>
      <c r="I519" s="1" t="s">
        <v>19</v>
      </c>
      <c r="J519" s="1">
        <v>0.2</v>
      </c>
      <c r="K519" s="1">
        <v>14000</v>
      </c>
      <c r="L519" s="2">
        <v>45344</v>
      </c>
    </row>
    <row r="520" spans="1:12" x14ac:dyDescent="0.35">
      <c r="A520" s="1" t="s">
        <v>743</v>
      </c>
      <c r="B520" s="1" t="s">
        <v>422</v>
      </c>
      <c r="C520" s="1" t="s">
        <v>30</v>
      </c>
      <c r="D520" s="1" t="s">
        <v>31</v>
      </c>
      <c r="E520" s="1" t="s">
        <v>46</v>
      </c>
      <c r="F520" s="1" t="s">
        <v>39</v>
      </c>
      <c r="G520" s="1" t="s">
        <v>18</v>
      </c>
      <c r="H520" s="1">
        <v>15356</v>
      </c>
      <c r="I520" s="1"/>
      <c r="J520" s="1"/>
      <c r="K520" s="1">
        <v>17000</v>
      </c>
      <c r="L520" s="2">
        <v>45327</v>
      </c>
    </row>
    <row r="521" spans="1:12" x14ac:dyDescent="0.35">
      <c r="A521" s="1" t="s">
        <v>744</v>
      </c>
      <c r="B521" s="1" t="s">
        <v>512</v>
      </c>
      <c r="C521" s="1" t="s">
        <v>30</v>
      </c>
      <c r="D521" s="1" t="s">
        <v>31</v>
      </c>
      <c r="E521" s="1" t="s">
        <v>46</v>
      </c>
      <c r="F521" s="1" t="s">
        <v>39</v>
      </c>
      <c r="G521" s="1" t="s">
        <v>36</v>
      </c>
      <c r="H521" s="1">
        <v>18756</v>
      </c>
      <c r="I521" s="1" t="s">
        <v>22</v>
      </c>
      <c r="J521" s="1">
        <v>0.1</v>
      </c>
      <c r="K521" s="1">
        <v>17000</v>
      </c>
      <c r="L521" s="2">
        <v>45342</v>
      </c>
    </row>
    <row r="522" spans="1:12" x14ac:dyDescent="0.35">
      <c r="A522" s="1" t="s">
        <v>745</v>
      </c>
      <c r="B522" s="1" t="s">
        <v>672</v>
      </c>
      <c r="C522" s="1" t="s">
        <v>61</v>
      </c>
      <c r="D522" s="1" t="s">
        <v>62</v>
      </c>
      <c r="E522" s="1" t="s">
        <v>32</v>
      </c>
      <c r="F522" s="1" t="s">
        <v>17</v>
      </c>
      <c r="G522" s="1" t="s">
        <v>18</v>
      </c>
      <c r="H522" s="1">
        <v>7607</v>
      </c>
      <c r="I522" s="1" t="s">
        <v>27</v>
      </c>
      <c r="J522" s="1"/>
      <c r="K522" s="1">
        <v>9000</v>
      </c>
      <c r="L522" s="2">
        <v>45329</v>
      </c>
    </row>
    <row r="523" spans="1:12" x14ac:dyDescent="0.35">
      <c r="A523" s="1" t="s">
        <v>746</v>
      </c>
      <c r="B523" s="1" t="s">
        <v>579</v>
      </c>
      <c r="C523" s="1" t="s">
        <v>14</v>
      </c>
      <c r="D523" s="1" t="s">
        <v>15</v>
      </c>
      <c r="E523" s="1" t="s">
        <v>32</v>
      </c>
      <c r="F523" s="1" t="s">
        <v>39</v>
      </c>
      <c r="G523" s="1" t="s">
        <v>18</v>
      </c>
      <c r="H523" s="1">
        <v>15218</v>
      </c>
      <c r="I523" s="1" t="s">
        <v>33</v>
      </c>
      <c r="J523" s="1">
        <v>0.3</v>
      </c>
      <c r="K523" s="1">
        <v>14000</v>
      </c>
      <c r="L523" s="2">
        <v>45347</v>
      </c>
    </row>
    <row r="524" spans="1:12" x14ac:dyDescent="0.35">
      <c r="A524" s="1" t="s">
        <v>747</v>
      </c>
      <c r="B524" s="1" t="s">
        <v>217</v>
      </c>
      <c r="C524" s="1" t="s">
        <v>61</v>
      </c>
      <c r="D524" s="1" t="s">
        <v>62</v>
      </c>
      <c r="E524" s="1" t="s">
        <v>46</v>
      </c>
      <c r="F524" s="1" t="s">
        <v>17</v>
      </c>
      <c r="G524" s="1" t="s">
        <v>26</v>
      </c>
      <c r="H524" s="1">
        <v>8988</v>
      </c>
      <c r="I524" s="1" t="s">
        <v>27</v>
      </c>
      <c r="J524" s="1"/>
      <c r="K524" s="1">
        <v>9000</v>
      </c>
      <c r="L524" s="2">
        <v>45330</v>
      </c>
    </row>
    <row r="525" spans="1:12" x14ac:dyDescent="0.35">
      <c r="A525" s="1" t="s">
        <v>748</v>
      </c>
      <c r="B525" s="1" t="s">
        <v>711</v>
      </c>
      <c r="C525" s="1" t="s">
        <v>44</v>
      </c>
      <c r="D525" s="1" t="s">
        <v>45</v>
      </c>
      <c r="E525" s="1" t="s">
        <v>46</v>
      </c>
      <c r="F525" s="1" t="s">
        <v>17</v>
      </c>
      <c r="G525" s="1" t="s">
        <v>18</v>
      </c>
      <c r="H525" s="1">
        <v>13532</v>
      </c>
      <c r="I525" s="1" t="s">
        <v>27</v>
      </c>
      <c r="J525" s="1"/>
      <c r="K525" s="1">
        <v>13000</v>
      </c>
      <c r="L525" s="2">
        <v>45335</v>
      </c>
    </row>
    <row r="526" spans="1:12" x14ac:dyDescent="0.35">
      <c r="A526" s="1" t="s">
        <v>749</v>
      </c>
      <c r="B526" s="1" t="s">
        <v>127</v>
      </c>
      <c r="C526" s="1" t="s">
        <v>14</v>
      </c>
      <c r="D526" s="1" t="s">
        <v>15</v>
      </c>
      <c r="E526" s="1" t="s">
        <v>46</v>
      </c>
      <c r="F526" s="1" t="s">
        <v>17</v>
      </c>
      <c r="G526" s="1" t="s">
        <v>26</v>
      </c>
      <c r="H526" s="1">
        <v>12973</v>
      </c>
      <c r="I526" s="1" t="s">
        <v>22</v>
      </c>
      <c r="J526" s="1">
        <v>0.1</v>
      </c>
      <c r="K526" s="1">
        <v>14000</v>
      </c>
      <c r="L526" s="2">
        <v>45339</v>
      </c>
    </row>
    <row r="527" spans="1:12" x14ac:dyDescent="0.35">
      <c r="A527" s="1" t="s">
        <v>750</v>
      </c>
      <c r="B527" s="1" t="s">
        <v>123</v>
      </c>
      <c r="C527" s="1" t="s">
        <v>30</v>
      </c>
      <c r="D527" s="1" t="s">
        <v>31</v>
      </c>
      <c r="E527" s="1" t="s">
        <v>32</v>
      </c>
      <c r="F527" s="1" t="s">
        <v>17</v>
      </c>
      <c r="G527" s="1" t="s">
        <v>36</v>
      </c>
      <c r="H527" s="1">
        <v>16273</v>
      </c>
      <c r="I527" s="1" t="s">
        <v>33</v>
      </c>
      <c r="J527" s="1">
        <v>0.3</v>
      </c>
      <c r="K527" s="1">
        <v>17000</v>
      </c>
      <c r="L527" s="2">
        <v>45345</v>
      </c>
    </row>
    <row r="528" spans="1:12" x14ac:dyDescent="0.35">
      <c r="A528" s="1" t="s">
        <v>751</v>
      </c>
      <c r="B528" s="1" t="s">
        <v>752</v>
      </c>
      <c r="C528" s="1" t="s">
        <v>14</v>
      </c>
      <c r="D528" s="1" t="s">
        <v>15</v>
      </c>
      <c r="E528" s="1" t="s">
        <v>32</v>
      </c>
      <c r="F528" s="1" t="s">
        <v>25</v>
      </c>
      <c r="G528" s="1" t="s">
        <v>36</v>
      </c>
      <c r="H528" s="1">
        <v>15990</v>
      </c>
      <c r="I528" s="1"/>
      <c r="J528" s="1"/>
      <c r="K528" s="1">
        <v>14000</v>
      </c>
      <c r="L528" s="2">
        <v>45341</v>
      </c>
    </row>
    <row r="529" spans="1:12" x14ac:dyDescent="0.35">
      <c r="A529" s="1" t="s">
        <v>753</v>
      </c>
      <c r="B529" s="1" t="s">
        <v>303</v>
      </c>
      <c r="C529" s="1" t="s">
        <v>30</v>
      </c>
      <c r="D529" s="1" t="s">
        <v>31</v>
      </c>
      <c r="E529" s="1" t="s">
        <v>16</v>
      </c>
      <c r="F529" s="1" t="s">
        <v>17</v>
      </c>
      <c r="G529" s="1" t="s">
        <v>26</v>
      </c>
      <c r="H529" s="1">
        <v>17644</v>
      </c>
      <c r="I529" s="1" t="s">
        <v>22</v>
      </c>
      <c r="J529" s="1">
        <v>0.1</v>
      </c>
      <c r="K529" s="1">
        <v>17000</v>
      </c>
      <c r="L529" s="2">
        <v>45304</v>
      </c>
    </row>
    <row r="530" spans="1:12" x14ac:dyDescent="0.35">
      <c r="A530" s="1" t="s">
        <v>754</v>
      </c>
      <c r="B530" s="1" t="s">
        <v>211</v>
      </c>
      <c r="C530" s="1" t="s">
        <v>61</v>
      </c>
      <c r="D530" s="1" t="s">
        <v>62</v>
      </c>
      <c r="E530" s="1" t="s">
        <v>16</v>
      </c>
      <c r="F530" s="1" t="s">
        <v>17</v>
      </c>
      <c r="G530" s="1" t="s">
        <v>26</v>
      </c>
      <c r="H530" s="1">
        <v>10552</v>
      </c>
      <c r="I530" s="1" t="s">
        <v>33</v>
      </c>
      <c r="J530" s="1">
        <v>0.3</v>
      </c>
      <c r="K530" s="1">
        <v>9000</v>
      </c>
      <c r="L530" s="2">
        <v>45344</v>
      </c>
    </row>
    <row r="531" spans="1:12" x14ac:dyDescent="0.35">
      <c r="A531" s="1" t="s">
        <v>755</v>
      </c>
      <c r="B531" s="1" t="s">
        <v>166</v>
      </c>
      <c r="C531" s="1" t="s">
        <v>44</v>
      </c>
      <c r="D531" s="1" t="s">
        <v>45</v>
      </c>
      <c r="E531" s="1" t="s">
        <v>32</v>
      </c>
      <c r="F531" s="1" t="s">
        <v>17</v>
      </c>
      <c r="G531" s="1" t="s">
        <v>26</v>
      </c>
      <c r="H531" s="1">
        <v>13075</v>
      </c>
      <c r="I531" s="1"/>
      <c r="J531" s="1"/>
      <c r="K531" s="1">
        <v>13000</v>
      </c>
      <c r="L531" s="2">
        <v>45300</v>
      </c>
    </row>
    <row r="532" spans="1:12" x14ac:dyDescent="0.35">
      <c r="A532" s="1" t="s">
        <v>756</v>
      </c>
      <c r="B532" s="1" t="s">
        <v>140</v>
      </c>
      <c r="C532" s="1" t="s">
        <v>14</v>
      </c>
      <c r="D532" s="1" t="s">
        <v>15</v>
      </c>
      <c r="E532" s="1" t="s">
        <v>32</v>
      </c>
      <c r="F532" s="1" t="s">
        <v>25</v>
      </c>
      <c r="G532" s="1" t="s">
        <v>18</v>
      </c>
      <c r="H532" s="1">
        <v>15428</v>
      </c>
      <c r="I532" s="1" t="s">
        <v>22</v>
      </c>
      <c r="J532" s="1">
        <v>0.1</v>
      </c>
      <c r="K532" s="1">
        <v>14000</v>
      </c>
      <c r="L532" s="2">
        <v>45307</v>
      </c>
    </row>
    <row r="533" spans="1:12" x14ac:dyDescent="0.35">
      <c r="A533" s="1" t="s">
        <v>757</v>
      </c>
      <c r="B533" s="1" t="s">
        <v>489</v>
      </c>
      <c r="C533" s="1" t="s">
        <v>14</v>
      </c>
      <c r="D533" s="1" t="s">
        <v>15</v>
      </c>
      <c r="E533" s="1" t="s">
        <v>46</v>
      </c>
      <c r="F533" s="1" t="s">
        <v>39</v>
      </c>
      <c r="G533" s="1" t="s">
        <v>18</v>
      </c>
      <c r="H533" s="1">
        <v>13122</v>
      </c>
      <c r="I533" s="1" t="s">
        <v>33</v>
      </c>
      <c r="J533" s="1">
        <v>0.3</v>
      </c>
      <c r="K533" s="1">
        <v>14000</v>
      </c>
      <c r="L533" s="2">
        <v>45344</v>
      </c>
    </row>
    <row r="534" spans="1:12" x14ac:dyDescent="0.35">
      <c r="A534" s="1" t="s">
        <v>758</v>
      </c>
      <c r="B534" s="1" t="s">
        <v>330</v>
      </c>
      <c r="C534" s="1" t="s">
        <v>61</v>
      </c>
      <c r="D534" s="1" t="s">
        <v>62</v>
      </c>
      <c r="E534" s="1" t="s">
        <v>16</v>
      </c>
      <c r="F534" s="1" t="s">
        <v>25</v>
      </c>
      <c r="G534" s="1" t="s">
        <v>26</v>
      </c>
      <c r="H534" s="1">
        <v>7125</v>
      </c>
      <c r="I534" s="1" t="s">
        <v>19</v>
      </c>
      <c r="J534" s="1">
        <v>0.2</v>
      </c>
      <c r="K534" s="1">
        <v>9000</v>
      </c>
      <c r="L534" s="2">
        <v>45315</v>
      </c>
    </row>
    <row r="535" spans="1:12" x14ac:dyDescent="0.35">
      <c r="A535" s="1" t="s">
        <v>759</v>
      </c>
      <c r="B535" s="1" t="s">
        <v>600</v>
      </c>
      <c r="C535" s="1" t="s">
        <v>61</v>
      </c>
      <c r="D535" s="1" t="s">
        <v>62</v>
      </c>
      <c r="E535" s="1" t="s">
        <v>32</v>
      </c>
      <c r="F535" s="1" t="s">
        <v>17</v>
      </c>
      <c r="G535" s="1" t="s">
        <v>26</v>
      </c>
      <c r="H535" s="1">
        <v>9258</v>
      </c>
      <c r="I535" s="1" t="s">
        <v>33</v>
      </c>
      <c r="J535" s="1">
        <v>0.3</v>
      </c>
      <c r="K535" s="1">
        <v>9000</v>
      </c>
      <c r="L535" s="2">
        <v>45314</v>
      </c>
    </row>
    <row r="536" spans="1:12" x14ac:dyDescent="0.35">
      <c r="A536" s="1" t="s">
        <v>760</v>
      </c>
      <c r="B536" s="1" t="s">
        <v>619</v>
      </c>
      <c r="C536" s="1" t="s">
        <v>30</v>
      </c>
      <c r="D536" s="1" t="s">
        <v>31</v>
      </c>
      <c r="E536" s="1" t="s">
        <v>16</v>
      </c>
      <c r="F536" s="1" t="s">
        <v>39</v>
      </c>
      <c r="G536" s="1" t="s">
        <v>18</v>
      </c>
      <c r="H536" s="1">
        <v>16167</v>
      </c>
      <c r="I536" s="1" t="s">
        <v>22</v>
      </c>
      <c r="J536" s="1">
        <v>0.1</v>
      </c>
      <c r="K536" s="1">
        <v>17000</v>
      </c>
      <c r="L536" s="2">
        <v>45316</v>
      </c>
    </row>
    <row r="537" spans="1:12" x14ac:dyDescent="0.35">
      <c r="A537" s="1" t="s">
        <v>761</v>
      </c>
      <c r="B537" s="1" t="s">
        <v>243</v>
      </c>
      <c r="C537" s="1" t="s">
        <v>44</v>
      </c>
      <c r="D537" s="1" t="s">
        <v>45</v>
      </c>
      <c r="E537" s="1" t="s">
        <v>32</v>
      </c>
      <c r="F537" s="1" t="s">
        <v>39</v>
      </c>
      <c r="G537" s="1" t="s">
        <v>18</v>
      </c>
      <c r="H537" s="1">
        <v>13775</v>
      </c>
      <c r="I537" s="1" t="s">
        <v>19</v>
      </c>
      <c r="J537" s="1">
        <v>0.2</v>
      </c>
      <c r="K537" s="1">
        <v>13000</v>
      </c>
      <c r="L537" s="2">
        <v>45309</v>
      </c>
    </row>
    <row r="538" spans="1:12" x14ac:dyDescent="0.35">
      <c r="A538" s="1" t="s">
        <v>762</v>
      </c>
      <c r="B538" s="1" t="s">
        <v>90</v>
      </c>
      <c r="C538" s="1" t="s">
        <v>14</v>
      </c>
      <c r="D538" s="1" t="s">
        <v>15</v>
      </c>
      <c r="E538" s="1" t="s">
        <v>16</v>
      </c>
      <c r="F538" s="1" t="s">
        <v>25</v>
      </c>
      <c r="G538" s="1" t="s">
        <v>36</v>
      </c>
      <c r="H538" s="1">
        <v>15733</v>
      </c>
      <c r="I538" s="1" t="s">
        <v>19</v>
      </c>
      <c r="J538" s="1">
        <v>0.2</v>
      </c>
      <c r="K538" s="1">
        <v>14000</v>
      </c>
      <c r="L538" s="2">
        <v>45333</v>
      </c>
    </row>
    <row r="539" spans="1:12" x14ac:dyDescent="0.35">
      <c r="A539" s="1" t="s">
        <v>763</v>
      </c>
      <c r="B539" s="1" t="s">
        <v>720</v>
      </c>
      <c r="C539" s="1" t="s">
        <v>14</v>
      </c>
      <c r="D539" s="1" t="s">
        <v>15</v>
      </c>
      <c r="E539" s="1" t="s">
        <v>32</v>
      </c>
      <c r="F539" s="1" t="s">
        <v>17</v>
      </c>
      <c r="G539" s="1" t="s">
        <v>26</v>
      </c>
      <c r="H539" s="1">
        <v>15297</v>
      </c>
      <c r="I539" s="1" t="s">
        <v>33</v>
      </c>
      <c r="J539" s="1">
        <v>0.3</v>
      </c>
      <c r="K539" s="1">
        <v>14000</v>
      </c>
      <c r="L539" s="2">
        <v>45337</v>
      </c>
    </row>
    <row r="540" spans="1:12" x14ac:dyDescent="0.35">
      <c r="A540" s="1" t="s">
        <v>764</v>
      </c>
      <c r="B540" s="1" t="s">
        <v>765</v>
      </c>
      <c r="C540" s="1" t="s">
        <v>30</v>
      </c>
      <c r="D540" s="1" t="s">
        <v>31</v>
      </c>
      <c r="E540" s="1" t="s">
        <v>46</v>
      </c>
      <c r="F540" s="1" t="s">
        <v>17</v>
      </c>
      <c r="G540" s="1" t="s">
        <v>36</v>
      </c>
      <c r="H540" s="1">
        <v>16880</v>
      </c>
      <c r="I540" s="1" t="s">
        <v>33</v>
      </c>
      <c r="J540" s="1">
        <v>0.3</v>
      </c>
      <c r="K540" s="1">
        <v>17000</v>
      </c>
      <c r="L540" s="2">
        <v>45305</v>
      </c>
    </row>
    <row r="541" spans="1:12" x14ac:dyDescent="0.35">
      <c r="A541" s="1" t="s">
        <v>766</v>
      </c>
      <c r="B541" s="1" t="s">
        <v>123</v>
      </c>
      <c r="C541" s="1" t="s">
        <v>61</v>
      </c>
      <c r="D541" s="1" t="s">
        <v>62</v>
      </c>
      <c r="E541" s="1" t="s">
        <v>16</v>
      </c>
      <c r="F541" s="1" t="s">
        <v>25</v>
      </c>
      <c r="G541" s="1" t="s">
        <v>18</v>
      </c>
      <c r="H541" s="1">
        <v>9095</v>
      </c>
      <c r="I541" s="1" t="s">
        <v>33</v>
      </c>
      <c r="J541" s="1">
        <v>0.3</v>
      </c>
      <c r="K541" s="1">
        <v>9000</v>
      </c>
      <c r="L541" s="2">
        <v>45327</v>
      </c>
    </row>
    <row r="542" spans="1:12" x14ac:dyDescent="0.35">
      <c r="A542" s="1" t="s">
        <v>767</v>
      </c>
      <c r="B542" s="1" t="s">
        <v>163</v>
      </c>
      <c r="C542" s="1" t="s">
        <v>30</v>
      </c>
      <c r="D542" s="1" t="s">
        <v>31</v>
      </c>
      <c r="E542" s="1" t="s">
        <v>46</v>
      </c>
      <c r="F542" s="1" t="s">
        <v>39</v>
      </c>
      <c r="G542" s="1" t="s">
        <v>18</v>
      </c>
      <c r="H542" s="1">
        <v>16973</v>
      </c>
      <c r="I542" s="1" t="s">
        <v>22</v>
      </c>
      <c r="J542" s="1">
        <v>0.1</v>
      </c>
      <c r="K542" s="1">
        <v>17000</v>
      </c>
      <c r="L542" s="2">
        <v>45313</v>
      </c>
    </row>
    <row r="543" spans="1:12" x14ac:dyDescent="0.35">
      <c r="A543" s="1" t="s">
        <v>768</v>
      </c>
      <c r="B543" s="1" t="s">
        <v>286</v>
      </c>
      <c r="C543" s="1" t="s">
        <v>30</v>
      </c>
      <c r="D543" s="1" t="s">
        <v>31</v>
      </c>
      <c r="E543" s="1" t="s">
        <v>46</v>
      </c>
      <c r="F543" s="1" t="s">
        <v>17</v>
      </c>
      <c r="G543" s="1" t="s">
        <v>26</v>
      </c>
      <c r="H543" s="1">
        <v>17912</v>
      </c>
      <c r="I543" s="1" t="s">
        <v>33</v>
      </c>
      <c r="J543" s="1">
        <v>0.3</v>
      </c>
      <c r="K543" s="1">
        <v>17000</v>
      </c>
      <c r="L543" s="2">
        <v>45304</v>
      </c>
    </row>
    <row r="544" spans="1:12" x14ac:dyDescent="0.35">
      <c r="A544" s="1" t="s">
        <v>769</v>
      </c>
      <c r="B544" s="1" t="s">
        <v>440</v>
      </c>
      <c r="C544" s="1" t="s">
        <v>44</v>
      </c>
      <c r="D544" s="1" t="s">
        <v>45</v>
      </c>
      <c r="E544" s="1" t="s">
        <v>32</v>
      </c>
      <c r="F544" s="1" t="s">
        <v>39</v>
      </c>
      <c r="G544" s="1" t="s">
        <v>36</v>
      </c>
      <c r="H544" s="1">
        <v>13705</v>
      </c>
      <c r="I544" s="1" t="s">
        <v>33</v>
      </c>
      <c r="J544" s="1">
        <v>0.3</v>
      </c>
      <c r="K544" s="1">
        <v>13000</v>
      </c>
      <c r="L544" s="2">
        <v>45335</v>
      </c>
    </row>
    <row r="545" spans="1:12" x14ac:dyDescent="0.35">
      <c r="A545" s="1" t="s">
        <v>770</v>
      </c>
      <c r="B545" s="1" t="s">
        <v>280</v>
      </c>
      <c r="C545" s="1" t="s">
        <v>14</v>
      </c>
      <c r="D545" s="1" t="s">
        <v>15</v>
      </c>
      <c r="E545" s="1" t="s">
        <v>16</v>
      </c>
      <c r="F545" s="1" t="s">
        <v>17</v>
      </c>
      <c r="G545" s="1" t="s">
        <v>36</v>
      </c>
      <c r="H545" s="1">
        <v>13062</v>
      </c>
      <c r="I545" s="1"/>
      <c r="J545" s="1"/>
      <c r="K545" s="1">
        <v>14000</v>
      </c>
      <c r="L545" s="2">
        <v>45317</v>
      </c>
    </row>
    <row r="546" spans="1:12" x14ac:dyDescent="0.35">
      <c r="A546" s="1" t="s">
        <v>771</v>
      </c>
      <c r="B546" s="1" t="s">
        <v>101</v>
      </c>
      <c r="C546" s="1" t="s">
        <v>14</v>
      </c>
      <c r="D546" s="1" t="s">
        <v>15</v>
      </c>
      <c r="E546" s="1" t="s">
        <v>16</v>
      </c>
      <c r="F546" s="1" t="s">
        <v>39</v>
      </c>
      <c r="G546" s="1" t="s">
        <v>26</v>
      </c>
      <c r="H546" s="1">
        <v>15342</v>
      </c>
      <c r="I546" s="1" t="s">
        <v>19</v>
      </c>
      <c r="J546" s="1">
        <v>0.2</v>
      </c>
      <c r="K546" s="1">
        <v>14000</v>
      </c>
      <c r="L546" s="2">
        <v>45313</v>
      </c>
    </row>
    <row r="547" spans="1:12" x14ac:dyDescent="0.35">
      <c r="A547" s="1" t="s">
        <v>772</v>
      </c>
      <c r="B547" s="1" t="s">
        <v>342</v>
      </c>
      <c r="C547" s="1" t="s">
        <v>44</v>
      </c>
      <c r="D547" s="1" t="s">
        <v>45</v>
      </c>
      <c r="E547" s="1" t="s">
        <v>16</v>
      </c>
      <c r="F547" s="1" t="s">
        <v>39</v>
      </c>
      <c r="G547" s="1" t="s">
        <v>26</v>
      </c>
      <c r="H547" s="1">
        <v>14214</v>
      </c>
      <c r="I547" s="1"/>
      <c r="J547" s="1"/>
      <c r="K547" s="1">
        <v>13000</v>
      </c>
      <c r="L547" s="2">
        <v>45350</v>
      </c>
    </row>
    <row r="548" spans="1:12" x14ac:dyDescent="0.35">
      <c r="A548" s="1" t="s">
        <v>773</v>
      </c>
      <c r="B548" s="1" t="s">
        <v>317</v>
      </c>
      <c r="C548" s="1" t="s">
        <v>30</v>
      </c>
      <c r="D548" s="1" t="s">
        <v>31</v>
      </c>
      <c r="E548" s="1" t="s">
        <v>32</v>
      </c>
      <c r="F548" s="1" t="s">
        <v>39</v>
      </c>
      <c r="G548" s="1" t="s">
        <v>26</v>
      </c>
      <c r="H548" s="1">
        <v>15741</v>
      </c>
      <c r="I548" s="1" t="s">
        <v>33</v>
      </c>
      <c r="J548" s="1">
        <v>0.3</v>
      </c>
      <c r="K548" s="1">
        <v>17000</v>
      </c>
      <c r="L548" s="2">
        <v>45298</v>
      </c>
    </row>
    <row r="549" spans="1:12" x14ac:dyDescent="0.35">
      <c r="A549" s="1" t="s">
        <v>774</v>
      </c>
      <c r="B549" s="1" t="s">
        <v>508</v>
      </c>
      <c r="C549" s="1" t="s">
        <v>30</v>
      </c>
      <c r="D549" s="1" t="s">
        <v>31</v>
      </c>
      <c r="E549" s="1" t="s">
        <v>16</v>
      </c>
      <c r="F549" s="1" t="s">
        <v>39</v>
      </c>
      <c r="G549" s="1" t="s">
        <v>18</v>
      </c>
      <c r="H549" s="1">
        <v>18878</v>
      </c>
      <c r="I549" s="1" t="s">
        <v>33</v>
      </c>
      <c r="J549" s="1">
        <v>0.3</v>
      </c>
      <c r="K549" s="1">
        <v>17000</v>
      </c>
      <c r="L549" s="2">
        <v>45333</v>
      </c>
    </row>
    <row r="550" spans="1:12" x14ac:dyDescent="0.35">
      <c r="A550" s="1" t="s">
        <v>775</v>
      </c>
      <c r="B550" s="1" t="s">
        <v>248</v>
      </c>
      <c r="C550" s="1" t="s">
        <v>30</v>
      </c>
      <c r="D550" s="1" t="s">
        <v>31</v>
      </c>
      <c r="E550" s="1" t="s">
        <v>32</v>
      </c>
      <c r="F550" s="1" t="s">
        <v>39</v>
      </c>
      <c r="G550" s="1" t="s">
        <v>36</v>
      </c>
      <c r="H550" s="1">
        <v>16722</v>
      </c>
      <c r="I550" s="1" t="s">
        <v>33</v>
      </c>
      <c r="J550" s="1">
        <v>0.3</v>
      </c>
      <c r="K550" s="1">
        <v>17000</v>
      </c>
      <c r="L550" s="2">
        <v>45315</v>
      </c>
    </row>
    <row r="551" spans="1:12" x14ac:dyDescent="0.35">
      <c r="A551" s="1" t="s">
        <v>776</v>
      </c>
      <c r="B551" s="1" t="s">
        <v>118</v>
      </c>
      <c r="C551" s="1" t="s">
        <v>30</v>
      </c>
      <c r="D551" s="1" t="s">
        <v>31</v>
      </c>
      <c r="E551" s="1" t="s">
        <v>46</v>
      </c>
      <c r="F551" s="1" t="s">
        <v>25</v>
      </c>
      <c r="G551" s="1" t="s">
        <v>36</v>
      </c>
      <c r="H551" s="1">
        <v>15219</v>
      </c>
      <c r="I551" s="1" t="s">
        <v>27</v>
      </c>
      <c r="J551" s="1"/>
      <c r="K551" s="1">
        <v>17000</v>
      </c>
      <c r="L551" s="2">
        <v>45329</v>
      </c>
    </row>
    <row r="552" spans="1:12" x14ac:dyDescent="0.35">
      <c r="A552" s="1" t="s">
        <v>777</v>
      </c>
      <c r="B552" s="1" t="s">
        <v>107</v>
      </c>
      <c r="C552" s="1" t="s">
        <v>61</v>
      </c>
      <c r="D552" s="1" t="s">
        <v>62</v>
      </c>
      <c r="E552" s="1" t="s">
        <v>32</v>
      </c>
      <c r="F552" s="1" t="s">
        <v>39</v>
      </c>
      <c r="G552" s="1" t="s">
        <v>18</v>
      </c>
      <c r="H552" s="1">
        <v>10553</v>
      </c>
      <c r="I552" s="1"/>
      <c r="J552" s="1"/>
      <c r="K552" s="1">
        <v>9000</v>
      </c>
      <c r="L552" s="2">
        <v>45325</v>
      </c>
    </row>
    <row r="553" spans="1:12" x14ac:dyDescent="0.35">
      <c r="A553" s="1" t="s">
        <v>778</v>
      </c>
      <c r="B553" s="1" t="s">
        <v>70</v>
      </c>
      <c r="C553" s="1" t="s">
        <v>14</v>
      </c>
      <c r="D553" s="1" t="s">
        <v>15</v>
      </c>
      <c r="E553" s="1" t="s">
        <v>32</v>
      </c>
      <c r="F553" s="1" t="s">
        <v>25</v>
      </c>
      <c r="G553" s="1" t="s">
        <v>18</v>
      </c>
      <c r="H553" s="1">
        <v>13403</v>
      </c>
      <c r="I553" s="1"/>
      <c r="J553" s="1"/>
      <c r="K553" s="1">
        <v>14000</v>
      </c>
      <c r="L553" s="2">
        <v>45328</v>
      </c>
    </row>
    <row r="554" spans="1:12" x14ac:dyDescent="0.35">
      <c r="A554" s="1" t="s">
        <v>779</v>
      </c>
      <c r="B554" s="1" t="s">
        <v>445</v>
      </c>
      <c r="C554" s="1" t="s">
        <v>44</v>
      </c>
      <c r="D554" s="1" t="s">
        <v>45</v>
      </c>
      <c r="E554" s="1" t="s">
        <v>46</v>
      </c>
      <c r="F554" s="1" t="s">
        <v>39</v>
      </c>
      <c r="G554" s="1" t="s">
        <v>18</v>
      </c>
      <c r="H554" s="1">
        <v>14190</v>
      </c>
      <c r="I554" s="1" t="s">
        <v>22</v>
      </c>
      <c r="J554" s="1">
        <v>0.1</v>
      </c>
      <c r="K554" s="1">
        <v>13000</v>
      </c>
      <c r="L554" s="2">
        <v>45323</v>
      </c>
    </row>
    <row r="555" spans="1:12" x14ac:dyDescent="0.35">
      <c r="A555" s="1" t="s">
        <v>780</v>
      </c>
      <c r="B555" s="1" t="s">
        <v>150</v>
      </c>
      <c r="C555" s="1" t="s">
        <v>44</v>
      </c>
      <c r="D555" s="1" t="s">
        <v>45</v>
      </c>
      <c r="E555" s="1" t="s">
        <v>46</v>
      </c>
      <c r="F555" s="1" t="s">
        <v>39</v>
      </c>
      <c r="G555" s="1" t="s">
        <v>18</v>
      </c>
      <c r="H555" s="1">
        <v>11019</v>
      </c>
      <c r="I555" s="1"/>
      <c r="J555" s="1"/>
      <c r="K555" s="1">
        <v>13000</v>
      </c>
      <c r="L555" s="2">
        <v>45309</v>
      </c>
    </row>
    <row r="556" spans="1:12" x14ac:dyDescent="0.35">
      <c r="A556" s="1" t="s">
        <v>781</v>
      </c>
      <c r="B556" s="1" t="s">
        <v>401</v>
      </c>
      <c r="C556" s="1" t="s">
        <v>44</v>
      </c>
      <c r="D556" s="1" t="s">
        <v>45</v>
      </c>
      <c r="E556" s="1" t="s">
        <v>16</v>
      </c>
      <c r="F556" s="1" t="s">
        <v>25</v>
      </c>
      <c r="G556" s="1" t="s">
        <v>36</v>
      </c>
      <c r="H556" s="1">
        <v>14216</v>
      </c>
      <c r="I556" s="1" t="s">
        <v>22</v>
      </c>
      <c r="J556" s="1">
        <v>0.1</v>
      </c>
      <c r="K556" s="1">
        <v>13000</v>
      </c>
      <c r="L556" s="2">
        <v>45300</v>
      </c>
    </row>
    <row r="557" spans="1:12" x14ac:dyDescent="0.35">
      <c r="A557" s="1" t="s">
        <v>782</v>
      </c>
      <c r="B557" s="1" t="s">
        <v>337</v>
      </c>
      <c r="C557" s="1" t="s">
        <v>61</v>
      </c>
      <c r="D557" s="1" t="s">
        <v>62</v>
      </c>
      <c r="E557" s="1" t="s">
        <v>46</v>
      </c>
      <c r="F557" s="1" t="s">
        <v>17</v>
      </c>
      <c r="G557" s="1" t="s">
        <v>36</v>
      </c>
      <c r="H557" s="1">
        <v>8570</v>
      </c>
      <c r="I557" s="1" t="s">
        <v>22</v>
      </c>
      <c r="J557" s="1">
        <v>0.1</v>
      </c>
      <c r="K557" s="1">
        <v>9000</v>
      </c>
      <c r="L557" s="2">
        <v>45294</v>
      </c>
    </row>
    <row r="558" spans="1:12" x14ac:dyDescent="0.35">
      <c r="A558" s="1" t="s">
        <v>783</v>
      </c>
      <c r="B558" s="1" t="s">
        <v>346</v>
      </c>
      <c r="C558" s="1" t="s">
        <v>30</v>
      </c>
      <c r="D558" s="1" t="s">
        <v>31</v>
      </c>
      <c r="E558" s="1" t="s">
        <v>32</v>
      </c>
      <c r="F558" s="1" t="s">
        <v>17</v>
      </c>
      <c r="G558" s="1" t="s">
        <v>26</v>
      </c>
      <c r="H558" s="1">
        <v>15780</v>
      </c>
      <c r="I558" s="1" t="s">
        <v>22</v>
      </c>
      <c r="J558" s="1">
        <v>0.1</v>
      </c>
      <c r="K558" s="1">
        <v>17000</v>
      </c>
      <c r="L558" s="2">
        <v>45335</v>
      </c>
    </row>
    <row r="559" spans="1:12" x14ac:dyDescent="0.35">
      <c r="A559" s="1" t="s">
        <v>784</v>
      </c>
      <c r="B559" s="1" t="s">
        <v>68</v>
      </c>
      <c r="C559" s="1" t="s">
        <v>44</v>
      </c>
      <c r="D559" s="1" t="s">
        <v>45</v>
      </c>
      <c r="E559" s="1" t="s">
        <v>32</v>
      </c>
      <c r="F559" s="1" t="s">
        <v>39</v>
      </c>
      <c r="G559" s="1" t="s">
        <v>36</v>
      </c>
      <c r="H559" s="1">
        <v>12278</v>
      </c>
      <c r="I559" s="1" t="s">
        <v>19</v>
      </c>
      <c r="J559" s="1">
        <v>0.2</v>
      </c>
      <c r="K559" s="1">
        <v>13000</v>
      </c>
      <c r="L559" s="2">
        <v>45298</v>
      </c>
    </row>
    <row r="560" spans="1:12" x14ac:dyDescent="0.35">
      <c r="A560" s="1" t="s">
        <v>785</v>
      </c>
      <c r="B560" s="1" t="s">
        <v>512</v>
      </c>
      <c r="C560" s="1" t="s">
        <v>30</v>
      </c>
      <c r="D560" s="1" t="s">
        <v>31</v>
      </c>
      <c r="E560" s="1" t="s">
        <v>32</v>
      </c>
      <c r="F560" s="1" t="s">
        <v>25</v>
      </c>
      <c r="G560" s="1" t="s">
        <v>18</v>
      </c>
      <c r="H560" s="1">
        <v>16221</v>
      </c>
      <c r="I560" s="1" t="s">
        <v>33</v>
      </c>
      <c r="J560" s="1">
        <v>0.3</v>
      </c>
      <c r="K560" s="1">
        <v>17000</v>
      </c>
      <c r="L560" s="2">
        <v>45321</v>
      </c>
    </row>
    <row r="561" spans="1:12" x14ac:dyDescent="0.35">
      <c r="A561" s="1" t="s">
        <v>786</v>
      </c>
      <c r="B561" s="1" t="s">
        <v>103</v>
      </c>
      <c r="C561" s="1" t="s">
        <v>30</v>
      </c>
      <c r="D561" s="1" t="s">
        <v>31</v>
      </c>
      <c r="E561" s="1" t="s">
        <v>46</v>
      </c>
      <c r="F561" s="1" t="s">
        <v>39</v>
      </c>
      <c r="G561" s="1" t="s">
        <v>18</v>
      </c>
      <c r="H561" s="1">
        <v>16403</v>
      </c>
      <c r="I561" s="1"/>
      <c r="J561" s="1"/>
      <c r="K561" s="1">
        <v>17000</v>
      </c>
      <c r="L561" s="2">
        <v>45314</v>
      </c>
    </row>
    <row r="562" spans="1:12" x14ac:dyDescent="0.35">
      <c r="A562" s="1" t="s">
        <v>787</v>
      </c>
      <c r="B562" s="1" t="s">
        <v>294</v>
      </c>
      <c r="C562" s="1" t="s">
        <v>44</v>
      </c>
      <c r="D562" s="1" t="s">
        <v>45</v>
      </c>
      <c r="E562" s="1" t="s">
        <v>46</v>
      </c>
      <c r="F562" s="1" t="s">
        <v>25</v>
      </c>
      <c r="G562" s="1" t="s">
        <v>18</v>
      </c>
      <c r="H562" s="1">
        <v>11918</v>
      </c>
      <c r="I562" s="1" t="s">
        <v>19</v>
      </c>
      <c r="J562" s="1">
        <v>0.2</v>
      </c>
      <c r="K562" s="1">
        <v>13000</v>
      </c>
      <c r="L562" s="2">
        <v>45305</v>
      </c>
    </row>
    <row r="563" spans="1:12" x14ac:dyDescent="0.35">
      <c r="A563" s="1" t="s">
        <v>788</v>
      </c>
      <c r="B563" s="1" t="s">
        <v>464</v>
      </c>
      <c r="C563" s="1" t="s">
        <v>44</v>
      </c>
      <c r="D563" s="1" t="s">
        <v>45</v>
      </c>
      <c r="E563" s="1" t="s">
        <v>32</v>
      </c>
      <c r="F563" s="1" t="s">
        <v>17</v>
      </c>
      <c r="G563" s="1" t="s">
        <v>26</v>
      </c>
      <c r="H563" s="1">
        <v>13664</v>
      </c>
      <c r="I563" s="1" t="s">
        <v>22</v>
      </c>
      <c r="J563" s="1">
        <v>0.1</v>
      </c>
      <c r="K563" s="1">
        <v>13000</v>
      </c>
      <c r="L563" s="2">
        <v>45316</v>
      </c>
    </row>
    <row r="564" spans="1:12" x14ac:dyDescent="0.35">
      <c r="A564" s="1" t="s">
        <v>789</v>
      </c>
      <c r="B564" s="1" t="s">
        <v>50</v>
      </c>
      <c r="C564" s="1" t="s">
        <v>30</v>
      </c>
      <c r="D564" s="1" t="s">
        <v>31</v>
      </c>
      <c r="E564" s="1" t="s">
        <v>16</v>
      </c>
      <c r="F564" s="1" t="s">
        <v>39</v>
      </c>
      <c r="G564" s="1" t="s">
        <v>18</v>
      </c>
      <c r="H564" s="1">
        <v>17432</v>
      </c>
      <c r="I564" s="1" t="s">
        <v>22</v>
      </c>
      <c r="J564" s="1">
        <v>0.1</v>
      </c>
      <c r="K564" s="1">
        <v>17000</v>
      </c>
      <c r="L564" s="2">
        <v>45334</v>
      </c>
    </row>
    <row r="565" spans="1:12" x14ac:dyDescent="0.35">
      <c r="A565" s="1" t="s">
        <v>790</v>
      </c>
      <c r="B565" s="1" t="s">
        <v>21</v>
      </c>
      <c r="C565" s="1" t="s">
        <v>14</v>
      </c>
      <c r="D565" s="1" t="s">
        <v>15</v>
      </c>
      <c r="E565" s="1" t="s">
        <v>32</v>
      </c>
      <c r="F565" s="1" t="s">
        <v>39</v>
      </c>
      <c r="G565" s="1" t="s">
        <v>18</v>
      </c>
      <c r="H565" s="1">
        <v>13707</v>
      </c>
      <c r="I565" s="1"/>
      <c r="J565" s="1"/>
      <c r="K565" s="1">
        <v>14000</v>
      </c>
      <c r="L565" s="2">
        <v>45316</v>
      </c>
    </row>
    <row r="566" spans="1:12" x14ac:dyDescent="0.35">
      <c r="A566" s="1" t="s">
        <v>791</v>
      </c>
      <c r="B566" s="1" t="s">
        <v>241</v>
      </c>
      <c r="C566" s="1" t="s">
        <v>30</v>
      </c>
      <c r="D566" s="1" t="s">
        <v>31</v>
      </c>
      <c r="E566" s="1" t="s">
        <v>46</v>
      </c>
      <c r="F566" s="1" t="s">
        <v>39</v>
      </c>
      <c r="G566" s="1" t="s">
        <v>18</v>
      </c>
      <c r="H566" s="1">
        <v>15841</v>
      </c>
      <c r="I566" s="1" t="s">
        <v>22</v>
      </c>
      <c r="J566" s="1">
        <v>0.1</v>
      </c>
      <c r="K566" s="1">
        <v>17000</v>
      </c>
      <c r="L566" s="2">
        <v>45311</v>
      </c>
    </row>
    <row r="567" spans="1:12" x14ac:dyDescent="0.35">
      <c r="A567" s="1" t="s">
        <v>792</v>
      </c>
      <c r="B567" s="1" t="s">
        <v>274</v>
      </c>
      <c r="C567" s="1" t="s">
        <v>14</v>
      </c>
      <c r="D567" s="1" t="s">
        <v>15</v>
      </c>
      <c r="E567" s="1" t="s">
        <v>16</v>
      </c>
      <c r="F567" s="1" t="s">
        <v>39</v>
      </c>
      <c r="G567" s="1" t="s">
        <v>36</v>
      </c>
      <c r="H567" s="1">
        <v>14550</v>
      </c>
      <c r="I567" s="1" t="s">
        <v>27</v>
      </c>
      <c r="J567" s="1"/>
      <c r="K567" s="1">
        <v>14000</v>
      </c>
      <c r="L567" s="2">
        <v>45336</v>
      </c>
    </row>
    <row r="568" spans="1:12" x14ac:dyDescent="0.35">
      <c r="A568" s="1" t="s">
        <v>793</v>
      </c>
      <c r="B568" s="1" t="s">
        <v>363</v>
      </c>
      <c r="C568" s="1" t="s">
        <v>14</v>
      </c>
      <c r="D568" s="1" t="s">
        <v>15</v>
      </c>
      <c r="E568" s="1" t="s">
        <v>16</v>
      </c>
      <c r="F568" s="1" t="s">
        <v>39</v>
      </c>
      <c r="G568" s="1" t="s">
        <v>26</v>
      </c>
      <c r="H568" s="1">
        <v>12482</v>
      </c>
      <c r="I568" s="1" t="s">
        <v>33</v>
      </c>
      <c r="J568" s="1">
        <v>0.3</v>
      </c>
      <c r="K568" s="1">
        <v>14000</v>
      </c>
      <c r="L568" s="2">
        <v>45299</v>
      </c>
    </row>
    <row r="569" spans="1:12" x14ac:dyDescent="0.35">
      <c r="A569" s="1" t="s">
        <v>794</v>
      </c>
      <c r="B569" s="1" t="s">
        <v>652</v>
      </c>
      <c r="C569" s="1" t="s">
        <v>61</v>
      </c>
      <c r="D569" s="1" t="s">
        <v>62</v>
      </c>
      <c r="E569" s="1" t="s">
        <v>32</v>
      </c>
      <c r="F569" s="1" t="s">
        <v>39</v>
      </c>
      <c r="G569" s="1" t="s">
        <v>18</v>
      </c>
      <c r="H569" s="1">
        <v>10186</v>
      </c>
      <c r="I569" s="1" t="s">
        <v>33</v>
      </c>
      <c r="J569" s="1">
        <v>0.3</v>
      </c>
      <c r="K569" s="1">
        <v>9000</v>
      </c>
      <c r="L569" s="2">
        <v>45345</v>
      </c>
    </row>
    <row r="570" spans="1:12" x14ac:dyDescent="0.35">
      <c r="A570" s="1" t="s">
        <v>795</v>
      </c>
      <c r="B570" s="1" t="s">
        <v>346</v>
      </c>
      <c r="C570" s="1" t="s">
        <v>30</v>
      </c>
      <c r="D570" s="1" t="s">
        <v>31</v>
      </c>
      <c r="E570" s="1" t="s">
        <v>16</v>
      </c>
      <c r="F570" s="1" t="s">
        <v>17</v>
      </c>
      <c r="G570" s="1" t="s">
        <v>36</v>
      </c>
      <c r="H570" s="1">
        <v>15656</v>
      </c>
      <c r="I570" s="1" t="s">
        <v>22</v>
      </c>
      <c r="J570" s="1">
        <v>0.1</v>
      </c>
      <c r="K570" s="1">
        <v>17000</v>
      </c>
      <c r="L570" s="2">
        <v>45327</v>
      </c>
    </row>
    <row r="571" spans="1:12" x14ac:dyDescent="0.35">
      <c r="A571" s="1" t="s">
        <v>796</v>
      </c>
      <c r="B571" s="1" t="s">
        <v>211</v>
      </c>
      <c r="C571" s="1" t="s">
        <v>61</v>
      </c>
      <c r="D571" s="1" t="s">
        <v>62</v>
      </c>
      <c r="E571" s="1" t="s">
        <v>46</v>
      </c>
      <c r="F571" s="1" t="s">
        <v>25</v>
      </c>
      <c r="G571" s="1" t="s">
        <v>18</v>
      </c>
      <c r="H571" s="1">
        <v>7052</v>
      </c>
      <c r="I571" s="1" t="s">
        <v>22</v>
      </c>
      <c r="J571" s="1">
        <v>0.1</v>
      </c>
      <c r="K571" s="1">
        <v>9000</v>
      </c>
      <c r="L571" s="2">
        <v>45350</v>
      </c>
    </row>
    <row r="572" spans="1:12" x14ac:dyDescent="0.35">
      <c r="A572" s="1" t="s">
        <v>797</v>
      </c>
      <c r="B572" s="1" t="s">
        <v>159</v>
      </c>
      <c r="C572" s="1" t="s">
        <v>61</v>
      </c>
      <c r="D572" s="1" t="s">
        <v>62</v>
      </c>
      <c r="E572" s="1" t="s">
        <v>32</v>
      </c>
      <c r="F572" s="1" t="s">
        <v>25</v>
      </c>
      <c r="G572" s="1" t="s">
        <v>26</v>
      </c>
      <c r="H572" s="1">
        <v>7307</v>
      </c>
      <c r="I572" s="1" t="s">
        <v>22</v>
      </c>
      <c r="J572" s="1">
        <v>0.1</v>
      </c>
      <c r="K572" s="1">
        <v>9000</v>
      </c>
      <c r="L572" s="2">
        <v>45349</v>
      </c>
    </row>
    <row r="573" spans="1:12" x14ac:dyDescent="0.35">
      <c r="A573" s="1" t="s">
        <v>798</v>
      </c>
      <c r="B573" s="1" t="s">
        <v>286</v>
      </c>
      <c r="C573" s="1" t="s">
        <v>44</v>
      </c>
      <c r="D573" s="1" t="s">
        <v>45</v>
      </c>
      <c r="E573" s="1" t="s">
        <v>46</v>
      </c>
      <c r="F573" s="1" t="s">
        <v>17</v>
      </c>
      <c r="G573" s="1" t="s">
        <v>36</v>
      </c>
      <c r="H573" s="1">
        <v>12901</v>
      </c>
      <c r="I573" s="1" t="s">
        <v>22</v>
      </c>
      <c r="J573" s="1">
        <v>0.1</v>
      </c>
      <c r="K573" s="1">
        <v>13000</v>
      </c>
      <c r="L573" s="2">
        <v>45298</v>
      </c>
    </row>
    <row r="574" spans="1:12" x14ac:dyDescent="0.35">
      <c r="A574" s="1" t="s">
        <v>799</v>
      </c>
      <c r="B574" s="1" t="s">
        <v>412</v>
      </c>
      <c r="C574" s="1" t="s">
        <v>14</v>
      </c>
      <c r="D574" s="1" t="s">
        <v>15</v>
      </c>
      <c r="E574" s="1" t="s">
        <v>46</v>
      </c>
      <c r="F574" s="1" t="s">
        <v>17</v>
      </c>
      <c r="G574" s="1" t="s">
        <v>26</v>
      </c>
      <c r="H574" s="1">
        <v>13280</v>
      </c>
      <c r="I574" s="1"/>
      <c r="J574" s="1"/>
      <c r="K574" s="1">
        <v>14000</v>
      </c>
      <c r="L574" s="2">
        <v>45339</v>
      </c>
    </row>
    <row r="575" spans="1:12" x14ac:dyDescent="0.35">
      <c r="A575" s="1" t="s">
        <v>800</v>
      </c>
      <c r="B575" s="1" t="s">
        <v>78</v>
      </c>
      <c r="C575" s="1" t="s">
        <v>14</v>
      </c>
      <c r="D575" s="1" t="s">
        <v>15</v>
      </c>
      <c r="E575" s="1" t="s">
        <v>32</v>
      </c>
      <c r="F575" s="1" t="s">
        <v>25</v>
      </c>
      <c r="G575" s="1" t="s">
        <v>26</v>
      </c>
      <c r="H575" s="1">
        <v>14650</v>
      </c>
      <c r="I575" s="1" t="s">
        <v>19</v>
      </c>
      <c r="J575" s="1">
        <v>0.2</v>
      </c>
      <c r="K575" s="1">
        <v>14000</v>
      </c>
      <c r="L575" s="2">
        <v>45313</v>
      </c>
    </row>
    <row r="576" spans="1:12" x14ac:dyDescent="0.35">
      <c r="A576" s="1" t="s">
        <v>801</v>
      </c>
      <c r="B576" s="1" t="s">
        <v>802</v>
      </c>
      <c r="C576" s="1" t="s">
        <v>30</v>
      </c>
      <c r="D576" s="1" t="s">
        <v>31</v>
      </c>
      <c r="E576" s="1" t="s">
        <v>16</v>
      </c>
      <c r="F576" s="1" t="s">
        <v>25</v>
      </c>
      <c r="G576" s="1" t="s">
        <v>36</v>
      </c>
      <c r="H576" s="1">
        <v>18338</v>
      </c>
      <c r="I576" s="1" t="s">
        <v>33</v>
      </c>
      <c r="J576" s="1">
        <v>0.3</v>
      </c>
      <c r="K576" s="1">
        <v>17000</v>
      </c>
      <c r="L576" s="2">
        <v>45303</v>
      </c>
    </row>
    <row r="577" spans="1:12" x14ac:dyDescent="0.35">
      <c r="A577" s="1" t="s">
        <v>803</v>
      </c>
      <c r="B577" s="1" t="s">
        <v>66</v>
      </c>
      <c r="C577" s="1" t="s">
        <v>61</v>
      </c>
      <c r="D577" s="1" t="s">
        <v>62</v>
      </c>
      <c r="E577" s="1" t="s">
        <v>46</v>
      </c>
      <c r="F577" s="1" t="s">
        <v>17</v>
      </c>
      <c r="G577" s="1" t="s">
        <v>36</v>
      </c>
      <c r="H577" s="1">
        <v>9825</v>
      </c>
      <c r="I577" s="1"/>
      <c r="J577" s="1"/>
      <c r="K577" s="1">
        <v>9000</v>
      </c>
      <c r="L577" s="2">
        <v>45343</v>
      </c>
    </row>
    <row r="578" spans="1:12" x14ac:dyDescent="0.35">
      <c r="A578" s="1" t="s">
        <v>804</v>
      </c>
      <c r="B578" s="1" t="s">
        <v>274</v>
      </c>
      <c r="C578" s="1" t="s">
        <v>44</v>
      </c>
      <c r="D578" s="1" t="s">
        <v>45</v>
      </c>
      <c r="E578" s="1" t="s">
        <v>32</v>
      </c>
      <c r="F578" s="1" t="s">
        <v>25</v>
      </c>
      <c r="G578" s="1" t="s">
        <v>26</v>
      </c>
      <c r="H578" s="1">
        <v>13975</v>
      </c>
      <c r="I578" s="1" t="s">
        <v>22</v>
      </c>
      <c r="J578" s="1">
        <v>0.1</v>
      </c>
      <c r="K578" s="1">
        <v>13000</v>
      </c>
      <c r="L578" s="2">
        <v>45352</v>
      </c>
    </row>
    <row r="579" spans="1:12" x14ac:dyDescent="0.35">
      <c r="A579" s="1" t="s">
        <v>805</v>
      </c>
      <c r="B579" s="1" t="s">
        <v>412</v>
      </c>
      <c r="C579" s="1" t="s">
        <v>14</v>
      </c>
      <c r="D579" s="1" t="s">
        <v>15</v>
      </c>
      <c r="E579" s="1" t="s">
        <v>46</v>
      </c>
      <c r="F579" s="1" t="s">
        <v>39</v>
      </c>
      <c r="G579" s="1" t="s">
        <v>36</v>
      </c>
      <c r="H579" s="1">
        <v>15286</v>
      </c>
      <c r="I579" s="1" t="s">
        <v>27</v>
      </c>
      <c r="J579" s="1"/>
      <c r="K579" s="1">
        <v>14000</v>
      </c>
      <c r="L579" s="2">
        <v>45335</v>
      </c>
    </row>
    <row r="580" spans="1:12" x14ac:dyDescent="0.35">
      <c r="A580" s="1" t="s">
        <v>806</v>
      </c>
      <c r="B580" s="1" t="s">
        <v>508</v>
      </c>
      <c r="C580" s="1" t="s">
        <v>61</v>
      </c>
      <c r="D580" s="1" t="s">
        <v>62</v>
      </c>
      <c r="E580" s="1" t="s">
        <v>46</v>
      </c>
      <c r="F580" s="1" t="s">
        <v>39</v>
      </c>
      <c r="G580" s="1" t="s">
        <v>18</v>
      </c>
      <c r="H580" s="1">
        <v>10533</v>
      </c>
      <c r="I580" s="1" t="s">
        <v>19</v>
      </c>
      <c r="J580" s="1">
        <v>0.2</v>
      </c>
      <c r="K580" s="1">
        <v>9000</v>
      </c>
      <c r="L580" s="2">
        <v>45322</v>
      </c>
    </row>
    <row r="581" spans="1:12" x14ac:dyDescent="0.35">
      <c r="A581" s="1" t="s">
        <v>807</v>
      </c>
      <c r="B581" s="1" t="s">
        <v>445</v>
      </c>
      <c r="C581" s="1" t="s">
        <v>14</v>
      </c>
      <c r="D581" s="1" t="s">
        <v>15</v>
      </c>
      <c r="E581" s="1" t="s">
        <v>46</v>
      </c>
      <c r="F581" s="1" t="s">
        <v>17</v>
      </c>
      <c r="G581" s="1" t="s">
        <v>18</v>
      </c>
      <c r="H581" s="1">
        <v>12259</v>
      </c>
      <c r="I581" s="1" t="s">
        <v>33</v>
      </c>
      <c r="J581" s="1">
        <v>0.3</v>
      </c>
      <c r="K581" s="1">
        <v>14000</v>
      </c>
      <c r="L581" s="2">
        <v>45333</v>
      </c>
    </row>
    <row r="582" spans="1:12" x14ac:dyDescent="0.35">
      <c r="A582" s="1" t="s">
        <v>808</v>
      </c>
      <c r="B582" s="1" t="s">
        <v>327</v>
      </c>
      <c r="C582" s="1" t="s">
        <v>44</v>
      </c>
      <c r="D582" s="1" t="s">
        <v>45</v>
      </c>
      <c r="E582" s="1" t="s">
        <v>16</v>
      </c>
      <c r="F582" s="1" t="s">
        <v>17</v>
      </c>
      <c r="G582" s="1" t="s">
        <v>26</v>
      </c>
      <c r="H582" s="1">
        <v>13142</v>
      </c>
      <c r="I582" s="1" t="s">
        <v>27</v>
      </c>
      <c r="J582" s="1"/>
      <c r="K582" s="1">
        <v>13000</v>
      </c>
      <c r="L582" s="2">
        <v>45298</v>
      </c>
    </row>
    <row r="583" spans="1:12" x14ac:dyDescent="0.35">
      <c r="A583" s="1" t="s">
        <v>809</v>
      </c>
      <c r="B583" s="1" t="s">
        <v>274</v>
      </c>
      <c r="C583" s="1" t="s">
        <v>44</v>
      </c>
      <c r="D583" s="1" t="s">
        <v>45</v>
      </c>
      <c r="E583" s="1" t="s">
        <v>46</v>
      </c>
      <c r="F583" s="1" t="s">
        <v>17</v>
      </c>
      <c r="G583" s="1" t="s">
        <v>26</v>
      </c>
      <c r="H583" s="1">
        <v>13770</v>
      </c>
      <c r="I583" s="1"/>
      <c r="J583" s="1"/>
      <c r="K583" s="1">
        <v>13000</v>
      </c>
      <c r="L583" s="2">
        <v>45301</v>
      </c>
    </row>
    <row r="584" spans="1:12" x14ac:dyDescent="0.35">
      <c r="A584" s="1" t="s">
        <v>810</v>
      </c>
      <c r="B584" s="1" t="s">
        <v>319</v>
      </c>
      <c r="C584" s="1" t="s">
        <v>14</v>
      </c>
      <c r="D584" s="1" t="s">
        <v>15</v>
      </c>
      <c r="E584" s="1" t="s">
        <v>32</v>
      </c>
      <c r="F584" s="1" t="s">
        <v>39</v>
      </c>
      <c r="G584" s="1" t="s">
        <v>18</v>
      </c>
      <c r="H584" s="1">
        <v>14070</v>
      </c>
      <c r="I584" s="1"/>
      <c r="J584" s="1"/>
      <c r="K584" s="1">
        <v>14000</v>
      </c>
      <c r="L584" s="2">
        <v>45346</v>
      </c>
    </row>
    <row r="585" spans="1:12" x14ac:dyDescent="0.35">
      <c r="A585" s="1" t="s">
        <v>811</v>
      </c>
      <c r="B585" s="1" t="s">
        <v>752</v>
      </c>
      <c r="C585" s="1" t="s">
        <v>44</v>
      </c>
      <c r="D585" s="1" t="s">
        <v>45</v>
      </c>
      <c r="E585" s="1" t="s">
        <v>32</v>
      </c>
      <c r="F585" s="1" t="s">
        <v>17</v>
      </c>
      <c r="G585" s="1" t="s">
        <v>36</v>
      </c>
      <c r="H585" s="1">
        <v>11986</v>
      </c>
      <c r="I585" s="1" t="s">
        <v>33</v>
      </c>
      <c r="J585" s="1">
        <v>0.3</v>
      </c>
      <c r="K585" s="1">
        <v>13000</v>
      </c>
      <c r="L585" s="2">
        <v>45309</v>
      </c>
    </row>
    <row r="586" spans="1:12" x14ac:dyDescent="0.35">
      <c r="A586" s="1" t="s">
        <v>812</v>
      </c>
      <c r="B586" s="1" t="s">
        <v>166</v>
      </c>
      <c r="C586" s="1" t="s">
        <v>44</v>
      </c>
      <c r="D586" s="1" t="s">
        <v>45</v>
      </c>
      <c r="E586" s="1" t="s">
        <v>16</v>
      </c>
      <c r="F586" s="1" t="s">
        <v>39</v>
      </c>
      <c r="G586" s="1" t="s">
        <v>36</v>
      </c>
      <c r="H586" s="1">
        <v>12651</v>
      </c>
      <c r="I586" s="1" t="s">
        <v>19</v>
      </c>
      <c r="J586" s="1">
        <v>0.2</v>
      </c>
      <c r="K586" s="1">
        <v>13000</v>
      </c>
      <c r="L586" s="2">
        <v>45297</v>
      </c>
    </row>
    <row r="587" spans="1:12" x14ac:dyDescent="0.35">
      <c r="A587" s="1" t="s">
        <v>813</v>
      </c>
      <c r="B587" s="1" t="s">
        <v>231</v>
      </c>
      <c r="C587" s="1" t="s">
        <v>61</v>
      </c>
      <c r="D587" s="1" t="s">
        <v>62</v>
      </c>
      <c r="E587" s="1" t="s">
        <v>32</v>
      </c>
      <c r="F587" s="1" t="s">
        <v>17</v>
      </c>
      <c r="G587" s="1" t="s">
        <v>36</v>
      </c>
      <c r="H587" s="1">
        <v>8294</v>
      </c>
      <c r="I587" s="1" t="s">
        <v>22</v>
      </c>
      <c r="J587" s="1">
        <v>0.1</v>
      </c>
      <c r="K587" s="1">
        <v>9000</v>
      </c>
      <c r="L587" s="2">
        <v>45323</v>
      </c>
    </row>
    <row r="588" spans="1:12" x14ac:dyDescent="0.35">
      <c r="A588" s="1" t="s">
        <v>814</v>
      </c>
      <c r="B588" s="1" t="s">
        <v>765</v>
      </c>
      <c r="C588" s="1" t="s">
        <v>14</v>
      </c>
      <c r="D588" s="1" t="s">
        <v>15</v>
      </c>
      <c r="E588" s="1" t="s">
        <v>32</v>
      </c>
      <c r="F588" s="1" t="s">
        <v>17</v>
      </c>
      <c r="G588" s="1" t="s">
        <v>36</v>
      </c>
      <c r="H588" s="1">
        <v>12146</v>
      </c>
      <c r="I588" s="1" t="s">
        <v>27</v>
      </c>
      <c r="J588" s="1"/>
      <c r="K588" s="1">
        <v>14000</v>
      </c>
      <c r="L588" s="2">
        <v>45327</v>
      </c>
    </row>
    <row r="589" spans="1:12" x14ac:dyDescent="0.35">
      <c r="A589" s="1" t="s">
        <v>815</v>
      </c>
      <c r="B589" s="1" t="s">
        <v>129</v>
      </c>
      <c r="C589" s="1" t="s">
        <v>14</v>
      </c>
      <c r="D589" s="1" t="s">
        <v>15</v>
      </c>
      <c r="E589" s="1" t="s">
        <v>16</v>
      </c>
      <c r="F589" s="1" t="s">
        <v>39</v>
      </c>
      <c r="G589" s="1" t="s">
        <v>26</v>
      </c>
      <c r="H589" s="1">
        <v>13247</v>
      </c>
      <c r="I589" s="1" t="s">
        <v>27</v>
      </c>
      <c r="J589" s="1"/>
      <c r="K589" s="1">
        <v>14000</v>
      </c>
      <c r="L589" s="2">
        <v>45327</v>
      </c>
    </row>
    <row r="590" spans="1:12" x14ac:dyDescent="0.35">
      <c r="A590" s="1" t="s">
        <v>816</v>
      </c>
      <c r="B590" s="1" t="s">
        <v>817</v>
      </c>
      <c r="C590" s="1" t="s">
        <v>61</v>
      </c>
      <c r="D590" s="1" t="s">
        <v>62</v>
      </c>
      <c r="E590" s="1" t="s">
        <v>46</v>
      </c>
      <c r="F590" s="1" t="s">
        <v>17</v>
      </c>
      <c r="G590" s="1" t="s">
        <v>18</v>
      </c>
      <c r="H590" s="1">
        <v>10344</v>
      </c>
      <c r="I590" s="1" t="s">
        <v>19</v>
      </c>
      <c r="J590" s="1">
        <v>0.2</v>
      </c>
      <c r="K590" s="1">
        <v>9000</v>
      </c>
      <c r="L590" s="2">
        <v>45346</v>
      </c>
    </row>
    <row r="591" spans="1:12" x14ac:dyDescent="0.35">
      <c r="A591" s="1" t="s">
        <v>818</v>
      </c>
      <c r="B591" s="1" t="s">
        <v>188</v>
      </c>
      <c r="C591" s="1" t="s">
        <v>61</v>
      </c>
      <c r="D591" s="1" t="s">
        <v>62</v>
      </c>
      <c r="E591" s="1" t="s">
        <v>16</v>
      </c>
      <c r="F591" s="1" t="s">
        <v>39</v>
      </c>
      <c r="G591" s="1" t="s">
        <v>36</v>
      </c>
      <c r="H591" s="1">
        <v>9932</v>
      </c>
      <c r="I591" s="1"/>
      <c r="J591" s="1"/>
      <c r="K591" s="1">
        <v>9000</v>
      </c>
      <c r="L591" s="2">
        <v>45299</v>
      </c>
    </row>
    <row r="592" spans="1:12" x14ac:dyDescent="0.35">
      <c r="A592" s="1" t="s">
        <v>819</v>
      </c>
      <c r="B592" s="1" t="s">
        <v>200</v>
      </c>
      <c r="C592" s="1" t="s">
        <v>44</v>
      </c>
      <c r="D592" s="1" t="s">
        <v>45</v>
      </c>
      <c r="E592" s="1" t="s">
        <v>32</v>
      </c>
      <c r="F592" s="1" t="s">
        <v>17</v>
      </c>
      <c r="G592" s="1" t="s">
        <v>36</v>
      </c>
      <c r="H592" s="1">
        <v>14399</v>
      </c>
      <c r="I592" s="1" t="s">
        <v>33</v>
      </c>
      <c r="J592" s="1">
        <v>0.3</v>
      </c>
      <c r="K592" s="1">
        <v>13000</v>
      </c>
      <c r="L592" s="2">
        <v>45327</v>
      </c>
    </row>
    <row r="593" spans="1:12" x14ac:dyDescent="0.35">
      <c r="A593" s="1" t="s">
        <v>820</v>
      </c>
      <c r="B593" s="1" t="s">
        <v>217</v>
      </c>
      <c r="C593" s="1" t="s">
        <v>14</v>
      </c>
      <c r="D593" s="1" t="s">
        <v>15</v>
      </c>
      <c r="E593" s="1" t="s">
        <v>32</v>
      </c>
      <c r="F593" s="1" t="s">
        <v>25</v>
      </c>
      <c r="G593" s="1" t="s">
        <v>36</v>
      </c>
      <c r="H593" s="1">
        <v>12575</v>
      </c>
      <c r="I593" s="1"/>
      <c r="J593" s="1"/>
      <c r="K593" s="1">
        <v>14000</v>
      </c>
      <c r="L593" s="2">
        <v>45298</v>
      </c>
    </row>
    <row r="594" spans="1:12" x14ac:dyDescent="0.35">
      <c r="A594" s="1" t="s">
        <v>821</v>
      </c>
      <c r="B594" s="1" t="s">
        <v>118</v>
      </c>
      <c r="C594" s="1" t="s">
        <v>44</v>
      </c>
      <c r="D594" s="1" t="s">
        <v>45</v>
      </c>
      <c r="E594" s="1" t="s">
        <v>32</v>
      </c>
      <c r="F594" s="1" t="s">
        <v>25</v>
      </c>
      <c r="G594" s="1" t="s">
        <v>36</v>
      </c>
      <c r="H594" s="1">
        <v>11883</v>
      </c>
      <c r="I594" s="1"/>
      <c r="J594" s="1"/>
      <c r="K594" s="1">
        <v>13000</v>
      </c>
      <c r="L594" s="2">
        <v>45344</v>
      </c>
    </row>
    <row r="595" spans="1:12" x14ac:dyDescent="0.35">
      <c r="A595" s="1" t="s">
        <v>822</v>
      </c>
      <c r="B595" s="1" t="s">
        <v>294</v>
      </c>
      <c r="C595" s="1" t="s">
        <v>30</v>
      </c>
      <c r="D595" s="1" t="s">
        <v>31</v>
      </c>
      <c r="E595" s="1" t="s">
        <v>32</v>
      </c>
      <c r="F595" s="1" t="s">
        <v>17</v>
      </c>
      <c r="G595" s="1" t="s">
        <v>18</v>
      </c>
      <c r="H595" s="1">
        <v>18795</v>
      </c>
      <c r="I595" s="1" t="s">
        <v>27</v>
      </c>
      <c r="J595" s="1"/>
      <c r="K595" s="1">
        <v>17000</v>
      </c>
      <c r="L595" s="2">
        <v>45299</v>
      </c>
    </row>
    <row r="596" spans="1:12" x14ac:dyDescent="0.35">
      <c r="A596" s="1" t="s">
        <v>823</v>
      </c>
      <c r="B596" s="1" t="s">
        <v>298</v>
      </c>
      <c r="C596" s="1" t="s">
        <v>61</v>
      </c>
      <c r="D596" s="1" t="s">
        <v>62</v>
      </c>
      <c r="E596" s="1" t="s">
        <v>16</v>
      </c>
      <c r="F596" s="1" t="s">
        <v>39</v>
      </c>
      <c r="G596" s="1" t="s">
        <v>26</v>
      </c>
      <c r="H596" s="1">
        <v>7551</v>
      </c>
      <c r="I596" s="1"/>
      <c r="J596" s="1"/>
      <c r="K596" s="1">
        <v>9000</v>
      </c>
      <c r="L596" s="2">
        <v>45292</v>
      </c>
    </row>
    <row r="597" spans="1:12" x14ac:dyDescent="0.35">
      <c r="A597" s="1" t="s">
        <v>824</v>
      </c>
      <c r="B597" s="1" t="s">
        <v>548</v>
      </c>
      <c r="C597" s="1" t="s">
        <v>14</v>
      </c>
      <c r="D597" s="1" t="s">
        <v>15</v>
      </c>
      <c r="E597" s="1" t="s">
        <v>16</v>
      </c>
      <c r="F597" s="1" t="s">
        <v>17</v>
      </c>
      <c r="G597" s="1" t="s">
        <v>26</v>
      </c>
      <c r="H597" s="1">
        <v>13978</v>
      </c>
      <c r="I597" s="1" t="s">
        <v>27</v>
      </c>
      <c r="J597" s="1"/>
      <c r="K597" s="1">
        <v>14000</v>
      </c>
      <c r="L597" s="2">
        <v>45341</v>
      </c>
    </row>
    <row r="598" spans="1:12" x14ac:dyDescent="0.35">
      <c r="A598" s="1" t="s">
        <v>825</v>
      </c>
      <c r="B598" s="1" t="s">
        <v>120</v>
      </c>
      <c r="C598" s="1" t="s">
        <v>44</v>
      </c>
      <c r="D598" s="1" t="s">
        <v>45</v>
      </c>
      <c r="E598" s="1" t="s">
        <v>16</v>
      </c>
      <c r="F598" s="1" t="s">
        <v>25</v>
      </c>
      <c r="G598" s="1" t="s">
        <v>18</v>
      </c>
      <c r="H598" s="1">
        <v>12586</v>
      </c>
      <c r="I598" s="1" t="s">
        <v>27</v>
      </c>
      <c r="J598" s="1"/>
      <c r="K598" s="1">
        <v>13000</v>
      </c>
      <c r="L598" s="2">
        <v>45330</v>
      </c>
    </row>
    <row r="599" spans="1:12" x14ac:dyDescent="0.35">
      <c r="A599" s="1" t="s">
        <v>826</v>
      </c>
      <c r="B599" s="1" t="s">
        <v>827</v>
      </c>
      <c r="C599" s="1" t="s">
        <v>61</v>
      </c>
      <c r="D599" s="1" t="s">
        <v>62</v>
      </c>
      <c r="E599" s="1" t="s">
        <v>46</v>
      </c>
      <c r="F599" s="1" t="s">
        <v>39</v>
      </c>
      <c r="G599" s="1" t="s">
        <v>26</v>
      </c>
      <c r="H599" s="1">
        <v>10122</v>
      </c>
      <c r="I599" s="1" t="s">
        <v>19</v>
      </c>
      <c r="J599" s="1">
        <v>0.2</v>
      </c>
      <c r="K599" s="1">
        <v>9000</v>
      </c>
      <c r="L599" s="2">
        <v>45309</v>
      </c>
    </row>
    <row r="600" spans="1:12" x14ac:dyDescent="0.35">
      <c r="A600" s="1" t="s">
        <v>828</v>
      </c>
      <c r="B600" s="1" t="s">
        <v>474</v>
      </c>
      <c r="C600" s="1" t="s">
        <v>30</v>
      </c>
      <c r="D600" s="1" t="s">
        <v>31</v>
      </c>
      <c r="E600" s="1" t="s">
        <v>46</v>
      </c>
      <c r="F600" s="1" t="s">
        <v>25</v>
      </c>
      <c r="G600" s="1" t="s">
        <v>18</v>
      </c>
      <c r="H600" s="1">
        <v>16690</v>
      </c>
      <c r="I600" s="1" t="s">
        <v>27</v>
      </c>
      <c r="J600" s="1"/>
      <c r="K600" s="1">
        <v>17000</v>
      </c>
      <c r="L600" s="2">
        <v>45336</v>
      </c>
    </row>
    <row r="601" spans="1:12" x14ac:dyDescent="0.35">
      <c r="A601" s="1" t="s">
        <v>829</v>
      </c>
      <c r="B601" s="1" t="s">
        <v>260</v>
      </c>
      <c r="C601" s="1" t="s">
        <v>30</v>
      </c>
      <c r="D601" s="1" t="s">
        <v>31</v>
      </c>
      <c r="E601" s="1" t="s">
        <v>16</v>
      </c>
      <c r="F601" s="1" t="s">
        <v>39</v>
      </c>
      <c r="G601" s="1" t="s">
        <v>36</v>
      </c>
      <c r="H601" s="1">
        <v>17915</v>
      </c>
      <c r="I601" s="1" t="s">
        <v>27</v>
      </c>
      <c r="J601" s="1"/>
      <c r="K601" s="1">
        <v>17000</v>
      </c>
      <c r="L601" s="2">
        <v>45332</v>
      </c>
    </row>
    <row r="602" spans="1:12" x14ac:dyDescent="0.35">
      <c r="A602" s="1" t="s">
        <v>830</v>
      </c>
      <c r="B602" s="1" t="s">
        <v>94</v>
      </c>
      <c r="C602" s="1" t="s">
        <v>44</v>
      </c>
      <c r="D602" s="1" t="s">
        <v>45</v>
      </c>
      <c r="E602" s="1" t="s">
        <v>16</v>
      </c>
      <c r="F602" s="1" t="s">
        <v>39</v>
      </c>
      <c r="G602" s="1" t="s">
        <v>36</v>
      </c>
      <c r="H602" s="1">
        <v>13812</v>
      </c>
      <c r="I602" s="1" t="s">
        <v>33</v>
      </c>
      <c r="J602" s="1">
        <v>0.3</v>
      </c>
      <c r="K602" s="1">
        <v>13000</v>
      </c>
      <c r="L602" s="2">
        <v>45350</v>
      </c>
    </row>
    <row r="603" spans="1:12" x14ac:dyDescent="0.35">
      <c r="A603" s="1" t="s">
        <v>831</v>
      </c>
      <c r="B603" s="1" t="s">
        <v>422</v>
      </c>
      <c r="C603" s="1" t="s">
        <v>44</v>
      </c>
      <c r="D603" s="1" t="s">
        <v>45</v>
      </c>
      <c r="E603" s="1" t="s">
        <v>16</v>
      </c>
      <c r="F603" s="1" t="s">
        <v>39</v>
      </c>
      <c r="G603" s="1" t="s">
        <v>26</v>
      </c>
      <c r="H603" s="1">
        <v>13608</v>
      </c>
      <c r="I603" s="1" t="s">
        <v>33</v>
      </c>
      <c r="J603" s="1">
        <v>0.3</v>
      </c>
      <c r="K603" s="1">
        <v>13000</v>
      </c>
      <c r="L603" s="2">
        <v>45337</v>
      </c>
    </row>
    <row r="604" spans="1:12" x14ac:dyDescent="0.35">
      <c r="A604" s="1" t="s">
        <v>832</v>
      </c>
      <c r="B604" s="1" t="s">
        <v>200</v>
      </c>
      <c r="C604" s="1" t="s">
        <v>30</v>
      </c>
      <c r="D604" s="1" t="s">
        <v>31</v>
      </c>
      <c r="E604" s="1" t="s">
        <v>16</v>
      </c>
      <c r="F604" s="1" t="s">
        <v>17</v>
      </c>
      <c r="G604" s="1" t="s">
        <v>26</v>
      </c>
      <c r="H604" s="1">
        <v>17337</v>
      </c>
      <c r="I604" s="1"/>
      <c r="J604" s="1"/>
      <c r="K604" s="1">
        <v>17000</v>
      </c>
      <c r="L604" s="2">
        <v>45335</v>
      </c>
    </row>
    <row r="605" spans="1:12" x14ac:dyDescent="0.35">
      <c r="A605" s="1" t="s">
        <v>833</v>
      </c>
      <c r="B605" s="1" t="s">
        <v>371</v>
      </c>
      <c r="C605" s="1" t="s">
        <v>30</v>
      </c>
      <c r="D605" s="1" t="s">
        <v>31</v>
      </c>
      <c r="E605" s="1" t="s">
        <v>46</v>
      </c>
      <c r="F605" s="1" t="s">
        <v>25</v>
      </c>
      <c r="G605" s="1" t="s">
        <v>26</v>
      </c>
      <c r="H605" s="1">
        <v>15436</v>
      </c>
      <c r="I605" s="1" t="s">
        <v>22</v>
      </c>
      <c r="J605" s="1">
        <v>0.1</v>
      </c>
      <c r="K605" s="1">
        <v>17000</v>
      </c>
      <c r="L605" s="2">
        <v>45316</v>
      </c>
    </row>
    <row r="606" spans="1:12" x14ac:dyDescent="0.35">
      <c r="A606" s="1" t="s">
        <v>834</v>
      </c>
      <c r="B606" s="1" t="s">
        <v>557</v>
      </c>
      <c r="C606" s="1" t="s">
        <v>14</v>
      </c>
      <c r="D606" s="1" t="s">
        <v>15</v>
      </c>
      <c r="E606" s="1" t="s">
        <v>32</v>
      </c>
      <c r="F606" s="1" t="s">
        <v>17</v>
      </c>
      <c r="G606" s="1" t="s">
        <v>18</v>
      </c>
      <c r="H606" s="1">
        <v>13173</v>
      </c>
      <c r="I606" s="1" t="s">
        <v>33</v>
      </c>
      <c r="J606" s="1">
        <v>0.3</v>
      </c>
      <c r="K606" s="1">
        <v>14000</v>
      </c>
      <c r="L606" s="2">
        <v>45301</v>
      </c>
    </row>
    <row r="607" spans="1:12" x14ac:dyDescent="0.35">
      <c r="A607" s="1" t="s">
        <v>835</v>
      </c>
      <c r="B607" s="1" t="s">
        <v>676</v>
      </c>
      <c r="C607" s="1" t="s">
        <v>30</v>
      </c>
      <c r="D607" s="1" t="s">
        <v>31</v>
      </c>
      <c r="E607" s="1" t="s">
        <v>32</v>
      </c>
      <c r="F607" s="1" t="s">
        <v>39</v>
      </c>
      <c r="G607" s="1" t="s">
        <v>18</v>
      </c>
      <c r="H607" s="1">
        <v>16469</v>
      </c>
      <c r="I607" s="1"/>
      <c r="J607" s="1"/>
      <c r="K607" s="1">
        <v>17000</v>
      </c>
      <c r="L607" s="2">
        <v>45298</v>
      </c>
    </row>
    <row r="608" spans="1:12" x14ac:dyDescent="0.35">
      <c r="A608" s="1" t="s">
        <v>836</v>
      </c>
      <c r="B608" s="1" t="s">
        <v>837</v>
      </c>
      <c r="C608" s="1" t="s">
        <v>44</v>
      </c>
      <c r="D608" s="1" t="s">
        <v>45</v>
      </c>
      <c r="E608" s="1" t="s">
        <v>16</v>
      </c>
      <c r="F608" s="1" t="s">
        <v>39</v>
      </c>
      <c r="G608" s="1" t="s">
        <v>26</v>
      </c>
      <c r="H608" s="1">
        <v>12592</v>
      </c>
      <c r="I608" s="1" t="s">
        <v>19</v>
      </c>
      <c r="J608" s="1">
        <v>0.2</v>
      </c>
      <c r="K608" s="1">
        <v>13000</v>
      </c>
      <c r="L608" s="2">
        <v>45324</v>
      </c>
    </row>
    <row r="609" spans="1:12" x14ac:dyDescent="0.35">
      <c r="A609" s="1" t="s">
        <v>838</v>
      </c>
      <c r="B609" s="1" t="s">
        <v>54</v>
      </c>
      <c r="C609" s="1" t="s">
        <v>30</v>
      </c>
      <c r="D609" s="1" t="s">
        <v>31</v>
      </c>
      <c r="E609" s="1" t="s">
        <v>16</v>
      </c>
      <c r="F609" s="1" t="s">
        <v>39</v>
      </c>
      <c r="G609" s="1" t="s">
        <v>18</v>
      </c>
      <c r="H609" s="1">
        <v>18794</v>
      </c>
      <c r="I609" s="1"/>
      <c r="J609" s="1"/>
      <c r="K609" s="1">
        <v>17000</v>
      </c>
      <c r="L609" s="2">
        <v>45316</v>
      </c>
    </row>
    <row r="610" spans="1:12" x14ac:dyDescent="0.35">
      <c r="A610" s="1" t="s">
        <v>839</v>
      </c>
      <c r="B610" s="1" t="s">
        <v>155</v>
      </c>
      <c r="C610" s="1" t="s">
        <v>30</v>
      </c>
      <c r="D610" s="1" t="s">
        <v>31</v>
      </c>
      <c r="E610" s="1" t="s">
        <v>16</v>
      </c>
      <c r="F610" s="1" t="s">
        <v>25</v>
      </c>
      <c r="G610" s="1" t="s">
        <v>18</v>
      </c>
      <c r="H610" s="1">
        <v>18046</v>
      </c>
      <c r="I610" s="1" t="s">
        <v>33</v>
      </c>
      <c r="J610" s="1">
        <v>0.3</v>
      </c>
      <c r="K610" s="1">
        <v>17000</v>
      </c>
      <c r="L610" s="2">
        <v>45304</v>
      </c>
    </row>
    <row r="611" spans="1:12" x14ac:dyDescent="0.35">
      <c r="A611" s="1" t="s">
        <v>840</v>
      </c>
      <c r="B611" s="1" t="s">
        <v>837</v>
      </c>
      <c r="C611" s="1" t="s">
        <v>61</v>
      </c>
      <c r="D611" s="1" t="s">
        <v>62</v>
      </c>
      <c r="E611" s="1" t="s">
        <v>32</v>
      </c>
      <c r="F611" s="1" t="s">
        <v>39</v>
      </c>
      <c r="G611" s="1" t="s">
        <v>26</v>
      </c>
      <c r="H611" s="1">
        <v>9906</v>
      </c>
      <c r="I611" s="1" t="s">
        <v>33</v>
      </c>
      <c r="J611" s="1">
        <v>0.3</v>
      </c>
      <c r="K611" s="1">
        <v>9000</v>
      </c>
      <c r="L611" s="2">
        <v>45340</v>
      </c>
    </row>
    <row r="612" spans="1:12" x14ac:dyDescent="0.35">
      <c r="A612" s="1" t="s">
        <v>841</v>
      </c>
      <c r="B612" s="1" t="s">
        <v>86</v>
      </c>
      <c r="C612" s="1" t="s">
        <v>44</v>
      </c>
      <c r="D612" s="1" t="s">
        <v>45</v>
      </c>
      <c r="E612" s="1" t="s">
        <v>16</v>
      </c>
      <c r="F612" s="1" t="s">
        <v>25</v>
      </c>
      <c r="G612" s="1" t="s">
        <v>36</v>
      </c>
      <c r="H612" s="1">
        <v>12838</v>
      </c>
      <c r="I612" s="1" t="s">
        <v>19</v>
      </c>
      <c r="J612" s="1">
        <v>0.2</v>
      </c>
      <c r="K612" s="1">
        <v>13000</v>
      </c>
      <c r="L612" s="2">
        <v>45335</v>
      </c>
    </row>
    <row r="613" spans="1:12" x14ac:dyDescent="0.35">
      <c r="A613" s="1" t="s">
        <v>842</v>
      </c>
      <c r="B613" s="1" t="s">
        <v>843</v>
      </c>
      <c r="C613" s="1" t="s">
        <v>44</v>
      </c>
      <c r="D613" s="1" t="s">
        <v>45</v>
      </c>
      <c r="E613" s="1" t="s">
        <v>16</v>
      </c>
      <c r="F613" s="1" t="s">
        <v>39</v>
      </c>
      <c r="G613" s="1" t="s">
        <v>18</v>
      </c>
      <c r="H613" s="1">
        <v>12545</v>
      </c>
      <c r="I613" s="1" t="s">
        <v>22</v>
      </c>
      <c r="J613" s="1">
        <v>0.1</v>
      </c>
      <c r="K613" s="1">
        <v>13000</v>
      </c>
      <c r="L613" s="2">
        <v>45319</v>
      </c>
    </row>
    <row r="614" spans="1:12" x14ac:dyDescent="0.35">
      <c r="A614" s="1" t="s">
        <v>844</v>
      </c>
      <c r="B614" s="1" t="s">
        <v>307</v>
      </c>
      <c r="C614" s="1" t="s">
        <v>30</v>
      </c>
      <c r="D614" s="1" t="s">
        <v>31</v>
      </c>
      <c r="E614" s="1" t="s">
        <v>32</v>
      </c>
      <c r="F614" s="1" t="s">
        <v>25</v>
      </c>
      <c r="G614" s="1" t="s">
        <v>26</v>
      </c>
      <c r="H614" s="1">
        <v>18465</v>
      </c>
      <c r="I614" s="1" t="s">
        <v>33</v>
      </c>
      <c r="J614" s="1">
        <v>0.3</v>
      </c>
      <c r="K614" s="1">
        <v>17000</v>
      </c>
      <c r="L614" s="2">
        <v>45292</v>
      </c>
    </row>
    <row r="615" spans="1:12" x14ac:dyDescent="0.35">
      <c r="A615" s="1" t="s">
        <v>845</v>
      </c>
      <c r="B615" s="1" t="s">
        <v>802</v>
      </c>
      <c r="C615" s="1" t="s">
        <v>44</v>
      </c>
      <c r="D615" s="1" t="s">
        <v>45</v>
      </c>
      <c r="E615" s="1" t="s">
        <v>32</v>
      </c>
      <c r="F615" s="1" t="s">
        <v>25</v>
      </c>
      <c r="G615" s="1" t="s">
        <v>36</v>
      </c>
      <c r="H615" s="1">
        <v>13444</v>
      </c>
      <c r="I615" s="1" t="s">
        <v>22</v>
      </c>
      <c r="J615" s="1">
        <v>0.1</v>
      </c>
      <c r="K615" s="1">
        <v>13000</v>
      </c>
      <c r="L615" s="2">
        <v>45341</v>
      </c>
    </row>
    <row r="616" spans="1:12" x14ac:dyDescent="0.35">
      <c r="A616" s="1" t="s">
        <v>846</v>
      </c>
      <c r="B616" s="1" t="s">
        <v>50</v>
      </c>
      <c r="C616" s="1" t="s">
        <v>30</v>
      </c>
      <c r="D616" s="1" t="s">
        <v>31</v>
      </c>
      <c r="E616" s="1" t="s">
        <v>46</v>
      </c>
      <c r="F616" s="1" t="s">
        <v>39</v>
      </c>
      <c r="G616" s="1" t="s">
        <v>26</v>
      </c>
      <c r="H616" s="1">
        <v>16466</v>
      </c>
      <c r="I616" s="1" t="s">
        <v>22</v>
      </c>
      <c r="J616" s="1">
        <v>0.1</v>
      </c>
      <c r="K616" s="1">
        <v>17000</v>
      </c>
      <c r="L616" s="2">
        <v>45342</v>
      </c>
    </row>
    <row r="617" spans="1:12" x14ac:dyDescent="0.35">
      <c r="A617" s="1" t="s">
        <v>847</v>
      </c>
      <c r="B617" s="1" t="s">
        <v>577</v>
      </c>
      <c r="C617" s="1" t="s">
        <v>44</v>
      </c>
      <c r="D617" s="1" t="s">
        <v>45</v>
      </c>
      <c r="E617" s="1" t="s">
        <v>32</v>
      </c>
      <c r="F617" s="1" t="s">
        <v>39</v>
      </c>
      <c r="G617" s="1" t="s">
        <v>18</v>
      </c>
      <c r="H617" s="1">
        <v>14220</v>
      </c>
      <c r="I617" s="1" t="s">
        <v>27</v>
      </c>
      <c r="J617" s="1"/>
      <c r="K617" s="1">
        <v>13000</v>
      </c>
      <c r="L617" s="2">
        <v>45302</v>
      </c>
    </row>
    <row r="618" spans="1:12" x14ac:dyDescent="0.35">
      <c r="A618" s="1" t="s">
        <v>848</v>
      </c>
      <c r="B618" s="1" t="s">
        <v>512</v>
      </c>
      <c r="C618" s="1" t="s">
        <v>61</v>
      </c>
      <c r="D618" s="1" t="s">
        <v>62</v>
      </c>
      <c r="E618" s="1" t="s">
        <v>32</v>
      </c>
      <c r="F618" s="1" t="s">
        <v>17</v>
      </c>
      <c r="G618" s="1" t="s">
        <v>18</v>
      </c>
      <c r="H618" s="1">
        <v>10618</v>
      </c>
      <c r="I618" s="1" t="s">
        <v>19</v>
      </c>
      <c r="J618" s="1">
        <v>0.2</v>
      </c>
      <c r="K618" s="1">
        <v>9000</v>
      </c>
      <c r="L618" s="2">
        <v>45334</v>
      </c>
    </row>
    <row r="619" spans="1:12" x14ac:dyDescent="0.35">
      <c r="A619" s="1" t="s">
        <v>849</v>
      </c>
      <c r="B619" s="1" t="s">
        <v>282</v>
      </c>
      <c r="C619" s="1" t="s">
        <v>30</v>
      </c>
      <c r="D619" s="1" t="s">
        <v>31</v>
      </c>
      <c r="E619" s="1" t="s">
        <v>46</v>
      </c>
      <c r="F619" s="1" t="s">
        <v>25</v>
      </c>
      <c r="G619" s="1" t="s">
        <v>26</v>
      </c>
      <c r="H619" s="1">
        <v>17172</v>
      </c>
      <c r="I619" s="1"/>
      <c r="J619" s="1"/>
      <c r="K619" s="1">
        <v>17000</v>
      </c>
      <c r="L619" s="2">
        <v>45327</v>
      </c>
    </row>
    <row r="620" spans="1:12" x14ac:dyDescent="0.35">
      <c r="A620" s="1" t="s">
        <v>850</v>
      </c>
      <c r="B620" s="1" t="s">
        <v>393</v>
      </c>
      <c r="C620" s="1" t="s">
        <v>14</v>
      </c>
      <c r="D620" s="1" t="s">
        <v>15</v>
      </c>
      <c r="E620" s="1" t="s">
        <v>32</v>
      </c>
      <c r="F620" s="1" t="s">
        <v>39</v>
      </c>
      <c r="G620" s="1" t="s">
        <v>36</v>
      </c>
      <c r="H620" s="1">
        <v>13825</v>
      </c>
      <c r="I620" s="1" t="s">
        <v>19</v>
      </c>
      <c r="J620" s="1">
        <v>0.2</v>
      </c>
      <c r="K620" s="1">
        <v>14000</v>
      </c>
      <c r="L620" s="2">
        <v>45349</v>
      </c>
    </row>
    <row r="621" spans="1:12" x14ac:dyDescent="0.35">
      <c r="A621" s="1" t="s">
        <v>851</v>
      </c>
      <c r="B621" s="1" t="s">
        <v>163</v>
      </c>
      <c r="C621" s="1" t="s">
        <v>44</v>
      </c>
      <c r="D621" s="1" t="s">
        <v>45</v>
      </c>
      <c r="E621" s="1" t="s">
        <v>32</v>
      </c>
      <c r="F621" s="1" t="s">
        <v>39</v>
      </c>
      <c r="G621" s="1" t="s">
        <v>36</v>
      </c>
      <c r="H621" s="1">
        <v>12562</v>
      </c>
      <c r="I621" s="1" t="s">
        <v>22</v>
      </c>
      <c r="J621" s="1">
        <v>0.1</v>
      </c>
      <c r="K621" s="1">
        <v>13000</v>
      </c>
      <c r="L621" s="2">
        <v>45316</v>
      </c>
    </row>
    <row r="622" spans="1:12" x14ac:dyDescent="0.35">
      <c r="A622" s="1" t="s">
        <v>852</v>
      </c>
      <c r="B622" s="1" t="s">
        <v>307</v>
      </c>
      <c r="C622" s="1" t="s">
        <v>30</v>
      </c>
      <c r="D622" s="1" t="s">
        <v>31</v>
      </c>
      <c r="E622" s="1" t="s">
        <v>32</v>
      </c>
      <c r="F622" s="1" t="s">
        <v>39</v>
      </c>
      <c r="G622" s="1" t="s">
        <v>36</v>
      </c>
      <c r="H622" s="1">
        <v>17106</v>
      </c>
      <c r="I622" s="1" t="s">
        <v>27</v>
      </c>
      <c r="J622" s="1"/>
      <c r="K622" s="1">
        <v>17000</v>
      </c>
      <c r="L622" s="2">
        <v>45320</v>
      </c>
    </row>
    <row r="623" spans="1:12" x14ac:dyDescent="0.35">
      <c r="A623" s="1" t="s">
        <v>853</v>
      </c>
      <c r="B623" s="1" t="s">
        <v>711</v>
      </c>
      <c r="C623" s="1" t="s">
        <v>30</v>
      </c>
      <c r="D623" s="1" t="s">
        <v>31</v>
      </c>
      <c r="E623" s="1" t="s">
        <v>16</v>
      </c>
      <c r="F623" s="1" t="s">
        <v>25</v>
      </c>
      <c r="G623" s="1" t="s">
        <v>36</v>
      </c>
      <c r="H623" s="1">
        <v>17104</v>
      </c>
      <c r="I623" s="1" t="s">
        <v>22</v>
      </c>
      <c r="J623" s="1">
        <v>0.1</v>
      </c>
      <c r="K623" s="1">
        <v>17000</v>
      </c>
      <c r="L623" s="2">
        <v>45352</v>
      </c>
    </row>
    <row r="624" spans="1:12" x14ac:dyDescent="0.35">
      <c r="A624" s="1" t="s">
        <v>854</v>
      </c>
      <c r="B624" s="1" t="s">
        <v>843</v>
      </c>
      <c r="C624" s="1" t="s">
        <v>14</v>
      </c>
      <c r="D624" s="1" t="s">
        <v>15</v>
      </c>
      <c r="E624" s="1" t="s">
        <v>16</v>
      </c>
      <c r="F624" s="1" t="s">
        <v>25</v>
      </c>
      <c r="G624" s="1" t="s">
        <v>18</v>
      </c>
      <c r="H624" s="1">
        <v>14745</v>
      </c>
      <c r="I624" s="1" t="s">
        <v>19</v>
      </c>
      <c r="J624" s="1">
        <v>0.2</v>
      </c>
      <c r="K624" s="1">
        <v>14000</v>
      </c>
      <c r="L624" s="2">
        <v>45347</v>
      </c>
    </row>
    <row r="625" spans="1:12" x14ac:dyDescent="0.35">
      <c r="A625" s="1" t="s">
        <v>855</v>
      </c>
      <c r="B625" s="1" t="s">
        <v>90</v>
      </c>
      <c r="C625" s="1" t="s">
        <v>14</v>
      </c>
      <c r="D625" s="1" t="s">
        <v>15</v>
      </c>
      <c r="E625" s="1" t="s">
        <v>32</v>
      </c>
      <c r="F625" s="1" t="s">
        <v>39</v>
      </c>
      <c r="G625" s="1" t="s">
        <v>26</v>
      </c>
      <c r="H625" s="1">
        <v>15598</v>
      </c>
      <c r="I625" s="1"/>
      <c r="J625" s="1"/>
      <c r="K625" s="1">
        <v>14000</v>
      </c>
      <c r="L625" s="2">
        <v>45333</v>
      </c>
    </row>
    <row r="626" spans="1:12" x14ac:dyDescent="0.35">
      <c r="A626" s="1" t="s">
        <v>856</v>
      </c>
      <c r="B626" s="1" t="s">
        <v>96</v>
      </c>
      <c r="C626" s="1" t="s">
        <v>44</v>
      </c>
      <c r="D626" s="1" t="s">
        <v>45</v>
      </c>
      <c r="E626" s="1" t="s">
        <v>32</v>
      </c>
      <c r="F626" s="1" t="s">
        <v>17</v>
      </c>
      <c r="G626" s="1" t="s">
        <v>26</v>
      </c>
      <c r="H626" s="1">
        <v>12358</v>
      </c>
      <c r="I626" s="1" t="s">
        <v>22</v>
      </c>
      <c r="J626" s="1">
        <v>0.1</v>
      </c>
      <c r="K626" s="1">
        <v>13000</v>
      </c>
      <c r="L626" s="2">
        <v>45297</v>
      </c>
    </row>
    <row r="627" spans="1:12" x14ac:dyDescent="0.35">
      <c r="A627" s="1" t="s">
        <v>857</v>
      </c>
      <c r="B627" s="1" t="s">
        <v>43</v>
      </c>
      <c r="C627" s="1" t="s">
        <v>44</v>
      </c>
      <c r="D627" s="1" t="s">
        <v>45</v>
      </c>
      <c r="E627" s="1" t="s">
        <v>46</v>
      </c>
      <c r="F627" s="1" t="s">
        <v>39</v>
      </c>
      <c r="G627" s="1" t="s">
        <v>18</v>
      </c>
      <c r="H627" s="1">
        <v>13355</v>
      </c>
      <c r="I627" s="1" t="s">
        <v>19</v>
      </c>
      <c r="J627" s="1">
        <v>0.2</v>
      </c>
      <c r="K627" s="1">
        <v>13000</v>
      </c>
      <c r="L627" s="2">
        <v>45350</v>
      </c>
    </row>
    <row r="628" spans="1:12" x14ac:dyDescent="0.35">
      <c r="A628" s="1" t="s">
        <v>858</v>
      </c>
      <c r="B628" s="1" t="s">
        <v>70</v>
      </c>
      <c r="C628" s="1" t="s">
        <v>61</v>
      </c>
      <c r="D628" s="1" t="s">
        <v>62</v>
      </c>
      <c r="E628" s="1" t="s">
        <v>46</v>
      </c>
      <c r="F628" s="1" t="s">
        <v>39</v>
      </c>
      <c r="G628" s="1" t="s">
        <v>36</v>
      </c>
      <c r="H628" s="1">
        <v>8773</v>
      </c>
      <c r="I628" s="1" t="s">
        <v>33</v>
      </c>
      <c r="J628" s="1">
        <v>0.3</v>
      </c>
      <c r="K628" s="1">
        <v>9000</v>
      </c>
      <c r="L628" s="2">
        <v>45293</v>
      </c>
    </row>
    <row r="629" spans="1:12" x14ac:dyDescent="0.35">
      <c r="A629" s="1" t="s">
        <v>859</v>
      </c>
      <c r="B629" s="1" t="s">
        <v>274</v>
      </c>
      <c r="C629" s="1" t="s">
        <v>14</v>
      </c>
      <c r="D629" s="1" t="s">
        <v>15</v>
      </c>
      <c r="E629" s="1" t="s">
        <v>16</v>
      </c>
      <c r="F629" s="1" t="s">
        <v>25</v>
      </c>
      <c r="G629" s="1" t="s">
        <v>26</v>
      </c>
      <c r="H629" s="1">
        <v>14950</v>
      </c>
      <c r="I629" s="1" t="s">
        <v>27</v>
      </c>
      <c r="J629" s="1"/>
      <c r="K629" s="1">
        <v>14000</v>
      </c>
      <c r="L629" s="2">
        <v>45296</v>
      </c>
    </row>
    <row r="630" spans="1:12" x14ac:dyDescent="0.35">
      <c r="A630" s="1" t="s">
        <v>860</v>
      </c>
      <c r="B630" s="1" t="s">
        <v>296</v>
      </c>
      <c r="C630" s="1" t="s">
        <v>14</v>
      </c>
      <c r="D630" s="1" t="s">
        <v>15</v>
      </c>
      <c r="E630" s="1" t="s">
        <v>16</v>
      </c>
      <c r="F630" s="1" t="s">
        <v>25</v>
      </c>
      <c r="G630" s="1" t="s">
        <v>36</v>
      </c>
      <c r="H630" s="1">
        <v>15801</v>
      </c>
      <c r="I630" s="1" t="s">
        <v>27</v>
      </c>
      <c r="J630" s="1"/>
      <c r="K630" s="1">
        <v>14000</v>
      </c>
      <c r="L630" s="2">
        <v>45298</v>
      </c>
    </row>
    <row r="631" spans="1:12" x14ac:dyDescent="0.35">
      <c r="A631" s="1" t="s">
        <v>861</v>
      </c>
      <c r="B631" s="1" t="s">
        <v>443</v>
      </c>
      <c r="C631" s="1" t="s">
        <v>30</v>
      </c>
      <c r="D631" s="1" t="s">
        <v>31</v>
      </c>
      <c r="E631" s="1" t="s">
        <v>16</v>
      </c>
      <c r="F631" s="1" t="s">
        <v>25</v>
      </c>
      <c r="G631" s="1" t="s">
        <v>36</v>
      </c>
      <c r="H631" s="1">
        <v>18134</v>
      </c>
      <c r="I631" s="1"/>
      <c r="J631" s="1"/>
      <c r="K631" s="1">
        <v>17000</v>
      </c>
      <c r="L631" s="2">
        <v>45316</v>
      </c>
    </row>
    <row r="632" spans="1:12" x14ac:dyDescent="0.35">
      <c r="A632" s="1" t="s">
        <v>862</v>
      </c>
      <c r="B632" s="1" t="s">
        <v>309</v>
      </c>
      <c r="C632" s="1" t="s">
        <v>14</v>
      </c>
      <c r="D632" s="1" t="s">
        <v>15</v>
      </c>
      <c r="E632" s="1" t="s">
        <v>46</v>
      </c>
      <c r="F632" s="1" t="s">
        <v>25</v>
      </c>
      <c r="G632" s="1" t="s">
        <v>26</v>
      </c>
      <c r="H632" s="1">
        <v>12900</v>
      </c>
      <c r="I632" s="1" t="s">
        <v>19</v>
      </c>
      <c r="J632" s="1">
        <v>0.2</v>
      </c>
      <c r="K632" s="1">
        <v>14000</v>
      </c>
      <c r="L632" s="2">
        <v>45339</v>
      </c>
    </row>
    <row r="633" spans="1:12" x14ac:dyDescent="0.35">
      <c r="A633" s="1" t="s">
        <v>863</v>
      </c>
      <c r="B633" s="1" t="s">
        <v>155</v>
      </c>
      <c r="C633" s="1" t="s">
        <v>30</v>
      </c>
      <c r="D633" s="1" t="s">
        <v>31</v>
      </c>
      <c r="E633" s="1" t="s">
        <v>16</v>
      </c>
      <c r="F633" s="1" t="s">
        <v>25</v>
      </c>
      <c r="G633" s="1" t="s">
        <v>36</v>
      </c>
      <c r="H633" s="1">
        <v>17774</v>
      </c>
      <c r="I633" s="1" t="s">
        <v>33</v>
      </c>
      <c r="J633" s="1">
        <v>0.3</v>
      </c>
      <c r="K633" s="1">
        <v>17000</v>
      </c>
      <c r="L633" s="2">
        <v>45352</v>
      </c>
    </row>
    <row r="634" spans="1:12" x14ac:dyDescent="0.35">
      <c r="A634" s="1" t="s">
        <v>864</v>
      </c>
      <c r="B634" s="1" t="s">
        <v>166</v>
      </c>
      <c r="C634" s="1" t="s">
        <v>44</v>
      </c>
      <c r="D634" s="1" t="s">
        <v>45</v>
      </c>
      <c r="E634" s="1" t="s">
        <v>32</v>
      </c>
      <c r="F634" s="1" t="s">
        <v>25</v>
      </c>
      <c r="G634" s="1" t="s">
        <v>18</v>
      </c>
      <c r="H634" s="1">
        <v>13345</v>
      </c>
      <c r="I634" s="1" t="s">
        <v>27</v>
      </c>
      <c r="J634" s="1"/>
      <c r="K634" s="1">
        <v>13000</v>
      </c>
      <c r="L634" s="2">
        <v>45317</v>
      </c>
    </row>
    <row r="635" spans="1:12" x14ac:dyDescent="0.35">
      <c r="A635" s="1" t="s">
        <v>865</v>
      </c>
      <c r="B635" s="1" t="s">
        <v>168</v>
      </c>
      <c r="C635" s="1" t="s">
        <v>14</v>
      </c>
      <c r="D635" s="1" t="s">
        <v>15</v>
      </c>
      <c r="E635" s="1" t="s">
        <v>46</v>
      </c>
      <c r="F635" s="1" t="s">
        <v>25</v>
      </c>
      <c r="G635" s="1" t="s">
        <v>26</v>
      </c>
      <c r="H635" s="1">
        <v>15036</v>
      </c>
      <c r="I635" s="1" t="s">
        <v>33</v>
      </c>
      <c r="J635" s="1">
        <v>0.3</v>
      </c>
      <c r="K635" s="1">
        <v>14000</v>
      </c>
      <c r="L635" s="2">
        <v>45305</v>
      </c>
    </row>
    <row r="636" spans="1:12" x14ac:dyDescent="0.35">
      <c r="A636" s="1" t="s">
        <v>866</v>
      </c>
      <c r="B636" s="1" t="s">
        <v>274</v>
      </c>
      <c r="C636" s="1" t="s">
        <v>44</v>
      </c>
      <c r="D636" s="1" t="s">
        <v>45</v>
      </c>
      <c r="E636" s="1" t="s">
        <v>32</v>
      </c>
      <c r="F636" s="1" t="s">
        <v>25</v>
      </c>
      <c r="G636" s="1" t="s">
        <v>18</v>
      </c>
      <c r="H636" s="1">
        <v>13526</v>
      </c>
      <c r="I636" s="1" t="s">
        <v>33</v>
      </c>
      <c r="J636" s="1">
        <v>0.3</v>
      </c>
      <c r="K636" s="1">
        <v>13000</v>
      </c>
      <c r="L636" s="2">
        <v>45304</v>
      </c>
    </row>
    <row r="637" spans="1:12" x14ac:dyDescent="0.35">
      <c r="A637" s="1" t="s">
        <v>867</v>
      </c>
      <c r="B637" s="1" t="s">
        <v>843</v>
      </c>
      <c r="C637" s="1" t="s">
        <v>14</v>
      </c>
      <c r="D637" s="1" t="s">
        <v>15</v>
      </c>
      <c r="E637" s="1" t="s">
        <v>16</v>
      </c>
      <c r="F637" s="1" t="s">
        <v>17</v>
      </c>
      <c r="G637" s="1" t="s">
        <v>26</v>
      </c>
      <c r="H637" s="1">
        <v>14251</v>
      </c>
      <c r="I637" s="1" t="s">
        <v>22</v>
      </c>
      <c r="J637" s="1">
        <v>0.1</v>
      </c>
      <c r="K637" s="1">
        <v>14000</v>
      </c>
      <c r="L637" s="2">
        <v>45310</v>
      </c>
    </row>
    <row r="638" spans="1:12" x14ac:dyDescent="0.35">
      <c r="A638" s="1" t="s">
        <v>868</v>
      </c>
      <c r="B638" s="1" t="s">
        <v>13</v>
      </c>
      <c r="C638" s="1" t="s">
        <v>30</v>
      </c>
      <c r="D638" s="1" t="s">
        <v>31</v>
      </c>
      <c r="E638" s="1" t="s">
        <v>32</v>
      </c>
      <c r="F638" s="1" t="s">
        <v>25</v>
      </c>
      <c r="G638" s="1" t="s">
        <v>26</v>
      </c>
      <c r="H638" s="1">
        <v>17378</v>
      </c>
      <c r="I638" s="1"/>
      <c r="J638" s="1"/>
      <c r="K638" s="1">
        <v>17000</v>
      </c>
      <c r="L638" s="2">
        <v>45352</v>
      </c>
    </row>
    <row r="639" spans="1:12" x14ac:dyDescent="0.35">
      <c r="A639" s="1" t="s">
        <v>869</v>
      </c>
      <c r="B639" s="1" t="s">
        <v>282</v>
      </c>
      <c r="C639" s="1" t="s">
        <v>44</v>
      </c>
      <c r="D639" s="1" t="s">
        <v>45</v>
      </c>
      <c r="E639" s="1" t="s">
        <v>16</v>
      </c>
      <c r="F639" s="1" t="s">
        <v>39</v>
      </c>
      <c r="G639" s="1" t="s">
        <v>18</v>
      </c>
      <c r="H639" s="1">
        <v>11409</v>
      </c>
      <c r="I639" s="1" t="s">
        <v>33</v>
      </c>
      <c r="J639" s="1">
        <v>0.3</v>
      </c>
      <c r="K639" s="1">
        <v>13000</v>
      </c>
      <c r="L639" s="2">
        <v>45331</v>
      </c>
    </row>
    <row r="640" spans="1:12" x14ac:dyDescent="0.35">
      <c r="A640" s="1" t="s">
        <v>870</v>
      </c>
      <c r="B640" s="1" t="s">
        <v>248</v>
      </c>
      <c r="C640" s="1" t="s">
        <v>30</v>
      </c>
      <c r="D640" s="1" t="s">
        <v>31</v>
      </c>
      <c r="E640" s="1" t="s">
        <v>46</v>
      </c>
      <c r="F640" s="1" t="s">
        <v>17</v>
      </c>
      <c r="G640" s="1" t="s">
        <v>36</v>
      </c>
      <c r="H640" s="1">
        <v>17524</v>
      </c>
      <c r="I640" s="1" t="s">
        <v>33</v>
      </c>
      <c r="J640" s="1">
        <v>0.3</v>
      </c>
      <c r="K640" s="1">
        <v>17000</v>
      </c>
      <c r="L640" s="2">
        <v>45336</v>
      </c>
    </row>
    <row r="641" spans="1:12" x14ac:dyDescent="0.35">
      <c r="A641" s="1" t="s">
        <v>871</v>
      </c>
      <c r="B641" s="1" t="s">
        <v>373</v>
      </c>
      <c r="C641" s="1" t="s">
        <v>30</v>
      </c>
      <c r="D641" s="1" t="s">
        <v>31</v>
      </c>
      <c r="E641" s="1" t="s">
        <v>46</v>
      </c>
      <c r="F641" s="1" t="s">
        <v>17</v>
      </c>
      <c r="G641" s="1" t="s">
        <v>18</v>
      </c>
      <c r="H641" s="1">
        <v>15019</v>
      </c>
      <c r="I641" s="1" t="s">
        <v>33</v>
      </c>
      <c r="J641" s="1">
        <v>0.3</v>
      </c>
      <c r="K641" s="1">
        <v>17000</v>
      </c>
      <c r="L641" s="2">
        <v>45307</v>
      </c>
    </row>
    <row r="642" spans="1:12" x14ac:dyDescent="0.35">
      <c r="A642" s="1" t="s">
        <v>872</v>
      </c>
      <c r="B642" s="1" t="s">
        <v>294</v>
      </c>
      <c r="C642" s="1" t="s">
        <v>61</v>
      </c>
      <c r="D642" s="1" t="s">
        <v>62</v>
      </c>
      <c r="E642" s="1" t="s">
        <v>46</v>
      </c>
      <c r="F642" s="1" t="s">
        <v>17</v>
      </c>
      <c r="G642" s="1" t="s">
        <v>18</v>
      </c>
      <c r="H642" s="1">
        <v>9783</v>
      </c>
      <c r="I642" s="1" t="s">
        <v>33</v>
      </c>
      <c r="J642" s="1">
        <v>0.3</v>
      </c>
      <c r="K642" s="1">
        <v>9000</v>
      </c>
      <c r="L642" s="2">
        <v>45348</v>
      </c>
    </row>
    <row r="643" spans="1:12" x14ac:dyDescent="0.35">
      <c r="A643" s="1" t="s">
        <v>873</v>
      </c>
      <c r="B643" s="1" t="s">
        <v>231</v>
      </c>
      <c r="C643" s="1" t="s">
        <v>61</v>
      </c>
      <c r="D643" s="1" t="s">
        <v>62</v>
      </c>
      <c r="E643" s="1" t="s">
        <v>46</v>
      </c>
      <c r="F643" s="1" t="s">
        <v>17</v>
      </c>
      <c r="G643" s="1" t="s">
        <v>36</v>
      </c>
      <c r="H643" s="1">
        <v>9259</v>
      </c>
      <c r="I643" s="1" t="s">
        <v>22</v>
      </c>
      <c r="J643" s="1">
        <v>0.1</v>
      </c>
      <c r="K643" s="1">
        <v>9000</v>
      </c>
      <c r="L643" s="2">
        <v>45303</v>
      </c>
    </row>
    <row r="644" spans="1:12" x14ac:dyDescent="0.35">
      <c r="A644" s="1" t="s">
        <v>874</v>
      </c>
      <c r="B644" s="1" t="s">
        <v>163</v>
      </c>
      <c r="C644" s="1" t="s">
        <v>14</v>
      </c>
      <c r="D644" s="1" t="s">
        <v>15</v>
      </c>
      <c r="E644" s="1" t="s">
        <v>46</v>
      </c>
      <c r="F644" s="1" t="s">
        <v>25</v>
      </c>
      <c r="G644" s="1" t="s">
        <v>26</v>
      </c>
      <c r="H644" s="1">
        <v>12804</v>
      </c>
      <c r="I644" s="1" t="s">
        <v>33</v>
      </c>
      <c r="J644" s="1">
        <v>0.3</v>
      </c>
      <c r="K644" s="1">
        <v>14000</v>
      </c>
      <c r="L644" s="2">
        <v>45338</v>
      </c>
    </row>
    <row r="645" spans="1:12" x14ac:dyDescent="0.35">
      <c r="A645" s="1" t="s">
        <v>875</v>
      </c>
      <c r="B645" s="1" t="s">
        <v>50</v>
      </c>
      <c r="C645" s="1" t="s">
        <v>14</v>
      </c>
      <c r="D645" s="1" t="s">
        <v>15</v>
      </c>
      <c r="E645" s="1" t="s">
        <v>16</v>
      </c>
      <c r="F645" s="1" t="s">
        <v>25</v>
      </c>
      <c r="G645" s="1" t="s">
        <v>18</v>
      </c>
      <c r="H645" s="1">
        <v>15479</v>
      </c>
      <c r="I645" s="1" t="s">
        <v>27</v>
      </c>
      <c r="J645" s="1"/>
      <c r="K645" s="1">
        <v>14000</v>
      </c>
      <c r="L645" s="2">
        <v>45332</v>
      </c>
    </row>
    <row r="646" spans="1:12" x14ac:dyDescent="0.35">
      <c r="A646" s="1" t="s">
        <v>876</v>
      </c>
      <c r="B646" s="1" t="s">
        <v>129</v>
      </c>
      <c r="C646" s="1" t="s">
        <v>61</v>
      </c>
      <c r="D646" s="1" t="s">
        <v>62</v>
      </c>
      <c r="E646" s="1" t="s">
        <v>16</v>
      </c>
      <c r="F646" s="1" t="s">
        <v>25</v>
      </c>
      <c r="G646" s="1" t="s">
        <v>18</v>
      </c>
      <c r="H646" s="1">
        <v>9259</v>
      </c>
      <c r="I646" s="1" t="s">
        <v>33</v>
      </c>
      <c r="J646" s="1">
        <v>0.3</v>
      </c>
      <c r="K646" s="1">
        <v>9000</v>
      </c>
      <c r="L646" s="2">
        <v>45326</v>
      </c>
    </row>
    <row r="647" spans="1:12" x14ac:dyDescent="0.35">
      <c r="A647" s="1" t="s">
        <v>877</v>
      </c>
      <c r="B647" s="1" t="s">
        <v>84</v>
      </c>
      <c r="C647" s="1" t="s">
        <v>61</v>
      </c>
      <c r="D647" s="1" t="s">
        <v>62</v>
      </c>
      <c r="E647" s="1" t="s">
        <v>16</v>
      </c>
      <c r="F647" s="1" t="s">
        <v>25</v>
      </c>
      <c r="G647" s="1" t="s">
        <v>36</v>
      </c>
      <c r="H647" s="1">
        <v>8607</v>
      </c>
      <c r="I647" s="1" t="s">
        <v>19</v>
      </c>
      <c r="J647" s="1">
        <v>0.2</v>
      </c>
      <c r="K647" s="1">
        <v>9000</v>
      </c>
      <c r="L647" s="2">
        <v>45349</v>
      </c>
    </row>
    <row r="648" spans="1:12" x14ac:dyDescent="0.35">
      <c r="A648" s="1" t="s">
        <v>878</v>
      </c>
      <c r="B648" s="1" t="s">
        <v>522</v>
      </c>
      <c r="C648" s="1" t="s">
        <v>30</v>
      </c>
      <c r="D648" s="1" t="s">
        <v>31</v>
      </c>
      <c r="E648" s="1" t="s">
        <v>32</v>
      </c>
      <c r="F648" s="1" t="s">
        <v>17</v>
      </c>
      <c r="G648" s="1" t="s">
        <v>26</v>
      </c>
      <c r="H648" s="1">
        <v>17090</v>
      </c>
      <c r="I648" s="1" t="s">
        <v>22</v>
      </c>
      <c r="J648" s="1">
        <v>0.1</v>
      </c>
      <c r="K648" s="1">
        <v>17000</v>
      </c>
      <c r="L648" s="2">
        <v>45317</v>
      </c>
    </row>
    <row r="649" spans="1:12" x14ac:dyDescent="0.35">
      <c r="A649" s="1" t="s">
        <v>879</v>
      </c>
      <c r="B649" s="1" t="s">
        <v>301</v>
      </c>
      <c r="C649" s="1" t="s">
        <v>14</v>
      </c>
      <c r="D649" s="1" t="s">
        <v>15</v>
      </c>
      <c r="E649" s="1" t="s">
        <v>16</v>
      </c>
      <c r="F649" s="1" t="s">
        <v>25</v>
      </c>
      <c r="G649" s="1" t="s">
        <v>26</v>
      </c>
      <c r="H649" s="1">
        <v>14802</v>
      </c>
      <c r="I649" s="1" t="s">
        <v>19</v>
      </c>
      <c r="J649" s="1">
        <v>0.2</v>
      </c>
      <c r="K649" s="1">
        <v>14000</v>
      </c>
      <c r="L649" s="2">
        <v>45340</v>
      </c>
    </row>
    <row r="650" spans="1:12" x14ac:dyDescent="0.35">
      <c r="A650" s="1" t="s">
        <v>880</v>
      </c>
      <c r="B650" s="1" t="s">
        <v>80</v>
      </c>
      <c r="C650" s="1" t="s">
        <v>61</v>
      </c>
      <c r="D650" s="1" t="s">
        <v>62</v>
      </c>
      <c r="E650" s="1" t="s">
        <v>32</v>
      </c>
      <c r="F650" s="1" t="s">
        <v>25</v>
      </c>
      <c r="G650" s="1" t="s">
        <v>26</v>
      </c>
      <c r="H650" s="1">
        <v>10885</v>
      </c>
      <c r="I650" s="1" t="s">
        <v>27</v>
      </c>
      <c r="J650" s="1"/>
      <c r="K650" s="1">
        <v>9000</v>
      </c>
      <c r="L650" s="2">
        <v>45334</v>
      </c>
    </row>
    <row r="651" spans="1:12" x14ac:dyDescent="0.35">
      <c r="A651" s="1" t="s">
        <v>881</v>
      </c>
      <c r="B651" s="1" t="s">
        <v>412</v>
      </c>
      <c r="C651" s="1" t="s">
        <v>61</v>
      </c>
      <c r="D651" s="1" t="s">
        <v>62</v>
      </c>
      <c r="E651" s="1" t="s">
        <v>46</v>
      </c>
      <c r="F651" s="1" t="s">
        <v>25</v>
      </c>
      <c r="G651" s="1" t="s">
        <v>18</v>
      </c>
      <c r="H651" s="1">
        <v>10118</v>
      </c>
      <c r="I651" s="1"/>
      <c r="J651" s="1"/>
      <c r="K651" s="1">
        <v>9000</v>
      </c>
      <c r="L651" s="2">
        <v>45306</v>
      </c>
    </row>
    <row r="652" spans="1:12" x14ac:dyDescent="0.35">
      <c r="A652" s="1" t="s">
        <v>882</v>
      </c>
      <c r="B652" s="1" t="s">
        <v>263</v>
      </c>
      <c r="C652" s="1" t="s">
        <v>30</v>
      </c>
      <c r="D652" s="1" t="s">
        <v>31</v>
      </c>
      <c r="E652" s="1" t="s">
        <v>32</v>
      </c>
      <c r="F652" s="1" t="s">
        <v>25</v>
      </c>
      <c r="G652" s="1" t="s">
        <v>26</v>
      </c>
      <c r="H652" s="1">
        <v>15846</v>
      </c>
      <c r="I652" s="1" t="s">
        <v>27</v>
      </c>
      <c r="J652" s="1"/>
      <c r="K652" s="1">
        <v>17000</v>
      </c>
      <c r="L652" s="2">
        <v>45350</v>
      </c>
    </row>
    <row r="653" spans="1:12" x14ac:dyDescent="0.35">
      <c r="A653" s="1" t="s">
        <v>883</v>
      </c>
      <c r="B653" s="1" t="s">
        <v>602</v>
      </c>
      <c r="C653" s="1" t="s">
        <v>61</v>
      </c>
      <c r="D653" s="1" t="s">
        <v>62</v>
      </c>
      <c r="E653" s="1" t="s">
        <v>46</v>
      </c>
      <c r="F653" s="1" t="s">
        <v>17</v>
      </c>
      <c r="G653" s="1" t="s">
        <v>18</v>
      </c>
      <c r="H653" s="1">
        <v>7163</v>
      </c>
      <c r="I653" s="1" t="s">
        <v>33</v>
      </c>
      <c r="J653" s="1">
        <v>0.3</v>
      </c>
      <c r="K653" s="1">
        <v>9000</v>
      </c>
      <c r="L653" s="2">
        <v>45298</v>
      </c>
    </row>
    <row r="654" spans="1:12" x14ac:dyDescent="0.35">
      <c r="A654" s="1" t="s">
        <v>884</v>
      </c>
      <c r="B654" s="1" t="s">
        <v>103</v>
      </c>
      <c r="C654" s="1" t="s">
        <v>30</v>
      </c>
      <c r="D654" s="1" t="s">
        <v>31</v>
      </c>
      <c r="E654" s="1" t="s">
        <v>16</v>
      </c>
      <c r="F654" s="1" t="s">
        <v>17</v>
      </c>
      <c r="G654" s="1" t="s">
        <v>26</v>
      </c>
      <c r="H654" s="1">
        <v>17229</v>
      </c>
      <c r="I654" s="1" t="s">
        <v>27</v>
      </c>
      <c r="J654" s="1"/>
      <c r="K654" s="1">
        <v>17000</v>
      </c>
      <c r="L654" s="2">
        <v>45303</v>
      </c>
    </row>
    <row r="655" spans="1:12" x14ac:dyDescent="0.35">
      <c r="A655" s="1" t="s">
        <v>885</v>
      </c>
      <c r="B655" s="1" t="s">
        <v>274</v>
      </c>
      <c r="C655" s="1" t="s">
        <v>61</v>
      </c>
      <c r="D655" s="1" t="s">
        <v>62</v>
      </c>
      <c r="E655" s="1" t="s">
        <v>46</v>
      </c>
      <c r="F655" s="1" t="s">
        <v>39</v>
      </c>
      <c r="G655" s="1" t="s">
        <v>26</v>
      </c>
      <c r="H655" s="1">
        <v>10679</v>
      </c>
      <c r="I655" s="1" t="s">
        <v>22</v>
      </c>
      <c r="J655" s="1">
        <v>0.1</v>
      </c>
      <c r="K655" s="1">
        <v>9000</v>
      </c>
      <c r="L655" s="2">
        <v>45325</v>
      </c>
    </row>
    <row r="656" spans="1:12" x14ac:dyDescent="0.35">
      <c r="A656" s="1" t="s">
        <v>886</v>
      </c>
      <c r="B656" s="1" t="s">
        <v>70</v>
      </c>
      <c r="C656" s="1" t="s">
        <v>44</v>
      </c>
      <c r="D656" s="1" t="s">
        <v>45</v>
      </c>
      <c r="E656" s="1" t="s">
        <v>16</v>
      </c>
      <c r="F656" s="1" t="s">
        <v>17</v>
      </c>
      <c r="G656" s="1" t="s">
        <v>36</v>
      </c>
      <c r="H656" s="1">
        <v>14347</v>
      </c>
      <c r="I656" s="1" t="s">
        <v>33</v>
      </c>
      <c r="J656" s="1">
        <v>0.3</v>
      </c>
      <c r="K656" s="1">
        <v>13000</v>
      </c>
      <c r="L656" s="2">
        <v>45323</v>
      </c>
    </row>
    <row r="657" spans="1:12" x14ac:dyDescent="0.35">
      <c r="A657" s="1" t="s">
        <v>887</v>
      </c>
      <c r="B657" s="1" t="s">
        <v>298</v>
      </c>
      <c r="C657" s="1" t="s">
        <v>14</v>
      </c>
      <c r="D657" s="1" t="s">
        <v>15</v>
      </c>
      <c r="E657" s="1" t="s">
        <v>16</v>
      </c>
      <c r="F657" s="1" t="s">
        <v>25</v>
      </c>
      <c r="G657" s="1" t="s">
        <v>36</v>
      </c>
      <c r="H657" s="1">
        <v>12678</v>
      </c>
      <c r="I657" s="1" t="s">
        <v>19</v>
      </c>
      <c r="J657" s="1">
        <v>0.2</v>
      </c>
      <c r="K657" s="1">
        <v>14000</v>
      </c>
      <c r="L657" s="2">
        <v>45296</v>
      </c>
    </row>
    <row r="658" spans="1:12" x14ac:dyDescent="0.35">
      <c r="A658" s="1" t="s">
        <v>888</v>
      </c>
      <c r="B658" s="1" t="s">
        <v>202</v>
      </c>
      <c r="C658" s="1" t="s">
        <v>30</v>
      </c>
      <c r="D658" s="1" t="s">
        <v>31</v>
      </c>
      <c r="E658" s="1" t="s">
        <v>32</v>
      </c>
      <c r="F658" s="1" t="s">
        <v>25</v>
      </c>
      <c r="G658" s="1" t="s">
        <v>18</v>
      </c>
      <c r="H658" s="1">
        <v>15644</v>
      </c>
      <c r="I658" s="1" t="s">
        <v>33</v>
      </c>
      <c r="J658" s="1">
        <v>0.3</v>
      </c>
      <c r="K658" s="1">
        <v>17000</v>
      </c>
      <c r="L658" s="2">
        <v>45330</v>
      </c>
    </row>
    <row r="659" spans="1:12" x14ac:dyDescent="0.35">
      <c r="A659" s="1" t="s">
        <v>889</v>
      </c>
      <c r="B659" s="1" t="s">
        <v>371</v>
      </c>
      <c r="C659" s="1" t="s">
        <v>14</v>
      </c>
      <c r="D659" s="1" t="s">
        <v>15</v>
      </c>
      <c r="E659" s="1" t="s">
        <v>16</v>
      </c>
      <c r="F659" s="1" t="s">
        <v>25</v>
      </c>
      <c r="G659" s="1" t="s">
        <v>36</v>
      </c>
      <c r="H659" s="1">
        <v>15322</v>
      </c>
      <c r="I659" s="1" t="s">
        <v>33</v>
      </c>
      <c r="J659" s="1">
        <v>0.3</v>
      </c>
      <c r="K659" s="1">
        <v>14000</v>
      </c>
      <c r="L659" s="2">
        <v>45338</v>
      </c>
    </row>
    <row r="660" spans="1:12" x14ac:dyDescent="0.35">
      <c r="A660" s="1" t="s">
        <v>890</v>
      </c>
      <c r="B660" s="1" t="s">
        <v>245</v>
      </c>
      <c r="C660" s="1" t="s">
        <v>61</v>
      </c>
      <c r="D660" s="1" t="s">
        <v>62</v>
      </c>
      <c r="E660" s="1" t="s">
        <v>46</v>
      </c>
      <c r="F660" s="1" t="s">
        <v>25</v>
      </c>
      <c r="G660" s="1" t="s">
        <v>26</v>
      </c>
      <c r="H660" s="1">
        <v>7660</v>
      </c>
      <c r="I660" s="1"/>
      <c r="J660" s="1"/>
      <c r="K660" s="1">
        <v>9000</v>
      </c>
      <c r="L660" s="2">
        <v>45293</v>
      </c>
    </row>
    <row r="661" spans="1:12" x14ac:dyDescent="0.35">
      <c r="A661" s="1" t="s">
        <v>891</v>
      </c>
      <c r="B661" s="1" t="s">
        <v>500</v>
      </c>
      <c r="C661" s="1" t="s">
        <v>44</v>
      </c>
      <c r="D661" s="1" t="s">
        <v>45</v>
      </c>
      <c r="E661" s="1" t="s">
        <v>16</v>
      </c>
      <c r="F661" s="1" t="s">
        <v>39</v>
      </c>
      <c r="G661" s="1" t="s">
        <v>18</v>
      </c>
      <c r="H661" s="1">
        <v>11551</v>
      </c>
      <c r="I661" s="1" t="s">
        <v>27</v>
      </c>
      <c r="J661" s="1"/>
      <c r="K661" s="1">
        <v>13000</v>
      </c>
      <c r="L661" s="2">
        <v>45294</v>
      </c>
    </row>
    <row r="662" spans="1:12" x14ac:dyDescent="0.35">
      <c r="A662" s="1" t="s">
        <v>892</v>
      </c>
      <c r="B662" s="1" t="s">
        <v>60</v>
      </c>
      <c r="C662" s="1" t="s">
        <v>44</v>
      </c>
      <c r="D662" s="1" t="s">
        <v>45</v>
      </c>
      <c r="E662" s="1" t="s">
        <v>32</v>
      </c>
      <c r="F662" s="1" t="s">
        <v>25</v>
      </c>
      <c r="G662" s="1" t="s">
        <v>36</v>
      </c>
      <c r="H662" s="1">
        <v>14778</v>
      </c>
      <c r="I662" s="1" t="s">
        <v>19</v>
      </c>
      <c r="J662" s="1">
        <v>0.2</v>
      </c>
      <c r="K662" s="1">
        <v>13000</v>
      </c>
      <c r="L662" s="2">
        <v>45325</v>
      </c>
    </row>
    <row r="663" spans="1:12" x14ac:dyDescent="0.35">
      <c r="A663" s="1" t="s">
        <v>893</v>
      </c>
      <c r="B663" s="1" t="s">
        <v>617</v>
      </c>
      <c r="C663" s="1" t="s">
        <v>14</v>
      </c>
      <c r="D663" s="1" t="s">
        <v>15</v>
      </c>
      <c r="E663" s="1" t="s">
        <v>16</v>
      </c>
      <c r="F663" s="1" t="s">
        <v>39</v>
      </c>
      <c r="G663" s="1" t="s">
        <v>26</v>
      </c>
      <c r="H663" s="1">
        <v>15364</v>
      </c>
      <c r="I663" s="1" t="s">
        <v>33</v>
      </c>
      <c r="J663" s="1">
        <v>0.3</v>
      </c>
      <c r="K663" s="1">
        <v>14000</v>
      </c>
      <c r="L663" s="2">
        <v>45352</v>
      </c>
    </row>
    <row r="664" spans="1:12" x14ac:dyDescent="0.35">
      <c r="A664" s="1" t="s">
        <v>894</v>
      </c>
      <c r="B664" s="1" t="s">
        <v>248</v>
      </c>
      <c r="C664" s="1" t="s">
        <v>61</v>
      </c>
      <c r="D664" s="1" t="s">
        <v>62</v>
      </c>
      <c r="E664" s="1" t="s">
        <v>16</v>
      </c>
      <c r="F664" s="1" t="s">
        <v>17</v>
      </c>
      <c r="G664" s="1" t="s">
        <v>36</v>
      </c>
      <c r="H664" s="1">
        <v>7698</v>
      </c>
      <c r="I664" s="1" t="s">
        <v>19</v>
      </c>
      <c r="J664" s="1">
        <v>0.2</v>
      </c>
      <c r="K664" s="1">
        <v>9000</v>
      </c>
      <c r="L664" s="2">
        <v>45345</v>
      </c>
    </row>
    <row r="665" spans="1:12" x14ac:dyDescent="0.35">
      <c r="A665" s="1" t="s">
        <v>895</v>
      </c>
      <c r="B665" s="1" t="s">
        <v>617</v>
      </c>
      <c r="C665" s="1" t="s">
        <v>44</v>
      </c>
      <c r="D665" s="1" t="s">
        <v>45</v>
      </c>
      <c r="E665" s="1" t="s">
        <v>16</v>
      </c>
      <c r="F665" s="1" t="s">
        <v>25</v>
      </c>
      <c r="G665" s="1" t="s">
        <v>26</v>
      </c>
      <c r="H665" s="1">
        <v>13701</v>
      </c>
      <c r="I665" s="1" t="s">
        <v>27</v>
      </c>
      <c r="J665" s="1"/>
      <c r="K665" s="1">
        <v>13000</v>
      </c>
      <c r="L665" s="2">
        <v>45308</v>
      </c>
    </row>
    <row r="666" spans="1:12" x14ac:dyDescent="0.35">
      <c r="A666" s="1" t="s">
        <v>896</v>
      </c>
      <c r="B666" s="1" t="s">
        <v>280</v>
      </c>
      <c r="C666" s="1" t="s">
        <v>30</v>
      </c>
      <c r="D666" s="1" t="s">
        <v>31</v>
      </c>
      <c r="E666" s="1" t="s">
        <v>46</v>
      </c>
      <c r="F666" s="1" t="s">
        <v>39</v>
      </c>
      <c r="G666" s="1" t="s">
        <v>26</v>
      </c>
      <c r="H666" s="1">
        <v>15281</v>
      </c>
      <c r="I666" s="1" t="s">
        <v>19</v>
      </c>
      <c r="J666" s="1">
        <v>0.2</v>
      </c>
      <c r="K666" s="1">
        <v>17000</v>
      </c>
      <c r="L666" s="2">
        <v>45316</v>
      </c>
    </row>
    <row r="667" spans="1:12" x14ac:dyDescent="0.35">
      <c r="A667" s="1" t="s">
        <v>897</v>
      </c>
      <c r="B667" s="1" t="s">
        <v>186</v>
      </c>
      <c r="C667" s="1" t="s">
        <v>14</v>
      </c>
      <c r="D667" s="1" t="s">
        <v>15</v>
      </c>
      <c r="E667" s="1" t="s">
        <v>32</v>
      </c>
      <c r="F667" s="1" t="s">
        <v>25</v>
      </c>
      <c r="G667" s="1" t="s">
        <v>26</v>
      </c>
      <c r="H667" s="1">
        <v>15520</v>
      </c>
      <c r="I667" s="1" t="s">
        <v>27</v>
      </c>
      <c r="J667" s="1"/>
      <c r="K667" s="1">
        <v>14000</v>
      </c>
      <c r="L667" s="2">
        <v>45335</v>
      </c>
    </row>
    <row r="668" spans="1:12" x14ac:dyDescent="0.35">
      <c r="A668" s="1" t="s">
        <v>898</v>
      </c>
      <c r="B668" s="1" t="s">
        <v>309</v>
      </c>
      <c r="C668" s="1" t="s">
        <v>44</v>
      </c>
      <c r="D668" s="1" t="s">
        <v>45</v>
      </c>
      <c r="E668" s="1" t="s">
        <v>16</v>
      </c>
      <c r="F668" s="1" t="s">
        <v>25</v>
      </c>
      <c r="G668" s="1" t="s">
        <v>18</v>
      </c>
      <c r="H668" s="1">
        <v>12949</v>
      </c>
      <c r="I668" s="1" t="s">
        <v>27</v>
      </c>
      <c r="J668" s="1"/>
      <c r="K668" s="1">
        <v>13000</v>
      </c>
      <c r="L668" s="2">
        <v>45330</v>
      </c>
    </row>
    <row r="669" spans="1:12" x14ac:dyDescent="0.35">
      <c r="A669" s="1" t="s">
        <v>899</v>
      </c>
      <c r="B669" s="1" t="s">
        <v>321</v>
      </c>
      <c r="C669" s="1" t="s">
        <v>14</v>
      </c>
      <c r="D669" s="1" t="s">
        <v>15</v>
      </c>
      <c r="E669" s="1" t="s">
        <v>32</v>
      </c>
      <c r="F669" s="1" t="s">
        <v>17</v>
      </c>
      <c r="G669" s="1" t="s">
        <v>26</v>
      </c>
      <c r="H669" s="1">
        <v>12533</v>
      </c>
      <c r="I669" s="1" t="s">
        <v>27</v>
      </c>
      <c r="J669" s="1"/>
      <c r="K669" s="1">
        <v>14000</v>
      </c>
      <c r="L669" s="2">
        <v>45326</v>
      </c>
    </row>
    <row r="670" spans="1:12" x14ac:dyDescent="0.35">
      <c r="A670" s="1" t="s">
        <v>900</v>
      </c>
      <c r="B670" s="1" t="s">
        <v>676</v>
      </c>
      <c r="C670" s="1" t="s">
        <v>61</v>
      </c>
      <c r="D670" s="1" t="s">
        <v>62</v>
      </c>
      <c r="E670" s="1" t="s">
        <v>16</v>
      </c>
      <c r="F670" s="1" t="s">
        <v>17</v>
      </c>
      <c r="G670" s="1" t="s">
        <v>36</v>
      </c>
      <c r="H670" s="1">
        <v>10583</v>
      </c>
      <c r="I670" s="1" t="s">
        <v>22</v>
      </c>
      <c r="J670" s="1">
        <v>0.1</v>
      </c>
      <c r="K670" s="1">
        <v>9000</v>
      </c>
      <c r="L670" s="2">
        <v>45336</v>
      </c>
    </row>
    <row r="671" spans="1:12" x14ac:dyDescent="0.35">
      <c r="A671" s="1" t="s">
        <v>901</v>
      </c>
      <c r="B671" s="1" t="s">
        <v>388</v>
      </c>
      <c r="C671" s="1" t="s">
        <v>44</v>
      </c>
      <c r="D671" s="1" t="s">
        <v>45</v>
      </c>
      <c r="E671" s="1" t="s">
        <v>46</v>
      </c>
      <c r="F671" s="1" t="s">
        <v>17</v>
      </c>
      <c r="G671" s="1" t="s">
        <v>36</v>
      </c>
      <c r="H671" s="1">
        <v>13412</v>
      </c>
      <c r="I671" s="1" t="s">
        <v>27</v>
      </c>
      <c r="J671" s="1"/>
      <c r="K671" s="1">
        <v>13000</v>
      </c>
      <c r="L671" s="2">
        <v>45298</v>
      </c>
    </row>
    <row r="672" spans="1:12" x14ac:dyDescent="0.35">
      <c r="A672" s="1" t="s">
        <v>902</v>
      </c>
      <c r="B672" s="1" t="s">
        <v>186</v>
      </c>
      <c r="C672" s="1" t="s">
        <v>30</v>
      </c>
      <c r="D672" s="1" t="s">
        <v>31</v>
      </c>
      <c r="E672" s="1" t="s">
        <v>46</v>
      </c>
      <c r="F672" s="1" t="s">
        <v>25</v>
      </c>
      <c r="G672" s="1" t="s">
        <v>18</v>
      </c>
      <c r="H672" s="1">
        <v>16160</v>
      </c>
      <c r="I672" s="1" t="s">
        <v>27</v>
      </c>
      <c r="J672" s="1"/>
      <c r="K672" s="1">
        <v>17000</v>
      </c>
      <c r="L672" s="2">
        <v>45348</v>
      </c>
    </row>
    <row r="673" spans="1:12" x14ac:dyDescent="0.35">
      <c r="A673" s="1" t="s">
        <v>903</v>
      </c>
      <c r="B673" s="1" t="s">
        <v>388</v>
      </c>
      <c r="C673" s="1" t="s">
        <v>30</v>
      </c>
      <c r="D673" s="1" t="s">
        <v>31</v>
      </c>
      <c r="E673" s="1" t="s">
        <v>32</v>
      </c>
      <c r="F673" s="1" t="s">
        <v>25</v>
      </c>
      <c r="G673" s="1" t="s">
        <v>26</v>
      </c>
      <c r="H673" s="1">
        <v>18045</v>
      </c>
      <c r="I673" s="1" t="s">
        <v>22</v>
      </c>
      <c r="J673" s="1">
        <v>0.1</v>
      </c>
      <c r="K673" s="1">
        <v>17000</v>
      </c>
      <c r="L673" s="2">
        <v>45328</v>
      </c>
    </row>
    <row r="674" spans="1:12" x14ac:dyDescent="0.35">
      <c r="A674" s="1" t="s">
        <v>904</v>
      </c>
      <c r="B674" s="1" t="s">
        <v>905</v>
      </c>
      <c r="C674" s="1" t="s">
        <v>14</v>
      </c>
      <c r="D674" s="1" t="s">
        <v>15</v>
      </c>
      <c r="E674" s="1" t="s">
        <v>46</v>
      </c>
      <c r="F674" s="1" t="s">
        <v>39</v>
      </c>
      <c r="G674" s="1" t="s">
        <v>18</v>
      </c>
      <c r="H674" s="1">
        <v>14817</v>
      </c>
      <c r="I674" s="1" t="s">
        <v>33</v>
      </c>
      <c r="J674" s="1">
        <v>0.3</v>
      </c>
      <c r="K674" s="1">
        <v>14000</v>
      </c>
      <c r="L674" s="2">
        <v>45318</v>
      </c>
    </row>
    <row r="675" spans="1:12" x14ac:dyDescent="0.35">
      <c r="A675" s="1" t="s">
        <v>906</v>
      </c>
      <c r="B675" s="1" t="s">
        <v>116</v>
      </c>
      <c r="C675" s="1" t="s">
        <v>44</v>
      </c>
      <c r="D675" s="1" t="s">
        <v>45</v>
      </c>
      <c r="E675" s="1" t="s">
        <v>46</v>
      </c>
      <c r="F675" s="1" t="s">
        <v>39</v>
      </c>
      <c r="G675" s="1" t="s">
        <v>26</v>
      </c>
      <c r="H675" s="1">
        <v>12038</v>
      </c>
      <c r="I675" s="1" t="s">
        <v>33</v>
      </c>
      <c r="J675" s="1">
        <v>0.3</v>
      </c>
      <c r="K675" s="1">
        <v>13000</v>
      </c>
      <c r="L675" s="2">
        <v>45346</v>
      </c>
    </row>
    <row r="676" spans="1:12" x14ac:dyDescent="0.35">
      <c r="A676" s="1" t="s">
        <v>907</v>
      </c>
      <c r="B676" s="1" t="s">
        <v>388</v>
      </c>
      <c r="C676" s="1" t="s">
        <v>30</v>
      </c>
      <c r="D676" s="1" t="s">
        <v>31</v>
      </c>
      <c r="E676" s="1" t="s">
        <v>16</v>
      </c>
      <c r="F676" s="1" t="s">
        <v>17</v>
      </c>
      <c r="G676" s="1" t="s">
        <v>26</v>
      </c>
      <c r="H676" s="1">
        <v>16627</v>
      </c>
      <c r="I676" s="1" t="s">
        <v>19</v>
      </c>
      <c r="J676" s="1">
        <v>0.2</v>
      </c>
      <c r="K676" s="1">
        <v>17000</v>
      </c>
      <c r="L676" s="2">
        <v>45318</v>
      </c>
    </row>
    <row r="677" spans="1:12" x14ac:dyDescent="0.35">
      <c r="A677" s="1" t="s">
        <v>908</v>
      </c>
      <c r="B677" s="1" t="s">
        <v>82</v>
      </c>
      <c r="C677" s="1" t="s">
        <v>61</v>
      </c>
      <c r="D677" s="1" t="s">
        <v>62</v>
      </c>
      <c r="E677" s="1" t="s">
        <v>32</v>
      </c>
      <c r="F677" s="1" t="s">
        <v>17</v>
      </c>
      <c r="G677" s="1" t="s">
        <v>26</v>
      </c>
      <c r="H677" s="1">
        <v>9272</v>
      </c>
      <c r="I677" s="1"/>
      <c r="J677" s="1"/>
      <c r="K677" s="1">
        <v>9000</v>
      </c>
      <c r="L677" s="2">
        <v>45308</v>
      </c>
    </row>
    <row r="678" spans="1:12" x14ac:dyDescent="0.35">
      <c r="A678" s="1" t="s">
        <v>909</v>
      </c>
      <c r="B678" s="1" t="s">
        <v>118</v>
      </c>
      <c r="C678" s="1" t="s">
        <v>30</v>
      </c>
      <c r="D678" s="1" t="s">
        <v>31</v>
      </c>
      <c r="E678" s="1" t="s">
        <v>16</v>
      </c>
      <c r="F678" s="1" t="s">
        <v>17</v>
      </c>
      <c r="G678" s="1" t="s">
        <v>26</v>
      </c>
      <c r="H678" s="1">
        <v>15565</v>
      </c>
      <c r="I678" s="1" t="s">
        <v>22</v>
      </c>
      <c r="J678" s="1">
        <v>0.1</v>
      </c>
      <c r="K678" s="1">
        <v>17000</v>
      </c>
      <c r="L678" s="2">
        <v>45339</v>
      </c>
    </row>
    <row r="679" spans="1:12" x14ac:dyDescent="0.35">
      <c r="A679" s="1" t="s">
        <v>910</v>
      </c>
      <c r="B679" s="1" t="s">
        <v>29</v>
      </c>
      <c r="C679" s="1" t="s">
        <v>44</v>
      </c>
      <c r="D679" s="1" t="s">
        <v>45</v>
      </c>
      <c r="E679" s="1" t="s">
        <v>32</v>
      </c>
      <c r="F679" s="1" t="s">
        <v>25</v>
      </c>
      <c r="G679" s="1" t="s">
        <v>26</v>
      </c>
      <c r="H679" s="1">
        <v>12640</v>
      </c>
      <c r="I679" s="1" t="s">
        <v>33</v>
      </c>
      <c r="J679" s="1">
        <v>0.3</v>
      </c>
      <c r="K679" s="1">
        <v>13000</v>
      </c>
      <c r="L679" s="2">
        <v>45343</v>
      </c>
    </row>
    <row r="680" spans="1:12" x14ac:dyDescent="0.35">
      <c r="A680" s="1" t="s">
        <v>911</v>
      </c>
      <c r="B680" s="1" t="s">
        <v>382</v>
      </c>
      <c r="C680" s="1" t="s">
        <v>14</v>
      </c>
      <c r="D680" s="1" t="s">
        <v>15</v>
      </c>
      <c r="E680" s="1" t="s">
        <v>32</v>
      </c>
      <c r="F680" s="1" t="s">
        <v>17</v>
      </c>
      <c r="G680" s="1" t="s">
        <v>26</v>
      </c>
      <c r="H680" s="1">
        <v>12021</v>
      </c>
      <c r="I680" s="1" t="s">
        <v>22</v>
      </c>
      <c r="J680" s="1">
        <v>0.1</v>
      </c>
      <c r="K680" s="1">
        <v>14000</v>
      </c>
      <c r="L680" s="2">
        <v>45344</v>
      </c>
    </row>
    <row r="681" spans="1:12" x14ac:dyDescent="0.35">
      <c r="A681" s="1" t="s">
        <v>912</v>
      </c>
      <c r="B681" s="1" t="s">
        <v>429</v>
      </c>
      <c r="C681" s="1" t="s">
        <v>61</v>
      </c>
      <c r="D681" s="1" t="s">
        <v>62</v>
      </c>
      <c r="E681" s="1" t="s">
        <v>32</v>
      </c>
      <c r="F681" s="1" t="s">
        <v>25</v>
      </c>
      <c r="G681" s="1" t="s">
        <v>36</v>
      </c>
      <c r="H681" s="1">
        <v>7908</v>
      </c>
      <c r="I681" s="1" t="s">
        <v>33</v>
      </c>
      <c r="J681" s="1">
        <v>0.3</v>
      </c>
      <c r="K681" s="1">
        <v>9000</v>
      </c>
      <c r="L681" s="2">
        <v>45297</v>
      </c>
    </row>
    <row r="682" spans="1:12" x14ac:dyDescent="0.35">
      <c r="A682" s="1" t="s">
        <v>913</v>
      </c>
      <c r="B682" s="1" t="s">
        <v>359</v>
      </c>
      <c r="C682" s="1" t="s">
        <v>61</v>
      </c>
      <c r="D682" s="1" t="s">
        <v>62</v>
      </c>
      <c r="E682" s="1" t="s">
        <v>46</v>
      </c>
      <c r="F682" s="1" t="s">
        <v>39</v>
      </c>
      <c r="G682" s="1" t="s">
        <v>26</v>
      </c>
      <c r="H682" s="1">
        <v>9134</v>
      </c>
      <c r="I682" s="1" t="s">
        <v>33</v>
      </c>
      <c r="J682" s="1">
        <v>0.3</v>
      </c>
      <c r="K682" s="1">
        <v>9000</v>
      </c>
      <c r="L682" s="2">
        <v>45337</v>
      </c>
    </row>
    <row r="683" spans="1:12" x14ac:dyDescent="0.35">
      <c r="A683" s="1" t="s">
        <v>914</v>
      </c>
      <c r="B683" s="1" t="s">
        <v>359</v>
      </c>
      <c r="C683" s="1" t="s">
        <v>44</v>
      </c>
      <c r="D683" s="1" t="s">
        <v>45</v>
      </c>
      <c r="E683" s="1" t="s">
        <v>16</v>
      </c>
      <c r="F683" s="1" t="s">
        <v>17</v>
      </c>
      <c r="G683" s="1" t="s">
        <v>36</v>
      </c>
      <c r="H683" s="1">
        <v>11043</v>
      </c>
      <c r="I683" s="1" t="s">
        <v>19</v>
      </c>
      <c r="J683" s="1">
        <v>0.2</v>
      </c>
      <c r="K683" s="1">
        <v>13000</v>
      </c>
      <c r="L683" s="2">
        <v>45346</v>
      </c>
    </row>
    <row r="684" spans="1:12" x14ac:dyDescent="0.35">
      <c r="A684" s="1" t="s">
        <v>915</v>
      </c>
      <c r="B684" s="1" t="s">
        <v>270</v>
      </c>
      <c r="C684" s="1" t="s">
        <v>30</v>
      </c>
      <c r="D684" s="1" t="s">
        <v>31</v>
      </c>
      <c r="E684" s="1" t="s">
        <v>32</v>
      </c>
      <c r="F684" s="1" t="s">
        <v>25</v>
      </c>
      <c r="G684" s="1" t="s">
        <v>26</v>
      </c>
      <c r="H684" s="1">
        <v>17091</v>
      </c>
      <c r="I684" s="1" t="s">
        <v>27</v>
      </c>
      <c r="J684" s="1"/>
      <c r="K684" s="1">
        <v>17000</v>
      </c>
      <c r="L684" s="2">
        <v>45336</v>
      </c>
    </row>
    <row r="685" spans="1:12" x14ac:dyDescent="0.35">
      <c r="A685" s="1" t="s">
        <v>916</v>
      </c>
      <c r="B685" s="1" t="s">
        <v>56</v>
      </c>
      <c r="C685" s="1" t="s">
        <v>44</v>
      </c>
      <c r="D685" s="1" t="s">
        <v>45</v>
      </c>
      <c r="E685" s="1" t="s">
        <v>16</v>
      </c>
      <c r="F685" s="1" t="s">
        <v>25</v>
      </c>
      <c r="G685" s="1" t="s">
        <v>36</v>
      </c>
      <c r="H685" s="1">
        <v>11979</v>
      </c>
      <c r="I685" s="1" t="s">
        <v>22</v>
      </c>
      <c r="J685" s="1">
        <v>0.1</v>
      </c>
      <c r="K685" s="1">
        <v>13000</v>
      </c>
      <c r="L685" s="2">
        <v>45302</v>
      </c>
    </row>
    <row r="686" spans="1:12" x14ac:dyDescent="0.35">
      <c r="A686" s="1" t="s">
        <v>917</v>
      </c>
      <c r="B686" s="1" t="s">
        <v>263</v>
      </c>
      <c r="C686" s="1" t="s">
        <v>61</v>
      </c>
      <c r="D686" s="1" t="s">
        <v>62</v>
      </c>
      <c r="E686" s="1" t="s">
        <v>46</v>
      </c>
      <c r="F686" s="1" t="s">
        <v>39</v>
      </c>
      <c r="G686" s="1" t="s">
        <v>36</v>
      </c>
      <c r="H686" s="1">
        <v>8660</v>
      </c>
      <c r="I686" s="1" t="s">
        <v>27</v>
      </c>
      <c r="J686" s="1"/>
      <c r="K686" s="1">
        <v>9000</v>
      </c>
      <c r="L686" s="2">
        <v>45304</v>
      </c>
    </row>
    <row r="687" spans="1:12" x14ac:dyDescent="0.35">
      <c r="A687" s="1" t="s">
        <v>918</v>
      </c>
      <c r="B687" s="1" t="s">
        <v>184</v>
      </c>
      <c r="C687" s="1" t="s">
        <v>14</v>
      </c>
      <c r="D687" s="1" t="s">
        <v>15</v>
      </c>
      <c r="E687" s="1" t="s">
        <v>32</v>
      </c>
      <c r="F687" s="1" t="s">
        <v>39</v>
      </c>
      <c r="G687" s="1" t="s">
        <v>36</v>
      </c>
      <c r="H687" s="1">
        <v>14974</v>
      </c>
      <c r="I687" s="1" t="s">
        <v>27</v>
      </c>
      <c r="J687" s="1"/>
      <c r="K687" s="1">
        <v>14000</v>
      </c>
      <c r="L687" s="2">
        <v>45350</v>
      </c>
    </row>
    <row r="688" spans="1:12" x14ac:dyDescent="0.35">
      <c r="A688" s="1" t="s">
        <v>919</v>
      </c>
      <c r="B688" s="1" t="s">
        <v>920</v>
      </c>
      <c r="C688" s="1" t="s">
        <v>30</v>
      </c>
      <c r="D688" s="1" t="s">
        <v>31</v>
      </c>
      <c r="E688" s="1" t="s">
        <v>46</v>
      </c>
      <c r="F688" s="1" t="s">
        <v>25</v>
      </c>
      <c r="G688" s="1" t="s">
        <v>26</v>
      </c>
      <c r="H688" s="1">
        <v>18944</v>
      </c>
      <c r="I688" s="1" t="s">
        <v>19</v>
      </c>
      <c r="J688" s="1">
        <v>0.2</v>
      </c>
      <c r="K688" s="1">
        <v>17000</v>
      </c>
      <c r="L688" s="2">
        <v>45321</v>
      </c>
    </row>
    <row r="689" spans="1:12" x14ac:dyDescent="0.35">
      <c r="A689" s="1" t="s">
        <v>921</v>
      </c>
      <c r="B689" s="1" t="s">
        <v>137</v>
      </c>
      <c r="C689" s="1" t="s">
        <v>14</v>
      </c>
      <c r="D689" s="1" t="s">
        <v>15</v>
      </c>
      <c r="E689" s="1" t="s">
        <v>46</v>
      </c>
      <c r="F689" s="1" t="s">
        <v>25</v>
      </c>
      <c r="G689" s="1" t="s">
        <v>36</v>
      </c>
      <c r="H689" s="1">
        <v>14073</v>
      </c>
      <c r="I689" s="1" t="s">
        <v>22</v>
      </c>
      <c r="J689" s="1">
        <v>0.1</v>
      </c>
      <c r="K689" s="1">
        <v>14000</v>
      </c>
      <c r="L689" s="2">
        <v>45327</v>
      </c>
    </row>
    <row r="690" spans="1:12" x14ac:dyDescent="0.35">
      <c r="A690" s="1" t="s">
        <v>922</v>
      </c>
      <c r="B690" s="1" t="s">
        <v>241</v>
      </c>
      <c r="C690" s="1" t="s">
        <v>30</v>
      </c>
      <c r="D690" s="1" t="s">
        <v>31</v>
      </c>
      <c r="E690" s="1" t="s">
        <v>46</v>
      </c>
      <c r="F690" s="1" t="s">
        <v>25</v>
      </c>
      <c r="G690" s="1" t="s">
        <v>26</v>
      </c>
      <c r="H690" s="1">
        <v>18918</v>
      </c>
      <c r="I690" s="1" t="s">
        <v>33</v>
      </c>
      <c r="J690" s="1">
        <v>0.3</v>
      </c>
      <c r="K690" s="1">
        <v>17000</v>
      </c>
      <c r="L690" s="2">
        <v>45348</v>
      </c>
    </row>
    <row r="691" spans="1:12" x14ac:dyDescent="0.35">
      <c r="A691" s="1" t="s">
        <v>923</v>
      </c>
      <c r="B691" s="1" t="s">
        <v>105</v>
      </c>
      <c r="C691" s="1" t="s">
        <v>30</v>
      </c>
      <c r="D691" s="1" t="s">
        <v>31</v>
      </c>
      <c r="E691" s="1" t="s">
        <v>16</v>
      </c>
      <c r="F691" s="1" t="s">
        <v>17</v>
      </c>
      <c r="G691" s="1" t="s">
        <v>36</v>
      </c>
      <c r="H691" s="1">
        <v>17306</v>
      </c>
      <c r="I691" s="1"/>
      <c r="J691" s="1"/>
      <c r="K691" s="1">
        <v>17000</v>
      </c>
      <c r="L691" s="2">
        <v>45341</v>
      </c>
    </row>
    <row r="692" spans="1:12" x14ac:dyDescent="0.35">
      <c r="A692" s="1" t="s">
        <v>924</v>
      </c>
      <c r="B692" s="1" t="s">
        <v>401</v>
      </c>
      <c r="C692" s="1" t="s">
        <v>30</v>
      </c>
      <c r="D692" s="1" t="s">
        <v>31</v>
      </c>
      <c r="E692" s="1" t="s">
        <v>46</v>
      </c>
      <c r="F692" s="1" t="s">
        <v>39</v>
      </c>
      <c r="G692" s="1" t="s">
        <v>36</v>
      </c>
      <c r="H692" s="1">
        <v>18672</v>
      </c>
      <c r="I692" s="1" t="s">
        <v>27</v>
      </c>
      <c r="J692" s="1"/>
      <c r="K692" s="1">
        <v>17000</v>
      </c>
      <c r="L692" s="2">
        <v>45347</v>
      </c>
    </row>
    <row r="693" spans="1:12" x14ac:dyDescent="0.35">
      <c r="A693" s="1" t="s">
        <v>925</v>
      </c>
      <c r="B693" s="1" t="s">
        <v>489</v>
      </c>
      <c r="C693" s="1" t="s">
        <v>14</v>
      </c>
      <c r="D693" s="1" t="s">
        <v>15</v>
      </c>
      <c r="E693" s="1" t="s">
        <v>46</v>
      </c>
      <c r="F693" s="1" t="s">
        <v>25</v>
      </c>
      <c r="G693" s="1" t="s">
        <v>36</v>
      </c>
      <c r="H693" s="1">
        <v>14595</v>
      </c>
      <c r="I693" s="1" t="s">
        <v>19</v>
      </c>
      <c r="J693" s="1">
        <v>0.2</v>
      </c>
      <c r="K693" s="1">
        <v>14000</v>
      </c>
      <c r="L693" s="2">
        <v>45335</v>
      </c>
    </row>
    <row r="694" spans="1:12" x14ac:dyDescent="0.35">
      <c r="A694" s="1" t="s">
        <v>926</v>
      </c>
      <c r="B694" s="1" t="s">
        <v>397</v>
      </c>
      <c r="C694" s="1" t="s">
        <v>30</v>
      </c>
      <c r="D694" s="1" t="s">
        <v>31</v>
      </c>
      <c r="E694" s="1" t="s">
        <v>46</v>
      </c>
      <c r="F694" s="1" t="s">
        <v>17</v>
      </c>
      <c r="G694" s="1" t="s">
        <v>26</v>
      </c>
      <c r="H694" s="1">
        <v>17194</v>
      </c>
      <c r="I694" s="1" t="s">
        <v>22</v>
      </c>
      <c r="J694" s="1">
        <v>0.1</v>
      </c>
      <c r="K694" s="1">
        <v>17000</v>
      </c>
      <c r="L694" s="2">
        <v>45336</v>
      </c>
    </row>
    <row r="695" spans="1:12" x14ac:dyDescent="0.35">
      <c r="A695" s="1" t="s">
        <v>927</v>
      </c>
      <c r="B695" s="1" t="s">
        <v>643</v>
      </c>
      <c r="C695" s="1" t="s">
        <v>44</v>
      </c>
      <c r="D695" s="1" t="s">
        <v>45</v>
      </c>
      <c r="E695" s="1" t="s">
        <v>46</v>
      </c>
      <c r="F695" s="1" t="s">
        <v>25</v>
      </c>
      <c r="G695" s="1" t="s">
        <v>36</v>
      </c>
      <c r="H695" s="1">
        <v>13759</v>
      </c>
      <c r="I695" s="1" t="s">
        <v>33</v>
      </c>
      <c r="J695" s="1">
        <v>0.3</v>
      </c>
      <c r="K695" s="1">
        <v>13000</v>
      </c>
      <c r="L695" s="2">
        <v>45296</v>
      </c>
    </row>
    <row r="696" spans="1:12" x14ac:dyDescent="0.35">
      <c r="A696" s="1" t="s">
        <v>928</v>
      </c>
      <c r="B696" s="1" t="s">
        <v>80</v>
      </c>
      <c r="C696" s="1" t="s">
        <v>61</v>
      </c>
      <c r="D696" s="1" t="s">
        <v>62</v>
      </c>
      <c r="E696" s="1" t="s">
        <v>46</v>
      </c>
      <c r="F696" s="1" t="s">
        <v>17</v>
      </c>
      <c r="G696" s="1" t="s">
        <v>18</v>
      </c>
      <c r="H696" s="1">
        <v>10663</v>
      </c>
      <c r="I696" s="1" t="s">
        <v>27</v>
      </c>
      <c r="J696" s="1"/>
      <c r="K696" s="1">
        <v>9000</v>
      </c>
      <c r="L696" s="2">
        <v>45309</v>
      </c>
    </row>
    <row r="697" spans="1:12" x14ac:dyDescent="0.35">
      <c r="A697" s="1" t="s">
        <v>929</v>
      </c>
      <c r="B697" s="1" t="s">
        <v>280</v>
      </c>
      <c r="C697" s="1" t="s">
        <v>44</v>
      </c>
      <c r="D697" s="1" t="s">
        <v>45</v>
      </c>
      <c r="E697" s="1" t="s">
        <v>46</v>
      </c>
      <c r="F697" s="1" t="s">
        <v>39</v>
      </c>
      <c r="G697" s="1" t="s">
        <v>18</v>
      </c>
      <c r="H697" s="1">
        <v>11961</v>
      </c>
      <c r="I697" s="1" t="s">
        <v>19</v>
      </c>
      <c r="J697" s="1">
        <v>0.2</v>
      </c>
      <c r="K697" s="1">
        <v>13000</v>
      </c>
      <c r="L697" s="2">
        <v>45347</v>
      </c>
    </row>
    <row r="698" spans="1:12" x14ac:dyDescent="0.35">
      <c r="A698" s="1" t="s">
        <v>930</v>
      </c>
      <c r="B698" s="1" t="s">
        <v>289</v>
      </c>
      <c r="C698" s="1" t="s">
        <v>44</v>
      </c>
      <c r="D698" s="1" t="s">
        <v>45</v>
      </c>
      <c r="E698" s="1" t="s">
        <v>32</v>
      </c>
      <c r="F698" s="1" t="s">
        <v>25</v>
      </c>
      <c r="G698" s="1" t="s">
        <v>26</v>
      </c>
      <c r="H698" s="1">
        <v>12458</v>
      </c>
      <c r="I698" s="1" t="s">
        <v>19</v>
      </c>
      <c r="J698" s="1">
        <v>0.2</v>
      </c>
      <c r="K698" s="1">
        <v>13000</v>
      </c>
      <c r="L698" s="2">
        <v>45341</v>
      </c>
    </row>
    <row r="699" spans="1:12" x14ac:dyDescent="0.35">
      <c r="A699" s="1" t="s">
        <v>931</v>
      </c>
      <c r="B699" s="1" t="s">
        <v>78</v>
      </c>
      <c r="C699" s="1" t="s">
        <v>14</v>
      </c>
      <c r="D699" s="1" t="s">
        <v>15</v>
      </c>
      <c r="E699" s="1" t="s">
        <v>16</v>
      </c>
      <c r="F699" s="1" t="s">
        <v>39</v>
      </c>
      <c r="G699" s="1" t="s">
        <v>36</v>
      </c>
      <c r="H699" s="1">
        <v>14514</v>
      </c>
      <c r="I699" s="1" t="s">
        <v>22</v>
      </c>
      <c r="J699" s="1">
        <v>0.1</v>
      </c>
      <c r="K699" s="1">
        <v>14000</v>
      </c>
      <c r="L699" s="2">
        <v>45340</v>
      </c>
    </row>
    <row r="700" spans="1:12" x14ac:dyDescent="0.35">
      <c r="A700" s="1" t="s">
        <v>932</v>
      </c>
      <c r="B700" s="1" t="s">
        <v>144</v>
      </c>
      <c r="C700" s="1" t="s">
        <v>14</v>
      </c>
      <c r="D700" s="1" t="s">
        <v>15</v>
      </c>
      <c r="E700" s="1" t="s">
        <v>46</v>
      </c>
      <c r="F700" s="1" t="s">
        <v>17</v>
      </c>
      <c r="G700" s="1" t="s">
        <v>26</v>
      </c>
      <c r="H700" s="1">
        <v>13291</v>
      </c>
      <c r="I700" s="1"/>
      <c r="J700" s="1"/>
      <c r="K700" s="1">
        <v>14000</v>
      </c>
      <c r="L700" s="2">
        <v>45349</v>
      </c>
    </row>
    <row r="701" spans="1:12" x14ac:dyDescent="0.35">
      <c r="A701" s="1" t="s">
        <v>933</v>
      </c>
      <c r="B701" s="1" t="s">
        <v>60</v>
      </c>
      <c r="C701" s="1" t="s">
        <v>30</v>
      </c>
      <c r="D701" s="1" t="s">
        <v>31</v>
      </c>
      <c r="E701" s="1" t="s">
        <v>46</v>
      </c>
      <c r="F701" s="1" t="s">
        <v>25</v>
      </c>
      <c r="G701" s="1" t="s">
        <v>26</v>
      </c>
      <c r="H701" s="1">
        <v>16147</v>
      </c>
      <c r="I701" s="1"/>
      <c r="J701" s="1"/>
      <c r="K701" s="1">
        <v>17000</v>
      </c>
      <c r="L701" s="2">
        <v>45306</v>
      </c>
    </row>
    <row r="702" spans="1:12" x14ac:dyDescent="0.35">
      <c r="A702" s="1" t="s">
        <v>934</v>
      </c>
      <c r="B702" s="1" t="s">
        <v>522</v>
      </c>
      <c r="C702" s="1" t="s">
        <v>44</v>
      </c>
      <c r="D702" s="1" t="s">
        <v>45</v>
      </c>
      <c r="E702" s="1" t="s">
        <v>32</v>
      </c>
      <c r="F702" s="1" t="s">
        <v>39</v>
      </c>
      <c r="G702" s="1" t="s">
        <v>36</v>
      </c>
      <c r="H702" s="1">
        <v>12959</v>
      </c>
      <c r="I702" s="1" t="s">
        <v>27</v>
      </c>
      <c r="J702" s="1"/>
      <c r="K702" s="1">
        <v>13000</v>
      </c>
      <c r="L702" s="2">
        <v>45294</v>
      </c>
    </row>
    <row r="703" spans="1:12" x14ac:dyDescent="0.35">
      <c r="A703" s="1" t="s">
        <v>935</v>
      </c>
      <c r="B703" s="1" t="s">
        <v>217</v>
      </c>
      <c r="C703" s="1" t="s">
        <v>61</v>
      </c>
      <c r="D703" s="1" t="s">
        <v>62</v>
      </c>
      <c r="E703" s="1" t="s">
        <v>16</v>
      </c>
      <c r="F703" s="1" t="s">
        <v>25</v>
      </c>
      <c r="G703" s="1" t="s">
        <v>36</v>
      </c>
      <c r="H703" s="1">
        <v>10999</v>
      </c>
      <c r="I703" s="1" t="s">
        <v>22</v>
      </c>
      <c r="J703" s="1">
        <v>0.1</v>
      </c>
      <c r="K703" s="1">
        <v>9000</v>
      </c>
      <c r="L703" s="2">
        <v>45336</v>
      </c>
    </row>
    <row r="704" spans="1:12" x14ac:dyDescent="0.35">
      <c r="A704" s="1" t="s">
        <v>936</v>
      </c>
      <c r="B704" s="1" t="s">
        <v>544</v>
      </c>
      <c r="C704" s="1" t="s">
        <v>30</v>
      </c>
      <c r="D704" s="1" t="s">
        <v>31</v>
      </c>
      <c r="E704" s="1" t="s">
        <v>16</v>
      </c>
      <c r="F704" s="1" t="s">
        <v>25</v>
      </c>
      <c r="G704" s="1" t="s">
        <v>18</v>
      </c>
      <c r="H704" s="1">
        <v>17761</v>
      </c>
      <c r="I704" s="1" t="s">
        <v>19</v>
      </c>
      <c r="J704" s="1">
        <v>0.2</v>
      </c>
      <c r="K704" s="1">
        <v>17000</v>
      </c>
      <c r="L704" s="2">
        <v>45316</v>
      </c>
    </row>
    <row r="705" spans="1:12" x14ac:dyDescent="0.35">
      <c r="A705" s="1" t="s">
        <v>937</v>
      </c>
      <c r="B705" s="1" t="s">
        <v>107</v>
      </c>
      <c r="C705" s="1" t="s">
        <v>30</v>
      </c>
      <c r="D705" s="1" t="s">
        <v>31</v>
      </c>
      <c r="E705" s="1" t="s">
        <v>46</v>
      </c>
      <c r="F705" s="1" t="s">
        <v>39</v>
      </c>
      <c r="G705" s="1" t="s">
        <v>36</v>
      </c>
      <c r="H705" s="1">
        <v>15766</v>
      </c>
      <c r="I705" s="1" t="s">
        <v>27</v>
      </c>
      <c r="J705" s="1"/>
      <c r="K705" s="1">
        <v>17000</v>
      </c>
      <c r="L705" s="2">
        <v>45308</v>
      </c>
    </row>
    <row r="706" spans="1:12" x14ac:dyDescent="0.35">
      <c r="A706" s="1" t="s">
        <v>938</v>
      </c>
      <c r="B706" s="1" t="s">
        <v>939</v>
      </c>
      <c r="C706" s="1" t="s">
        <v>61</v>
      </c>
      <c r="D706" s="1" t="s">
        <v>62</v>
      </c>
      <c r="E706" s="1" t="s">
        <v>16</v>
      </c>
      <c r="F706" s="1" t="s">
        <v>17</v>
      </c>
      <c r="G706" s="1" t="s">
        <v>36</v>
      </c>
      <c r="H706" s="1">
        <v>7753</v>
      </c>
      <c r="I706" s="1"/>
      <c r="J706" s="1"/>
      <c r="K706" s="1">
        <v>9000</v>
      </c>
      <c r="L706" s="2">
        <v>45319</v>
      </c>
    </row>
    <row r="707" spans="1:12" x14ac:dyDescent="0.35">
      <c r="A707" s="1" t="s">
        <v>940</v>
      </c>
      <c r="B707" s="1" t="s">
        <v>414</v>
      </c>
      <c r="C707" s="1" t="s">
        <v>30</v>
      </c>
      <c r="D707" s="1" t="s">
        <v>31</v>
      </c>
      <c r="E707" s="1" t="s">
        <v>46</v>
      </c>
      <c r="F707" s="1" t="s">
        <v>17</v>
      </c>
      <c r="G707" s="1" t="s">
        <v>36</v>
      </c>
      <c r="H707" s="1">
        <v>16846</v>
      </c>
      <c r="I707" s="1" t="s">
        <v>19</v>
      </c>
      <c r="J707" s="1">
        <v>0.2</v>
      </c>
      <c r="K707" s="1">
        <v>17000</v>
      </c>
      <c r="L707" s="2">
        <v>45328</v>
      </c>
    </row>
    <row r="708" spans="1:12" x14ac:dyDescent="0.35">
      <c r="A708" s="1" t="s">
        <v>941</v>
      </c>
      <c r="B708" s="1" t="s">
        <v>720</v>
      </c>
      <c r="C708" s="1" t="s">
        <v>44</v>
      </c>
      <c r="D708" s="1" t="s">
        <v>45</v>
      </c>
      <c r="E708" s="1" t="s">
        <v>32</v>
      </c>
      <c r="F708" s="1" t="s">
        <v>39</v>
      </c>
      <c r="G708" s="1" t="s">
        <v>36</v>
      </c>
      <c r="H708" s="1">
        <v>14293</v>
      </c>
      <c r="I708" s="1" t="s">
        <v>19</v>
      </c>
      <c r="J708" s="1">
        <v>0.2</v>
      </c>
      <c r="K708" s="1">
        <v>13000</v>
      </c>
      <c r="L708" s="2">
        <v>45327</v>
      </c>
    </row>
    <row r="709" spans="1:12" x14ac:dyDescent="0.35">
      <c r="A709" s="1" t="s">
        <v>942</v>
      </c>
      <c r="B709" s="1" t="s">
        <v>309</v>
      </c>
      <c r="C709" s="1" t="s">
        <v>61</v>
      </c>
      <c r="D709" s="1" t="s">
        <v>62</v>
      </c>
      <c r="E709" s="1" t="s">
        <v>32</v>
      </c>
      <c r="F709" s="1" t="s">
        <v>25</v>
      </c>
      <c r="G709" s="1" t="s">
        <v>26</v>
      </c>
      <c r="H709" s="1">
        <v>7612</v>
      </c>
      <c r="I709" s="1"/>
      <c r="J709" s="1"/>
      <c r="K709" s="1">
        <v>9000</v>
      </c>
      <c r="L709" s="2">
        <v>45343</v>
      </c>
    </row>
    <row r="710" spans="1:12" x14ac:dyDescent="0.35">
      <c r="A710" s="1" t="s">
        <v>943</v>
      </c>
      <c r="B710" s="1" t="s">
        <v>243</v>
      </c>
      <c r="C710" s="1" t="s">
        <v>61</v>
      </c>
      <c r="D710" s="1" t="s">
        <v>62</v>
      </c>
      <c r="E710" s="1" t="s">
        <v>46</v>
      </c>
      <c r="F710" s="1" t="s">
        <v>25</v>
      </c>
      <c r="G710" s="1" t="s">
        <v>26</v>
      </c>
      <c r="H710" s="1">
        <v>9117</v>
      </c>
      <c r="I710" s="1" t="s">
        <v>27</v>
      </c>
      <c r="J710" s="1"/>
      <c r="K710" s="1">
        <v>9000</v>
      </c>
      <c r="L710" s="2">
        <v>45338</v>
      </c>
    </row>
    <row r="711" spans="1:12" x14ac:dyDescent="0.35">
      <c r="A711" s="1" t="s">
        <v>944</v>
      </c>
      <c r="B711" s="1" t="s">
        <v>478</v>
      </c>
      <c r="C711" s="1" t="s">
        <v>61</v>
      </c>
      <c r="D711" s="1" t="s">
        <v>62</v>
      </c>
      <c r="E711" s="1" t="s">
        <v>46</v>
      </c>
      <c r="F711" s="1" t="s">
        <v>17</v>
      </c>
      <c r="G711" s="1" t="s">
        <v>26</v>
      </c>
      <c r="H711" s="1">
        <v>10516</v>
      </c>
      <c r="I711" s="1" t="s">
        <v>27</v>
      </c>
      <c r="J711" s="1"/>
      <c r="K711" s="1">
        <v>9000</v>
      </c>
      <c r="L711" s="2">
        <v>45295</v>
      </c>
    </row>
    <row r="712" spans="1:12" x14ac:dyDescent="0.35">
      <c r="A712" s="1" t="s">
        <v>945</v>
      </c>
      <c r="B712" s="1" t="s">
        <v>41</v>
      </c>
      <c r="C712" s="1" t="s">
        <v>44</v>
      </c>
      <c r="D712" s="1" t="s">
        <v>45</v>
      </c>
      <c r="E712" s="1" t="s">
        <v>32</v>
      </c>
      <c r="F712" s="1" t="s">
        <v>25</v>
      </c>
      <c r="G712" s="1" t="s">
        <v>36</v>
      </c>
      <c r="H712" s="1">
        <v>12951</v>
      </c>
      <c r="I712" s="1" t="s">
        <v>22</v>
      </c>
      <c r="J712" s="1">
        <v>0.1</v>
      </c>
      <c r="K712" s="1">
        <v>13000</v>
      </c>
      <c r="L712" s="2">
        <v>45320</v>
      </c>
    </row>
    <row r="713" spans="1:12" x14ac:dyDescent="0.35">
      <c r="A713" s="1" t="s">
        <v>946</v>
      </c>
      <c r="B713" s="1" t="s">
        <v>577</v>
      </c>
      <c r="C713" s="1" t="s">
        <v>30</v>
      </c>
      <c r="D713" s="1" t="s">
        <v>31</v>
      </c>
      <c r="E713" s="1" t="s">
        <v>46</v>
      </c>
      <c r="F713" s="1" t="s">
        <v>17</v>
      </c>
      <c r="G713" s="1" t="s">
        <v>26</v>
      </c>
      <c r="H713" s="1">
        <v>17283</v>
      </c>
      <c r="I713" s="1" t="s">
        <v>33</v>
      </c>
      <c r="J713" s="1">
        <v>0.3</v>
      </c>
      <c r="K713" s="1">
        <v>17000</v>
      </c>
      <c r="L713" s="2">
        <v>45314</v>
      </c>
    </row>
    <row r="714" spans="1:12" x14ac:dyDescent="0.35">
      <c r="A714" s="1" t="s">
        <v>947</v>
      </c>
      <c r="B714" s="1" t="s">
        <v>406</v>
      </c>
      <c r="C714" s="1" t="s">
        <v>14</v>
      </c>
      <c r="D714" s="1" t="s">
        <v>15</v>
      </c>
      <c r="E714" s="1" t="s">
        <v>46</v>
      </c>
      <c r="F714" s="1" t="s">
        <v>39</v>
      </c>
      <c r="G714" s="1" t="s">
        <v>26</v>
      </c>
      <c r="H714" s="1">
        <v>12814</v>
      </c>
      <c r="I714" s="1" t="s">
        <v>27</v>
      </c>
      <c r="J714" s="1"/>
      <c r="K714" s="1">
        <v>14000</v>
      </c>
      <c r="L714" s="2">
        <v>45328</v>
      </c>
    </row>
    <row r="715" spans="1:12" x14ac:dyDescent="0.35">
      <c r="A715" s="1" t="s">
        <v>948</v>
      </c>
      <c r="B715" s="1" t="s">
        <v>92</v>
      </c>
      <c r="C715" s="1" t="s">
        <v>44</v>
      </c>
      <c r="D715" s="1" t="s">
        <v>45</v>
      </c>
      <c r="E715" s="1" t="s">
        <v>46</v>
      </c>
      <c r="F715" s="1" t="s">
        <v>17</v>
      </c>
      <c r="G715" s="1" t="s">
        <v>36</v>
      </c>
      <c r="H715" s="1">
        <v>13757</v>
      </c>
      <c r="I715" s="1" t="s">
        <v>27</v>
      </c>
      <c r="J715" s="1"/>
      <c r="K715" s="1">
        <v>13000</v>
      </c>
      <c r="L715" s="2">
        <v>45323</v>
      </c>
    </row>
    <row r="716" spans="1:12" x14ac:dyDescent="0.35">
      <c r="A716" s="1" t="s">
        <v>949</v>
      </c>
      <c r="B716" s="1" t="s">
        <v>296</v>
      </c>
      <c r="C716" s="1" t="s">
        <v>61</v>
      </c>
      <c r="D716" s="1" t="s">
        <v>62</v>
      </c>
      <c r="E716" s="1" t="s">
        <v>32</v>
      </c>
      <c r="F716" s="1" t="s">
        <v>17</v>
      </c>
      <c r="G716" s="1" t="s">
        <v>26</v>
      </c>
      <c r="H716" s="1">
        <v>8173</v>
      </c>
      <c r="I716" s="1"/>
      <c r="J716" s="1"/>
      <c r="K716" s="1">
        <v>9000</v>
      </c>
      <c r="L716" s="2">
        <v>45332</v>
      </c>
    </row>
    <row r="717" spans="1:12" x14ac:dyDescent="0.35">
      <c r="A717" s="1" t="s">
        <v>950</v>
      </c>
      <c r="B717" s="1" t="s">
        <v>619</v>
      </c>
      <c r="C717" s="1" t="s">
        <v>44</v>
      </c>
      <c r="D717" s="1" t="s">
        <v>45</v>
      </c>
      <c r="E717" s="1" t="s">
        <v>16</v>
      </c>
      <c r="F717" s="1" t="s">
        <v>17</v>
      </c>
      <c r="G717" s="1" t="s">
        <v>36</v>
      </c>
      <c r="H717" s="1">
        <v>13585</v>
      </c>
      <c r="I717" s="1" t="s">
        <v>27</v>
      </c>
      <c r="J717" s="1"/>
      <c r="K717" s="1">
        <v>13000</v>
      </c>
      <c r="L717" s="2">
        <v>45328</v>
      </c>
    </row>
    <row r="718" spans="1:12" x14ac:dyDescent="0.35">
      <c r="A718" s="1" t="s">
        <v>951</v>
      </c>
      <c r="B718" s="1" t="s">
        <v>309</v>
      </c>
      <c r="C718" s="1" t="s">
        <v>14</v>
      </c>
      <c r="D718" s="1" t="s">
        <v>15</v>
      </c>
      <c r="E718" s="1" t="s">
        <v>32</v>
      </c>
      <c r="F718" s="1" t="s">
        <v>25</v>
      </c>
      <c r="G718" s="1" t="s">
        <v>36</v>
      </c>
      <c r="H718" s="1">
        <v>12934</v>
      </c>
      <c r="I718" s="1" t="s">
        <v>33</v>
      </c>
      <c r="J718" s="1">
        <v>0.3</v>
      </c>
      <c r="K718" s="1">
        <v>14000</v>
      </c>
      <c r="L718" s="2">
        <v>45312</v>
      </c>
    </row>
    <row r="719" spans="1:12" x14ac:dyDescent="0.35">
      <c r="A719" s="1" t="s">
        <v>952</v>
      </c>
      <c r="B719" s="1" t="s">
        <v>278</v>
      </c>
      <c r="C719" s="1" t="s">
        <v>30</v>
      </c>
      <c r="D719" s="1" t="s">
        <v>31</v>
      </c>
      <c r="E719" s="1" t="s">
        <v>16</v>
      </c>
      <c r="F719" s="1" t="s">
        <v>39</v>
      </c>
      <c r="G719" s="1" t="s">
        <v>36</v>
      </c>
      <c r="H719" s="1">
        <v>16111</v>
      </c>
      <c r="I719" s="1"/>
      <c r="J719" s="1"/>
      <c r="K719" s="1">
        <v>17000</v>
      </c>
      <c r="L719" s="2">
        <v>45341</v>
      </c>
    </row>
    <row r="720" spans="1:12" x14ac:dyDescent="0.35">
      <c r="A720" s="1" t="s">
        <v>953</v>
      </c>
      <c r="B720" s="1" t="s">
        <v>303</v>
      </c>
      <c r="C720" s="1" t="s">
        <v>61</v>
      </c>
      <c r="D720" s="1" t="s">
        <v>62</v>
      </c>
      <c r="E720" s="1" t="s">
        <v>46</v>
      </c>
      <c r="F720" s="1" t="s">
        <v>25</v>
      </c>
      <c r="G720" s="1" t="s">
        <v>18</v>
      </c>
      <c r="H720" s="1">
        <v>10498</v>
      </c>
      <c r="I720" s="1" t="s">
        <v>22</v>
      </c>
      <c r="J720" s="1">
        <v>0.1</v>
      </c>
      <c r="K720" s="1">
        <v>9000</v>
      </c>
      <c r="L720" s="2">
        <v>45300</v>
      </c>
    </row>
    <row r="721" spans="1:12" x14ac:dyDescent="0.35">
      <c r="A721" s="1" t="s">
        <v>954</v>
      </c>
      <c r="B721" s="1" t="s">
        <v>397</v>
      </c>
      <c r="C721" s="1" t="s">
        <v>30</v>
      </c>
      <c r="D721" s="1" t="s">
        <v>31</v>
      </c>
      <c r="E721" s="1" t="s">
        <v>16</v>
      </c>
      <c r="F721" s="1" t="s">
        <v>39</v>
      </c>
      <c r="G721" s="1" t="s">
        <v>26</v>
      </c>
      <c r="H721" s="1">
        <v>15327</v>
      </c>
      <c r="I721" s="1" t="s">
        <v>19</v>
      </c>
      <c r="J721" s="1">
        <v>0.2</v>
      </c>
      <c r="K721" s="1">
        <v>17000</v>
      </c>
      <c r="L721" s="2">
        <v>45302</v>
      </c>
    </row>
    <row r="722" spans="1:12" x14ac:dyDescent="0.35">
      <c r="A722" s="1" t="s">
        <v>955</v>
      </c>
      <c r="B722" s="1" t="s">
        <v>41</v>
      </c>
      <c r="C722" s="1" t="s">
        <v>14</v>
      </c>
      <c r="D722" s="1" t="s">
        <v>15</v>
      </c>
      <c r="E722" s="1" t="s">
        <v>32</v>
      </c>
      <c r="F722" s="1" t="s">
        <v>17</v>
      </c>
      <c r="G722" s="1" t="s">
        <v>26</v>
      </c>
      <c r="H722" s="1">
        <v>12220</v>
      </c>
      <c r="I722" s="1" t="s">
        <v>22</v>
      </c>
      <c r="J722" s="1">
        <v>0.1</v>
      </c>
      <c r="K722" s="1">
        <v>14000</v>
      </c>
      <c r="L722" s="2">
        <v>45341</v>
      </c>
    </row>
    <row r="723" spans="1:12" x14ac:dyDescent="0.35">
      <c r="A723" s="1" t="s">
        <v>956</v>
      </c>
      <c r="B723" s="1" t="s">
        <v>512</v>
      </c>
      <c r="C723" s="1" t="s">
        <v>14</v>
      </c>
      <c r="D723" s="1" t="s">
        <v>15</v>
      </c>
      <c r="E723" s="1" t="s">
        <v>32</v>
      </c>
      <c r="F723" s="1" t="s">
        <v>17</v>
      </c>
      <c r="G723" s="1" t="s">
        <v>26</v>
      </c>
      <c r="H723" s="1">
        <v>12636</v>
      </c>
      <c r="I723" s="1" t="s">
        <v>22</v>
      </c>
      <c r="J723" s="1">
        <v>0.1</v>
      </c>
      <c r="K723" s="1">
        <v>14000</v>
      </c>
      <c r="L723" s="2">
        <v>45333</v>
      </c>
    </row>
    <row r="724" spans="1:12" x14ac:dyDescent="0.35">
      <c r="A724" s="1" t="s">
        <v>957</v>
      </c>
      <c r="B724" s="1" t="s">
        <v>137</v>
      </c>
      <c r="C724" s="1" t="s">
        <v>30</v>
      </c>
      <c r="D724" s="1" t="s">
        <v>31</v>
      </c>
      <c r="E724" s="1" t="s">
        <v>32</v>
      </c>
      <c r="F724" s="1" t="s">
        <v>25</v>
      </c>
      <c r="G724" s="1" t="s">
        <v>26</v>
      </c>
      <c r="H724" s="1">
        <v>16163</v>
      </c>
      <c r="I724" s="1"/>
      <c r="J724" s="1"/>
      <c r="K724" s="1">
        <v>17000</v>
      </c>
      <c r="L724" s="2">
        <v>45332</v>
      </c>
    </row>
    <row r="725" spans="1:12" x14ac:dyDescent="0.35">
      <c r="A725" s="1" t="s">
        <v>958</v>
      </c>
      <c r="B725" s="1" t="s">
        <v>175</v>
      </c>
      <c r="C725" s="1" t="s">
        <v>44</v>
      </c>
      <c r="D725" s="1" t="s">
        <v>45</v>
      </c>
      <c r="E725" s="1" t="s">
        <v>32</v>
      </c>
      <c r="F725" s="1" t="s">
        <v>25</v>
      </c>
      <c r="G725" s="1" t="s">
        <v>26</v>
      </c>
      <c r="H725" s="1">
        <v>12461</v>
      </c>
      <c r="I725" s="1" t="s">
        <v>33</v>
      </c>
      <c r="J725" s="1">
        <v>0.3</v>
      </c>
      <c r="K725" s="1">
        <v>13000</v>
      </c>
      <c r="L725" s="2">
        <v>45347</v>
      </c>
    </row>
    <row r="726" spans="1:12" x14ac:dyDescent="0.35">
      <c r="A726" s="1" t="s">
        <v>959</v>
      </c>
      <c r="B726" s="1" t="s">
        <v>231</v>
      </c>
      <c r="C726" s="1" t="s">
        <v>30</v>
      </c>
      <c r="D726" s="1" t="s">
        <v>31</v>
      </c>
      <c r="E726" s="1" t="s">
        <v>16</v>
      </c>
      <c r="F726" s="1" t="s">
        <v>17</v>
      </c>
      <c r="G726" s="1" t="s">
        <v>18</v>
      </c>
      <c r="H726" s="1">
        <v>18971</v>
      </c>
      <c r="I726" s="1" t="s">
        <v>27</v>
      </c>
      <c r="J726" s="1"/>
      <c r="K726" s="1">
        <v>17000</v>
      </c>
      <c r="L726" s="2">
        <v>45303</v>
      </c>
    </row>
    <row r="727" spans="1:12" x14ac:dyDescent="0.35">
      <c r="A727" s="1" t="s">
        <v>960</v>
      </c>
      <c r="B727" s="1" t="s">
        <v>195</v>
      </c>
      <c r="C727" s="1" t="s">
        <v>61</v>
      </c>
      <c r="D727" s="1" t="s">
        <v>62</v>
      </c>
      <c r="E727" s="1" t="s">
        <v>16</v>
      </c>
      <c r="F727" s="1" t="s">
        <v>39</v>
      </c>
      <c r="G727" s="1" t="s">
        <v>26</v>
      </c>
      <c r="H727" s="1">
        <v>10593</v>
      </c>
      <c r="I727" s="1" t="s">
        <v>27</v>
      </c>
      <c r="J727" s="1"/>
      <c r="K727" s="1">
        <v>9000</v>
      </c>
      <c r="L727" s="2">
        <v>45319</v>
      </c>
    </row>
    <row r="728" spans="1:12" x14ac:dyDescent="0.35">
      <c r="A728" s="1" t="s">
        <v>961</v>
      </c>
      <c r="B728" s="1" t="s">
        <v>202</v>
      </c>
      <c r="C728" s="1" t="s">
        <v>30</v>
      </c>
      <c r="D728" s="1" t="s">
        <v>31</v>
      </c>
      <c r="E728" s="1" t="s">
        <v>46</v>
      </c>
      <c r="F728" s="1" t="s">
        <v>17</v>
      </c>
      <c r="G728" s="1" t="s">
        <v>26</v>
      </c>
      <c r="H728" s="1">
        <v>15930</v>
      </c>
      <c r="I728" s="1" t="s">
        <v>22</v>
      </c>
      <c r="J728" s="1">
        <v>0.1</v>
      </c>
      <c r="K728" s="1">
        <v>17000</v>
      </c>
      <c r="L728" s="2">
        <v>45320</v>
      </c>
    </row>
    <row r="729" spans="1:12" x14ac:dyDescent="0.35">
      <c r="A729" s="1" t="s">
        <v>962</v>
      </c>
      <c r="B729" s="1" t="s">
        <v>131</v>
      </c>
      <c r="C729" s="1" t="s">
        <v>61</v>
      </c>
      <c r="D729" s="1" t="s">
        <v>62</v>
      </c>
      <c r="E729" s="1" t="s">
        <v>46</v>
      </c>
      <c r="F729" s="1" t="s">
        <v>25</v>
      </c>
      <c r="G729" s="1" t="s">
        <v>36</v>
      </c>
      <c r="H729" s="1">
        <v>7043</v>
      </c>
      <c r="I729" s="1" t="s">
        <v>22</v>
      </c>
      <c r="J729" s="1">
        <v>0.1</v>
      </c>
      <c r="K729" s="1">
        <v>9000</v>
      </c>
      <c r="L729" s="2">
        <v>45325</v>
      </c>
    </row>
    <row r="730" spans="1:12" x14ac:dyDescent="0.35">
      <c r="A730" s="1" t="s">
        <v>963</v>
      </c>
      <c r="B730" s="1" t="s">
        <v>393</v>
      </c>
      <c r="C730" s="1" t="s">
        <v>44</v>
      </c>
      <c r="D730" s="1" t="s">
        <v>45</v>
      </c>
      <c r="E730" s="1" t="s">
        <v>46</v>
      </c>
      <c r="F730" s="1" t="s">
        <v>17</v>
      </c>
      <c r="G730" s="1" t="s">
        <v>36</v>
      </c>
      <c r="H730" s="1">
        <v>13191</v>
      </c>
      <c r="I730" s="1" t="s">
        <v>22</v>
      </c>
      <c r="J730" s="1">
        <v>0.1</v>
      </c>
      <c r="K730" s="1">
        <v>13000</v>
      </c>
      <c r="L730" s="2">
        <v>45336</v>
      </c>
    </row>
    <row r="731" spans="1:12" x14ac:dyDescent="0.35">
      <c r="A731" s="1" t="s">
        <v>964</v>
      </c>
      <c r="B731" s="1" t="s">
        <v>445</v>
      </c>
      <c r="C731" s="1" t="s">
        <v>61</v>
      </c>
      <c r="D731" s="1" t="s">
        <v>62</v>
      </c>
      <c r="E731" s="1" t="s">
        <v>46</v>
      </c>
      <c r="F731" s="1" t="s">
        <v>25</v>
      </c>
      <c r="G731" s="1" t="s">
        <v>36</v>
      </c>
      <c r="H731" s="1">
        <v>10268</v>
      </c>
      <c r="I731" s="1" t="s">
        <v>33</v>
      </c>
      <c r="J731" s="1">
        <v>0.3</v>
      </c>
      <c r="K731" s="1">
        <v>9000</v>
      </c>
      <c r="L731" s="2">
        <v>45330</v>
      </c>
    </row>
    <row r="732" spans="1:12" x14ac:dyDescent="0.35">
      <c r="A732" s="1" t="s">
        <v>965</v>
      </c>
      <c r="B732" s="1" t="s">
        <v>401</v>
      </c>
      <c r="C732" s="1" t="s">
        <v>14</v>
      </c>
      <c r="D732" s="1" t="s">
        <v>15</v>
      </c>
      <c r="E732" s="1" t="s">
        <v>16</v>
      </c>
      <c r="F732" s="1" t="s">
        <v>17</v>
      </c>
      <c r="G732" s="1" t="s">
        <v>18</v>
      </c>
      <c r="H732" s="1">
        <v>13686</v>
      </c>
      <c r="I732" s="1" t="s">
        <v>27</v>
      </c>
      <c r="J732" s="1"/>
      <c r="K732" s="1">
        <v>14000</v>
      </c>
      <c r="L732" s="2">
        <v>45319</v>
      </c>
    </row>
    <row r="733" spans="1:12" x14ac:dyDescent="0.35">
      <c r="A733" s="1" t="s">
        <v>966</v>
      </c>
      <c r="B733" s="1" t="s">
        <v>268</v>
      </c>
      <c r="C733" s="1" t="s">
        <v>44</v>
      </c>
      <c r="D733" s="1" t="s">
        <v>45</v>
      </c>
      <c r="E733" s="1" t="s">
        <v>16</v>
      </c>
      <c r="F733" s="1" t="s">
        <v>39</v>
      </c>
      <c r="G733" s="1" t="s">
        <v>26</v>
      </c>
      <c r="H733" s="1">
        <v>12596</v>
      </c>
      <c r="I733" s="1"/>
      <c r="J733" s="1"/>
      <c r="K733" s="1">
        <v>13000</v>
      </c>
      <c r="L733" s="2">
        <v>45306</v>
      </c>
    </row>
    <row r="734" spans="1:12" x14ac:dyDescent="0.35">
      <c r="A734" s="1" t="s">
        <v>967</v>
      </c>
      <c r="B734" s="1" t="s">
        <v>222</v>
      </c>
      <c r="C734" s="1" t="s">
        <v>61</v>
      </c>
      <c r="D734" s="1" t="s">
        <v>62</v>
      </c>
      <c r="E734" s="1" t="s">
        <v>16</v>
      </c>
      <c r="F734" s="1" t="s">
        <v>25</v>
      </c>
      <c r="G734" s="1" t="s">
        <v>26</v>
      </c>
      <c r="H734" s="1">
        <v>10131</v>
      </c>
      <c r="I734" s="1" t="s">
        <v>27</v>
      </c>
      <c r="J734" s="1"/>
      <c r="K734" s="1">
        <v>9000</v>
      </c>
      <c r="L734" s="2">
        <v>45343</v>
      </c>
    </row>
    <row r="735" spans="1:12" x14ac:dyDescent="0.35">
      <c r="A735" s="1" t="s">
        <v>968</v>
      </c>
      <c r="B735" s="1" t="s">
        <v>765</v>
      </c>
      <c r="C735" s="1" t="s">
        <v>30</v>
      </c>
      <c r="D735" s="1" t="s">
        <v>31</v>
      </c>
      <c r="E735" s="1" t="s">
        <v>46</v>
      </c>
      <c r="F735" s="1" t="s">
        <v>39</v>
      </c>
      <c r="G735" s="1" t="s">
        <v>26</v>
      </c>
      <c r="H735" s="1">
        <v>17178</v>
      </c>
      <c r="I735" s="1" t="s">
        <v>33</v>
      </c>
      <c r="J735" s="1">
        <v>0.3</v>
      </c>
      <c r="K735" s="1">
        <v>17000</v>
      </c>
      <c r="L735" s="2">
        <v>45318</v>
      </c>
    </row>
    <row r="736" spans="1:12" x14ac:dyDescent="0.35">
      <c r="A736" s="1" t="s">
        <v>969</v>
      </c>
      <c r="B736" s="1" t="s">
        <v>171</v>
      </c>
      <c r="C736" s="1" t="s">
        <v>14</v>
      </c>
      <c r="D736" s="1" t="s">
        <v>15</v>
      </c>
      <c r="E736" s="1" t="s">
        <v>32</v>
      </c>
      <c r="F736" s="1" t="s">
        <v>25</v>
      </c>
      <c r="G736" s="1" t="s">
        <v>36</v>
      </c>
      <c r="H736" s="1">
        <v>12452</v>
      </c>
      <c r="I736" s="1"/>
      <c r="J736" s="1"/>
      <c r="K736" s="1">
        <v>14000</v>
      </c>
      <c r="L736" s="2">
        <v>45331</v>
      </c>
    </row>
    <row r="737" spans="1:12" x14ac:dyDescent="0.35">
      <c r="A737" s="1" t="s">
        <v>970</v>
      </c>
      <c r="B737" s="1" t="s">
        <v>123</v>
      </c>
      <c r="C737" s="1" t="s">
        <v>61</v>
      </c>
      <c r="D737" s="1" t="s">
        <v>62</v>
      </c>
      <c r="E737" s="1" t="s">
        <v>32</v>
      </c>
      <c r="F737" s="1" t="s">
        <v>17</v>
      </c>
      <c r="G737" s="1" t="s">
        <v>18</v>
      </c>
      <c r="H737" s="1">
        <v>7623</v>
      </c>
      <c r="I737" s="1" t="s">
        <v>22</v>
      </c>
      <c r="J737" s="1">
        <v>0.1</v>
      </c>
      <c r="K737" s="1">
        <v>9000</v>
      </c>
      <c r="L737" s="2">
        <v>45326</v>
      </c>
    </row>
    <row r="738" spans="1:12" x14ac:dyDescent="0.35">
      <c r="A738" s="1" t="s">
        <v>971</v>
      </c>
      <c r="B738" s="1" t="s">
        <v>243</v>
      </c>
      <c r="C738" s="1" t="s">
        <v>14</v>
      </c>
      <c r="D738" s="1" t="s">
        <v>15</v>
      </c>
      <c r="E738" s="1" t="s">
        <v>46</v>
      </c>
      <c r="F738" s="1" t="s">
        <v>17</v>
      </c>
      <c r="G738" s="1" t="s">
        <v>18</v>
      </c>
      <c r="H738" s="1">
        <v>14929</v>
      </c>
      <c r="I738" s="1"/>
      <c r="J738" s="1"/>
      <c r="K738" s="1">
        <v>14000</v>
      </c>
      <c r="L738" s="2">
        <v>45338</v>
      </c>
    </row>
    <row r="739" spans="1:12" x14ac:dyDescent="0.35">
      <c r="A739" s="1" t="s">
        <v>972</v>
      </c>
      <c r="B739" s="1" t="s">
        <v>192</v>
      </c>
      <c r="C739" s="1" t="s">
        <v>14</v>
      </c>
      <c r="D739" s="1" t="s">
        <v>15</v>
      </c>
      <c r="E739" s="1" t="s">
        <v>32</v>
      </c>
      <c r="F739" s="1" t="s">
        <v>25</v>
      </c>
      <c r="G739" s="1" t="s">
        <v>36</v>
      </c>
      <c r="H739" s="1">
        <v>12889</v>
      </c>
      <c r="I739" s="1" t="s">
        <v>33</v>
      </c>
      <c r="J739" s="1">
        <v>0.3</v>
      </c>
      <c r="K739" s="1">
        <v>14000</v>
      </c>
      <c r="L739" s="2">
        <v>45318</v>
      </c>
    </row>
    <row r="740" spans="1:12" x14ac:dyDescent="0.35">
      <c r="A740" s="1" t="s">
        <v>973</v>
      </c>
      <c r="B740" s="1" t="s">
        <v>443</v>
      </c>
      <c r="C740" s="1" t="s">
        <v>61</v>
      </c>
      <c r="D740" s="1" t="s">
        <v>62</v>
      </c>
      <c r="E740" s="1" t="s">
        <v>46</v>
      </c>
      <c r="F740" s="1" t="s">
        <v>17</v>
      </c>
      <c r="G740" s="1" t="s">
        <v>26</v>
      </c>
      <c r="H740" s="1">
        <v>10241</v>
      </c>
      <c r="I740" s="1" t="s">
        <v>22</v>
      </c>
      <c r="J740" s="1">
        <v>0.1</v>
      </c>
      <c r="K740" s="1">
        <v>9000</v>
      </c>
      <c r="L740" s="2">
        <v>45313</v>
      </c>
    </row>
    <row r="741" spans="1:12" x14ac:dyDescent="0.35">
      <c r="A741" s="1" t="s">
        <v>974</v>
      </c>
      <c r="B741" s="1" t="s">
        <v>159</v>
      </c>
      <c r="C741" s="1" t="s">
        <v>44</v>
      </c>
      <c r="D741" s="1" t="s">
        <v>45</v>
      </c>
      <c r="E741" s="1" t="s">
        <v>32</v>
      </c>
      <c r="F741" s="1" t="s">
        <v>17</v>
      </c>
      <c r="G741" s="1" t="s">
        <v>36</v>
      </c>
      <c r="H741" s="1">
        <v>11292</v>
      </c>
      <c r="I741" s="1" t="s">
        <v>27</v>
      </c>
      <c r="J741" s="1"/>
      <c r="K741" s="1">
        <v>13000</v>
      </c>
      <c r="L741" s="2">
        <v>45322</v>
      </c>
    </row>
    <row r="742" spans="1:12" x14ac:dyDescent="0.35">
      <c r="A742" s="1" t="s">
        <v>975</v>
      </c>
      <c r="B742" s="1" t="s">
        <v>35</v>
      </c>
      <c r="C742" s="1" t="s">
        <v>30</v>
      </c>
      <c r="D742" s="1" t="s">
        <v>31</v>
      </c>
      <c r="E742" s="1" t="s">
        <v>46</v>
      </c>
      <c r="F742" s="1" t="s">
        <v>25</v>
      </c>
      <c r="G742" s="1" t="s">
        <v>18</v>
      </c>
      <c r="H742" s="1">
        <v>18991</v>
      </c>
      <c r="I742" s="1" t="s">
        <v>19</v>
      </c>
      <c r="J742" s="1">
        <v>0.2</v>
      </c>
      <c r="K742" s="1">
        <v>17000</v>
      </c>
      <c r="L742" s="2">
        <v>45316</v>
      </c>
    </row>
    <row r="743" spans="1:12" x14ac:dyDescent="0.35">
      <c r="A743" s="1" t="s">
        <v>976</v>
      </c>
      <c r="B743" s="1" t="s">
        <v>298</v>
      </c>
      <c r="C743" s="1" t="s">
        <v>44</v>
      </c>
      <c r="D743" s="1" t="s">
        <v>45</v>
      </c>
      <c r="E743" s="1" t="s">
        <v>16</v>
      </c>
      <c r="F743" s="1" t="s">
        <v>25</v>
      </c>
      <c r="G743" s="1" t="s">
        <v>18</v>
      </c>
      <c r="H743" s="1">
        <v>12887</v>
      </c>
      <c r="I743" s="1" t="s">
        <v>22</v>
      </c>
      <c r="J743" s="1">
        <v>0.1</v>
      </c>
      <c r="K743" s="1">
        <v>13000</v>
      </c>
      <c r="L743" s="2">
        <v>45325</v>
      </c>
    </row>
    <row r="744" spans="1:12" x14ac:dyDescent="0.35">
      <c r="A744" s="1" t="s">
        <v>977</v>
      </c>
      <c r="B744" s="1" t="s">
        <v>239</v>
      </c>
      <c r="C744" s="1" t="s">
        <v>61</v>
      </c>
      <c r="D744" s="1" t="s">
        <v>62</v>
      </c>
      <c r="E744" s="1" t="s">
        <v>46</v>
      </c>
      <c r="F744" s="1" t="s">
        <v>39</v>
      </c>
      <c r="G744" s="1" t="s">
        <v>36</v>
      </c>
      <c r="H744" s="1">
        <v>10834</v>
      </c>
      <c r="I744" s="1" t="s">
        <v>33</v>
      </c>
      <c r="J744" s="1">
        <v>0.3</v>
      </c>
      <c r="K744" s="1">
        <v>9000</v>
      </c>
      <c r="L744" s="2">
        <v>45302</v>
      </c>
    </row>
    <row r="745" spans="1:12" x14ac:dyDescent="0.35">
      <c r="A745" s="1" t="s">
        <v>978</v>
      </c>
      <c r="B745" s="1" t="s">
        <v>305</v>
      </c>
      <c r="C745" s="1" t="s">
        <v>14</v>
      </c>
      <c r="D745" s="1" t="s">
        <v>15</v>
      </c>
      <c r="E745" s="1" t="s">
        <v>16</v>
      </c>
      <c r="F745" s="1" t="s">
        <v>39</v>
      </c>
      <c r="G745" s="1" t="s">
        <v>26</v>
      </c>
      <c r="H745" s="1">
        <v>12500</v>
      </c>
      <c r="I745" s="1" t="s">
        <v>33</v>
      </c>
      <c r="J745" s="1">
        <v>0.3</v>
      </c>
      <c r="K745" s="1">
        <v>14000</v>
      </c>
      <c r="L745" s="2">
        <v>45322</v>
      </c>
    </row>
    <row r="746" spans="1:12" x14ac:dyDescent="0.35">
      <c r="A746" s="1" t="s">
        <v>979</v>
      </c>
      <c r="B746" s="1" t="s">
        <v>278</v>
      </c>
      <c r="C746" s="1" t="s">
        <v>44</v>
      </c>
      <c r="D746" s="1" t="s">
        <v>45</v>
      </c>
      <c r="E746" s="1" t="s">
        <v>46</v>
      </c>
      <c r="F746" s="1" t="s">
        <v>25</v>
      </c>
      <c r="G746" s="1" t="s">
        <v>26</v>
      </c>
      <c r="H746" s="1">
        <v>11892</v>
      </c>
      <c r="I746" s="1" t="s">
        <v>22</v>
      </c>
      <c r="J746" s="1">
        <v>0.1</v>
      </c>
      <c r="K746" s="1">
        <v>13000</v>
      </c>
      <c r="L746" s="2">
        <v>45307</v>
      </c>
    </row>
    <row r="747" spans="1:12" x14ac:dyDescent="0.35">
      <c r="A747" s="1" t="s">
        <v>980</v>
      </c>
      <c r="B747" s="1" t="s">
        <v>90</v>
      </c>
      <c r="C747" s="1" t="s">
        <v>30</v>
      </c>
      <c r="D747" s="1" t="s">
        <v>31</v>
      </c>
      <c r="E747" s="1" t="s">
        <v>32</v>
      </c>
      <c r="F747" s="1" t="s">
        <v>25</v>
      </c>
      <c r="G747" s="1" t="s">
        <v>36</v>
      </c>
      <c r="H747" s="1">
        <v>17394</v>
      </c>
      <c r="I747" s="1" t="s">
        <v>22</v>
      </c>
      <c r="J747" s="1">
        <v>0.1</v>
      </c>
      <c r="K747" s="1">
        <v>17000</v>
      </c>
      <c r="L747" s="2">
        <v>45317</v>
      </c>
    </row>
    <row r="748" spans="1:12" x14ac:dyDescent="0.35">
      <c r="A748" s="1" t="s">
        <v>981</v>
      </c>
      <c r="B748" s="1" t="s">
        <v>294</v>
      </c>
      <c r="C748" s="1" t="s">
        <v>14</v>
      </c>
      <c r="D748" s="1" t="s">
        <v>15</v>
      </c>
      <c r="E748" s="1" t="s">
        <v>32</v>
      </c>
      <c r="F748" s="1" t="s">
        <v>39</v>
      </c>
      <c r="G748" s="1" t="s">
        <v>26</v>
      </c>
      <c r="H748" s="1">
        <v>13946</v>
      </c>
      <c r="I748" s="1" t="s">
        <v>27</v>
      </c>
      <c r="J748" s="1"/>
      <c r="K748" s="1">
        <v>14000</v>
      </c>
      <c r="L748" s="2">
        <v>45301</v>
      </c>
    </row>
    <row r="749" spans="1:12" x14ac:dyDescent="0.35">
      <c r="A749" s="1" t="s">
        <v>982</v>
      </c>
      <c r="B749" s="1" t="s">
        <v>478</v>
      </c>
      <c r="C749" s="1" t="s">
        <v>14</v>
      </c>
      <c r="D749" s="1" t="s">
        <v>15</v>
      </c>
      <c r="E749" s="1" t="s">
        <v>32</v>
      </c>
      <c r="F749" s="1" t="s">
        <v>25</v>
      </c>
      <c r="G749" s="1" t="s">
        <v>36</v>
      </c>
      <c r="H749" s="1">
        <v>12374</v>
      </c>
      <c r="I749" s="1" t="s">
        <v>27</v>
      </c>
      <c r="J749" s="1"/>
      <c r="K749" s="1">
        <v>14000</v>
      </c>
      <c r="L749" s="2">
        <v>45313</v>
      </c>
    </row>
    <row r="750" spans="1:12" x14ac:dyDescent="0.35">
      <c r="A750" s="1" t="s">
        <v>983</v>
      </c>
      <c r="B750" s="1" t="s">
        <v>148</v>
      </c>
      <c r="C750" s="1" t="s">
        <v>14</v>
      </c>
      <c r="D750" s="1" t="s">
        <v>15</v>
      </c>
      <c r="E750" s="1" t="s">
        <v>32</v>
      </c>
      <c r="F750" s="1" t="s">
        <v>17</v>
      </c>
      <c r="G750" s="1" t="s">
        <v>26</v>
      </c>
      <c r="H750" s="1">
        <v>12630</v>
      </c>
      <c r="I750" s="1" t="s">
        <v>27</v>
      </c>
      <c r="J750" s="1"/>
      <c r="K750" s="1">
        <v>14000</v>
      </c>
      <c r="L750" s="2">
        <v>45342</v>
      </c>
    </row>
    <row r="751" spans="1:12" x14ac:dyDescent="0.35">
      <c r="A751" s="1" t="s">
        <v>984</v>
      </c>
      <c r="B751" s="1" t="s">
        <v>843</v>
      </c>
      <c r="C751" s="1" t="s">
        <v>61</v>
      </c>
      <c r="D751" s="1" t="s">
        <v>62</v>
      </c>
      <c r="E751" s="1" t="s">
        <v>32</v>
      </c>
      <c r="F751" s="1" t="s">
        <v>17</v>
      </c>
      <c r="G751" s="1" t="s">
        <v>26</v>
      </c>
      <c r="H751" s="1">
        <v>10229</v>
      </c>
      <c r="I751" s="1" t="s">
        <v>33</v>
      </c>
      <c r="J751" s="1">
        <v>0.3</v>
      </c>
      <c r="K751" s="1">
        <v>9000</v>
      </c>
      <c r="L751" s="2">
        <v>45343</v>
      </c>
    </row>
    <row r="752" spans="1:12" x14ac:dyDescent="0.35">
      <c r="A752" s="1" t="s">
        <v>985</v>
      </c>
      <c r="B752" s="1" t="s">
        <v>445</v>
      </c>
      <c r="C752" s="1" t="s">
        <v>44</v>
      </c>
      <c r="D752" s="1" t="s">
        <v>45</v>
      </c>
      <c r="E752" s="1" t="s">
        <v>32</v>
      </c>
      <c r="F752" s="1" t="s">
        <v>39</v>
      </c>
      <c r="G752" s="1" t="s">
        <v>36</v>
      </c>
      <c r="H752" s="1">
        <v>12467</v>
      </c>
      <c r="I752" s="1" t="s">
        <v>19</v>
      </c>
      <c r="J752" s="1">
        <v>0.2</v>
      </c>
      <c r="K752" s="1">
        <v>13000</v>
      </c>
      <c r="L752" s="2">
        <v>45308</v>
      </c>
    </row>
    <row r="753" spans="1:12" x14ac:dyDescent="0.35">
      <c r="A753" s="1" t="s">
        <v>986</v>
      </c>
      <c r="B753" s="1" t="s">
        <v>987</v>
      </c>
      <c r="C753" s="1" t="s">
        <v>61</v>
      </c>
      <c r="D753" s="1" t="s">
        <v>62</v>
      </c>
      <c r="E753" s="1" t="s">
        <v>16</v>
      </c>
      <c r="F753" s="1" t="s">
        <v>17</v>
      </c>
      <c r="G753" s="1" t="s">
        <v>26</v>
      </c>
      <c r="H753" s="1">
        <v>8207</v>
      </c>
      <c r="I753" s="1" t="s">
        <v>27</v>
      </c>
      <c r="J753" s="1"/>
      <c r="K753" s="1">
        <v>9000</v>
      </c>
      <c r="L753" s="2">
        <v>45336</v>
      </c>
    </row>
    <row r="754" spans="1:12" x14ac:dyDescent="0.35">
      <c r="A754" s="1" t="s">
        <v>988</v>
      </c>
      <c r="B754" s="1" t="s">
        <v>211</v>
      </c>
      <c r="C754" s="1" t="s">
        <v>44</v>
      </c>
      <c r="D754" s="1" t="s">
        <v>45</v>
      </c>
      <c r="E754" s="1" t="s">
        <v>16</v>
      </c>
      <c r="F754" s="1" t="s">
        <v>17</v>
      </c>
      <c r="G754" s="1" t="s">
        <v>36</v>
      </c>
      <c r="H754" s="1">
        <v>13999</v>
      </c>
      <c r="I754" s="1"/>
      <c r="J754" s="1"/>
      <c r="K754" s="1">
        <v>13000</v>
      </c>
      <c r="L754" s="2">
        <v>45309</v>
      </c>
    </row>
    <row r="755" spans="1:12" x14ac:dyDescent="0.35">
      <c r="A755" s="1" t="s">
        <v>989</v>
      </c>
      <c r="B755" s="1" t="s">
        <v>319</v>
      </c>
      <c r="C755" s="1" t="s">
        <v>44</v>
      </c>
      <c r="D755" s="1" t="s">
        <v>45</v>
      </c>
      <c r="E755" s="1" t="s">
        <v>32</v>
      </c>
      <c r="F755" s="1" t="s">
        <v>39</v>
      </c>
      <c r="G755" s="1" t="s">
        <v>18</v>
      </c>
      <c r="H755" s="1">
        <v>12840</v>
      </c>
      <c r="I755" s="1" t="s">
        <v>33</v>
      </c>
      <c r="J755" s="1">
        <v>0.3</v>
      </c>
      <c r="K755" s="1">
        <v>13000</v>
      </c>
      <c r="L755" s="2">
        <v>45344</v>
      </c>
    </row>
    <row r="756" spans="1:12" x14ac:dyDescent="0.35">
      <c r="A756" s="1" t="s">
        <v>990</v>
      </c>
      <c r="B756" s="1" t="s">
        <v>307</v>
      </c>
      <c r="C756" s="1" t="s">
        <v>30</v>
      </c>
      <c r="D756" s="1" t="s">
        <v>31</v>
      </c>
      <c r="E756" s="1" t="s">
        <v>46</v>
      </c>
      <c r="F756" s="1" t="s">
        <v>25</v>
      </c>
      <c r="G756" s="1" t="s">
        <v>26</v>
      </c>
      <c r="H756" s="1">
        <v>17072</v>
      </c>
      <c r="I756" s="1"/>
      <c r="J756" s="1"/>
      <c r="K756" s="1">
        <v>17000</v>
      </c>
      <c r="L756" s="2">
        <v>45338</v>
      </c>
    </row>
    <row r="757" spans="1:12" x14ac:dyDescent="0.35">
      <c r="A757" s="1" t="s">
        <v>991</v>
      </c>
      <c r="B757" s="1" t="s">
        <v>557</v>
      </c>
      <c r="C757" s="1" t="s">
        <v>30</v>
      </c>
      <c r="D757" s="1" t="s">
        <v>31</v>
      </c>
      <c r="E757" s="1" t="s">
        <v>16</v>
      </c>
      <c r="F757" s="1" t="s">
        <v>25</v>
      </c>
      <c r="G757" s="1" t="s">
        <v>36</v>
      </c>
      <c r="H757" s="1">
        <v>17953</v>
      </c>
      <c r="I757" s="1" t="s">
        <v>22</v>
      </c>
      <c r="J757" s="1">
        <v>0.1</v>
      </c>
      <c r="K757" s="1">
        <v>17000</v>
      </c>
      <c r="L757" s="2">
        <v>45334</v>
      </c>
    </row>
    <row r="758" spans="1:12" x14ac:dyDescent="0.35">
      <c r="A758" s="1" t="s">
        <v>992</v>
      </c>
      <c r="B758" s="1" t="s">
        <v>105</v>
      </c>
      <c r="C758" s="1" t="s">
        <v>61</v>
      </c>
      <c r="D758" s="1" t="s">
        <v>62</v>
      </c>
      <c r="E758" s="1" t="s">
        <v>32</v>
      </c>
      <c r="F758" s="1" t="s">
        <v>39</v>
      </c>
      <c r="G758" s="1" t="s">
        <v>26</v>
      </c>
      <c r="H758" s="1">
        <v>9037</v>
      </c>
      <c r="I758" s="1" t="s">
        <v>27</v>
      </c>
      <c r="J758" s="1"/>
      <c r="K758" s="1">
        <v>9000</v>
      </c>
      <c r="L758" s="2">
        <v>45301</v>
      </c>
    </row>
    <row r="759" spans="1:12" x14ac:dyDescent="0.35">
      <c r="A759" s="1" t="s">
        <v>993</v>
      </c>
      <c r="B759" s="1" t="s">
        <v>291</v>
      </c>
      <c r="C759" s="1" t="s">
        <v>30</v>
      </c>
      <c r="D759" s="1" t="s">
        <v>31</v>
      </c>
      <c r="E759" s="1" t="s">
        <v>46</v>
      </c>
      <c r="F759" s="1" t="s">
        <v>39</v>
      </c>
      <c r="G759" s="1" t="s">
        <v>36</v>
      </c>
      <c r="H759" s="1">
        <v>15452</v>
      </c>
      <c r="I759" s="1" t="s">
        <v>22</v>
      </c>
      <c r="J759" s="1">
        <v>0.1</v>
      </c>
      <c r="K759" s="1">
        <v>17000</v>
      </c>
      <c r="L759" s="2">
        <v>45325</v>
      </c>
    </row>
    <row r="760" spans="1:12" x14ac:dyDescent="0.35">
      <c r="A760" s="1" t="s">
        <v>994</v>
      </c>
      <c r="B760" s="1" t="s">
        <v>13</v>
      </c>
      <c r="C760" s="1" t="s">
        <v>14</v>
      </c>
      <c r="D760" s="1" t="s">
        <v>15</v>
      </c>
      <c r="E760" s="1" t="s">
        <v>32</v>
      </c>
      <c r="F760" s="1" t="s">
        <v>25</v>
      </c>
      <c r="G760" s="1" t="s">
        <v>18</v>
      </c>
      <c r="H760" s="1">
        <v>12827</v>
      </c>
      <c r="I760" s="1" t="s">
        <v>22</v>
      </c>
      <c r="J760" s="1">
        <v>0.1</v>
      </c>
      <c r="K760" s="1">
        <v>14000</v>
      </c>
      <c r="L760" s="2">
        <v>45323</v>
      </c>
    </row>
    <row r="761" spans="1:12" x14ac:dyDescent="0.35">
      <c r="A761" s="1" t="s">
        <v>995</v>
      </c>
      <c r="B761" s="1" t="s">
        <v>229</v>
      </c>
      <c r="C761" s="1" t="s">
        <v>14</v>
      </c>
      <c r="D761" s="1" t="s">
        <v>15</v>
      </c>
      <c r="E761" s="1" t="s">
        <v>16</v>
      </c>
      <c r="F761" s="1" t="s">
        <v>39</v>
      </c>
      <c r="G761" s="1" t="s">
        <v>36</v>
      </c>
      <c r="H761" s="1">
        <v>14694</v>
      </c>
      <c r="I761" s="1"/>
      <c r="J761" s="1"/>
      <c r="K761" s="1">
        <v>14000</v>
      </c>
      <c r="L761" s="2">
        <v>45325</v>
      </c>
    </row>
    <row r="762" spans="1:12" x14ac:dyDescent="0.35">
      <c r="A762" s="1" t="s">
        <v>996</v>
      </c>
      <c r="B762" s="1" t="s">
        <v>233</v>
      </c>
      <c r="C762" s="1" t="s">
        <v>30</v>
      </c>
      <c r="D762" s="1" t="s">
        <v>31</v>
      </c>
      <c r="E762" s="1" t="s">
        <v>32</v>
      </c>
      <c r="F762" s="1" t="s">
        <v>17</v>
      </c>
      <c r="G762" s="1" t="s">
        <v>18</v>
      </c>
      <c r="H762" s="1">
        <v>17481</v>
      </c>
      <c r="I762" s="1" t="s">
        <v>22</v>
      </c>
      <c r="J762" s="1">
        <v>0.1</v>
      </c>
      <c r="K762" s="1">
        <v>17000</v>
      </c>
      <c r="L762" s="2">
        <v>45292</v>
      </c>
    </row>
    <row r="763" spans="1:12" x14ac:dyDescent="0.35">
      <c r="A763" s="1" t="s">
        <v>997</v>
      </c>
      <c r="B763" s="1" t="s">
        <v>553</v>
      </c>
      <c r="C763" s="1" t="s">
        <v>61</v>
      </c>
      <c r="D763" s="1" t="s">
        <v>62</v>
      </c>
      <c r="E763" s="1" t="s">
        <v>32</v>
      </c>
      <c r="F763" s="1" t="s">
        <v>17</v>
      </c>
      <c r="G763" s="1" t="s">
        <v>26</v>
      </c>
      <c r="H763" s="1">
        <v>7248</v>
      </c>
      <c r="I763" s="1" t="s">
        <v>33</v>
      </c>
      <c r="J763" s="1">
        <v>0.3</v>
      </c>
      <c r="K763" s="1">
        <v>9000</v>
      </c>
      <c r="L763" s="2">
        <v>45327</v>
      </c>
    </row>
    <row r="764" spans="1:12" x14ac:dyDescent="0.35">
      <c r="A764" s="1" t="s">
        <v>998</v>
      </c>
      <c r="B764" s="1" t="s">
        <v>127</v>
      </c>
      <c r="C764" s="1" t="s">
        <v>30</v>
      </c>
      <c r="D764" s="1" t="s">
        <v>31</v>
      </c>
      <c r="E764" s="1" t="s">
        <v>16</v>
      </c>
      <c r="F764" s="1" t="s">
        <v>25</v>
      </c>
      <c r="G764" s="1" t="s">
        <v>26</v>
      </c>
      <c r="H764" s="1">
        <v>16088</v>
      </c>
      <c r="I764" s="1" t="s">
        <v>27</v>
      </c>
      <c r="J764" s="1"/>
      <c r="K764" s="1">
        <v>17000</v>
      </c>
      <c r="L764" s="2">
        <v>45294</v>
      </c>
    </row>
    <row r="765" spans="1:12" x14ac:dyDescent="0.35">
      <c r="A765" s="1" t="s">
        <v>999</v>
      </c>
      <c r="B765" s="1" t="s">
        <v>1000</v>
      </c>
      <c r="C765" s="1" t="s">
        <v>30</v>
      </c>
      <c r="D765" s="1" t="s">
        <v>31</v>
      </c>
      <c r="E765" s="1" t="s">
        <v>32</v>
      </c>
      <c r="F765" s="1" t="s">
        <v>25</v>
      </c>
      <c r="G765" s="1" t="s">
        <v>26</v>
      </c>
      <c r="H765" s="1">
        <v>15397</v>
      </c>
      <c r="I765" s="1" t="s">
        <v>22</v>
      </c>
      <c r="J765" s="1">
        <v>0.1</v>
      </c>
      <c r="K765" s="1">
        <v>17000</v>
      </c>
      <c r="L765" s="2">
        <v>45338</v>
      </c>
    </row>
    <row r="766" spans="1:12" x14ac:dyDescent="0.35">
      <c r="A766" s="1" t="s">
        <v>1001</v>
      </c>
      <c r="B766" s="1" t="s">
        <v>24</v>
      </c>
      <c r="C766" s="1" t="s">
        <v>61</v>
      </c>
      <c r="D766" s="1" t="s">
        <v>62</v>
      </c>
      <c r="E766" s="1" t="s">
        <v>32</v>
      </c>
      <c r="F766" s="1" t="s">
        <v>25</v>
      </c>
      <c r="G766" s="1" t="s">
        <v>26</v>
      </c>
      <c r="H766" s="1">
        <v>9690</v>
      </c>
      <c r="I766" s="1" t="s">
        <v>19</v>
      </c>
      <c r="J766" s="1">
        <v>0.2</v>
      </c>
      <c r="K766" s="1">
        <v>9000</v>
      </c>
      <c r="L766" s="2">
        <v>45328</v>
      </c>
    </row>
    <row r="767" spans="1:12" x14ac:dyDescent="0.35">
      <c r="A767" s="1" t="s">
        <v>1002</v>
      </c>
      <c r="B767" s="1" t="s">
        <v>422</v>
      </c>
      <c r="C767" s="1" t="s">
        <v>61</v>
      </c>
      <c r="D767" s="1" t="s">
        <v>62</v>
      </c>
      <c r="E767" s="1" t="s">
        <v>16</v>
      </c>
      <c r="F767" s="1" t="s">
        <v>25</v>
      </c>
      <c r="G767" s="1" t="s">
        <v>26</v>
      </c>
      <c r="H767" s="1">
        <v>9361</v>
      </c>
      <c r="I767" s="1" t="s">
        <v>33</v>
      </c>
      <c r="J767" s="1">
        <v>0.3</v>
      </c>
      <c r="K767" s="1">
        <v>9000</v>
      </c>
      <c r="L767" s="2">
        <v>45335</v>
      </c>
    </row>
    <row r="768" spans="1:12" x14ac:dyDescent="0.35">
      <c r="A768" s="1" t="s">
        <v>1003</v>
      </c>
      <c r="B768" s="1" t="s">
        <v>483</v>
      </c>
      <c r="C768" s="1" t="s">
        <v>61</v>
      </c>
      <c r="D768" s="1" t="s">
        <v>62</v>
      </c>
      <c r="E768" s="1" t="s">
        <v>32</v>
      </c>
      <c r="F768" s="1" t="s">
        <v>25</v>
      </c>
      <c r="G768" s="1" t="s">
        <v>18</v>
      </c>
      <c r="H768" s="1">
        <v>9252</v>
      </c>
      <c r="I768" s="1"/>
      <c r="J768" s="1"/>
      <c r="K768" s="1">
        <v>9000</v>
      </c>
      <c r="L768" s="2">
        <v>45324</v>
      </c>
    </row>
    <row r="769" spans="1:12" x14ac:dyDescent="0.35">
      <c r="A769" s="1" t="s">
        <v>1004</v>
      </c>
      <c r="B769" s="1" t="s">
        <v>150</v>
      </c>
      <c r="C769" s="1" t="s">
        <v>44</v>
      </c>
      <c r="D769" s="1" t="s">
        <v>45</v>
      </c>
      <c r="E769" s="1" t="s">
        <v>16</v>
      </c>
      <c r="F769" s="1" t="s">
        <v>39</v>
      </c>
      <c r="G769" s="1" t="s">
        <v>36</v>
      </c>
      <c r="H769" s="1">
        <v>14823</v>
      </c>
      <c r="I769" s="1" t="s">
        <v>33</v>
      </c>
      <c r="J769" s="1">
        <v>0.3</v>
      </c>
      <c r="K769" s="1">
        <v>13000</v>
      </c>
      <c r="L769" s="2">
        <v>45349</v>
      </c>
    </row>
    <row r="770" spans="1:12" x14ac:dyDescent="0.35">
      <c r="A770" s="1" t="s">
        <v>1005</v>
      </c>
      <c r="B770" s="1" t="s">
        <v>301</v>
      </c>
      <c r="C770" s="1" t="s">
        <v>30</v>
      </c>
      <c r="D770" s="1" t="s">
        <v>31</v>
      </c>
      <c r="E770" s="1" t="s">
        <v>46</v>
      </c>
      <c r="F770" s="1" t="s">
        <v>17</v>
      </c>
      <c r="G770" s="1" t="s">
        <v>26</v>
      </c>
      <c r="H770" s="1">
        <v>16763</v>
      </c>
      <c r="I770" s="1" t="s">
        <v>33</v>
      </c>
      <c r="J770" s="1">
        <v>0.3</v>
      </c>
      <c r="K770" s="1">
        <v>17000</v>
      </c>
      <c r="L770" s="2">
        <v>45330</v>
      </c>
    </row>
    <row r="771" spans="1:12" x14ac:dyDescent="0.35">
      <c r="A771" s="1" t="s">
        <v>1006</v>
      </c>
      <c r="B771" s="1" t="s">
        <v>56</v>
      </c>
      <c r="C771" s="1" t="s">
        <v>44</v>
      </c>
      <c r="D771" s="1" t="s">
        <v>45</v>
      </c>
      <c r="E771" s="1" t="s">
        <v>46</v>
      </c>
      <c r="F771" s="1" t="s">
        <v>39</v>
      </c>
      <c r="G771" s="1" t="s">
        <v>26</v>
      </c>
      <c r="H771" s="1">
        <v>12040</v>
      </c>
      <c r="I771" s="1" t="s">
        <v>33</v>
      </c>
      <c r="J771" s="1">
        <v>0.3</v>
      </c>
      <c r="K771" s="1">
        <v>13000</v>
      </c>
      <c r="L771" s="2">
        <v>45320</v>
      </c>
    </row>
    <row r="772" spans="1:12" x14ac:dyDescent="0.35">
      <c r="A772" s="1" t="s">
        <v>1007</v>
      </c>
      <c r="B772" s="1" t="s">
        <v>52</v>
      </c>
      <c r="C772" s="1" t="s">
        <v>14</v>
      </c>
      <c r="D772" s="1" t="s">
        <v>15</v>
      </c>
      <c r="E772" s="1" t="s">
        <v>16</v>
      </c>
      <c r="F772" s="1" t="s">
        <v>25</v>
      </c>
      <c r="G772" s="1" t="s">
        <v>36</v>
      </c>
      <c r="H772" s="1">
        <v>14440</v>
      </c>
      <c r="I772" s="1" t="s">
        <v>22</v>
      </c>
      <c r="J772" s="1">
        <v>0.1</v>
      </c>
      <c r="K772" s="1">
        <v>14000</v>
      </c>
      <c r="L772" s="2">
        <v>45325</v>
      </c>
    </row>
    <row r="773" spans="1:12" x14ac:dyDescent="0.35">
      <c r="A773" s="1" t="s">
        <v>1008</v>
      </c>
      <c r="B773" s="1" t="s">
        <v>256</v>
      </c>
      <c r="C773" s="1" t="s">
        <v>14</v>
      </c>
      <c r="D773" s="1" t="s">
        <v>15</v>
      </c>
      <c r="E773" s="1" t="s">
        <v>46</v>
      </c>
      <c r="F773" s="1" t="s">
        <v>25</v>
      </c>
      <c r="G773" s="1" t="s">
        <v>18</v>
      </c>
      <c r="H773" s="1">
        <v>15505</v>
      </c>
      <c r="I773" s="1" t="s">
        <v>33</v>
      </c>
      <c r="J773" s="1">
        <v>0.3</v>
      </c>
      <c r="K773" s="1">
        <v>14000</v>
      </c>
      <c r="L773" s="2">
        <v>45293</v>
      </c>
    </row>
    <row r="774" spans="1:12" x14ac:dyDescent="0.35">
      <c r="A774" s="1" t="s">
        <v>1009</v>
      </c>
      <c r="B774" s="1" t="s">
        <v>140</v>
      </c>
      <c r="C774" s="1" t="s">
        <v>30</v>
      </c>
      <c r="D774" s="1" t="s">
        <v>31</v>
      </c>
      <c r="E774" s="1" t="s">
        <v>16</v>
      </c>
      <c r="F774" s="1" t="s">
        <v>39</v>
      </c>
      <c r="G774" s="1" t="s">
        <v>26</v>
      </c>
      <c r="H774" s="1">
        <v>17337</v>
      </c>
      <c r="I774" s="1" t="s">
        <v>27</v>
      </c>
      <c r="J774" s="1"/>
      <c r="K774" s="1">
        <v>17000</v>
      </c>
      <c r="L774" s="2">
        <v>45301</v>
      </c>
    </row>
    <row r="775" spans="1:12" x14ac:dyDescent="0.35">
      <c r="A775" s="1" t="s">
        <v>1010</v>
      </c>
      <c r="B775" s="1" t="s">
        <v>43</v>
      </c>
      <c r="C775" s="1" t="s">
        <v>61</v>
      </c>
      <c r="D775" s="1" t="s">
        <v>62</v>
      </c>
      <c r="E775" s="1" t="s">
        <v>46</v>
      </c>
      <c r="F775" s="1" t="s">
        <v>25</v>
      </c>
      <c r="G775" s="1" t="s">
        <v>18</v>
      </c>
      <c r="H775" s="1">
        <v>8085</v>
      </c>
      <c r="I775" s="1" t="s">
        <v>33</v>
      </c>
      <c r="J775" s="1">
        <v>0.3</v>
      </c>
      <c r="K775" s="1">
        <v>9000</v>
      </c>
      <c r="L775" s="2">
        <v>45348</v>
      </c>
    </row>
    <row r="776" spans="1:12" x14ac:dyDescent="0.35">
      <c r="A776" s="1" t="s">
        <v>1011</v>
      </c>
      <c r="B776" s="1" t="s">
        <v>519</v>
      </c>
      <c r="C776" s="1" t="s">
        <v>44</v>
      </c>
      <c r="D776" s="1" t="s">
        <v>45</v>
      </c>
      <c r="E776" s="1" t="s">
        <v>46</v>
      </c>
      <c r="F776" s="1" t="s">
        <v>17</v>
      </c>
      <c r="G776" s="1" t="s">
        <v>18</v>
      </c>
      <c r="H776" s="1">
        <v>13336</v>
      </c>
      <c r="I776" s="1"/>
      <c r="J776" s="1"/>
      <c r="K776" s="1">
        <v>13000</v>
      </c>
      <c r="L776" s="2">
        <v>45328</v>
      </c>
    </row>
    <row r="777" spans="1:12" x14ac:dyDescent="0.35">
      <c r="A777" s="1" t="s">
        <v>1012</v>
      </c>
      <c r="B777" s="1" t="s">
        <v>553</v>
      </c>
      <c r="C777" s="1" t="s">
        <v>14</v>
      </c>
      <c r="D777" s="1" t="s">
        <v>15</v>
      </c>
      <c r="E777" s="1" t="s">
        <v>16</v>
      </c>
      <c r="F777" s="1" t="s">
        <v>17</v>
      </c>
      <c r="G777" s="1" t="s">
        <v>36</v>
      </c>
      <c r="H777" s="1">
        <v>12708</v>
      </c>
      <c r="I777" s="1"/>
      <c r="J777" s="1"/>
      <c r="K777" s="1">
        <v>14000</v>
      </c>
      <c r="L777" s="2">
        <v>45344</v>
      </c>
    </row>
    <row r="778" spans="1:12" x14ac:dyDescent="0.35">
      <c r="A778" s="1" t="s">
        <v>1013</v>
      </c>
      <c r="B778" s="1" t="s">
        <v>260</v>
      </c>
      <c r="C778" s="1" t="s">
        <v>14</v>
      </c>
      <c r="D778" s="1" t="s">
        <v>15</v>
      </c>
      <c r="E778" s="1" t="s">
        <v>16</v>
      </c>
      <c r="F778" s="1" t="s">
        <v>39</v>
      </c>
      <c r="G778" s="1" t="s">
        <v>36</v>
      </c>
      <c r="H778" s="1">
        <v>12153</v>
      </c>
      <c r="I778" s="1" t="s">
        <v>27</v>
      </c>
      <c r="J778" s="1"/>
      <c r="K778" s="1">
        <v>14000</v>
      </c>
      <c r="L778" s="2">
        <v>45316</v>
      </c>
    </row>
    <row r="779" spans="1:12" x14ac:dyDescent="0.35">
      <c r="A779" s="1" t="s">
        <v>1014</v>
      </c>
      <c r="B779" s="1" t="s">
        <v>200</v>
      </c>
      <c r="C779" s="1" t="s">
        <v>14</v>
      </c>
      <c r="D779" s="1" t="s">
        <v>15</v>
      </c>
      <c r="E779" s="1" t="s">
        <v>46</v>
      </c>
      <c r="F779" s="1" t="s">
        <v>17</v>
      </c>
      <c r="G779" s="1" t="s">
        <v>36</v>
      </c>
      <c r="H779" s="1">
        <v>13706</v>
      </c>
      <c r="I779" s="1" t="s">
        <v>22</v>
      </c>
      <c r="J779" s="1">
        <v>0.1</v>
      </c>
      <c r="K779" s="1">
        <v>14000</v>
      </c>
      <c r="L779" s="2">
        <v>45347</v>
      </c>
    </row>
    <row r="780" spans="1:12" x14ac:dyDescent="0.35">
      <c r="A780" s="1" t="s">
        <v>1015</v>
      </c>
      <c r="B780" s="1" t="s">
        <v>294</v>
      </c>
      <c r="C780" s="1" t="s">
        <v>14</v>
      </c>
      <c r="D780" s="1" t="s">
        <v>15</v>
      </c>
      <c r="E780" s="1" t="s">
        <v>16</v>
      </c>
      <c r="F780" s="1" t="s">
        <v>39</v>
      </c>
      <c r="G780" s="1" t="s">
        <v>36</v>
      </c>
      <c r="H780" s="1">
        <v>12221</v>
      </c>
      <c r="I780" s="1" t="s">
        <v>33</v>
      </c>
      <c r="J780" s="1">
        <v>0.3</v>
      </c>
      <c r="K780" s="1">
        <v>14000</v>
      </c>
      <c r="L780" s="2">
        <v>45325</v>
      </c>
    </row>
    <row r="781" spans="1:12" x14ac:dyDescent="0.35">
      <c r="A781" s="1" t="s">
        <v>1016</v>
      </c>
      <c r="B781" s="1" t="s">
        <v>125</v>
      </c>
      <c r="C781" s="1" t="s">
        <v>44</v>
      </c>
      <c r="D781" s="1" t="s">
        <v>45</v>
      </c>
      <c r="E781" s="1" t="s">
        <v>46</v>
      </c>
      <c r="F781" s="1" t="s">
        <v>39</v>
      </c>
      <c r="G781" s="1" t="s">
        <v>26</v>
      </c>
      <c r="H781" s="1">
        <v>11904</v>
      </c>
      <c r="I781" s="1" t="s">
        <v>19</v>
      </c>
      <c r="J781" s="1">
        <v>0.2</v>
      </c>
      <c r="K781" s="1">
        <v>13000</v>
      </c>
      <c r="L781" s="2">
        <v>45295</v>
      </c>
    </row>
    <row r="782" spans="1:12" x14ac:dyDescent="0.35">
      <c r="A782" s="1" t="s">
        <v>1017</v>
      </c>
      <c r="B782" s="1" t="s">
        <v>305</v>
      </c>
      <c r="C782" s="1" t="s">
        <v>61</v>
      </c>
      <c r="D782" s="1" t="s">
        <v>62</v>
      </c>
      <c r="E782" s="1" t="s">
        <v>46</v>
      </c>
      <c r="F782" s="1" t="s">
        <v>39</v>
      </c>
      <c r="G782" s="1" t="s">
        <v>26</v>
      </c>
      <c r="H782" s="1">
        <v>9067</v>
      </c>
      <c r="I782" s="1" t="s">
        <v>22</v>
      </c>
      <c r="J782" s="1">
        <v>0.1</v>
      </c>
      <c r="K782" s="1">
        <v>9000</v>
      </c>
      <c r="L782" s="2">
        <v>45306</v>
      </c>
    </row>
    <row r="783" spans="1:12" x14ac:dyDescent="0.35">
      <c r="A783" s="1" t="s">
        <v>1018</v>
      </c>
      <c r="B783" s="1" t="s">
        <v>435</v>
      </c>
      <c r="C783" s="1" t="s">
        <v>61</v>
      </c>
      <c r="D783" s="1" t="s">
        <v>62</v>
      </c>
      <c r="E783" s="1" t="s">
        <v>32</v>
      </c>
      <c r="F783" s="1" t="s">
        <v>25</v>
      </c>
      <c r="G783" s="1" t="s">
        <v>36</v>
      </c>
      <c r="H783" s="1">
        <v>7338</v>
      </c>
      <c r="I783" s="1"/>
      <c r="J783" s="1"/>
      <c r="K783" s="1">
        <v>9000</v>
      </c>
      <c r="L783" s="2">
        <v>45328</v>
      </c>
    </row>
    <row r="784" spans="1:12" x14ac:dyDescent="0.35">
      <c r="A784" s="1" t="s">
        <v>1019</v>
      </c>
      <c r="B784" s="1" t="s">
        <v>464</v>
      </c>
      <c r="C784" s="1" t="s">
        <v>61</v>
      </c>
      <c r="D784" s="1" t="s">
        <v>62</v>
      </c>
      <c r="E784" s="1" t="s">
        <v>46</v>
      </c>
      <c r="F784" s="1" t="s">
        <v>25</v>
      </c>
      <c r="G784" s="1" t="s">
        <v>36</v>
      </c>
      <c r="H784" s="1">
        <v>9055</v>
      </c>
      <c r="I784" s="1"/>
      <c r="J784" s="1"/>
      <c r="K784" s="1">
        <v>9000</v>
      </c>
      <c r="L784" s="2">
        <v>45341</v>
      </c>
    </row>
    <row r="785" spans="1:12" x14ac:dyDescent="0.35">
      <c r="A785" s="1" t="s">
        <v>1020</v>
      </c>
      <c r="B785" s="1" t="s">
        <v>153</v>
      </c>
      <c r="C785" s="1" t="s">
        <v>44</v>
      </c>
      <c r="D785" s="1" t="s">
        <v>45</v>
      </c>
      <c r="E785" s="1" t="s">
        <v>46</v>
      </c>
      <c r="F785" s="1" t="s">
        <v>39</v>
      </c>
      <c r="G785" s="1" t="s">
        <v>18</v>
      </c>
      <c r="H785" s="1">
        <v>12998</v>
      </c>
      <c r="I785" s="1"/>
      <c r="J785" s="1"/>
      <c r="K785" s="1">
        <v>13000</v>
      </c>
      <c r="L785" s="2">
        <v>45333</v>
      </c>
    </row>
    <row r="786" spans="1:12" x14ac:dyDescent="0.35">
      <c r="A786" s="1" t="s">
        <v>1021</v>
      </c>
      <c r="B786" s="1" t="s">
        <v>519</v>
      </c>
      <c r="C786" s="1" t="s">
        <v>44</v>
      </c>
      <c r="D786" s="1" t="s">
        <v>45</v>
      </c>
      <c r="E786" s="1" t="s">
        <v>32</v>
      </c>
      <c r="F786" s="1" t="s">
        <v>25</v>
      </c>
      <c r="G786" s="1" t="s">
        <v>36</v>
      </c>
      <c r="H786" s="1">
        <v>14181</v>
      </c>
      <c r="I786" s="1"/>
      <c r="J786" s="1"/>
      <c r="K786" s="1">
        <v>13000</v>
      </c>
      <c r="L786" s="2">
        <v>45312</v>
      </c>
    </row>
    <row r="787" spans="1:12" x14ac:dyDescent="0.35">
      <c r="A787" s="1" t="s">
        <v>1022</v>
      </c>
      <c r="B787" s="1" t="s">
        <v>163</v>
      </c>
      <c r="C787" s="1" t="s">
        <v>14</v>
      </c>
      <c r="D787" s="1" t="s">
        <v>15</v>
      </c>
      <c r="E787" s="1" t="s">
        <v>32</v>
      </c>
      <c r="F787" s="1" t="s">
        <v>39</v>
      </c>
      <c r="G787" s="1" t="s">
        <v>36</v>
      </c>
      <c r="H787" s="1">
        <v>13734</v>
      </c>
      <c r="I787" s="1" t="s">
        <v>33</v>
      </c>
      <c r="J787" s="1">
        <v>0.3</v>
      </c>
      <c r="K787" s="1">
        <v>14000</v>
      </c>
      <c r="L787" s="2">
        <v>45314</v>
      </c>
    </row>
    <row r="788" spans="1:12" x14ac:dyDescent="0.35">
      <c r="A788" s="1" t="s">
        <v>1023</v>
      </c>
      <c r="B788" s="1" t="s">
        <v>391</v>
      </c>
      <c r="C788" s="1" t="s">
        <v>30</v>
      </c>
      <c r="D788" s="1" t="s">
        <v>31</v>
      </c>
      <c r="E788" s="1" t="s">
        <v>16</v>
      </c>
      <c r="F788" s="1" t="s">
        <v>39</v>
      </c>
      <c r="G788" s="1" t="s">
        <v>18</v>
      </c>
      <c r="H788" s="1">
        <v>18152</v>
      </c>
      <c r="I788" s="1" t="s">
        <v>33</v>
      </c>
      <c r="J788" s="1">
        <v>0.3</v>
      </c>
      <c r="K788" s="1">
        <v>17000</v>
      </c>
      <c r="L788" s="2">
        <v>45302</v>
      </c>
    </row>
    <row r="789" spans="1:12" x14ac:dyDescent="0.35">
      <c r="A789" s="1" t="s">
        <v>1024</v>
      </c>
      <c r="B789" s="1" t="s">
        <v>38</v>
      </c>
      <c r="C789" s="1" t="s">
        <v>61</v>
      </c>
      <c r="D789" s="1" t="s">
        <v>62</v>
      </c>
      <c r="E789" s="1" t="s">
        <v>16</v>
      </c>
      <c r="F789" s="1" t="s">
        <v>25</v>
      </c>
      <c r="G789" s="1" t="s">
        <v>36</v>
      </c>
      <c r="H789" s="1">
        <v>7183</v>
      </c>
      <c r="I789" s="1" t="s">
        <v>19</v>
      </c>
      <c r="J789" s="1">
        <v>0.2</v>
      </c>
      <c r="K789" s="1">
        <v>9000</v>
      </c>
      <c r="L789" s="2">
        <v>45304</v>
      </c>
    </row>
    <row r="790" spans="1:12" x14ac:dyDescent="0.35">
      <c r="A790" s="1" t="s">
        <v>1025</v>
      </c>
      <c r="B790" s="1" t="s">
        <v>317</v>
      </c>
      <c r="C790" s="1" t="s">
        <v>44</v>
      </c>
      <c r="D790" s="1" t="s">
        <v>45</v>
      </c>
      <c r="E790" s="1" t="s">
        <v>16</v>
      </c>
      <c r="F790" s="1" t="s">
        <v>25</v>
      </c>
      <c r="G790" s="1" t="s">
        <v>18</v>
      </c>
      <c r="H790" s="1">
        <v>14029</v>
      </c>
      <c r="I790" s="1" t="s">
        <v>22</v>
      </c>
      <c r="J790" s="1">
        <v>0.1</v>
      </c>
      <c r="K790" s="1">
        <v>13000</v>
      </c>
      <c r="L790" s="2">
        <v>45307</v>
      </c>
    </row>
    <row r="791" spans="1:12" x14ac:dyDescent="0.35">
      <c r="A791" s="1" t="s">
        <v>1026</v>
      </c>
      <c r="B791" s="1" t="s">
        <v>373</v>
      </c>
      <c r="C791" s="1" t="s">
        <v>30</v>
      </c>
      <c r="D791" s="1" t="s">
        <v>31</v>
      </c>
      <c r="E791" s="1" t="s">
        <v>32</v>
      </c>
      <c r="F791" s="1" t="s">
        <v>17</v>
      </c>
      <c r="G791" s="1" t="s">
        <v>26</v>
      </c>
      <c r="H791" s="1">
        <v>18294</v>
      </c>
      <c r="I791" s="1" t="s">
        <v>22</v>
      </c>
      <c r="J791" s="1">
        <v>0.1</v>
      </c>
      <c r="K791" s="1">
        <v>17000</v>
      </c>
      <c r="L791" s="2">
        <v>45311</v>
      </c>
    </row>
    <row r="792" spans="1:12" x14ac:dyDescent="0.35">
      <c r="A792" s="1" t="s">
        <v>1027</v>
      </c>
      <c r="B792" s="1" t="s">
        <v>231</v>
      </c>
      <c r="C792" s="1" t="s">
        <v>14</v>
      </c>
      <c r="D792" s="1" t="s">
        <v>15</v>
      </c>
      <c r="E792" s="1" t="s">
        <v>46</v>
      </c>
      <c r="F792" s="1" t="s">
        <v>25</v>
      </c>
      <c r="G792" s="1" t="s">
        <v>26</v>
      </c>
      <c r="H792" s="1">
        <v>14203</v>
      </c>
      <c r="I792" s="1" t="s">
        <v>19</v>
      </c>
      <c r="J792" s="1">
        <v>0.2</v>
      </c>
      <c r="K792" s="1">
        <v>14000</v>
      </c>
      <c r="L792" s="2">
        <v>45305</v>
      </c>
    </row>
    <row r="793" spans="1:12" x14ac:dyDescent="0.35">
      <c r="A793" s="1" t="s">
        <v>1028</v>
      </c>
      <c r="B793" s="1" t="s">
        <v>168</v>
      </c>
      <c r="C793" s="1" t="s">
        <v>30</v>
      </c>
      <c r="D793" s="1" t="s">
        <v>31</v>
      </c>
      <c r="E793" s="1" t="s">
        <v>16</v>
      </c>
      <c r="F793" s="1" t="s">
        <v>17</v>
      </c>
      <c r="G793" s="1" t="s">
        <v>26</v>
      </c>
      <c r="H793" s="1">
        <v>17989</v>
      </c>
      <c r="I793" s="1" t="s">
        <v>19</v>
      </c>
      <c r="J793" s="1">
        <v>0.2</v>
      </c>
      <c r="K793" s="1">
        <v>17000</v>
      </c>
      <c r="L793" s="2">
        <v>45336</v>
      </c>
    </row>
    <row r="794" spans="1:12" x14ac:dyDescent="0.35">
      <c r="A794" s="1" t="s">
        <v>1029</v>
      </c>
      <c r="B794" s="1" t="s">
        <v>765</v>
      </c>
      <c r="C794" s="1" t="s">
        <v>14</v>
      </c>
      <c r="D794" s="1" t="s">
        <v>15</v>
      </c>
      <c r="E794" s="1" t="s">
        <v>46</v>
      </c>
      <c r="F794" s="1" t="s">
        <v>39</v>
      </c>
      <c r="G794" s="1" t="s">
        <v>26</v>
      </c>
      <c r="H794" s="1">
        <v>14157</v>
      </c>
      <c r="I794" s="1" t="s">
        <v>22</v>
      </c>
      <c r="J794" s="1">
        <v>0.1</v>
      </c>
      <c r="K794" s="1">
        <v>14000</v>
      </c>
      <c r="L794" s="2">
        <v>45308</v>
      </c>
    </row>
    <row r="795" spans="1:12" x14ac:dyDescent="0.35">
      <c r="A795" s="1" t="s">
        <v>1030</v>
      </c>
      <c r="B795" s="1" t="s">
        <v>557</v>
      </c>
      <c r="C795" s="1" t="s">
        <v>30</v>
      </c>
      <c r="D795" s="1" t="s">
        <v>31</v>
      </c>
      <c r="E795" s="1" t="s">
        <v>32</v>
      </c>
      <c r="F795" s="1" t="s">
        <v>39</v>
      </c>
      <c r="G795" s="1" t="s">
        <v>26</v>
      </c>
      <c r="H795" s="1">
        <v>16111</v>
      </c>
      <c r="I795" s="1" t="s">
        <v>22</v>
      </c>
      <c r="J795" s="1">
        <v>0.1</v>
      </c>
      <c r="K795" s="1">
        <v>17000</v>
      </c>
      <c r="L795" s="2">
        <v>45321</v>
      </c>
    </row>
    <row r="796" spans="1:12" x14ac:dyDescent="0.35">
      <c r="A796" s="1" t="s">
        <v>1031</v>
      </c>
      <c r="B796" s="1" t="s">
        <v>1032</v>
      </c>
      <c r="C796" s="1" t="s">
        <v>14</v>
      </c>
      <c r="D796" s="1" t="s">
        <v>15</v>
      </c>
      <c r="E796" s="1" t="s">
        <v>46</v>
      </c>
      <c r="F796" s="1" t="s">
        <v>39</v>
      </c>
      <c r="G796" s="1" t="s">
        <v>36</v>
      </c>
      <c r="H796" s="1">
        <v>14715</v>
      </c>
      <c r="I796" s="1" t="s">
        <v>33</v>
      </c>
      <c r="J796" s="1">
        <v>0.3</v>
      </c>
      <c r="K796" s="1">
        <v>14000</v>
      </c>
      <c r="L796" s="2">
        <v>45347</v>
      </c>
    </row>
    <row r="797" spans="1:12" x14ac:dyDescent="0.35">
      <c r="A797" s="1" t="s">
        <v>1033</v>
      </c>
      <c r="B797" s="1" t="s">
        <v>43</v>
      </c>
      <c r="C797" s="1" t="s">
        <v>30</v>
      </c>
      <c r="D797" s="1" t="s">
        <v>31</v>
      </c>
      <c r="E797" s="1" t="s">
        <v>16</v>
      </c>
      <c r="F797" s="1" t="s">
        <v>17</v>
      </c>
      <c r="G797" s="1" t="s">
        <v>18</v>
      </c>
      <c r="H797" s="1">
        <v>16559</v>
      </c>
      <c r="I797" s="1" t="s">
        <v>27</v>
      </c>
      <c r="J797" s="1"/>
      <c r="K797" s="1">
        <v>17000</v>
      </c>
      <c r="L797" s="2">
        <v>45337</v>
      </c>
    </row>
    <row r="798" spans="1:12" x14ac:dyDescent="0.35">
      <c r="A798" s="1" t="s">
        <v>1034</v>
      </c>
      <c r="B798" s="1" t="s">
        <v>432</v>
      </c>
      <c r="C798" s="1" t="s">
        <v>61</v>
      </c>
      <c r="D798" s="1" t="s">
        <v>62</v>
      </c>
      <c r="E798" s="1" t="s">
        <v>16</v>
      </c>
      <c r="F798" s="1" t="s">
        <v>39</v>
      </c>
      <c r="G798" s="1" t="s">
        <v>18</v>
      </c>
      <c r="H798" s="1">
        <v>7763</v>
      </c>
      <c r="I798" s="1" t="s">
        <v>19</v>
      </c>
      <c r="J798" s="1">
        <v>0.2</v>
      </c>
      <c r="K798" s="1">
        <v>9000</v>
      </c>
      <c r="L798" s="2">
        <v>45324</v>
      </c>
    </row>
    <row r="799" spans="1:12" x14ac:dyDescent="0.35">
      <c r="A799" s="1" t="s">
        <v>1035</v>
      </c>
      <c r="B799" s="1" t="s">
        <v>330</v>
      </c>
      <c r="C799" s="1" t="s">
        <v>14</v>
      </c>
      <c r="D799" s="1" t="s">
        <v>15</v>
      </c>
      <c r="E799" s="1" t="s">
        <v>32</v>
      </c>
      <c r="F799" s="1" t="s">
        <v>25</v>
      </c>
      <c r="G799" s="1" t="s">
        <v>26</v>
      </c>
      <c r="H799" s="1">
        <v>13248</v>
      </c>
      <c r="I799" s="1" t="s">
        <v>33</v>
      </c>
      <c r="J799" s="1">
        <v>0.3</v>
      </c>
      <c r="K799" s="1">
        <v>14000</v>
      </c>
      <c r="L799" s="2">
        <v>45323</v>
      </c>
    </row>
    <row r="800" spans="1:12" x14ac:dyDescent="0.35">
      <c r="A800" s="1" t="s">
        <v>1036</v>
      </c>
      <c r="B800" s="1" t="s">
        <v>101</v>
      </c>
      <c r="C800" s="1" t="s">
        <v>44</v>
      </c>
      <c r="D800" s="1" t="s">
        <v>45</v>
      </c>
      <c r="E800" s="1" t="s">
        <v>32</v>
      </c>
      <c r="F800" s="1" t="s">
        <v>17</v>
      </c>
      <c r="G800" s="1" t="s">
        <v>26</v>
      </c>
      <c r="H800" s="1">
        <v>12441</v>
      </c>
      <c r="I800" s="1" t="s">
        <v>33</v>
      </c>
      <c r="J800" s="1">
        <v>0.3</v>
      </c>
      <c r="K800" s="1">
        <v>13000</v>
      </c>
      <c r="L800" s="2">
        <v>45332</v>
      </c>
    </row>
    <row r="801" spans="1:12" x14ac:dyDescent="0.35">
      <c r="A801" s="1" t="s">
        <v>1037</v>
      </c>
      <c r="B801" s="1" t="s">
        <v>289</v>
      </c>
      <c r="C801" s="1" t="s">
        <v>30</v>
      </c>
      <c r="D801" s="1" t="s">
        <v>31</v>
      </c>
      <c r="E801" s="1" t="s">
        <v>32</v>
      </c>
      <c r="F801" s="1" t="s">
        <v>39</v>
      </c>
      <c r="G801" s="1" t="s">
        <v>36</v>
      </c>
      <c r="H801" s="1">
        <v>18599</v>
      </c>
      <c r="I801" s="1"/>
      <c r="J801" s="1"/>
      <c r="K801" s="1">
        <v>17000</v>
      </c>
      <c r="L801" s="2">
        <v>45348</v>
      </c>
    </row>
    <row r="802" spans="1:12" x14ac:dyDescent="0.35">
      <c r="A802" s="1" t="s">
        <v>1038</v>
      </c>
      <c r="B802" s="1" t="s">
        <v>676</v>
      </c>
      <c r="C802" s="1" t="s">
        <v>30</v>
      </c>
      <c r="D802" s="1" t="s">
        <v>31</v>
      </c>
      <c r="E802" s="1" t="s">
        <v>32</v>
      </c>
      <c r="F802" s="1" t="s">
        <v>25</v>
      </c>
      <c r="G802" s="1" t="s">
        <v>36</v>
      </c>
      <c r="H802" s="1">
        <v>18674</v>
      </c>
      <c r="I802" s="1"/>
      <c r="J802" s="1"/>
      <c r="K802" s="1">
        <v>17000</v>
      </c>
      <c r="L802" s="2">
        <v>45334</v>
      </c>
    </row>
    <row r="803" spans="1:12" x14ac:dyDescent="0.35">
      <c r="A803" s="1" t="s">
        <v>1039</v>
      </c>
      <c r="B803" s="1" t="s">
        <v>325</v>
      </c>
      <c r="C803" s="1" t="s">
        <v>61</v>
      </c>
      <c r="D803" s="1" t="s">
        <v>62</v>
      </c>
      <c r="E803" s="1" t="s">
        <v>16</v>
      </c>
      <c r="F803" s="1" t="s">
        <v>39</v>
      </c>
      <c r="G803" s="1" t="s">
        <v>26</v>
      </c>
      <c r="H803" s="1">
        <v>10574</v>
      </c>
      <c r="I803" s="1" t="s">
        <v>19</v>
      </c>
      <c r="J803" s="1">
        <v>0.2</v>
      </c>
      <c r="K803" s="1">
        <v>9000</v>
      </c>
      <c r="L803" s="2">
        <v>45318</v>
      </c>
    </row>
    <row r="804" spans="1:12" x14ac:dyDescent="0.35">
      <c r="A804" s="1" t="s">
        <v>1040</v>
      </c>
      <c r="B804" s="1" t="s">
        <v>56</v>
      </c>
      <c r="C804" s="1" t="s">
        <v>44</v>
      </c>
      <c r="D804" s="1" t="s">
        <v>45</v>
      </c>
      <c r="E804" s="1" t="s">
        <v>46</v>
      </c>
      <c r="F804" s="1" t="s">
        <v>17</v>
      </c>
      <c r="G804" s="1" t="s">
        <v>26</v>
      </c>
      <c r="H804" s="1">
        <v>12348</v>
      </c>
      <c r="I804" s="1"/>
      <c r="J804" s="1"/>
      <c r="K804" s="1">
        <v>13000</v>
      </c>
      <c r="L804" s="2">
        <v>45326</v>
      </c>
    </row>
    <row r="805" spans="1:12" x14ac:dyDescent="0.35">
      <c r="A805" s="1" t="s">
        <v>1041</v>
      </c>
      <c r="B805" s="1" t="s">
        <v>35</v>
      </c>
      <c r="C805" s="1" t="s">
        <v>44</v>
      </c>
      <c r="D805" s="1" t="s">
        <v>45</v>
      </c>
      <c r="E805" s="1" t="s">
        <v>16</v>
      </c>
      <c r="F805" s="1" t="s">
        <v>39</v>
      </c>
      <c r="G805" s="1" t="s">
        <v>26</v>
      </c>
      <c r="H805" s="1">
        <v>14277</v>
      </c>
      <c r="I805" s="1" t="s">
        <v>19</v>
      </c>
      <c r="J805" s="1">
        <v>0.2</v>
      </c>
      <c r="K805" s="1">
        <v>13000</v>
      </c>
      <c r="L805" s="2">
        <v>45347</v>
      </c>
    </row>
    <row r="806" spans="1:12" x14ac:dyDescent="0.35">
      <c r="A806" s="1" t="s">
        <v>1042</v>
      </c>
      <c r="B806" s="1" t="s">
        <v>256</v>
      </c>
      <c r="C806" s="1" t="s">
        <v>44</v>
      </c>
      <c r="D806" s="1" t="s">
        <v>45</v>
      </c>
      <c r="E806" s="1" t="s">
        <v>46</v>
      </c>
      <c r="F806" s="1" t="s">
        <v>25</v>
      </c>
      <c r="G806" s="1" t="s">
        <v>26</v>
      </c>
      <c r="H806" s="1">
        <v>14821</v>
      </c>
      <c r="I806" s="1" t="s">
        <v>27</v>
      </c>
      <c r="J806" s="1"/>
      <c r="K806" s="1">
        <v>13000</v>
      </c>
      <c r="L806" s="2">
        <v>45350</v>
      </c>
    </row>
    <row r="807" spans="1:12" x14ac:dyDescent="0.35">
      <c r="A807" s="1" t="s">
        <v>1043</v>
      </c>
      <c r="B807" s="1" t="s">
        <v>74</v>
      </c>
      <c r="C807" s="1" t="s">
        <v>14</v>
      </c>
      <c r="D807" s="1" t="s">
        <v>15</v>
      </c>
      <c r="E807" s="1" t="s">
        <v>16</v>
      </c>
      <c r="F807" s="1" t="s">
        <v>39</v>
      </c>
      <c r="G807" s="1" t="s">
        <v>26</v>
      </c>
      <c r="H807" s="1">
        <v>12484</v>
      </c>
      <c r="I807" s="1" t="s">
        <v>19</v>
      </c>
      <c r="J807" s="1">
        <v>0.2</v>
      </c>
      <c r="K807" s="1">
        <v>14000</v>
      </c>
      <c r="L807" s="2">
        <v>45312</v>
      </c>
    </row>
    <row r="808" spans="1:12" x14ac:dyDescent="0.35">
      <c r="A808" s="1" t="s">
        <v>1044</v>
      </c>
      <c r="B808" s="1" t="s">
        <v>412</v>
      </c>
      <c r="C808" s="1" t="s">
        <v>14</v>
      </c>
      <c r="D808" s="1" t="s">
        <v>15</v>
      </c>
      <c r="E808" s="1" t="s">
        <v>46</v>
      </c>
      <c r="F808" s="1" t="s">
        <v>17</v>
      </c>
      <c r="G808" s="1" t="s">
        <v>36</v>
      </c>
      <c r="H808" s="1">
        <v>13242</v>
      </c>
      <c r="I808" s="1"/>
      <c r="J808" s="1"/>
      <c r="K808" s="1">
        <v>14000</v>
      </c>
      <c r="L808" s="2">
        <v>45339</v>
      </c>
    </row>
    <row r="809" spans="1:12" x14ac:dyDescent="0.35">
      <c r="A809" s="1" t="s">
        <v>1045</v>
      </c>
      <c r="B809" s="1" t="s">
        <v>454</v>
      </c>
      <c r="C809" s="1" t="s">
        <v>30</v>
      </c>
      <c r="D809" s="1" t="s">
        <v>31</v>
      </c>
      <c r="E809" s="1" t="s">
        <v>32</v>
      </c>
      <c r="F809" s="1" t="s">
        <v>25</v>
      </c>
      <c r="G809" s="1" t="s">
        <v>18</v>
      </c>
      <c r="H809" s="1">
        <v>15538</v>
      </c>
      <c r="I809" s="1" t="s">
        <v>19</v>
      </c>
      <c r="J809" s="1">
        <v>0.2</v>
      </c>
      <c r="K809" s="1">
        <v>17000</v>
      </c>
      <c r="L809" s="2">
        <v>45293</v>
      </c>
    </row>
    <row r="810" spans="1:12" x14ac:dyDescent="0.35">
      <c r="A810" s="1" t="s">
        <v>1046</v>
      </c>
      <c r="B810" s="1" t="s">
        <v>522</v>
      </c>
      <c r="C810" s="1" t="s">
        <v>30</v>
      </c>
      <c r="D810" s="1" t="s">
        <v>31</v>
      </c>
      <c r="E810" s="1" t="s">
        <v>16</v>
      </c>
      <c r="F810" s="1" t="s">
        <v>39</v>
      </c>
      <c r="G810" s="1" t="s">
        <v>26</v>
      </c>
      <c r="H810" s="1">
        <v>15945</v>
      </c>
      <c r="I810" s="1" t="s">
        <v>27</v>
      </c>
      <c r="J810" s="1"/>
      <c r="K810" s="1">
        <v>17000</v>
      </c>
      <c r="L810" s="2">
        <v>45306</v>
      </c>
    </row>
    <row r="811" spans="1:12" x14ac:dyDescent="0.35">
      <c r="A811" s="1" t="s">
        <v>1047</v>
      </c>
      <c r="B811" s="1" t="s">
        <v>817</v>
      </c>
      <c r="C811" s="1" t="s">
        <v>14</v>
      </c>
      <c r="D811" s="1" t="s">
        <v>15</v>
      </c>
      <c r="E811" s="1" t="s">
        <v>46</v>
      </c>
      <c r="F811" s="1" t="s">
        <v>25</v>
      </c>
      <c r="G811" s="1" t="s">
        <v>26</v>
      </c>
      <c r="H811" s="1">
        <v>15194</v>
      </c>
      <c r="I811" s="1"/>
      <c r="J811" s="1"/>
      <c r="K811" s="1">
        <v>14000</v>
      </c>
      <c r="L811" s="2">
        <v>45300</v>
      </c>
    </row>
    <row r="812" spans="1:12" x14ac:dyDescent="0.35">
      <c r="A812" s="1" t="s">
        <v>1048</v>
      </c>
      <c r="B812" s="1" t="s">
        <v>105</v>
      </c>
      <c r="C812" s="1" t="s">
        <v>61</v>
      </c>
      <c r="D812" s="1" t="s">
        <v>62</v>
      </c>
      <c r="E812" s="1" t="s">
        <v>16</v>
      </c>
      <c r="F812" s="1" t="s">
        <v>39</v>
      </c>
      <c r="G812" s="1" t="s">
        <v>36</v>
      </c>
      <c r="H812" s="1">
        <v>7753</v>
      </c>
      <c r="I812" s="1"/>
      <c r="J812" s="1"/>
      <c r="K812" s="1">
        <v>9000</v>
      </c>
      <c r="L812" s="2">
        <v>45323</v>
      </c>
    </row>
    <row r="813" spans="1:12" x14ac:dyDescent="0.35">
      <c r="A813" s="1" t="s">
        <v>1049</v>
      </c>
      <c r="B813" s="1" t="s">
        <v>508</v>
      </c>
      <c r="C813" s="1" t="s">
        <v>44</v>
      </c>
      <c r="D813" s="1" t="s">
        <v>45</v>
      </c>
      <c r="E813" s="1" t="s">
        <v>32</v>
      </c>
      <c r="F813" s="1" t="s">
        <v>25</v>
      </c>
      <c r="G813" s="1" t="s">
        <v>18</v>
      </c>
      <c r="H813" s="1">
        <v>12673</v>
      </c>
      <c r="I813" s="1" t="s">
        <v>22</v>
      </c>
      <c r="J813" s="1">
        <v>0.1</v>
      </c>
      <c r="K813" s="1">
        <v>13000</v>
      </c>
      <c r="L813" s="2">
        <v>45351</v>
      </c>
    </row>
    <row r="814" spans="1:12" x14ac:dyDescent="0.35">
      <c r="A814" s="1" t="s">
        <v>1050</v>
      </c>
      <c r="B814" s="1" t="s">
        <v>70</v>
      </c>
      <c r="C814" s="1" t="s">
        <v>44</v>
      </c>
      <c r="D814" s="1" t="s">
        <v>45</v>
      </c>
      <c r="E814" s="1" t="s">
        <v>16</v>
      </c>
      <c r="F814" s="1" t="s">
        <v>39</v>
      </c>
      <c r="G814" s="1" t="s">
        <v>18</v>
      </c>
      <c r="H814" s="1">
        <v>14103</v>
      </c>
      <c r="I814" s="1" t="s">
        <v>19</v>
      </c>
      <c r="J814" s="1">
        <v>0.2</v>
      </c>
      <c r="K814" s="1">
        <v>13000</v>
      </c>
      <c r="L814" s="2">
        <v>45296</v>
      </c>
    </row>
    <row r="815" spans="1:12" x14ac:dyDescent="0.35">
      <c r="A815" s="1" t="s">
        <v>1051</v>
      </c>
      <c r="B815" s="1" t="s">
        <v>429</v>
      </c>
      <c r="C815" s="1" t="s">
        <v>61</v>
      </c>
      <c r="D815" s="1" t="s">
        <v>62</v>
      </c>
      <c r="E815" s="1" t="s">
        <v>16</v>
      </c>
      <c r="F815" s="1" t="s">
        <v>17</v>
      </c>
      <c r="G815" s="1" t="s">
        <v>36</v>
      </c>
      <c r="H815" s="1">
        <v>10635</v>
      </c>
      <c r="I815" s="1" t="s">
        <v>19</v>
      </c>
      <c r="J815" s="1">
        <v>0.2</v>
      </c>
      <c r="K815" s="1">
        <v>9000</v>
      </c>
      <c r="L815" s="2">
        <v>45319</v>
      </c>
    </row>
    <row r="816" spans="1:12" x14ac:dyDescent="0.35">
      <c r="A816" s="1" t="s">
        <v>1052</v>
      </c>
      <c r="B816" s="1" t="s">
        <v>155</v>
      </c>
      <c r="C816" s="1" t="s">
        <v>14</v>
      </c>
      <c r="D816" s="1" t="s">
        <v>15</v>
      </c>
      <c r="E816" s="1" t="s">
        <v>16</v>
      </c>
      <c r="F816" s="1" t="s">
        <v>39</v>
      </c>
      <c r="G816" s="1" t="s">
        <v>36</v>
      </c>
      <c r="H816" s="1">
        <v>14949</v>
      </c>
      <c r="I816" s="1" t="s">
        <v>33</v>
      </c>
      <c r="J816" s="1">
        <v>0.3</v>
      </c>
      <c r="K816" s="1">
        <v>14000</v>
      </c>
      <c r="L816" s="2">
        <v>45317</v>
      </c>
    </row>
    <row r="817" spans="1:12" x14ac:dyDescent="0.35">
      <c r="A817" s="1" t="s">
        <v>1053</v>
      </c>
      <c r="B817" s="1" t="s">
        <v>233</v>
      </c>
      <c r="C817" s="1" t="s">
        <v>14</v>
      </c>
      <c r="D817" s="1" t="s">
        <v>15</v>
      </c>
      <c r="E817" s="1" t="s">
        <v>16</v>
      </c>
      <c r="F817" s="1" t="s">
        <v>25</v>
      </c>
      <c r="G817" s="1" t="s">
        <v>36</v>
      </c>
      <c r="H817" s="1">
        <v>13871</v>
      </c>
      <c r="I817" s="1" t="s">
        <v>22</v>
      </c>
      <c r="J817" s="1">
        <v>0.1</v>
      </c>
      <c r="K817" s="1">
        <v>14000</v>
      </c>
      <c r="L817" s="2">
        <v>45348</v>
      </c>
    </row>
    <row r="818" spans="1:12" x14ac:dyDescent="0.35">
      <c r="A818" s="1" t="s">
        <v>1054</v>
      </c>
      <c r="B818" s="1" t="s">
        <v>24</v>
      </c>
      <c r="C818" s="1" t="s">
        <v>61</v>
      </c>
      <c r="D818" s="1" t="s">
        <v>62</v>
      </c>
      <c r="E818" s="1" t="s">
        <v>16</v>
      </c>
      <c r="F818" s="1" t="s">
        <v>25</v>
      </c>
      <c r="G818" s="1" t="s">
        <v>26</v>
      </c>
      <c r="H818" s="1">
        <v>8586</v>
      </c>
      <c r="I818" s="1" t="s">
        <v>27</v>
      </c>
      <c r="J818" s="1"/>
      <c r="K818" s="1">
        <v>9000</v>
      </c>
      <c r="L818" s="2">
        <v>45340</v>
      </c>
    </row>
    <row r="819" spans="1:12" x14ac:dyDescent="0.35">
      <c r="A819" s="1" t="s">
        <v>1055</v>
      </c>
      <c r="B819" s="1" t="s">
        <v>1032</v>
      </c>
      <c r="C819" s="1" t="s">
        <v>44</v>
      </c>
      <c r="D819" s="1" t="s">
        <v>45</v>
      </c>
      <c r="E819" s="1" t="s">
        <v>46</v>
      </c>
      <c r="F819" s="1" t="s">
        <v>17</v>
      </c>
      <c r="G819" s="1" t="s">
        <v>36</v>
      </c>
      <c r="H819" s="1">
        <v>14622</v>
      </c>
      <c r="I819" s="1" t="s">
        <v>33</v>
      </c>
      <c r="J819" s="1">
        <v>0.3</v>
      </c>
      <c r="K819" s="1">
        <v>13000</v>
      </c>
      <c r="L819" s="2">
        <v>45341</v>
      </c>
    </row>
    <row r="820" spans="1:12" x14ac:dyDescent="0.35">
      <c r="A820" s="1" t="s">
        <v>1056</v>
      </c>
      <c r="B820" s="1" t="s">
        <v>643</v>
      </c>
      <c r="C820" s="1" t="s">
        <v>61</v>
      </c>
      <c r="D820" s="1" t="s">
        <v>62</v>
      </c>
      <c r="E820" s="1" t="s">
        <v>32</v>
      </c>
      <c r="F820" s="1" t="s">
        <v>17</v>
      </c>
      <c r="G820" s="1" t="s">
        <v>36</v>
      </c>
      <c r="H820" s="1">
        <v>9511</v>
      </c>
      <c r="I820" s="1" t="s">
        <v>22</v>
      </c>
      <c r="J820" s="1">
        <v>0.1</v>
      </c>
      <c r="K820" s="1">
        <v>9000</v>
      </c>
      <c r="L820" s="2">
        <v>45336</v>
      </c>
    </row>
    <row r="821" spans="1:12" x14ac:dyDescent="0.35">
      <c r="A821" s="1" t="s">
        <v>1057</v>
      </c>
      <c r="B821" s="1" t="s">
        <v>80</v>
      </c>
      <c r="C821" s="1" t="s">
        <v>61</v>
      </c>
      <c r="D821" s="1" t="s">
        <v>62</v>
      </c>
      <c r="E821" s="1" t="s">
        <v>16</v>
      </c>
      <c r="F821" s="1" t="s">
        <v>17</v>
      </c>
      <c r="G821" s="1" t="s">
        <v>18</v>
      </c>
      <c r="H821" s="1">
        <v>9959</v>
      </c>
      <c r="I821" s="1" t="s">
        <v>27</v>
      </c>
      <c r="J821" s="1"/>
      <c r="K821" s="1">
        <v>9000</v>
      </c>
      <c r="L821" s="2">
        <v>45299</v>
      </c>
    </row>
    <row r="822" spans="1:12" x14ac:dyDescent="0.35">
      <c r="A822" s="1" t="s">
        <v>1058</v>
      </c>
      <c r="B822" s="1" t="s">
        <v>135</v>
      </c>
      <c r="C822" s="1" t="s">
        <v>44</v>
      </c>
      <c r="D822" s="1" t="s">
        <v>45</v>
      </c>
      <c r="E822" s="1" t="s">
        <v>46</v>
      </c>
      <c r="F822" s="1" t="s">
        <v>17</v>
      </c>
      <c r="G822" s="1" t="s">
        <v>36</v>
      </c>
      <c r="H822" s="1">
        <v>12846</v>
      </c>
      <c r="I822" s="1" t="s">
        <v>22</v>
      </c>
      <c r="J822" s="1">
        <v>0.1</v>
      </c>
      <c r="K822" s="1">
        <v>13000</v>
      </c>
      <c r="L822" s="2">
        <v>45303</v>
      </c>
    </row>
    <row r="823" spans="1:12" x14ac:dyDescent="0.35">
      <c r="A823" s="1" t="s">
        <v>1059</v>
      </c>
      <c r="B823" s="1" t="s">
        <v>600</v>
      </c>
      <c r="C823" s="1" t="s">
        <v>44</v>
      </c>
      <c r="D823" s="1" t="s">
        <v>45</v>
      </c>
      <c r="E823" s="1" t="s">
        <v>46</v>
      </c>
      <c r="F823" s="1" t="s">
        <v>25</v>
      </c>
      <c r="G823" s="1" t="s">
        <v>36</v>
      </c>
      <c r="H823" s="1">
        <v>12327</v>
      </c>
      <c r="I823" s="1" t="s">
        <v>19</v>
      </c>
      <c r="J823" s="1">
        <v>0.2</v>
      </c>
      <c r="K823" s="1">
        <v>13000</v>
      </c>
      <c r="L823" s="2">
        <v>45337</v>
      </c>
    </row>
    <row r="824" spans="1:12" x14ac:dyDescent="0.35">
      <c r="A824" s="1" t="s">
        <v>1060</v>
      </c>
      <c r="B824" s="1" t="s">
        <v>1000</v>
      </c>
      <c r="C824" s="1" t="s">
        <v>14</v>
      </c>
      <c r="D824" s="1" t="s">
        <v>15</v>
      </c>
      <c r="E824" s="1" t="s">
        <v>32</v>
      </c>
      <c r="F824" s="1" t="s">
        <v>39</v>
      </c>
      <c r="G824" s="1" t="s">
        <v>36</v>
      </c>
      <c r="H824" s="1">
        <v>14597</v>
      </c>
      <c r="I824" s="1" t="s">
        <v>33</v>
      </c>
      <c r="J824" s="1">
        <v>0.3</v>
      </c>
      <c r="K824" s="1">
        <v>14000</v>
      </c>
      <c r="L824" s="2">
        <v>45297</v>
      </c>
    </row>
    <row r="825" spans="1:12" x14ac:dyDescent="0.35">
      <c r="A825" s="1" t="s">
        <v>1061</v>
      </c>
      <c r="B825" s="1" t="s">
        <v>548</v>
      </c>
      <c r="C825" s="1" t="s">
        <v>61</v>
      </c>
      <c r="D825" s="1" t="s">
        <v>62</v>
      </c>
      <c r="E825" s="1" t="s">
        <v>16</v>
      </c>
      <c r="F825" s="1" t="s">
        <v>39</v>
      </c>
      <c r="G825" s="1" t="s">
        <v>26</v>
      </c>
      <c r="H825" s="1">
        <v>10890</v>
      </c>
      <c r="I825" s="1" t="s">
        <v>19</v>
      </c>
      <c r="J825" s="1">
        <v>0.2</v>
      </c>
      <c r="K825" s="1">
        <v>9000</v>
      </c>
      <c r="L825" s="2">
        <v>45316</v>
      </c>
    </row>
    <row r="826" spans="1:12" x14ac:dyDescent="0.35">
      <c r="A826" s="1" t="s">
        <v>1062</v>
      </c>
      <c r="B826" s="1" t="s">
        <v>388</v>
      </c>
      <c r="C826" s="1" t="s">
        <v>14</v>
      </c>
      <c r="D826" s="1" t="s">
        <v>15</v>
      </c>
      <c r="E826" s="1" t="s">
        <v>32</v>
      </c>
      <c r="F826" s="1" t="s">
        <v>17</v>
      </c>
      <c r="G826" s="1" t="s">
        <v>26</v>
      </c>
      <c r="H826" s="1">
        <v>15568</v>
      </c>
      <c r="I826" s="1" t="s">
        <v>19</v>
      </c>
      <c r="J826" s="1">
        <v>0.2</v>
      </c>
      <c r="K826" s="1">
        <v>14000</v>
      </c>
      <c r="L826" s="2">
        <v>45302</v>
      </c>
    </row>
    <row r="827" spans="1:12" x14ac:dyDescent="0.35">
      <c r="A827" s="1" t="s">
        <v>1063</v>
      </c>
      <c r="B827" s="1" t="s">
        <v>412</v>
      </c>
      <c r="C827" s="1" t="s">
        <v>44</v>
      </c>
      <c r="D827" s="1" t="s">
        <v>45</v>
      </c>
      <c r="E827" s="1" t="s">
        <v>16</v>
      </c>
      <c r="F827" s="1" t="s">
        <v>25</v>
      </c>
      <c r="G827" s="1" t="s">
        <v>36</v>
      </c>
      <c r="H827" s="1">
        <v>12261</v>
      </c>
      <c r="I827" s="1" t="s">
        <v>33</v>
      </c>
      <c r="J827" s="1">
        <v>0.3</v>
      </c>
      <c r="K827" s="1">
        <v>13000</v>
      </c>
      <c r="L827" s="2">
        <v>45338</v>
      </c>
    </row>
    <row r="828" spans="1:12" x14ac:dyDescent="0.35">
      <c r="A828" s="1" t="s">
        <v>1064</v>
      </c>
      <c r="B828" s="1" t="s">
        <v>298</v>
      </c>
      <c r="C828" s="1" t="s">
        <v>30</v>
      </c>
      <c r="D828" s="1" t="s">
        <v>31</v>
      </c>
      <c r="E828" s="1" t="s">
        <v>16</v>
      </c>
      <c r="F828" s="1" t="s">
        <v>25</v>
      </c>
      <c r="G828" s="1" t="s">
        <v>18</v>
      </c>
      <c r="H828" s="1">
        <v>18680</v>
      </c>
      <c r="I828" s="1" t="s">
        <v>19</v>
      </c>
      <c r="J828" s="1">
        <v>0.2</v>
      </c>
      <c r="K828" s="1">
        <v>17000</v>
      </c>
      <c r="L828" s="2">
        <v>45304</v>
      </c>
    </row>
    <row r="829" spans="1:12" x14ac:dyDescent="0.35">
      <c r="A829" s="1" t="s">
        <v>1065</v>
      </c>
      <c r="B829" s="1" t="s">
        <v>109</v>
      </c>
      <c r="C829" s="1" t="s">
        <v>30</v>
      </c>
      <c r="D829" s="1" t="s">
        <v>31</v>
      </c>
      <c r="E829" s="1" t="s">
        <v>32</v>
      </c>
      <c r="F829" s="1" t="s">
        <v>17</v>
      </c>
      <c r="G829" s="1" t="s">
        <v>36</v>
      </c>
      <c r="H829" s="1">
        <v>18503</v>
      </c>
      <c r="I829" s="1"/>
      <c r="J829" s="1"/>
      <c r="K829" s="1">
        <v>17000</v>
      </c>
      <c r="L829" s="2">
        <v>45326</v>
      </c>
    </row>
    <row r="830" spans="1:12" x14ac:dyDescent="0.35">
      <c r="A830" s="1" t="s">
        <v>1066</v>
      </c>
      <c r="B830" s="1" t="s">
        <v>64</v>
      </c>
      <c r="C830" s="1" t="s">
        <v>61</v>
      </c>
      <c r="D830" s="1" t="s">
        <v>62</v>
      </c>
      <c r="E830" s="1" t="s">
        <v>32</v>
      </c>
      <c r="F830" s="1" t="s">
        <v>25</v>
      </c>
      <c r="G830" s="1" t="s">
        <v>26</v>
      </c>
      <c r="H830" s="1">
        <v>9701</v>
      </c>
      <c r="I830" s="1"/>
      <c r="J830" s="1"/>
      <c r="K830" s="1">
        <v>9000</v>
      </c>
      <c r="L830" s="2">
        <v>45321</v>
      </c>
    </row>
    <row r="831" spans="1:12" x14ac:dyDescent="0.35">
      <c r="A831" s="1" t="s">
        <v>1067</v>
      </c>
      <c r="B831" s="1" t="s">
        <v>527</v>
      </c>
      <c r="C831" s="1" t="s">
        <v>14</v>
      </c>
      <c r="D831" s="1" t="s">
        <v>15</v>
      </c>
      <c r="E831" s="1" t="s">
        <v>16</v>
      </c>
      <c r="F831" s="1" t="s">
        <v>39</v>
      </c>
      <c r="G831" s="1" t="s">
        <v>18</v>
      </c>
      <c r="H831" s="1">
        <v>13002</v>
      </c>
      <c r="I831" s="1" t="s">
        <v>27</v>
      </c>
      <c r="J831" s="1"/>
      <c r="K831" s="1">
        <v>14000</v>
      </c>
      <c r="L831" s="2">
        <v>45309</v>
      </c>
    </row>
    <row r="832" spans="1:12" x14ac:dyDescent="0.35">
      <c r="A832" s="1" t="s">
        <v>1068</v>
      </c>
      <c r="B832" s="1" t="s">
        <v>209</v>
      </c>
      <c r="C832" s="1" t="s">
        <v>44</v>
      </c>
      <c r="D832" s="1" t="s">
        <v>45</v>
      </c>
      <c r="E832" s="1" t="s">
        <v>32</v>
      </c>
      <c r="F832" s="1" t="s">
        <v>25</v>
      </c>
      <c r="G832" s="1" t="s">
        <v>18</v>
      </c>
      <c r="H832" s="1">
        <v>11225</v>
      </c>
      <c r="I832" s="1" t="s">
        <v>33</v>
      </c>
      <c r="J832" s="1">
        <v>0.3</v>
      </c>
      <c r="K832" s="1">
        <v>13000</v>
      </c>
      <c r="L832" s="2">
        <v>45294</v>
      </c>
    </row>
    <row r="833" spans="1:12" x14ac:dyDescent="0.35">
      <c r="A833" s="1" t="s">
        <v>1069</v>
      </c>
      <c r="B833" s="1" t="s">
        <v>619</v>
      </c>
      <c r="C833" s="1" t="s">
        <v>14</v>
      </c>
      <c r="D833" s="1" t="s">
        <v>15</v>
      </c>
      <c r="E833" s="1" t="s">
        <v>16</v>
      </c>
      <c r="F833" s="1" t="s">
        <v>39</v>
      </c>
      <c r="G833" s="1" t="s">
        <v>26</v>
      </c>
      <c r="H833" s="1">
        <v>13222</v>
      </c>
      <c r="I833" s="1" t="s">
        <v>33</v>
      </c>
      <c r="J833" s="1">
        <v>0.3</v>
      </c>
      <c r="K833" s="1">
        <v>14000</v>
      </c>
      <c r="L833" s="2">
        <v>45350</v>
      </c>
    </row>
    <row r="834" spans="1:12" x14ac:dyDescent="0.35">
      <c r="A834" s="1" t="s">
        <v>1070</v>
      </c>
      <c r="B834" s="1" t="s">
        <v>43</v>
      </c>
      <c r="C834" s="1" t="s">
        <v>14</v>
      </c>
      <c r="D834" s="1" t="s">
        <v>15</v>
      </c>
      <c r="E834" s="1" t="s">
        <v>46</v>
      </c>
      <c r="F834" s="1" t="s">
        <v>25</v>
      </c>
      <c r="G834" s="1" t="s">
        <v>18</v>
      </c>
      <c r="H834" s="1">
        <v>14752</v>
      </c>
      <c r="I834" s="1" t="s">
        <v>33</v>
      </c>
      <c r="J834" s="1">
        <v>0.3</v>
      </c>
      <c r="K834" s="1">
        <v>14000</v>
      </c>
      <c r="L834" s="2">
        <v>45331</v>
      </c>
    </row>
    <row r="835" spans="1:12" x14ac:dyDescent="0.35">
      <c r="A835" s="1" t="s">
        <v>1071</v>
      </c>
      <c r="B835" s="1" t="s">
        <v>305</v>
      </c>
      <c r="C835" s="1" t="s">
        <v>44</v>
      </c>
      <c r="D835" s="1" t="s">
        <v>45</v>
      </c>
      <c r="E835" s="1" t="s">
        <v>46</v>
      </c>
      <c r="F835" s="1" t="s">
        <v>39</v>
      </c>
      <c r="G835" s="1" t="s">
        <v>26</v>
      </c>
      <c r="H835" s="1">
        <v>12475</v>
      </c>
      <c r="I835" s="1" t="s">
        <v>22</v>
      </c>
      <c r="J835" s="1">
        <v>0.1</v>
      </c>
      <c r="K835" s="1">
        <v>13000</v>
      </c>
      <c r="L835" s="2">
        <v>45297</v>
      </c>
    </row>
    <row r="836" spans="1:12" x14ac:dyDescent="0.35">
      <c r="A836" s="1" t="s">
        <v>1072</v>
      </c>
      <c r="B836" s="1" t="s">
        <v>1073</v>
      </c>
      <c r="C836" s="1" t="s">
        <v>30</v>
      </c>
      <c r="D836" s="1" t="s">
        <v>31</v>
      </c>
      <c r="E836" s="1" t="s">
        <v>46</v>
      </c>
      <c r="F836" s="1" t="s">
        <v>17</v>
      </c>
      <c r="G836" s="1" t="s">
        <v>18</v>
      </c>
      <c r="H836" s="1">
        <v>18106</v>
      </c>
      <c r="I836" s="1"/>
      <c r="J836" s="1"/>
      <c r="K836" s="1">
        <v>17000</v>
      </c>
      <c r="L836" s="2">
        <v>45345</v>
      </c>
    </row>
    <row r="837" spans="1:12" x14ac:dyDescent="0.35">
      <c r="A837" s="1" t="s">
        <v>1074</v>
      </c>
      <c r="B837" s="1" t="s">
        <v>905</v>
      </c>
      <c r="C837" s="1" t="s">
        <v>30</v>
      </c>
      <c r="D837" s="1" t="s">
        <v>31</v>
      </c>
      <c r="E837" s="1" t="s">
        <v>46</v>
      </c>
      <c r="F837" s="1" t="s">
        <v>25</v>
      </c>
      <c r="G837" s="1" t="s">
        <v>18</v>
      </c>
      <c r="H837" s="1">
        <v>17845</v>
      </c>
      <c r="I837" s="1" t="s">
        <v>33</v>
      </c>
      <c r="J837" s="1">
        <v>0.3</v>
      </c>
      <c r="K837" s="1">
        <v>17000</v>
      </c>
      <c r="L837" s="2">
        <v>45313</v>
      </c>
    </row>
    <row r="838" spans="1:12" x14ac:dyDescent="0.35">
      <c r="A838" s="1" t="s">
        <v>1075</v>
      </c>
      <c r="B838" s="1" t="s">
        <v>388</v>
      </c>
      <c r="C838" s="1" t="s">
        <v>44</v>
      </c>
      <c r="D838" s="1" t="s">
        <v>45</v>
      </c>
      <c r="E838" s="1" t="s">
        <v>16</v>
      </c>
      <c r="F838" s="1" t="s">
        <v>25</v>
      </c>
      <c r="G838" s="1" t="s">
        <v>26</v>
      </c>
      <c r="H838" s="1">
        <v>11238</v>
      </c>
      <c r="I838" s="1" t="s">
        <v>22</v>
      </c>
      <c r="J838" s="1">
        <v>0.1</v>
      </c>
      <c r="K838" s="1">
        <v>13000</v>
      </c>
      <c r="L838" s="2">
        <v>45328</v>
      </c>
    </row>
    <row r="839" spans="1:12" x14ac:dyDescent="0.35">
      <c r="A839" s="1" t="s">
        <v>1076</v>
      </c>
      <c r="B839" s="1" t="s">
        <v>765</v>
      </c>
      <c r="C839" s="1" t="s">
        <v>14</v>
      </c>
      <c r="D839" s="1" t="s">
        <v>15</v>
      </c>
      <c r="E839" s="1" t="s">
        <v>46</v>
      </c>
      <c r="F839" s="1" t="s">
        <v>39</v>
      </c>
      <c r="G839" s="1" t="s">
        <v>26</v>
      </c>
      <c r="H839" s="1">
        <v>14477</v>
      </c>
      <c r="I839" s="1" t="s">
        <v>33</v>
      </c>
      <c r="J839" s="1">
        <v>0.3</v>
      </c>
      <c r="K839" s="1">
        <v>14000</v>
      </c>
      <c r="L839" s="2">
        <v>45319</v>
      </c>
    </row>
    <row r="840" spans="1:12" x14ac:dyDescent="0.35">
      <c r="A840" s="1" t="s">
        <v>1077</v>
      </c>
      <c r="B840" s="1" t="s">
        <v>837</v>
      </c>
      <c r="C840" s="1" t="s">
        <v>30</v>
      </c>
      <c r="D840" s="1" t="s">
        <v>31</v>
      </c>
      <c r="E840" s="1" t="s">
        <v>46</v>
      </c>
      <c r="F840" s="1" t="s">
        <v>39</v>
      </c>
      <c r="G840" s="1" t="s">
        <v>26</v>
      </c>
      <c r="H840" s="1">
        <v>17552</v>
      </c>
      <c r="I840" s="1" t="s">
        <v>33</v>
      </c>
      <c r="J840" s="1">
        <v>0.3</v>
      </c>
      <c r="K840" s="1">
        <v>17000</v>
      </c>
      <c r="L840" s="2">
        <v>45351</v>
      </c>
    </row>
    <row r="841" spans="1:12" x14ac:dyDescent="0.35">
      <c r="A841" s="1" t="s">
        <v>1078</v>
      </c>
      <c r="B841" s="1" t="s">
        <v>720</v>
      </c>
      <c r="C841" s="1" t="s">
        <v>61</v>
      </c>
      <c r="D841" s="1" t="s">
        <v>62</v>
      </c>
      <c r="E841" s="1" t="s">
        <v>16</v>
      </c>
      <c r="F841" s="1" t="s">
        <v>39</v>
      </c>
      <c r="G841" s="1" t="s">
        <v>26</v>
      </c>
      <c r="H841" s="1">
        <v>9038</v>
      </c>
      <c r="I841" s="1"/>
      <c r="J841" s="1"/>
      <c r="K841" s="1">
        <v>9000</v>
      </c>
      <c r="L841" s="2">
        <v>45343</v>
      </c>
    </row>
    <row r="842" spans="1:12" x14ac:dyDescent="0.35">
      <c r="A842" s="1" t="s">
        <v>1079</v>
      </c>
      <c r="B842" s="1" t="s">
        <v>720</v>
      </c>
      <c r="C842" s="1" t="s">
        <v>44</v>
      </c>
      <c r="D842" s="1" t="s">
        <v>45</v>
      </c>
      <c r="E842" s="1" t="s">
        <v>16</v>
      </c>
      <c r="F842" s="1" t="s">
        <v>17</v>
      </c>
      <c r="G842" s="1" t="s">
        <v>18</v>
      </c>
      <c r="H842" s="1">
        <v>11006</v>
      </c>
      <c r="I842" s="1" t="s">
        <v>22</v>
      </c>
      <c r="J842" s="1">
        <v>0.1</v>
      </c>
      <c r="K842" s="1">
        <v>13000</v>
      </c>
      <c r="L842" s="2">
        <v>45293</v>
      </c>
    </row>
    <row r="843" spans="1:12" x14ac:dyDescent="0.35">
      <c r="A843" s="1" t="s">
        <v>1080</v>
      </c>
      <c r="B843" s="1" t="s">
        <v>332</v>
      </c>
      <c r="C843" s="1" t="s">
        <v>14</v>
      </c>
      <c r="D843" s="1" t="s">
        <v>15</v>
      </c>
      <c r="E843" s="1" t="s">
        <v>16</v>
      </c>
      <c r="F843" s="1" t="s">
        <v>25</v>
      </c>
      <c r="G843" s="1" t="s">
        <v>26</v>
      </c>
      <c r="H843" s="1">
        <v>13698</v>
      </c>
      <c r="I843" s="1"/>
      <c r="J843" s="1"/>
      <c r="K843" s="1">
        <v>14000</v>
      </c>
      <c r="L843" s="2">
        <v>45294</v>
      </c>
    </row>
    <row r="844" spans="1:12" x14ac:dyDescent="0.35">
      <c r="A844" s="1" t="s">
        <v>1081</v>
      </c>
      <c r="B844" s="1" t="s">
        <v>282</v>
      </c>
      <c r="C844" s="1" t="s">
        <v>44</v>
      </c>
      <c r="D844" s="1" t="s">
        <v>45</v>
      </c>
      <c r="E844" s="1" t="s">
        <v>32</v>
      </c>
      <c r="F844" s="1" t="s">
        <v>39</v>
      </c>
      <c r="G844" s="1" t="s">
        <v>18</v>
      </c>
      <c r="H844" s="1">
        <v>13826</v>
      </c>
      <c r="I844" s="1" t="s">
        <v>33</v>
      </c>
      <c r="J844" s="1">
        <v>0.3</v>
      </c>
      <c r="K844" s="1">
        <v>13000</v>
      </c>
      <c r="L844" s="2">
        <v>45308</v>
      </c>
    </row>
    <row r="845" spans="1:12" x14ac:dyDescent="0.35">
      <c r="A845" s="1" t="s">
        <v>1082</v>
      </c>
      <c r="B845" s="1" t="s">
        <v>652</v>
      </c>
      <c r="C845" s="1" t="s">
        <v>30</v>
      </c>
      <c r="D845" s="1" t="s">
        <v>31</v>
      </c>
      <c r="E845" s="1" t="s">
        <v>46</v>
      </c>
      <c r="F845" s="1" t="s">
        <v>39</v>
      </c>
      <c r="G845" s="1" t="s">
        <v>26</v>
      </c>
      <c r="H845" s="1">
        <v>16326</v>
      </c>
      <c r="I845" s="1" t="s">
        <v>22</v>
      </c>
      <c r="J845" s="1">
        <v>0.1</v>
      </c>
      <c r="K845" s="1">
        <v>17000</v>
      </c>
      <c r="L845" s="2">
        <v>45299</v>
      </c>
    </row>
    <row r="846" spans="1:12" x14ac:dyDescent="0.35">
      <c r="A846" s="1" t="s">
        <v>1083</v>
      </c>
      <c r="B846" s="1" t="s">
        <v>317</v>
      </c>
      <c r="C846" s="1" t="s">
        <v>30</v>
      </c>
      <c r="D846" s="1" t="s">
        <v>31</v>
      </c>
      <c r="E846" s="1" t="s">
        <v>46</v>
      </c>
      <c r="F846" s="1" t="s">
        <v>39</v>
      </c>
      <c r="G846" s="1" t="s">
        <v>26</v>
      </c>
      <c r="H846" s="1">
        <v>17523</v>
      </c>
      <c r="I846" s="1" t="s">
        <v>22</v>
      </c>
      <c r="J846" s="1">
        <v>0.1</v>
      </c>
      <c r="K846" s="1">
        <v>17000</v>
      </c>
      <c r="L846" s="2">
        <v>45345</v>
      </c>
    </row>
    <row r="847" spans="1:12" x14ac:dyDescent="0.35">
      <c r="A847" s="1" t="s">
        <v>1084</v>
      </c>
      <c r="B847" s="1" t="s">
        <v>35</v>
      </c>
      <c r="C847" s="1" t="s">
        <v>30</v>
      </c>
      <c r="D847" s="1" t="s">
        <v>31</v>
      </c>
      <c r="E847" s="1" t="s">
        <v>46</v>
      </c>
      <c r="F847" s="1" t="s">
        <v>39</v>
      </c>
      <c r="G847" s="1" t="s">
        <v>36</v>
      </c>
      <c r="H847" s="1">
        <v>18752</v>
      </c>
      <c r="I847" s="1"/>
      <c r="J847" s="1"/>
      <c r="K847" s="1">
        <v>17000</v>
      </c>
      <c r="L847" s="2">
        <v>45343</v>
      </c>
    </row>
    <row r="848" spans="1:12" x14ac:dyDescent="0.35">
      <c r="A848" s="1" t="s">
        <v>1085</v>
      </c>
      <c r="B848" s="1" t="s">
        <v>68</v>
      </c>
      <c r="C848" s="1" t="s">
        <v>44</v>
      </c>
      <c r="D848" s="1" t="s">
        <v>45</v>
      </c>
      <c r="E848" s="1" t="s">
        <v>46</v>
      </c>
      <c r="F848" s="1" t="s">
        <v>25</v>
      </c>
      <c r="G848" s="1" t="s">
        <v>26</v>
      </c>
      <c r="H848" s="1">
        <v>12886</v>
      </c>
      <c r="I848" s="1" t="s">
        <v>27</v>
      </c>
      <c r="J848" s="1"/>
      <c r="K848" s="1">
        <v>13000</v>
      </c>
      <c r="L848" s="2">
        <v>45349</v>
      </c>
    </row>
    <row r="849" spans="1:12" x14ac:dyDescent="0.35">
      <c r="A849" s="1" t="s">
        <v>1086</v>
      </c>
      <c r="B849" s="1" t="s">
        <v>802</v>
      </c>
      <c r="C849" s="1" t="s">
        <v>61</v>
      </c>
      <c r="D849" s="1" t="s">
        <v>62</v>
      </c>
      <c r="E849" s="1" t="s">
        <v>16</v>
      </c>
      <c r="F849" s="1" t="s">
        <v>25</v>
      </c>
      <c r="G849" s="1" t="s">
        <v>26</v>
      </c>
      <c r="H849" s="1">
        <v>8226</v>
      </c>
      <c r="I849" s="1" t="s">
        <v>27</v>
      </c>
      <c r="J849" s="1"/>
      <c r="K849" s="1">
        <v>9000</v>
      </c>
      <c r="L849" s="2">
        <v>45338</v>
      </c>
    </row>
    <row r="850" spans="1:12" x14ac:dyDescent="0.35">
      <c r="A850" s="1" t="s">
        <v>1087</v>
      </c>
      <c r="B850" s="1" t="s">
        <v>317</v>
      </c>
      <c r="C850" s="1" t="s">
        <v>14</v>
      </c>
      <c r="D850" s="1" t="s">
        <v>15</v>
      </c>
      <c r="E850" s="1" t="s">
        <v>32</v>
      </c>
      <c r="F850" s="1" t="s">
        <v>39</v>
      </c>
      <c r="G850" s="1" t="s">
        <v>26</v>
      </c>
      <c r="H850" s="1">
        <v>13358</v>
      </c>
      <c r="I850" s="1" t="s">
        <v>33</v>
      </c>
      <c r="J850" s="1">
        <v>0.3</v>
      </c>
      <c r="K850" s="1">
        <v>14000</v>
      </c>
      <c r="L850" s="2">
        <v>45296</v>
      </c>
    </row>
    <row r="851" spans="1:12" x14ac:dyDescent="0.35">
      <c r="A851" s="1" t="s">
        <v>1088</v>
      </c>
      <c r="B851" s="1" t="s">
        <v>256</v>
      </c>
      <c r="C851" s="1" t="s">
        <v>14</v>
      </c>
      <c r="D851" s="1" t="s">
        <v>15</v>
      </c>
      <c r="E851" s="1" t="s">
        <v>46</v>
      </c>
      <c r="F851" s="1" t="s">
        <v>17</v>
      </c>
      <c r="G851" s="1" t="s">
        <v>26</v>
      </c>
      <c r="H851" s="1">
        <v>14188</v>
      </c>
      <c r="I851" s="1" t="s">
        <v>19</v>
      </c>
      <c r="J851" s="1">
        <v>0.2</v>
      </c>
      <c r="K851" s="1">
        <v>14000</v>
      </c>
      <c r="L851" s="2">
        <v>45328</v>
      </c>
    </row>
    <row r="852" spans="1:12" x14ac:dyDescent="0.35">
      <c r="A852" s="1" t="s">
        <v>1089</v>
      </c>
      <c r="B852" s="1" t="s">
        <v>337</v>
      </c>
      <c r="C852" s="1" t="s">
        <v>44</v>
      </c>
      <c r="D852" s="1" t="s">
        <v>45</v>
      </c>
      <c r="E852" s="1" t="s">
        <v>16</v>
      </c>
      <c r="F852" s="1" t="s">
        <v>25</v>
      </c>
      <c r="G852" s="1" t="s">
        <v>36</v>
      </c>
      <c r="H852" s="1">
        <v>13888</v>
      </c>
      <c r="I852" s="1" t="s">
        <v>33</v>
      </c>
      <c r="J852" s="1">
        <v>0.3</v>
      </c>
      <c r="K852" s="1">
        <v>13000</v>
      </c>
      <c r="L852" s="2">
        <v>45337</v>
      </c>
    </row>
    <row r="853" spans="1:12" x14ac:dyDescent="0.35">
      <c r="A853" s="1" t="s">
        <v>1090</v>
      </c>
      <c r="B853" s="1" t="s">
        <v>584</v>
      </c>
      <c r="C853" s="1" t="s">
        <v>61</v>
      </c>
      <c r="D853" s="1" t="s">
        <v>62</v>
      </c>
      <c r="E853" s="1" t="s">
        <v>32</v>
      </c>
      <c r="F853" s="1" t="s">
        <v>17</v>
      </c>
      <c r="G853" s="1" t="s">
        <v>18</v>
      </c>
      <c r="H853" s="1">
        <v>8522</v>
      </c>
      <c r="I853" s="1"/>
      <c r="J853" s="1"/>
      <c r="K853" s="1">
        <v>9000</v>
      </c>
      <c r="L853" s="2">
        <v>45345</v>
      </c>
    </row>
    <row r="854" spans="1:12" x14ac:dyDescent="0.35">
      <c r="A854" s="1" t="s">
        <v>1091</v>
      </c>
      <c r="B854" s="1" t="s">
        <v>289</v>
      </c>
      <c r="C854" s="1" t="s">
        <v>30</v>
      </c>
      <c r="D854" s="1" t="s">
        <v>31</v>
      </c>
      <c r="E854" s="1" t="s">
        <v>32</v>
      </c>
      <c r="F854" s="1" t="s">
        <v>25</v>
      </c>
      <c r="G854" s="1" t="s">
        <v>36</v>
      </c>
      <c r="H854" s="1">
        <v>18215</v>
      </c>
      <c r="I854" s="1" t="s">
        <v>22</v>
      </c>
      <c r="J854" s="1">
        <v>0.1</v>
      </c>
      <c r="K854" s="1">
        <v>17000</v>
      </c>
      <c r="L854" s="2">
        <v>45341</v>
      </c>
    </row>
    <row r="855" spans="1:12" x14ac:dyDescent="0.35">
      <c r="A855" s="1" t="s">
        <v>1092</v>
      </c>
      <c r="B855" s="1" t="s">
        <v>229</v>
      </c>
      <c r="C855" s="1" t="s">
        <v>61</v>
      </c>
      <c r="D855" s="1" t="s">
        <v>62</v>
      </c>
      <c r="E855" s="1" t="s">
        <v>16</v>
      </c>
      <c r="F855" s="1" t="s">
        <v>25</v>
      </c>
      <c r="G855" s="1" t="s">
        <v>36</v>
      </c>
      <c r="H855" s="1">
        <v>10706</v>
      </c>
      <c r="I855" s="1" t="s">
        <v>27</v>
      </c>
      <c r="J855" s="1"/>
      <c r="K855" s="1">
        <v>9000</v>
      </c>
      <c r="L855" s="2">
        <v>45301</v>
      </c>
    </row>
    <row r="856" spans="1:12" x14ac:dyDescent="0.35">
      <c r="A856" s="1" t="s">
        <v>1093</v>
      </c>
      <c r="B856" s="1" t="s">
        <v>391</v>
      </c>
      <c r="C856" s="1" t="s">
        <v>61</v>
      </c>
      <c r="D856" s="1" t="s">
        <v>62</v>
      </c>
      <c r="E856" s="1" t="s">
        <v>16</v>
      </c>
      <c r="F856" s="1" t="s">
        <v>39</v>
      </c>
      <c r="G856" s="1" t="s">
        <v>36</v>
      </c>
      <c r="H856" s="1">
        <v>10176</v>
      </c>
      <c r="I856" s="1" t="s">
        <v>33</v>
      </c>
      <c r="J856" s="1">
        <v>0.3</v>
      </c>
      <c r="K856" s="1">
        <v>9000</v>
      </c>
      <c r="L856" s="2">
        <v>45301</v>
      </c>
    </row>
    <row r="857" spans="1:12" x14ac:dyDescent="0.35">
      <c r="A857" s="1" t="s">
        <v>1094</v>
      </c>
      <c r="B857" s="1" t="s">
        <v>140</v>
      </c>
      <c r="C857" s="1" t="s">
        <v>14</v>
      </c>
      <c r="D857" s="1" t="s">
        <v>15</v>
      </c>
      <c r="E857" s="1" t="s">
        <v>16</v>
      </c>
      <c r="F857" s="1" t="s">
        <v>39</v>
      </c>
      <c r="G857" s="1" t="s">
        <v>18</v>
      </c>
      <c r="H857" s="1">
        <v>12840</v>
      </c>
      <c r="I857" s="1" t="s">
        <v>22</v>
      </c>
      <c r="J857" s="1">
        <v>0.1</v>
      </c>
      <c r="K857" s="1">
        <v>14000</v>
      </c>
      <c r="L857" s="2">
        <v>45321</v>
      </c>
    </row>
    <row r="858" spans="1:12" x14ac:dyDescent="0.35">
      <c r="A858" s="1" t="s">
        <v>1095</v>
      </c>
      <c r="B858" s="1" t="s">
        <v>101</v>
      </c>
      <c r="C858" s="1" t="s">
        <v>14</v>
      </c>
      <c r="D858" s="1" t="s">
        <v>15</v>
      </c>
      <c r="E858" s="1" t="s">
        <v>32</v>
      </c>
      <c r="F858" s="1" t="s">
        <v>17</v>
      </c>
      <c r="G858" s="1" t="s">
        <v>18</v>
      </c>
      <c r="H858" s="1">
        <v>14814</v>
      </c>
      <c r="I858" s="1" t="s">
        <v>27</v>
      </c>
      <c r="J858" s="1"/>
      <c r="K858" s="1">
        <v>14000</v>
      </c>
      <c r="L858" s="2">
        <v>45347</v>
      </c>
    </row>
    <row r="859" spans="1:12" x14ac:dyDescent="0.35">
      <c r="A859" s="1" t="s">
        <v>1096</v>
      </c>
      <c r="B859" s="1" t="s">
        <v>432</v>
      </c>
      <c r="C859" s="1" t="s">
        <v>61</v>
      </c>
      <c r="D859" s="1" t="s">
        <v>62</v>
      </c>
      <c r="E859" s="1" t="s">
        <v>32</v>
      </c>
      <c r="F859" s="1" t="s">
        <v>25</v>
      </c>
      <c r="G859" s="1" t="s">
        <v>26</v>
      </c>
      <c r="H859" s="1">
        <v>10138</v>
      </c>
      <c r="I859" s="1" t="s">
        <v>33</v>
      </c>
      <c r="J859" s="1">
        <v>0.3</v>
      </c>
      <c r="K859" s="1">
        <v>9000</v>
      </c>
      <c r="L859" s="2">
        <v>45293</v>
      </c>
    </row>
    <row r="860" spans="1:12" x14ac:dyDescent="0.35">
      <c r="A860" s="1" t="s">
        <v>1097</v>
      </c>
      <c r="B860" s="1" t="s">
        <v>579</v>
      </c>
      <c r="C860" s="1" t="s">
        <v>30</v>
      </c>
      <c r="D860" s="1" t="s">
        <v>31</v>
      </c>
      <c r="E860" s="1" t="s">
        <v>16</v>
      </c>
      <c r="F860" s="1" t="s">
        <v>25</v>
      </c>
      <c r="G860" s="1" t="s">
        <v>36</v>
      </c>
      <c r="H860" s="1">
        <v>15821</v>
      </c>
      <c r="I860" s="1" t="s">
        <v>19</v>
      </c>
      <c r="J860" s="1">
        <v>0.2</v>
      </c>
      <c r="K860" s="1">
        <v>17000</v>
      </c>
      <c r="L860" s="2">
        <v>45310</v>
      </c>
    </row>
    <row r="861" spans="1:12" x14ac:dyDescent="0.35">
      <c r="A861" s="1" t="s">
        <v>1098</v>
      </c>
      <c r="B861" s="1" t="s">
        <v>307</v>
      </c>
      <c r="C861" s="1" t="s">
        <v>30</v>
      </c>
      <c r="D861" s="1" t="s">
        <v>31</v>
      </c>
      <c r="E861" s="1" t="s">
        <v>46</v>
      </c>
      <c r="F861" s="1" t="s">
        <v>39</v>
      </c>
      <c r="G861" s="1" t="s">
        <v>18</v>
      </c>
      <c r="H861" s="1">
        <v>16116</v>
      </c>
      <c r="I861" s="1" t="s">
        <v>19</v>
      </c>
      <c r="J861" s="1">
        <v>0.2</v>
      </c>
      <c r="K861" s="1">
        <v>17000</v>
      </c>
      <c r="L861" s="2">
        <v>45302</v>
      </c>
    </row>
    <row r="862" spans="1:12" x14ac:dyDescent="0.35">
      <c r="A862" s="1" t="s">
        <v>1099</v>
      </c>
      <c r="B862" s="1" t="s">
        <v>222</v>
      </c>
      <c r="C862" s="1" t="s">
        <v>14</v>
      </c>
      <c r="D862" s="1" t="s">
        <v>15</v>
      </c>
      <c r="E862" s="1" t="s">
        <v>16</v>
      </c>
      <c r="F862" s="1" t="s">
        <v>39</v>
      </c>
      <c r="G862" s="1" t="s">
        <v>26</v>
      </c>
      <c r="H862" s="1">
        <v>12419</v>
      </c>
      <c r="I862" s="1" t="s">
        <v>19</v>
      </c>
      <c r="J862" s="1">
        <v>0.2</v>
      </c>
      <c r="K862" s="1">
        <v>14000</v>
      </c>
      <c r="L862" s="2">
        <v>45326</v>
      </c>
    </row>
    <row r="863" spans="1:12" x14ac:dyDescent="0.35">
      <c r="A863" s="1" t="s">
        <v>1100</v>
      </c>
      <c r="B863" s="1" t="s">
        <v>301</v>
      </c>
      <c r="C863" s="1" t="s">
        <v>30</v>
      </c>
      <c r="D863" s="1" t="s">
        <v>31</v>
      </c>
      <c r="E863" s="1" t="s">
        <v>46</v>
      </c>
      <c r="F863" s="1" t="s">
        <v>25</v>
      </c>
      <c r="G863" s="1" t="s">
        <v>26</v>
      </c>
      <c r="H863" s="1">
        <v>18293</v>
      </c>
      <c r="I863" s="1" t="s">
        <v>33</v>
      </c>
      <c r="J863" s="1">
        <v>0.3</v>
      </c>
      <c r="K863" s="1">
        <v>17000</v>
      </c>
      <c r="L863" s="2">
        <v>45328</v>
      </c>
    </row>
    <row r="864" spans="1:12" x14ac:dyDescent="0.35">
      <c r="A864" s="1" t="s">
        <v>1101</v>
      </c>
      <c r="B864" s="1" t="s">
        <v>235</v>
      </c>
      <c r="C864" s="1" t="s">
        <v>14</v>
      </c>
      <c r="D864" s="1" t="s">
        <v>15</v>
      </c>
      <c r="E864" s="1" t="s">
        <v>46</v>
      </c>
      <c r="F864" s="1" t="s">
        <v>39</v>
      </c>
      <c r="G864" s="1" t="s">
        <v>36</v>
      </c>
      <c r="H864" s="1">
        <v>14214</v>
      </c>
      <c r="I864" s="1"/>
      <c r="J864" s="1"/>
      <c r="K864" s="1">
        <v>14000</v>
      </c>
      <c r="L864" s="2">
        <v>45295</v>
      </c>
    </row>
    <row r="865" spans="1:12" x14ac:dyDescent="0.35">
      <c r="A865" s="1" t="s">
        <v>1102</v>
      </c>
      <c r="B865" s="1" t="s">
        <v>557</v>
      </c>
      <c r="C865" s="1" t="s">
        <v>61</v>
      </c>
      <c r="D865" s="1" t="s">
        <v>62</v>
      </c>
      <c r="E865" s="1" t="s">
        <v>16</v>
      </c>
      <c r="F865" s="1" t="s">
        <v>25</v>
      </c>
      <c r="G865" s="1" t="s">
        <v>18</v>
      </c>
      <c r="H865" s="1">
        <v>8571</v>
      </c>
      <c r="I865" s="1" t="s">
        <v>22</v>
      </c>
      <c r="J865" s="1">
        <v>0.1</v>
      </c>
      <c r="K865" s="1">
        <v>9000</v>
      </c>
      <c r="L865" s="2">
        <v>45297</v>
      </c>
    </row>
    <row r="866" spans="1:12" x14ac:dyDescent="0.35">
      <c r="A866" s="1" t="s">
        <v>1103</v>
      </c>
      <c r="B866" s="1" t="s">
        <v>177</v>
      </c>
      <c r="C866" s="1" t="s">
        <v>44</v>
      </c>
      <c r="D866" s="1" t="s">
        <v>45</v>
      </c>
      <c r="E866" s="1" t="s">
        <v>16</v>
      </c>
      <c r="F866" s="1" t="s">
        <v>39</v>
      </c>
      <c r="G866" s="1" t="s">
        <v>26</v>
      </c>
      <c r="H866" s="1">
        <v>13578</v>
      </c>
      <c r="I866" s="1"/>
      <c r="J866" s="1"/>
      <c r="K866" s="1">
        <v>13000</v>
      </c>
      <c r="L866" s="2">
        <v>45331</v>
      </c>
    </row>
    <row r="867" spans="1:12" x14ac:dyDescent="0.35">
      <c r="A867" s="1" t="s">
        <v>1104</v>
      </c>
      <c r="B867" s="1" t="s">
        <v>1105</v>
      </c>
      <c r="C867" s="1" t="s">
        <v>30</v>
      </c>
      <c r="D867" s="1" t="s">
        <v>31</v>
      </c>
      <c r="E867" s="1" t="s">
        <v>32</v>
      </c>
      <c r="F867" s="1" t="s">
        <v>39</v>
      </c>
      <c r="G867" s="1" t="s">
        <v>26</v>
      </c>
      <c r="H867" s="1">
        <v>18314</v>
      </c>
      <c r="I867" s="1" t="s">
        <v>27</v>
      </c>
      <c r="J867" s="1"/>
      <c r="K867" s="1">
        <v>17000</v>
      </c>
      <c r="L867" s="2">
        <v>45297</v>
      </c>
    </row>
    <row r="868" spans="1:12" x14ac:dyDescent="0.35">
      <c r="A868" s="1" t="s">
        <v>1106</v>
      </c>
      <c r="B868" s="1" t="s">
        <v>148</v>
      </c>
      <c r="C868" s="1" t="s">
        <v>61</v>
      </c>
      <c r="D868" s="1" t="s">
        <v>62</v>
      </c>
      <c r="E868" s="1" t="s">
        <v>16</v>
      </c>
      <c r="F868" s="1" t="s">
        <v>25</v>
      </c>
      <c r="G868" s="1" t="s">
        <v>18</v>
      </c>
      <c r="H868" s="1">
        <v>10329</v>
      </c>
      <c r="I868" s="1"/>
      <c r="J868" s="1"/>
      <c r="K868" s="1">
        <v>9000</v>
      </c>
      <c r="L868" s="2">
        <v>45298</v>
      </c>
    </row>
    <row r="869" spans="1:12" x14ac:dyDescent="0.35">
      <c r="A869" s="1" t="s">
        <v>1107</v>
      </c>
      <c r="B869" s="1" t="s">
        <v>123</v>
      </c>
      <c r="C869" s="1" t="s">
        <v>61</v>
      </c>
      <c r="D869" s="1" t="s">
        <v>62</v>
      </c>
      <c r="E869" s="1" t="s">
        <v>46</v>
      </c>
      <c r="F869" s="1" t="s">
        <v>25</v>
      </c>
      <c r="G869" s="1" t="s">
        <v>18</v>
      </c>
      <c r="H869" s="1">
        <v>7588</v>
      </c>
      <c r="I869" s="1" t="s">
        <v>27</v>
      </c>
      <c r="J869" s="1"/>
      <c r="K869" s="1">
        <v>9000</v>
      </c>
      <c r="L869" s="2">
        <v>45308</v>
      </c>
    </row>
    <row r="870" spans="1:12" x14ac:dyDescent="0.35">
      <c r="A870" s="1" t="s">
        <v>1108</v>
      </c>
      <c r="B870" s="1" t="s">
        <v>827</v>
      </c>
      <c r="C870" s="1" t="s">
        <v>61</v>
      </c>
      <c r="D870" s="1" t="s">
        <v>62</v>
      </c>
      <c r="E870" s="1" t="s">
        <v>32</v>
      </c>
      <c r="F870" s="1" t="s">
        <v>39</v>
      </c>
      <c r="G870" s="1" t="s">
        <v>26</v>
      </c>
      <c r="H870" s="1">
        <v>8353</v>
      </c>
      <c r="I870" s="1" t="s">
        <v>33</v>
      </c>
      <c r="J870" s="1">
        <v>0.3</v>
      </c>
      <c r="K870" s="1">
        <v>9000</v>
      </c>
      <c r="L870" s="2">
        <v>45321</v>
      </c>
    </row>
    <row r="871" spans="1:12" x14ac:dyDescent="0.35">
      <c r="A871" s="1" t="s">
        <v>1109</v>
      </c>
      <c r="B871" s="1" t="s">
        <v>711</v>
      </c>
      <c r="C871" s="1" t="s">
        <v>14</v>
      </c>
      <c r="D871" s="1" t="s">
        <v>15</v>
      </c>
      <c r="E871" s="1" t="s">
        <v>46</v>
      </c>
      <c r="F871" s="1" t="s">
        <v>25</v>
      </c>
      <c r="G871" s="1" t="s">
        <v>36</v>
      </c>
      <c r="H871" s="1">
        <v>13960</v>
      </c>
      <c r="I871" s="1"/>
      <c r="J871" s="1"/>
      <c r="K871" s="1">
        <v>14000</v>
      </c>
      <c r="L871" s="2">
        <v>45346</v>
      </c>
    </row>
    <row r="872" spans="1:12" x14ac:dyDescent="0.35">
      <c r="A872" s="1" t="s">
        <v>1110</v>
      </c>
      <c r="B872" s="1" t="s">
        <v>256</v>
      </c>
      <c r="C872" s="1" t="s">
        <v>30</v>
      </c>
      <c r="D872" s="1" t="s">
        <v>31</v>
      </c>
      <c r="E872" s="1" t="s">
        <v>16</v>
      </c>
      <c r="F872" s="1" t="s">
        <v>39</v>
      </c>
      <c r="G872" s="1" t="s">
        <v>18</v>
      </c>
      <c r="H872" s="1">
        <v>17080</v>
      </c>
      <c r="I872" s="1" t="s">
        <v>22</v>
      </c>
      <c r="J872" s="1">
        <v>0.1</v>
      </c>
      <c r="K872" s="1">
        <v>17000</v>
      </c>
      <c r="L872" s="2">
        <v>45317</v>
      </c>
    </row>
    <row r="873" spans="1:12" x14ac:dyDescent="0.35">
      <c r="A873" s="1" t="s">
        <v>1111</v>
      </c>
      <c r="B873" s="1" t="s">
        <v>1112</v>
      </c>
      <c r="C873" s="1" t="s">
        <v>14</v>
      </c>
      <c r="D873" s="1" t="s">
        <v>15</v>
      </c>
      <c r="E873" s="1" t="s">
        <v>46</v>
      </c>
      <c r="F873" s="1" t="s">
        <v>39</v>
      </c>
      <c r="G873" s="1" t="s">
        <v>26</v>
      </c>
      <c r="H873" s="1">
        <v>12290</v>
      </c>
      <c r="I873" s="1" t="s">
        <v>33</v>
      </c>
      <c r="J873" s="1">
        <v>0.3</v>
      </c>
      <c r="K873" s="1">
        <v>14000</v>
      </c>
      <c r="L873" s="2">
        <v>45326</v>
      </c>
    </row>
    <row r="874" spans="1:12" x14ac:dyDescent="0.35">
      <c r="A874" s="1" t="s">
        <v>1113</v>
      </c>
      <c r="B874" s="1" t="s">
        <v>52</v>
      </c>
      <c r="C874" s="1" t="s">
        <v>61</v>
      </c>
      <c r="D874" s="1" t="s">
        <v>62</v>
      </c>
      <c r="E874" s="1" t="s">
        <v>32</v>
      </c>
      <c r="F874" s="1" t="s">
        <v>39</v>
      </c>
      <c r="G874" s="1" t="s">
        <v>18</v>
      </c>
      <c r="H874" s="1">
        <v>9244</v>
      </c>
      <c r="I874" s="1" t="s">
        <v>19</v>
      </c>
      <c r="J874" s="1">
        <v>0.2</v>
      </c>
      <c r="K874" s="1">
        <v>9000</v>
      </c>
      <c r="L874" s="2">
        <v>45322</v>
      </c>
    </row>
    <row r="875" spans="1:12" x14ac:dyDescent="0.35">
      <c r="A875" s="1" t="s">
        <v>1114</v>
      </c>
      <c r="B875" s="1" t="s">
        <v>41</v>
      </c>
      <c r="C875" s="1" t="s">
        <v>30</v>
      </c>
      <c r="D875" s="1" t="s">
        <v>31</v>
      </c>
      <c r="E875" s="1" t="s">
        <v>32</v>
      </c>
      <c r="F875" s="1" t="s">
        <v>39</v>
      </c>
      <c r="G875" s="1" t="s">
        <v>26</v>
      </c>
      <c r="H875" s="1">
        <v>16765</v>
      </c>
      <c r="I875" s="1"/>
      <c r="J875" s="1"/>
      <c r="K875" s="1">
        <v>17000</v>
      </c>
      <c r="L875" s="2">
        <v>45328</v>
      </c>
    </row>
    <row r="876" spans="1:12" x14ac:dyDescent="0.35">
      <c r="A876" s="1" t="s">
        <v>1115</v>
      </c>
      <c r="B876" s="1" t="s">
        <v>602</v>
      </c>
      <c r="C876" s="1" t="s">
        <v>44</v>
      </c>
      <c r="D876" s="1" t="s">
        <v>45</v>
      </c>
      <c r="E876" s="1" t="s">
        <v>32</v>
      </c>
      <c r="F876" s="1" t="s">
        <v>39</v>
      </c>
      <c r="G876" s="1" t="s">
        <v>26</v>
      </c>
      <c r="H876" s="1">
        <v>11319</v>
      </c>
      <c r="I876" s="1" t="s">
        <v>27</v>
      </c>
      <c r="J876" s="1"/>
      <c r="K876" s="1">
        <v>13000</v>
      </c>
      <c r="L876" s="2">
        <v>45345</v>
      </c>
    </row>
    <row r="877" spans="1:12" x14ac:dyDescent="0.35">
      <c r="A877" s="1" t="s">
        <v>1116</v>
      </c>
      <c r="B877" s="1" t="s">
        <v>227</v>
      </c>
      <c r="C877" s="1" t="s">
        <v>61</v>
      </c>
      <c r="D877" s="1" t="s">
        <v>62</v>
      </c>
      <c r="E877" s="1" t="s">
        <v>46</v>
      </c>
      <c r="F877" s="1" t="s">
        <v>39</v>
      </c>
      <c r="G877" s="1" t="s">
        <v>18</v>
      </c>
      <c r="H877" s="1">
        <v>10367</v>
      </c>
      <c r="I877" s="1"/>
      <c r="J877" s="1"/>
      <c r="K877" s="1">
        <v>9000</v>
      </c>
      <c r="L877" s="2">
        <v>45303</v>
      </c>
    </row>
    <row r="878" spans="1:12" x14ac:dyDescent="0.35">
      <c r="A878" s="1" t="s">
        <v>1117</v>
      </c>
      <c r="B878" s="1" t="s">
        <v>70</v>
      </c>
      <c r="C878" s="1" t="s">
        <v>14</v>
      </c>
      <c r="D878" s="1" t="s">
        <v>15</v>
      </c>
      <c r="E878" s="1" t="s">
        <v>16</v>
      </c>
      <c r="F878" s="1" t="s">
        <v>25</v>
      </c>
      <c r="G878" s="1" t="s">
        <v>26</v>
      </c>
      <c r="H878" s="1">
        <v>15334</v>
      </c>
      <c r="I878" s="1" t="s">
        <v>27</v>
      </c>
      <c r="J878" s="1"/>
      <c r="K878" s="1">
        <v>14000</v>
      </c>
      <c r="L878" s="2">
        <v>45341</v>
      </c>
    </row>
    <row r="879" spans="1:12" x14ac:dyDescent="0.35">
      <c r="A879" s="1" t="s">
        <v>1118</v>
      </c>
      <c r="B879" s="1" t="s">
        <v>487</v>
      </c>
      <c r="C879" s="1" t="s">
        <v>30</v>
      </c>
      <c r="D879" s="1" t="s">
        <v>31</v>
      </c>
      <c r="E879" s="1" t="s">
        <v>46</v>
      </c>
      <c r="F879" s="1" t="s">
        <v>39</v>
      </c>
      <c r="G879" s="1" t="s">
        <v>26</v>
      </c>
      <c r="H879" s="1">
        <v>15251</v>
      </c>
      <c r="I879" s="1" t="s">
        <v>22</v>
      </c>
      <c r="J879" s="1">
        <v>0.1</v>
      </c>
      <c r="K879" s="1">
        <v>17000</v>
      </c>
      <c r="L879" s="2">
        <v>45305</v>
      </c>
    </row>
    <row r="880" spans="1:12" x14ac:dyDescent="0.35">
      <c r="A880" s="1" t="s">
        <v>1119</v>
      </c>
      <c r="B880" s="1" t="s">
        <v>412</v>
      </c>
      <c r="C880" s="1" t="s">
        <v>14</v>
      </c>
      <c r="D880" s="1" t="s">
        <v>15</v>
      </c>
      <c r="E880" s="1" t="s">
        <v>32</v>
      </c>
      <c r="F880" s="1" t="s">
        <v>39</v>
      </c>
      <c r="G880" s="1" t="s">
        <v>18</v>
      </c>
      <c r="H880" s="1">
        <v>13855</v>
      </c>
      <c r="I880" s="1" t="s">
        <v>27</v>
      </c>
      <c r="J880" s="1"/>
      <c r="K880" s="1">
        <v>14000</v>
      </c>
      <c r="L880" s="2">
        <v>45310</v>
      </c>
    </row>
    <row r="881" spans="1:12" x14ac:dyDescent="0.35">
      <c r="A881" s="1" t="s">
        <v>1120</v>
      </c>
      <c r="B881" s="1" t="s">
        <v>617</v>
      </c>
      <c r="C881" s="1" t="s">
        <v>61</v>
      </c>
      <c r="D881" s="1" t="s">
        <v>62</v>
      </c>
      <c r="E881" s="1" t="s">
        <v>32</v>
      </c>
      <c r="F881" s="1" t="s">
        <v>25</v>
      </c>
      <c r="G881" s="1" t="s">
        <v>26</v>
      </c>
      <c r="H881" s="1">
        <v>10593</v>
      </c>
      <c r="I881" s="1" t="s">
        <v>33</v>
      </c>
      <c r="J881" s="1">
        <v>0.3</v>
      </c>
      <c r="K881" s="1">
        <v>9000</v>
      </c>
      <c r="L881" s="2">
        <v>45311</v>
      </c>
    </row>
    <row r="882" spans="1:12" x14ac:dyDescent="0.35">
      <c r="A882" s="1" t="s">
        <v>1121</v>
      </c>
      <c r="B882" s="1" t="s">
        <v>579</v>
      </c>
      <c r="C882" s="1" t="s">
        <v>30</v>
      </c>
      <c r="D882" s="1" t="s">
        <v>31</v>
      </c>
      <c r="E882" s="1" t="s">
        <v>46</v>
      </c>
      <c r="F882" s="1" t="s">
        <v>39</v>
      </c>
      <c r="G882" s="1" t="s">
        <v>36</v>
      </c>
      <c r="H882" s="1">
        <v>15365</v>
      </c>
      <c r="I882" s="1" t="s">
        <v>27</v>
      </c>
      <c r="J882" s="1"/>
      <c r="K882" s="1">
        <v>17000</v>
      </c>
      <c r="L882" s="2">
        <v>45292</v>
      </c>
    </row>
    <row r="883" spans="1:12" x14ac:dyDescent="0.35">
      <c r="A883" s="1" t="s">
        <v>1122</v>
      </c>
      <c r="B883" s="1" t="s">
        <v>86</v>
      </c>
      <c r="C883" s="1" t="s">
        <v>61</v>
      </c>
      <c r="D883" s="1" t="s">
        <v>62</v>
      </c>
      <c r="E883" s="1" t="s">
        <v>32</v>
      </c>
      <c r="F883" s="1" t="s">
        <v>17</v>
      </c>
      <c r="G883" s="1" t="s">
        <v>18</v>
      </c>
      <c r="H883" s="1">
        <v>8512</v>
      </c>
      <c r="I883" s="1" t="s">
        <v>27</v>
      </c>
      <c r="J883" s="1"/>
      <c r="K883" s="1">
        <v>9000</v>
      </c>
      <c r="L883" s="2">
        <v>45295</v>
      </c>
    </row>
    <row r="884" spans="1:12" x14ac:dyDescent="0.35">
      <c r="A884" s="1" t="s">
        <v>1123</v>
      </c>
      <c r="B884" s="1" t="s">
        <v>190</v>
      </c>
      <c r="C884" s="1" t="s">
        <v>30</v>
      </c>
      <c r="D884" s="1" t="s">
        <v>31</v>
      </c>
      <c r="E884" s="1" t="s">
        <v>32</v>
      </c>
      <c r="F884" s="1" t="s">
        <v>17</v>
      </c>
      <c r="G884" s="1" t="s">
        <v>18</v>
      </c>
      <c r="H884" s="1">
        <v>15963</v>
      </c>
      <c r="I884" s="1"/>
      <c r="J884" s="1"/>
      <c r="K884" s="1">
        <v>17000</v>
      </c>
      <c r="L884" s="2">
        <v>45336</v>
      </c>
    </row>
    <row r="885" spans="1:12" x14ac:dyDescent="0.35">
      <c r="A885" s="1" t="s">
        <v>1124</v>
      </c>
      <c r="B885" s="1" t="s">
        <v>337</v>
      </c>
      <c r="C885" s="1" t="s">
        <v>30</v>
      </c>
      <c r="D885" s="1" t="s">
        <v>31</v>
      </c>
      <c r="E885" s="1" t="s">
        <v>16</v>
      </c>
      <c r="F885" s="1" t="s">
        <v>17</v>
      </c>
      <c r="G885" s="1" t="s">
        <v>36</v>
      </c>
      <c r="H885" s="1">
        <v>16562</v>
      </c>
      <c r="I885" s="1"/>
      <c r="J885" s="1"/>
      <c r="K885" s="1">
        <v>17000</v>
      </c>
      <c r="L885" s="2">
        <v>45326</v>
      </c>
    </row>
    <row r="886" spans="1:12" x14ac:dyDescent="0.35">
      <c r="A886" s="1" t="s">
        <v>1125</v>
      </c>
      <c r="B886" s="1" t="s">
        <v>817</v>
      </c>
      <c r="C886" s="1" t="s">
        <v>44</v>
      </c>
      <c r="D886" s="1" t="s">
        <v>45</v>
      </c>
      <c r="E886" s="1" t="s">
        <v>46</v>
      </c>
      <c r="F886" s="1" t="s">
        <v>25</v>
      </c>
      <c r="G886" s="1" t="s">
        <v>18</v>
      </c>
      <c r="H886" s="1">
        <v>13275</v>
      </c>
      <c r="I886" s="1"/>
      <c r="J886" s="1"/>
      <c r="K886" s="1">
        <v>13000</v>
      </c>
      <c r="L886" s="2">
        <v>45345</v>
      </c>
    </row>
    <row r="887" spans="1:12" x14ac:dyDescent="0.35">
      <c r="A887" s="1" t="s">
        <v>1126</v>
      </c>
      <c r="B887" s="1" t="s">
        <v>827</v>
      </c>
      <c r="C887" s="1" t="s">
        <v>61</v>
      </c>
      <c r="D887" s="1" t="s">
        <v>62</v>
      </c>
      <c r="E887" s="1" t="s">
        <v>32</v>
      </c>
      <c r="F887" s="1" t="s">
        <v>17</v>
      </c>
      <c r="G887" s="1" t="s">
        <v>26</v>
      </c>
      <c r="H887" s="1">
        <v>7514</v>
      </c>
      <c r="I887" s="1" t="s">
        <v>19</v>
      </c>
      <c r="J887" s="1">
        <v>0.2</v>
      </c>
      <c r="K887" s="1">
        <v>9000</v>
      </c>
      <c r="L887" s="2">
        <v>45292</v>
      </c>
    </row>
    <row r="888" spans="1:12" x14ac:dyDescent="0.35">
      <c r="A888" s="1" t="s">
        <v>1127</v>
      </c>
      <c r="B888" s="1" t="s">
        <v>21</v>
      </c>
      <c r="C888" s="1" t="s">
        <v>14</v>
      </c>
      <c r="D888" s="1" t="s">
        <v>15</v>
      </c>
      <c r="E888" s="1" t="s">
        <v>32</v>
      </c>
      <c r="F888" s="1" t="s">
        <v>39</v>
      </c>
      <c r="G888" s="1" t="s">
        <v>36</v>
      </c>
      <c r="H888" s="1">
        <v>14694</v>
      </c>
      <c r="I888" s="1"/>
      <c r="J888" s="1"/>
      <c r="K888" s="1">
        <v>14000</v>
      </c>
      <c r="L888" s="2">
        <v>45300</v>
      </c>
    </row>
    <row r="889" spans="1:12" x14ac:dyDescent="0.35">
      <c r="A889" s="1" t="s">
        <v>1128</v>
      </c>
      <c r="B889" s="1" t="s">
        <v>843</v>
      </c>
      <c r="C889" s="1" t="s">
        <v>61</v>
      </c>
      <c r="D889" s="1" t="s">
        <v>62</v>
      </c>
      <c r="E889" s="1" t="s">
        <v>46</v>
      </c>
      <c r="F889" s="1" t="s">
        <v>39</v>
      </c>
      <c r="G889" s="1" t="s">
        <v>26</v>
      </c>
      <c r="H889" s="1">
        <v>10810</v>
      </c>
      <c r="I889" s="1"/>
      <c r="J889" s="1"/>
      <c r="K889" s="1">
        <v>9000</v>
      </c>
      <c r="L889" s="2">
        <v>45331</v>
      </c>
    </row>
    <row r="890" spans="1:12" x14ac:dyDescent="0.35">
      <c r="A890" s="1" t="s">
        <v>1129</v>
      </c>
      <c r="B890" s="1" t="s">
        <v>429</v>
      </c>
      <c r="C890" s="1" t="s">
        <v>61</v>
      </c>
      <c r="D890" s="1" t="s">
        <v>62</v>
      </c>
      <c r="E890" s="1" t="s">
        <v>16</v>
      </c>
      <c r="F890" s="1" t="s">
        <v>17</v>
      </c>
      <c r="G890" s="1" t="s">
        <v>36</v>
      </c>
      <c r="H890" s="1">
        <v>8455</v>
      </c>
      <c r="I890" s="1" t="s">
        <v>19</v>
      </c>
      <c r="J890" s="1">
        <v>0.2</v>
      </c>
      <c r="K890" s="1">
        <v>9000</v>
      </c>
      <c r="L890" s="2">
        <v>45303</v>
      </c>
    </row>
    <row r="891" spans="1:12" x14ac:dyDescent="0.35">
      <c r="A891" s="1" t="s">
        <v>1130</v>
      </c>
      <c r="B891" s="1" t="s">
        <v>617</v>
      </c>
      <c r="C891" s="1" t="s">
        <v>14</v>
      </c>
      <c r="D891" s="1" t="s">
        <v>15</v>
      </c>
      <c r="E891" s="1" t="s">
        <v>16</v>
      </c>
      <c r="F891" s="1" t="s">
        <v>17</v>
      </c>
      <c r="G891" s="1" t="s">
        <v>26</v>
      </c>
      <c r="H891" s="1">
        <v>12969</v>
      </c>
      <c r="I891" s="1" t="s">
        <v>27</v>
      </c>
      <c r="J891" s="1"/>
      <c r="K891" s="1">
        <v>14000</v>
      </c>
      <c r="L891" s="2">
        <v>45309</v>
      </c>
    </row>
    <row r="892" spans="1:12" x14ac:dyDescent="0.35">
      <c r="A892" s="1" t="s">
        <v>1131</v>
      </c>
      <c r="B892" s="1" t="s">
        <v>512</v>
      </c>
      <c r="C892" s="1" t="s">
        <v>30</v>
      </c>
      <c r="D892" s="1" t="s">
        <v>31</v>
      </c>
      <c r="E892" s="1" t="s">
        <v>32</v>
      </c>
      <c r="F892" s="1" t="s">
        <v>25</v>
      </c>
      <c r="G892" s="1" t="s">
        <v>26</v>
      </c>
      <c r="H892" s="1">
        <v>16979</v>
      </c>
      <c r="I892" s="1" t="s">
        <v>33</v>
      </c>
      <c r="J892" s="1">
        <v>0.3</v>
      </c>
      <c r="K892" s="1">
        <v>17000</v>
      </c>
      <c r="L892" s="2">
        <v>45299</v>
      </c>
    </row>
    <row r="893" spans="1:12" x14ac:dyDescent="0.35">
      <c r="A893" s="1" t="s">
        <v>1132</v>
      </c>
      <c r="B893" s="1" t="s">
        <v>356</v>
      </c>
      <c r="C893" s="1" t="s">
        <v>14</v>
      </c>
      <c r="D893" s="1" t="s">
        <v>15</v>
      </c>
      <c r="E893" s="1" t="s">
        <v>32</v>
      </c>
      <c r="F893" s="1" t="s">
        <v>39</v>
      </c>
      <c r="G893" s="1" t="s">
        <v>26</v>
      </c>
      <c r="H893" s="1">
        <v>14156</v>
      </c>
      <c r="I893" s="1" t="s">
        <v>33</v>
      </c>
      <c r="J893" s="1">
        <v>0.3</v>
      </c>
      <c r="K893" s="1">
        <v>14000</v>
      </c>
      <c r="L893" s="2">
        <v>45321</v>
      </c>
    </row>
    <row r="894" spans="1:12" x14ac:dyDescent="0.35">
      <c r="A894" s="1" t="s">
        <v>1133</v>
      </c>
      <c r="B894" s="1" t="s">
        <v>905</v>
      </c>
      <c r="C894" s="1" t="s">
        <v>14</v>
      </c>
      <c r="D894" s="1" t="s">
        <v>15</v>
      </c>
      <c r="E894" s="1" t="s">
        <v>32</v>
      </c>
      <c r="F894" s="1" t="s">
        <v>17</v>
      </c>
      <c r="G894" s="1" t="s">
        <v>26</v>
      </c>
      <c r="H894" s="1">
        <v>15037</v>
      </c>
      <c r="I894" s="1" t="s">
        <v>22</v>
      </c>
      <c r="J894" s="1">
        <v>0.1</v>
      </c>
      <c r="K894" s="1">
        <v>14000</v>
      </c>
      <c r="L894" s="2">
        <v>45335</v>
      </c>
    </row>
    <row r="895" spans="1:12" x14ac:dyDescent="0.35">
      <c r="A895" s="1" t="s">
        <v>1134</v>
      </c>
      <c r="B895" s="1" t="s">
        <v>416</v>
      </c>
      <c r="C895" s="1" t="s">
        <v>30</v>
      </c>
      <c r="D895" s="1" t="s">
        <v>31</v>
      </c>
      <c r="E895" s="1" t="s">
        <v>16</v>
      </c>
      <c r="F895" s="1" t="s">
        <v>25</v>
      </c>
      <c r="G895" s="1" t="s">
        <v>36</v>
      </c>
      <c r="H895" s="1">
        <v>17191</v>
      </c>
      <c r="I895" s="1" t="s">
        <v>22</v>
      </c>
      <c r="J895" s="1">
        <v>0.1</v>
      </c>
      <c r="K895" s="1">
        <v>17000</v>
      </c>
      <c r="L895" s="2">
        <v>45322</v>
      </c>
    </row>
    <row r="896" spans="1:12" x14ac:dyDescent="0.35">
      <c r="A896" s="1" t="s">
        <v>1135</v>
      </c>
      <c r="B896" s="1" t="s">
        <v>330</v>
      </c>
      <c r="C896" s="1" t="s">
        <v>61</v>
      </c>
      <c r="D896" s="1" t="s">
        <v>62</v>
      </c>
      <c r="E896" s="1" t="s">
        <v>16</v>
      </c>
      <c r="F896" s="1" t="s">
        <v>39</v>
      </c>
      <c r="G896" s="1" t="s">
        <v>36</v>
      </c>
      <c r="H896" s="1">
        <v>8724</v>
      </c>
      <c r="I896" s="1" t="s">
        <v>33</v>
      </c>
      <c r="J896" s="1">
        <v>0.3</v>
      </c>
      <c r="K896" s="1">
        <v>9000</v>
      </c>
      <c r="L896" s="2">
        <v>45343</v>
      </c>
    </row>
    <row r="897" spans="1:12" x14ac:dyDescent="0.35">
      <c r="A897" s="1" t="s">
        <v>1136</v>
      </c>
      <c r="B897" s="1" t="s">
        <v>361</v>
      </c>
      <c r="C897" s="1" t="s">
        <v>44</v>
      </c>
      <c r="D897" s="1" t="s">
        <v>45</v>
      </c>
      <c r="E897" s="1" t="s">
        <v>32</v>
      </c>
      <c r="F897" s="1" t="s">
        <v>39</v>
      </c>
      <c r="G897" s="1" t="s">
        <v>26</v>
      </c>
      <c r="H897" s="1">
        <v>14069</v>
      </c>
      <c r="I897" s="1" t="s">
        <v>33</v>
      </c>
      <c r="J897" s="1">
        <v>0.3</v>
      </c>
      <c r="K897" s="1">
        <v>13000</v>
      </c>
      <c r="L897" s="2">
        <v>45338</v>
      </c>
    </row>
    <row r="898" spans="1:12" x14ac:dyDescent="0.35">
      <c r="A898" s="1" t="s">
        <v>1137</v>
      </c>
      <c r="B898" s="1" t="s">
        <v>522</v>
      </c>
      <c r="C898" s="1" t="s">
        <v>30</v>
      </c>
      <c r="D898" s="1" t="s">
        <v>31</v>
      </c>
      <c r="E898" s="1" t="s">
        <v>32</v>
      </c>
      <c r="F898" s="1" t="s">
        <v>39</v>
      </c>
      <c r="G898" s="1" t="s">
        <v>36</v>
      </c>
      <c r="H898" s="1">
        <v>17368</v>
      </c>
      <c r="I898" s="1" t="s">
        <v>19</v>
      </c>
      <c r="J898" s="1">
        <v>0.2</v>
      </c>
      <c r="K898" s="1">
        <v>17000</v>
      </c>
      <c r="L898" s="2">
        <v>45328</v>
      </c>
    </row>
    <row r="899" spans="1:12" x14ac:dyDescent="0.35">
      <c r="A899" s="1" t="s">
        <v>1138</v>
      </c>
      <c r="B899" s="1" t="s">
        <v>68</v>
      </c>
      <c r="C899" s="1" t="s">
        <v>30</v>
      </c>
      <c r="D899" s="1" t="s">
        <v>31</v>
      </c>
      <c r="E899" s="1" t="s">
        <v>16</v>
      </c>
      <c r="F899" s="1" t="s">
        <v>39</v>
      </c>
      <c r="G899" s="1" t="s">
        <v>18</v>
      </c>
      <c r="H899" s="1">
        <v>16174</v>
      </c>
      <c r="I899" s="1"/>
      <c r="J899" s="1"/>
      <c r="K899" s="1">
        <v>17000</v>
      </c>
      <c r="L899" s="2">
        <v>45297</v>
      </c>
    </row>
    <row r="900" spans="1:12" x14ac:dyDescent="0.35">
      <c r="A900" s="1" t="s">
        <v>1139</v>
      </c>
      <c r="B900" s="1" t="s">
        <v>440</v>
      </c>
      <c r="C900" s="1" t="s">
        <v>14</v>
      </c>
      <c r="D900" s="1" t="s">
        <v>15</v>
      </c>
      <c r="E900" s="1" t="s">
        <v>46</v>
      </c>
      <c r="F900" s="1" t="s">
        <v>17</v>
      </c>
      <c r="G900" s="1" t="s">
        <v>18</v>
      </c>
      <c r="H900" s="1">
        <v>14522</v>
      </c>
      <c r="I900" s="1" t="s">
        <v>33</v>
      </c>
      <c r="J900" s="1">
        <v>0.3</v>
      </c>
      <c r="K900" s="1">
        <v>14000</v>
      </c>
      <c r="L900" s="2">
        <v>45309</v>
      </c>
    </row>
    <row r="901" spans="1:12" x14ac:dyDescent="0.35">
      <c r="A901" s="1" t="s">
        <v>1140</v>
      </c>
      <c r="B901" s="1" t="s">
        <v>643</v>
      </c>
      <c r="C901" s="1" t="s">
        <v>14</v>
      </c>
      <c r="D901" s="1" t="s">
        <v>15</v>
      </c>
      <c r="E901" s="1" t="s">
        <v>16</v>
      </c>
      <c r="F901" s="1" t="s">
        <v>25</v>
      </c>
      <c r="G901" s="1" t="s">
        <v>26</v>
      </c>
      <c r="H901" s="1">
        <v>12715</v>
      </c>
      <c r="I901" s="1" t="s">
        <v>27</v>
      </c>
      <c r="J901" s="1"/>
      <c r="K901" s="1">
        <v>14000</v>
      </c>
      <c r="L901" s="2">
        <v>45339</v>
      </c>
    </row>
    <row r="902" spans="1:12" x14ac:dyDescent="0.35">
      <c r="A902" s="1" t="s">
        <v>1141</v>
      </c>
      <c r="B902" s="1" t="s">
        <v>113</v>
      </c>
      <c r="C902" s="1" t="s">
        <v>61</v>
      </c>
      <c r="D902" s="1" t="s">
        <v>62</v>
      </c>
      <c r="E902" s="1" t="s">
        <v>46</v>
      </c>
      <c r="F902" s="1" t="s">
        <v>25</v>
      </c>
      <c r="G902" s="1" t="s">
        <v>36</v>
      </c>
      <c r="H902" s="1">
        <v>10205</v>
      </c>
      <c r="I902" s="1" t="s">
        <v>19</v>
      </c>
      <c r="J902" s="1">
        <v>0.2</v>
      </c>
      <c r="K902" s="1">
        <v>9000</v>
      </c>
      <c r="L902" s="2">
        <v>45323</v>
      </c>
    </row>
    <row r="903" spans="1:12" x14ac:dyDescent="0.35">
      <c r="A903" s="1" t="s">
        <v>1142</v>
      </c>
      <c r="B903" s="1" t="s">
        <v>135</v>
      </c>
      <c r="C903" s="1" t="s">
        <v>14</v>
      </c>
      <c r="D903" s="1" t="s">
        <v>15</v>
      </c>
      <c r="E903" s="1" t="s">
        <v>46</v>
      </c>
      <c r="F903" s="1" t="s">
        <v>25</v>
      </c>
      <c r="G903" s="1" t="s">
        <v>18</v>
      </c>
      <c r="H903" s="1">
        <v>14439</v>
      </c>
      <c r="I903" s="1" t="s">
        <v>19</v>
      </c>
      <c r="J903" s="1">
        <v>0.2</v>
      </c>
      <c r="K903" s="1">
        <v>14000</v>
      </c>
      <c r="L903" s="2">
        <v>45345</v>
      </c>
    </row>
    <row r="904" spans="1:12" x14ac:dyDescent="0.35">
      <c r="A904" s="1" t="s">
        <v>1143</v>
      </c>
      <c r="B904" s="1" t="s">
        <v>157</v>
      </c>
      <c r="C904" s="1" t="s">
        <v>61</v>
      </c>
      <c r="D904" s="1" t="s">
        <v>62</v>
      </c>
      <c r="E904" s="1" t="s">
        <v>46</v>
      </c>
      <c r="F904" s="1" t="s">
        <v>25</v>
      </c>
      <c r="G904" s="1" t="s">
        <v>26</v>
      </c>
      <c r="H904" s="1">
        <v>8802</v>
      </c>
      <c r="I904" s="1" t="s">
        <v>19</v>
      </c>
      <c r="J904" s="1">
        <v>0.2</v>
      </c>
      <c r="K904" s="1">
        <v>9000</v>
      </c>
      <c r="L904" s="2">
        <v>45305</v>
      </c>
    </row>
    <row r="905" spans="1:12" x14ac:dyDescent="0.35">
      <c r="A905" s="1" t="s">
        <v>1144</v>
      </c>
      <c r="B905" s="1" t="s">
        <v>233</v>
      </c>
      <c r="C905" s="1" t="s">
        <v>30</v>
      </c>
      <c r="D905" s="1" t="s">
        <v>31</v>
      </c>
      <c r="E905" s="1" t="s">
        <v>32</v>
      </c>
      <c r="F905" s="1" t="s">
        <v>39</v>
      </c>
      <c r="G905" s="1" t="s">
        <v>36</v>
      </c>
      <c r="H905" s="1">
        <v>18094</v>
      </c>
      <c r="I905" s="1" t="s">
        <v>22</v>
      </c>
      <c r="J905" s="1">
        <v>0.1</v>
      </c>
      <c r="K905" s="1">
        <v>17000</v>
      </c>
      <c r="L905" s="2">
        <v>45295</v>
      </c>
    </row>
    <row r="906" spans="1:12" x14ac:dyDescent="0.35">
      <c r="A906" s="1" t="s">
        <v>1145</v>
      </c>
      <c r="B906" s="1" t="s">
        <v>429</v>
      </c>
      <c r="C906" s="1" t="s">
        <v>61</v>
      </c>
      <c r="D906" s="1" t="s">
        <v>62</v>
      </c>
      <c r="E906" s="1" t="s">
        <v>46</v>
      </c>
      <c r="F906" s="1" t="s">
        <v>17</v>
      </c>
      <c r="G906" s="1" t="s">
        <v>36</v>
      </c>
      <c r="H906" s="1">
        <v>10056</v>
      </c>
      <c r="I906" s="1" t="s">
        <v>27</v>
      </c>
      <c r="J906" s="1"/>
      <c r="K906" s="1">
        <v>9000</v>
      </c>
      <c r="L906" s="2">
        <v>45306</v>
      </c>
    </row>
    <row r="907" spans="1:12" x14ac:dyDescent="0.35">
      <c r="A907" s="1" t="s">
        <v>1146</v>
      </c>
      <c r="B907" s="1" t="s">
        <v>274</v>
      </c>
      <c r="C907" s="1" t="s">
        <v>61</v>
      </c>
      <c r="D907" s="1" t="s">
        <v>62</v>
      </c>
      <c r="E907" s="1" t="s">
        <v>46</v>
      </c>
      <c r="F907" s="1" t="s">
        <v>17</v>
      </c>
      <c r="G907" s="1" t="s">
        <v>18</v>
      </c>
      <c r="H907" s="1">
        <v>9172</v>
      </c>
      <c r="I907" s="1"/>
      <c r="J907" s="1"/>
      <c r="K907" s="1">
        <v>9000</v>
      </c>
      <c r="L907" s="2">
        <v>45292</v>
      </c>
    </row>
    <row r="908" spans="1:12" x14ac:dyDescent="0.35">
      <c r="A908" s="1" t="s">
        <v>1147</v>
      </c>
      <c r="B908" s="1" t="s">
        <v>443</v>
      </c>
      <c r="C908" s="1" t="s">
        <v>61</v>
      </c>
      <c r="D908" s="1" t="s">
        <v>62</v>
      </c>
      <c r="E908" s="1" t="s">
        <v>46</v>
      </c>
      <c r="F908" s="1" t="s">
        <v>39</v>
      </c>
      <c r="G908" s="1" t="s">
        <v>36</v>
      </c>
      <c r="H908" s="1">
        <v>10939</v>
      </c>
      <c r="I908" s="1" t="s">
        <v>27</v>
      </c>
      <c r="J908" s="1"/>
      <c r="K908" s="1">
        <v>9000</v>
      </c>
      <c r="L908" s="2">
        <v>45335</v>
      </c>
    </row>
    <row r="909" spans="1:12" x14ac:dyDescent="0.35">
      <c r="A909" s="1" t="s">
        <v>1148</v>
      </c>
      <c r="B909" s="1" t="s">
        <v>76</v>
      </c>
      <c r="C909" s="1" t="s">
        <v>30</v>
      </c>
      <c r="D909" s="1" t="s">
        <v>31</v>
      </c>
      <c r="E909" s="1" t="s">
        <v>46</v>
      </c>
      <c r="F909" s="1" t="s">
        <v>39</v>
      </c>
      <c r="G909" s="1" t="s">
        <v>26</v>
      </c>
      <c r="H909" s="1">
        <v>18515</v>
      </c>
      <c r="I909" s="1" t="s">
        <v>33</v>
      </c>
      <c r="J909" s="1">
        <v>0.3</v>
      </c>
      <c r="K909" s="1">
        <v>17000</v>
      </c>
      <c r="L909" s="2">
        <v>45313</v>
      </c>
    </row>
    <row r="910" spans="1:12" x14ac:dyDescent="0.35">
      <c r="A910" s="1" t="s">
        <v>1149</v>
      </c>
      <c r="B910" s="1" t="s">
        <v>361</v>
      </c>
      <c r="C910" s="1" t="s">
        <v>14</v>
      </c>
      <c r="D910" s="1" t="s">
        <v>15</v>
      </c>
      <c r="E910" s="1" t="s">
        <v>46</v>
      </c>
      <c r="F910" s="1" t="s">
        <v>39</v>
      </c>
      <c r="G910" s="1" t="s">
        <v>26</v>
      </c>
      <c r="H910" s="1">
        <v>13602</v>
      </c>
      <c r="I910" s="1"/>
      <c r="J910" s="1"/>
      <c r="K910" s="1">
        <v>14000</v>
      </c>
      <c r="L910" s="2">
        <v>45341</v>
      </c>
    </row>
    <row r="911" spans="1:12" x14ac:dyDescent="0.35">
      <c r="A911" s="1" t="s">
        <v>1150</v>
      </c>
      <c r="B911" s="1" t="s">
        <v>305</v>
      </c>
      <c r="C911" s="1" t="s">
        <v>44</v>
      </c>
      <c r="D911" s="1" t="s">
        <v>45</v>
      </c>
      <c r="E911" s="1" t="s">
        <v>16</v>
      </c>
      <c r="F911" s="1" t="s">
        <v>39</v>
      </c>
      <c r="G911" s="1" t="s">
        <v>26</v>
      </c>
      <c r="H911" s="1">
        <v>14155</v>
      </c>
      <c r="I911" s="1" t="s">
        <v>19</v>
      </c>
      <c r="J911" s="1">
        <v>0.2</v>
      </c>
      <c r="K911" s="1">
        <v>13000</v>
      </c>
      <c r="L911" s="2">
        <v>45325</v>
      </c>
    </row>
    <row r="912" spans="1:12" x14ac:dyDescent="0.35">
      <c r="A912" s="1" t="s">
        <v>1151</v>
      </c>
      <c r="B912" s="1" t="s">
        <v>150</v>
      </c>
      <c r="C912" s="1" t="s">
        <v>44</v>
      </c>
      <c r="D912" s="1" t="s">
        <v>45</v>
      </c>
      <c r="E912" s="1" t="s">
        <v>46</v>
      </c>
      <c r="F912" s="1" t="s">
        <v>39</v>
      </c>
      <c r="G912" s="1" t="s">
        <v>18</v>
      </c>
      <c r="H912" s="1">
        <v>13755</v>
      </c>
      <c r="I912" s="1" t="s">
        <v>22</v>
      </c>
      <c r="J912" s="1">
        <v>0.1</v>
      </c>
      <c r="K912" s="1">
        <v>13000</v>
      </c>
      <c r="L912" s="2">
        <v>45345</v>
      </c>
    </row>
    <row r="913" spans="1:12" x14ac:dyDescent="0.35">
      <c r="A913" s="1" t="s">
        <v>1152</v>
      </c>
      <c r="B913" s="1" t="s">
        <v>43</v>
      </c>
      <c r="C913" s="1" t="s">
        <v>61</v>
      </c>
      <c r="D913" s="1" t="s">
        <v>62</v>
      </c>
      <c r="E913" s="1" t="s">
        <v>32</v>
      </c>
      <c r="F913" s="1" t="s">
        <v>39</v>
      </c>
      <c r="G913" s="1" t="s">
        <v>18</v>
      </c>
      <c r="H913" s="1">
        <v>9807</v>
      </c>
      <c r="I913" s="1"/>
      <c r="J913" s="1"/>
      <c r="K913" s="1">
        <v>9000</v>
      </c>
      <c r="L913" s="2">
        <v>45314</v>
      </c>
    </row>
    <row r="914" spans="1:12" x14ac:dyDescent="0.35">
      <c r="A914" s="1" t="s">
        <v>1153</v>
      </c>
      <c r="B914" s="1" t="s">
        <v>220</v>
      </c>
      <c r="C914" s="1" t="s">
        <v>30</v>
      </c>
      <c r="D914" s="1" t="s">
        <v>31</v>
      </c>
      <c r="E914" s="1" t="s">
        <v>46</v>
      </c>
      <c r="F914" s="1" t="s">
        <v>25</v>
      </c>
      <c r="G914" s="1" t="s">
        <v>18</v>
      </c>
      <c r="H914" s="1">
        <v>15097</v>
      </c>
      <c r="I914" s="1" t="s">
        <v>27</v>
      </c>
      <c r="J914" s="1"/>
      <c r="K914" s="1">
        <v>17000</v>
      </c>
      <c r="L914" s="2">
        <v>45297</v>
      </c>
    </row>
    <row r="915" spans="1:12" x14ac:dyDescent="0.35">
      <c r="A915" s="1" t="s">
        <v>1154</v>
      </c>
      <c r="B915" s="1" t="s">
        <v>109</v>
      </c>
      <c r="C915" s="1" t="s">
        <v>44</v>
      </c>
      <c r="D915" s="1" t="s">
        <v>45</v>
      </c>
      <c r="E915" s="1" t="s">
        <v>16</v>
      </c>
      <c r="F915" s="1" t="s">
        <v>39</v>
      </c>
      <c r="G915" s="1" t="s">
        <v>18</v>
      </c>
      <c r="H915" s="1">
        <v>13900</v>
      </c>
      <c r="I915" s="1" t="s">
        <v>22</v>
      </c>
      <c r="J915" s="1">
        <v>0.1</v>
      </c>
      <c r="K915" s="1">
        <v>13000</v>
      </c>
      <c r="L915" s="2">
        <v>45297</v>
      </c>
    </row>
    <row r="916" spans="1:12" x14ac:dyDescent="0.35">
      <c r="A916" s="1" t="s">
        <v>1155</v>
      </c>
      <c r="B916" s="1" t="s">
        <v>460</v>
      </c>
      <c r="C916" s="1" t="s">
        <v>44</v>
      </c>
      <c r="D916" s="1" t="s">
        <v>45</v>
      </c>
      <c r="E916" s="1" t="s">
        <v>46</v>
      </c>
      <c r="F916" s="1" t="s">
        <v>39</v>
      </c>
      <c r="G916" s="1" t="s">
        <v>26</v>
      </c>
      <c r="H916" s="1">
        <v>13318</v>
      </c>
      <c r="I916" s="1" t="s">
        <v>19</v>
      </c>
      <c r="J916" s="1">
        <v>0.2</v>
      </c>
      <c r="K916" s="1">
        <v>13000</v>
      </c>
      <c r="L916" s="2">
        <v>45349</v>
      </c>
    </row>
    <row r="917" spans="1:12" x14ac:dyDescent="0.35">
      <c r="A917" s="1" t="s">
        <v>1156</v>
      </c>
      <c r="B917" s="1" t="s">
        <v>173</v>
      </c>
      <c r="C917" s="1" t="s">
        <v>44</v>
      </c>
      <c r="D917" s="1" t="s">
        <v>45</v>
      </c>
      <c r="E917" s="1" t="s">
        <v>46</v>
      </c>
      <c r="F917" s="1" t="s">
        <v>17</v>
      </c>
      <c r="G917" s="1" t="s">
        <v>36</v>
      </c>
      <c r="H917" s="1">
        <v>13705</v>
      </c>
      <c r="I917" s="1" t="s">
        <v>22</v>
      </c>
      <c r="J917" s="1">
        <v>0.1</v>
      </c>
      <c r="K917" s="1">
        <v>13000</v>
      </c>
      <c r="L917" s="2">
        <v>45332</v>
      </c>
    </row>
    <row r="918" spans="1:12" x14ac:dyDescent="0.35">
      <c r="A918" s="1" t="s">
        <v>1157</v>
      </c>
      <c r="B918" s="1" t="s">
        <v>123</v>
      </c>
      <c r="C918" s="1" t="s">
        <v>61</v>
      </c>
      <c r="D918" s="1" t="s">
        <v>62</v>
      </c>
      <c r="E918" s="1" t="s">
        <v>16</v>
      </c>
      <c r="F918" s="1" t="s">
        <v>39</v>
      </c>
      <c r="G918" s="1" t="s">
        <v>36</v>
      </c>
      <c r="H918" s="1">
        <v>8054</v>
      </c>
      <c r="I918" s="1" t="s">
        <v>19</v>
      </c>
      <c r="J918" s="1">
        <v>0.2</v>
      </c>
      <c r="K918" s="1">
        <v>9000</v>
      </c>
      <c r="L918" s="2">
        <v>45341</v>
      </c>
    </row>
    <row r="919" spans="1:12" x14ac:dyDescent="0.35">
      <c r="A919" s="1" t="s">
        <v>1158</v>
      </c>
      <c r="B919" s="1" t="s">
        <v>263</v>
      </c>
      <c r="C919" s="1" t="s">
        <v>14</v>
      </c>
      <c r="D919" s="1" t="s">
        <v>15</v>
      </c>
      <c r="E919" s="1" t="s">
        <v>46</v>
      </c>
      <c r="F919" s="1" t="s">
        <v>17</v>
      </c>
      <c r="G919" s="1" t="s">
        <v>36</v>
      </c>
      <c r="H919" s="1">
        <v>12246</v>
      </c>
      <c r="I919" s="1" t="s">
        <v>33</v>
      </c>
      <c r="J919" s="1">
        <v>0.3</v>
      </c>
      <c r="K919" s="1">
        <v>14000</v>
      </c>
      <c r="L919" s="2">
        <v>45344</v>
      </c>
    </row>
    <row r="920" spans="1:12" x14ac:dyDescent="0.35">
      <c r="A920" s="1" t="s">
        <v>1159</v>
      </c>
      <c r="B920" s="1" t="s">
        <v>58</v>
      </c>
      <c r="C920" s="1" t="s">
        <v>61</v>
      </c>
      <c r="D920" s="1" t="s">
        <v>62</v>
      </c>
      <c r="E920" s="1" t="s">
        <v>32</v>
      </c>
      <c r="F920" s="1" t="s">
        <v>17</v>
      </c>
      <c r="G920" s="1" t="s">
        <v>18</v>
      </c>
      <c r="H920" s="1">
        <v>9499</v>
      </c>
      <c r="I920" s="1"/>
      <c r="J920" s="1"/>
      <c r="K920" s="1">
        <v>9000</v>
      </c>
      <c r="L920" s="2">
        <v>45303</v>
      </c>
    </row>
    <row r="921" spans="1:12" x14ac:dyDescent="0.35">
      <c r="A921" s="1" t="s">
        <v>1160</v>
      </c>
      <c r="B921" s="1" t="s">
        <v>591</v>
      </c>
      <c r="C921" s="1" t="s">
        <v>14</v>
      </c>
      <c r="D921" s="1" t="s">
        <v>15</v>
      </c>
      <c r="E921" s="1" t="s">
        <v>32</v>
      </c>
      <c r="F921" s="1" t="s">
        <v>39</v>
      </c>
      <c r="G921" s="1" t="s">
        <v>36</v>
      </c>
      <c r="H921" s="1">
        <v>12894</v>
      </c>
      <c r="I921" s="1" t="s">
        <v>27</v>
      </c>
      <c r="J921" s="1"/>
      <c r="K921" s="1">
        <v>14000</v>
      </c>
      <c r="L921" s="2">
        <v>45333</v>
      </c>
    </row>
    <row r="922" spans="1:12" x14ac:dyDescent="0.35">
      <c r="A922" s="1" t="s">
        <v>1161</v>
      </c>
      <c r="B922" s="1" t="s">
        <v>245</v>
      </c>
      <c r="C922" s="1" t="s">
        <v>30</v>
      </c>
      <c r="D922" s="1" t="s">
        <v>31</v>
      </c>
      <c r="E922" s="1" t="s">
        <v>32</v>
      </c>
      <c r="F922" s="1" t="s">
        <v>25</v>
      </c>
      <c r="G922" s="1" t="s">
        <v>18</v>
      </c>
      <c r="H922" s="1">
        <v>15288</v>
      </c>
      <c r="I922" s="1" t="s">
        <v>27</v>
      </c>
      <c r="J922" s="1"/>
      <c r="K922" s="1">
        <v>17000</v>
      </c>
      <c r="L922" s="2">
        <v>45338</v>
      </c>
    </row>
    <row r="923" spans="1:12" x14ac:dyDescent="0.35">
      <c r="A923" s="1" t="s">
        <v>1162</v>
      </c>
      <c r="B923" s="1" t="s">
        <v>443</v>
      </c>
      <c r="C923" s="1" t="s">
        <v>61</v>
      </c>
      <c r="D923" s="1" t="s">
        <v>62</v>
      </c>
      <c r="E923" s="1" t="s">
        <v>32</v>
      </c>
      <c r="F923" s="1" t="s">
        <v>17</v>
      </c>
      <c r="G923" s="1" t="s">
        <v>18</v>
      </c>
      <c r="H923" s="1">
        <v>9674</v>
      </c>
      <c r="I923" s="1" t="s">
        <v>22</v>
      </c>
      <c r="J923" s="1">
        <v>0.1</v>
      </c>
      <c r="K923" s="1">
        <v>9000</v>
      </c>
      <c r="L923" s="2">
        <v>45351</v>
      </c>
    </row>
    <row r="924" spans="1:12" x14ac:dyDescent="0.35">
      <c r="A924" s="1" t="s">
        <v>1163</v>
      </c>
      <c r="B924" s="1" t="s">
        <v>68</v>
      </c>
      <c r="C924" s="1" t="s">
        <v>61</v>
      </c>
      <c r="D924" s="1" t="s">
        <v>62</v>
      </c>
      <c r="E924" s="1" t="s">
        <v>46</v>
      </c>
      <c r="F924" s="1" t="s">
        <v>25</v>
      </c>
      <c r="G924" s="1" t="s">
        <v>26</v>
      </c>
      <c r="H924" s="1">
        <v>8350</v>
      </c>
      <c r="I924" s="1"/>
      <c r="J924" s="1"/>
      <c r="K924" s="1">
        <v>9000</v>
      </c>
      <c r="L924" s="2">
        <v>45328</v>
      </c>
    </row>
    <row r="925" spans="1:12" x14ac:dyDescent="0.35">
      <c r="A925" s="1" t="s">
        <v>1164</v>
      </c>
      <c r="B925" s="1" t="s">
        <v>166</v>
      </c>
      <c r="C925" s="1" t="s">
        <v>61</v>
      </c>
      <c r="D925" s="1" t="s">
        <v>62</v>
      </c>
      <c r="E925" s="1" t="s">
        <v>46</v>
      </c>
      <c r="F925" s="1" t="s">
        <v>17</v>
      </c>
      <c r="G925" s="1" t="s">
        <v>36</v>
      </c>
      <c r="H925" s="1">
        <v>10457</v>
      </c>
      <c r="I925" s="1" t="s">
        <v>22</v>
      </c>
      <c r="J925" s="1">
        <v>0.1</v>
      </c>
      <c r="K925" s="1">
        <v>9000</v>
      </c>
      <c r="L925" s="2">
        <v>45326</v>
      </c>
    </row>
    <row r="926" spans="1:12" x14ac:dyDescent="0.35">
      <c r="A926" s="1" t="s">
        <v>1165</v>
      </c>
      <c r="B926" s="1" t="s">
        <v>500</v>
      </c>
      <c r="C926" s="1" t="s">
        <v>61</v>
      </c>
      <c r="D926" s="1" t="s">
        <v>62</v>
      </c>
      <c r="E926" s="1" t="s">
        <v>16</v>
      </c>
      <c r="F926" s="1" t="s">
        <v>17</v>
      </c>
      <c r="G926" s="1" t="s">
        <v>18</v>
      </c>
      <c r="H926" s="1">
        <v>9323</v>
      </c>
      <c r="I926" s="1" t="s">
        <v>27</v>
      </c>
      <c r="J926" s="1"/>
      <c r="K926" s="1">
        <v>9000</v>
      </c>
      <c r="L926" s="2">
        <v>45351</v>
      </c>
    </row>
    <row r="927" spans="1:12" x14ac:dyDescent="0.35">
      <c r="A927" s="1" t="s">
        <v>1166</v>
      </c>
      <c r="B927" s="1" t="s">
        <v>282</v>
      </c>
      <c r="C927" s="1" t="s">
        <v>30</v>
      </c>
      <c r="D927" s="1" t="s">
        <v>31</v>
      </c>
      <c r="E927" s="1" t="s">
        <v>46</v>
      </c>
      <c r="F927" s="1" t="s">
        <v>25</v>
      </c>
      <c r="G927" s="1" t="s">
        <v>26</v>
      </c>
      <c r="H927" s="1">
        <v>18927</v>
      </c>
      <c r="I927" s="1" t="s">
        <v>22</v>
      </c>
      <c r="J927" s="1">
        <v>0.1</v>
      </c>
      <c r="K927" s="1">
        <v>17000</v>
      </c>
      <c r="L927" s="2">
        <v>45315</v>
      </c>
    </row>
    <row r="928" spans="1:12" x14ac:dyDescent="0.35">
      <c r="A928" s="1" t="s">
        <v>1167</v>
      </c>
      <c r="B928" s="1" t="s">
        <v>105</v>
      </c>
      <c r="C928" s="1" t="s">
        <v>30</v>
      </c>
      <c r="D928" s="1" t="s">
        <v>31</v>
      </c>
      <c r="E928" s="1" t="s">
        <v>32</v>
      </c>
      <c r="F928" s="1" t="s">
        <v>17</v>
      </c>
      <c r="G928" s="1" t="s">
        <v>36</v>
      </c>
      <c r="H928" s="1">
        <v>17653</v>
      </c>
      <c r="I928" s="1" t="s">
        <v>19</v>
      </c>
      <c r="J928" s="1">
        <v>0.2</v>
      </c>
      <c r="K928" s="1">
        <v>17000</v>
      </c>
      <c r="L928" s="2">
        <v>45303</v>
      </c>
    </row>
    <row r="929" spans="1:12" x14ac:dyDescent="0.35">
      <c r="A929" s="1" t="s">
        <v>1168</v>
      </c>
      <c r="B929" s="1" t="s">
        <v>184</v>
      </c>
      <c r="C929" s="1" t="s">
        <v>61</v>
      </c>
      <c r="D929" s="1" t="s">
        <v>62</v>
      </c>
      <c r="E929" s="1" t="s">
        <v>16</v>
      </c>
      <c r="F929" s="1" t="s">
        <v>25</v>
      </c>
      <c r="G929" s="1" t="s">
        <v>36</v>
      </c>
      <c r="H929" s="1">
        <v>9850</v>
      </c>
      <c r="I929" s="1"/>
      <c r="J929" s="1"/>
      <c r="K929" s="1">
        <v>9000</v>
      </c>
      <c r="L929" s="2">
        <v>45349</v>
      </c>
    </row>
    <row r="930" spans="1:12" x14ac:dyDescent="0.35">
      <c r="A930" s="1" t="s">
        <v>1169</v>
      </c>
      <c r="B930" s="1" t="s">
        <v>21</v>
      </c>
      <c r="C930" s="1" t="s">
        <v>30</v>
      </c>
      <c r="D930" s="1" t="s">
        <v>31</v>
      </c>
      <c r="E930" s="1" t="s">
        <v>46</v>
      </c>
      <c r="F930" s="1" t="s">
        <v>25</v>
      </c>
      <c r="G930" s="1" t="s">
        <v>26</v>
      </c>
      <c r="H930" s="1">
        <v>16793</v>
      </c>
      <c r="I930" s="1" t="s">
        <v>19</v>
      </c>
      <c r="J930" s="1">
        <v>0.2</v>
      </c>
      <c r="K930" s="1">
        <v>17000</v>
      </c>
      <c r="L930" s="2">
        <v>45300</v>
      </c>
    </row>
    <row r="931" spans="1:12" x14ac:dyDescent="0.35">
      <c r="A931" s="1" t="s">
        <v>1170</v>
      </c>
      <c r="B931" s="1" t="s">
        <v>192</v>
      </c>
      <c r="C931" s="1" t="s">
        <v>14</v>
      </c>
      <c r="D931" s="1" t="s">
        <v>15</v>
      </c>
      <c r="E931" s="1" t="s">
        <v>16</v>
      </c>
      <c r="F931" s="1" t="s">
        <v>39</v>
      </c>
      <c r="G931" s="1" t="s">
        <v>18</v>
      </c>
      <c r="H931" s="1">
        <v>14003</v>
      </c>
      <c r="I931" s="1"/>
      <c r="J931" s="1"/>
      <c r="K931" s="1">
        <v>14000</v>
      </c>
      <c r="L931" s="2">
        <v>45296</v>
      </c>
    </row>
    <row r="932" spans="1:12" x14ac:dyDescent="0.35">
      <c r="A932" s="1" t="s">
        <v>1171</v>
      </c>
      <c r="B932" s="1" t="s">
        <v>133</v>
      </c>
      <c r="C932" s="1" t="s">
        <v>30</v>
      </c>
      <c r="D932" s="1" t="s">
        <v>31</v>
      </c>
      <c r="E932" s="1" t="s">
        <v>46</v>
      </c>
      <c r="F932" s="1" t="s">
        <v>39</v>
      </c>
      <c r="G932" s="1" t="s">
        <v>36</v>
      </c>
      <c r="H932" s="1">
        <v>18959</v>
      </c>
      <c r="I932" s="1" t="s">
        <v>22</v>
      </c>
      <c r="J932" s="1">
        <v>0.1</v>
      </c>
      <c r="K932" s="1">
        <v>17000</v>
      </c>
      <c r="L932" s="2">
        <v>45294</v>
      </c>
    </row>
    <row r="933" spans="1:12" x14ac:dyDescent="0.35">
      <c r="A933" s="1" t="s">
        <v>1172</v>
      </c>
      <c r="B933" s="1" t="s">
        <v>327</v>
      </c>
      <c r="C933" s="1" t="s">
        <v>30</v>
      </c>
      <c r="D933" s="1" t="s">
        <v>31</v>
      </c>
      <c r="E933" s="1" t="s">
        <v>16</v>
      </c>
      <c r="F933" s="1" t="s">
        <v>25</v>
      </c>
      <c r="G933" s="1" t="s">
        <v>36</v>
      </c>
      <c r="H933" s="1">
        <v>15484</v>
      </c>
      <c r="I933" s="1" t="s">
        <v>19</v>
      </c>
      <c r="J933" s="1">
        <v>0.2</v>
      </c>
      <c r="K933" s="1">
        <v>17000</v>
      </c>
      <c r="L933" s="2">
        <v>45343</v>
      </c>
    </row>
    <row r="934" spans="1:12" x14ac:dyDescent="0.35">
      <c r="A934" s="1" t="s">
        <v>1173</v>
      </c>
      <c r="B934" s="1" t="s">
        <v>92</v>
      </c>
      <c r="C934" s="1" t="s">
        <v>61</v>
      </c>
      <c r="D934" s="1" t="s">
        <v>62</v>
      </c>
      <c r="E934" s="1" t="s">
        <v>16</v>
      </c>
      <c r="F934" s="1" t="s">
        <v>39</v>
      </c>
      <c r="G934" s="1" t="s">
        <v>18</v>
      </c>
      <c r="H934" s="1">
        <v>10035</v>
      </c>
      <c r="I934" s="1" t="s">
        <v>27</v>
      </c>
      <c r="J934" s="1"/>
      <c r="K934" s="1">
        <v>9000</v>
      </c>
      <c r="L934" s="2">
        <v>45306</v>
      </c>
    </row>
    <row r="935" spans="1:12" x14ac:dyDescent="0.35">
      <c r="A935" s="1" t="s">
        <v>1174</v>
      </c>
      <c r="B935" s="1" t="s">
        <v>403</v>
      </c>
      <c r="C935" s="1" t="s">
        <v>14</v>
      </c>
      <c r="D935" s="1" t="s">
        <v>15</v>
      </c>
      <c r="E935" s="1" t="s">
        <v>16</v>
      </c>
      <c r="F935" s="1" t="s">
        <v>25</v>
      </c>
      <c r="G935" s="1" t="s">
        <v>36</v>
      </c>
      <c r="H935" s="1">
        <v>14678</v>
      </c>
      <c r="I935" s="1" t="s">
        <v>22</v>
      </c>
      <c r="J935" s="1">
        <v>0.1</v>
      </c>
      <c r="K935" s="1">
        <v>14000</v>
      </c>
      <c r="L935" s="2">
        <v>45322</v>
      </c>
    </row>
    <row r="936" spans="1:12" x14ac:dyDescent="0.35">
      <c r="A936" s="1" t="s">
        <v>1175</v>
      </c>
      <c r="B936" s="1" t="s">
        <v>60</v>
      </c>
      <c r="C936" s="1" t="s">
        <v>14</v>
      </c>
      <c r="D936" s="1" t="s">
        <v>15</v>
      </c>
      <c r="E936" s="1" t="s">
        <v>32</v>
      </c>
      <c r="F936" s="1" t="s">
        <v>39</v>
      </c>
      <c r="G936" s="1" t="s">
        <v>26</v>
      </c>
      <c r="H936" s="1">
        <v>12534</v>
      </c>
      <c r="I936" s="1" t="s">
        <v>22</v>
      </c>
      <c r="J936" s="1">
        <v>0.1</v>
      </c>
      <c r="K936" s="1">
        <v>14000</v>
      </c>
      <c r="L936" s="2">
        <v>45303</v>
      </c>
    </row>
    <row r="937" spans="1:12" x14ac:dyDescent="0.35">
      <c r="A937" s="1" t="s">
        <v>1176</v>
      </c>
      <c r="B937" s="1" t="s">
        <v>1032</v>
      </c>
      <c r="C937" s="1" t="s">
        <v>30</v>
      </c>
      <c r="D937" s="1" t="s">
        <v>31</v>
      </c>
      <c r="E937" s="1" t="s">
        <v>32</v>
      </c>
      <c r="F937" s="1" t="s">
        <v>17</v>
      </c>
      <c r="G937" s="1" t="s">
        <v>26</v>
      </c>
      <c r="H937" s="1">
        <v>15699</v>
      </c>
      <c r="I937" s="1" t="s">
        <v>27</v>
      </c>
      <c r="J937" s="1"/>
      <c r="K937" s="1">
        <v>17000</v>
      </c>
      <c r="L937" s="2">
        <v>45296</v>
      </c>
    </row>
    <row r="938" spans="1:12" x14ac:dyDescent="0.35">
      <c r="A938" s="1" t="s">
        <v>1177</v>
      </c>
      <c r="B938" s="1" t="s">
        <v>319</v>
      </c>
      <c r="C938" s="1" t="s">
        <v>14</v>
      </c>
      <c r="D938" s="1" t="s">
        <v>15</v>
      </c>
      <c r="E938" s="1" t="s">
        <v>32</v>
      </c>
      <c r="F938" s="1" t="s">
        <v>17</v>
      </c>
      <c r="G938" s="1" t="s">
        <v>26</v>
      </c>
      <c r="H938" s="1">
        <v>15273</v>
      </c>
      <c r="I938" s="1" t="s">
        <v>27</v>
      </c>
      <c r="J938" s="1"/>
      <c r="K938" s="1">
        <v>14000</v>
      </c>
      <c r="L938" s="2">
        <v>45306</v>
      </c>
    </row>
    <row r="939" spans="1:12" x14ac:dyDescent="0.35">
      <c r="A939" s="1" t="s">
        <v>1178</v>
      </c>
      <c r="B939" s="1" t="s">
        <v>200</v>
      </c>
      <c r="C939" s="1" t="s">
        <v>44</v>
      </c>
      <c r="D939" s="1" t="s">
        <v>45</v>
      </c>
      <c r="E939" s="1" t="s">
        <v>46</v>
      </c>
      <c r="F939" s="1" t="s">
        <v>17</v>
      </c>
      <c r="G939" s="1" t="s">
        <v>26</v>
      </c>
      <c r="H939" s="1">
        <v>13778</v>
      </c>
      <c r="I939" s="1"/>
      <c r="J939" s="1"/>
      <c r="K939" s="1">
        <v>13000</v>
      </c>
      <c r="L939" s="2">
        <v>45312</v>
      </c>
    </row>
    <row r="940" spans="1:12" x14ac:dyDescent="0.35">
      <c r="A940" s="1" t="s">
        <v>1179</v>
      </c>
      <c r="B940" s="1" t="s">
        <v>21</v>
      </c>
      <c r="C940" s="1" t="s">
        <v>44</v>
      </c>
      <c r="D940" s="1" t="s">
        <v>45</v>
      </c>
      <c r="E940" s="1" t="s">
        <v>46</v>
      </c>
      <c r="F940" s="1" t="s">
        <v>25</v>
      </c>
      <c r="G940" s="1" t="s">
        <v>18</v>
      </c>
      <c r="H940" s="1">
        <v>13429</v>
      </c>
      <c r="I940" s="1" t="s">
        <v>19</v>
      </c>
      <c r="J940" s="1">
        <v>0.2</v>
      </c>
      <c r="K940" s="1">
        <v>13000</v>
      </c>
      <c r="L940" s="2">
        <v>45313</v>
      </c>
    </row>
    <row r="941" spans="1:12" x14ac:dyDescent="0.35">
      <c r="A941" s="1" t="s">
        <v>1180</v>
      </c>
      <c r="B941" s="1" t="s">
        <v>78</v>
      </c>
      <c r="C941" s="1" t="s">
        <v>30</v>
      </c>
      <c r="D941" s="1" t="s">
        <v>31</v>
      </c>
      <c r="E941" s="1" t="s">
        <v>32</v>
      </c>
      <c r="F941" s="1" t="s">
        <v>17</v>
      </c>
      <c r="G941" s="1" t="s">
        <v>18</v>
      </c>
      <c r="H941" s="1">
        <v>17852</v>
      </c>
      <c r="I941" s="1" t="s">
        <v>33</v>
      </c>
      <c r="J941" s="1">
        <v>0.3</v>
      </c>
      <c r="K941" s="1">
        <v>17000</v>
      </c>
      <c r="L941" s="2">
        <v>45327</v>
      </c>
    </row>
    <row r="942" spans="1:12" x14ac:dyDescent="0.35">
      <c r="A942" s="1" t="s">
        <v>1181</v>
      </c>
      <c r="B942" s="1" t="s">
        <v>429</v>
      </c>
      <c r="C942" s="1" t="s">
        <v>44</v>
      </c>
      <c r="D942" s="1" t="s">
        <v>45</v>
      </c>
      <c r="E942" s="1" t="s">
        <v>16</v>
      </c>
      <c r="F942" s="1" t="s">
        <v>25</v>
      </c>
      <c r="G942" s="1" t="s">
        <v>18</v>
      </c>
      <c r="H942" s="1">
        <v>11409</v>
      </c>
      <c r="I942" s="1" t="s">
        <v>27</v>
      </c>
      <c r="J942" s="1"/>
      <c r="K942" s="1">
        <v>13000</v>
      </c>
      <c r="L942" s="2">
        <v>45316</v>
      </c>
    </row>
    <row r="943" spans="1:12" x14ac:dyDescent="0.35">
      <c r="A943" s="1" t="s">
        <v>1182</v>
      </c>
      <c r="B943" s="1" t="s">
        <v>72</v>
      </c>
      <c r="C943" s="1" t="s">
        <v>14</v>
      </c>
      <c r="D943" s="1" t="s">
        <v>15</v>
      </c>
      <c r="E943" s="1" t="s">
        <v>46</v>
      </c>
      <c r="F943" s="1" t="s">
        <v>25</v>
      </c>
      <c r="G943" s="1" t="s">
        <v>18</v>
      </c>
      <c r="H943" s="1">
        <v>12029</v>
      </c>
      <c r="I943" s="1" t="s">
        <v>19</v>
      </c>
      <c r="J943" s="1">
        <v>0.2</v>
      </c>
      <c r="K943" s="1">
        <v>14000</v>
      </c>
      <c r="L943" s="2">
        <v>45351</v>
      </c>
    </row>
    <row r="944" spans="1:12" x14ac:dyDescent="0.35">
      <c r="A944" s="1" t="s">
        <v>1183</v>
      </c>
      <c r="B944" s="1" t="s">
        <v>173</v>
      </c>
      <c r="C944" s="1" t="s">
        <v>30</v>
      </c>
      <c r="D944" s="1" t="s">
        <v>31</v>
      </c>
      <c r="E944" s="1" t="s">
        <v>46</v>
      </c>
      <c r="F944" s="1" t="s">
        <v>39</v>
      </c>
      <c r="G944" s="1" t="s">
        <v>36</v>
      </c>
      <c r="H944" s="1">
        <v>17835</v>
      </c>
      <c r="I944" s="1" t="s">
        <v>19</v>
      </c>
      <c r="J944" s="1">
        <v>0.2</v>
      </c>
      <c r="K944" s="1">
        <v>17000</v>
      </c>
      <c r="L944" s="2">
        <v>45305</v>
      </c>
    </row>
    <row r="945" spans="1:12" x14ac:dyDescent="0.35">
      <c r="A945" s="1" t="s">
        <v>1184</v>
      </c>
      <c r="B945" s="1" t="s">
        <v>113</v>
      </c>
      <c r="C945" s="1" t="s">
        <v>30</v>
      </c>
      <c r="D945" s="1" t="s">
        <v>31</v>
      </c>
      <c r="E945" s="1" t="s">
        <v>16</v>
      </c>
      <c r="F945" s="1" t="s">
        <v>17</v>
      </c>
      <c r="G945" s="1" t="s">
        <v>36</v>
      </c>
      <c r="H945" s="1">
        <v>15979</v>
      </c>
      <c r="I945" s="1" t="s">
        <v>19</v>
      </c>
      <c r="J945" s="1">
        <v>0.2</v>
      </c>
      <c r="K945" s="1">
        <v>17000</v>
      </c>
      <c r="L945" s="2">
        <v>45331</v>
      </c>
    </row>
    <row r="946" spans="1:12" x14ac:dyDescent="0.35">
      <c r="A946" s="1" t="s">
        <v>1185</v>
      </c>
      <c r="B946" s="1" t="s">
        <v>464</v>
      </c>
      <c r="C946" s="1" t="s">
        <v>44</v>
      </c>
      <c r="D946" s="1" t="s">
        <v>45</v>
      </c>
      <c r="E946" s="1" t="s">
        <v>16</v>
      </c>
      <c r="F946" s="1" t="s">
        <v>17</v>
      </c>
      <c r="G946" s="1" t="s">
        <v>26</v>
      </c>
      <c r="H946" s="1">
        <v>14892</v>
      </c>
      <c r="I946" s="1" t="s">
        <v>22</v>
      </c>
      <c r="J946" s="1">
        <v>0.1</v>
      </c>
      <c r="K946" s="1">
        <v>13000</v>
      </c>
      <c r="L946" s="2">
        <v>45332</v>
      </c>
    </row>
    <row r="947" spans="1:12" x14ac:dyDescent="0.35">
      <c r="A947" s="1" t="s">
        <v>1186</v>
      </c>
      <c r="B947" s="1" t="s">
        <v>393</v>
      </c>
      <c r="C947" s="1" t="s">
        <v>30</v>
      </c>
      <c r="D947" s="1" t="s">
        <v>31</v>
      </c>
      <c r="E947" s="1" t="s">
        <v>46</v>
      </c>
      <c r="F947" s="1" t="s">
        <v>17</v>
      </c>
      <c r="G947" s="1" t="s">
        <v>18</v>
      </c>
      <c r="H947" s="1">
        <v>17284</v>
      </c>
      <c r="I947" s="1" t="s">
        <v>19</v>
      </c>
      <c r="J947" s="1">
        <v>0.2</v>
      </c>
      <c r="K947" s="1">
        <v>17000</v>
      </c>
      <c r="L947" s="2">
        <v>45304</v>
      </c>
    </row>
    <row r="948" spans="1:12" x14ac:dyDescent="0.35">
      <c r="A948" s="1" t="s">
        <v>1187</v>
      </c>
      <c r="B948" s="1" t="s">
        <v>241</v>
      </c>
      <c r="C948" s="1" t="s">
        <v>14</v>
      </c>
      <c r="D948" s="1" t="s">
        <v>15</v>
      </c>
      <c r="E948" s="1" t="s">
        <v>16</v>
      </c>
      <c r="F948" s="1" t="s">
        <v>17</v>
      </c>
      <c r="G948" s="1" t="s">
        <v>26</v>
      </c>
      <c r="H948" s="1">
        <v>14078</v>
      </c>
      <c r="I948" s="1" t="s">
        <v>19</v>
      </c>
      <c r="J948" s="1">
        <v>0.2</v>
      </c>
      <c r="K948" s="1">
        <v>14000</v>
      </c>
      <c r="L948" s="2">
        <v>45321</v>
      </c>
    </row>
    <row r="949" spans="1:12" x14ac:dyDescent="0.35">
      <c r="A949" s="1" t="s">
        <v>1188</v>
      </c>
      <c r="B949" s="1" t="s">
        <v>426</v>
      </c>
      <c r="C949" s="1" t="s">
        <v>44</v>
      </c>
      <c r="D949" s="1" t="s">
        <v>45</v>
      </c>
      <c r="E949" s="1" t="s">
        <v>46</v>
      </c>
      <c r="F949" s="1" t="s">
        <v>25</v>
      </c>
      <c r="G949" s="1" t="s">
        <v>18</v>
      </c>
      <c r="H949" s="1">
        <v>11461</v>
      </c>
      <c r="I949" s="1" t="s">
        <v>19</v>
      </c>
      <c r="J949" s="1">
        <v>0.2</v>
      </c>
      <c r="K949" s="1">
        <v>13000</v>
      </c>
      <c r="L949" s="2">
        <v>45335</v>
      </c>
    </row>
    <row r="950" spans="1:12" x14ac:dyDescent="0.35">
      <c r="A950" s="1" t="s">
        <v>1189</v>
      </c>
      <c r="B950" s="1" t="s">
        <v>1190</v>
      </c>
      <c r="C950" s="1" t="s">
        <v>61</v>
      </c>
      <c r="D950" s="1" t="s">
        <v>62</v>
      </c>
      <c r="E950" s="1" t="s">
        <v>32</v>
      </c>
      <c r="F950" s="1" t="s">
        <v>25</v>
      </c>
      <c r="G950" s="1" t="s">
        <v>26</v>
      </c>
      <c r="H950" s="1">
        <v>10779</v>
      </c>
      <c r="I950" s="1" t="s">
        <v>22</v>
      </c>
      <c r="J950" s="1">
        <v>0.1</v>
      </c>
      <c r="K950" s="1">
        <v>9000</v>
      </c>
      <c r="L950" s="2">
        <v>45295</v>
      </c>
    </row>
    <row r="951" spans="1:12" x14ac:dyDescent="0.35">
      <c r="A951" s="1" t="s">
        <v>1191</v>
      </c>
      <c r="B951" s="1" t="s">
        <v>317</v>
      </c>
      <c r="C951" s="1" t="s">
        <v>30</v>
      </c>
      <c r="D951" s="1" t="s">
        <v>31</v>
      </c>
      <c r="E951" s="1" t="s">
        <v>32</v>
      </c>
      <c r="F951" s="1" t="s">
        <v>17</v>
      </c>
      <c r="G951" s="1" t="s">
        <v>36</v>
      </c>
      <c r="H951" s="1">
        <v>16369</v>
      </c>
      <c r="I951" s="1" t="s">
        <v>27</v>
      </c>
      <c r="J951" s="1"/>
      <c r="K951" s="1">
        <v>17000</v>
      </c>
      <c r="L951" s="2">
        <v>45343</v>
      </c>
    </row>
    <row r="952" spans="1:12" x14ac:dyDescent="0.35">
      <c r="A952" s="1" t="s">
        <v>1192</v>
      </c>
      <c r="B952" s="1" t="s">
        <v>148</v>
      </c>
      <c r="C952" s="1" t="s">
        <v>61</v>
      </c>
      <c r="D952" s="1" t="s">
        <v>62</v>
      </c>
      <c r="E952" s="1" t="s">
        <v>32</v>
      </c>
      <c r="F952" s="1" t="s">
        <v>25</v>
      </c>
      <c r="G952" s="1" t="s">
        <v>26</v>
      </c>
      <c r="H952" s="1">
        <v>7214</v>
      </c>
      <c r="I952" s="1" t="s">
        <v>27</v>
      </c>
      <c r="J952" s="1"/>
      <c r="K952" s="1">
        <v>9000</v>
      </c>
      <c r="L952" s="2">
        <v>45303</v>
      </c>
    </row>
    <row r="953" spans="1:12" x14ac:dyDescent="0.35">
      <c r="A953" s="1" t="s">
        <v>1193</v>
      </c>
      <c r="B953" s="1" t="s">
        <v>135</v>
      </c>
      <c r="C953" s="1" t="s">
        <v>14</v>
      </c>
      <c r="D953" s="1" t="s">
        <v>15</v>
      </c>
      <c r="E953" s="1" t="s">
        <v>46</v>
      </c>
      <c r="F953" s="1" t="s">
        <v>39</v>
      </c>
      <c r="G953" s="1" t="s">
        <v>18</v>
      </c>
      <c r="H953" s="1">
        <v>12290</v>
      </c>
      <c r="I953" s="1" t="s">
        <v>19</v>
      </c>
      <c r="J953" s="1">
        <v>0.2</v>
      </c>
      <c r="K953" s="1">
        <v>14000</v>
      </c>
      <c r="L953" s="2">
        <v>45338</v>
      </c>
    </row>
    <row r="954" spans="1:12" x14ac:dyDescent="0.35">
      <c r="A954" s="1" t="s">
        <v>1194</v>
      </c>
      <c r="B954" s="1" t="s">
        <v>600</v>
      </c>
      <c r="C954" s="1" t="s">
        <v>30</v>
      </c>
      <c r="D954" s="1" t="s">
        <v>31</v>
      </c>
      <c r="E954" s="1" t="s">
        <v>46</v>
      </c>
      <c r="F954" s="1" t="s">
        <v>25</v>
      </c>
      <c r="G954" s="1" t="s">
        <v>26</v>
      </c>
      <c r="H954" s="1">
        <v>17772</v>
      </c>
      <c r="I954" s="1" t="s">
        <v>33</v>
      </c>
      <c r="J954" s="1">
        <v>0.3</v>
      </c>
      <c r="K954" s="1">
        <v>17000</v>
      </c>
      <c r="L954" s="2">
        <v>45306</v>
      </c>
    </row>
    <row r="955" spans="1:12" x14ac:dyDescent="0.35">
      <c r="A955" s="1" t="s">
        <v>1195</v>
      </c>
      <c r="B955" s="1" t="s">
        <v>652</v>
      </c>
      <c r="C955" s="1" t="s">
        <v>30</v>
      </c>
      <c r="D955" s="1" t="s">
        <v>31</v>
      </c>
      <c r="E955" s="1" t="s">
        <v>32</v>
      </c>
      <c r="F955" s="1" t="s">
        <v>25</v>
      </c>
      <c r="G955" s="1" t="s">
        <v>18</v>
      </c>
      <c r="H955" s="1">
        <v>18021</v>
      </c>
      <c r="I955" s="1"/>
      <c r="J955" s="1"/>
      <c r="K955" s="1">
        <v>17000</v>
      </c>
      <c r="L955" s="2">
        <v>45347</v>
      </c>
    </row>
    <row r="956" spans="1:12" x14ac:dyDescent="0.35">
      <c r="A956" s="1" t="s">
        <v>1196</v>
      </c>
      <c r="B956" s="1" t="s">
        <v>414</v>
      </c>
      <c r="C956" s="1" t="s">
        <v>44</v>
      </c>
      <c r="D956" s="1" t="s">
        <v>45</v>
      </c>
      <c r="E956" s="1" t="s">
        <v>32</v>
      </c>
      <c r="F956" s="1" t="s">
        <v>17</v>
      </c>
      <c r="G956" s="1" t="s">
        <v>26</v>
      </c>
      <c r="H956" s="1">
        <v>12984</v>
      </c>
      <c r="I956" s="1" t="s">
        <v>22</v>
      </c>
      <c r="J956" s="1">
        <v>0.1</v>
      </c>
      <c r="K956" s="1">
        <v>13000</v>
      </c>
      <c r="L956" s="2">
        <v>45348</v>
      </c>
    </row>
    <row r="957" spans="1:12" x14ac:dyDescent="0.35">
      <c r="A957" s="1" t="s">
        <v>1197</v>
      </c>
      <c r="B957" s="1" t="s">
        <v>186</v>
      </c>
      <c r="C957" s="1" t="s">
        <v>44</v>
      </c>
      <c r="D957" s="1" t="s">
        <v>45</v>
      </c>
      <c r="E957" s="1" t="s">
        <v>16</v>
      </c>
      <c r="F957" s="1" t="s">
        <v>17</v>
      </c>
      <c r="G957" s="1" t="s">
        <v>18</v>
      </c>
      <c r="H957" s="1">
        <v>12586</v>
      </c>
      <c r="I957" s="1" t="s">
        <v>33</v>
      </c>
      <c r="J957" s="1">
        <v>0.3</v>
      </c>
      <c r="K957" s="1">
        <v>13000</v>
      </c>
      <c r="L957" s="2">
        <v>45300</v>
      </c>
    </row>
    <row r="958" spans="1:12" x14ac:dyDescent="0.35">
      <c r="A958" s="1" t="s">
        <v>1198</v>
      </c>
      <c r="B958" s="1" t="s">
        <v>483</v>
      </c>
      <c r="C958" s="1" t="s">
        <v>44</v>
      </c>
      <c r="D958" s="1" t="s">
        <v>45</v>
      </c>
      <c r="E958" s="1" t="s">
        <v>16</v>
      </c>
      <c r="F958" s="1" t="s">
        <v>17</v>
      </c>
      <c r="G958" s="1" t="s">
        <v>36</v>
      </c>
      <c r="H958" s="1">
        <v>11828</v>
      </c>
      <c r="I958" s="1" t="s">
        <v>33</v>
      </c>
      <c r="J958" s="1">
        <v>0.3</v>
      </c>
      <c r="K958" s="1">
        <v>13000</v>
      </c>
      <c r="L958" s="2">
        <v>45300</v>
      </c>
    </row>
    <row r="959" spans="1:12" x14ac:dyDescent="0.35">
      <c r="A959" s="1" t="s">
        <v>1199</v>
      </c>
      <c r="B959" s="1" t="s">
        <v>190</v>
      </c>
      <c r="C959" s="1" t="s">
        <v>14</v>
      </c>
      <c r="D959" s="1" t="s">
        <v>15</v>
      </c>
      <c r="E959" s="1" t="s">
        <v>46</v>
      </c>
      <c r="F959" s="1" t="s">
        <v>25</v>
      </c>
      <c r="G959" s="1" t="s">
        <v>18</v>
      </c>
      <c r="H959" s="1">
        <v>15488</v>
      </c>
      <c r="I959" s="1"/>
      <c r="J959" s="1"/>
      <c r="K959" s="1">
        <v>14000</v>
      </c>
      <c r="L959" s="2">
        <v>45321</v>
      </c>
    </row>
    <row r="960" spans="1:12" x14ac:dyDescent="0.35">
      <c r="A960" s="1" t="s">
        <v>1200</v>
      </c>
      <c r="B960" s="1" t="s">
        <v>186</v>
      </c>
      <c r="C960" s="1" t="s">
        <v>30</v>
      </c>
      <c r="D960" s="1" t="s">
        <v>31</v>
      </c>
      <c r="E960" s="1" t="s">
        <v>32</v>
      </c>
      <c r="F960" s="1" t="s">
        <v>17</v>
      </c>
      <c r="G960" s="1" t="s">
        <v>26</v>
      </c>
      <c r="H960" s="1">
        <v>15642</v>
      </c>
      <c r="I960" s="1" t="s">
        <v>27</v>
      </c>
      <c r="J960" s="1"/>
      <c r="K960" s="1">
        <v>17000</v>
      </c>
      <c r="L960" s="2">
        <v>45349</v>
      </c>
    </row>
    <row r="961" spans="1:12" x14ac:dyDescent="0.35">
      <c r="A961" s="1" t="s">
        <v>1201</v>
      </c>
      <c r="B961" s="1" t="s">
        <v>720</v>
      </c>
      <c r="C961" s="1" t="s">
        <v>44</v>
      </c>
      <c r="D961" s="1" t="s">
        <v>45</v>
      </c>
      <c r="E961" s="1" t="s">
        <v>32</v>
      </c>
      <c r="F961" s="1" t="s">
        <v>17</v>
      </c>
      <c r="G961" s="1" t="s">
        <v>26</v>
      </c>
      <c r="H961" s="1">
        <v>13003</v>
      </c>
      <c r="I961" s="1" t="s">
        <v>19</v>
      </c>
      <c r="J961" s="1">
        <v>0.2</v>
      </c>
      <c r="K961" s="1">
        <v>13000</v>
      </c>
      <c r="L961" s="2">
        <v>45329</v>
      </c>
    </row>
    <row r="962" spans="1:12" x14ac:dyDescent="0.35">
      <c r="A962" s="1" t="s">
        <v>1202</v>
      </c>
      <c r="B962" s="1" t="s">
        <v>752</v>
      </c>
      <c r="C962" s="1" t="s">
        <v>61</v>
      </c>
      <c r="D962" s="1" t="s">
        <v>62</v>
      </c>
      <c r="E962" s="1" t="s">
        <v>46</v>
      </c>
      <c r="F962" s="1" t="s">
        <v>25</v>
      </c>
      <c r="G962" s="1" t="s">
        <v>26</v>
      </c>
      <c r="H962" s="1">
        <v>8753</v>
      </c>
      <c r="I962" s="1" t="s">
        <v>19</v>
      </c>
      <c r="J962" s="1">
        <v>0.2</v>
      </c>
      <c r="K962" s="1">
        <v>9000</v>
      </c>
      <c r="L962" s="2">
        <v>45307</v>
      </c>
    </row>
    <row r="963" spans="1:12" x14ac:dyDescent="0.35">
      <c r="A963" s="1" t="s">
        <v>1203</v>
      </c>
      <c r="B963" s="1" t="s">
        <v>666</v>
      </c>
      <c r="C963" s="1" t="s">
        <v>44</v>
      </c>
      <c r="D963" s="1" t="s">
        <v>45</v>
      </c>
      <c r="E963" s="1" t="s">
        <v>16</v>
      </c>
      <c r="F963" s="1" t="s">
        <v>25</v>
      </c>
      <c r="G963" s="1" t="s">
        <v>26</v>
      </c>
      <c r="H963" s="1">
        <v>14679</v>
      </c>
      <c r="I963" s="1" t="s">
        <v>22</v>
      </c>
      <c r="J963" s="1">
        <v>0.1</v>
      </c>
      <c r="K963" s="1">
        <v>13000</v>
      </c>
      <c r="L963" s="2">
        <v>45318</v>
      </c>
    </row>
    <row r="964" spans="1:12" x14ac:dyDescent="0.35">
      <c r="A964" s="1" t="s">
        <v>1204</v>
      </c>
      <c r="B964" s="1" t="s">
        <v>161</v>
      </c>
      <c r="C964" s="1" t="s">
        <v>61</v>
      </c>
      <c r="D964" s="1" t="s">
        <v>62</v>
      </c>
      <c r="E964" s="1" t="s">
        <v>16</v>
      </c>
      <c r="F964" s="1" t="s">
        <v>39</v>
      </c>
      <c r="G964" s="1" t="s">
        <v>18</v>
      </c>
      <c r="H964" s="1">
        <v>8743</v>
      </c>
      <c r="I964" s="1" t="s">
        <v>27</v>
      </c>
      <c r="J964" s="1"/>
      <c r="K964" s="1">
        <v>9000</v>
      </c>
      <c r="L964" s="2">
        <v>45317</v>
      </c>
    </row>
    <row r="965" spans="1:12" x14ac:dyDescent="0.35">
      <c r="A965" s="1" t="s">
        <v>1205</v>
      </c>
      <c r="B965" s="1" t="s">
        <v>157</v>
      </c>
      <c r="C965" s="1" t="s">
        <v>14</v>
      </c>
      <c r="D965" s="1" t="s">
        <v>15</v>
      </c>
      <c r="E965" s="1" t="s">
        <v>46</v>
      </c>
      <c r="F965" s="1" t="s">
        <v>17</v>
      </c>
      <c r="G965" s="1" t="s">
        <v>18</v>
      </c>
      <c r="H965" s="1">
        <v>12340</v>
      </c>
      <c r="I965" s="1" t="s">
        <v>27</v>
      </c>
      <c r="J965" s="1"/>
      <c r="K965" s="1">
        <v>14000</v>
      </c>
      <c r="L965" s="2">
        <v>45340</v>
      </c>
    </row>
    <row r="966" spans="1:12" x14ac:dyDescent="0.35">
      <c r="A966" s="1" t="s">
        <v>1206</v>
      </c>
      <c r="B966" s="1" t="s">
        <v>190</v>
      </c>
      <c r="C966" s="1" t="s">
        <v>61</v>
      </c>
      <c r="D966" s="1" t="s">
        <v>62</v>
      </c>
      <c r="E966" s="1" t="s">
        <v>32</v>
      </c>
      <c r="F966" s="1" t="s">
        <v>25</v>
      </c>
      <c r="G966" s="1" t="s">
        <v>36</v>
      </c>
      <c r="H966" s="1">
        <v>8211</v>
      </c>
      <c r="I966" s="1" t="s">
        <v>19</v>
      </c>
      <c r="J966" s="1">
        <v>0.2</v>
      </c>
      <c r="K966" s="1">
        <v>9000</v>
      </c>
      <c r="L966" s="2">
        <v>45333</v>
      </c>
    </row>
    <row r="967" spans="1:12" x14ac:dyDescent="0.35">
      <c r="A967" s="1" t="s">
        <v>1207</v>
      </c>
      <c r="B967" s="1" t="s">
        <v>43</v>
      </c>
      <c r="C967" s="1" t="s">
        <v>61</v>
      </c>
      <c r="D967" s="1" t="s">
        <v>62</v>
      </c>
      <c r="E967" s="1" t="s">
        <v>16</v>
      </c>
      <c r="F967" s="1" t="s">
        <v>17</v>
      </c>
      <c r="G967" s="1" t="s">
        <v>18</v>
      </c>
      <c r="H967" s="1">
        <v>9880</v>
      </c>
      <c r="I967" s="1"/>
      <c r="J967" s="1"/>
      <c r="K967" s="1">
        <v>9000</v>
      </c>
      <c r="L967" s="2">
        <v>45346</v>
      </c>
    </row>
    <row r="968" spans="1:12" x14ac:dyDescent="0.35">
      <c r="A968" s="1" t="s">
        <v>1208</v>
      </c>
      <c r="B968" s="1" t="s">
        <v>233</v>
      </c>
      <c r="C968" s="1" t="s">
        <v>14</v>
      </c>
      <c r="D968" s="1" t="s">
        <v>15</v>
      </c>
      <c r="E968" s="1" t="s">
        <v>46</v>
      </c>
      <c r="F968" s="1" t="s">
        <v>17</v>
      </c>
      <c r="G968" s="1" t="s">
        <v>18</v>
      </c>
      <c r="H968" s="1">
        <v>15580</v>
      </c>
      <c r="I968" s="1"/>
      <c r="J968" s="1"/>
      <c r="K968" s="1">
        <v>14000</v>
      </c>
      <c r="L968" s="2">
        <v>45303</v>
      </c>
    </row>
    <row r="969" spans="1:12" x14ac:dyDescent="0.35">
      <c r="A969" s="1" t="s">
        <v>1209</v>
      </c>
      <c r="B969" s="1" t="s">
        <v>140</v>
      </c>
      <c r="C969" s="1" t="s">
        <v>30</v>
      </c>
      <c r="D969" s="1" t="s">
        <v>31</v>
      </c>
      <c r="E969" s="1" t="s">
        <v>16</v>
      </c>
      <c r="F969" s="1" t="s">
        <v>17</v>
      </c>
      <c r="G969" s="1" t="s">
        <v>26</v>
      </c>
      <c r="H969" s="1">
        <v>17594</v>
      </c>
      <c r="I969" s="1" t="s">
        <v>22</v>
      </c>
      <c r="J969" s="1">
        <v>0.1</v>
      </c>
      <c r="K969" s="1">
        <v>17000</v>
      </c>
      <c r="L969" s="2">
        <v>45347</v>
      </c>
    </row>
    <row r="970" spans="1:12" x14ac:dyDescent="0.35">
      <c r="A970" s="1" t="s">
        <v>1210</v>
      </c>
      <c r="B970" s="1" t="s">
        <v>13</v>
      </c>
      <c r="C970" s="1" t="s">
        <v>61</v>
      </c>
      <c r="D970" s="1" t="s">
        <v>62</v>
      </c>
      <c r="E970" s="1" t="s">
        <v>16</v>
      </c>
      <c r="F970" s="1" t="s">
        <v>17</v>
      </c>
      <c r="G970" s="1" t="s">
        <v>26</v>
      </c>
      <c r="H970" s="1">
        <v>7133</v>
      </c>
      <c r="I970" s="1" t="s">
        <v>33</v>
      </c>
      <c r="J970" s="1">
        <v>0.3</v>
      </c>
      <c r="K970" s="1">
        <v>9000</v>
      </c>
      <c r="L970" s="2">
        <v>45319</v>
      </c>
    </row>
    <row r="971" spans="1:12" x14ac:dyDescent="0.35">
      <c r="A971" s="1" t="s">
        <v>1211</v>
      </c>
      <c r="B971" s="1" t="s">
        <v>1073</v>
      </c>
      <c r="C971" s="1" t="s">
        <v>44</v>
      </c>
      <c r="D971" s="1" t="s">
        <v>45</v>
      </c>
      <c r="E971" s="1" t="s">
        <v>16</v>
      </c>
      <c r="F971" s="1" t="s">
        <v>25</v>
      </c>
      <c r="G971" s="1" t="s">
        <v>26</v>
      </c>
      <c r="H971" s="1">
        <v>14607</v>
      </c>
      <c r="I971" s="1" t="s">
        <v>33</v>
      </c>
      <c r="J971" s="1">
        <v>0.3</v>
      </c>
      <c r="K971" s="1">
        <v>13000</v>
      </c>
      <c r="L971" s="2">
        <v>45339</v>
      </c>
    </row>
    <row r="972" spans="1:12" x14ac:dyDescent="0.35">
      <c r="A972" s="1" t="s">
        <v>1212</v>
      </c>
      <c r="B972" s="1" t="s">
        <v>987</v>
      </c>
      <c r="C972" s="1" t="s">
        <v>30</v>
      </c>
      <c r="D972" s="1" t="s">
        <v>31</v>
      </c>
      <c r="E972" s="1" t="s">
        <v>32</v>
      </c>
      <c r="F972" s="1" t="s">
        <v>25</v>
      </c>
      <c r="G972" s="1" t="s">
        <v>36</v>
      </c>
      <c r="H972" s="1">
        <v>16497</v>
      </c>
      <c r="I972" s="1"/>
      <c r="J972" s="1"/>
      <c r="K972" s="1">
        <v>17000</v>
      </c>
      <c r="L972" s="2">
        <v>45331</v>
      </c>
    </row>
    <row r="973" spans="1:12" x14ac:dyDescent="0.35">
      <c r="A973" s="1" t="s">
        <v>1213</v>
      </c>
      <c r="B973" s="1" t="s">
        <v>125</v>
      </c>
      <c r="C973" s="1" t="s">
        <v>30</v>
      </c>
      <c r="D973" s="1" t="s">
        <v>31</v>
      </c>
      <c r="E973" s="1" t="s">
        <v>32</v>
      </c>
      <c r="F973" s="1" t="s">
        <v>39</v>
      </c>
      <c r="G973" s="1" t="s">
        <v>26</v>
      </c>
      <c r="H973" s="1">
        <v>17887</v>
      </c>
      <c r="I973" s="1" t="s">
        <v>22</v>
      </c>
      <c r="J973" s="1">
        <v>0.1</v>
      </c>
      <c r="K973" s="1">
        <v>17000</v>
      </c>
      <c r="L973" s="2">
        <v>45327</v>
      </c>
    </row>
    <row r="974" spans="1:12" x14ac:dyDescent="0.35">
      <c r="A974" s="1" t="s">
        <v>1214</v>
      </c>
      <c r="B974" s="1" t="s">
        <v>276</v>
      </c>
      <c r="C974" s="1" t="s">
        <v>44</v>
      </c>
      <c r="D974" s="1" t="s">
        <v>45</v>
      </c>
      <c r="E974" s="1" t="s">
        <v>32</v>
      </c>
      <c r="F974" s="1" t="s">
        <v>17</v>
      </c>
      <c r="G974" s="1" t="s">
        <v>18</v>
      </c>
      <c r="H974" s="1">
        <v>13210</v>
      </c>
      <c r="I974" s="1" t="s">
        <v>22</v>
      </c>
      <c r="J974" s="1">
        <v>0.1</v>
      </c>
      <c r="K974" s="1">
        <v>13000</v>
      </c>
      <c r="L974" s="2">
        <v>45333</v>
      </c>
    </row>
    <row r="975" spans="1:12" x14ac:dyDescent="0.35">
      <c r="A975" s="1" t="s">
        <v>1215</v>
      </c>
      <c r="B975" s="1" t="s">
        <v>483</v>
      </c>
      <c r="C975" s="1" t="s">
        <v>44</v>
      </c>
      <c r="D975" s="1" t="s">
        <v>45</v>
      </c>
      <c r="E975" s="1" t="s">
        <v>16</v>
      </c>
      <c r="F975" s="1" t="s">
        <v>25</v>
      </c>
      <c r="G975" s="1" t="s">
        <v>36</v>
      </c>
      <c r="H975" s="1">
        <v>12444</v>
      </c>
      <c r="I975" s="1" t="s">
        <v>33</v>
      </c>
      <c r="J975" s="1">
        <v>0.3</v>
      </c>
      <c r="K975" s="1">
        <v>13000</v>
      </c>
      <c r="L975" s="2">
        <v>45324</v>
      </c>
    </row>
    <row r="976" spans="1:12" x14ac:dyDescent="0.35">
      <c r="A976" s="1" t="s">
        <v>1216</v>
      </c>
      <c r="B976" s="1" t="s">
        <v>90</v>
      </c>
      <c r="C976" s="1" t="s">
        <v>30</v>
      </c>
      <c r="D976" s="1" t="s">
        <v>31</v>
      </c>
      <c r="E976" s="1" t="s">
        <v>32</v>
      </c>
      <c r="F976" s="1" t="s">
        <v>25</v>
      </c>
      <c r="G976" s="1" t="s">
        <v>36</v>
      </c>
      <c r="H976" s="1">
        <v>16414</v>
      </c>
      <c r="I976" s="1"/>
      <c r="J976" s="1"/>
      <c r="K976" s="1">
        <v>17000</v>
      </c>
      <c r="L976" s="2">
        <v>45323</v>
      </c>
    </row>
    <row r="977" spans="1:12" x14ac:dyDescent="0.35">
      <c r="A977" s="1" t="s">
        <v>1217</v>
      </c>
      <c r="B977" s="1" t="s">
        <v>168</v>
      </c>
      <c r="C977" s="1" t="s">
        <v>14</v>
      </c>
      <c r="D977" s="1" t="s">
        <v>15</v>
      </c>
      <c r="E977" s="1" t="s">
        <v>46</v>
      </c>
      <c r="F977" s="1" t="s">
        <v>39</v>
      </c>
      <c r="G977" s="1" t="s">
        <v>26</v>
      </c>
      <c r="H977" s="1">
        <v>14778</v>
      </c>
      <c r="I977" s="1" t="s">
        <v>27</v>
      </c>
      <c r="J977" s="1"/>
      <c r="K977" s="1">
        <v>14000</v>
      </c>
      <c r="L977" s="2">
        <v>45349</v>
      </c>
    </row>
    <row r="978" spans="1:12" x14ac:dyDescent="0.35">
      <c r="A978" s="1" t="s">
        <v>1218</v>
      </c>
      <c r="B978" s="1" t="s">
        <v>48</v>
      </c>
      <c r="C978" s="1" t="s">
        <v>30</v>
      </c>
      <c r="D978" s="1" t="s">
        <v>31</v>
      </c>
      <c r="E978" s="1" t="s">
        <v>16</v>
      </c>
      <c r="F978" s="1" t="s">
        <v>39</v>
      </c>
      <c r="G978" s="1" t="s">
        <v>18</v>
      </c>
      <c r="H978" s="1">
        <v>15771</v>
      </c>
      <c r="I978" s="1"/>
      <c r="J978" s="1"/>
      <c r="K978" s="1">
        <v>17000</v>
      </c>
      <c r="L978" s="2">
        <v>45297</v>
      </c>
    </row>
    <row r="979" spans="1:12" x14ac:dyDescent="0.35">
      <c r="A979" s="1" t="s">
        <v>1219</v>
      </c>
      <c r="B979" s="1" t="s">
        <v>66</v>
      </c>
      <c r="C979" s="1" t="s">
        <v>44</v>
      </c>
      <c r="D979" s="1" t="s">
        <v>45</v>
      </c>
      <c r="E979" s="1" t="s">
        <v>46</v>
      </c>
      <c r="F979" s="1" t="s">
        <v>25</v>
      </c>
      <c r="G979" s="1" t="s">
        <v>18</v>
      </c>
      <c r="H979" s="1">
        <v>11674</v>
      </c>
      <c r="I979" s="1" t="s">
        <v>33</v>
      </c>
      <c r="J979" s="1">
        <v>0.3</v>
      </c>
      <c r="K979" s="1">
        <v>13000</v>
      </c>
      <c r="L979" s="2">
        <v>45299</v>
      </c>
    </row>
    <row r="980" spans="1:12" x14ac:dyDescent="0.35">
      <c r="A980" s="1" t="s">
        <v>1220</v>
      </c>
      <c r="B980" s="1" t="s">
        <v>153</v>
      </c>
      <c r="C980" s="1" t="s">
        <v>61</v>
      </c>
      <c r="D980" s="1" t="s">
        <v>62</v>
      </c>
      <c r="E980" s="1" t="s">
        <v>32</v>
      </c>
      <c r="F980" s="1" t="s">
        <v>25</v>
      </c>
      <c r="G980" s="1" t="s">
        <v>26</v>
      </c>
      <c r="H980" s="1">
        <v>10899</v>
      </c>
      <c r="I980" s="1" t="s">
        <v>22</v>
      </c>
      <c r="J980" s="1">
        <v>0.1</v>
      </c>
      <c r="K980" s="1">
        <v>9000</v>
      </c>
      <c r="L980" s="2">
        <v>45310</v>
      </c>
    </row>
    <row r="981" spans="1:12" x14ac:dyDescent="0.35">
      <c r="A981" s="1" t="s">
        <v>1221</v>
      </c>
      <c r="B981" s="1" t="s">
        <v>274</v>
      </c>
      <c r="C981" s="1" t="s">
        <v>44</v>
      </c>
      <c r="D981" s="1" t="s">
        <v>45</v>
      </c>
      <c r="E981" s="1" t="s">
        <v>46</v>
      </c>
      <c r="F981" s="1" t="s">
        <v>17</v>
      </c>
      <c r="G981" s="1" t="s">
        <v>36</v>
      </c>
      <c r="H981" s="1">
        <v>12818</v>
      </c>
      <c r="I981" s="1" t="s">
        <v>22</v>
      </c>
      <c r="J981" s="1">
        <v>0.1</v>
      </c>
      <c r="K981" s="1">
        <v>13000</v>
      </c>
      <c r="L981" s="2">
        <v>45310</v>
      </c>
    </row>
    <row r="982" spans="1:12" x14ac:dyDescent="0.35">
      <c r="A982" s="1" t="s">
        <v>1222</v>
      </c>
      <c r="B982" s="1" t="s">
        <v>229</v>
      </c>
      <c r="C982" s="1" t="s">
        <v>14</v>
      </c>
      <c r="D982" s="1" t="s">
        <v>15</v>
      </c>
      <c r="E982" s="1" t="s">
        <v>32</v>
      </c>
      <c r="F982" s="1" t="s">
        <v>39</v>
      </c>
      <c r="G982" s="1" t="s">
        <v>26</v>
      </c>
      <c r="H982" s="1">
        <v>13375</v>
      </c>
      <c r="I982" s="1"/>
      <c r="J982" s="1"/>
      <c r="K982" s="1">
        <v>14000</v>
      </c>
      <c r="L982" s="2">
        <v>45329</v>
      </c>
    </row>
    <row r="983" spans="1:12" x14ac:dyDescent="0.35">
      <c r="A983" s="1" t="s">
        <v>1223</v>
      </c>
      <c r="B983" s="1" t="s">
        <v>150</v>
      </c>
      <c r="C983" s="1" t="s">
        <v>30</v>
      </c>
      <c r="D983" s="1" t="s">
        <v>31</v>
      </c>
      <c r="E983" s="1" t="s">
        <v>46</v>
      </c>
      <c r="F983" s="1" t="s">
        <v>39</v>
      </c>
      <c r="G983" s="1" t="s">
        <v>26</v>
      </c>
      <c r="H983" s="1">
        <v>17854</v>
      </c>
      <c r="I983" s="1" t="s">
        <v>27</v>
      </c>
      <c r="J983" s="1"/>
      <c r="K983" s="1">
        <v>17000</v>
      </c>
      <c r="L983" s="2">
        <v>45345</v>
      </c>
    </row>
    <row r="984" spans="1:12" x14ac:dyDescent="0.35">
      <c r="A984" s="1" t="s">
        <v>1224</v>
      </c>
      <c r="B984" s="1" t="s">
        <v>544</v>
      </c>
      <c r="C984" s="1" t="s">
        <v>61</v>
      </c>
      <c r="D984" s="1" t="s">
        <v>62</v>
      </c>
      <c r="E984" s="1" t="s">
        <v>46</v>
      </c>
      <c r="F984" s="1" t="s">
        <v>39</v>
      </c>
      <c r="G984" s="1" t="s">
        <v>18</v>
      </c>
      <c r="H984" s="1">
        <v>10679</v>
      </c>
      <c r="I984" s="1" t="s">
        <v>33</v>
      </c>
      <c r="J984" s="1">
        <v>0.3</v>
      </c>
      <c r="K984" s="1">
        <v>9000</v>
      </c>
      <c r="L984" s="2">
        <v>45302</v>
      </c>
    </row>
    <row r="985" spans="1:12" x14ac:dyDescent="0.35">
      <c r="A985" s="1" t="s">
        <v>1225</v>
      </c>
      <c r="B985" s="1" t="s">
        <v>1073</v>
      </c>
      <c r="C985" s="1" t="s">
        <v>44</v>
      </c>
      <c r="D985" s="1" t="s">
        <v>45</v>
      </c>
      <c r="E985" s="1" t="s">
        <v>46</v>
      </c>
      <c r="F985" s="1" t="s">
        <v>17</v>
      </c>
      <c r="G985" s="1" t="s">
        <v>36</v>
      </c>
      <c r="H985" s="1">
        <v>14152</v>
      </c>
      <c r="I985" s="1" t="s">
        <v>22</v>
      </c>
      <c r="J985" s="1">
        <v>0.1</v>
      </c>
      <c r="K985" s="1">
        <v>13000</v>
      </c>
      <c r="L985" s="2">
        <v>45301</v>
      </c>
    </row>
    <row r="986" spans="1:12" x14ac:dyDescent="0.35">
      <c r="A986" s="1" t="s">
        <v>1226</v>
      </c>
      <c r="B986" s="1" t="s">
        <v>1105</v>
      </c>
      <c r="C986" s="1" t="s">
        <v>61</v>
      </c>
      <c r="D986" s="1" t="s">
        <v>62</v>
      </c>
      <c r="E986" s="1" t="s">
        <v>32</v>
      </c>
      <c r="F986" s="1" t="s">
        <v>39</v>
      </c>
      <c r="G986" s="1" t="s">
        <v>18</v>
      </c>
      <c r="H986" s="1">
        <v>9915</v>
      </c>
      <c r="I986" s="1" t="s">
        <v>27</v>
      </c>
      <c r="J986" s="1"/>
      <c r="K986" s="1">
        <v>9000</v>
      </c>
      <c r="L986" s="2">
        <v>45310</v>
      </c>
    </row>
    <row r="987" spans="1:12" x14ac:dyDescent="0.35">
      <c r="A987" s="1" t="s">
        <v>1227</v>
      </c>
      <c r="B987" s="1" t="s">
        <v>175</v>
      </c>
      <c r="C987" s="1" t="s">
        <v>44</v>
      </c>
      <c r="D987" s="1" t="s">
        <v>45</v>
      </c>
      <c r="E987" s="1" t="s">
        <v>32</v>
      </c>
      <c r="F987" s="1" t="s">
        <v>25</v>
      </c>
      <c r="G987" s="1" t="s">
        <v>18</v>
      </c>
      <c r="H987" s="1">
        <v>11168</v>
      </c>
      <c r="I987" s="1" t="s">
        <v>33</v>
      </c>
      <c r="J987" s="1">
        <v>0.3</v>
      </c>
      <c r="K987" s="1">
        <v>13000</v>
      </c>
      <c r="L987" s="2">
        <v>45328</v>
      </c>
    </row>
    <row r="988" spans="1:12" x14ac:dyDescent="0.35">
      <c r="A988" s="1" t="s">
        <v>1228</v>
      </c>
      <c r="B988" s="1" t="s">
        <v>429</v>
      </c>
      <c r="C988" s="1" t="s">
        <v>30</v>
      </c>
      <c r="D988" s="1" t="s">
        <v>31</v>
      </c>
      <c r="E988" s="1" t="s">
        <v>46</v>
      </c>
      <c r="F988" s="1" t="s">
        <v>25</v>
      </c>
      <c r="G988" s="1" t="s">
        <v>18</v>
      </c>
      <c r="H988" s="1">
        <v>17303</v>
      </c>
      <c r="I988" s="1" t="s">
        <v>22</v>
      </c>
      <c r="J988" s="1">
        <v>0.1</v>
      </c>
      <c r="K988" s="1">
        <v>17000</v>
      </c>
      <c r="L988" s="2">
        <v>45334</v>
      </c>
    </row>
    <row r="989" spans="1:12" x14ac:dyDescent="0.35">
      <c r="A989" s="1" t="s">
        <v>1229</v>
      </c>
      <c r="B989" s="1" t="s">
        <v>282</v>
      </c>
      <c r="C989" s="1" t="s">
        <v>44</v>
      </c>
      <c r="D989" s="1" t="s">
        <v>45</v>
      </c>
      <c r="E989" s="1" t="s">
        <v>46</v>
      </c>
      <c r="F989" s="1" t="s">
        <v>17</v>
      </c>
      <c r="G989" s="1" t="s">
        <v>26</v>
      </c>
      <c r="H989" s="1">
        <v>14995</v>
      </c>
      <c r="I989" s="1" t="s">
        <v>19</v>
      </c>
      <c r="J989" s="1">
        <v>0.2</v>
      </c>
      <c r="K989" s="1">
        <v>13000</v>
      </c>
      <c r="L989" s="2">
        <v>45326</v>
      </c>
    </row>
    <row r="990" spans="1:12" x14ac:dyDescent="0.35">
      <c r="A990" s="1" t="s">
        <v>1230</v>
      </c>
      <c r="B990" s="1" t="s">
        <v>222</v>
      </c>
      <c r="C990" s="1" t="s">
        <v>14</v>
      </c>
      <c r="D990" s="1" t="s">
        <v>15</v>
      </c>
      <c r="E990" s="1" t="s">
        <v>46</v>
      </c>
      <c r="F990" s="1" t="s">
        <v>17</v>
      </c>
      <c r="G990" s="1" t="s">
        <v>18</v>
      </c>
      <c r="H990" s="1">
        <v>15882</v>
      </c>
      <c r="I990" s="1"/>
      <c r="J990" s="1"/>
      <c r="K990" s="1">
        <v>14000</v>
      </c>
      <c r="L990" s="2">
        <v>45351</v>
      </c>
    </row>
    <row r="991" spans="1:12" x14ac:dyDescent="0.35">
      <c r="A991" s="1" t="s">
        <v>1231</v>
      </c>
      <c r="B991" s="1" t="s">
        <v>728</v>
      </c>
      <c r="C991" s="1" t="s">
        <v>14</v>
      </c>
      <c r="D991" s="1" t="s">
        <v>15</v>
      </c>
      <c r="E991" s="1" t="s">
        <v>16</v>
      </c>
      <c r="F991" s="1" t="s">
        <v>39</v>
      </c>
      <c r="G991" s="1" t="s">
        <v>26</v>
      </c>
      <c r="H991" s="1">
        <v>13356</v>
      </c>
      <c r="I991" s="1" t="s">
        <v>33</v>
      </c>
      <c r="J991" s="1">
        <v>0.3</v>
      </c>
      <c r="K991" s="1">
        <v>14000</v>
      </c>
      <c r="L991" s="2">
        <v>45322</v>
      </c>
    </row>
    <row r="992" spans="1:12" x14ac:dyDescent="0.35">
      <c r="A992" s="1" t="s">
        <v>1232</v>
      </c>
      <c r="B992" s="1" t="s">
        <v>111</v>
      </c>
      <c r="C992" s="1" t="s">
        <v>44</v>
      </c>
      <c r="D992" s="1" t="s">
        <v>45</v>
      </c>
      <c r="E992" s="1" t="s">
        <v>16</v>
      </c>
      <c r="F992" s="1" t="s">
        <v>39</v>
      </c>
      <c r="G992" s="1" t="s">
        <v>36</v>
      </c>
      <c r="H992" s="1">
        <v>12387</v>
      </c>
      <c r="I992" s="1" t="s">
        <v>22</v>
      </c>
      <c r="J992" s="1">
        <v>0.1</v>
      </c>
      <c r="K992" s="1">
        <v>13000</v>
      </c>
      <c r="L992" s="2">
        <v>45338</v>
      </c>
    </row>
    <row r="993" spans="1:12" x14ac:dyDescent="0.35">
      <c r="A993" s="1" t="s">
        <v>1233</v>
      </c>
      <c r="B993" s="1" t="s">
        <v>711</v>
      </c>
      <c r="C993" s="1" t="s">
        <v>44</v>
      </c>
      <c r="D993" s="1" t="s">
        <v>45</v>
      </c>
      <c r="E993" s="1" t="s">
        <v>16</v>
      </c>
      <c r="F993" s="1" t="s">
        <v>39</v>
      </c>
      <c r="G993" s="1" t="s">
        <v>18</v>
      </c>
      <c r="H993" s="1">
        <v>12261</v>
      </c>
      <c r="I993" s="1" t="s">
        <v>22</v>
      </c>
      <c r="J993" s="1">
        <v>0.1</v>
      </c>
      <c r="K993" s="1">
        <v>13000</v>
      </c>
      <c r="L993" s="2">
        <v>45317</v>
      </c>
    </row>
    <row r="994" spans="1:12" x14ac:dyDescent="0.35">
      <c r="A994" s="1" t="s">
        <v>1234</v>
      </c>
      <c r="B994" s="1" t="s">
        <v>837</v>
      </c>
      <c r="C994" s="1" t="s">
        <v>44</v>
      </c>
      <c r="D994" s="1" t="s">
        <v>45</v>
      </c>
      <c r="E994" s="1" t="s">
        <v>46</v>
      </c>
      <c r="F994" s="1" t="s">
        <v>17</v>
      </c>
      <c r="G994" s="1" t="s">
        <v>18</v>
      </c>
      <c r="H994" s="1">
        <v>12336</v>
      </c>
      <c r="I994" s="1" t="s">
        <v>22</v>
      </c>
      <c r="J994" s="1">
        <v>0.1</v>
      </c>
      <c r="K994" s="1">
        <v>13000</v>
      </c>
      <c r="L994" s="2">
        <v>45330</v>
      </c>
    </row>
    <row r="995" spans="1:12" x14ac:dyDescent="0.35">
      <c r="A995" s="1" t="s">
        <v>1235</v>
      </c>
      <c r="B995" s="1" t="s">
        <v>239</v>
      </c>
      <c r="C995" s="1" t="s">
        <v>44</v>
      </c>
      <c r="D995" s="1" t="s">
        <v>45</v>
      </c>
      <c r="E995" s="1" t="s">
        <v>46</v>
      </c>
      <c r="F995" s="1" t="s">
        <v>25</v>
      </c>
      <c r="G995" s="1" t="s">
        <v>18</v>
      </c>
      <c r="H995" s="1">
        <v>11342</v>
      </c>
      <c r="I995" s="1" t="s">
        <v>27</v>
      </c>
      <c r="J995" s="1"/>
      <c r="K995" s="1">
        <v>13000</v>
      </c>
      <c r="L995" s="2">
        <v>45346</v>
      </c>
    </row>
    <row r="996" spans="1:12" x14ac:dyDescent="0.35">
      <c r="A996" s="1" t="s">
        <v>1236</v>
      </c>
      <c r="B996" s="1" t="s">
        <v>332</v>
      </c>
      <c r="C996" s="1" t="s">
        <v>14</v>
      </c>
      <c r="D996" s="1" t="s">
        <v>15</v>
      </c>
      <c r="E996" s="1" t="s">
        <v>16</v>
      </c>
      <c r="F996" s="1" t="s">
        <v>17</v>
      </c>
      <c r="G996" s="1" t="s">
        <v>18</v>
      </c>
      <c r="H996" s="1">
        <v>14008</v>
      </c>
      <c r="I996" s="1" t="s">
        <v>33</v>
      </c>
      <c r="J996" s="1">
        <v>0.3</v>
      </c>
      <c r="K996" s="1">
        <v>14000</v>
      </c>
      <c r="L996" s="2">
        <v>45330</v>
      </c>
    </row>
    <row r="997" spans="1:12" x14ac:dyDescent="0.35">
      <c r="A997" s="1" t="s">
        <v>1237</v>
      </c>
      <c r="B997" s="1" t="s">
        <v>86</v>
      </c>
      <c r="C997" s="1" t="s">
        <v>14</v>
      </c>
      <c r="D997" s="1" t="s">
        <v>15</v>
      </c>
      <c r="E997" s="1" t="s">
        <v>16</v>
      </c>
      <c r="F997" s="1" t="s">
        <v>17</v>
      </c>
      <c r="G997" s="1" t="s">
        <v>36</v>
      </c>
      <c r="H997" s="1">
        <v>12605</v>
      </c>
      <c r="I997" s="1"/>
      <c r="J997" s="1"/>
      <c r="K997" s="1">
        <v>14000</v>
      </c>
      <c r="L997" s="2">
        <v>45315</v>
      </c>
    </row>
    <row r="998" spans="1:12" x14ac:dyDescent="0.35">
      <c r="A998" s="1" t="s">
        <v>1238</v>
      </c>
      <c r="B998" s="1" t="s">
        <v>474</v>
      </c>
      <c r="C998" s="1" t="s">
        <v>14</v>
      </c>
      <c r="D998" s="1" t="s">
        <v>15</v>
      </c>
      <c r="E998" s="1" t="s">
        <v>46</v>
      </c>
      <c r="F998" s="1" t="s">
        <v>17</v>
      </c>
      <c r="G998" s="1" t="s">
        <v>36</v>
      </c>
      <c r="H998" s="1">
        <v>13261</v>
      </c>
      <c r="I998" s="1"/>
      <c r="J998" s="1"/>
      <c r="K998" s="1">
        <v>14000</v>
      </c>
      <c r="L998" s="2">
        <v>45347</v>
      </c>
    </row>
    <row r="999" spans="1:12" x14ac:dyDescent="0.35">
      <c r="A999" s="1" t="s">
        <v>1239</v>
      </c>
      <c r="B999" s="1" t="s">
        <v>905</v>
      </c>
      <c r="C999" s="1" t="s">
        <v>44</v>
      </c>
      <c r="D999" s="1" t="s">
        <v>45</v>
      </c>
      <c r="E999" s="1" t="s">
        <v>16</v>
      </c>
      <c r="F999" s="1" t="s">
        <v>17</v>
      </c>
      <c r="G999" s="1" t="s">
        <v>26</v>
      </c>
      <c r="H999" s="1">
        <v>12702</v>
      </c>
      <c r="I999" s="1"/>
      <c r="J999" s="1"/>
      <c r="K999" s="1">
        <v>13000</v>
      </c>
      <c r="L999" s="2">
        <v>45310</v>
      </c>
    </row>
    <row r="1000" spans="1:12" x14ac:dyDescent="0.35">
      <c r="A1000" s="1" t="s">
        <v>1240</v>
      </c>
      <c r="B1000" s="1" t="s">
        <v>135</v>
      </c>
      <c r="C1000" s="1" t="s">
        <v>61</v>
      </c>
      <c r="D1000" s="1" t="s">
        <v>62</v>
      </c>
      <c r="E1000" s="1" t="s">
        <v>16</v>
      </c>
      <c r="F1000" s="1" t="s">
        <v>17</v>
      </c>
      <c r="G1000" s="1" t="s">
        <v>18</v>
      </c>
      <c r="H1000" s="1">
        <v>10422</v>
      </c>
      <c r="I1000" s="1" t="s">
        <v>27</v>
      </c>
      <c r="J1000" s="1"/>
      <c r="K1000" s="1">
        <v>9000</v>
      </c>
      <c r="L1000" s="2">
        <v>45330</v>
      </c>
    </row>
    <row r="1001" spans="1:12"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0711-5C12-415A-8EDD-0EA5F7B049E4}">
  <dimension ref="A1:Y1001"/>
  <sheetViews>
    <sheetView topLeftCell="K1" workbookViewId="0">
      <selection activeCell="P8" sqref="P8"/>
    </sheetView>
  </sheetViews>
  <sheetFormatPr defaultRowHeight="14.5" x14ac:dyDescent="0.35"/>
  <cols>
    <col min="1" max="1" width="11.26953125" customWidth="1"/>
    <col min="2" max="2" width="14.36328125" customWidth="1"/>
    <col min="3" max="3" width="10.54296875" customWidth="1"/>
    <col min="4" max="4" width="13.6328125" customWidth="1"/>
    <col min="5" max="5" width="9.453125" customWidth="1"/>
    <col min="6" max="6" width="13.54296875" customWidth="1"/>
    <col min="7" max="7" width="10" customWidth="1"/>
    <col min="8" max="8" width="16.7265625" customWidth="1"/>
    <col min="9" max="9" width="14.7265625" customWidth="1"/>
    <col min="10" max="10" width="16.81640625" customWidth="1"/>
    <col min="11" max="11" width="15.1796875" customWidth="1"/>
    <col min="12" max="12" width="14.08984375" customWidth="1"/>
    <col min="14" max="14" width="9.26953125" bestFit="1" customWidth="1"/>
    <col min="15" max="15" width="12.36328125" bestFit="1" customWidth="1"/>
    <col min="16" max="16" width="8.54296875" bestFit="1" customWidth="1"/>
    <col min="17" max="17" width="12.453125" bestFit="1" customWidth="1"/>
    <col min="18" max="18" width="7.453125" bestFit="1" customWidth="1"/>
    <col min="19" max="19" width="11.54296875" bestFit="1" customWidth="1"/>
    <col min="20" max="20" width="8" bestFit="1" customWidth="1"/>
    <col min="21" max="21" width="14.81640625" bestFit="1" customWidth="1"/>
    <col min="22" max="22" width="12.7265625" bestFit="1" customWidth="1"/>
    <col min="23" max="23" width="14.90625" bestFit="1" customWidth="1"/>
    <col min="24" max="24" width="13.26953125" bestFit="1" customWidth="1"/>
    <col min="25" max="25" width="12.08984375" bestFit="1"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row>
    <row r="2" spans="1:25" x14ac:dyDescent="0.35">
      <c r="A2" s="1" t="s">
        <v>12</v>
      </c>
      <c r="B2" s="1" t="s">
        <v>13</v>
      </c>
      <c r="C2" s="1" t="s">
        <v>14</v>
      </c>
      <c r="D2" s="1" t="s">
        <v>15</v>
      </c>
      <c r="E2" s="1" t="s">
        <v>16</v>
      </c>
      <c r="F2" s="1" t="s">
        <v>17</v>
      </c>
      <c r="G2" s="1" t="s">
        <v>18</v>
      </c>
      <c r="H2" s="1">
        <v>12914</v>
      </c>
      <c r="I2" s="1" t="s">
        <v>19</v>
      </c>
      <c r="J2" s="1">
        <v>0.2</v>
      </c>
      <c r="K2" s="1">
        <v>14000</v>
      </c>
      <c r="L2" s="2">
        <v>45339</v>
      </c>
    </row>
    <row r="3" spans="1:25" x14ac:dyDescent="0.35">
      <c r="A3" s="1" t="s">
        <v>20</v>
      </c>
      <c r="B3" s="1" t="s">
        <v>21</v>
      </c>
      <c r="C3" s="1" t="s">
        <v>14</v>
      </c>
      <c r="D3" s="1" t="s">
        <v>15</v>
      </c>
      <c r="E3" s="1" t="s">
        <v>16</v>
      </c>
      <c r="F3" s="1" t="s">
        <v>17</v>
      </c>
      <c r="G3" s="1" t="s">
        <v>18</v>
      </c>
      <c r="H3" s="1">
        <v>12122</v>
      </c>
      <c r="I3" s="1" t="s">
        <v>22</v>
      </c>
      <c r="J3" s="1">
        <v>0.1</v>
      </c>
      <c r="K3" s="1">
        <v>14000</v>
      </c>
      <c r="L3" s="2">
        <v>45305</v>
      </c>
      <c r="N3" s="20" t="s">
        <v>0</v>
      </c>
      <c r="O3" s="20" t="s">
        <v>1</v>
      </c>
      <c r="P3" s="20" t="s">
        <v>2</v>
      </c>
      <c r="Q3" s="20" t="s">
        <v>3</v>
      </c>
      <c r="R3" s="20" t="s">
        <v>4</v>
      </c>
      <c r="S3" s="20" t="s">
        <v>5</v>
      </c>
      <c r="T3" s="20" t="s">
        <v>6</v>
      </c>
      <c r="U3" s="20" t="s">
        <v>7</v>
      </c>
      <c r="V3" s="20" t="s">
        <v>8</v>
      </c>
      <c r="W3" s="20" t="s">
        <v>9</v>
      </c>
      <c r="X3" s="20" t="s">
        <v>10</v>
      </c>
      <c r="Y3" s="20" t="s">
        <v>11</v>
      </c>
    </row>
    <row r="4" spans="1:25" x14ac:dyDescent="0.35">
      <c r="A4" s="1" t="s">
        <v>23</v>
      </c>
      <c r="B4" s="1" t="s">
        <v>24</v>
      </c>
      <c r="C4" s="1" t="s">
        <v>14</v>
      </c>
      <c r="D4" s="1" t="s">
        <v>15</v>
      </c>
      <c r="E4" s="1" t="s">
        <v>16</v>
      </c>
      <c r="F4" s="1" t="s">
        <v>25</v>
      </c>
      <c r="G4" s="1" t="s">
        <v>26</v>
      </c>
      <c r="H4" s="1">
        <v>14661</v>
      </c>
      <c r="I4" s="1" t="s">
        <v>27</v>
      </c>
      <c r="J4" s="1"/>
      <c r="K4" s="1">
        <v>14000</v>
      </c>
      <c r="L4" s="2">
        <v>45318</v>
      </c>
      <c r="N4" s="21" t="s">
        <v>23</v>
      </c>
      <c r="O4" s="21" t="str" cm="1">
        <f t="array" ref="O4:Y4">_xlfn.XLOOKUP(N4, Table1[StudentID], Table1[[StudentName]:[PaymentDate]])</f>
        <v>Sneha Gupta</v>
      </c>
      <c r="P4" s="21" t="str">
        <v>C201</v>
      </c>
      <c r="Q4" s="21" t="str">
        <v>Data Analytics</v>
      </c>
      <c r="R4" s="21" t="str">
        <v>B3</v>
      </c>
      <c r="S4" s="21" t="str">
        <v>Saurabh</v>
      </c>
      <c r="T4" s="21" t="str">
        <v>Tablet</v>
      </c>
      <c r="U4" s="21">
        <v>14661</v>
      </c>
      <c r="V4" s="21" t="str">
        <v>DISC15</v>
      </c>
      <c r="W4" s="21">
        <v>0</v>
      </c>
      <c r="X4" s="21">
        <v>14000</v>
      </c>
      <c r="Y4" s="21">
        <v>45318</v>
      </c>
    </row>
    <row r="5" spans="1:25" x14ac:dyDescent="0.35">
      <c r="A5" s="1" t="s">
        <v>28</v>
      </c>
      <c r="B5" s="1" t="s">
        <v>29</v>
      </c>
      <c r="C5" s="1" t="s">
        <v>30</v>
      </c>
      <c r="D5" s="1" t="s">
        <v>31</v>
      </c>
      <c r="E5" s="1" t="s">
        <v>32</v>
      </c>
      <c r="F5" s="1" t="s">
        <v>25</v>
      </c>
      <c r="G5" s="1" t="s">
        <v>26</v>
      </c>
      <c r="H5" s="1">
        <v>16731</v>
      </c>
      <c r="I5" s="1" t="s">
        <v>33</v>
      </c>
      <c r="J5" s="1">
        <v>0.3</v>
      </c>
      <c r="K5" s="1">
        <v>17000</v>
      </c>
      <c r="L5" s="2">
        <v>45309</v>
      </c>
    </row>
    <row r="6" spans="1:25" x14ac:dyDescent="0.35">
      <c r="A6" s="1" t="s">
        <v>34</v>
      </c>
      <c r="B6" s="1" t="s">
        <v>35</v>
      </c>
      <c r="C6" s="1" t="s">
        <v>30</v>
      </c>
      <c r="D6" s="1" t="s">
        <v>31</v>
      </c>
      <c r="E6" s="1" t="s">
        <v>32</v>
      </c>
      <c r="F6" s="1" t="s">
        <v>25</v>
      </c>
      <c r="G6" s="1" t="s">
        <v>36</v>
      </c>
      <c r="H6" s="1">
        <v>15396</v>
      </c>
      <c r="I6" s="1" t="s">
        <v>33</v>
      </c>
      <c r="J6" s="1">
        <v>0.3</v>
      </c>
      <c r="K6" s="1">
        <v>17000</v>
      </c>
      <c r="L6" s="2">
        <v>45346</v>
      </c>
    </row>
    <row r="7" spans="1:25" x14ac:dyDescent="0.35">
      <c r="A7" s="1" t="s">
        <v>37</v>
      </c>
      <c r="B7" s="1" t="s">
        <v>38</v>
      </c>
      <c r="C7" s="1" t="s">
        <v>30</v>
      </c>
      <c r="D7" s="1" t="s">
        <v>31</v>
      </c>
      <c r="E7" s="1" t="s">
        <v>32</v>
      </c>
      <c r="F7" s="1" t="s">
        <v>39</v>
      </c>
      <c r="G7" s="1" t="s">
        <v>36</v>
      </c>
      <c r="H7" s="1">
        <v>17196</v>
      </c>
      <c r="I7" s="1" t="s">
        <v>22</v>
      </c>
      <c r="J7" s="1">
        <v>0.1</v>
      </c>
      <c r="K7" s="1">
        <v>17000</v>
      </c>
      <c r="L7" s="2">
        <v>45351</v>
      </c>
    </row>
    <row r="8" spans="1:25" x14ac:dyDescent="0.35">
      <c r="A8" s="1" t="s">
        <v>40</v>
      </c>
      <c r="B8" s="1" t="s">
        <v>41</v>
      </c>
      <c r="C8" s="1" t="s">
        <v>30</v>
      </c>
      <c r="D8" s="1" t="s">
        <v>31</v>
      </c>
      <c r="E8" s="1" t="s">
        <v>16</v>
      </c>
      <c r="F8" s="1" t="s">
        <v>39</v>
      </c>
      <c r="G8" s="1" t="s">
        <v>36</v>
      </c>
      <c r="H8" s="1">
        <v>17364</v>
      </c>
      <c r="I8" s="1" t="s">
        <v>19</v>
      </c>
      <c r="J8" s="1">
        <v>0.2</v>
      </c>
      <c r="K8" s="1">
        <v>17000</v>
      </c>
      <c r="L8" s="2">
        <v>45337</v>
      </c>
    </row>
    <row r="9" spans="1:25" x14ac:dyDescent="0.35">
      <c r="A9" s="1" t="s">
        <v>42</v>
      </c>
      <c r="B9" s="1" t="s">
        <v>43</v>
      </c>
      <c r="C9" s="1" t="s">
        <v>44</v>
      </c>
      <c r="D9" s="1" t="s">
        <v>45</v>
      </c>
      <c r="E9" s="1" t="s">
        <v>46</v>
      </c>
      <c r="F9" s="1" t="s">
        <v>25</v>
      </c>
      <c r="G9" s="1" t="s">
        <v>18</v>
      </c>
      <c r="H9" s="1">
        <v>14549</v>
      </c>
      <c r="I9" s="1" t="s">
        <v>22</v>
      </c>
      <c r="J9" s="1">
        <v>0.1</v>
      </c>
      <c r="K9" s="1">
        <v>13000</v>
      </c>
      <c r="L9" s="2">
        <v>45316</v>
      </c>
    </row>
    <row r="10" spans="1:25" x14ac:dyDescent="0.35">
      <c r="A10" s="1" t="s">
        <v>47</v>
      </c>
      <c r="B10" s="1" t="s">
        <v>48</v>
      </c>
      <c r="C10" s="1" t="s">
        <v>30</v>
      </c>
      <c r="D10" s="1" t="s">
        <v>31</v>
      </c>
      <c r="E10" s="1" t="s">
        <v>32</v>
      </c>
      <c r="F10" s="1" t="s">
        <v>17</v>
      </c>
      <c r="G10" s="1" t="s">
        <v>36</v>
      </c>
      <c r="H10" s="1">
        <v>15858</v>
      </c>
      <c r="I10" s="1" t="s">
        <v>33</v>
      </c>
      <c r="J10" s="1">
        <v>0.3</v>
      </c>
      <c r="K10" s="1">
        <v>17000</v>
      </c>
      <c r="L10" s="2">
        <v>45336</v>
      </c>
    </row>
    <row r="11" spans="1:25" x14ac:dyDescent="0.35">
      <c r="A11" s="1" t="s">
        <v>49</v>
      </c>
      <c r="B11" s="1" t="s">
        <v>50</v>
      </c>
      <c r="C11" s="1" t="s">
        <v>14</v>
      </c>
      <c r="D11" s="1" t="s">
        <v>15</v>
      </c>
      <c r="E11" s="1" t="s">
        <v>16</v>
      </c>
      <c r="F11" s="1" t="s">
        <v>39</v>
      </c>
      <c r="G11" s="1" t="s">
        <v>18</v>
      </c>
      <c r="H11" s="1">
        <v>14187</v>
      </c>
      <c r="I11" s="1" t="s">
        <v>19</v>
      </c>
      <c r="J11" s="1">
        <v>0.2</v>
      </c>
      <c r="K11" s="1">
        <v>14000</v>
      </c>
      <c r="L11" s="2">
        <v>45302</v>
      </c>
    </row>
    <row r="12" spans="1:25" x14ac:dyDescent="0.35">
      <c r="A12" s="1" t="s">
        <v>51</v>
      </c>
      <c r="B12" s="1" t="s">
        <v>52</v>
      </c>
      <c r="C12" s="1" t="s">
        <v>30</v>
      </c>
      <c r="D12" s="1" t="s">
        <v>31</v>
      </c>
      <c r="E12" s="1" t="s">
        <v>16</v>
      </c>
      <c r="F12" s="1" t="s">
        <v>39</v>
      </c>
      <c r="G12" s="1" t="s">
        <v>26</v>
      </c>
      <c r="H12" s="1">
        <v>15899</v>
      </c>
      <c r="I12" s="1" t="s">
        <v>33</v>
      </c>
      <c r="J12" s="1">
        <v>0.3</v>
      </c>
      <c r="K12" s="1">
        <v>17000</v>
      </c>
      <c r="L12" s="2">
        <v>45345</v>
      </c>
    </row>
    <row r="13" spans="1:25" x14ac:dyDescent="0.35">
      <c r="A13" s="1" t="s">
        <v>53</v>
      </c>
      <c r="B13" s="1" t="s">
        <v>54</v>
      </c>
      <c r="C13" s="1" t="s">
        <v>14</v>
      </c>
      <c r="D13" s="1" t="s">
        <v>15</v>
      </c>
      <c r="E13" s="1" t="s">
        <v>32</v>
      </c>
      <c r="F13" s="1" t="s">
        <v>25</v>
      </c>
      <c r="G13" s="1" t="s">
        <v>36</v>
      </c>
      <c r="H13" s="1">
        <v>13643</v>
      </c>
      <c r="I13" s="1" t="s">
        <v>33</v>
      </c>
      <c r="J13" s="1">
        <v>0.3</v>
      </c>
      <c r="K13" s="1">
        <v>14000</v>
      </c>
      <c r="L13" s="2">
        <v>45296</v>
      </c>
    </row>
    <row r="14" spans="1:25" x14ac:dyDescent="0.35">
      <c r="A14" s="1" t="s">
        <v>55</v>
      </c>
      <c r="B14" s="1" t="s">
        <v>56</v>
      </c>
      <c r="C14" s="1" t="s">
        <v>30</v>
      </c>
      <c r="D14" s="1" t="s">
        <v>31</v>
      </c>
      <c r="E14" s="1" t="s">
        <v>32</v>
      </c>
      <c r="F14" s="1" t="s">
        <v>39</v>
      </c>
      <c r="G14" s="1" t="s">
        <v>36</v>
      </c>
      <c r="H14" s="1">
        <v>16620</v>
      </c>
      <c r="I14" s="1"/>
      <c r="J14" s="1"/>
      <c r="K14" s="1">
        <v>17000</v>
      </c>
      <c r="L14" s="2">
        <v>45301</v>
      </c>
    </row>
    <row r="15" spans="1:25" x14ac:dyDescent="0.35">
      <c r="A15" s="1" t="s">
        <v>57</v>
      </c>
      <c r="B15" s="1" t="s">
        <v>58</v>
      </c>
      <c r="C15" s="1" t="s">
        <v>44</v>
      </c>
      <c r="D15" s="1" t="s">
        <v>45</v>
      </c>
      <c r="E15" s="1" t="s">
        <v>16</v>
      </c>
      <c r="F15" s="1" t="s">
        <v>39</v>
      </c>
      <c r="G15" s="1" t="s">
        <v>26</v>
      </c>
      <c r="H15" s="1">
        <v>12076</v>
      </c>
      <c r="I15" s="1" t="s">
        <v>27</v>
      </c>
      <c r="J15" s="1"/>
      <c r="K15" s="1">
        <v>13000</v>
      </c>
      <c r="L15" s="2">
        <v>45319</v>
      </c>
    </row>
    <row r="16" spans="1:25" x14ac:dyDescent="0.35">
      <c r="A16" s="1" t="s">
        <v>59</v>
      </c>
      <c r="B16" s="1" t="s">
        <v>60</v>
      </c>
      <c r="C16" s="1" t="s">
        <v>61</v>
      </c>
      <c r="D16" s="1" t="s">
        <v>62</v>
      </c>
      <c r="E16" s="1" t="s">
        <v>46</v>
      </c>
      <c r="F16" s="1" t="s">
        <v>25</v>
      </c>
      <c r="G16" s="1" t="s">
        <v>18</v>
      </c>
      <c r="H16" s="1">
        <v>9087</v>
      </c>
      <c r="I16" s="1"/>
      <c r="J16" s="1"/>
      <c r="K16" s="1">
        <v>9000</v>
      </c>
      <c r="L16" s="2">
        <v>45297</v>
      </c>
    </row>
    <row r="17" spans="1:12" x14ac:dyDescent="0.35">
      <c r="A17" s="1" t="s">
        <v>63</v>
      </c>
      <c r="B17" s="1" t="s">
        <v>64</v>
      </c>
      <c r="C17" s="1" t="s">
        <v>14</v>
      </c>
      <c r="D17" s="1" t="s">
        <v>15</v>
      </c>
      <c r="E17" s="1" t="s">
        <v>32</v>
      </c>
      <c r="F17" s="1" t="s">
        <v>39</v>
      </c>
      <c r="G17" s="1" t="s">
        <v>18</v>
      </c>
      <c r="H17" s="1">
        <v>15244</v>
      </c>
      <c r="I17" s="1"/>
      <c r="J17" s="1"/>
      <c r="K17" s="1">
        <v>14000</v>
      </c>
      <c r="L17" s="2">
        <v>45330</v>
      </c>
    </row>
    <row r="18" spans="1:12" x14ac:dyDescent="0.35">
      <c r="A18" s="1" t="s">
        <v>65</v>
      </c>
      <c r="B18" s="1" t="s">
        <v>66</v>
      </c>
      <c r="C18" s="1" t="s">
        <v>61</v>
      </c>
      <c r="D18" s="1" t="s">
        <v>62</v>
      </c>
      <c r="E18" s="1" t="s">
        <v>16</v>
      </c>
      <c r="F18" s="1" t="s">
        <v>17</v>
      </c>
      <c r="G18" s="1" t="s">
        <v>26</v>
      </c>
      <c r="H18" s="1">
        <v>8029</v>
      </c>
      <c r="I18" s="1" t="s">
        <v>27</v>
      </c>
      <c r="J18" s="1"/>
      <c r="K18" s="1">
        <v>9000</v>
      </c>
      <c r="L18" s="2">
        <v>45347</v>
      </c>
    </row>
    <row r="19" spans="1:12" x14ac:dyDescent="0.35">
      <c r="A19" s="1" t="s">
        <v>67</v>
      </c>
      <c r="B19" s="1" t="s">
        <v>68</v>
      </c>
      <c r="C19" s="1" t="s">
        <v>14</v>
      </c>
      <c r="D19" s="1" t="s">
        <v>15</v>
      </c>
      <c r="E19" s="1" t="s">
        <v>16</v>
      </c>
      <c r="F19" s="1" t="s">
        <v>39</v>
      </c>
      <c r="G19" s="1" t="s">
        <v>36</v>
      </c>
      <c r="H19" s="1">
        <v>15148</v>
      </c>
      <c r="I19" s="1" t="s">
        <v>33</v>
      </c>
      <c r="J19" s="1">
        <v>0.3</v>
      </c>
      <c r="K19" s="1">
        <v>14000</v>
      </c>
      <c r="L19" s="2">
        <v>45299</v>
      </c>
    </row>
    <row r="20" spans="1:12" x14ac:dyDescent="0.35">
      <c r="A20" s="1" t="s">
        <v>69</v>
      </c>
      <c r="B20" s="1" t="s">
        <v>70</v>
      </c>
      <c r="C20" s="1" t="s">
        <v>44</v>
      </c>
      <c r="D20" s="1" t="s">
        <v>45</v>
      </c>
      <c r="E20" s="1" t="s">
        <v>46</v>
      </c>
      <c r="F20" s="1" t="s">
        <v>25</v>
      </c>
      <c r="G20" s="1" t="s">
        <v>26</v>
      </c>
      <c r="H20" s="1">
        <v>14587</v>
      </c>
      <c r="I20" s="1" t="s">
        <v>33</v>
      </c>
      <c r="J20" s="1">
        <v>0.3</v>
      </c>
      <c r="K20" s="1">
        <v>13000</v>
      </c>
      <c r="L20" s="2">
        <v>45324</v>
      </c>
    </row>
    <row r="21" spans="1:12" x14ac:dyDescent="0.35">
      <c r="A21" s="1" t="s">
        <v>71</v>
      </c>
      <c r="B21" s="1" t="s">
        <v>72</v>
      </c>
      <c r="C21" s="1" t="s">
        <v>14</v>
      </c>
      <c r="D21" s="1" t="s">
        <v>15</v>
      </c>
      <c r="E21" s="1" t="s">
        <v>16</v>
      </c>
      <c r="F21" s="1" t="s">
        <v>17</v>
      </c>
      <c r="G21" s="1" t="s">
        <v>26</v>
      </c>
      <c r="H21" s="1">
        <v>14079</v>
      </c>
      <c r="I21" s="1" t="s">
        <v>27</v>
      </c>
      <c r="J21" s="1"/>
      <c r="K21" s="1">
        <v>14000</v>
      </c>
      <c r="L21" s="2">
        <v>45304</v>
      </c>
    </row>
    <row r="22" spans="1:12" x14ac:dyDescent="0.35">
      <c r="A22" s="1" t="s">
        <v>73</v>
      </c>
      <c r="B22" s="1" t="s">
        <v>74</v>
      </c>
      <c r="C22" s="1" t="s">
        <v>44</v>
      </c>
      <c r="D22" s="1" t="s">
        <v>45</v>
      </c>
      <c r="E22" s="1" t="s">
        <v>16</v>
      </c>
      <c r="F22" s="1" t="s">
        <v>39</v>
      </c>
      <c r="G22" s="1" t="s">
        <v>18</v>
      </c>
      <c r="H22" s="1">
        <v>13453</v>
      </c>
      <c r="I22" s="1" t="s">
        <v>33</v>
      </c>
      <c r="J22" s="1">
        <v>0.3</v>
      </c>
      <c r="K22" s="1">
        <v>13000</v>
      </c>
      <c r="L22" s="2">
        <v>45323</v>
      </c>
    </row>
    <row r="23" spans="1:12" x14ac:dyDescent="0.35">
      <c r="A23" s="1" t="s">
        <v>75</v>
      </c>
      <c r="B23" s="1" t="s">
        <v>76</v>
      </c>
      <c r="C23" s="1" t="s">
        <v>30</v>
      </c>
      <c r="D23" s="1" t="s">
        <v>31</v>
      </c>
      <c r="E23" s="1" t="s">
        <v>46</v>
      </c>
      <c r="F23" s="1" t="s">
        <v>25</v>
      </c>
      <c r="G23" s="1" t="s">
        <v>18</v>
      </c>
      <c r="H23" s="1">
        <v>15986</v>
      </c>
      <c r="I23" s="1" t="s">
        <v>27</v>
      </c>
      <c r="J23" s="1"/>
      <c r="K23" s="1">
        <v>17000</v>
      </c>
      <c r="L23" s="2">
        <v>45352</v>
      </c>
    </row>
    <row r="24" spans="1:12" x14ac:dyDescent="0.35">
      <c r="A24" s="1" t="s">
        <v>77</v>
      </c>
      <c r="B24" s="1" t="s">
        <v>78</v>
      </c>
      <c r="C24" s="1" t="s">
        <v>61</v>
      </c>
      <c r="D24" s="1" t="s">
        <v>62</v>
      </c>
      <c r="E24" s="1" t="s">
        <v>32</v>
      </c>
      <c r="F24" s="1" t="s">
        <v>39</v>
      </c>
      <c r="G24" s="1" t="s">
        <v>18</v>
      </c>
      <c r="H24" s="1">
        <v>7525</v>
      </c>
      <c r="I24" s="1"/>
      <c r="J24" s="1"/>
      <c r="K24" s="1">
        <v>9000</v>
      </c>
      <c r="L24" s="2">
        <v>45352</v>
      </c>
    </row>
    <row r="25" spans="1:12" x14ac:dyDescent="0.35">
      <c r="A25" s="1" t="s">
        <v>79</v>
      </c>
      <c r="B25" s="1" t="s">
        <v>80</v>
      </c>
      <c r="C25" s="1" t="s">
        <v>30</v>
      </c>
      <c r="D25" s="1" t="s">
        <v>31</v>
      </c>
      <c r="E25" s="1" t="s">
        <v>16</v>
      </c>
      <c r="F25" s="1" t="s">
        <v>39</v>
      </c>
      <c r="G25" s="1" t="s">
        <v>36</v>
      </c>
      <c r="H25" s="1">
        <v>18950</v>
      </c>
      <c r="I25" s="1" t="s">
        <v>19</v>
      </c>
      <c r="J25" s="1">
        <v>0.2</v>
      </c>
      <c r="K25" s="1">
        <v>17000</v>
      </c>
      <c r="L25" s="2">
        <v>45351</v>
      </c>
    </row>
    <row r="26" spans="1:12" x14ac:dyDescent="0.35">
      <c r="A26" s="1" t="s">
        <v>81</v>
      </c>
      <c r="B26" s="1" t="s">
        <v>82</v>
      </c>
      <c r="C26" s="1" t="s">
        <v>44</v>
      </c>
      <c r="D26" s="1" t="s">
        <v>45</v>
      </c>
      <c r="E26" s="1" t="s">
        <v>16</v>
      </c>
      <c r="F26" s="1" t="s">
        <v>17</v>
      </c>
      <c r="G26" s="1" t="s">
        <v>36</v>
      </c>
      <c r="H26" s="1">
        <v>13751</v>
      </c>
      <c r="I26" s="1" t="s">
        <v>33</v>
      </c>
      <c r="J26" s="1">
        <v>0.3</v>
      </c>
      <c r="K26" s="1">
        <v>13000</v>
      </c>
      <c r="L26" s="2">
        <v>45320</v>
      </c>
    </row>
    <row r="27" spans="1:12" x14ac:dyDescent="0.35">
      <c r="A27" s="1" t="s">
        <v>83</v>
      </c>
      <c r="B27" s="1" t="s">
        <v>84</v>
      </c>
      <c r="C27" s="1" t="s">
        <v>61</v>
      </c>
      <c r="D27" s="1" t="s">
        <v>62</v>
      </c>
      <c r="E27" s="1" t="s">
        <v>32</v>
      </c>
      <c r="F27" s="1" t="s">
        <v>25</v>
      </c>
      <c r="G27" s="1" t="s">
        <v>18</v>
      </c>
      <c r="H27" s="1">
        <v>7262</v>
      </c>
      <c r="I27" s="1" t="s">
        <v>33</v>
      </c>
      <c r="J27" s="1">
        <v>0.3</v>
      </c>
      <c r="K27" s="1">
        <v>9000</v>
      </c>
      <c r="L27" s="2">
        <v>45293</v>
      </c>
    </row>
    <row r="28" spans="1:12" x14ac:dyDescent="0.35">
      <c r="A28" s="1" t="s">
        <v>85</v>
      </c>
      <c r="B28" s="1" t="s">
        <v>86</v>
      </c>
      <c r="C28" s="1" t="s">
        <v>44</v>
      </c>
      <c r="D28" s="1" t="s">
        <v>45</v>
      </c>
      <c r="E28" s="1" t="s">
        <v>16</v>
      </c>
      <c r="F28" s="1" t="s">
        <v>25</v>
      </c>
      <c r="G28" s="1" t="s">
        <v>18</v>
      </c>
      <c r="H28" s="1">
        <v>11290</v>
      </c>
      <c r="I28" s="1" t="s">
        <v>22</v>
      </c>
      <c r="J28" s="1">
        <v>0.1</v>
      </c>
      <c r="K28" s="1">
        <v>13000</v>
      </c>
      <c r="L28" s="2">
        <v>45306</v>
      </c>
    </row>
    <row r="29" spans="1:12" x14ac:dyDescent="0.35">
      <c r="A29" s="1" t="s">
        <v>87</v>
      </c>
      <c r="B29" s="1" t="s">
        <v>43</v>
      </c>
      <c r="C29" s="1" t="s">
        <v>30</v>
      </c>
      <c r="D29" s="1" t="s">
        <v>31</v>
      </c>
      <c r="E29" s="1" t="s">
        <v>32</v>
      </c>
      <c r="F29" s="1" t="s">
        <v>39</v>
      </c>
      <c r="G29" s="1" t="s">
        <v>18</v>
      </c>
      <c r="H29" s="1">
        <v>16140</v>
      </c>
      <c r="I29" s="1"/>
      <c r="J29" s="1"/>
      <c r="K29" s="1">
        <v>17000</v>
      </c>
      <c r="L29" s="2">
        <v>45305</v>
      </c>
    </row>
    <row r="30" spans="1:12" x14ac:dyDescent="0.35">
      <c r="A30" s="1" t="s">
        <v>88</v>
      </c>
      <c r="B30" s="1" t="s">
        <v>80</v>
      </c>
      <c r="C30" s="1" t="s">
        <v>61</v>
      </c>
      <c r="D30" s="1" t="s">
        <v>62</v>
      </c>
      <c r="E30" s="1" t="s">
        <v>32</v>
      </c>
      <c r="F30" s="1" t="s">
        <v>17</v>
      </c>
      <c r="G30" s="1" t="s">
        <v>36</v>
      </c>
      <c r="H30" s="1">
        <v>7779</v>
      </c>
      <c r="I30" s="1" t="s">
        <v>22</v>
      </c>
      <c r="J30" s="1">
        <v>0.1</v>
      </c>
      <c r="K30" s="1">
        <v>9000</v>
      </c>
      <c r="L30" s="2">
        <v>45298</v>
      </c>
    </row>
    <row r="31" spans="1:12" x14ac:dyDescent="0.35">
      <c r="A31" s="1" t="s">
        <v>89</v>
      </c>
      <c r="B31" s="1" t="s">
        <v>90</v>
      </c>
      <c r="C31" s="1" t="s">
        <v>30</v>
      </c>
      <c r="D31" s="1" t="s">
        <v>31</v>
      </c>
      <c r="E31" s="1" t="s">
        <v>46</v>
      </c>
      <c r="F31" s="1" t="s">
        <v>17</v>
      </c>
      <c r="G31" s="1" t="s">
        <v>36</v>
      </c>
      <c r="H31" s="1">
        <v>18538</v>
      </c>
      <c r="I31" s="1" t="s">
        <v>22</v>
      </c>
      <c r="J31" s="1">
        <v>0.1</v>
      </c>
      <c r="K31" s="1">
        <v>17000</v>
      </c>
      <c r="L31" s="2">
        <v>45335</v>
      </c>
    </row>
    <row r="32" spans="1:12" x14ac:dyDescent="0.35">
      <c r="A32" s="1" t="s">
        <v>91</v>
      </c>
      <c r="B32" s="1" t="s">
        <v>92</v>
      </c>
      <c r="C32" s="1" t="s">
        <v>14</v>
      </c>
      <c r="D32" s="1" t="s">
        <v>15</v>
      </c>
      <c r="E32" s="1" t="s">
        <v>32</v>
      </c>
      <c r="F32" s="1" t="s">
        <v>17</v>
      </c>
      <c r="G32" s="1" t="s">
        <v>26</v>
      </c>
      <c r="H32" s="1">
        <v>13389</v>
      </c>
      <c r="I32" s="1" t="s">
        <v>22</v>
      </c>
      <c r="J32" s="1">
        <v>0.1</v>
      </c>
      <c r="K32" s="1">
        <v>14000</v>
      </c>
      <c r="L32" s="2">
        <v>45307</v>
      </c>
    </row>
    <row r="33" spans="1:12" x14ac:dyDescent="0.35">
      <c r="A33" s="1" t="s">
        <v>93</v>
      </c>
      <c r="B33" s="1" t="s">
        <v>94</v>
      </c>
      <c r="C33" s="1" t="s">
        <v>61</v>
      </c>
      <c r="D33" s="1" t="s">
        <v>62</v>
      </c>
      <c r="E33" s="1" t="s">
        <v>32</v>
      </c>
      <c r="F33" s="1" t="s">
        <v>17</v>
      </c>
      <c r="G33" s="1" t="s">
        <v>18</v>
      </c>
      <c r="H33" s="1">
        <v>8140</v>
      </c>
      <c r="I33" s="1"/>
      <c r="J33" s="1"/>
      <c r="K33" s="1">
        <v>9000</v>
      </c>
      <c r="L33" s="2">
        <v>45307</v>
      </c>
    </row>
    <row r="34" spans="1:12" x14ac:dyDescent="0.35">
      <c r="A34" s="1" t="s">
        <v>95</v>
      </c>
      <c r="B34" s="1" t="s">
        <v>96</v>
      </c>
      <c r="C34" s="1" t="s">
        <v>61</v>
      </c>
      <c r="D34" s="1" t="s">
        <v>62</v>
      </c>
      <c r="E34" s="1" t="s">
        <v>16</v>
      </c>
      <c r="F34" s="1" t="s">
        <v>25</v>
      </c>
      <c r="G34" s="1" t="s">
        <v>18</v>
      </c>
      <c r="H34" s="1">
        <v>9671</v>
      </c>
      <c r="I34" s="1" t="s">
        <v>27</v>
      </c>
      <c r="J34" s="1"/>
      <c r="K34" s="1">
        <v>9000</v>
      </c>
      <c r="L34" s="2">
        <v>45345</v>
      </c>
    </row>
    <row r="35" spans="1:12" x14ac:dyDescent="0.35">
      <c r="A35" s="1" t="s">
        <v>97</v>
      </c>
      <c r="B35" s="1" t="s">
        <v>76</v>
      </c>
      <c r="C35" s="1" t="s">
        <v>44</v>
      </c>
      <c r="D35" s="1" t="s">
        <v>45</v>
      </c>
      <c r="E35" s="1" t="s">
        <v>32</v>
      </c>
      <c r="F35" s="1" t="s">
        <v>17</v>
      </c>
      <c r="G35" s="1" t="s">
        <v>36</v>
      </c>
      <c r="H35" s="1">
        <v>12971</v>
      </c>
      <c r="I35" s="1" t="s">
        <v>19</v>
      </c>
      <c r="J35" s="1">
        <v>0.2</v>
      </c>
      <c r="K35" s="1">
        <v>13000</v>
      </c>
      <c r="L35" s="2">
        <v>45347</v>
      </c>
    </row>
    <row r="36" spans="1:12" x14ac:dyDescent="0.35">
      <c r="A36" s="1" t="s">
        <v>98</v>
      </c>
      <c r="B36" s="1" t="s">
        <v>99</v>
      </c>
      <c r="C36" s="1" t="s">
        <v>44</v>
      </c>
      <c r="D36" s="1" t="s">
        <v>45</v>
      </c>
      <c r="E36" s="1" t="s">
        <v>46</v>
      </c>
      <c r="F36" s="1" t="s">
        <v>25</v>
      </c>
      <c r="G36" s="1" t="s">
        <v>36</v>
      </c>
      <c r="H36" s="1">
        <v>12086</v>
      </c>
      <c r="I36" s="1"/>
      <c r="J36" s="1"/>
      <c r="K36" s="1">
        <v>13000</v>
      </c>
      <c r="L36" s="2">
        <v>45310</v>
      </c>
    </row>
    <row r="37" spans="1:12" x14ac:dyDescent="0.35">
      <c r="A37" s="1" t="s">
        <v>100</v>
      </c>
      <c r="B37" s="1" t="s">
        <v>101</v>
      </c>
      <c r="C37" s="1" t="s">
        <v>61</v>
      </c>
      <c r="D37" s="1" t="s">
        <v>62</v>
      </c>
      <c r="E37" s="1" t="s">
        <v>32</v>
      </c>
      <c r="F37" s="1" t="s">
        <v>25</v>
      </c>
      <c r="G37" s="1" t="s">
        <v>36</v>
      </c>
      <c r="H37" s="1">
        <v>7891</v>
      </c>
      <c r="I37" s="1" t="s">
        <v>22</v>
      </c>
      <c r="J37" s="1">
        <v>0.1</v>
      </c>
      <c r="K37" s="1">
        <v>9000</v>
      </c>
      <c r="L37" s="2">
        <v>45329</v>
      </c>
    </row>
    <row r="38" spans="1:12" x14ac:dyDescent="0.35">
      <c r="A38" s="1" t="s">
        <v>102</v>
      </c>
      <c r="B38" s="1" t="s">
        <v>103</v>
      </c>
      <c r="C38" s="1" t="s">
        <v>14</v>
      </c>
      <c r="D38" s="1" t="s">
        <v>15</v>
      </c>
      <c r="E38" s="1" t="s">
        <v>16</v>
      </c>
      <c r="F38" s="1" t="s">
        <v>17</v>
      </c>
      <c r="G38" s="1" t="s">
        <v>18</v>
      </c>
      <c r="H38" s="1">
        <v>12205</v>
      </c>
      <c r="I38" s="1" t="s">
        <v>27</v>
      </c>
      <c r="J38" s="1"/>
      <c r="K38" s="1">
        <v>14000</v>
      </c>
      <c r="L38" s="2">
        <v>45322</v>
      </c>
    </row>
    <row r="39" spans="1:12" x14ac:dyDescent="0.35">
      <c r="A39" s="1" t="s">
        <v>104</v>
      </c>
      <c r="B39" s="1" t="s">
        <v>105</v>
      </c>
      <c r="C39" s="1" t="s">
        <v>44</v>
      </c>
      <c r="D39" s="1" t="s">
        <v>45</v>
      </c>
      <c r="E39" s="1" t="s">
        <v>32</v>
      </c>
      <c r="F39" s="1" t="s">
        <v>39</v>
      </c>
      <c r="G39" s="1" t="s">
        <v>18</v>
      </c>
      <c r="H39" s="1">
        <v>14487</v>
      </c>
      <c r="I39" s="1" t="s">
        <v>19</v>
      </c>
      <c r="J39" s="1">
        <v>0.2</v>
      </c>
      <c r="K39" s="1">
        <v>13000</v>
      </c>
      <c r="L39" s="2">
        <v>45296</v>
      </c>
    </row>
    <row r="40" spans="1:12" x14ac:dyDescent="0.35">
      <c r="A40" s="1" t="s">
        <v>106</v>
      </c>
      <c r="B40" s="1" t="s">
        <v>107</v>
      </c>
      <c r="C40" s="1" t="s">
        <v>44</v>
      </c>
      <c r="D40" s="1" t="s">
        <v>45</v>
      </c>
      <c r="E40" s="1" t="s">
        <v>46</v>
      </c>
      <c r="F40" s="1" t="s">
        <v>25</v>
      </c>
      <c r="G40" s="1" t="s">
        <v>26</v>
      </c>
      <c r="H40" s="1">
        <v>12008</v>
      </c>
      <c r="I40" s="1" t="s">
        <v>27</v>
      </c>
      <c r="J40" s="1"/>
      <c r="K40" s="1">
        <v>13000</v>
      </c>
      <c r="L40" s="2">
        <v>45330</v>
      </c>
    </row>
    <row r="41" spans="1:12" x14ac:dyDescent="0.35">
      <c r="A41" s="1" t="s">
        <v>108</v>
      </c>
      <c r="B41" s="1" t="s">
        <v>109</v>
      </c>
      <c r="C41" s="1" t="s">
        <v>14</v>
      </c>
      <c r="D41" s="1" t="s">
        <v>15</v>
      </c>
      <c r="E41" s="1" t="s">
        <v>46</v>
      </c>
      <c r="F41" s="1" t="s">
        <v>39</v>
      </c>
      <c r="G41" s="1" t="s">
        <v>26</v>
      </c>
      <c r="H41" s="1">
        <v>14315</v>
      </c>
      <c r="I41" s="1" t="s">
        <v>27</v>
      </c>
      <c r="J41" s="1"/>
      <c r="K41" s="1">
        <v>14000</v>
      </c>
      <c r="L41" s="2">
        <v>45312</v>
      </c>
    </row>
    <row r="42" spans="1:12" x14ac:dyDescent="0.35">
      <c r="A42" s="1" t="s">
        <v>110</v>
      </c>
      <c r="B42" s="1" t="s">
        <v>111</v>
      </c>
      <c r="C42" s="1" t="s">
        <v>44</v>
      </c>
      <c r="D42" s="1" t="s">
        <v>45</v>
      </c>
      <c r="E42" s="1" t="s">
        <v>16</v>
      </c>
      <c r="F42" s="1" t="s">
        <v>39</v>
      </c>
      <c r="G42" s="1" t="s">
        <v>36</v>
      </c>
      <c r="H42" s="1">
        <v>11977</v>
      </c>
      <c r="I42" s="1" t="s">
        <v>33</v>
      </c>
      <c r="J42" s="1">
        <v>0.3</v>
      </c>
      <c r="K42" s="1">
        <v>13000</v>
      </c>
      <c r="L42" s="2">
        <v>45317</v>
      </c>
    </row>
    <row r="43" spans="1:12" x14ac:dyDescent="0.35">
      <c r="A43" s="1" t="s">
        <v>112</v>
      </c>
      <c r="B43" s="1" t="s">
        <v>113</v>
      </c>
      <c r="C43" s="1" t="s">
        <v>30</v>
      </c>
      <c r="D43" s="1" t="s">
        <v>31</v>
      </c>
      <c r="E43" s="1" t="s">
        <v>46</v>
      </c>
      <c r="F43" s="1" t="s">
        <v>17</v>
      </c>
      <c r="G43" s="1" t="s">
        <v>18</v>
      </c>
      <c r="H43" s="1">
        <v>15038</v>
      </c>
      <c r="I43" s="1"/>
      <c r="J43" s="1"/>
      <c r="K43" s="1">
        <v>17000</v>
      </c>
      <c r="L43" s="2">
        <v>45331</v>
      </c>
    </row>
    <row r="44" spans="1:12" x14ac:dyDescent="0.35">
      <c r="A44" s="1" t="s">
        <v>114</v>
      </c>
      <c r="B44" s="1" t="s">
        <v>107</v>
      </c>
      <c r="C44" s="1" t="s">
        <v>14</v>
      </c>
      <c r="D44" s="1" t="s">
        <v>15</v>
      </c>
      <c r="E44" s="1" t="s">
        <v>16</v>
      </c>
      <c r="F44" s="1" t="s">
        <v>25</v>
      </c>
      <c r="G44" s="1" t="s">
        <v>26</v>
      </c>
      <c r="H44" s="1">
        <v>13086</v>
      </c>
      <c r="I44" s="1" t="s">
        <v>19</v>
      </c>
      <c r="J44" s="1">
        <v>0.2</v>
      </c>
      <c r="K44" s="1">
        <v>14000</v>
      </c>
      <c r="L44" s="2">
        <v>45351</v>
      </c>
    </row>
    <row r="45" spans="1:12" x14ac:dyDescent="0.35">
      <c r="A45" s="1" t="s">
        <v>115</v>
      </c>
      <c r="B45" s="1" t="s">
        <v>116</v>
      </c>
      <c r="C45" s="1" t="s">
        <v>44</v>
      </c>
      <c r="D45" s="1" t="s">
        <v>45</v>
      </c>
      <c r="E45" s="1" t="s">
        <v>46</v>
      </c>
      <c r="F45" s="1" t="s">
        <v>17</v>
      </c>
      <c r="G45" s="1" t="s">
        <v>18</v>
      </c>
      <c r="H45" s="1">
        <v>12794</v>
      </c>
      <c r="I45" s="1" t="s">
        <v>27</v>
      </c>
      <c r="J45" s="1"/>
      <c r="K45" s="1">
        <v>13000</v>
      </c>
      <c r="L45" s="2">
        <v>45337</v>
      </c>
    </row>
    <row r="46" spans="1:12" x14ac:dyDescent="0.35">
      <c r="A46" s="1" t="s">
        <v>117</v>
      </c>
      <c r="B46" s="1" t="s">
        <v>118</v>
      </c>
      <c r="C46" s="1" t="s">
        <v>14</v>
      </c>
      <c r="D46" s="1" t="s">
        <v>15</v>
      </c>
      <c r="E46" s="1" t="s">
        <v>16</v>
      </c>
      <c r="F46" s="1" t="s">
        <v>39</v>
      </c>
      <c r="G46" s="1" t="s">
        <v>36</v>
      </c>
      <c r="H46" s="1">
        <v>15816</v>
      </c>
      <c r="I46" s="1" t="s">
        <v>22</v>
      </c>
      <c r="J46" s="1">
        <v>0.1</v>
      </c>
      <c r="K46" s="1">
        <v>14000</v>
      </c>
      <c r="L46" s="2">
        <v>45352</v>
      </c>
    </row>
    <row r="47" spans="1:12" x14ac:dyDescent="0.35">
      <c r="A47" s="1" t="s">
        <v>119</v>
      </c>
      <c r="B47" s="1" t="s">
        <v>120</v>
      </c>
      <c r="C47" s="1" t="s">
        <v>30</v>
      </c>
      <c r="D47" s="1" t="s">
        <v>31</v>
      </c>
      <c r="E47" s="1" t="s">
        <v>32</v>
      </c>
      <c r="F47" s="1" t="s">
        <v>25</v>
      </c>
      <c r="G47" s="1" t="s">
        <v>26</v>
      </c>
      <c r="H47" s="1">
        <v>17266</v>
      </c>
      <c r="I47" s="1" t="s">
        <v>19</v>
      </c>
      <c r="J47" s="1">
        <v>0.2</v>
      </c>
      <c r="K47" s="1">
        <v>17000</v>
      </c>
      <c r="L47" s="2">
        <v>45309</v>
      </c>
    </row>
    <row r="48" spans="1:12" x14ac:dyDescent="0.35">
      <c r="A48" s="1" t="s">
        <v>121</v>
      </c>
      <c r="B48" s="1" t="s">
        <v>118</v>
      </c>
      <c r="C48" s="1" t="s">
        <v>44</v>
      </c>
      <c r="D48" s="1" t="s">
        <v>45</v>
      </c>
      <c r="E48" s="1" t="s">
        <v>16</v>
      </c>
      <c r="F48" s="1" t="s">
        <v>17</v>
      </c>
      <c r="G48" s="1" t="s">
        <v>18</v>
      </c>
      <c r="H48" s="1">
        <v>13815</v>
      </c>
      <c r="I48" s="1" t="s">
        <v>33</v>
      </c>
      <c r="J48" s="1">
        <v>0.3</v>
      </c>
      <c r="K48" s="1">
        <v>13000</v>
      </c>
      <c r="L48" s="2">
        <v>45324</v>
      </c>
    </row>
    <row r="49" spans="1:12" x14ac:dyDescent="0.35">
      <c r="A49" s="1" t="s">
        <v>122</v>
      </c>
      <c r="B49" s="1" t="s">
        <v>123</v>
      </c>
      <c r="C49" s="1" t="s">
        <v>14</v>
      </c>
      <c r="D49" s="1" t="s">
        <v>15</v>
      </c>
      <c r="E49" s="1" t="s">
        <v>32</v>
      </c>
      <c r="F49" s="1" t="s">
        <v>39</v>
      </c>
      <c r="G49" s="1" t="s">
        <v>36</v>
      </c>
      <c r="H49" s="1">
        <v>15397</v>
      </c>
      <c r="I49" s="1" t="s">
        <v>33</v>
      </c>
      <c r="J49" s="1">
        <v>0.3</v>
      </c>
      <c r="K49" s="1">
        <v>14000</v>
      </c>
      <c r="L49" s="2">
        <v>45294</v>
      </c>
    </row>
    <row r="50" spans="1:12" x14ac:dyDescent="0.35">
      <c r="A50" s="1" t="s">
        <v>124</v>
      </c>
      <c r="B50" s="1" t="s">
        <v>125</v>
      </c>
      <c r="C50" s="1" t="s">
        <v>44</v>
      </c>
      <c r="D50" s="1" t="s">
        <v>45</v>
      </c>
      <c r="E50" s="1" t="s">
        <v>16</v>
      </c>
      <c r="F50" s="1" t="s">
        <v>17</v>
      </c>
      <c r="G50" s="1" t="s">
        <v>18</v>
      </c>
      <c r="H50" s="1">
        <v>14036</v>
      </c>
      <c r="I50" s="1"/>
      <c r="J50" s="1"/>
      <c r="K50" s="1">
        <v>13000</v>
      </c>
      <c r="L50" s="2">
        <v>45327</v>
      </c>
    </row>
    <row r="51" spans="1:12" x14ac:dyDescent="0.35">
      <c r="A51" s="1" t="s">
        <v>126</v>
      </c>
      <c r="B51" s="1" t="s">
        <v>127</v>
      </c>
      <c r="C51" s="1" t="s">
        <v>14</v>
      </c>
      <c r="D51" s="1" t="s">
        <v>15</v>
      </c>
      <c r="E51" s="1" t="s">
        <v>32</v>
      </c>
      <c r="F51" s="1" t="s">
        <v>25</v>
      </c>
      <c r="G51" s="1" t="s">
        <v>26</v>
      </c>
      <c r="H51" s="1">
        <v>15702</v>
      </c>
      <c r="I51" s="1" t="s">
        <v>19</v>
      </c>
      <c r="J51" s="1">
        <v>0.2</v>
      </c>
      <c r="K51" s="1">
        <v>14000</v>
      </c>
      <c r="L51" s="2">
        <v>45326</v>
      </c>
    </row>
    <row r="52" spans="1:12" x14ac:dyDescent="0.35">
      <c r="A52" s="1" t="s">
        <v>128</v>
      </c>
      <c r="B52" s="1" t="s">
        <v>129</v>
      </c>
      <c r="C52" s="1" t="s">
        <v>30</v>
      </c>
      <c r="D52" s="1" t="s">
        <v>31</v>
      </c>
      <c r="E52" s="1" t="s">
        <v>16</v>
      </c>
      <c r="F52" s="1" t="s">
        <v>39</v>
      </c>
      <c r="G52" s="1" t="s">
        <v>18</v>
      </c>
      <c r="H52" s="1">
        <v>16760</v>
      </c>
      <c r="I52" s="1" t="s">
        <v>19</v>
      </c>
      <c r="J52" s="1">
        <v>0.2</v>
      </c>
      <c r="K52" s="1">
        <v>17000</v>
      </c>
      <c r="L52" s="2">
        <v>45294</v>
      </c>
    </row>
    <row r="53" spans="1:12" x14ac:dyDescent="0.35">
      <c r="A53" s="1" t="s">
        <v>130</v>
      </c>
      <c r="B53" s="1" t="s">
        <v>131</v>
      </c>
      <c r="C53" s="1" t="s">
        <v>14</v>
      </c>
      <c r="D53" s="1" t="s">
        <v>15</v>
      </c>
      <c r="E53" s="1" t="s">
        <v>46</v>
      </c>
      <c r="F53" s="1" t="s">
        <v>25</v>
      </c>
      <c r="G53" s="1" t="s">
        <v>26</v>
      </c>
      <c r="H53" s="1">
        <v>13022</v>
      </c>
      <c r="I53" s="1" t="s">
        <v>22</v>
      </c>
      <c r="J53" s="1">
        <v>0.1</v>
      </c>
      <c r="K53" s="1">
        <v>14000</v>
      </c>
      <c r="L53" s="2">
        <v>45314</v>
      </c>
    </row>
    <row r="54" spans="1:12" x14ac:dyDescent="0.35">
      <c r="A54" s="1" t="s">
        <v>132</v>
      </c>
      <c r="B54" s="1" t="s">
        <v>133</v>
      </c>
      <c r="C54" s="1" t="s">
        <v>61</v>
      </c>
      <c r="D54" s="1" t="s">
        <v>62</v>
      </c>
      <c r="E54" s="1" t="s">
        <v>16</v>
      </c>
      <c r="F54" s="1" t="s">
        <v>39</v>
      </c>
      <c r="G54" s="1" t="s">
        <v>18</v>
      </c>
      <c r="H54" s="1">
        <v>10791</v>
      </c>
      <c r="I54" s="1" t="s">
        <v>19</v>
      </c>
      <c r="J54" s="1">
        <v>0.2</v>
      </c>
      <c r="K54" s="1">
        <v>9000</v>
      </c>
      <c r="L54" s="2">
        <v>45347</v>
      </c>
    </row>
    <row r="55" spans="1:12" x14ac:dyDescent="0.35">
      <c r="A55" s="1" t="s">
        <v>134</v>
      </c>
      <c r="B55" s="1" t="s">
        <v>135</v>
      </c>
      <c r="C55" s="1" t="s">
        <v>44</v>
      </c>
      <c r="D55" s="1" t="s">
        <v>45</v>
      </c>
      <c r="E55" s="1" t="s">
        <v>46</v>
      </c>
      <c r="F55" s="1" t="s">
        <v>25</v>
      </c>
      <c r="G55" s="1" t="s">
        <v>18</v>
      </c>
      <c r="H55" s="1">
        <v>14016</v>
      </c>
      <c r="I55" s="1" t="s">
        <v>33</v>
      </c>
      <c r="J55" s="1">
        <v>0.3</v>
      </c>
      <c r="K55" s="1">
        <v>13000</v>
      </c>
      <c r="L55" s="2">
        <v>45342</v>
      </c>
    </row>
    <row r="56" spans="1:12" x14ac:dyDescent="0.35">
      <c r="A56" s="1" t="s">
        <v>136</v>
      </c>
      <c r="B56" s="1" t="s">
        <v>137</v>
      </c>
      <c r="C56" s="1" t="s">
        <v>44</v>
      </c>
      <c r="D56" s="1" t="s">
        <v>45</v>
      </c>
      <c r="E56" s="1" t="s">
        <v>46</v>
      </c>
      <c r="F56" s="1" t="s">
        <v>25</v>
      </c>
      <c r="G56" s="1" t="s">
        <v>26</v>
      </c>
      <c r="H56" s="1">
        <v>11442</v>
      </c>
      <c r="I56" s="1"/>
      <c r="J56" s="1"/>
      <c r="K56" s="1">
        <v>13000</v>
      </c>
      <c r="L56" s="2">
        <v>45347</v>
      </c>
    </row>
    <row r="57" spans="1:12" x14ac:dyDescent="0.35">
      <c r="A57" s="1" t="s">
        <v>138</v>
      </c>
      <c r="B57" s="1" t="s">
        <v>129</v>
      </c>
      <c r="C57" s="1" t="s">
        <v>61</v>
      </c>
      <c r="D57" s="1" t="s">
        <v>62</v>
      </c>
      <c r="E57" s="1" t="s">
        <v>32</v>
      </c>
      <c r="F57" s="1" t="s">
        <v>25</v>
      </c>
      <c r="G57" s="1" t="s">
        <v>36</v>
      </c>
      <c r="H57" s="1">
        <v>8432</v>
      </c>
      <c r="I57" s="1" t="s">
        <v>33</v>
      </c>
      <c r="J57" s="1">
        <v>0.3</v>
      </c>
      <c r="K57" s="1">
        <v>9000</v>
      </c>
      <c r="L57" s="2">
        <v>45344</v>
      </c>
    </row>
    <row r="58" spans="1:12" x14ac:dyDescent="0.35">
      <c r="A58" s="1" t="s">
        <v>139</v>
      </c>
      <c r="B58" s="1" t="s">
        <v>140</v>
      </c>
      <c r="C58" s="1" t="s">
        <v>44</v>
      </c>
      <c r="D58" s="1" t="s">
        <v>45</v>
      </c>
      <c r="E58" s="1" t="s">
        <v>32</v>
      </c>
      <c r="F58" s="1" t="s">
        <v>25</v>
      </c>
      <c r="G58" s="1" t="s">
        <v>26</v>
      </c>
      <c r="H58" s="1">
        <v>11791</v>
      </c>
      <c r="I58" s="1"/>
      <c r="J58" s="1"/>
      <c r="K58" s="1">
        <v>13000</v>
      </c>
      <c r="L58" s="2">
        <v>45313</v>
      </c>
    </row>
    <row r="59" spans="1:12" x14ac:dyDescent="0.35">
      <c r="A59" s="1" t="s">
        <v>141</v>
      </c>
      <c r="B59" s="1" t="s">
        <v>142</v>
      </c>
      <c r="C59" s="1" t="s">
        <v>14</v>
      </c>
      <c r="D59" s="1" t="s">
        <v>15</v>
      </c>
      <c r="E59" s="1" t="s">
        <v>46</v>
      </c>
      <c r="F59" s="1" t="s">
        <v>17</v>
      </c>
      <c r="G59" s="1" t="s">
        <v>26</v>
      </c>
      <c r="H59" s="1">
        <v>14086</v>
      </c>
      <c r="I59" s="1"/>
      <c r="J59" s="1"/>
      <c r="K59" s="1">
        <v>14000</v>
      </c>
      <c r="L59" s="2">
        <v>45335</v>
      </c>
    </row>
    <row r="60" spans="1:12" x14ac:dyDescent="0.35">
      <c r="A60" s="1" t="s">
        <v>143</v>
      </c>
      <c r="B60" s="1" t="s">
        <v>144</v>
      </c>
      <c r="C60" s="1" t="s">
        <v>30</v>
      </c>
      <c r="D60" s="1" t="s">
        <v>31</v>
      </c>
      <c r="E60" s="1" t="s">
        <v>32</v>
      </c>
      <c r="F60" s="1" t="s">
        <v>25</v>
      </c>
      <c r="G60" s="1" t="s">
        <v>36</v>
      </c>
      <c r="H60" s="1">
        <v>15731</v>
      </c>
      <c r="I60" s="1" t="s">
        <v>27</v>
      </c>
      <c r="J60" s="1"/>
      <c r="K60" s="1">
        <v>17000</v>
      </c>
      <c r="L60" s="2">
        <v>45308</v>
      </c>
    </row>
    <row r="61" spans="1:12" x14ac:dyDescent="0.35">
      <c r="A61" s="1" t="s">
        <v>145</v>
      </c>
      <c r="B61" s="1" t="s">
        <v>76</v>
      </c>
      <c r="C61" s="1" t="s">
        <v>61</v>
      </c>
      <c r="D61" s="1" t="s">
        <v>62</v>
      </c>
      <c r="E61" s="1" t="s">
        <v>46</v>
      </c>
      <c r="F61" s="1" t="s">
        <v>39</v>
      </c>
      <c r="G61" s="1" t="s">
        <v>36</v>
      </c>
      <c r="H61" s="1">
        <v>8787</v>
      </c>
      <c r="I61" s="1" t="s">
        <v>27</v>
      </c>
      <c r="J61" s="1"/>
      <c r="K61" s="1">
        <v>9000</v>
      </c>
      <c r="L61" s="2">
        <v>45324</v>
      </c>
    </row>
    <row r="62" spans="1:12" x14ac:dyDescent="0.35">
      <c r="A62" s="1" t="s">
        <v>146</v>
      </c>
      <c r="B62" s="1" t="s">
        <v>66</v>
      </c>
      <c r="C62" s="1" t="s">
        <v>44</v>
      </c>
      <c r="D62" s="1" t="s">
        <v>45</v>
      </c>
      <c r="E62" s="1" t="s">
        <v>46</v>
      </c>
      <c r="F62" s="1" t="s">
        <v>25</v>
      </c>
      <c r="G62" s="1" t="s">
        <v>26</v>
      </c>
      <c r="H62" s="1">
        <v>12786</v>
      </c>
      <c r="I62" s="1" t="s">
        <v>22</v>
      </c>
      <c r="J62" s="1">
        <v>0.1</v>
      </c>
      <c r="K62" s="1">
        <v>13000</v>
      </c>
      <c r="L62" s="2">
        <v>45325</v>
      </c>
    </row>
    <row r="63" spans="1:12" x14ac:dyDescent="0.35">
      <c r="A63" s="1" t="s">
        <v>147</v>
      </c>
      <c r="B63" s="1" t="s">
        <v>148</v>
      </c>
      <c r="C63" s="1" t="s">
        <v>44</v>
      </c>
      <c r="D63" s="1" t="s">
        <v>45</v>
      </c>
      <c r="E63" s="1" t="s">
        <v>46</v>
      </c>
      <c r="F63" s="1" t="s">
        <v>17</v>
      </c>
      <c r="G63" s="1" t="s">
        <v>18</v>
      </c>
      <c r="H63" s="1">
        <v>14886</v>
      </c>
      <c r="I63" s="1" t="s">
        <v>33</v>
      </c>
      <c r="J63" s="1">
        <v>0.3</v>
      </c>
      <c r="K63" s="1">
        <v>13000</v>
      </c>
      <c r="L63" s="2">
        <v>45331</v>
      </c>
    </row>
    <row r="64" spans="1:12" x14ac:dyDescent="0.35">
      <c r="A64" s="1" t="s">
        <v>149</v>
      </c>
      <c r="B64" s="1" t="s">
        <v>150</v>
      </c>
      <c r="C64" s="1" t="s">
        <v>14</v>
      </c>
      <c r="D64" s="1" t="s">
        <v>15</v>
      </c>
      <c r="E64" s="1" t="s">
        <v>16</v>
      </c>
      <c r="F64" s="1" t="s">
        <v>17</v>
      </c>
      <c r="G64" s="1" t="s">
        <v>26</v>
      </c>
      <c r="H64" s="1">
        <v>13266</v>
      </c>
      <c r="I64" s="1"/>
      <c r="J64" s="1"/>
      <c r="K64" s="1">
        <v>14000</v>
      </c>
      <c r="L64" s="2">
        <v>45312</v>
      </c>
    </row>
    <row r="65" spans="1:12" x14ac:dyDescent="0.35">
      <c r="A65" s="1" t="s">
        <v>151</v>
      </c>
      <c r="B65" s="1" t="s">
        <v>101</v>
      </c>
      <c r="C65" s="1" t="s">
        <v>30</v>
      </c>
      <c r="D65" s="1" t="s">
        <v>31</v>
      </c>
      <c r="E65" s="1" t="s">
        <v>16</v>
      </c>
      <c r="F65" s="1" t="s">
        <v>25</v>
      </c>
      <c r="G65" s="1" t="s">
        <v>18</v>
      </c>
      <c r="H65" s="1">
        <v>16722</v>
      </c>
      <c r="I65" s="1"/>
      <c r="J65" s="1"/>
      <c r="K65" s="1">
        <v>17000</v>
      </c>
      <c r="L65" s="2">
        <v>45335</v>
      </c>
    </row>
    <row r="66" spans="1:12" x14ac:dyDescent="0.35">
      <c r="A66" s="1" t="s">
        <v>152</v>
      </c>
      <c r="B66" s="1" t="s">
        <v>153</v>
      </c>
      <c r="C66" s="1" t="s">
        <v>30</v>
      </c>
      <c r="D66" s="1" t="s">
        <v>31</v>
      </c>
      <c r="E66" s="1" t="s">
        <v>46</v>
      </c>
      <c r="F66" s="1" t="s">
        <v>39</v>
      </c>
      <c r="G66" s="1" t="s">
        <v>18</v>
      </c>
      <c r="H66" s="1">
        <v>16244</v>
      </c>
      <c r="I66" s="1" t="s">
        <v>33</v>
      </c>
      <c r="J66" s="1">
        <v>0.3</v>
      </c>
      <c r="K66" s="1">
        <v>17000</v>
      </c>
      <c r="L66" s="2">
        <v>45305</v>
      </c>
    </row>
    <row r="67" spans="1:12" x14ac:dyDescent="0.35">
      <c r="A67" s="1" t="s">
        <v>154</v>
      </c>
      <c r="B67" s="1" t="s">
        <v>155</v>
      </c>
      <c r="C67" s="1" t="s">
        <v>30</v>
      </c>
      <c r="D67" s="1" t="s">
        <v>31</v>
      </c>
      <c r="E67" s="1" t="s">
        <v>46</v>
      </c>
      <c r="F67" s="1" t="s">
        <v>17</v>
      </c>
      <c r="G67" s="1" t="s">
        <v>36</v>
      </c>
      <c r="H67" s="1">
        <v>17767</v>
      </c>
      <c r="I67" s="1" t="s">
        <v>19</v>
      </c>
      <c r="J67" s="1">
        <v>0.2</v>
      </c>
      <c r="K67" s="1">
        <v>17000</v>
      </c>
      <c r="L67" s="2">
        <v>45324</v>
      </c>
    </row>
    <row r="68" spans="1:12" x14ac:dyDescent="0.35">
      <c r="A68" s="1" t="s">
        <v>156</v>
      </c>
      <c r="B68" s="1" t="s">
        <v>157</v>
      </c>
      <c r="C68" s="1" t="s">
        <v>44</v>
      </c>
      <c r="D68" s="1" t="s">
        <v>45</v>
      </c>
      <c r="E68" s="1" t="s">
        <v>16</v>
      </c>
      <c r="F68" s="1" t="s">
        <v>25</v>
      </c>
      <c r="G68" s="1" t="s">
        <v>36</v>
      </c>
      <c r="H68" s="1">
        <v>13111</v>
      </c>
      <c r="I68" s="1" t="s">
        <v>27</v>
      </c>
      <c r="J68" s="1"/>
      <c r="K68" s="1">
        <v>13000</v>
      </c>
      <c r="L68" s="2">
        <v>45313</v>
      </c>
    </row>
    <row r="69" spans="1:12" x14ac:dyDescent="0.35">
      <c r="A69" s="1" t="s">
        <v>158</v>
      </c>
      <c r="B69" s="1" t="s">
        <v>159</v>
      </c>
      <c r="C69" s="1" t="s">
        <v>44</v>
      </c>
      <c r="D69" s="1" t="s">
        <v>45</v>
      </c>
      <c r="E69" s="1" t="s">
        <v>16</v>
      </c>
      <c r="F69" s="1" t="s">
        <v>17</v>
      </c>
      <c r="G69" s="1" t="s">
        <v>18</v>
      </c>
      <c r="H69" s="1">
        <v>14303</v>
      </c>
      <c r="I69" s="1" t="s">
        <v>19</v>
      </c>
      <c r="J69" s="1">
        <v>0.2</v>
      </c>
      <c r="K69" s="1">
        <v>13000</v>
      </c>
      <c r="L69" s="2">
        <v>45301</v>
      </c>
    </row>
    <row r="70" spans="1:12" x14ac:dyDescent="0.35">
      <c r="A70" s="1" t="s">
        <v>160</v>
      </c>
      <c r="B70" s="1" t="s">
        <v>161</v>
      </c>
      <c r="C70" s="1" t="s">
        <v>44</v>
      </c>
      <c r="D70" s="1" t="s">
        <v>45</v>
      </c>
      <c r="E70" s="1" t="s">
        <v>46</v>
      </c>
      <c r="F70" s="1" t="s">
        <v>39</v>
      </c>
      <c r="G70" s="1" t="s">
        <v>18</v>
      </c>
      <c r="H70" s="1">
        <v>12865</v>
      </c>
      <c r="I70" s="1"/>
      <c r="J70" s="1"/>
      <c r="K70" s="1">
        <v>13000</v>
      </c>
      <c r="L70" s="2">
        <v>45348</v>
      </c>
    </row>
    <row r="71" spans="1:12" x14ac:dyDescent="0.35">
      <c r="A71" s="1" t="s">
        <v>162</v>
      </c>
      <c r="B71" s="1" t="s">
        <v>163</v>
      </c>
      <c r="C71" s="1" t="s">
        <v>44</v>
      </c>
      <c r="D71" s="1" t="s">
        <v>45</v>
      </c>
      <c r="E71" s="1" t="s">
        <v>16</v>
      </c>
      <c r="F71" s="1" t="s">
        <v>39</v>
      </c>
      <c r="G71" s="1" t="s">
        <v>36</v>
      </c>
      <c r="H71" s="1">
        <v>13024</v>
      </c>
      <c r="I71" s="1"/>
      <c r="J71" s="1"/>
      <c r="K71" s="1">
        <v>13000</v>
      </c>
      <c r="L71" s="2">
        <v>45307</v>
      </c>
    </row>
    <row r="72" spans="1:12" x14ac:dyDescent="0.35">
      <c r="A72" s="1" t="s">
        <v>164</v>
      </c>
      <c r="B72" s="1" t="s">
        <v>113</v>
      </c>
      <c r="C72" s="1" t="s">
        <v>14</v>
      </c>
      <c r="D72" s="1" t="s">
        <v>15</v>
      </c>
      <c r="E72" s="1" t="s">
        <v>32</v>
      </c>
      <c r="F72" s="1" t="s">
        <v>17</v>
      </c>
      <c r="G72" s="1" t="s">
        <v>18</v>
      </c>
      <c r="H72" s="1">
        <v>12720</v>
      </c>
      <c r="I72" s="1" t="s">
        <v>27</v>
      </c>
      <c r="J72" s="1"/>
      <c r="K72" s="1">
        <v>14000</v>
      </c>
      <c r="L72" s="2">
        <v>45321</v>
      </c>
    </row>
    <row r="73" spans="1:12" x14ac:dyDescent="0.35">
      <c r="A73" s="1" t="s">
        <v>165</v>
      </c>
      <c r="B73" s="1" t="s">
        <v>166</v>
      </c>
      <c r="C73" s="1" t="s">
        <v>44</v>
      </c>
      <c r="D73" s="1" t="s">
        <v>45</v>
      </c>
      <c r="E73" s="1" t="s">
        <v>32</v>
      </c>
      <c r="F73" s="1" t="s">
        <v>17</v>
      </c>
      <c r="G73" s="1" t="s">
        <v>18</v>
      </c>
      <c r="H73" s="1">
        <v>14282</v>
      </c>
      <c r="I73" s="1"/>
      <c r="J73" s="1"/>
      <c r="K73" s="1">
        <v>13000</v>
      </c>
      <c r="L73" s="2">
        <v>45334</v>
      </c>
    </row>
    <row r="74" spans="1:12" x14ac:dyDescent="0.35">
      <c r="A74" s="1" t="s">
        <v>167</v>
      </c>
      <c r="B74" s="1" t="s">
        <v>168</v>
      </c>
      <c r="C74" s="1" t="s">
        <v>30</v>
      </c>
      <c r="D74" s="1" t="s">
        <v>31</v>
      </c>
      <c r="E74" s="1" t="s">
        <v>46</v>
      </c>
      <c r="F74" s="1" t="s">
        <v>39</v>
      </c>
      <c r="G74" s="1" t="s">
        <v>26</v>
      </c>
      <c r="H74" s="1">
        <v>18653</v>
      </c>
      <c r="I74" s="1" t="s">
        <v>27</v>
      </c>
      <c r="J74" s="1"/>
      <c r="K74" s="1">
        <v>17000</v>
      </c>
      <c r="L74" s="2">
        <v>45319</v>
      </c>
    </row>
    <row r="75" spans="1:12" x14ac:dyDescent="0.35">
      <c r="A75" s="1" t="s">
        <v>169</v>
      </c>
      <c r="B75" s="1" t="s">
        <v>144</v>
      </c>
      <c r="C75" s="1" t="s">
        <v>61</v>
      </c>
      <c r="D75" s="1" t="s">
        <v>62</v>
      </c>
      <c r="E75" s="1" t="s">
        <v>32</v>
      </c>
      <c r="F75" s="1" t="s">
        <v>39</v>
      </c>
      <c r="G75" s="1" t="s">
        <v>36</v>
      </c>
      <c r="H75" s="1">
        <v>8843</v>
      </c>
      <c r="I75" s="1" t="s">
        <v>33</v>
      </c>
      <c r="J75" s="1">
        <v>0.3</v>
      </c>
      <c r="K75" s="1">
        <v>9000</v>
      </c>
      <c r="L75" s="2">
        <v>45340</v>
      </c>
    </row>
    <row r="76" spans="1:12" x14ac:dyDescent="0.35">
      <c r="A76" s="1" t="s">
        <v>170</v>
      </c>
      <c r="B76" s="1" t="s">
        <v>171</v>
      </c>
      <c r="C76" s="1" t="s">
        <v>30</v>
      </c>
      <c r="D76" s="1" t="s">
        <v>31</v>
      </c>
      <c r="E76" s="1" t="s">
        <v>16</v>
      </c>
      <c r="F76" s="1" t="s">
        <v>17</v>
      </c>
      <c r="G76" s="1" t="s">
        <v>26</v>
      </c>
      <c r="H76" s="1">
        <v>15979</v>
      </c>
      <c r="I76" s="1" t="s">
        <v>33</v>
      </c>
      <c r="J76" s="1">
        <v>0.3</v>
      </c>
      <c r="K76" s="1">
        <v>17000</v>
      </c>
      <c r="L76" s="2">
        <v>45320</v>
      </c>
    </row>
    <row r="77" spans="1:12" x14ac:dyDescent="0.35">
      <c r="A77" s="1" t="s">
        <v>172</v>
      </c>
      <c r="B77" s="1" t="s">
        <v>173</v>
      </c>
      <c r="C77" s="1" t="s">
        <v>30</v>
      </c>
      <c r="D77" s="1" t="s">
        <v>31</v>
      </c>
      <c r="E77" s="1" t="s">
        <v>32</v>
      </c>
      <c r="F77" s="1" t="s">
        <v>17</v>
      </c>
      <c r="G77" s="1" t="s">
        <v>36</v>
      </c>
      <c r="H77" s="1">
        <v>16309</v>
      </c>
      <c r="I77" s="1" t="s">
        <v>27</v>
      </c>
      <c r="J77" s="1"/>
      <c r="K77" s="1">
        <v>17000</v>
      </c>
      <c r="L77" s="2">
        <v>45297</v>
      </c>
    </row>
    <row r="78" spans="1:12" x14ac:dyDescent="0.35">
      <c r="A78" s="1" t="s">
        <v>174</v>
      </c>
      <c r="B78" s="1" t="s">
        <v>175</v>
      </c>
      <c r="C78" s="1" t="s">
        <v>44</v>
      </c>
      <c r="D78" s="1" t="s">
        <v>45</v>
      </c>
      <c r="E78" s="1" t="s">
        <v>46</v>
      </c>
      <c r="F78" s="1" t="s">
        <v>39</v>
      </c>
      <c r="G78" s="1" t="s">
        <v>18</v>
      </c>
      <c r="H78" s="1">
        <v>13893</v>
      </c>
      <c r="I78" s="1" t="s">
        <v>19</v>
      </c>
      <c r="J78" s="1">
        <v>0.2</v>
      </c>
      <c r="K78" s="1">
        <v>13000</v>
      </c>
      <c r="L78" s="2">
        <v>45296</v>
      </c>
    </row>
    <row r="79" spans="1:12" x14ac:dyDescent="0.35">
      <c r="A79" s="1" t="s">
        <v>176</v>
      </c>
      <c r="B79" s="1" t="s">
        <v>177</v>
      </c>
      <c r="C79" s="1" t="s">
        <v>30</v>
      </c>
      <c r="D79" s="1" t="s">
        <v>31</v>
      </c>
      <c r="E79" s="1" t="s">
        <v>16</v>
      </c>
      <c r="F79" s="1" t="s">
        <v>17</v>
      </c>
      <c r="G79" s="1" t="s">
        <v>36</v>
      </c>
      <c r="H79" s="1">
        <v>15255</v>
      </c>
      <c r="I79" s="1" t="s">
        <v>19</v>
      </c>
      <c r="J79" s="1">
        <v>0.2</v>
      </c>
      <c r="K79" s="1">
        <v>17000</v>
      </c>
      <c r="L79" s="2">
        <v>45345</v>
      </c>
    </row>
    <row r="80" spans="1:12" x14ac:dyDescent="0.35">
      <c r="A80" s="1" t="s">
        <v>178</v>
      </c>
      <c r="B80" s="1" t="s">
        <v>177</v>
      </c>
      <c r="C80" s="1" t="s">
        <v>14</v>
      </c>
      <c r="D80" s="1" t="s">
        <v>15</v>
      </c>
      <c r="E80" s="1" t="s">
        <v>16</v>
      </c>
      <c r="F80" s="1" t="s">
        <v>17</v>
      </c>
      <c r="G80" s="1" t="s">
        <v>36</v>
      </c>
      <c r="H80" s="1">
        <v>12024</v>
      </c>
      <c r="I80" s="1" t="s">
        <v>33</v>
      </c>
      <c r="J80" s="1">
        <v>0.3</v>
      </c>
      <c r="K80" s="1">
        <v>14000</v>
      </c>
      <c r="L80" s="2">
        <v>45311</v>
      </c>
    </row>
    <row r="81" spans="1:12" x14ac:dyDescent="0.35">
      <c r="A81" s="1" t="s">
        <v>179</v>
      </c>
      <c r="B81" s="1" t="s">
        <v>180</v>
      </c>
      <c r="C81" s="1" t="s">
        <v>61</v>
      </c>
      <c r="D81" s="1" t="s">
        <v>62</v>
      </c>
      <c r="E81" s="1" t="s">
        <v>16</v>
      </c>
      <c r="F81" s="1" t="s">
        <v>39</v>
      </c>
      <c r="G81" s="1" t="s">
        <v>26</v>
      </c>
      <c r="H81" s="1">
        <v>9236</v>
      </c>
      <c r="I81" s="1" t="s">
        <v>27</v>
      </c>
      <c r="J81" s="1"/>
      <c r="K81" s="1">
        <v>9000</v>
      </c>
      <c r="L81" s="2">
        <v>45349</v>
      </c>
    </row>
    <row r="82" spans="1:12" x14ac:dyDescent="0.35">
      <c r="A82" s="1" t="s">
        <v>181</v>
      </c>
      <c r="B82" s="1" t="s">
        <v>29</v>
      </c>
      <c r="C82" s="1" t="s">
        <v>44</v>
      </c>
      <c r="D82" s="1" t="s">
        <v>45</v>
      </c>
      <c r="E82" s="1" t="s">
        <v>46</v>
      </c>
      <c r="F82" s="1" t="s">
        <v>17</v>
      </c>
      <c r="G82" s="1" t="s">
        <v>36</v>
      </c>
      <c r="H82" s="1">
        <v>11118</v>
      </c>
      <c r="I82" s="1"/>
      <c r="J82" s="1"/>
      <c r="K82" s="1">
        <v>13000</v>
      </c>
      <c r="L82" s="2">
        <v>45313</v>
      </c>
    </row>
    <row r="83" spans="1:12" x14ac:dyDescent="0.35">
      <c r="A83" s="1" t="s">
        <v>182</v>
      </c>
      <c r="B83" s="1" t="s">
        <v>92</v>
      </c>
      <c r="C83" s="1" t="s">
        <v>61</v>
      </c>
      <c r="D83" s="1" t="s">
        <v>62</v>
      </c>
      <c r="E83" s="1" t="s">
        <v>16</v>
      </c>
      <c r="F83" s="1" t="s">
        <v>25</v>
      </c>
      <c r="G83" s="1" t="s">
        <v>36</v>
      </c>
      <c r="H83" s="1">
        <v>10766</v>
      </c>
      <c r="I83" s="1" t="s">
        <v>19</v>
      </c>
      <c r="J83" s="1">
        <v>0.2</v>
      </c>
      <c r="K83" s="1">
        <v>9000</v>
      </c>
      <c r="L83" s="2">
        <v>45331</v>
      </c>
    </row>
    <row r="84" spans="1:12" x14ac:dyDescent="0.35">
      <c r="A84" s="1" t="s">
        <v>183</v>
      </c>
      <c r="B84" s="1" t="s">
        <v>184</v>
      </c>
      <c r="C84" s="1" t="s">
        <v>61</v>
      </c>
      <c r="D84" s="1" t="s">
        <v>62</v>
      </c>
      <c r="E84" s="1" t="s">
        <v>16</v>
      </c>
      <c r="F84" s="1" t="s">
        <v>39</v>
      </c>
      <c r="G84" s="1" t="s">
        <v>26</v>
      </c>
      <c r="H84" s="1">
        <v>7111</v>
      </c>
      <c r="I84" s="1" t="s">
        <v>22</v>
      </c>
      <c r="J84" s="1">
        <v>0.1</v>
      </c>
      <c r="K84" s="1">
        <v>9000</v>
      </c>
      <c r="L84" s="2">
        <v>45333</v>
      </c>
    </row>
    <row r="85" spans="1:12" x14ac:dyDescent="0.35">
      <c r="A85" s="1" t="s">
        <v>185</v>
      </c>
      <c r="B85" s="1" t="s">
        <v>186</v>
      </c>
      <c r="C85" s="1" t="s">
        <v>61</v>
      </c>
      <c r="D85" s="1" t="s">
        <v>62</v>
      </c>
      <c r="E85" s="1" t="s">
        <v>32</v>
      </c>
      <c r="F85" s="1" t="s">
        <v>25</v>
      </c>
      <c r="G85" s="1" t="s">
        <v>36</v>
      </c>
      <c r="H85" s="1">
        <v>8552</v>
      </c>
      <c r="I85" s="1" t="s">
        <v>33</v>
      </c>
      <c r="J85" s="1">
        <v>0.3</v>
      </c>
      <c r="K85" s="1">
        <v>9000</v>
      </c>
      <c r="L85" s="2">
        <v>45305</v>
      </c>
    </row>
    <row r="86" spans="1:12" x14ac:dyDescent="0.35">
      <c r="A86" s="1" t="s">
        <v>187</v>
      </c>
      <c r="B86" s="1" t="s">
        <v>188</v>
      </c>
      <c r="C86" s="1" t="s">
        <v>30</v>
      </c>
      <c r="D86" s="1" t="s">
        <v>31</v>
      </c>
      <c r="E86" s="1" t="s">
        <v>46</v>
      </c>
      <c r="F86" s="1" t="s">
        <v>17</v>
      </c>
      <c r="G86" s="1" t="s">
        <v>36</v>
      </c>
      <c r="H86" s="1">
        <v>16033</v>
      </c>
      <c r="I86" s="1" t="s">
        <v>22</v>
      </c>
      <c r="J86" s="1">
        <v>0.1</v>
      </c>
      <c r="K86" s="1">
        <v>17000</v>
      </c>
      <c r="L86" s="2">
        <v>45322</v>
      </c>
    </row>
    <row r="87" spans="1:12" x14ac:dyDescent="0.35">
      <c r="A87" s="1" t="s">
        <v>189</v>
      </c>
      <c r="B87" s="1" t="s">
        <v>190</v>
      </c>
      <c r="C87" s="1" t="s">
        <v>14</v>
      </c>
      <c r="D87" s="1" t="s">
        <v>15</v>
      </c>
      <c r="E87" s="1" t="s">
        <v>46</v>
      </c>
      <c r="F87" s="1" t="s">
        <v>25</v>
      </c>
      <c r="G87" s="1" t="s">
        <v>26</v>
      </c>
      <c r="H87" s="1">
        <v>12281</v>
      </c>
      <c r="I87" s="1" t="s">
        <v>22</v>
      </c>
      <c r="J87" s="1">
        <v>0.1</v>
      </c>
      <c r="K87" s="1">
        <v>14000</v>
      </c>
      <c r="L87" s="2">
        <v>45340</v>
      </c>
    </row>
    <row r="88" spans="1:12" x14ac:dyDescent="0.35">
      <c r="A88" s="1" t="s">
        <v>191</v>
      </c>
      <c r="B88" s="1" t="s">
        <v>192</v>
      </c>
      <c r="C88" s="1" t="s">
        <v>44</v>
      </c>
      <c r="D88" s="1" t="s">
        <v>45</v>
      </c>
      <c r="E88" s="1" t="s">
        <v>32</v>
      </c>
      <c r="F88" s="1" t="s">
        <v>39</v>
      </c>
      <c r="G88" s="1" t="s">
        <v>18</v>
      </c>
      <c r="H88" s="1">
        <v>11977</v>
      </c>
      <c r="I88" s="1" t="s">
        <v>19</v>
      </c>
      <c r="J88" s="1">
        <v>0.2</v>
      </c>
      <c r="K88" s="1">
        <v>13000</v>
      </c>
      <c r="L88" s="2">
        <v>45322</v>
      </c>
    </row>
    <row r="89" spans="1:12" x14ac:dyDescent="0.35">
      <c r="A89" s="1" t="s">
        <v>193</v>
      </c>
      <c r="B89" s="1" t="s">
        <v>13</v>
      </c>
      <c r="C89" s="1" t="s">
        <v>44</v>
      </c>
      <c r="D89" s="1" t="s">
        <v>45</v>
      </c>
      <c r="E89" s="1" t="s">
        <v>46</v>
      </c>
      <c r="F89" s="1" t="s">
        <v>39</v>
      </c>
      <c r="G89" s="1" t="s">
        <v>36</v>
      </c>
      <c r="H89" s="1">
        <v>14141</v>
      </c>
      <c r="I89" s="1" t="s">
        <v>33</v>
      </c>
      <c r="J89" s="1">
        <v>0.3</v>
      </c>
      <c r="K89" s="1">
        <v>13000</v>
      </c>
      <c r="L89" s="2">
        <v>45302</v>
      </c>
    </row>
    <row r="90" spans="1:12" x14ac:dyDescent="0.35">
      <c r="A90" s="1" t="s">
        <v>194</v>
      </c>
      <c r="B90" s="1" t="s">
        <v>195</v>
      </c>
      <c r="C90" s="1" t="s">
        <v>14</v>
      </c>
      <c r="D90" s="1" t="s">
        <v>15</v>
      </c>
      <c r="E90" s="1" t="s">
        <v>32</v>
      </c>
      <c r="F90" s="1" t="s">
        <v>17</v>
      </c>
      <c r="G90" s="1" t="s">
        <v>18</v>
      </c>
      <c r="H90" s="1">
        <v>14370</v>
      </c>
      <c r="I90" s="1" t="s">
        <v>22</v>
      </c>
      <c r="J90" s="1">
        <v>0.1</v>
      </c>
      <c r="K90" s="1">
        <v>14000</v>
      </c>
      <c r="L90" s="2">
        <v>45351</v>
      </c>
    </row>
    <row r="91" spans="1:12" x14ac:dyDescent="0.35">
      <c r="A91" s="1" t="s">
        <v>196</v>
      </c>
      <c r="B91" s="1" t="s">
        <v>118</v>
      </c>
      <c r="C91" s="1" t="s">
        <v>61</v>
      </c>
      <c r="D91" s="1" t="s">
        <v>62</v>
      </c>
      <c r="E91" s="1" t="s">
        <v>46</v>
      </c>
      <c r="F91" s="1" t="s">
        <v>39</v>
      </c>
      <c r="G91" s="1" t="s">
        <v>18</v>
      </c>
      <c r="H91" s="1">
        <v>7311</v>
      </c>
      <c r="I91" s="1" t="s">
        <v>27</v>
      </c>
      <c r="J91" s="1"/>
      <c r="K91" s="1">
        <v>9000</v>
      </c>
      <c r="L91" s="2">
        <v>45336</v>
      </c>
    </row>
    <row r="92" spans="1:12" x14ac:dyDescent="0.35">
      <c r="A92" s="1" t="s">
        <v>197</v>
      </c>
      <c r="B92" s="1" t="s">
        <v>198</v>
      </c>
      <c r="C92" s="1" t="s">
        <v>44</v>
      </c>
      <c r="D92" s="1" t="s">
        <v>45</v>
      </c>
      <c r="E92" s="1" t="s">
        <v>32</v>
      </c>
      <c r="F92" s="1" t="s">
        <v>39</v>
      </c>
      <c r="G92" s="1" t="s">
        <v>36</v>
      </c>
      <c r="H92" s="1">
        <v>14482</v>
      </c>
      <c r="I92" s="1" t="s">
        <v>27</v>
      </c>
      <c r="J92" s="1"/>
      <c r="K92" s="1">
        <v>13000</v>
      </c>
      <c r="L92" s="2">
        <v>45343</v>
      </c>
    </row>
    <row r="93" spans="1:12" x14ac:dyDescent="0.35">
      <c r="A93" s="1" t="s">
        <v>199</v>
      </c>
      <c r="B93" s="1" t="s">
        <v>200</v>
      </c>
      <c r="C93" s="1" t="s">
        <v>14</v>
      </c>
      <c r="D93" s="1" t="s">
        <v>15</v>
      </c>
      <c r="E93" s="1" t="s">
        <v>46</v>
      </c>
      <c r="F93" s="1" t="s">
        <v>39</v>
      </c>
      <c r="G93" s="1" t="s">
        <v>36</v>
      </c>
      <c r="H93" s="1">
        <v>14709</v>
      </c>
      <c r="I93" s="1" t="s">
        <v>33</v>
      </c>
      <c r="J93" s="1">
        <v>0.3</v>
      </c>
      <c r="K93" s="1">
        <v>14000</v>
      </c>
      <c r="L93" s="2">
        <v>45296</v>
      </c>
    </row>
    <row r="94" spans="1:12" x14ac:dyDescent="0.35">
      <c r="A94" s="1" t="s">
        <v>201</v>
      </c>
      <c r="B94" s="1" t="s">
        <v>202</v>
      </c>
      <c r="C94" s="1" t="s">
        <v>30</v>
      </c>
      <c r="D94" s="1" t="s">
        <v>31</v>
      </c>
      <c r="E94" s="1" t="s">
        <v>32</v>
      </c>
      <c r="F94" s="1" t="s">
        <v>17</v>
      </c>
      <c r="G94" s="1" t="s">
        <v>36</v>
      </c>
      <c r="H94" s="1">
        <v>15432</v>
      </c>
      <c r="I94" s="1"/>
      <c r="J94" s="1"/>
      <c r="K94" s="1">
        <v>17000</v>
      </c>
      <c r="L94" s="2">
        <v>45315</v>
      </c>
    </row>
    <row r="95" spans="1:12" x14ac:dyDescent="0.35">
      <c r="A95" s="1" t="s">
        <v>203</v>
      </c>
      <c r="B95" s="1" t="s">
        <v>204</v>
      </c>
      <c r="C95" s="1" t="s">
        <v>61</v>
      </c>
      <c r="D95" s="1" t="s">
        <v>62</v>
      </c>
      <c r="E95" s="1" t="s">
        <v>16</v>
      </c>
      <c r="F95" s="1" t="s">
        <v>25</v>
      </c>
      <c r="G95" s="1" t="s">
        <v>36</v>
      </c>
      <c r="H95" s="1">
        <v>7721</v>
      </c>
      <c r="I95" s="1" t="s">
        <v>27</v>
      </c>
      <c r="J95" s="1"/>
      <c r="K95" s="1">
        <v>9000</v>
      </c>
      <c r="L95" s="2">
        <v>45333</v>
      </c>
    </row>
    <row r="96" spans="1:12" x14ac:dyDescent="0.35">
      <c r="A96" s="1" t="s">
        <v>205</v>
      </c>
      <c r="B96" s="1" t="s">
        <v>118</v>
      </c>
      <c r="C96" s="1" t="s">
        <v>61</v>
      </c>
      <c r="D96" s="1" t="s">
        <v>62</v>
      </c>
      <c r="E96" s="1" t="s">
        <v>46</v>
      </c>
      <c r="F96" s="1" t="s">
        <v>17</v>
      </c>
      <c r="G96" s="1" t="s">
        <v>26</v>
      </c>
      <c r="H96" s="1">
        <v>9426</v>
      </c>
      <c r="I96" s="1" t="s">
        <v>33</v>
      </c>
      <c r="J96" s="1">
        <v>0.3</v>
      </c>
      <c r="K96" s="1">
        <v>9000</v>
      </c>
      <c r="L96" s="2">
        <v>45312</v>
      </c>
    </row>
    <row r="97" spans="1:12" x14ac:dyDescent="0.35">
      <c r="A97" s="1" t="s">
        <v>206</v>
      </c>
      <c r="B97" s="1" t="s">
        <v>207</v>
      </c>
      <c r="C97" s="1" t="s">
        <v>14</v>
      </c>
      <c r="D97" s="1" t="s">
        <v>15</v>
      </c>
      <c r="E97" s="1" t="s">
        <v>46</v>
      </c>
      <c r="F97" s="1" t="s">
        <v>17</v>
      </c>
      <c r="G97" s="1" t="s">
        <v>18</v>
      </c>
      <c r="H97" s="1">
        <v>15073</v>
      </c>
      <c r="I97" s="1"/>
      <c r="J97" s="1"/>
      <c r="K97" s="1">
        <v>14000</v>
      </c>
      <c r="L97" s="2">
        <v>45328</v>
      </c>
    </row>
    <row r="98" spans="1:12" x14ac:dyDescent="0.35">
      <c r="A98" s="1" t="s">
        <v>208</v>
      </c>
      <c r="B98" s="1" t="s">
        <v>209</v>
      </c>
      <c r="C98" s="1" t="s">
        <v>61</v>
      </c>
      <c r="D98" s="1" t="s">
        <v>62</v>
      </c>
      <c r="E98" s="1" t="s">
        <v>46</v>
      </c>
      <c r="F98" s="1" t="s">
        <v>25</v>
      </c>
      <c r="G98" s="1" t="s">
        <v>36</v>
      </c>
      <c r="H98" s="1">
        <v>10485</v>
      </c>
      <c r="I98" s="1" t="s">
        <v>33</v>
      </c>
      <c r="J98" s="1">
        <v>0.3</v>
      </c>
      <c r="K98" s="1">
        <v>9000</v>
      </c>
      <c r="L98" s="2">
        <v>45303</v>
      </c>
    </row>
    <row r="99" spans="1:12" x14ac:dyDescent="0.35">
      <c r="A99" s="1" t="s">
        <v>210</v>
      </c>
      <c r="B99" s="1" t="s">
        <v>211</v>
      </c>
      <c r="C99" s="1" t="s">
        <v>30</v>
      </c>
      <c r="D99" s="1" t="s">
        <v>31</v>
      </c>
      <c r="E99" s="1" t="s">
        <v>46</v>
      </c>
      <c r="F99" s="1" t="s">
        <v>17</v>
      </c>
      <c r="G99" s="1" t="s">
        <v>36</v>
      </c>
      <c r="H99" s="1">
        <v>18605</v>
      </c>
      <c r="I99" s="1" t="s">
        <v>27</v>
      </c>
      <c r="J99" s="1"/>
      <c r="K99" s="1">
        <v>17000</v>
      </c>
      <c r="L99" s="2">
        <v>45336</v>
      </c>
    </row>
    <row r="100" spans="1:12" x14ac:dyDescent="0.35">
      <c r="A100" s="1" t="s">
        <v>212</v>
      </c>
      <c r="B100" s="1" t="s">
        <v>111</v>
      </c>
      <c r="C100" s="1" t="s">
        <v>14</v>
      </c>
      <c r="D100" s="1" t="s">
        <v>15</v>
      </c>
      <c r="E100" s="1" t="s">
        <v>16</v>
      </c>
      <c r="F100" s="1" t="s">
        <v>25</v>
      </c>
      <c r="G100" s="1" t="s">
        <v>18</v>
      </c>
      <c r="H100" s="1">
        <v>12988</v>
      </c>
      <c r="I100" s="1"/>
      <c r="J100" s="1"/>
      <c r="K100" s="1">
        <v>14000</v>
      </c>
      <c r="L100" s="2">
        <v>45323</v>
      </c>
    </row>
    <row r="101" spans="1:12" x14ac:dyDescent="0.35">
      <c r="A101" s="1" t="s">
        <v>213</v>
      </c>
      <c r="B101" s="1" t="s">
        <v>82</v>
      </c>
      <c r="C101" s="1" t="s">
        <v>44</v>
      </c>
      <c r="D101" s="1" t="s">
        <v>45</v>
      </c>
      <c r="E101" s="1" t="s">
        <v>16</v>
      </c>
      <c r="F101" s="1" t="s">
        <v>17</v>
      </c>
      <c r="G101" s="1" t="s">
        <v>26</v>
      </c>
      <c r="H101" s="1">
        <v>13915</v>
      </c>
      <c r="I101" s="1"/>
      <c r="J101" s="1"/>
      <c r="K101" s="1">
        <v>13000</v>
      </c>
      <c r="L101" s="2">
        <v>45320</v>
      </c>
    </row>
    <row r="102" spans="1:12" x14ac:dyDescent="0.35">
      <c r="A102" s="1" t="s">
        <v>214</v>
      </c>
      <c r="B102" s="1" t="s">
        <v>64</v>
      </c>
      <c r="C102" s="1" t="s">
        <v>14</v>
      </c>
      <c r="D102" s="1" t="s">
        <v>15</v>
      </c>
      <c r="E102" s="1" t="s">
        <v>46</v>
      </c>
      <c r="F102" s="1" t="s">
        <v>25</v>
      </c>
      <c r="G102" s="1" t="s">
        <v>36</v>
      </c>
      <c r="H102" s="1">
        <v>14833</v>
      </c>
      <c r="I102" s="1" t="s">
        <v>19</v>
      </c>
      <c r="J102" s="1">
        <v>0.2</v>
      </c>
      <c r="K102" s="1">
        <v>14000</v>
      </c>
      <c r="L102" s="2">
        <v>45311</v>
      </c>
    </row>
    <row r="103" spans="1:12" x14ac:dyDescent="0.35">
      <c r="A103" s="1" t="s">
        <v>215</v>
      </c>
      <c r="B103" s="1" t="s">
        <v>163</v>
      </c>
      <c r="C103" s="1" t="s">
        <v>30</v>
      </c>
      <c r="D103" s="1" t="s">
        <v>31</v>
      </c>
      <c r="E103" s="1" t="s">
        <v>46</v>
      </c>
      <c r="F103" s="1" t="s">
        <v>39</v>
      </c>
      <c r="G103" s="1" t="s">
        <v>26</v>
      </c>
      <c r="H103" s="1">
        <v>16408</v>
      </c>
      <c r="I103" s="1"/>
      <c r="J103" s="1"/>
      <c r="K103" s="1">
        <v>17000</v>
      </c>
      <c r="L103" s="2">
        <v>45339</v>
      </c>
    </row>
    <row r="104" spans="1:12" x14ac:dyDescent="0.35">
      <c r="A104" s="1" t="s">
        <v>216</v>
      </c>
      <c r="B104" s="1" t="s">
        <v>217</v>
      </c>
      <c r="C104" s="1" t="s">
        <v>30</v>
      </c>
      <c r="D104" s="1" t="s">
        <v>31</v>
      </c>
      <c r="E104" s="1" t="s">
        <v>16</v>
      </c>
      <c r="F104" s="1" t="s">
        <v>17</v>
      </c>
      <c r="G104" s="1" t="s">
        <v>36</v>
      </c>
      <c r="H104" s="1">
        <v>16255</v>
      </c>
      <c r="I104" s="1" t="s">
        <v>33</v>
      </c>
      <c r="J104" s="1">
        <v>0.3</v>
      </c>
      <c r="K104" s="1">
        <v>17000</v>
      </c>
      <c r="L104" s="2">
        <v>45306</v>
      </c>
    </row>
    <row r="105" spans="1:12" x14ac:dyDescent="0.35">
      <c r="A105" s="1" t="s">
        <v>218</v>
      </c>
      <c r="B105" s="1" t="s">
        <v>173</v>
      </c>
      <c r="C105" s="1" t="s">
        <v>44</v>
      </c>
      <c r="D105" s="1" t="s">
        <v>45</v>
      </c>
      <c r="E105" s="1" t="s">
        <v>46</v>
      </c>
      <c r="F105" s="1" t="s">
        <v>25</v>
      </c>
      <c r="G105" s="1" t="s">
        <v>26</v>
      </c>
      <c r="H105" s="1">
        <v>13194</v>
      </c>
      <c r="I105" s="1" t="s">
        <v>19</v>
      </c>
      <c r="J105" s="1">
        <v>0.2</v>
      </c>
      <c r="K105" s="1">
        <v>13000</v>
      </c>
      <c r="L105" s="2">
        <v>45304</v>
      </c>
    </row>
    <row r="106" spans="1:12" x14ac:dyDescent="0.35">
      <c r="A106" s="1" t="s">
        <v>219</v>
      </c>
      <c r="B106" s="1" t="s">
        <v>220</v>
      </c>
      <c r="C106" s="1" t="s">
        <v>61</v>
      </c>
      <c r="D106" s="1" t="s">
        <v>62</v>
      </c>
      <c r="E106" s="1" t="s">
        <v>46</v>
      </c>
      <c r="F106" s="1" t="s">
        <v>39</v>
      </c>
      <c r="G106" s="1" t="s">
        <v>26</v>
      </c>
      <c r="H106" s="1">
        <v>11000</v>
      </c>
      <c r="I106" s="1" t="s">
        <v>27</v>
      </c>
      <c r="J106" s="1"/>
      <c r="K106" s="1">
        <v>9000</v>
      </c>
      <c r="L106" s="2">
        <v>45330</v>
      </c>
    </row>
    <row r="107" spans="1:12" x14ac:dyDescent="0.35">
      <c r="A107" s="1" t="s">
        <v>221</v>
      </c>
      <c r="B107" s="1" t="s">
        <v>222</v>
      </c>
      <c r="C107" s="1" t="s">
        <v>44</v>
      </c>
      <c r="D107" s="1" t="s">
        <v>45</v>
      </c>
      <c r="E107" s="1" t="s">
        <v>46</v>
      </c>
      <c r="F107" s="1" t="s">
        <v>25</v>
      </c>
      <c r="G107" s="1" t="s">
        <v>36</v>
      </c>
      <c r="H107" s="1">
        <v>11734</v>
      </c>
      <c r="I107" s="1" t="s">
        <v>33</v>
      </c>
      <c r="J107" s="1">
        <v>0.3</v>
      </c>
      <c r="K107" s="1">
        <v>13000</v>
      </c>
      <c r="L107" s="2">
        <v>45292</v>
      </c>
    </row>
    <row r="108" spans="1:12" x14ac:dyDescent="0.35">
      <c r="A108" s="1" t="s">
        <v>223</v>
      </c>
      <c r="B108" s="1" t="s">
        <v>103</v>
      </c>
      <c r="C108" s="1" t="s">
        <v>44</v>
      </c>
      <c r="D108" s="1" t="s">
        <v>45</v>
      </c>
      <c r="E108" s="1" t="s">
        <v>46</v>
      </c>
      <c r="F108" s="1" t="s">
        <v>25</v>
      </c>
      <c r="G108" s="1" t="s">
        <v>18</v>
      </c>
      <c r="H108" s="1">
        <v>13266</v>
      </c>
      <c r="I108" s="1" t="s">
        <v>33</v>
      </c>
      <c r="J108" s="1">
        <v>0.3</v>
      </c>
      <c r="K108" s="1">
        <v>13000</v>
      </c>
      <c r="L108" s="2">
        <v>45336</v>
      </c>
    </row>
    <row r="109" spans="1:12" x14ac:dyDescent="0.35">
      <c r="A109" s="1" t="s">
        <v>224</v>
      </c>
      <c r="B109" s="1" t="s">
        <v>113</v>
      </c>
      <c r="C109" s="1" t="s">
        <v>61</v>
      </c>
      <c r="D109" s="1" t="s">
        <v>62</v>
      </c>
      <c r="E109" s="1" t="s">
        <v>32</v>
      </c>
      <c r="F109" s="1" t="s">
        <v>25</v>
      </c>
      <c r="G109" s="1" t="s">
        <v>26</v>
      </c>
      <c r="H109" s="1">
        <v>8164</v>
      </c>
      <c r="I109" s="1"/>
      <c r="J109" s="1"/>
      <c r="K109" s="1">
        <v>9000</v>
      </c>
      <c r="L109" s="2">
        <v>45322</v>
      </c>
    </row>
    <row r="110" spans="1:12" x14ac:dyDescent="0.35">
      <c r="A110" s="1" t="s">
        <v>225</v>
      </c>
      <c r="B110" s="1" t="s">
        <v>188</v>
      </c>
      <c r="C110" s="1" t="s">
        <v>44</v>
      </c>
      <c r="D110" s="1" t="s">
        <v>45</v>
      </c>
      <c r="E110" s="1" t="s">
        <v>32</v>
      </c>
      <c r="F110" s="1" t="s">
        <v>17</v>
      </c>
      <c r="G110" s="1" t="s">
        <v>36</v>
      </c>
      <c r="H110" s="1">
        <v>11467</v>
      </c>
      <c r="I110" s="1" t="s">
        <v>22</v>
      </c>
      <c r="J110" s="1">
        <v>0.1</v>
      </c>
      <c r="K110" s="1">
        <v>13000</v>
      </c>
      <c r="L110" s="2">
        <v>45317</v>
      </c>
    </row>
    <row r="111" spans="1:12" x14ac:dyDescent="0.35">
      <c r="A111" s="1" t="s">
        <v>226</v>
      </c>
      <c r="B111" s="1" t="s">
        <v>227</v>
      </c>
      <c r="C111" s="1" t="s">
        <v>14</v>
      </c>
      <c r="D111" s="1" t="s">
        <v>15</v>
      </c>
      <c r="E111" s="1" t="s">
        <v>32</v>
      </c>
      <c r="F111" s="1" t="s">
        <v>25</v>
      </c>
      <c r="G111" s="1" t="s">
        <v>26</v>
      </c>
      <c r="H111" s="1">
        <v>15887</v>
      </c>
      <c r="I111" s="1" t="s">
        <v>33</v>
      </c>
      <c r="J111" s="1">
        <v>0.3</v>
      </c>
      <c r="K111" s="1">
        <v>14000</v>
      </c>
      <c r="L111" s="2">
        <v>45297</v>
      </c>
    </row>
    <row r="112" spans="1:12" x14ac:dyDescent="0.35">
      <c r="A112" s="1" t="s">
        <v>228</v>
      </c>
      <c r="B112" s="1" t="s">
        <v>229</v>
      </c>
      <c r="C112" s="1" t="s">
        <v>61</v>
      </c>
      <c r="D112" s="1" t="s">
        <v>62</v>
      </c>
      <c r="E112" s="1" t="s">
        <v>16</v>
      </c>
      <c r="F112" s="1" t="s">
        <v>39</v>
      </c>
      <c r="G112" s="1" t="s">
        <v>26</v>
      </c>
      <c r="H112" s="1">
        <v>7924</v>
      </c>
      <c r="I112" s="1" t="s">
        <v>27</v>
      </c>
      <c r="J112" s="1"/>
      <c r="K112" s="1">
        <v>9000</v>
      </c>
      <c r="L112" s="2">
        <v>45316</v>
      </c>
    </row>
    <row r="113" spans="1:12" x14ac:dyDescent="0.35">
      <c r="A113" s="1" t="s">
        <v>230</v>
      </c>
      <c r="B113" s="1" t="s">
        <v>231</v>
      </c>
      <c r="C113" s="1" t="s">
        <v>30</v>
      </c>
      <c r="D113" s="1" t="s">
        <v>31</v>
      </c>
      <c r="E113" s="1" t="s">
        <v>16</v>
      </c>
      <c r="F113" s="1" t="s">
        <v>17</v>
      </c>
      <c r="G113" s="1" t="s">
        <v>36</v>
      </c>
      <c r="H113" s="1">
        <v>17329</v>
      </c>
      <c r="I113" s="1" t="s">
        <v>27</v>
      </c>
      <c r="J113" s="1"/>
      <c r="K113" s="1">
        <v>17000</v>
      </c>
      <c r="L113" s="2">
        <v>45295</v>
      </c>
    </row>
    <row r="114" spans="1:12" x14ac:dyDescent="0.35">
      <c r="A114" s="1" t="s">
        <v>232</v>
      </c>
      <c r="B114" s="1" t="s">
        <v>233</v>
      </c>
      <c r="C114" s="1" t="s">
        <v>14</v>
      </c>
      <c r="D114" s="1" t="s">
        <v>15</v>
      </c>
      <c r="E114" s="1" t="s">
        <v>32</v>
      </c>
      <c r="F114" s="1" t="s">
        <v>39</v>
      </c>
      <c r="G114" s="1" t="s">
        <v>18</v>
      </c>
      <c r="H114" s="1">
        <v>13083</v>
      </c>
      <c r="I114" s="1" t="s">
        <v>22</v>
      </c>
      <c r="J114" s="1">
        <v>0.1</v>
      </c>
      <c r="K114" s="1">
        <v>14000</v>
      </c>
      <c r="L114" s="2">
        <v>45302</v>
      </c>
    </row>
    <row r="115" spans="1:12" x14ac:dyDescent="0.35">
      <c r="A115" s="1" t="s">
        <v>234</v>
      </c>
      <c r="B115" s="1" t="s">
        <v>235</v>
      </c>
      <c r="C115" s="1" t="s">
        <v>14</v>
      </c>
      <c r="D115" s="1" t="s">
        <v>15</v>
      </c>
      <c r="E115" s="1" t="s">
        <v>32</v>
      </c>
      <c r="F115" s="1" t="s">
        <v>25</v>
      </c>
      <c r="G115" s="1" t="s">
        <v>36</v>
      </c>
      <c r="H115" s="1">
        <v>13845</v>
      </c>
      <c r="I115" s="1" t="s">
        <v>27</v>
      </c>
      <c r="J115" s="1"/>
      <c r="K115" s="1">
        <v>14000</v>
      </c>
      <c r="L115" s="2">
        <v>45322</v>
      </c>
    </row>
    <row r="116" spans="1:12" x14ac:dyDescent="0.35">
      <c r="A116" s="1" t="s">
        <v>236</v>
      </c>
      <c r="B116" s="1" t="s">
        <v>237</v>
      </c>
      <c r="C116" s="1" t="s">
        <v>44</v>
      </c>
      <c r="D116" s="1" t="s">
        <v>45</v>
      </c>
      <c r="E116" s="1" t="s">
        <v>46</v>
      </c>
      <c r="F116" s="1" t="s">
        <v>39</v>
      </c>
      <c r="G116" s="1" t="s">
        <v>36</v>
      </c>
      <c r="H116" s="1">
        <v>13879</v>
      </c>
      <c r="I116" s="1"/>
      <c r="J116" s="1"/>
      <c r="K116" s="1">
        <v>13000</v>
      </c>
      <c r="L116" s="2">
        <v>45296</v>
      </c>
    </row>
    <row r="117" spans="1:12" x14ac:dyDescent="0.35">
      <c r="A117" s="1" t="s">
        <v>238</v>
      </c>
      <c r="B117" s="1" t="s">
        <v>239</v>
      </c>
      <c r="C117" s="1" t="s">
        <v>30</v>
      </c>
      <c r="D117" s="1" t="s">
        <v>31</v>
      </c>
      <c r="E117" s="1" t="s">
        <v>16</v>
      </c>
      <c r="F117" s="1" t="s">
        <v>39</v>
      </c>
      <c r="G117" s="1" t="s">
        <v>26</v>
      </c>
      <c r="H117" s="1">
        <v>18292</v>
      </c>
      <c r="I117" s="1" t="s">
        <v>19</v>
      </c>
      <c r="J117" s="1">
        <v>0.2</v>
      </c>
      <c r="K117" s="1">
        <v>17000</v>
      </c>
      <c r="L117" s="2">
        <v>45319</v>
      </c>
    </row>
    <row r="118" spans="1:12" x14ac:dyDescent="0.35">
      <c r="A118" s="1" t="s">
        <v>240</v>
      </c>
      <c r="B118" s="1" t="s">
        <v>241</v>
      </c>
      <c r="C118" s="1" t="s">
        <v>44</v>
      </c>
      <c r="D118" s="1" t="s">
        <v>45</v>
      </c>
      <c r="E118" s="1" t="s">
        <v>16</v>
      </c>
      <c r="F118" s="1" t="s">
        <v>25</v>
      </c>
      <c r="G118" s="1" t="s">
        <v>36</v>
      </c>
      <c r="H118" s="1">
        <v>14385</v>
      </c>
      <c r="I118" s="1" t="s">
        <v>19</v>
      </c>
      <c r="J118" s="1">
        <v>0.2</v>
      </c>
      <c r="K118" s="1">
        <v>13000</v>
      </c>
      <c r="L118" s="2">
        <v>45296</v>
      </c>
    </row>
    <row r="119" spans="1:12" x14ac:dyDescent="0.35">
      <c r="A119" s="1" t="s">
        <v>242</v>
      </c>
      <c r="B119" s="1" t="s">
        <v>243</v>
      </c>
      <c r="C119" s="1" t="s">
        <v>30</v>
      </c>
      <c r="D119" s="1" t="s">
        <v>31</v>
      </c>
      <c r="E119" s="1" t="s">
        <v>16</v>
      </c>
      <c r="F119" s="1" t="s">
        <v>39</v>
      </c>
      <c r="G119" s="1" t="s">
        <v>26</v>
      </c>
      <c r="H119" s="1">
        <v>18773</v>
      </c>
      <c r="I119" s="1" t="s">
        <v>33</v>
      </c>
      <c r="J119" s="1">
        <v>0.3</v>
      </c>
      <c r="K119" s="1">
        <v>17000</v>
      </c>
      <c r="L119" s="2">
        <v>45320</v>
      </c>
    </row>
    <row r="120" spans="1:12" x14ac:dyDescent="0.35">
      <c r="A120" s="1" t="s">
        <v>244</v>
      </c>
      <c r="B120" s="1" t="s">
        <v>245</v>
      </c>
      <c r="C120" s="1" t="s">
        <v>30</v>
      </c>
      <c r="D120" s="1" t="s">
        <v>31</v>
      </c>
      <c r="E120" s="1" t="s">
        <v>16</v>
      </c>
      <c r="F120" s="1" t="s">
        <v>17</v>
      </c>
      <c r="G120" s="1" t="s">
        <v>36</v>
      </c>
      <c r="H120" s="1">
        <v>17049</v>
      </c>
      <c r="I120" s="1" t="s">
        <v>27</v>
      </c>
      <c r="J120" s="1"/>
      <c r="K120" s="1">
        <v>17000</v>
      </c>
      <c r="L120" s="2">
        <v>45323</v>
      </c>
    </row>
    <row r="121" spans="1:12" x14ac:dyDescent="0.35">
      <c r="A121" s="1" t="s">
        <v>246</v>
      </c>
      <c r="B121" s="1" t="s">
        <v>227</v>
      </c>
      <c r="C121" s="1" t="s">
        <v>14</v>
      </c>
      <c r="D121" s="1" t="s">
        <v>15</v>
      </c>
      <c r="E121" s="1" t="s">
        <v>46</v>
      </c>
      <c r="F121" s="1" t="s">
        <v>39</v>
      </c>
      <c r="G121" s="1" t="s">
        <v>36</v>
      </c>
      <c r="H121" s="1">
        <v>14472</v>
      </c>
      <c r="I121" s="1" t="s">
        <v>33</v>
      </c>
      <c r="J121" s="1">
        <v>0.3</v>
      </c>
      <c r="K121" s="1">
        <v>14000</v>
      </c>
      <c r="L121" s="2">
        <v>45293</v>
      </c>
    </row>
    <row r="122" spans="1:12" x14ac:dyDescent="0.35">
      <c r="A122" s="1" t="s">
        <v>247</v>
      </c>
      <c r="B122" s="1" t="s">
        <v>248</v>
      </c>
      <c r="C122" s="1" t="s">
        <v>14</v>
      </c>
      <c r="D122" s="1" t="s">
        <v>15</v>
      </c>
      <c r="E122" s="1" t="s">
        <v>16</v>
      </c>
      <c r="F122" s="1" t="s">
        <v>17</v>
      </c>
      <c r="G122" s="1" t="s">
        <v>26</v>
      </c>
      <c r="H122" s="1">
        <v>12164</v>
      </c>
      <c r="I122" s="1" t="s">
        <v>19</v>
      </c>
      <c r="J122" s="1">
        <v>0.2</v>
      </c>
      <c r="K122" s="1">
        <v>14000</v>
      </c>
      <c r="L122" s="2">
        <v>45322</v>
      </c>
    </row>
    <row r="123" spans="1:12" x14ac:dyDescent="0.35">
      <c r="A123" s="1" t="s">
        <v>249</v>
      </c>
      <c r="B123" s="1" t="s">
        <v>202</v>
      </c>
      <c r="C123" s="1" t="s">
        <v>61</v>
      </c>
      <c r="D123" s="1" t="s">
        <v>62</v>
      </c>
      <c r="E123" s="1" t="s">
        <v>46</v>
      </c>
      <c r="F123" s="1" t="s">
        <v>25</v>
      </c>
      <c r="G123" s="1" t="s">
        <v>26</v>
      </c>
      <c r="H123" s="1">
        <v>8785</v>
      </c>
      <c r="I123" s="1"/>
      <c r="J123" s="1"/>
      <c r="K123" s="1">
        <v>9000</v>
      </c>
      <c r="L123" s="2">
        <v>45297</v>
      </c>
    </row>
    <row r="124" spans="1:12" x14ac:dyDescent="0.35">
      <c r="A124" s="1" t="s">
        <v>250</v>
      </c>
      <c r="B124" s="1" t="s">
        <v>188</v>
      </c>
      <c r="C124" s="1" t="s">
        <v>61</v>
      </c>
      <c r="D124" s="1" t="s">
        <v>62</v>
      </c>
      <c r="E124" s="1" t="s">
        <v>46</v>
      </c>
      <c r="F124" s="1" t="s">
        <v>17</v>
      </c>
      <c r="G124" s="1" t="s">
        <v>26</v>
      </c>
      <c r="H124" s="1">
        <v>7428</v>
      </c>
      <c r="I124" s="1" t="s">
        <v>19</v>
      </c>
      <c r="J124" s="1">
        <v>0.2</v>
      </c>
      <c r="K124" s="1">
        <v>9000</v>
      </c>
      <c r="L124" s="2">
        <v>45313</v>
      </c>
    </row>
    <row r="125" spans="1:12" x14ac:dyDescent="0.35">
      <c r="A125" s="1" t="s">
        <v>251</v>
      </c>
      <c r="B125" s="1" t="s">
        <v>101</v>
      </c>
      <c r="C125" s="1" t="s">
        <v>61</v>
      </c>
      <c r="D125" s="1" t="s">
        <v>62</v>
      </c>
      <c r="E125" s="1" t="s">
        <v>46</v>
      </c>
      <c r="F125" s="1" t="s">
        <v>39</v>
      </c>
      <c r="G125" s="1" t="s">
        <v>36</v>
      </c>
      <c r="H125" s="1">
        <v>10332</v>
      </c>
      <c r="I125" s="1" t="s">
        <v>27</v>
      </c>
      <c r="J125" s="1"/>
      <c r="K125" s="1">
        <v>9000</v>
      </c>
      <c r="L125" s="2">
        <v>45294</v>
      </c>
    </row>
    <row r="126" spans="1:12" x14ac:dyDescent="0.35">
      <c r="A126" s="1" t="s">
        <v>252</v>
      </c>
      <c r="B126" s="1" t="s">
        <v>227</v>
      </c>
      <c r="C126" s="1" t="s">
        <v>30</v>
      </c>
      <c r="D126" s="1" t="s">
        <v>31</v>
      </c>
      <c r="E126" s="1" t="s">
        <v>46</v>
      </c>
      <c r="F126" s="1" t="s">
        <v>17</v>
      </c>
      <c r="G126" s="1" t="s">
        <v>18</v>
      </c>
      <c r="H126" s="1">
        <v>18973</v>
      </c>
      <c r="I126" s="1"/>
      <c r="J126" s="1"/>
      <c r="K126" s="1">
        <v>17000</v>
      </c>
      <c r="L126" s="2">
        <v>45347</v>
      </c>
    </row>
    <row r="127" spans="1:12" x14ac:dyDescent="0.35">
      <c r="A127" s="1" t="s">
        <v>253</v>
      </c>
      <c r="B127" s="1" t="s">
        <v>105</v>
      </c>
      <c r="C127" s="1" t="s">
        <v>14</v>
      </c>
      <c r="D127" s="1" t="s">
        <v>15</v>
      </c>
      <c r="E127" s="1" t="s">
        <v>16</v>
      </c>
      <c r="F127" s="1" t="s">
        <v>39</v>
      </c>
      <c r="G127" s="1" t="s">
        <v>36</v>
      </c>
      <c r="H127" s="1">
        <v>13692</v>
      </c>
      <c r="I127" s="1" t="s">
        <v>22</v>
      </c>
      <c r="J127" s="1">
        <v>0.1</v>
      </c>
      <c r="K127" s="1">
        <v>14000</v>
      </c>
      <c r="L127" s="2">
        <v>45304</v>
      </c>
    </row>
    <row r="128" spans="1:12" x14ac:dyDescent="0.35">
      <c r="A128" s="1" t="s">
        <v>254</v>
      </c>
      <c r="B128" s="1" t="s">
        <v>217</v>
      </c>
      <c r="C128" s="1" t="s">
        <v>61</v>
      </c>
      <c r="D128" s="1" t="s">
        <v>62</v>
      </c>
      <c r="E128" s="1" t="s">
        <v>16</v>
      </c>
      <c r="F128" s="1" t="s">
        <v>17</v>
      </c>
      <c r="G128" s="1" t="s">
        <v>18</v>
      </c>
      <c r="H128" s="1">
        <v>7833</v>
      </c>
      <c r="I128" s="1" t="s">
        <v>33</v>
      </c>
      <c r="J128" s="1">
        <v>0.3</v>
      </c>
      <c r="K128" s="1">
        <v>9000</v>
      </c>
      <c r="L128" s="2">
        <v>45327</v>
      </c>
    </row>
    <row r="129" spans="1:12" x14ac:dyDescent="0.35">
      <c r="A129" s="1" t="s">
        <v>255</v>
      </c>
      <c r="B129" s="1" t="s">
        <v>256</v>
      </c>
      <c r="C129" s="1" t="s">
        <v>61</v>
      </c>
      <c r="D129" s="1" t="s">
        <v>62</v>
      </c>
      <c r="E129" s="1" t="s">
        <v>16</v>
      </c>
      <c r="F129" s="1" t="s">
        <v>17</v>
      </c>
      <c r="G129" s="1" t="s">
        <v>18</v>
      </c>
      <c r="H129" s="1">
        <v>7118</v>
      </c>
      <c r="I129" s="1" t="s">
        <v>27</v>
      </c>
      <c r="J129" s="1"/>
      <c r="K129" s="1">
        <v>9000</v>
      </c>
      <c r="L129" s="2">
        <v>45343</v>
      </c>
    </row>
    <row r="130" spans="1:12" x14ac:dyDescent="0.35">
      <c r="A130" s="1" t="s">
        <v>257</v>
      </c>
      <c r="B130" s="1" t="s">
        <v>220</v>
      </c>
      <c r="C130" s="1" t="s">
        <v>44</v>
      </c>
      <c r="D130" s="1" t="s">
        <v>45</v>
      </c>
      <c r="E130" s="1" t="s">
        <v>46</v>
      </c>
      <c r="F130" s="1" t="s">
        <v>39</v>
      </c>
      <c r="G130" s="1" t="s">
        <v>18</v>
      </c>
      <c r="H130" s="1">
        <v>13262</v>
      </c>
      <c r="I130" s="1"/>
      <c r="J130" s="1"/>
      <c r="K130" s="1">
        <v>13000</v>
      </c>
      <c r="L130" s="2">
        <v>45297</v>
      </c>
    </row>
    <row r="131" spans="1:12" x14ac:dyDescent="0.35">
      <c r="A131" s="1" t="s">
        <v>258</v>
      </c>
      <c r="B131" s="1" t="s">
        <v>171</v>
      </c>
      <c r="C131" s="1" t="s">
        <v>14</v>
      </c>
      <c r="D131" s="1" t="s">
        <v>15</v>
      </c>
      <c r="E131" s="1" t="s">
        <v>46</v>
      </c>
      <c r="F131" s="1" t="s">
        <v>25</v>
      </c>
      <c r="G131" s="1" t="s">
        <v>26</v>
      </c>
      <c r="H131" s="1">
        <v>15408</v>
      </c>
      <c r="I131" s="1" t="s">
        <v>19</v>
      </c>
      <c r="J131" s="1">
        <v>0.2</v>
      </c>
      <c r="K131" s="1">
        <v>14000</v>
      </c>
      <c r="L131" s="2">
        <v>45323</v>
      </c>
    </row>
    <row r="132" spans="1:12" x14ac:dyDescent="0.35">
      <c r="A132" s="1" t="s">
        <v>259</v>
      </c>
      <c r="B132" s="1" t="s">
        <v>260</v>
      </c>
      <c r="C132" s="1" t="s">
        <v>30</v>
      </c>
      <c r="D132" s="1" t="s">
        <v>31</v>
      </c>
      <c r="E132" s="1" t="s">
        <v>16</v>
      </c>
      <c r="F132" s="1" t="s">
        <v>39</v>
      </c>
      <c r="G132" s="1" t="s">
        <v>36</v>
      </c>
      <c r="H132" s="1">
        <v>16701</v>
      </c>
      <c r="I132" s="1"/>
      <c r="J132" s="1"/>
      <c r="K132" s="1">
        <v>17000</v>
      </c>
      <c r="L132" s="2">
        <v>45322</v>
      </c>
    </row>
    <row r="133" spans="1:12" x14ac:dyDescent="0.35">
      <c r="A133" s="1" t="s">
        <v>261</v>
      </c>
      <c r="B133" s="1" t="s">
        <v>29</v>
      </c>
      <c r="C133" s="1" t="s">
        <v>44</v>
      </c>
      <c r="D133" s="1" t="s">
        <v>45</v>
      </c>
      <c r="E133" s="1" t="s">
        <v>46</v>
      </c>
      <c r="F133" s="1" t="s">
        <v>25</v>
      </c>
      <c r="G133" s="1" t="s">
        <v>26</v>
      </c>
      <c r="H133" s="1">
        <v>13081</v>
      </c>
      <c r="I133" s="1" t="s">
        <v>19</v>
      </c>
      <c r="J133" s="1">
        <v>0.2</v>
      </c>
      <c r="K133" s="1">
        <v>13000</v>
      </c>
      <c r="L133" s="2">
        <v>45347</v>
      </c>
    </row>
    <row r="134" spans="1:12" x14ac:dyDescent="0.35">
      <c r="A134" s="1" t="s">
        <v>262</v>
      </c>
      <c r="B134" s="1" t="s">
        <v>263</v>
      </c>
      <c r="C134" s="1" t="s">
        <v>61</v>
      </c>
      <c r="D134" s="1" t="s">
        <v>62</v>
      </c>
      <c r="E134" s="1" t="s">
        <v>46</v>
      </c>
      <c r="F134" s="1" t="s">
        <v>39</v>
      </c>
      <c r="G134" s="1" t="s">
        <v>36</v>
      </c>
      <c r="H134" s="1">
        <v>10360</v>
      </c>
      <c r="I134" s="1" t="s">
        <v>22</v>
      </c>
      <c r="J134" s="1">
        <v>0.1</v>
      </c>
      <c r="K134" s="1">
        <v>9000</v>
      </c>
      <c r="L134" s="2">
        <v>45310</v>
      </c>
    </row>
    <row r="135" spans="1:12" x14ac:dyDescent="0.35">
      <c r="A135" s="1" t="s">
        <v>264</v>
      </c>
      <c r="B135" s="1" t="s">
        <v>265</v>
      </c>
      <c r="C135" s="1" t="s">
        <v>61</v>
      </c>
      <c r="D135" s="1" t="s">
        <v>62</v>
      </c>
      <c r="E135" s="1" t="s">
        <v>32</v>
      </c>
      <c r="F135" s="1" t="s">
        <v>17</v>
      </c>
      <c r="G135" s="1" t="s">
        <v>26</v>
      </c>
      <c r="H135" s="1">
        <v>8983</v>
      </c>
      <c r="I135" s="1" t="s">
        <v>33</v>
      </c>
      <c r="J135" s="1">
        <v>0.3</v>
      </c>
      <c r="K135" s="1">
        <v>9000</v>
      </c>
      <c r="L135" s="2">
        <v>45313</v>
      </c>
    </row>
    <row r="136" spans="1:12" x14ac:dyDescent="0.35">
      <c r="A136" s="1" t="s">
        <v>266</v>
      </c>
      <c r="B136" s="1" t="s">
        <v>82</v>
      </c>
      <c r="C136" s="1" t="s">
        <v>61</v>
      </c>
      <c r="D136" s="1" t="s">
        <v>62</v>
      </c>
      <c r="E136" s="1" t="s">
        <v>46</v>
      </c>
      <c r="F136" s="1" t="s">
        <v>17</v>
      </c>
      <c r="G136" s="1" t="s">
        <v>18</v>
      </c>
      <c r="H136" s="1">
        <v>9856</v>
      </c>
      <c r="I136" s="1" t="s">
        <v>19</v>
      </c>
      <c r="J136" s="1">
        <v>0.2</v>
      </c>
      <c r="K136" s="1">
        <v>9000</v>
      </c>
      <c r="L136" s="2">
        <v>45328</v>
      </c>
    </row>
    <row r="137" spans="1:12" x14ac:dyDescent="0.35">
      <c r="A137" s="1" t="s">
        <v>267</v>
      </c>
      <c r="B137" s="1" t="s">
        <v>268</v>
      </c>
      <c r="C137" s="1" t="s">
        <v>61</v>
      </c>
      <c r="D137" s="1" t="s">
        <v>62</v>
      </c>
      <c r="E137" s="1" t="s">
        <v>32</v>
      </c>
      <c r="F137" s="1" t="s">
        <v>17</v>
      </c>
      <c r="G137" s="1" t="s">
        <v>26</v>
      </c>
      <c r="H137" s="1">
        <v>8937</v>
      </c>
      <c r="I137" s="1"/>
      <c r="J137" s="1"/>
      <c r="K137" s="1">
        <v>9000</v>
      </c>
      <c r="L137" s="2">
        <v>45316</v>
      </c>
    </row>
    <row r="138" spans="1:12" x14ac:dyDescent="0.35">
      <c r="A138" s="1" t="s">
        <v>269</v>
      </c>
      <c r="B138" s="1" t="s">
        <v>270</v>
      </c>
      <c r="C138" s="1" t="s">
        <v>44</v>
      </c>
      <c r="D138" s="1" t="s">
        <v>45</v>
      </c>
      <c r="E138" s="1" t="s">
        <v>46</v>
      </c>
      <c r="F138" s="1" t="s">
        <v>25</v>
      </c>
      <c r="G138" s="1" t="s">
        <v>18</v>
      </c>
      <c r="H138" s="1">
        <v>13057</v>
      </c>
      <c r="I138" s="1" t="s">
        <v>27</v>
      </c>
      <c r="J138" s="1"/>
      <c r="K138" s="1">
        <v>13000</v>
      </c>
      <c r="L138" s="2">
        <v>45313</v>
      </c>
    </row>
    <row r="139" spans="1:12" x14ac:dyDescent="0.35">
      <c r="A139" s="1" t="s">
        <v>271</v>
      </c>
      <c r="B139" s="1" t="s">
        <v>96</v>
      </c>
      <c r="C139" s="1" t="s">
        <v>61</v>
      </c>
      <c r="D139" s="1" t="s">
        <v>62</v>
      </c>
      <c r="E139" s="1" t="s">
        <v>32</v>
      </c>
      <c r="F139" s="1" t="s">
        <v>39</v>
      </c>
      <c r="G139" s="1" t="s">
        <v>36</v>
      </c>
      <c r="H139" s="1">
        <v>7062</v>
      </c>
      <c r="I139" s="1" t="s">
        <v>19</v>
      </c>
      <c r="J139" s="1">
        <v>0.2</v>
      </c>
      <c r="K139" s="1">
        <v>9000</v>
      </c>
      <c r="L139" s="2">
        <v>45318</v>
      </c>
    </row>
    <row r="140" spans="1:12" x14ac:dyDescent="0.35">
      <c r="A140" s="1" t="s">
        <v>272</v>
      </c>
      <c r="B140" s="1" t="s">
        <v>198</v>
      </c>
      <c r="C140" s="1" t="s">
        <v>44</v>
      </c>
      <c r="D140" s="1" t="s">
        <v>45</v>
      </c>
      <c r="E140" s="1" t="s">
        <v>32</v>
      </c>
      <c r="F140" s="1" t="s">
        <v>17</v>
      </c>
      <c r="G140" s="1" t="s">
        <v>36</v>
      </c>
      <c r="H140" s="1">
        <v>12386</v>
      </c>
      <c r="I140" s="1" t="s">
        <v>27</v>
      </c>
      <c r="J140" s="1"/>
      <c r="K140" s="1">
        <v>13000</v>
      </c>
      <c r="L140" s="2">
        <v>45336</v>
      </c>
    </row>
    <row r="141" spans="1:12" x14ac:dyDescent="0.35">
      <c r="A141" s="1" t="s">
        <v>273</v>
      </c>
      <c r="B141" s="1" t="s">
        <v>274</v>
      </c>
      <c r="C141" s="1" t="s">
        <v>14</v>
      </c>
      <c r="D141" s="1" t="s">
        <v>15</v>
      </c>
      <c r="E141" s="1" t="s">
        <v>46</v>
      </c>
      <c r="F141" s="1" t="s">
        <v>39</v>
      </c>
      <c r="G141" s="1" t="s">
        <v>26</v>
      </c>
      <c r="H141" s="1">
        <v>13556</v>
      </c>
      <c r="I141" s="1" t="s">
        <v>33</v>
      </c>
      <c r="J141" s="1">
        <v>0.3</v>
      </c>
      <c r="K141" s="1">
        <v>14000</v>
      </c>
      <c r="L141" s="2">
        <v>45332</v>
      </c>
    </row>
    <row r="142" spans="1:12" x14ac:dyDescent="0.35">
      <c r="A142" s="1" t="s">
        <v>275</v>
      </c>
      <c r="B142" s="1" t="s">
        <v>276</v>
      </c>
      <c r="C142" s="1" t="s">
        <v>61</v>
      </c>
      <c r="D142" s="1" t="s">
        <v>62</v>
      </c>
      <c r="E142" s="1" t="s">
        <v>16</v>
      </c>
      <c r="F142" s="1" t="s">
        <v>25</v>
      </c>
      <c r="G142" s="1" t="s">
        <v>26</v>
      </c>
      <c r="H142" s="1">
        <v>7280</v>
      </c>
      <c r="I142" s="1" t="s">
        <v>19</v>
      </c>
      <c r="J142" s="1">
        <v>0.2</v>
      </c>
      <c r="K142" s="1">
        <v>9000</v>
      </c>
      <c r="L142" s="2">
        <v>45332</v>
      </c>
    </row>
    <row r="143" spans="1:12" x14ac:dyDescent="0.35">
      <c r="A143" s="1" t="s">
        <v>277</v>
      </c>
      <c r="B143" s="1" t="s">
        <v>278</v>
      </c>
      <c r="C143" s="1" t="s">
        <v>44</v>
      </c>
      <c r="D143" s="1" t="s">
        <v>45</v>
      </c>
      <c r="E143" s="1" t="s">
        <v>16</v>
      </c>
      <c r="F143" s="1" t="s">
        <v>25</v>
      </c>
      <c r="G143" s="1" t="s">
        <v>36</v>
      </c>
      <c r="H143" s="1">
        <v>11403</v>
      </c>
      <c r="I143" s="1" t="s">
        <v>22</v>
      </c>
      <c r="J143" s="1">
        <v>0.1</v>
      </c>
      <c r="K143" s="1">
        <v>13000</v>
      </c>
      <c r="L143" s="2">
        <v>45320</v>
      </c>
    </row>
    <row r="144" spans="1:12" x14ac:dyDescent="0.35">
      <c r="A144" s="1" t="s">
        <v>279</v>
      </c>
      <c r="B144" s="1" t="s">
        <v>280</v>
      </c>
      <c r="C144" s="1" t="s">
        <v>30</v>
      </c>
      <c r="D144" s="1" t="s">
        <v>31</v>
      </c>
      <c r="E144" s="1" t="s">
        <v>32</v>
      </c>
      <c r="F144" s="1" t="s">
        <v>25</v>
      </c>
      <c r="G144" s="1" t="s">
        <v>36</v>
      </c>
      <c r="H144" s="1">
        <v>18261</v>
      </c>
      <c r="I144" s="1" t="s">
        <v>22</v>
      </c>
      <c r="J144" s="1">
        <v>0.1</v>
      </c>
      <c r="K144" s="1">
        <v>17000</v>
      </c>
      <c r="L144" s="2">
        <v>45310</v>
      </c>
    </row>
    <row r="145" spans="1:12" x14ac:dyDescent="0.35">
      <c r="A145" s="1" t="s">
        <v>281</v>
      </c>
      <c r="B145" s="1" t="s">
        <v>282</v>
      </c>
      <c r="C145" s="1" t="s">
        <v>61</v>
      </c>
      <c r="D145" s="1" t="s">
        <v>62</v>
      </c>
      <c r="E145" s="1" t="s">
        <v>32</v>
      </c>
      <c r="F145" s="1" t="s">
        <v>25</v>
      </c>
      <c r="G145" s="1" t="s">
        <v>26</v>
      </c>
      <c r="H145" s="1">
        <v>8687</v>
      </c>
      <c r="I145" s="1" t="s">
        <v>27</v>
      </c>
      <c r="J145" s="1"/>
      <c r="K145" s="1">
        <v>9000</v>
      </c>
      <c r="L145" s="2">
        <v>45335</v>
      </c>
    </row>
    <row r="146" spans="1:12" x14ac:dyDescent="0.35">
      <c r="A146" s="1" t="s">
        <v>283</v>
      </c>
      <c r="B146" s="1" t="s">
        <v>72</v>
      </c>
      <c r="C146" s="1" t="s">
        <v>44</v>
      </c>
      <c r="D146" s="1" t="s">
        <v>45</v>
      </c>
      <c r="E146" s="1" t="s">
        <v>32</v>
      </c>
      <c r="F146" s="1" t="s">
        <v>25</v>
      </c>
      <c r="G146" s="1" t="s">
        <v>26</v>
      </c>
      <c r="H146" s="1">
        <v>14566</v>
      </c>
      <c r="I146" s="1"/>
      <c r="J146" s="1"/>
      <c r="K146" s="1">
        <v>13000</v>
      </c>
      <c r="L146" s="2">
        <v>45331</v>
      </c>
    </row>
    <row r="147" spans="1:12" x14ac:dyDescent="0.35">
      <c r="A147" s="1" t="s">
        <v>284</v>
      </c>
      <c r="B147" s="1" t="s">
        <v>239</v>
      </c>
      <c r="C147" s="1" t="s">
        <v>61</v>
      </c>
      <c r="D147" s="1" t="s">
        <v>62</v>
      </c>
      <c r="E147" s="1" t="s">
        <v>16</v>
      </c>
      <c r="F147" s="1" t="s">
        <v>25</v>
      </c>
      <c r="G147" s="1" t="s">
        <v>18</v>
      </c>
      <c r="H147" s="1">
        <v>8888</v>
      </c>
      <c r="I147" s="1" t="s">
        <v>33</v>
      </c>
      <c r="J147" s="1">
        <v>0.3</v>
      </c>
      <c r="K147" s="1">
        <v>9000</v>
      </c>
      <c r="L147" s="2">
        <v>45321</v>
      </c>
    </row>
    <row r="148" spans="1:12" x14ac:dyDescent="0.35">
      <c r="A148" s="1" t="s">
        <v>285</v>
      </c>
      <c r="B148" s="1" t="s">
        <v>286</v>
      </c>
      <c r="C148" s="1" t="s">
        <v>14</v>
      </c>
      <c r="D148" s="1" t="s">
        <v>15</v>
      </c>
      <c r="E148" s="1" t="s">
        <v>46</v>
      </c>
      <c r="F148" s="1" t="s">
        <v>17</v>
      </c>
      <c r="G148" s="1" t="s">
        <v>26</v>
      </c>
      <c r="H148" s="1">
        <v>14238</v>
      </c>
      <c r="I148" s="1" t="s">
        <v>19</v>
      </c>
      <c r="J148" s="1">
        <v>0.2</v>
      </c>
      <c r="K148" s="1">
        <v>14000</v>
      </c>
      <c r="L148" s="2">
        <v>45296</v>
      </c>
    </row>
    <row r="149" spans="1:12" x14ac:dyDescent="0.35">
      <c r="A149" s="1" t="s">
        <v>287</v>
      </c>
      <c r="B149" s="1" t="s">
        <v>188</v>
      </c>
      <c r="C149" s="1" t="s">
        <v>30</v>
      </c>
      <c r="D149" s="1" t="s">
        <v>31</v>
      </c>
      <c r="E149" s="1" t="s">
        <v>16</v>
      </c>
      <c r="F149" s="1" t="s">
        <v>17</v>
      </c>
      <c r="G149" s="1" t="s">
        <v>26</v>
      </c>
      <c r="H149" s="1">
        <v>16024</v>
      </c>
      <c r="I149" s="1"/>
      <c r="J149" s="1"/>
      <c r="K149" s="1">
        <v>17000</v>
      </c>
      <c r="L149" s="2">
        <v>45346</v>
      </c>
    </row>
    <row r="150" spans="1:12" x14ac:dyDescent="0.35">
      <c r="A150" s="1" t="s">
        <v>288</v>
      </c>
      <c r="B150" s="1" t="s">
        <v>289</v>
      </c>
      <c r="C150" s="1" t="s">
        <v>61</v>
      </c>
      <c r="D150" s="1" t="s">
        <v>62</v>
      </c>
      <c r="E150" s="1" t="s">
        <v>46</v>
      </c>
      <c r="F150" s="1" t="s">
        <v>25</v>
      </c>
      <c r="G150" s="1" t="s">
        <v>18</v>
      </c>
      <c r="H150" s="1">
        <v>8562</v>
      </c>
      <c r="I150" s="1" t="s">
        <v>27</v>
      </c>
      <c r="J150" s="1"/>
      <c r="K150" s="1">
        <v>9000</v>
      </c>
      <c r="L150" s="2">
        <v>45314</v>
      </c>
    </row>
    <row r="151" spans="1:12" x14ac:dyDescent="0.35">
      <c r="A151" s="1" t="s">
        <v>290</v>
      </c>
      <c r="B151" s="1" t="s">
        <v>291</v>
      </c>
      <c r="C151" s="1" t="s">
        <v>30</v>
      </c>
      <c r="D151" s="1" t="s">
        <v>31</v>
      </c>
      <c r="E151" s="1" t="s">
        <v>32</v>
      </c>
      <c r="F151" s="1" t="s">
        <v>39</v>
      </c>
      <c r="G151" s="1" t="s">
        <v>36</v>
      </c>
      <c r="H151" s="1">
        <v>16124</v>
      </c>
      <c r="I151" s="1" t="s">
        <v>22</v>
      </c>
      <c r="J151" s="1">
        <v>0.1</v>
      </c>
      <c r="K151" s="1">
        <v>17000</v>
      </c>
      <c r="L151" s="2">
        <v>45328</v>
      </c>
    </row>
    <row r="152" spans="1:12" x14ac:dyDescent="0.35">
      <c r="A152" s="1" t="s">
        <v>292</v>
      </c>
      <c r="B152" s="1" t="s">
        <v>198</v>
      </c>
      <c r="C152" s="1" t="s">
        <v>14</v>
      </c>
      <c r="D152" s="1" t="s">
        <v>15</v>
      </c>
      <c r="E152" s="1" t="s">
        <v>16</v>
      </c>
      <c r="F152" s="1" t="s">
        <v>39</v>
      </c>
      <c r="G152" s="1" t="s">
        <v>36</v>
      </c>
      <c r="H152" s="1">
        <v>15411</v>
      </c>
      <c r="I152" s="1" t="s">
        <v>33</v>
      </c>
      <c r="J152" s="1">
        <v>0.3</v>
      </c>
      <c r="K152" s="1">
        <v>14000</v>
      </c>
      <c r="L152" s="2">
        <v>45341</v>
      </c>
    </row>
    <row r="153" spans="1:12" x14ac:dyDescent="0.35">
      <c r="A153" s="1" t="s">
        <v>293</v>
      </c>
      <c r="B153" s="1" t="s">
        <v>294</v>
      </c>
      <c r="C153" s="1" t="s">
        <v>30</v>
      </c>
      <c r="D153" s="1" t="s">
        <v>31</v>
      </c>
      <c r="E153" s="1" t="s">
        <v>32</v>
      </c>
      <c r="F153" s="1" t="s">
        <v>39</v>
      </c>
      <c r="G153" s="1" t="s">
        <v>18</v>
      </c>
      <c r="H153" s="1">
        <v>17543</v>
      </c>
      <c r="I153" s="1" t="s">
        <v>33</v>
      </c>
      <c r="J153" s="1">
        <v>0.3</v>
      </c>
      <c r="K153" s="1">
        <v>17000</v>
      </c>
      <c r="L153" s="2">
        <v>45335</v>
      </c>
    </row>
    <row r="154" spans="1:12" x14ac:dyDescent="0.35">
      <c r="A154" s="1" t="s">
        <v>295</v>
      </c>
      <c r="B154" s="1" t="s">
        <v>296</v>
      </c>
      <c r="C154" s="1" t="s">
        <v>44</v>
      </c>
      <c r="D154" s="1" t="s">
        <v>45</v>
      </c>
      <c r="E154" s="1" t="s">
        <v>16</v>
      </c>
      <c r="F154" s="1" t="s">
        <v>25</v>
      </c>
      <c r="G154" s="1" t="s">
        <v>26</v>
      </c>
      <c r="H154" s="1">
        <v>13647</v>
      </c>
      <c r="I154" s="1" t="s">
        <v>22</v>
      </c>
      <c r="J154" s="1">
        <v>0.1</v>
      </c>
      <c r="K154" s="1">
        <v>13000</v>
      </c>
      <c r="L154" s="2">
        <v>45311</v>
      </c>
    </row>
    <row r="155" spans="1:12" x14ac:dyDescent="0.35">
      <c r="A155" s="1" t="s">
        <v>297</v>
      </c>
      <c r="B155" s="1" t="s">
        <v>298</v>
      </c>
      <c r="C155" s="1" t="s">
        <v>14</v>
      </c>
      <c r="D155" s="1" t="s">
        <v>15</v>
      </c>
      <c r="E155" s="1" t="s">
        <v>16</v>
      </c>
      <c r="F155" s="1" t="s">
        <v>17</v>
      </c>
      <c r="G155" s="1" t="s">
        <v>26</v>
      </c>
      <c r="H155" s="1">
        <v>12538</v>
      </c>
      <c r="I155" s="1" t="s">
        <v>22</v>
      </c>
      <c r="J155" s="1">
        <v>0.1</v>
      </c>
      <c r="K155" s="1">
        <v>14000</v>
      </c>
      <c r="L155" s="2">
        <v>45350</v>
      </c>
    </row>
    <row r="156" spans="1:12" x14ac:dyDescent="0.35">
      <c r="A156" s="1" t="s">
        <v>299</v>
      </c>
      <c r="B156" s="1" t="s">
        <v>131</v>
      </c>
      <c r="C156" s="1" t="s">
        <v>61</v>
      </c>
      <c r="D156" s="1" t="s">
        <v>62</v>
      </c>
      <c r="E156" s="1" t="s">
        <v>32</v>
      </c>
      <c r="F156" s="1" t="s">
        <v>25</v>
      </c>
      <c r="G156" s="1" t="s">
        <v>18</v>
      </c>
      <c r="H156" s="1">
        <v>10221</v>
      </c>
      <c r="I156" s="1" t="s">
        <v>27</v>
      </c>
      <c r="J156" s="1"/>
      <c r="K156" s="1">
        <v>9000</v>
      </c>
      <c r="L156" s="2">
        <v>45348</v>
      </c>
    </row>
    <row r="157" spans="1:12" x14ac:dyDescent="0.35">
      <c r="A157" s="1" t="s">
        <v>300</v>
      </c>
      <c r="B157" s="1" t="s">
        <v>301</v>
      </c>
      <c r="C157" s="1" t="s">
        <v>30</v>
      </c>
      <c r="D157" s="1" t="s">
        <v>31</v>
      </c>
      <c r="E157" s="1" t="s">
        <v>32</v>
      </c>
      <c r="F157" s="1" t="s">
        <v>17</v>
      </c>
      <c r="G157" s="1" t="s">
        <v>36</v>
      </c>
      <c r="H157" s="1">
        <v>18962</v>
      </c>
      <c r="I157" s="1" t="s">
        <v>33</v>
      </c>
      <c r="J157" s="1">
        <v>0.3</v>
      </c>
      <c r="K157" s="1">
        <v>17000</v>
      </c>
      <c r="L157" s="2">
        <v>45339</v>
      </c>
    </row>
    <row r="158" spans="1:12" x14ac:dyDescent="0.35">
      <c r="A158" s="1" t="s">
        <v>302</v>
      </c>
      <c r="B158" s="1" t="s">
        <v>303</v>
      </c>
      <c r="C158" s="1" t="s">
        <v>14</v>
      </c>
      <c r="D158" s="1" t="s">
        <v>15</v>
      </c>
      <c r="E158" s="1" t="s">
        <v>46</v>
      </c>
      <c r="F158" s="1" t="s">
        <v>25</v>
      </c>
      <c r="G158" s="1" t="s">
        <v>18</v>
      </c>
      <c r="H158" s="1">
        <v>15089</v>
      </c>
      <c r="I158" s="1" t="s">
        <v>19</v>
      </c>
      <c r="J158" s="1">
        <v>0.2</v>
      </c>
      <c r="K158" s="1">
        <v>14000</v>
      </c>
      <c r="L158" s="2">
        <v>45347</v>
      </c>
    </row>
    <row r="159" spans="1:12" x14ac:dyDescent="0.35">
      <c r="A159" s="1" t="s">
        <v>304</v>
      </c>
      <c r="B159" s="1" t="s">
        <v>305</v>
      </c>
      <c r="C159" s="1" t="s">
        <v>61</v>
      </c>
      <c r="D159" s="1" t="s">
        <v>62</v>
      </c>
      <c r="E159" s="1" t="s">
        <v>16</v>
      </c>
      <c r="F159" s="1" t="s">
        <v>17</v>
      </c>
      <c r="G159" s="1" t="s">
        <v>18</v>
      </c>
      <c r="H159" s="1">
        <v>10238</v>
      </c>
      <c r="I159" s="1"/>
      <c r="J159" s="1"/>
      <c r="K159" s="1">
        <v>9000</v>
      </c>
      <c r="L159" s="2">
        <v>45292</v>
      </c>
    </row>
    <row r="160" spans="1:12" x14ac:dyDescent="0.35">
      <c r="A160" s="1" t="s">
        <v>306</v>
      </c>
      <c r="B160" s="1" t="s">
        <v>307</v>
      </c>
      <c r="C160" s="1" t="s">
        <v>14</v>
      </c>
      <c r="D160" s="1" t="s">
        <v>15</v>
      </c>
      <c r="E160" s="1" t="s">
        <v>46</v>
      </c>
      <c r="F160" s="1" t="s">
        <v>17</v>
      </c>
      <c r="G160" s="1" t="s">
        <v>26</v>
      </c>
      <c r="H160" s="1">
        <v>15067</v>
      </c>
      <c r="I160" s="1" t="s">
        <v>33</v>
      </c>
      <c r="J160" s="1">
        <v>0.3</v>
      </c>
      <c r="K160" s="1">
        <v>14000</v>
      </c>
      <c r="L160" s="2">
        <v>45329</v>
      </c>
    </row>
    <row r="161" spans="1:12" x14ac:dyDescent="0.35">
      <c r="A161" s="1" t="s">
        <v>308</v>
      </c>
      <c r="B161" s="1" t="s">
        <v>309</v>
      </c>
      <c r="C161" s="1" t="s">
        <v>30</v>
      </c>
      <c r="D161" s="1" t="s">
        <v>31</v>
      </c>
      <c r="E161" s="1" t="s">
        <v>32</v>
      </c>
      <c r="F161" s="1" t="s">
        <v>39</v>
      </c>
      <c r="G161" s="1" t="s">
        <v>18</v>
      </c>
      <c r="H161" s="1">
        <v>16931</v>
      </c>
      <c r="I161" s="1" t="s">
        <v>22</v>
      </c>
      <c r="J161" s="1">
        <v>0.1</v>
      </c>
      <c r="K161" s="1">
        <v>17000</v>
      </c>
      <c r="L161" s="2">
        <v>45331</v>
      </c>
    </row>
    <row r="162" spans="1:12" x14ac:dyDescent="0.35">
      <c r="A162" s="1" t="s">
        <v>310</v>
      </c>
      <c r="B162" s="1" t="s">
        <v>84</v>
      </c>
      <c r="C162" s="1" t="s">
        <v>30</v>
      </c>
      <c r="D162" s="1" t="s">
        <v>31</v>
      </c>
      <c r="E162" s="1" t="s">
        <v>16</v>
      </c>
      <c r="F162" s="1" t="s">
        <v>25</v>
      </c>
      <c r="G162" s="1" t="s">
        <v>26</v>
      </c>
      <c r="H162" s="1">
        <v>15258</v>
      </c>
      <c r="I162" s="1"/>
      <c r="J162" s="1"/>
      <c r="K162" s="1">
        <v>17000</v>
      </c>
      <c r="L162" s="2">
        <v>45350</v>
      </c>
    </row>
    <row r="163" spans="1:12" x14ac:dyDescent="0.35">
      <c r="A163" s="1" t="s">
        <v>311</v>
      </c>
      <c r="B163" s="1" t="s">
        <v>265</v>
      </c>
      <c r="C163" s="1" t="s">
        <v>61</v>
      </c>
      <c r="D163" s="1" t="s">
        <v>62</v>
      </c>
      <c r="E163" s="1" t="s">
        <v>32</v>
      </c>
      <c r="F163" s="1" t="s">
        <v>25</v>
      </c>
      <c r="G163" s="1" t="s">
        <v>18</v>
      </c>
      <c r="H163" s="1">
        <v>10875</v>
      </c>
      <c r="I163" s="1" t="s">
        <v>22</v>
      </c>
      <c r="J163" s="1">
        <v>0.1</v>
      </c>
      <c r="K163" s="1">
        <v>9000</v>
      </c>
      <c r="L163" s="2">
        <v>45311</v>
      </c>
    </row>
    <row r="164" spans="1:12" x14ac:dyDescent="0.35">
      <c r="A164" s="1" t="s">
        <v>312</v>
      </c>
      <c r="B164" s="1" t="s">
        <v>227</v>
      </c>
      <c r="C164" s="1" t="s">
        <v>14</v>
      </c>
      <c r="D164" s="1" t="s">
        <v>15</v>
      </c>
      <c r="E164" s="1" t="s">
        <v>32</v>
      </c>
      <c r="F164" s="1" t="s">
        <v>39</v>
      </c>
      <c r="G164" s="1" t="s">
        <v>18</v>
      </c>
      <c r="H164" s="1">
        <v>13591</v>
      </c>
      <c r="I164" s="1"/>
      <c r="J164" s="1"/>
      <c r="K164" s="1">
        <v>14000</v>
      </c>
      <c r="L164" s="2">
        <v>45315</v>
      </c>
    </row>
    <row r="165" spans="1:12" x14ac:dyDescent="0.35">
      <c r="A165" s="1" t="s">
        <v>313</v>
      </c>
      <c r="B165" s="1" t="s">
        <v>305</v>
      </c>
      <c r="C165" s="1" t="s">
        <v>61</v>
      </c>
      <c r="D165" s="1" t="s">
        <v>62</v>
      </c>
      <c r="E165" s="1" t="s">
        <v>16</v>
      </c>
      <c r="F165" s="1" t="s">
        <v>39</v>
      </c>
      <c r="G165" s="1" t="s">
        <v>26</v>
      </c>
      <c r="H165" s="1">
        <v>7632</v>
      </c>
      <c r="I165" s="1"/>
      <c r="J165" s="1"/>
      <c r="K165" s="1">
        <v>9000</v>
      </c>
      <c r="L165" s="2">
        <v>45333</v>
      </c>
    </row>
    <row r="166" spans="1:12" x14ac:dyDescent="0.35">
      <c r="A166" s="1" t="s">
        <v>314</v>
      </c>
      <c r="B166" s="1" t="s">
        <v>159</v>
      </c>
      <c r="C166" s="1" t="s">
        <v>61</v>
      </c>
      <c r="D166" s="1" t="s">
        <v>62</v>
      </c>
      <c r="E166" s="1" t="s">
        <v>16</v>
      </c>
      <c r="F166" s="1" t="s">
        <v>17</v>
      </c>
      <c r="G166" s="1" t="s">
        <v>36</v>
      </c>
      <c r="H166" s="1">
        <v>7134</v>
      </c>
      <c r="I166" s="1" t="s">
        <v>33</v>
      </c>
      <c r="J166" s="1">
        <v>0.3</v>
      </c>
      <c r="K166" s="1">
        <v>9000</v>
      </c>
      <c r="L166" s="2">
        <v>45305</v>
      </c>
    </row>
    <row r="167" spans="1:12" x14ac:dyDescent="0.35">
      <c r="A167" s="1" t="s">
        <v>315</v>
      </c>
      <c r="B167" s="1" t="s">
        <v>231</v>
      </c>
      <c r="C167" s="1" t="s">
        <v>44</v>
      </c>
      <c r="D167" s="1" t="s">
        <v>45</v>
      </c>
      <c r="E167" s="1" t="s">
        <v>46</v>
      </c>
      <c r="F167" s="1" t="s">
        <v>25</v>
      </c>
      <c r="G167" s="1" t="s">
        <v>26</v>
      </c>
      <c r="H167" s="1">
        <v>12504</v>
      </c>
      <c r="I167" s="1" t="s">
        <v>27</v>
      </c>
      <c r="J167" s="1"/>
      <c r="K167" s="1">
        <v>13000</v>
      </c>
      <c r="L167" s="2">
        <v>45349</v>
      </c>
    </row>
    <row r="168" spans="1:12" x14ac:dyDescent="0.35">
      <c r="A168" s="1" t="s">
        <v>316</v>
      </c>
      <c r="B168" s="1" t="s">
        <v>317</v>
      </c>
      <c r="C168" s="1" t="s">
        <v>14</v>
      </c>
      <c r="D168" s="1" t="s">
        <v>15</v>
      </c>
      <c r="E168" s="1" t="s">
        <v>46</v>
      </c>
      <c r="F168" s="1" t="s">
        <v>17</v>
      </c>
      <c r="G168" s="1" t="s">
        <v>18</v>
      </c>
      <c r="H168" s="1">
        <v>15965</v>
      </c>
      <c r="I168" s="1" t="s">
        <v>22</v>
      </c>
      <c r="J168" s="1">
        <v>0.1</v>
      </c>
      <c r="K168" s="1">
        <v>14000</v>
      </c>
      <c r="L168" s="2">
        <v>45352</v>
      </c>
    </row>
    <row r="169" spans="1:12" x14ac:dyDescent="0.35">
      <c r="A169" s="1" t="s">
        <v>318</v>
      </c>
      <c r="B169" s="1" t="s">
        <v>319</v>
      </c>
      <c r="C169" s="1" t="s">
        <v>61</v>
      </c>
      <c r="D169" s="1" t="s">
        <v>62</v>
      </c>
      <c r="E169" s="1" t="s">
        <v>32</v>
      </c>
      <c r="F169" s="1" t="s">
        <v>39</v>
      </c>
      <c r="G169" s="1" t="s">
        <v>18</v>
      </c>
      <c r="H169" s="1">
        <v>9628</v>
      </c>
      <c r="I169" s="1" t="s">
        <v>27</v>
      </c>
      <c r="J169" s="1"/>
      <c r="K169" s="1">
        <v>9000</v>
      </c>
      <c r="L169" s="2">
        <v>45293</v>
      </c>
    </row>
    <row r="170" spans="1:12" x14ac:dyDescent="0.35">
      <c r="A170" s="1" t="s">
        <v>320</v>
      </c>
      <c r="B170" s="1" t="s">
        <v>321</v>
      </c>
      <c r="C170" s="1" t="s">
        <v>30</v>
      </c>
      <c r="D170" s="1" t="s">
        <v>31</v>
      </c>
      <c r="E170" s="1" t="s">
        <v>32</v>
      </c>
      <c r="F170" s="1" t="s">
        <v>25</v>
      </c>
      <c r="G170" s="1" t="s">
        <v>26</v>
      </c>
      <c r="H170" s="1">
        <v>15840</v>
      </c>
      <c r="I170" s="1" t="s">
        <v>22</v>
      </c>
      <c r="J170" s="1">
        <v>0.1</v>
      </c>
      <c r="K170" s="1">
        <v>17000</v>
      </c>
      <c r="L170" s="2">
        <v>45345</v>
      </c>
    </row>
    <row r="171" spans="1:12" x14ac:dyDescent="0.35">
      <c r="A171" s="1" t="s">
        <v>322</v>
      </c>
      <c r="B171" s="1" t="s">
        <v>133</v>
      </c>
      <c r="C171" s="1" t="s">
        <v>44</v>
      </c>
      <c r="D171" s="1" t="s">
        <v>45</v>
      </c>
      <c r="E171" s="1" t="s">
        <v>16</v>
      </c>
      <c r="F171" s="1" t="s">
        <v>25</v>
      </c>
      <c r="G171" s="1" t="s">
        <v>18</v>
      </c>
      <c r="H171" s="1">
        <v>12345</v>
      </c>
      <c r="I171" s="1" t="s">
        <v>19</v>
      </c>
      <c r="J171" s="1">
        <v>0.2</v>
      </c>
      <c r="K171" s="1">
        <v>13000</v>
      </c>
      <c r="L171" s="2">
        <v>45342</v>
      </c>
    </row>
    <row r="172" spans="1:12" x14ac:dyDescent="0.35">
      <c r="A172" s="1" t="s">
        <v>323</v>
      </c>
      <c r="B172" s="1" t="s">
        <v>60</v>
      </c>
      <c r="C172" s="1" t="s">
        <v>14</v>
      </c>
      <c r="D172" s="1" t="s">
        <v>15</v>
      </c>
      <c r="E172" s="1" t="s">
        <v>46</v>
      </c>
      <c r="F172" s="1" t="s">
        <v>25</v>
      </c>
      <c r="G172" s="1" t="s">
        <v>18</v>
      </c>
      <c r="H172" s="1">
        <v>14212</v>
      </c>
      <c r="I172" s="1" t="s">
        <v>33</v>
      </c>
      <c r="J172" s="1">
        <v>0.3</v>
      </c>
      <c r="K172" s="1">
        <v>14000</v>
      </c>
      <c r="L172" s="2">
        <v>45343</v>
      </c>
    </row>
    <row r="173" spans="1:12" x14ac:dyDescent="0.35">
      <c r="A173" s="1" t="s">
        <v>324</v>
      </c>
      <c r="B173" s="1" t="s">
        <v>325</v>
      </c>
      <c r="C173" s="1" t="s">
        <v>14</v>
      </c>
      <c r="D173" s="1" t="s">
        <v>15</v>
      </c>
      <c r="E173" s="1" t="s">
        <v>32</v>
      </c>
      <c r="F173" s="1" t="s">
        <v>25</v>
      </c>
      <c r="G173" s="1" t="s">
        <v>36</v>
      </c>
      <c r="H173" s="1">
        <v>15235</v>
      </c>
      <c r="I173" s="1" t="s">
        <v>19</v>
      </c>
      <c r="J173" s="1">
        <v>0.2</v>
      </c>
      <c r="K173" s="1">
        <v>14000</v>
      </c>
      <c r="L173" s="2">
        <v>45329</v>
      </c>
    </row>
    <row r="174" spans="1:12" x14ac:dyDescent="0.35">
      <c r="A174" s="1" t="s">
        <v>326</v>
      </c>
      <c r="B174" s="1" t="s">
        <v>327</v>
      </c>
      <c r="C174" s="1" t="s">
        <v>44</v>
      </c>
      <c r="D174" s="1" t="s">
        <v>45</v>
      </c>
      <c r="E174" s="1" t="s">
        <v>46</v>
      </c>
      <c r="F174" s="1" t="s">
        <v>25</v>
      </c>
      <c r="G174" s="1" t="s">
        <v>18</v>
      </c>
      <c r="H174" s="1">
        <v>14038</v>
      </c>
      <c r="I174" s="1"/>
      <c r="J174" s="1"/>
      <c r="K174" s="1">
        <v>13000</v>
      </c>
      <c r="L174" s="2">
        <v>45325</v>
      </c>
    </row>
    <row r="175" spans="1:12" x14ac:dyDescent="0.35">
      <c r="A175" s="1" t="s">
        <v>328</v>
      </c>
      <c r="B175" s="1" t="s">
        <v>173</v>
      </c>
      <c r="C175" s="1" t="s">
        <v>14</v>
      </c>
      <c r="D175" s="1" t="s">
        <v>15</v>
      </c>
      <c r="E175" s="1" t="s">
        <v>46</v>
      </c>
      <c r="F175" s="1" t="s">
        <v>17</v>
      </c>
      <c r="G175" s="1" t="s">
        <v>36</v>
      </c>
      <c r="H175" s="1">
        <v>14102</v>
      </c>
      <c r="I175" s="1" t="s">
        <v>27</v>
      </c>
      <c r="J175" s="1"/>
      <c r="K175" s="1">
        <v>14000</v>
      </c>
      <c r="L175" s="2">
        <v>45298</v>
      </c>
    </row>
    <row r="176" spans="1:12" x14ac:dyDescent="0.35">
      <c r="A176" s="1" t="s">
        <v>329</v>
      </c>
      <c r="B176" s="1" t="s">
        <v>330</v>
      </c>
      <c r="C176" s="1" t="s">
        <v>44</v>
      </c>
      <c r="D176" s="1" t="s">
        <v>45</v>
      </c>
      <c r="E176" s="1" t="s">
        <v>16</v>
      </c>
      <c r="F176" s="1" t="s">
        <v>25</v>
      </c>
      <c r="G176" s="1" t="s">
        <v>26</v>
      </c>
      <c r="H176" s="1">
        <v>14208</v>
      </c>
      <c r="I176" s="1" t="s">
        <v>27</v>
      </c>
      <c r="J176" s="1"/>
      <c r="K176" s="1">
        <v>13000</v>
      </c>
      <c r="L176" s="2">
        <v>45311</v>
      </c>
    </row>
    <row r="177" spans="1:12" x14ac:dyDescent="0.35">
      <c r="A177" s="1" t="s">
        <v>331</v>
      </c>
      <c r="B177" s="1" t="s">
        <v>332</v>
      </c>
      <c r="C177" s="1" t="s">
        <v>14</v>
      </c>
      <c r="D177" s="1" t="s">
        <v>15</v>
      </c>
      <c r="E177" s="1" t="s">
        <v>32</v>
      </c>
      <c r="F177" s="1" t="s">
        <v>17</v>
      </c>
      <c r="G177" s="1" t="s">
        <v>36</v>
      </c>
      <c r="H177" s="1">
        <v>13746</v>
      </c>
      <c r="I177" s="1" t="s">
        <v>22</v>
      </c>
      <c r="J177" s="1">
        <v>0.1</v>
      </c>
      <c r="K177" s="1">
        <v>14000</v>
      </c>
      <c r="L177" s="2">
        <v>45323</v>
      </c>
    </row>
    <row r="178" spans="1:12" x14ac:dyDescent="0.35">
      <c r="A178" s="1" t="s">
        <v>333</v>
      </c>
      <c r="B178" s="1" t="s">
        <v>334</v>
      </c>
      <c r="C178" s="1" t="s">
        <v>14</v>
      </c>
      <c r="D178" s="1" t="s">
        <v>15</v>
      </c>
      <c r="E178" s="1" t="s">
        <v>32</v>
      </c>
      <c r="F178" s="1" t="s">
        <v>17</v>
      </c>
      <c r="G178" s="1" t="s">
        <v>26</v>
      </c>
      <c r="H178" s="1">
        <v>12607</v>
      </c>
      <c r="I178" s="1" t="s">
        <v>22</v>
      </c>
      <c r="J178" s="1">
        <v>0.1</v>
      </c>
      <c r="K178" s="1">
        <v>14000</v>
      </c>
      <c r="L178" s="2">
        <v>45300</v>
      </c>
    </row>
    <row r="179" spans="1:12" x14ac:dyDescent="0.35">
      <c r="A179" s="1" t="s">
        <v>335</v>
      </c>
      <c r="B179" s="1" t="s">
        <v>118</v>
      </c>
      <c r="C179" s="1" t="s">
        <v>30</v>
      </c>
      <c r="D179" s="1" t="s">
        <v>31</v>
      </c>
      <c r="E179" s="1" t="s">
        <v>46</v>
      </c>
      <c r="F179" s="1" t="s">
        <v>39</v>
      </c>
      <c r="G179" s="1" t="s">
        <v>26</v>
      </c>
      <c r="H179" s="1">
        <v>16207</v>
      </c>
      <c r="I179" s="1"/>
      <c r="J179" s="1"/>
      <c r="K179" s="1">
        <v>17000</v>
      </c>
      <c r="L179" s="2">
        <v>45324</v>
      </c>
    </row>
    <row r="180" spans="1:12" x14ac:dyDescent="0.35">
      <c r="A180" s="1" t="s">
        <v>336</v>
      </c>
      <c r="B180" s="1" t="s">
        <v>337</v>
      </c>
      <c r="C180" s="1" t="s">
        <v>14</v>
      </c>
      <c r="D180" s="1" t="s">
        <v>15</v>
      </c>
      <c r="E180" s="1" t="s">
        <v>16</v>
      </c>
      <c r="F180" s="1" t="s">
        <v>25</v>
      </c>
      <c r="G180" s="1" t="s">
        <v>26</v>
      </c>
      <c r="H180" s="1">
        <v>14666</v>
      </c>
      <c r="I180" s="1" t="s">
        <v>27</v>
      </c>
      <c r="J180" s="1"/>
      <c r="K180" s="1">
        <v>14000</v>
      </c>
      <c r="L180" s="2">
        <v>45338</v>
      </c>
    </row>
    <row r="181" spans="1:12" x14ac:dyDescent="0.35">
      <c r="A181" s="1" t="s">
        <v>338</v>
      </c>
      <c r="B181" s="1" t="s">
        <v>207</v>
      </c>
      <c r="C181" s="1" t="s">
        <v>61</v>
      </c>
      <c r="D181" s="1" t="s">
        <v>62</v>
      </c>
      <c r="E181" s="1" t="s">
        <v>46</v>
      </c>
      <c r="F181" s="1" t="s">
        <v>25</v>
      </c>
      <c r="G181" s="1" t="s">
        <v>36</v>
      </c>
      <c r="H181" s="1">
        <v>8388</v>
      </c>
      <c r="I181" s="1"/>
      <c r="J181" s="1"/>
      <c r="K181" s="1">
        <v>9000</v>
      </c>
      <c r="L181" s="2">
        <v>45317</v>
      </c>
    </row>
    <row r="182" spans="1:12" x14ac:dyDescent="0.35">
      <c r="A182" s="1" t="s">
        <v>339</v>
      </c>
      <c r="B182" s="1" t="s">
        <v>101</v>
      </c>
      <c r="C182" s="1" t="s">
        <v>14</v>
      </c>
      <c r="D182" s="1" t="s">
        <v>15</v>
      </c>
      <c r="E182" s="1" t="s">
        <v>46</v>
      </c>
      <c r="F182" s="1" t="s">
        <v>17</v>
      </c>
      <c r="G182" s="1" t="s">
        <v>36</v>
      </c>
      <c r="H182" s="1">
        <v>14724</v>
      </c>
      <c r="I182" s="1" t="s">
        <v>33</v>
      </c>
      <c r="J182" s="1">
        <v>0.3</v>
      </c>
      <c r="K182" s="1">
        <v>14000</v>
      </c>
      <c r="L182" s="2">
        <v>45315</v>
      </c>
    </row>
    <row r="183" spans="1:12" x14ac:dyDescent="0.35">
      <c r="A183" s="1" t="s">
        <v>340</v>
      </c>
      <c r="B183" s="1" t="s">
        <v>113</v>
      </c>
      <c r="C183" s="1" t="s">
        <v>61</v>
      </c>
      <c r="D183" s="1" t="s">
        <v>62</v>
      </c>
      <c r="E183" s="1" t="s">
        <v>32</v>
      </c>
      <c r="F183" s="1" t="s">
        <v>25</v>
      </c>
      <c r="G183" s="1" t="s">
        <v>18</v>
      </c>
      <c r="H183" s="1">
        <v>7381</v>
      </c>
      <c r="I183" s="1"/>
      <c r="J183" s="1"/>
      <c r="K183" s="1">
        <v>9000</v>
      </c>
      <c r="L183" s="2">
        <v>45298</v>
      </c>
    </row>
    <row r="184" spans="1:12" x14ac:dyDescent="0.35">
      <c r="A184" s="1" t="s">
        <v>341</v>
      </c>
      <c r="B184" s="1" t="s">
        <v>342</v>
      </c>
      <c r="C184" s="1" t="s">
        <v>30</v>
      </c>
      <c r="D184" s="1" t="s">
        <v>31</v>
      </c>
      <c r="E184" s="1" t="s">
        <v>32</v>
      </c>
      <c r="F184" s="1" t="s">
        <v>39</v>
      </c>
      <c r="G184" s="1" t="s">
        <v>18</v>
      </c>
      <c r="H184" s="1">
        <v>17402</v>
      </c>
      <c r="I184" s="1" t="s">
        <v>27</v>
      </c>
      <c r="J184" s="1"/>
      <c r="K184" s="1">
        <v>17000</v>
      </c>
      <c r="L184" s="2">
        <v>45327</v>
      </c>
    </row>
    <row r="185" spans="1:12" x14ac:dyDescent="0.35">
      <c r="A185" s="1" t="s">
        <v>343</v>
      </c>
      <c r="B185" s="1" t="s">
        <v>150</v>
      </c>
      <c r="C185" s="1" t="s">
        <v>14</v>
      </c>
      <c r="D185" s="1" t="s">
        <v>15</v>
      </c>
      <c r="E185" s="1" t="s">
        <v>46</v>
      </c>
      <c r="F185" s="1" t="s">
        <v>17</v>
      </c>
      <c r="G185" s="1" t="s">
        <v>26</v>
      </c>
      <c r="H185" s="1">
        <v>15854</v>
      </c>
      <c r="I185" s="1"/>
      <c r="J185" s="1"/>
      <c r="K185" s="1">
        <v>14000</v>
      </c>
      <c r="L185" s="2">
        <v>45347</v>
      </c>
    </row>
    <row r="186" spans="1:12" x14ac:dyDescent="0.35">
      <c r="A186" s="1" t="s">
        <v>344</v>
      </c>
      <c r="B186" s="1" t="s">
        <v>260</v>
      </c>
      <c r="C186" s="1" t="s">
        <v>14</v>
      </c>
      <c r="D186" s="1" t="s">
        <v>15</v>
      </c>
      <c r="E186" s="1" t="s">
        <v>46</v>
      </c>
      <c r="F186" s="1" t="s">
        <v>39</v>
      </c>
      <c r="G186" s="1" t="s">
        <v>36</v>
      </c>
      <c r="H186" s="1">
        <v>13440</v>
      </c>
      <c r="I186" s="1" t="s">
        <v>22</v>
      </c>
      <c r="J186" s="1">
        <v>0.1</v>
      </c>
      <c r="K186" s="1">
        <v>14000</v>
      </c>
      <c r="L186" s="2">
        <v>45328</v>
      </c>
    </row>
    <row r="187" spans="1:12" x14ac:dyDescent="0.35">
      <c r="A187" s="1" t="s">
        <v>345</v>
      </c>
      <c r="B187" s="1" t="s">
        <v>346</v>
      </c>
      <c r="C187" s="1" t="s">
        <v>44</v>
      </c>
      <c r="D187" s="1" t="s">
        <v>45</v>
      </c>
      <c r="E187" s="1" t="s">
        <v>16</v>
      </c>
      <c r="F187" s="1" t="s">
        <v>17</v>
      </c>
      <c r="G187" s="1" t="s">
        <v>18</v>
      </c>
      <c r="H187" s="1">
        <v>14470</v>
      </c>
      <c r="I187" s="1" t="s">
        <v>22</v>
      </c>
      <c r="J187" s="1">
        <v>0.1</v>
      </c>
      <c r="K187" s="1">
        <v>13000</v>
      </c>
      <c r="L187" s="2">
        <v>45314</v>
      </c>
    </row>
    <row r="188" spans="1:12" x14ac:dyDescent="0.35">
      <c r="A188" s="1" t="s">
        <v>347</v>
      </c>
      <c r="B188" s="1" t="s">
        <v>144</v>
      </c>
      <c r="C188" s="1" t="s">
        <v>30</v>
      </c>
      <c r="D188" s="1" t="s">
        <v>31</v>
      </c>
      <c r="E188" s="1" t="s">
        <v>32</v>
      </c>
      <c r="F188" s="1" t="s">
        <v>17</v>
      </c>
      <c r="G188" s="1" t="s">
        <v>26</v>
      </c>
      <c r="H188" s="1">
        <v>15926</v>
      </c>
      <c r="I188" s="1"/>
      <c r="J188" s="1"/>
      <c r="K188" s="1">
        <v>17000</v>
      </c>
      <c r="L188" s="2">
        <v>45346</v>
      </c>
    </row>
    <row r="189" spans="1:12" x14ac:dyDescent="0.35">
      <c r="A189" s="1" t="s">
        <v>348</v>
      </c>
      <c r="B189" s="1" t="s">
        <v>82</v>
      </c>
      <c r="C189" s="1" t="s">
        <v>14</v>
      </c>
      <c r="D189" s="1" t="s">
        <v>15</v>
      </c>
      <c r="E189" s="1" t="s">
        <v>16</v>
      </c>
      <c r="F189" s="1" t="s">
        <v>39</v>
      </c>
      <c r="G189" s="1" t="s">
        <v>26</v>
      </c>
      <c r="H189" s="1">
        <v>13095</v>
      </c>
      <c r="I189" s="1" t="s">
        <v>22</v>
      </c>
      <c r="J189" s="1">
        <v>0.1</v>
      </c>
      <c r="K189" s="1">
        <v>14000</v>
      </c>
      <c r="L189" s="2">
        <v>45303</v>
      </c>
    </row>
    <row r="190" spans="1:12" x14ac:dyDescent="0.35">
      <c r="A190" s="1" t="s">
        <v>349</v>
      </c>
      <c r="B190" s="1" t="s">
        <v>350</v>
      </c>
      <c r="C190" s="1" t="s">
        <v>30</v>
      </c>
      <c r="D190" s="1" t="s">
        <v>31</v>
      </c>
      <c r="E190" s="1" t="s">
        <v>46</v>
      </c>
      <c r="F190" s="1" t="s">
        <v>17</v>
      </c>
      <c r="G190" s="1" t="s">
        <v>18</v>
      </c>
      <c r="H190" s="1">
        <v>15743</v>
      </c>
      <c r="I190" s="1" t="s">
        <v>19</v>
      </c>
      <c r="J190" s="1">
        <v>0.2</v>
      </c>
      <c r="K190" s="1">
        <v>17000</v>
      </c>
      <c r="L190" s="2">
        <v>45328</v>
      </c>
    </row>
    <row r="191" spans="1:12" x14ac:dyDescent="0.35">
      <c r="A191" s="1" t="s">
        <v>351</v>
      </c>
      <c r="B191" s="1" t="s">
        <v>90</v>
      </c>
      <c r="C191" s="1" t="s">
        <v>14</v>
      </c>
      <c r="D191" s="1" t="s">
        <v>15</v>
      </c>
      <c r="E191" s="1" t="s">
        <v>32</v>
      </c>
      <c r="F191" s="1" t="s">
        <v>39</v>
      </c>
      <c r="G191" s="1" t="s">
        <v>26</v>
      </c>
      <c r="H191" s="1">
        <v>15980</v>
      </c>
      <c r="I191" s="1" t="s">
        <v>22</v>
      </c>
      <c r="J191" s="1">
        <v>0.1</v>
      </c>
      <c r="K191" s="1">
        <v>14000</v>
      </c>
      <c r="L191" s="2">
        <v>45297</v>
      </c>
    </row>
    <row r="192" spans="1:12" x14ac:dyDescent="0.35">
      <c r="A192" s="1" t="s">
        <v>352</v>
      </c>
      <c r="B192" s="1" t="s">
        <v>103</v>
      </c>
      <c r="C192" s="1" t="s">
        <v>44</v>
      </c>
      <c r="D192" s="1" t="s">
        <v>45</v>
      </c>
      <c r="E192" s="1" t="s">
        <v>46</v>
      </c>
      <c r="F192" s="1" t="s">
        <v>17</v>
      </c>
      <c r="G192" s="1" t="s">
        <v>36</v>
      </c>
      <c r="H192" s="1">
        <v>12396</v>
      </c>
      <c r="I192" s="1" t="s">
        <v>19</v>
      </c>
      <c r="J192" s="1">
        <v>0.2</v>
      </c>
      <c r="K192" s="1">
        <v>13000</v>
      </c>
      <c r="L192" s="2">
        <v>45315</v>
      </c>
    </row>
    <row r="193" spans="1:12" x14ac:dyDescent="0.35">
      <c r="A193" s="1" t="s">
        <v>353</v>
      </c>
      <c r="B193" s="1" t="s">
        <v>350</v>
      </c>
      <c r="C193" s="1" t="s">
        <v>30</v>
      </c>
      <c r="D193" s="1" t="s">
        <v>31</v>
      </c>
      <c r="E193" s="1" t="s">
        <v>16</v>
      </c>
      <c r="F193" s="1" t="s">
        <v>39</v>
      </c>
      <c r="G193" s="1" t="s">
        <v>18</v>
      </c>
      <c r="H193" s="1">
        <v>18618</v>
      </c>
      <c r="I193" s="1" t="s">
        <v>22</v>
      </c>
      <c r="J193" s="1">
        <v>0.1</v>
      </c>
      <c r="K193" s="1">
        <v>17000</v>
      </c>
      <c r="L193" s="2">
        <v>45301</v>
      </c>
    </row>
    <row r="194" spans="1:12" x14ac:dyDescent="0.35">
      <c r="A194" s="1" t="s">
        <v>354</v>
      </c>
      <c r="B194" s="1" t="s">
        <v>135</v>
      </c>
      <c r="C194" s="1" t="s">
        <v>14</v>
      </c>
      <c r="D194" s="1" t="s">
        <v>15</v>
      </c>
      <c r="E194" s="1" t="s">
        <v>16</v>
      </c>
      <c r="F194" s="1" t="s">
        <v>25</v>
      </c>
      <c r="G194" s="1" t="s">
        <v>36</v>
      </c>
      <c r="H194" s="1">
        <v>13814</v>
      </c>
      <c r="I194" s="1"/>
      <c r="J194" s="1"/>
      <c r="K194" s="1">
        <v>14000</v>
      </c>
      <c r="L194" s="2">
        <v>45323</v>
      </c>
    </row>
    <row r="195" spans="1:12" x14ac:dyDescent="0.35">
      <c r="A195" s="1" t="s">
        <v>355</v>
      </c>
      <c r="B195" s="1" t="s">
        <v>356</v>
      </c>
      <c r="C195" s="1" t="s">
        <v>61</v>
      </c>
      <c r="D195" s="1" t="s">
        <v>62</v>
      </c>
      <c r="E195" s="1" t="s">
        <v>46</v>
      </c>
      <c r="F195" s="1" t="s">
        <v>25</v>
      </c>
      <c r="G195" s="1" t="s">
        <v>26</v>
      </c>
      <c r="H195" s="1">
        <v>7466</v>
      </c>
      <c r="I195" s="1" t="s">
        <v>33</v>
      </c>
      <c r="J195" s="1">
        <v>0.3</v>
      </c>
      <c r="K195" s="1">
        <v>9000</v>
      </c>
      <c r="L195" s="2">
        <v>45319</v>
      </c>
    </row>
    <row r="196" spans="1:12" x14ac:dyDescent="0.35">
      <c r="A196" s="1" t="s">
        <v>357</v>
      </c>
      <c r="B196" s="1" t="s">
        <v>263</v>
      </c>
      <c r="C196" s="1" t="s">
        <v>61</v>
      </c>
      <c r="D196" s="1" t="s">
        <v>62</v>
      </c>
      <c r="E196" s="1" t="s">
        <v>16</v>
      </c>
      <c r="F196" s="1" t="s">
        <v>39</v>
      </c>
      <c r="G196" s="1" t="s">
        <v>36</v>
      </c>
      <c r="H196" s="1">
        <v>7186</v>
      </c>
      <c r="I196" s="1" t="s">
        <v>19</v>
      </c>
      <c r="J196" s="1">
        <v>0.2</v>
      </c>
      <c r="K196" s="1">
        <v>9000</v>
      </c>
      <c r="L196" s="2">
        <v>45317</v>
      </c>
    </row>
    <row r="197" spans="1:12" x14ac:dyDescent="0.35">
      <c r="A197" s="1" t="s">
        <v>358</v>
      </c>
      <c r="B197" s="1" t="s">
        <v>359</v>
      </c>
      <c r="C197" s="1" t="s">
        <v>14</v>
      </c>
      <c r="D197" s="1" t="s">
        <v>15</v>
      </c>
      <c r="E197" s="1" t="s">
        <v>32</v>
      </c>
      <c r="F197" s="1" t="s">
        <v>17</v>
      </c>
      <c r="G197" s="1" t="s">
        <v>18</v>
      </c>
      <c r="H197" s="1">
        <v>15143</v>
      </c>
      <c r="I197" s="1" t="s">
        <v>19</v>
      </c>
      <c r="J197" s="1">
        <v>0.2</v>
      </c>
      <c r="K197" s="1">
        <v>14000</v>
      </c>
      <c r="L197" s="2">
        <v>45340</v>
      </c>
    </row>
    <row r="198" spans="1:12" x14ac:dyDescent="0.35">
      <c r="A198" s="1" t="s">
        <v>360</v>
      </c>
      <c r="B198" s="1" t="s">
        <v>361</v>
      </c>
      <c r="C198" s="1" t="s">
        <v>30</v>
      </c>
      <c r="D198" s="1" t="s">
        <v>31</v>
      </c>
      <c r="E198" s="1" t="s">
        <v>32</v>
      </c>
      <c r="F198" s="1" t="s">
        <v>25</v>
      </c>
      <c r="G198" s="1" t="s">
        <v>36</v>
      </c>
      <c r="H198" s="1">
        <v>18059</v>
      </c>
      <c r="I198" s="1"/>
      <c r="J198" s="1"/>
      <c r="K198" s="1">
        <v>17000</v>
      </c>
      <c r="L198" s="2">
        <v>45303</v>
      </c>
    </row>
    <row r="199" spans="1:12" x14ac:dyDescent="0.35">
      <c r="A199" s="1" t="s">
        <v>362</v>
      </c>
      <c r="B199" s="1" t="s">
        <v>363</v>
      </c>
      <c r="C199" s="1" t="s">
        <v>44</v>
      </c>
      <c r="D199" s="1" t="s">
        <v>45</v>
      </c>
      <c r="E199" s="1" t="s">
        <v>16</v>
      </c>
      <c r="F199" s="1" t="s">
        <v>39</v>
      </c>
      <c r="G199" s="1" t="s">
        <v>26</v>
      </c>
      <c r="H199" s="1">
        <v>14302</v>
      </c>
      <c r="I199" s="1" t="s">
        <v>33</v>
      </c>
      <c r="J199" s="1">
        <v>0.3</v>
      </c>
      <c r="K199" s="1">
        <v>13000</v>
      </c>
      <c r="L199" s="2">
        <v>45296</v>
      </c>
    </row>
    <row r="200" spans="1:12" x14ac:dyDescent="0.35">
      <c r="A200" s="1" t="s">
        <v>364</v>
      </c>
      <c r="B200" s="1" t="s">
        <v>309</v>
      </c>
      <c r="C200" s="1" t="s">
        <v>14</v>
      </c>
      <c r="D200" s="1" t="s">
        <v>15</v>
      </c>
      <c r="E200" s="1" t="s">
        <v>46</v>
      </c>
      <c r="F200" s="1" t="s">
        <v>25</v>
      </c>
      <c r="G200" s="1" t="s">
        <v>36</v>
      </c>
      <c r="H200" s="1">
        <v>15773</v>
      </c>
      <c r="I200" s="1" t="s">
        <v>22</v>
      </c>
      <c r="J200" s="1">
        <v>0.1</v>
      </c>
      <c r="K200" s="1">
        <v>14000</v>
      </c>
      <c r="L200" s="2">
        <v>45347</v>
      </c>
    </row>
    <row r="201" spans="1:12" x14ac:dyDescent="0.35">
      <c r="A201" s="1" t="s">
        <v>365</v>
      </c>
      <c r="B201" s="1" t="s">
        <v>38</v>
      </c>
      <c r="C201" s="1" t="s">
        <v>61</v>
      </c>
      <c r="D201" s="1" t="s">
        <v>62</v>
      </c>
      <c r="E201" s="1" t="s">
        <v>16</v>
      </c>
      <c r="F201" s="1" t="s">
        <v>17</v>
      </c>
      <c r="G201" s="1" t="s">
        <v>26</v>
      </c>
      <c r="H201" s="1">
        <v>9622</v>
      </c>
      <c r="I201" s="1"/>
      <c r="J201" s="1"/>
      <c r="K201" s="1">
        <v>9000</v>
      </c>
      <c r="L201" s="2">
        <v>45310</v>
      </c>
    </row>
    <row r="202" spans="1:12" x14ac:dyDescent="0.35">
      <c r="A202" s="1" t="s">
        <v>366</v>
      </c>
      <c r="B202" s="1" t="s">
        <v>66</v>
      </c>
      <c r="C202" s="1" t="s">
        <v>14</v>
      </c>
      <c r="D202" s="1" t="s">
        <v>15</v>
      </c>
      <c r="E202" s="1" t="s">
        <v>46</v>
      </c>
      <c r="F202" s="1" t="s">
        <v>25</v>
      </c>
      <c r="G202" s="1" t="s">
        <v>26</v>
      </c>
      <c r="H202" s="1">
        <v>13884</v>
      </c>
      <c r="I202" s="1" t="s">
        <v>33</v>
      </c>
      <c r="J202" s="1">
        <v>0.3</v>
      </c>
      <c r="K202" s="1">
        <v>14000</v>
      </c>
      <c r="L202" s="2">
        <v>45297</v>
      </c>
    </row>
    <row r="203" spans="1:12" x14ac:dyDescent="0.35">
      <c r="A203" s="1" t="s">
        <v>367</v>
      </c>
      <c r="B203" s="1" t="s">
        <v>309</v>
      </c>
      <c r="C203" s="1" t="s">
        <v>14</v>
      </c>
      <c r="D203" s="1" t="s">
        <v>15</v>
      </c>
      <c r="E203" s="1" t="s">
        <v>32</v>
      </c>
      <c r="F203" s="1" t="s">
        <v>17</v>
      </c>
      <c r="G203" s="1" t="s">
        <v>26</v>
      </c>
      <c r="H203" s="1">
        <v>13640</v>
      </c>
      <c r="I203" s="1" t="s">
        <v>27</v>
      </c>
      <c r="J203" s="1"/>
      <c r="K203" s="1">
        <v>14000</v>
      </c>
      <c r="L203" s="2">
        <v>45297</v>
      </c>
    </row>
    <row r="204" spans="1:12" x14ac:dyDescent="0.35">
      <c r="A204" s="1" t="s">
        <v>368</v>
      </c>
      <c r="B204" s="1" t="s">
        <v>309</v>
      </c>
      <c r="C204" s="1" t="s">
        <v>30</v>
      </c>
      <c r="D204" s="1" t="s">
        <v>31</v>
      </c>
      <c r="E204" s="1" t="s">
        <v>16</v>
      </c>
      <c r="F204" s="1" t="s">
        <v>17</v>
      </c>
      <c r="G204" s="1" t="s">
        <v>18</v>
      </c>
      <c r="H204" s="1">
        <v>16364</v>
      </c>
      <c r="I204" s="1" t="s">
        <v>19</v>
      </c>
      <c r="J204" s="1">
        <v>0.2</v>
      </c>
      <c r="K204" s="1">
        <v>17000</v>
      </c>
      <c r="L204" s="2">
        <v>45296</v>
      </c>
    </row>
    <row r="205" spans="1:12" x14ac:dyDescent="0.35">
      <c r="A205" s="1" t="s">
        <v>369</v>
      </c>
      <c r="B205" s="1" t="s">
        <v>202</v>
      </c>
      <c r="C205" s="1" t="s">
        <v>14</v>
      </c>
      <c r="D205" s="1" t="s">
        <v>15</v>
      </c>
      <c r="E205" s="1" t="s">
        <v>16</v>
      </c>
      <c r="F205" s="1" t="s">
        <v>39</v>
      </c>
      <c r="G205" s="1" t="s">
        <v>18</v>
      </c>
      <c r="H205" s="1">
        <v>15710</v>
      </c>
      <c r="I205" s="1" t="s">
        <v>33</v>
      </c>
      <c r="J205" s="1">
        <v>0.3</v>
      </c>
      <c r="K205" s="1">
        <v>14000</v>
      </c>
      <c r="L205" s="2">
        <v>45314</v>
      </c>
    </row>
    <row r="206" spans="1:12" x14ac:dyDescent="0.35">
      <c r="A206" s="1" t="s">
        <v>370</v>
      </c>
      <c r="B206" s="1" t="s">
        <v>371</v>
      </c>
      <c r="C206" s="1" t="s">
        <v>44</v>
      </c>
      <c r="D206" s="1" t="s">
        <v>45</v>
      </c>
      <c r="E206" s="1" t="s">
        <v>32</v>
      </c>
      <c r="F206" s="1" t="s">
        <v>25</v>
      </c>
      <c r="G206" s="1" t="s">
        <v>18</v>
      </c>
      <c r="H206" s="1">
        <v>12048</v>
      </c>
      <c r="I206" s="1" t="s">
        <v>19</v>
      </c>
      <c r="J206" s="1">
        <v>0.2</v>
      </c>
      <c r="K206" s="1">
        <v>13000</v>
      </c>
      <c r="L206" s="2">
        <v>45303</v>
      </c>
    </row>
    <row r="207" spans="1:12" x14ac:dyDescent="0.35">
      <c r="A207" s="1" t="s">
        <v>372</v>
      </c>
      <c r="B207" s="1" t="s">
        <v>373</v>
      </c>
      <c r="C207" s="1" t="s">
        <v>14</v>
      </c>
      <c r="D207" s="1" t="s">
        <v>15</v>
      </c>
      <c r="E207" s="1" t="s">
        <v>32</v>
      </c>
      <c r="F207" s="1" t="s">
        <v>39</v>
      </c>
      <c r="G207" s="1" t="s">
        <v>36</v>
      </c>
      <c r="H207" s="1">
        <v>13900</v>
      </c>
      <c r="I207" s="1" t="s">
        <v>27</v>
      </c>
      <c r="J207" s="1"/>
      <c r="K207" s="1">
        <v>14000</v>
      </c>
      <c r="L207" s="2">
        <v>45340</v>
      </c>
    </row>
    <row r="208" spans="1:12" x14ac:dyDescent="0.35">
      <c r="A208" s="1" t="s">
        <v>374</v>
      </c>
      <c r="B208" s="1" t="s">
        <v>356</v>
      </c>
      <c r="C208" s="1" t="s">
        <v>30</v>
      </c>
      <c r="D208" s="1" t="s">
        <v>31</v>
      </c>
      <c r="E208" s="1" t="s">
        <v>16</v>
      </c>
      <c r="F208" s="1" t="s">
        <v>17</v>
      </c>
      <c r="G208" s="1" t="s">
        <v>18</v>
      </c>
      <c r="H208" s="1">
        <v>16801</v>
      </c>
      <c r="I208" s="1" t="s">
        <v>22</v>
      </c>
      <c r="J208" s="1">
        <v>0.1</v>
      </c>
      <c r="K208" s="1">
        <v>17000</v>
      </c>
      <c r="L208" s="2">
        <v>45322</v>
      </c>
    </row>
    <row r="209" spans="1:12" x14ac:dyDescent="0.35">
      <c r="A209" s="1" t="s">
        <v>375</v>
      </c>
      <c r="B209" s="1" t="s">
        <v>332</v>
      </c>
      <c r="C209" s="1" t="s">
        <v>30</v>
      </c>
      <c r="D209" s="1" t="s">
        <v>31</v>
      </c>
      <c r="E209" s="1" t="s">
        <v>46</v>
      </c>
      <c r="F209" s="1" t="s">
        <v>39</v>
      </c>
      <c r="G209" s="1" t="s">
        <v>18</v>
      </c>
      <c r="H209" s="1">
        <v>16441</v>
      </c>
      <c r="I209" s="1" t="s">
        <v>27</v>
      </c>
      <c r="J209" s="1"/>
      <c r="K209" s="1">
        <v>17000</v>
      </c>
      <c r="L209" s="2">
        <v>45296</v>
      </c>
    </row>
    <row r="210" spans="1:12" x14ac:dyDescent="0.35">
      <c r="A210" s="1" t="s">
        <v>376</v>
      </c>
      <c r="B210" s="1" t="s">
        <v>48</v>
      </c>
      <c r="C210" s="1" t="s">
        <v>61</v>
      </c>
      <c r="D210" s="1" t="s">
        <v>62</v>
      </c>
      <c r="E210" s="1" t="s">
        <v>32</v>
      </c>
      <c r="F210" s="1" t="s">
        <v>25</v>
      </c>
      <c r="G210" s="1" t="s">
        <v>36</v>
      </c>
      <c r="H210" s="1">
        <v>10406</v>
      </c>
      <c r="I210" s="1" t="s">
        <v>33</v>
      </c>
      <c r="J210" s="1">
        <v>0.3</v>
      </c>
      <c r="K210" s="1">
        <v>9000</v>
      </c>
      <c r="L210" s="2">
        <v>45296</v>
      </c>
    </row>
    <row r="211" spans="1:12" x14ac:dyDescent="0.35">
      <c r="A211" s="1" t="s">
        <v>377</v>
      </c>
      <c r="B211" s="1" t="s">
        <v>204</v>
      </c>
      <c r="C211" s="1" t="s">
        <v>14</v>
      </c>
      <c r="D211" s="1" t="s">
        <v>15</v>
      </c>
      <c r="E211" s="1" t="s">
        <v>16</v>
      </c>
      <c r="F211" s="1" t="s">
        <v>39</v>
      </c>
      <c r="G211" s="1" t="s">
        <v>26</v>
      </c>
      <c r="H211" s="1">
        <v>13574</v>
      </c>
      <c r="I211" s="1"/>
      <c r="J211" s="1"/>
      <c r="K211" s="1">
        <v>14000</v>
      </c>
      <c r="L211" s="2">
        <v>45329</v>
      </c>
    </row>
    <row r="212" spans="1:12" x14ac:dyDescent="0.35">
      <c r="A212" s="1" t="s">
        <v>378</v>
      </c>
      <c r="B212" s="1" t="s">
        <v>82</v>
      </c>
      <c r="C212" s="1" t="s">
        <v>14</v>
      </c>
      <c r="D212" s="1" t="s">
        <v>15</v>
      </c>
      <c r="E212" s="1" t="s">
        <v>46</v>
      </c>
      <c r="F212" s="1" t="s">
        <v>39</v>
      </c>
      <c r="G212" s="1" t="s">
        <v>26</v>
      </c>
      <c r="H212" s="1">
        <v>12771</v>
      </c>
      <c r="I212" s="1" t="s">
        <v>33</v>
      </c>
      <c r="J212" s="1">
        <v>0.3</v>
      </c>
      <c r="K212" s="1">
        <v>14000</v>
      </c>
      <c r="L212" s="2">
        <v>45330</v>
      </c>
    </row>
    <row r="213" spans="1:12" x14ac:dyDescent="0.35">
      <c r="A213" s="1" t="s">
        <v>379</v>
      </c>
      <c r="B213" s="1" t="s">
        <v>330</v>
      </c>
      <c r="C213" s="1" t="s">
        <v>44</v>
      </c>
      <c r="D213" s="1" t="s">
        <v>45</v>
      </c>
      <c r="E213" s="1" t="s">
        <v>32</v>
      </c>
      <c r="F213" s="1" t="s">
        <v>17</v>
      </c>
      <c r="G213" s="1" t="s">
        <v>18</v>
      </c>
      <c r="H213" s="1">
        <v>14321</v>
      </c>
      <c r="I213" s="1" t="s">
        <v>33</v>
      </c>
      <c r="J213" s="1">
        <v>0.3</v>
      </c>
      <c r="K213" s="1">
        <v>13000</v>
      </c>
      <c r="L213" s="2">
        <v>45337</v>
      </c>
    </row>
    <row r="214" spans="1:12" x14ac:dyDescent="0.35">
      <c r="A214" s="1" t="s">
        <v>380</v>
      </c>
      <c r="B214" s="1" t="s">
        <v>241</v>
      </c>
      <c r="C214" s="1" t="s">
        <v>44</v>
      </c>
      <c r="D214" s="1" t="s">
        <v>45</v>
      </c>
      <c r="E214" s="1" t="s">
        <v>32</v>
      </c>
      <c r="F214" s="1" t="s">
        <v>25</v>
      </c>
      <c r="G214" s="1" t="s">
        <v>26</v>
      </c>
      <c r="H214" s="1">
        <v>12793</v>
      </c>
      <c r="I214" s="1"/>
      <c r="J214" s="1"/>
      <c r="K214" s="1">
        <v>13000</v>
      </c>
      <c r="L214" s="2">
        <v>45325</v>
      </c>
    </row>
    <row r="215" spans="1:12" x14ac:dyDescent="0.35">
      <c r="A215" s="1" t="s">
        <v>381</v>
      </c>
      <c r="B215" s="1" t="s">
        <v>382</v>
      </c>
      <c r="C215" s="1" t="s">
        <v>44</v>
      </c>
      <c r="D215" s="1" t="s">
        <v>45</v>
      </c>
      <c r="E215" s="1" t="s">
        <v>46</v>
      </c>
      <c r="F215" s="1" t="s">
        <v>17</v>
      </c>
      <c r="G215" s="1" t="s">
        <v>36</v>
      </c>
      <c r="H215" s="1">
        <v>12586</v>
      </c>
      <c r="I215" s="1"/>
      <c r="J215" s="1"/>
      <c r="K215" s="1">
        <v>13000</v>
      </c>
      <c r="L215" s="2">
        <v>45341</v>
      </c>
    </row>
    <row r="216" spans="1:12" x14ac:dyDescent="0.35">
      <c r="A216" s="1" t="s">
        <v>383</v>
      </c>
      <c r="B216" s="1" t="s">
        <v>150</v>
      </c>
      <c r="C216" s="1" t="s">
        <v>14</v>
      </c>
      <c r="D216" s="1" t="s">
        <v>15</v>
      </c>
      <c r="E216" s="1" t="s">
        <v>16</v>
      </c>
      <c r="F216" s="1" t="s">
        <v>39</v>
      </c>
      <c r="G216" s="1" t="s">
        <v>36</v>
      </c>
      <c r="H216" s="1">
        <v>12269</v>
      </c>
      <c r="I216" s="1" t="s">
        <v>33</v>
      </c>
      <c r="J216" s="1">
        <v>0.3</v>
      </c>
      <c r="K216" s="1">
        <v>14000</v>
      </c>
      <c r="L216" s="2">
        <v>45298</v>
      </c>
    </row>
    <row r="217" spans="1:12" x14ac:dyDescent="0.35">
      <c r="A217" s="1" t="s">
        <v>384</v>
      </c>
      <c r="B217" s="1" t="s">
        <v>202</v>
      </c>
      <c r="C217" s="1" t="s">
        <v>61</v>
      </c>
      <c r="D217" s="1" t="s">
        <v>62</v>
      </c>
      <c r="E217" s="1" t="s">
        <v>46</v>
      </c>
      <c r="F217" s="1" t="s">
        <v>17</v>
      </c>
      <c r="G217" s="1" t="s">
        <v>26</v>
      </c>
      <c r="H217" s="1">
        <v>10488</v>
      </c>
      <c r="I217" s="1" t="s">
        <v>27</v>
      </c>
      <c r="J217" s="1"/>
      <c r="K217" s="1">
        <v>9000</v>
      </c>
      <c r="L217" s="2">
        <v>45347</v>
      </c>
    </row>
    <row r="218" spans="1:12" x14ac:dyDescent="0.35">
      <c r="A218" s="1" t="s">
        <v>385</v>
      </c>
      <c r="B218" s="1" t="s">
        <v>74</v>
      </c>
      <c r="C218" s="1" t="s">
        <v>14</v>
      </c>
      <c r="D218" s="1" t="s">
        <v>15</v>
      </c>
      <c r="E218" s="1" t="s">
        <v>16</v>
      </c>
      <c r="F218" s="1" t="s">
        <v>39</v>
      </c>
      <c r="G218" s="1" t="s">
        <v>18</v>
      </c>
      <c r="H218" s="1">
        <v>15754</v>
      </c>
      <c r="I218" s="1" t="s">
        <v>33</v>
      </c>
      <c r="J218" s="1">
        <v>0.3</v>
      </c>
      <c r="K218" s="1">
        <v>14000</v>
      </c>
      <c r="L218" s="2">
        <v>45311</v>
      </c>
    </row>
    <row r="219" spans="1:12" x14ac:dyDescent="0.35">
      <c r="A219" s="1" t="s">
        <v>386</v>
      </c>
      <c r="B219" s="1" t="s">
        <v>305</v>
      </c>
      <c r="C219" s="1" t="s">
        <v>61</v>
      </c>
      <c r="D219" s="1" t="s">
        <v>62</v>
      </c>
      <c r="E219" s="1" t="s">
        <v>32</v>
      </c>
      <c r="F219" s="1" t="s">
        <v>39</v>
      </c>
      <c r="G219" s="1" t="s">
        <v>26</v>
      </c>
      <c r="H219" s="1">
        <v>10842</v>
      </c>
      <c r="I219" s="1" t="s">
        <v>22</v>
      </c>
      <c r="J219" s="1">
        <v>0.1</v>
      </c>
      <c r="K219" s="1">
        <v>9000</v>
      </c>
      <c r="L219" s="2">
        <v>45311</v>
      </c>
    </row>
    <row r="220" spans="1:12" x14ac:dyDescent="0.35">
      <c r="A220" s="1" t="s">
        <v>387</v>
      </c>
      <c r="B220" s="1" t="s">
        <v>388</v>
      </c>
      <c r="C220" s="1" t="s">
        <v>30</v>
      </c>
      <c r="D220" s="1" t="s">
        <v>31</v>
      </c>
      <c r="E220" s="1" t="s">
        <v>32</v>
      </c>
      <c r="F220" s="1" t="s">
        <v>39</v>
      </c>
      <c r="G220" s="1" t="s">
        <v>26</v>
      </c>
      <c r="H220" s="1">
        <v>18395</v>
      </c>
      <c r="I220" s="1" t="s">
        <v>27</v>
      </c>
      <c r="J220" s="1"/>
      <c r="K220" s="1">
        <v>17000</v>
      </c>
      <c r="L220" s="2">
        <v>45297</v>
      </c>
    </row>
    <row r="221" spans="1:12" x14ac:dyDescent="0.35">
      <c r="A221" s="1" t="s">
        <v>389</v>
      </c>
      <c r="B221" s="1" t="s">
        <v>92</v>
      </c>
      <c r="C221" s="1" t="s">
        <v>61</v>
      </c>
      <c r="D221" s="1" t="s">
        <v>62</v>
      </c>
      <c r="E221" s="1" t="s">
        <v>16</v>
      </c>
      <c r="F221" s="1" t="s">
        <v>17</v>
      </c>
      <c r="G221" s="1" t="s">
        <v>18</v>
      </c>
      <c r="H221" s="1">
        <v>8485</v>
      </c>
      <c r="I221" s="1" t="s">
        <v>33</v>
      </c>
      <c r="J221" s="1">
        <v>0.3</v>
      </c>
      <c r="K221" s="1">
        <v>9000</v>
      </c>
      <c r="L221" s="2">
        <v>45303</v>
      </c>
    </row>
    <row r="222" spans="1:12" x14ac:dyDescent="0.35">
      <c r="A222" s="1" t="s">
        <v>390</v>
      </c>
      <c r="B222" s="1" t="s">
        <v>391</v>
      </c>
      <c r="C222" s="1" t="s">
        <v>61</v>
      </c>
      <c r="D222" s="1" t="s">
        <v>62</v>
      </c>
      <c r="E222" s="1" t="s">
        <v>32</v>
      </c>
      <c r="F222" s="1" t="s">
        <v>25</v>
      </c>
      <c r="G222" s="1" t="s">
        <v>18</v>
      </c>
      <c r="H222" s="1">
        <v>7634</v>
      </c>
      <c r="I222" s="1" t="s">
        <v>22</v>
      </c>
      <c r="J222" s="1">
        <v>0.1</v>
      </c>
      <c r="K222" s="1">
        <v>9000</v>
      </c>
      <c r="L222" s="2">
        <v>45310</v>
      </c>
    </row>
    <row r="223" spans="1:12" x14ac:dyDescent="0.35">
      <c r="A223" s="1" t="s">
        <v>392</v>
      </c>
      <c r="B223" s="1" t="s">
        <v>393</v>
      </c>
      <c r="C223" s="1" t="s">
        <v>14</v>
      </c>
      <c r="D223" s="1" t="s">
        <v>15</v>
      </c>
      <c r="E223" s="1" t="s">
        <v>16</v>
      </c>
      <c r="F223" s="1" t="s">
        <v>39</v>
      </c>
      <c r="G223" s="1" t="s">
        <v>26</v>
      </c>
      <c r="H223" s="1">
        <v>15619</v>
      </c>
      <c r="I223" s="1" t="s">
        <v>27</v>
      </c>
      <c r="J223" s="1"/>
      <c r="K223" s="1">
        <v>14000</v>
      </c>
      <c r="L223" s="2">
        <v>45294</v>
      </c>
    </row>
    <row r="224" spans="1:12" x14ac:dyDescent="0.35">
      <c r="A224" s="1" t="s">
        <v>394</v>
      </c>
      <c r="B224" s="1" t="s">
        <v>317</v>
      </c>
      <c r="C224" s="1" t="s">
        <v>44</v>
      </c>
      <c r="D224" s="1" t="s">
        <v>45</v>
      </c>
      <c r="E224" s="1" t="s">
        <v>16</v>
      </c>
      <c r="F224" s="1" t="s">
        <v>17</v>
      </c>
      <c r="G224" s="1" t="s">
        <v>18</v>
      </c>
      <c r="H224" s="1">
        <v>11664</v>
      </c>
      <c r="I224" s="1" t="s">
        <v>19</v>
      </c>
      <c r="J224" s="1">
        <v>0.2</v>
      </c>
      <c r="K224" s="1">
        <v>13000</v>
      </c>
      <c r="L224" s="2">
        <v>45345</v>
      </c>
    </row>
    <row r="225" spans="1:12" x14ac:dyDescent="0.35">
      <c r="A225" s="1" t="s">
        <v>395</v>
      </c>
      <c r="B225" s="1" t="s">
        <v>276</v>
      </c>
      <c r="C225" s="1" t="s">
        <v>44</v>
      </c>
      <c r="D225" s="1" t="s">
        <v>45</v>
      </c>
      <c r="E225" s="1" t="s">
        <v>16</v>
      </c>
      <c r="F225" s="1" t="s">
        <v>17</v>
      </c>
      <c r="G225" s="1" t="s">
        <v>18</v>
      </c>
      <c r="H225" s="1">
        <v>12682</v>
      </c>
      <c r="I225" s="1" t="s">
        <v>33</v>
      </c>
      <c r="J225" s="1">
        <v>0.3</v>
      </c>
      <c r="K225" s="1">
        <v>13000</v>
      </c>
      <c r="L225" s="2">
        <v>45335</v>
      </c>
    </row>
    <row r="226" spans="1:12" x14ac:dyDescent="0.35">
      <c r="A226" s="1" t="s">
        <v>396</v>
      </c>
      <c r="B226" s="1" t="s">
        <v>397</v>
      </c>
      <c r="C226" s="1" t="s">
        <v>61</v>
      </c>
      <c r="D226" s="1" t="s">
        <v>62</v>
      </c>
      <c r="E226" s="1" t="s">
        <v>16</v>
      </c>
      <c r="F226" s="1" t="s">
        <v>17</v>
      </c>
      <c r="G226" s="1" t="s">
        <v>26</v>
      </c>
      <c r="H226" s="1">
        <v>10210</v>
      </c>
      <c r="I226" s="1"/>
      <c r="J226" s="1"/>
      <c r="K226" s="1">
        <v>9000</v>
      </c>
      <c r="L226" s="2">
        <v>45306</v>
      </c>
    </row>
    <row r="227" spans="1:12" x14ac:dyDescent="0.35">
      <c r="A227" s="1" t="s">
        <v>398</v>
      </c>
      <c r="B227" s="1" t="s">
        <v>346</v>
      </c>
      <c r="C227" s="1" t="s">
        <v>30</v>
      </c>
      <c r="D227" s="1" t="s">
        <v>31</v>
      </c>
      <c r="E227" s="1" t="s">
        <v>46</v>
      </c>
      <c r="F227" s="1" t="s">
        <v>25</v>
      </c>
      <c r="G227" s="1" t="s">
        <v>36</v>
      </c>
      <c r="H227" s="1">
        <v>17778</v>
      </c>
      <c r="I227" s="1" t="s">
        <v>27</v>
      </c>
      <c r="J227" s="1"/>
      <c r="K227" s="1">
        <v>17000</v>
      </c>
      <c r="L227" s="2">
        <v>45320</v>
      </c>
    </row>
    <row r="228" spans="1:12" x14ac:dyDescent="0.35">
      <c r="A228" s="1" t="s">
        <v>399</v>
      </c>
      <c r="B228" s="1" t="s">
        <v>157</v>
      </c>
      <c r="C228" s="1" t="s">
        <v>30</v>
      </c>
      <c r="D228" s="1" t="s">
        <v>31</v>
      </c>
      <c r="E228" s="1" t="s">
        <v>46</v>
      </c>
      <c r="F228" s="1" t="s">
        <v>39</v>
      </c>
      <c r="G228" s="1" t="s">
        <v>26</v>
      </c>
      <c r="H228" s="1">
        <v>16714</v>
      </c>
      <c r="I228" s="1" t="s">
        <v>19</v>
      </c>
      <c r="J228" s="1">
        <v>0.2</v>
      </c>
      <c r="K228" s="1">
        <v>17000</v>
      </c>
      <c r="L228" s="2">
        <v>45344</v>
      </c>
    </row>
    <row r="229" spans="1:12" x14ac:dyDescent="0.35">
      <c r="A229" s="1" t="s">
        <v>400</v>
      </c>
      <c r="B229" s="1" t="s">
        <v>401</v>
      </c>
      <c r="C229" s="1" t="s">
        <v>44</v>
      </c>
      <c r="D229" s="1" t="s">
        <v>45</v>
      </c>
      <c r="E229" s="1" t="s">
        <v>46</v>
      </c>
      <c r="F229" s="1" t="s">
        <v>25</v>
      </c>
      <c r="G229" s="1" t="s">
        <v>26</v>
      </c>
      <c r="H229" s="1">
        <v>12968</v>
      </c>
      <c r="I229" s="1" t="s">
        <v>33</v>
      </c>
      <c r="J229" s="1">
        <v>0.3</v>
      </c>
      <c r="K229" s="1">
        <v>13000</v>
      </c>
      <c r="L229" s="2">
        <v>45327</v>
      </c>
    </row>
    <row r="230" spans="1:12" x14ac:dyDescent="0.35">
      <c r="A230" s="1" t="s">
        <v>402</v>
      </c>
      <c r="B230" s="1" t="s">
        <v>403</v>
      </c>
      <c r="C230" s="1" t="s">
        <v>14</v>
      </c>
      <c r="D230" s="1" t="s">
        <v>15</v>
      </c>
      <c r="E230" s="1" t="s">
        <v>46</v>
      </c>
      <c r="F230" s="1" t="s">
        <v>25</v>
      </c>
      <c r="G230" s="1" t="s">
        <v>18</v>
      </c>
      <c r="H230" s="1">
        <v>13117</v>
      </c>
      <c r="I230" s="1"/>
      <c r="J230" s="1"/>
      <c r="K230" s="1">
        <v>14000</v>
      </c>
      <c r="L230" s="2">
        <v>45349</v>
      </c>
    </row>
    <row r="231" spans="1:12" x14ac:dyDescent="0.35">
      <c r="A231" s="1" t="s">
        <v>404</v>
      </c>
      <c r="B231" s="1" t="s">
        <v>80</v>
      </c>
      <c r="C231" s="1" t="s">
        <v>61</v>
      </c>
      <c r="D231" s="1" t="s">
        <v>62</v>
      </c>
      <c r="E231" s="1" t="s">
        <v>32</v>
      </c>
      <c r="F231" s="1" t="s">
        <v>25</v>
      </c>
      <c r="G231" s="1" t="s">
        <v>36</v>
      </c>
      <c r="H231" s="1">
        <v>10623</v>
      </c>
      <c r="I231" s="1" t="s">
        <v>33</v>
      </c>
      <c r="J231" s="1">
        <v>0.3</v>
      </c>
      <c r="K231" s="1">
        <v>9000</v>
      </c>
      <c r="L231" s="2">
        <v>45351</v>
      </c>
    </row>
    <row r="232" spans="1:12" x14ac:dyDescent="0.35">
      <c r="A232" s="1" t="s">
        <v>405</v>
      </c>
      <c r="B232" s="1" t="s">
        <v>406</v>
      </c>
      <c r="C232" s="1" t="s">
        <v>14</v>
      </c>
      <c r="D232" s="1" t="s">
        <v>15</v>
      </c>
      <c r="E232" s="1" t="s">
        <v>46</v>
      </c>
      <c r="F232" s="1" t="s">
        <v>39</v>
      </c>
      <c r="G232" s="1" t="s">
        <v>36</v>
      </c>
      <c r="H232" s="1">
        <v>12965</v>
      </c>
      <c r="I232" s="1"/>
      <c r="J232" s="1"/>
      <c r="K232" s="1">
        <v>14000</v>
      </c>
      <c r="L232" s="2">
        <v>45297</v>
      </c>
    </row>
    <row r="233" spans="1:12" x14ac:dyDescent="0.35">
      <c r="A233" s="1" t="s">
        <v>407</v>
      </c>
      <c r="B233" s="1" t="s">
        <v>408</v>
      </c>
      <c r="C233" s="1" t="s">
        <v>14</v>
      </c>
      <c r="D233" s="1" t="s">
        <v>15</v>
      </c>
      <c r="E233" s="1" t="s">
        <v>46</v>
      </c>
      <c r="F233" s="1" t="s">
        <v>25</v>
      </c>
      <c r="G233" s="1" t="s">
        <v>26</v>
      </c>
      <c r="H233" s="1">
        <v>14662</v>
      </c>
      <c r="I233" s="1" t="s">
        <v>33</v>
      </c>
      <c r="J233" s="1">
        <v>0.3</v>
      </c>
      <c r="K233" s="1">
        <v>14000</v>
      </c>
      <c r="L233" s="2">
        <v>45342</v>
      </c>
    </row>
    <row r="234" spans="1:12" x14ac:dyDescent="0.35">
      <c r="A234" s="1" t="s">
        <v>409</v>
      </c>
      <c r="B234" s="1" t="s">
        <v>175</v>
      </c>
      <c r="C234" s="1" t="s">
        <v>14</v>
      </c>
      <c r="D234" s="1" t="s">
        <v>15</v>
      </c>
      <c r="E234" s="1" t="s">
        <v>46</v>
      </c>
      <c r="F234" s="1" t="s">
        <v>17</v>
      </c>
      <c r="G234" s="1" t="s">
        <v>26</v>
      </c>
      <c r="H234" s="1">
        <v>15404</v>
      </c>
      <c r="I234" s="1" t="s">
        <v>19</v>
      </c>
      <c r="J234" s="1">
        <v>0.2</v>
      </c>
      <c r="K234" s="1">
        <v>14000</v>
      </c>
      <c r="L234" s="2">
        <v>45340</v>
      </c>
    </row>
    <row r="235" spans="1:12" x14ac:dyDescent="0.35">
      <c r="A235" s="1" t="s">
        <v>410</v>
      </c>
      <c r="B235" s="1" t="s">
        <v>334</v>
      </c>
      <c r="C235" s="1" t="s">
        <v>61</v>
      </c>
      <c r="D235" s="1" t="s">
        <v>62</v>
      </c>
      <c r="E235" s="1" t="s">
        <v>16</v>
      </c>
      <c r="F235" s="1" t="s">
        <v>25</v>
      </c>
      <c r="G235" s="1" t="s">
        <v>18</v>
      </c>
      <c r="H235" s="1">
        <v>7077</v>
      </c>
      <c r="I235" s="1" t="s">
        <v>33</v>
      </c>
      <c r="J235" s="1">
        <v>0.3</v>
      </c>
      <c r="K235" s="1">
        <v>9000</v>
      </c>
      <c r="L235" s="2">
        <v>45305</v>
      </c>
    </row>
    <row r="236" spans="1:12" x14ac:dyDescent="0.35">
      <c r="A236" s="1" t="s">
        <v>411</v>
      </c>
      <c r="B236" s="1" t="s">
        <v>412</v>
      </c>
      <c r="C236" s="1" t="s">
        <v>61</v>
      </c>
      <c r="D236" s="1" t="s">
        <v>62</v>
      </c>
      <c r="E236" s="1" t="s">
        <v>32</v>
      </c>
      <c r="F236" s="1" t="s">
        <v>17</v>
      </c>
      <c r="G236" s="1" t="s">
        <v>18</v>
      </c>
      <c r="H236" s="1">
        <v>8233</v>
      </c>
      <c r="I236" s="1" t="s">
        <v>22</v>
      </c>
      <c r="J236" s="1">
        <v>0.1</v>
      </c>
      <c r="K236" s="1">
        <v>9000</v>
      </c>
      <c r="L236" s="2">
        <v>45295</v>
      </c>
    </row>
    <row r="237" spans="1:12" x14ac:dyDescent="0.35">
      <c r="A237" s="1" t="s">
        <v>413</v>
      </c>
      <c r="B237" s="1" t="s">
        <v>414</v>
      </c>
      <c r="C237" s="1" t="s">
        <v>61</v>
      </c>
      <c r="D237" s="1" t="s">
        <v>62</v>
      </c>
      <c r="E237" s="1" t="s">
        <v>32</v>
      </c>
      <c r="F237" s="1" t="s">
        <v>25</v>
      </c>
      <c r="G237" s="1" t="s">
        <v>36</v>
      </c>
      <c r="H237" s="1">
        <v>9444</v>
      </c>
      <c r="I237" s="1" t="s">
        <v>27</v>
      </c>
      <c r="J237" s="1"/>
      <c r="K237" s="1">
        <v>9000</v>
      </c>
      <c r="L237" s="2">
        <v>45293</v>
      </c>
    </row>
    <row r="238" spans="1:12" x14ac:dyDescent="0.35">
      <c r="A238" s="1" t="s">
        <v>415</v>
      </c>
      <c r="B238" s="1" t="s">
        <v>416</v>
      </c>
      <c r="C238" s="1" t="s">
        <v>44</v>
      </c>
      <c r="D238" s="1" t="s">
        <v>45</v>
      </c>
      <c r="E238" s="1" t="s">
        <v>16</v>
      </c>
      <c r="F238" s="1" t="s">
        <v>25</v>
      </c>
      <c r="G238" s="1" t="s">
        <v>36</v>
      </c>
      <c r="H238" s="1">
        <v>12758</v>
      </c>
      <c r="I238" s="1" t="s">
        <v>22</v>
      </c>
      <c r="J238" s="1">
        <v>0.1</v>
      </c>
      <c r="K238" s="1">
        <v>13000</v>
      </c>
      <c r="L238" s="2">
        <v>45331</v>
      </c>
    </row>
    <row r="239" spans="1:12" x14ac:dyDescent="0.35">
      <c r="A239" s="1" t="s">
        <v>417</v>
      </c>
      <c r="B239" s="1" t="s">
        <v>408</v>
      </c>
      <c r="C239" s="1" t="s">
        <v>61</v>
      </c>
      <c r="D239" s="1" t="s">
        <v>62</v>
      </c>
      <c r="E239" s="1" t="s">
        <v>32</v>
      </c>
      <c r="F239" s="1" t="s">
        <v>39</v>
      </c>
      <c r="G239" s="1" t="s">
        <v>26</v>
      </c>
      <c r="H239" s="1">
        <v>7350</v>
      </c>
      <c r="I239" s="1" t="s">
        <v>27</v>
      </c>
      <c r="J239" s="1"/>
      <c r="K239" s="1">
        <v>9000</v>
      </c>
      <c r="L239" s="2">
        <v>45315</v>
      </c>
    </row>
    <row r="240" spans="1:12" x14ac:dyDescent="0.35">
      <c r="A240" s="1" t="s">
        <v>418</v>
      </c>
      <c r="B240" s="1" t="s">
        <v>241</v>
      </c>
      <c r="C240" s="1" t="s">
        <v>14</v>
      </c>
      <c r="D240" s="1" t="s">
        <v>15</v>
      </c>
      <c r="E240" s="1" t="s">
        <v>46</v>
      </c>
      <c r="F240" s="1" t="s">
        <v>17</v>
      </c>
      <c r="G240" s="1" t="s">
        <v>18</v>
      </c>
      <c r="H240" s="1">
        <v>14603</v>
      </c>
      <c r="I240" s="1"/>
      <c r="J240" s="1"/>
      <c r="K240" s="1">
        <v>14000</v>
      </c>
      <c r="L240" s="2">
        <v>45315</v>
      </c>
    </row>
    <row r="241" spans="1:12" x14ac:dyDescent="0.35">
      <c r="A241" s="1" t="s">
        <v>419</v>
      </c>
      <c r="B241" s="1" t="s">
        <v>350</v>
      </c>
      <c r="C241" s="1" t="s">
        <v>14</v>
      </c>
      <c r="D241" s="1" t="s">
        <v>15</v>
      </c>
      <c r="E241" s="1" t="s">
        <v>46</v>
      </c>
      <c r="F241" s="1" t="s">
        <v>25</v>
      </c>
      <c r="G241" s="1" t="s">
        <v>36</v>
      </c>
      <c r="H241" s="1">
        <v>12987</v>
      </c>
      <c r="I241" s="1" t="s">
        <v>22</v>
      </c>
      <c r="J241" s="1">
        <v>0.1</v>
      </c>
      <c r="K241" s="1">
        <v>14000</v>
      </c>
      <c r="L241" s="2">
        <v>45341</v>
      </c>
    </row>
    <row r="242" spans="1:12" x14ac:dyDescent="0.35">
      <c r="A242" s="1" t="s">
        <v>420</v>
      </c>
      <c r="B242" s="1" t="s">
        <v>233</v>
      </c>
      <c r="C242" s="1" t="s">
        <v>30</v>
      </c>
      <c r="D242" s="1" t="s">
        <v>31</v>
      </c>
      <c r="E242" s="1" t="s">
        <v>32</v>
      </c>
      <c r="F242" s="1" t="s">
        <v>25</v>
      </c>
      <c r="G242" s="1" t="s">
        <v>36</v>
      </c>
      <c r="H242" s="1">
        <v>17236</v>
      </c>
      <c r="I242" s="1" t="s">
        <v>33</v>
      </c>
      <c r="J242" s="1">
        <v>0.3</v>
      </c>
      <c r="K242" s="1">
        <v>17000</v>
      </c>
      <c r="L242" s="2">
        <v>45344</v>
      </c>
    </row>
    <row r="243" spans="1:12" x14ac:dyDescent="0.35">
      <c r="A243" s="1" t="s">
        <v>421</v>
      </c>
      <c r="B243" s="1" t="s">
        <v>422</v>
      </c>
      <c r="C243" s="1" t="s">
        <v>61</v>
      </c>
      <c r="D243" s="1" t="s">
        <v>62</v>
      </c>
      <c r="E243" s="1" t="s">
        <v>16</v>
      </c>
      <c r="F243" s="1" t="s">
        <v>17</v>
      </c>
      <c r="G243" s="1" t="s">
        <v>26</v>
      </c>
      <c r="H243" s="1">
        <v>7746</v>
      </c>
      <c r="I243" s="1" t="s">
        <v>19</v>
      </c>
      <c r="J243" s="1">
        <v>0.2</v>
      </c>
      <c r="K243" s="1">
        <v>9000</v>
      </c>
      <c r="L243" s="2">
        <v>45296</v>
      </c>
    </row>
    <row r="244" spans="1:12" x14ac:dyDescent="0.35">
      <c r="A244" s="1" t="s">
        <v>423</v>
      </c>
      <c r="B244" s="1" t="s">
        <v>276</v>
      </c>
      <c r="C244" s="1" t="s">
        <v>61</v>
      </c>
      <c r="D244" s="1" t="s">
        <v>62</v>
      </c>
      <c r="E244" s="1" t="s">
        <v>32</v>
      </c>
      <c r="F244" s="1" t="s">
        <v>17</v>
      </c>
      <c r="G244" s="1" t="s">
        <v>18</v>
      </c>
      <c r="H244" s="1">
        <v>7179</v>
      </c>
      <c r="I244" s="1" t="s">
        <v>19</v>
      </c>
      <c r="J244" s="1">
        <v>0.2</v>
      </c>
      <c r="K244" s="1">
        <v>9000</v>
      </c>
      <c r="L244" s="2">
        <v>45348</v>
      </c>
    </row>
    <row r="245" spans="1:12" x14ac:dyDescent="0.35">
      <c r="A245" s="1" t="s">
        <v>424</v>
      </c>
      <c r="B245" s="1" t="s">
        <v>125</v>
      </c>
      <c r="C245" s="1" t="s">
        <v>30</v>
      </c>
      <c r="D245" s="1" t="s">
        <v>31</v>
      </c>
      <c r="E245" s="1" t="s">
        <v>16</v>
      </c>
      <c r="F245" s="1" t="s">
        <v>17</v>
      </c>
      <c r="G245" s="1" t="s">
        <v>26</v>
      </c>
      <c r="H245" s="1">
        <v>16939</v>
      </c>
      <c r="I245" s="1" t="s">
        <v>33</v>
      </c>
      <c r="J245" s="1">
        <v>0.3</v>
      </c>
      <c r="K245" s="1">
        <v>17000</v>
      </c>
      <c r="L245" s="2">
        <v>45294</v>
      </c>
    </row>
    <row r="246" spans="1:12" x14ac:dyDescent="0.35">
      <c r="A246" s="1" t="s">
        <v>425</v>
      </c>
      <c r="B246" s="1" t="s">
        <v>426</v>
      </c>
      <c r="C246" s="1" t="s">
        <v>44</v>
      </c>
      <c r="D246" s="1" t="s">
        <v>45</v>
      </c>
      <c r="E246" s="1" t="s">
        <v>46</v>
      </c>
      <c r="F246" s="1" t="s">
        <v>17</v>
      </c>
      <c r="G246" s="1" t="s">
        <v>18</v>
      </c>
      <c r="H246" s="1">
        <v>14546</v>
      </c>
      <c r="I246" s="1" t="s">
        <v>33</v>
      </c>
      <c r="J246" s="1">
        <v>0.3</v>
      </c>
      <c r="K246" s="1">
        <v>13000</v>
      </c>
      <c r="L246" s="2">
        <v>45309</v>
      </c>
    </row>
    <row r="247" spans="1:12" x14ac:dyDescent="0.35">
      <c r="A247" s="1" t="s">
        <v>427</v>
      </c>
      <c r="B247" s="1" t="s">
        <v>200</v>
      </c>
      <c r="C247" s="1" t="s">
        <v>30</v>
      </c>
      <c r="D247" s="1" t="s">
        <v>31</v>
      </c>
      <c r="E247" s="1" t="s">
        <v>46</v>
      </c>
      <c r="F247" s="1" t="s">
        <v>17</v>
      </c>
      <c r="G247" s="1" t="s">
        <v>26</v>
      </c>
      <c r="H247" s="1">
        <v>16801</v>
      </c>
      <c r="I247" s="1"/>
      <c r="J247" s="1"/>
      <c r="K247" s="1">
        <v>17000</v>
      </c>
      <c r="L247" s="2">
        <v>45313</v>
      </c>
    </row>
    <row r="248" spans="1:12" x14ac:dyDescent="0.35">
      <c r="A248" s="1" t="s">
        <v>428</v>
      </c>
      <c r="B248" s="1" t="s">
        <v>429</v>
      </c>
      <c r="C248" s="1" t="s">
        <v>61</v>
      </c>
      <c r="D248" s="1" t="s">
        <v>62</v>
      </c>
      <c r="E248" s="1" t="s">
        <v>46</v>
      </c>
      <c r="F248" s="1" t="s">
        <v>39</v>
      </c>
      <c r="G248" s="1" t="s">
        <v>36</v>
      </c>
      <c r="H248" s="1">
        <v>10281</v>
      </c>
      <c r="I248" s="1" t="s">
        <v>22</v>
      </c>
      <c r="J248" s="1">
        <v>0.1</v>
      </c>
      <c r="K248" s="1">
        <v>9000</v>
      </c>
      <c r="L248" s="2">
        <v>45338</v>
      </c>
    </row>
    <row r="249" spans="1:12" x14ac:dyDescent="0.35">
      <c r="A249" s="1" t="s">
        <v>430</v>
      </c>
      <c r="B249" s="1" t="s">
        <v>41</v>
      </c>
      <c r="C249" s="1" t="s">
        <v>61</v>
      </c>
      <c r="D249" s="1" t="s">
        <v>62</v>
      </c>
      <c r="E249" s="1" t="s">
        <v>16</v>
      </c>
      <c r="F249" s="1" t="s">
        <v>25</v>
      </c>
      <c r="G249" s="1" t="s">
        <v>26</v>
      </c>
      <c r="H249" s="1">
        <v>8203</v>
      </c>
      <c r="I249" s="1" t="s">
        <v>33</v>
      </c>
      <c r="J249" s="1">
        <v>0.3</v>
      </c>
      <c r="K249" s="1">
        <v>9000</v>
      </c>
      <c r="L249" s="2">
        <v>45298</v>
      </c>
    </row>
    <row r="250" spans="1:12" x14ac:dyDescent="0.35">
      <c r="A250" s="1" t="s">
        <v>431</v>
      </c>
      <c r="B250" s="1" t="s">
        <v>432</v>
      </c>
      <c r="C250" s="1" t="s">
        <v>30</v>
      </c>
      <c r="D250" s="1" t="s">
        <v>31</v>
      </c>
      <c r="E250" s="1" t="s">
        <v>46</v>
      </c>
      <c r="F250" s="1" t="s">
        <v>17</v>
      </c>
      <c r="G250" s="1" t="s">
        <v>26</v>
      </c>
      <c r="H250" s="1">
        <v>17939</v>
      </c>
      <c r="I250" s="1"/>
      <c r="J250" s="1"/>
      <c r="K250" s="1">
        <v>17000</v>
      </c>
      <c r="L250" s="2">
        <v>45302</v>
      </c>
    </row>
    <row r="251" spans="1:12" x14ac:dyDescent="0.35">
      <c r="A251" s="1" t="s">
        <v>433</v>
      </c>
      <c r="B251" s="1" t="s">
        <v>334</v>
      </c>
      <c r="C251" s="1" t="s">
        <v>30</v>
      </c>
      <c r="D251" s="1" t="s">
        <v>31</v>
      </c>
      <c r="E251" s="1" t="s">
        <v>46</v>
      </c>
      <c r="F251" s="1" t="s">
        <v>25</v>
      </c>
      <c r="G251" s="1" t="s">
        <v>26</v>
      </c>
      <c r="H251" s="1">
        <v>18563</v>
      </c>
      <c r="I251" s="1" t="s">
        <v>33</v>
      </c>
      <c r="J251" s="1">
        <v>0.3</v>
      </c>
      <c r="K251" s="1">
        <v>17000</v>
      </c>
      <c r="L251" s="2">
        <v>45331</v>
      </c>
    </row>
    <row r="252" spans="1:12" x14ac:dyDescent="0.35">
      <c r="A252" s="1" t="s">
        <v>434</v>
      </c>
      <c r="B252" s="1" t="s">
        <v>435</v>
      </c>
      <c r="C252" s="1" t="s">
        <v>14</v>
      </c>
      <c r="D252" s="1" t="s">
        <v>15</v>
      </c>
      <c r="E252" s="1" t="s">
        <v>32</v>
      </c>
      <c r="F252" s="1" t="s">
        <v>39</v>
      </c>
      <c r="G252" s="1" t="s">
        <v>26</v>
      </c>
      <c r="H252" s="1">
        <v>13663</v>
      </c>
      <c r="I252" s="1" t="s">
        <v>33</v>
      </c>
      <c r="J252" s="1">
        <v>0.3</v>
      </c>
      <c r="K252" s="1">
        <v>14000</v>
      </c>
      <c r="L252" s="2">
        <v>45324</v>
      </c>
    </row>
    <row r="253" spans="1:12" x14ac:dyDescent="0.35">
      <c r="A253" s="1" t="s">
        <v>436</v>
      </c>
      <c r="B253" s="1" t="s">
        <v>296</v>
      </c>
      <c r="C253" s="1" t="s">
        <v>44</v>
      </c>
      <c r="D253" s="1" t="s">
        <v>45</v>
      </c>
      <c r="E253" s="1" t="s">
        <v>32</v>
      </c>
      <c r="F253" s="1" t="s">
        <v>25</v>
      </c>
      <c r="G253" s="1" t="s">
        <v>26</v>
      </c>
      <c r="H253" s="1">
        <v>13777</v>
      </c>
      <c r="I253" s="1"/>
      <c r="J253" s="1"/>
      <c r="K253" s="1">
        <v>13000</v>
      </c>
      <c r="L253" s="2">
        <v>45294</v>
      </c>
    </row>
    <row r="254" spans="1:12" x14ac:dyDescent="0.35">
      <c r="A254" s="1" t="s">
        <v>437</v>
      </c>
      <c r="B254" s="1" t="s">
        <v>325</v>
      </c>
      <c r="C254" s="1" t="s">
        <v>44</v>
      </c>
      <c r="D254" s="1" t="s">
        <v>45</v>
      </c>
      <c r="E254" s="1" t="s">
        <v>16</v>
      </c>
      <c r="F254" s="1" t="s">
        <v>17</v>
      </c>
      <c r="G254" s="1" t="s">
        <v>36</v>
      </c>
      <c r="H254" s="1">
        <v>12568</v>
      </c>
      <c r="I254" s="1" t="s">
        <v>27</v>
      </c>
      <c r="J254" s="1"/>
      <c r="K254" s="1">
        <v>13000</v>
      </c>
      <c r="L254" s="2">
        <v>45294</v>
      </c>
    </row>
    <row r="255" spans="1:12" x14ac:dyDescent="0.35">
      <c r="A255" s="1" t="s">
        <v>438</v>
      </c>
      <c r="B255" s="1" t="s">
        <v>373</v>
      </c>
      <c r="C255" s="1" t="s">
        <v>61</v>
      </c>
      <c r="D255" s="1" t="s">
        <v>62</v>
      </c>
      <c r="E255" s="1" t="s">
        <v>46</v>
      </c>
      <c r="F255" s="1" t="s">
        <v>17</v>
      </c>
      <c r="G255" s="1" t="s">
        <v>36</v>
      </c>
      <c r="H255" s="1">
        <v>10125</v>
      </c>
      <c r="I255" s="1" t="s">
        <v>22</v>
      </c>
      <c r="J255" s="1">
        <v>0.1</v>
      </c>
      <c r="K255" s="1">
        <v>9000</v>
      </c>
      <c r="L255" s="2">
        <v>45328</v>
      </c>
    </row>
    <row r="256" spans="1:12" x14ac:dyDescent="0.35">
      <c r="A256" s="1" t="s">
        <v>439</v>
      </c>
      <c r="B256" s="1" t="s">
        <v>440</v>
      </c>
      <c r="C256" s="1" t="s">
        <v>30</v>
      </c>
      <c r="D256" s="1" t="s">
        <v>31</v>
      </c>
      <c r="E256" s="1" t="s">
        <v>46</v>
      </c>
      <c r="F256" s="1" t="s">
        <v>17</v>
      </c>
      <c r="G256" s="1" t="s">
        <v>26</v>
      </c>
      <c r="H256" s="1">
        <v>16141</v>
      </c>
      <c r="I256" s="1" t="s">
        <v>19</v>
      </c>
      <c r="J256" s="1">
        <v>0.2</v>
      </c>
      <c r="K256" s="1">
        <v>17000</v>
      </c>
      <c r="L256" s="2">
        <v>45299</v>
      </c>
    </row>
    <row r="257" spans="1:12" x14ac:dyDescent="0.35">
      <c r="A257" s="1" t="s">
        <v>441</v>
      </c>
      <c r="B257" s="1" t="s">
        <v>190</v>
      </c>
      <c r="C257" s="1" t="s">
        <v>44</v>
      </c>
      <c r="D257" s="1" t="s">
        <v>45</v>
      </c>
      <c r="E257" s="1" t="s">
        <v>46</v>
      </c>
      <c r="F257" s="1" t="s">
        <v>39</v>
      </c>
      <c r="G257" s="1" t="s">
        <v>36</v>
      </c>
      <c r="H257" s="1">
        <v>14741</v>
      </c>
      <c r="I257" s="1" t="s">
        <v>27</v>
      </c>
      <c r="J257" s="1"/>
      <c r="K257" s="1">
        <v>13000</v>
      </c>
      <c r="L257" s="2">
        <v>45299</v>
      </c>
    </row>
    <row r="258" spans="1:12" x14ac:dyDescent="0.35">
      <c r="A258" s="1" t="s">
        <v>442</v>
      </c>
      <c r="B258" s="1" t="s">
        <v>443</v>
      </c>
      <c r="C258" s="1" t="s">
        <v>30</v>
      </c>
      <c r="D258" s="1" t="s">
        <v>31</v>
      </c>
      <c r="E258" s="1" t="s">
        <v>16</v>
      </c>
      <c r="F258" s="1" t="s">
        <v>17</v>
      </c>
      <c r="G258" s="1" t="s">
        <v>18</v>
      </c>
      <c r="H258" s="1">
        <v>17506</v>
      </c>
      <c r="I258" s="1" t="s">
        <v>33</v>
      </c>
      <c r="J258" s="1">
        <v>0.3</v>
      </c>
      <c r="K258" s="1">
        <v>17000</v>
      </c>
      <c r="L258" s="2">
        <v>45336</v>
      </c>
    </row>
    <row r="259" spans="1:12" x14ac:dyDescent="0.35">
      <c r="A259" s="1" t="s">
        <v>444</v>
      </c>
      <c r="B259" s="1" t="s">
        <v>445</v>
      </c>
      <c r="C259" s="1" t="s">
        <v>44</v>
      </c>
      <c r="D259" s="1" t="s">
        <v>45</v>
      </c>
      <c r="E259" s="1" t="s">
        <v>32</v>
      </c>
      <c r="F259" s="1" t="s">
        <v>25</v>
      </c>
      <c r="G259" s="1" t="s">
        <v>18</v>
      </c>
      <c r="H259" s="1">
        <v>12851</v>
      </c>
      <c r="I259" s="1" t="s">
        <v>19</v>
      </c>
      <c r="J259" s="1">
        <v>0.2</v>
      </c>
      <c r="K259" s="1">
        <v>13000</v>
      </c>
      <c r="L259" s="2">
        <v>45349</v>
      </c>
    </row>
    <row r="260" spans="1:12" x14ac:dyDescent="0.35">
      <c r="A260" s="1" t="s">
        <v>446</v>
      </c>
      <c r="B260" s="1" t="s">
        <v>334</v>
      </c>
      <c r="C260" s="1" t="s">
        <v>14</v>
      </c>
      <c r="D260" s="1" t="s">
        <v>15</v>
      </c>
      <c r="E260" s="1" t="s">
        <v>16</v>
      </c>
      <c r="F260" s="1" t="s">
        <v>17</v>
      </c>
      <c r="G260" s="1" t="s">
        <v>26</v>
      </c>
      <c r="H260" s="1">
        <v>13423</v>
      </c>
      <c r="I260" s="1" t="s">
        <v>22</v>
      </c>
      <c r="J260" s="1">
        <v>0.1</v>
      </c>
      <c r="K260" s="1">
        <v>14000</v>
      </c>
      <c r="L260" s="2">
        <v>45327</v>
      </c>
    </row>
    <row r="261" spans="1:12" x14ac:dyDescent="0.35">
      <c r="A261" s="1" t="s">
        <v>447</v>
      </c>
      <c r="B261" s="1" t="s">
        <v>448</v>
      </c>
      <c r="C261" s="1" t="s">
        <v>30</v>
      </c>
      <c r="D261" s="1" t="s">
        <v>31</v>
      </c>
      <c r="E261" s="1" t="s">
        <v>32</v>
      </c>
      <c r="F261" s="1" t="s">
        <v>39</v>
      </c>
      <c r="G261" s="1" t="s">
        <v>26</v>
      </c>
      <c r="H261" s="1">
        <v>18798</v>
      </c>
      <c r="I261" s="1" t="s">
        <v>19</v>
      </c>
      <c r="J261" s="1">
        <v>0.2</v>
      </c>
      <c r="K261" s="1">
        <v>17000</v>
      </c>
      <c r="L261" s="2">
        <v>45342</v>
      </c>
    </row>
    <row r="262" spans="1:12" x14ac:dyDescent="0.35">
      <c r="A262" s="1" t="s">
        <v>449</v>
      </c>
      <c r="B262" s="1" t="s">
        <v>301</v>
      </c>
      <c r="C262" s="1" t="s">
        <v>44</v>
      </c>
      <c r="D262" s="1" t="s">
        <v>45</v>
      </c>
      <c r="E262" s="1" t="s">
        <v>32</v>
      </c>
      <c r="F262" s="1" t="s">
        <v>25</v>
      </c>
      <c r="G262" s="1" t="s">
        <v>18</v>
      </c>
      <c r="H262" s="1">
        <v>11969</v>
      </c>
      <c r="I262" s="1"/>
      <c r="J262" s="1"/>
      <c r="K262" s="1">
        <v>13000</v>
      </c>
      <c r="L262" s="2">
        <v>45293</v>
      </c>
    </row>
    <row r="263" spans="1:12" x14ac:dyDescent="0.35">
      <c r="A263" s="1" t="s">
        <v>450</v>
      </c>
      <c r="B263" s="1" t="s">
        <v>301</v>
      </c>
      <c r="C263" s="1" t="s">
        <v>30</v>
      </c>
      <c r="D263" s="1" t="s">
        <v>31</v>
      </c>
      <c r="E263" s="1" t="s">
        <v>46</v>
      </c>
      <c r="F263" s="1" t="s">
        <v>39</v>
      </c>
      <c r="G263" s="1" t="s">
        <v>18</v>
      </c>
      <c r="H263" s="1">
        <v>17506</v>
      </c>
      <c r="I263" s="1" t="s">
        <v>22</v>
      </c>
      <c r="J263" s="1">
        <v>0.1</v>
      </c>
      <c r="K263" s="1">
        <v>17000</v>
      </c>
      <c r="L263" s="2">
        <v>45296</v>
      </c>
    </row>
    <row r="264" spans="1:12" x14ac:dyDescent="0.35">
      <c r="A264" s="1" t="s">
        <v>451</v>
      </c>
      <c r="B264" s="1" t="s">
        <v>70</v>
      </c>
      <c r="C264" s="1" t="s">
        <v>61</v>
      </c>
      <c r="D264" s="1" t="s">
        <v>62</v>
      </c>
      <c r="E264" s="1" t="s">
        <v>16</v>
      </c>
      <c r="F264" s="1" t="s">
        <v>17</v>
      </c>
      <c r="G264" s="1" t="s">
        <v>36</v>
      </c>
      <c r="H264" s="1">
        <v>10372</v>
      </c>
      <c r="I264" s="1" t="s">
        <v>27</v>
      </c>
      <c r="J264" s="1"/>
      <c r="K264" s="1">
        <v>9000</v>
      </c>
      <c r="L264" s="2">
        <v>45296</v>
      </c>
    </row>
    <row r="265" spans="1:12" x14ac:dyDescent="0.35">
      <c r="A265" s="1" t="s">
        <v>452</v>
      </c>
      <c r="B265" s="1" t="s">
        <v>74</v>
      </c>
      <c r="C265" s="1" t="s">
        <v>14</v>
      </c>
      <c r="D265" s="1" t="s">
        <v>15</v>
      </c>
      <c r="E265" s="1" t="s">
        <v>46</v>
      </c>
      <c r="F265" s="1" t="s">
        <v>17</v>
      </c>
      <c r="G265" s="1" t="s">
        <v>26</v>
      </c>
      <c r="H265" s="1">
        <v>14119</v>
      </c>
      <c r="I265" s="1" t="s">
        <v>33</v>
      </c>
      <c r="J265" s="1">
        <v>0.3</v>
      </c>
      <c r="K265" s="1">
        <v>14000</v>
      </c>
      <c r="L265" s="2">
        <v>45300</v>
      </c>
    </row>
    <row r="266" spans="1:12" x14ac:dyDescent="0.35">
      <c r="A266" s="1" t="s">
        <v>453</v>
      </c>
      <c r="B266" s="1" t="s">
        <v>454</v>
      </c>
      <c r="C266" s="1" t="s">
        <v>44</v>
      </c>
      <c r="D266" s="1" t="s">
        <v>45</v>
      </c>
      <c r="E266" s="1" t="s">
        <v>32</v>
      </c>
      <c r="F266" s="1" t="s">
        <v>17</v>
      </c>
      <c r="G266" s="1" t="s">
        <v>26</v>
      </c>
      <c r="H266" s="1">
        <v>14730</v>
      </c>
      <c r="I266" s="1" t="s">
        <v>22</v>
      </c>
      <c r="J266" s="1">
        <v>0.1</v>
      </c>
      <c r="K266" s="1">
        <v>13000</v>
      </c>
      <c r="L266" s="2">
        <v>45345</v>
      </c>
    </row>
    <row r="267" spans="1:12" x14ac:dyDescent="0.35">
      <c r="A267" s="1" t="s">
        <v>455</v>
      </c>
      <c r="B267" s="1" t="s">
        <v>241</v>
      </c>
      <c r="C267" s="1" t="s">
        <v>44</v>
      </c>
      <c r="D267" s="1" t="s">
        <v>45</v>
      </c>
      <c r="E267" s="1" t="s">
        <v>46</v>
      </c>
      <c r="F267" s="1" t="s">
        <v>25</v>
      </c>
      <c r="G267" s="1" t="s">
        <v>18</v>
      </c>
      <c r="H267" s="1">
        <v>12321</v>
      </c>
      <c r="I267" s="1" t="s">
        <v>19</v>
      </c>
      <c r="J267" s="1">
        <v>0.2</v>
      </c>
      <c r="K267" s="1">
        <v>13000</v>
      </c>
      <c r="L267" s="2">
        <v>45314</v>
      </c>
    </row>
    <row r="268" spans="1:12" x14ac:dyDescent="0.35">
      <c r="A268" s="1" t="s">
        <v>456</v>
      </c>
      <c r="B268" s="1" t="s">
        <v>448</v>
      </c>
      <c r="C268" s="1" t="s">
        <v>14</v>
      </c>
      <c r="D268" s="1" t="s">
        <v>15</v>
      </c>
      <c r="E268" s="1" t="s">
        <v>46</v>
      </c>
      <c r="F268" s="1" t="s">
        <v>25</v>
      </c>
      <c r="G268" s="1" t="s">
        <v>26</v>
      </c>
      <c r="H268" s="1">
        <v>15917</v>
      </c>
      <c r="I268" s="1" t="s">
        <v>27</v>
      </c>
      <c r="J268" s="1"/>
      <c r="K268" s="1">
        <v>14000</v>
      </c>
      <c r="L268" s="2">
        <v>45309</v>
      </c>
    </row>
    <row r="269" spans="1:12" x14ac:dyDescent="0.35">
      <c r="A269" s="1" t="s">
        <v>457</v>
      </c>
      <c r="B269" s="1" t="s">
        <v>113</v>
      </c>
      <c r="C269" s="1" t="s">
        <v>30</v>
      </c>
      <c r="D269" s="1" t="s">
        <v>31</v>
      </c>
      <c r="E269" s="1" t="s">
        <v>16</v>
      </c>
      <c r="F269" s="1" t="s">
        <v>39</v>
      </c>
      <c r="G269" s="1" t="s">
        <v>18</v>
      </c>
      <c r="H269" s="1">
        <v>17058</v>
      </c>
      <c r="I269" s="1" t="s">
        <v>19</v>
      </c>
      <c r="J269" s="1">
        <v>0.2</v>
      </c>
      <c r="K269" s="1">
        <v>17000</v>
      </c>
      <c r="L269" s="2">
        <v>45329</v>
      </c>
    </row>
    <row r="270" spans="1:12" x14ac:dyDescent="0.35">
      <c r="A270" s="1" t="s">
        <v>458</v>
      </c>
      <c r="B270" s="1" t="s">
        <v>373</v>
      </c>
      <c r="C270" s="1" t="s">
        <v>44</v>
      </c>
      <c r="D270" s="1" t="s">
        <v>45</v>
      </c>
      <c r="E270" s="1" t="s">
        <v>16</v>
      </c>
      <c r="F270" s="1" t="s">
        <v>39</v>
      </c>
      <c r="G270" s="1" t="s">
        <v>26</v>
      </c>
      <c r="H270" s="1">
        <v>14694</v>
      </c>
      <c r="I270" s="1" t="s">
        <v>27</v>
      </c>
      <c r="J270" s="1"/>
      <c r="K270" s="1">
        <v>13000</v>
      </c>
      <c r="L270" s="2">
        <v>45313</v>
      </c>
    </row>
    <row r="271" spans="1:12" x14ac:dyDescent="0.35">
      <c r="A271" s="1" t="s">
        <v>459</v>
      </c>
      <c r="B271" s="1" t="s">
        <v>460</v>
      </c>
      <c r="C271" s="1" t="s">
        <v>14</v>
      </c>
      <c r="D271" s="1" t="s">
        <v>15</v>
      </c>
      <c r="E271" s="1" t="s">
        <v>32</v>
      </c>
      <c r="F271" s="1" t="s">
        <v>25</v>
      </c>
      <c r="G271" s="1" t="s">
        <v>18</v>
      </c>
      <c r="H271" s="1">
        <v>15885</v>
      </c>
      <c r="I271" s="1" t="s">
        <v>27</v>
      </c>
      <c r="J271" s="1"/>
      <c r="K271" s="1">
        <v>14000</v>
      </c>
      <c r="L271" s="2">
        <v>45308</v>
      </c>
    </row>
    <row r="272" spans="1:12" x14ac:dyDescent="0.35">
      <c r="A272" s="1" t="s">
        <v>461</v>
      </c>
      <c r="B272" s="1" t="s">
        <v>239</v>
      </c>
      <c r="C272" s="1" t="s">
        <v>61</v>
      </c>
      <c r="D272" s="1" t="s">
        <v>62</v>
      </c>
      <c r="E272" s="1" t="s">
        <v>16</v>
      </c>
      <c r="F272" s="1" t="s">
        <v>39</v>
      </c>
      <c r="G272" s="1" t="s">
        <v>18</v>
      </c>
      <c r="H272" s="1">
        <v>9039</v>
      </c>
      <c r="I272" s="1" t="s">
        <v>27</v>
      </c>
      <c r="J272" s="1"/>
      <c r="K272" s="1">
        <v>9000</v>
      </c>
      <c r="L272" s="2">
        <v>45310</v>
      </c>
    </row>
    <row r="273" spans="1:12" x14ac:dyDescent="0.35">
      <c r="A273" s="1" t="s">
        <v>462</v>
      </c>
      <c r="B273" s="1" t="s">
        <v>278</v>
      </c>
      <c r="C273" s="1" t="s">
        <v>61</v>
      </c>
      <c r="D273" s="1" t="s">
        <v>62</v>
      </c>
      <c r="E273" s="1" t="s">
        <v>32</v>
      </c>
      <c r="F273" s="1" t="s">
        <v>39</v>
      </c>
      <c r="G273" s="1" t="s">
        <v>36</v>
      </c>
      <c r="H273" s="1">
        <v>8218</v>
      </c>
      <c r="I273" s="1"/>
      <c r="J273" s="1"/>
      <c r="K273" s="1">
        <v>9000</v>
      </c>
      <c r="L273" s="2">
        <v>45296</v>
      </c>
    </row>
    <row r="274" spans="1:12" x14ac:dyDescent="0.35">
      <c r="A274" s="1" t="s">
        <v>463</v>
      </c>
      <c r="B274" s="1" t="s">
        <v>464</v>
      </c>
      <c r="C274" s="1" t="s">
        <v>44</v>
      </c>
      <c r="D274" s="1" t="s">
        <v>45</v>
      </c>
      <c r="E274" s="1" t="s">
        <v>46</v>
      </c>
      <c r="F274" s="1" t="s">
        <v>17</v>
      </c>
      <c r="G274" s="1" t="s">
        <v>36</v>
      </c>
      <c r="H274" s="1">
        <v>12902</v>
      </c>
      <c r="I274" s="1" t="s">
        <v>19</v>
      </c>
      <c r="J274" s="1">
        <v>0.2</v>
      </c>
      <c r="K274" s="1">
        <v>13000</v>
      </c>
      <c r="L274" s="2">
        <v>45313</v>
      </c>
    </row>
    <row r="275" spans="1:12" x14ac:dyDescent="0.35">
      <c r="A275" s="1" t="s">
        <v>465</v>
      </c>
      <c r="B275" s="1" t="s">
        <v>373</v>
      </c>
      <c r="C275" s="1" t="s">
        <v>30</v>
      </c>
      <c r="D275" s="1" t="s">
        <v>31</v>
      </c>
      <c r="E275" s="1" t="s">
        <v>16</v>
      </c>
      <c r="F275" s="1" t="s">
        <v>17</v>
      </c>
      <c r="G275" s="1" t="s">
        <v>26</v>
      </c>
      <c r="H275" s="1">
        <v>18525</v>
      </c>
      <c r="I275" s="1" t="s">
        <v>33</v>
      </c>
      <c r="J275" s="1">
        <v>0.3</v>
      </c>
      <c r="K275" s="1">
        <v>17000</v>
      </c>
      <c r="L275" s="2">
        <v>45317</v>
      </c>
    </row>
    <row r="276" spans="1:12" x14ac:dyDescent="0.35">
      <c r="A276" s="1" t="s">
        <v>466</v>
      </c>
      <c r="B276" s="1" t="s">
        <v>135</v>
      </c>
      <c r="C276" s="1" t="s">
        <v>30</v>
      </c>
      <c r="D276" s="1" t="s">
        <v>31</v>
      </c>
      <c r="E276" s="1" t="s">
        <v>16</v>
      </c>
      <c r="F276" s="1" t="s">
        <v>39</v>
      </c>
      <c r="G276" s="1" t="s">
        <v>18</v>
      </c>
      <c r="H276" s="1">
        <v>16307</v>
      </c>
      <c r="I276" s="1" t="s">
        <v>19</v>
      </c>
      <c r="J276" s="1">
        <v>0.2</v>
      </c>
      <c r="K276" s="1">
        <v>17000</v>
      </c>
      <c r="L276" s="2">
        <v>45321</v>
      </c>
    </row>
    <row r="277" spans="1:12" x14ac:dyDescent="0.35">
      <c r="A277" s="1" t="s">
        <v>467</v>
      </c>
      <c r="B277" s="1" t="s">
        <v>263</v>
      </c>
      <c r="C277" s="1" t="s">
        <v>61</v>
      </c>
      <c r="D277" s="1" t="s">
        <v>62</v>
      </c>
      <c r="E277" s="1" t="s">
        <v>32</v>
      </c>
      <c r="F277" s="1" t="s">
        <v>25</v>
      </c>
      <c r="G277" s="1" t="s">
        <v>18</v>
      </c>
      <c r="H277" s="1">
        <v>7207</v>
      </c>
      <c r="I277" s="1" t="s">
        <v>33</v>
      </c>
      <c r="J277" s="1">
        <v>0.3</v>
      </c>
      <c r="K277" s="1">
        <v>9000</v>
      </c>
      <c r="L277" s="2">
        <v>45352</v>
      </c>
    </row>
    <row r="278" spans="1:12" x14ac:dyDescent="0.35">
      <c r="A278" s="1" t="s">
        <v>468</v>
      </c>
      <c r="B278" s="1" t="s">
        <v>309</v>
      </c>
      <c r="C278" s="1" t="s">
        <v>61</v>
      </c>
      <c r="D278" s="1" t="s">
        <v>62</v>
      </c>
      <c r="E278" s="1" t="s">
        <v>32</v>
      </c>
      <c r="F278" s="1" t="s">
        <v>25</v>
      </c>
      <c r="G278" s="1" t="s">
        <v>36</v>
      </c>
      <c r="H278" s="1">
        <v>10824</v>
      </c>
      <c r="I278" s="1" t="s">
        <v>27</v>
      </c>
      <c r="J278" s="1"/>
      <c r="K278" s="1">
        <v>9000</v>
      </c>
      <c r="L278" s="2">
        <v>45338</v>
      </c>
    </row>
    <row r="279" spans="1:12" x14ac:dyDescent="0.35">
      <c r="A279" s="1" t="s">
        <v>469</v>
      </c>
      <c r="B279" s="1" t="s">
        <v>408</v>
      </c>
      <c r="C279" s="1" t="s">
        <v>44</v>
      </c>
      <c r="D279" s="1" t="s">
        <v>45</v>
      </c>
      <c r="E279" s="1" t="s">
        <v>46</v>
      </c>
      <c r="F279" s="1" t="s">
        <v>39</v>
      </c>
      <c r="G279" s="1" t="s">
        <v>36</v>
      </c>
      <c r="H279" s="1">
        <v>13042</v>
      </c>
      <c r="I279" s="1" t="s">
        <v>33</v>
      </c>
      <c r="J279" s="1">
        <v>0.3</v>
      </c>
      <c r="K279" s="1">
        <v>13000</v>
      </c>
      <c r="L279" s="2">
        <v>45323</v>
      </c>
    </row>
    <row r="280" spans="1:12" x14ac:dyDescent="0.35">
      <c r="A280" s="1" t="s">
        <v>470</v>
      </c>
      <c r="B280" s="1" t="s">
        <v>76</v>
      </c>
      <c r="C280" s="1" t="s">
        <v>61</v>
      </c>
      <c r="D280" s="1" t="s">
        <v>62</v>
      </c>
      <c r="E280" s="1" t="s">
        <v>16</v>
      </c>
      <c r="F280" s="1" t="s">
        <v>17</v>
      </c>
      <c r="G280" s="1" t="s">
        <v>18</v>
      </c>
      <c r="H280" s="1">
        <v>7881</v>
      </c>
      <c r="I280" s="1" t="s">
        <v>27</v>
      </c>
      <c r="J280" s="1"/>
      <c r="K280" s="1">
        <v>9000</v>
      </c>
      <c r="L280" s="2">
        <v>45314</v>
      </c>
    </row>
    <row r="281" spans="1:12" x14ac:dyDescent="0.35">
      <c r="A281" s="1" t="s">
        <v>471</v>
      </c>
      <c r="B281" s="1" t="s">
        <v>161</v>
      </c>
      <c r="C281" s="1" t="s">
        <v>30</v>
      </c>
      <c r="D281" s="1" t="s">
        <v>31</v>
      </c>
      <c r="E281" s="1" t="s">
        <v>46</v>
      </c>
      <c r="F281" s="1" t="s">
        <v>39</v>
      </c>
      <c r="G281" s="1" t="s">
        <v>26</v>
      </c>
      <c r="H281" s="1">
        <v>17754</v>
      </c>
      <c r="I281" s="1"/>
      <c r="J281" s="1"/>
      <c r="K281" s="1">
        <v>17000</v>
      </c>
      <c r="L281" s="2">
        <v>45310</v>
      </c>
    </row>
    <row r="282" spans="1:12" x14ac:dyDescent="0.35">
      <c r="A282" s="1" t="s">
        <v>472</v>
      </c>
      <c r="B282" s="1" t="s">
        <v>184</v>
      </c>
      <c r="C282" s="1" t="s">
        <v>14</v>
      </c>
      <c r="D282" s="1" t="s">
        <v>15</v>
      </c>
      <c r="E282" s="1" t="s">
        <v>46</v>
      </c>
      <c r="F282" s="1" t="s">
        <v>25</v>
      </c>
      <c r="G282" s="1" t="s">
        <v>36</v>
      </c>
      <c r="H282" s="1">
        <v>14979</v>
      </c>
      <c r="I282" s="1" t="s">
        <v>33</v>
      </c>
      <c r="J282" s="1">
        <v>0.3</v>
      </c>
      <c r="K282" s="1">
        <v>14000</v>
      </c>
      <c r="L282" s="2">
        <v>45340</v>
      </c>
    </row>
    <row r="283" spans="1:12" x14ac:dyDescent="0.35">
      <c r="A283" s="1" t="s">
        <v>473</v>
      </c>
      <c r="B283" s="1" t="s">
        <v>474</v>
      </c>
      <c r="C283" s="1" t="s">
        <v>14</v>
      </c>
      <c r="D283" s="1" t="s">
        <v>15</v>
      </c>
      <c r="E283" s="1" t="s">
        <v>46</v>
      </c>
      <c r="F283" s="1" t="s">
        <v>25</v>
      </c>
      <c r="G283" s="1" t="s">
        <v>26</v>
      </c>
      <c r="H283" s="1">
        <v>14301</v>
      </c>
      <c r="I283" s="1" t="s">
        <v>19</v>
      </c>
      <c r="J283" s="1">
        <v>0.2</v>
      </c>
      <c r="K283" s="1">
        <v>14000</v>
      </c>
      <c r="L283" s="2">
        <v>45315</v>
      </c>
    </row>
    <row r="284" spans="1:12" x14ac:dyDescent="0.35">
      <c r="A284" s="1" t="s">
        <v>475</v>
      </c>
      <c r="B284" s="1" t="s">
        <v>448</v>
      </c>
      <c r="C284" s="1" t="s">
        <v>14</v>
      </c>
      <c r="D284" s="1" t="s">
        <v>15</v>
      </c>
      <c r="E284" s="1" t="s">
        <v>46</v>
      </c>
      <c r="F284" s="1" t="s">
        <v>39</v>
      </c>
      <c r="G284" s="1" t="s">
        <v>36</v>
      </c>
      <c r="H284" s="1">
        <v>15130</v>
      </c>
      <c r="I284" s="1" t="s">
        <v>27</v>
      </c>
      <c r="J284" s="1"/>
      <c r="K284" s="1">
        <v>14000</v>
      </c>
      <c r="L284" s="2">
        <v>45309</v>
      </c>
    </row>
    <row r="285" spans="1:12" x14ac:dyDescent="0.35">
      <c r="A285" s="1" t="s">
        <v>476</v>
      </c>
      <c r="B285" s="1" t="s">
        <v>460</v>
      </c>
      <c r="C285" s="1" t="s">
        <v>14</v>
      </c>
      <c r="D285" s="1" t="s">
        <v>15</v>
      </c>
      <c r="E285" s="1" t="s">
        <v>32</v>
      </c>
      <c r="F285" s="1" t="s">
        <v>25</v>
      </c>
      <c r="G285" s="1" t="s">
        <v>36</v>
      </c>
      <c r="H285" s="1">
        <v>13528</v>
      </c>
      <c r="I285" s="1" t="s">
        <v>33</v>
      </c>
      <c r="J285" s="1">
        <v>0.3</v>
      </c>
      <c r="K285" s="1">
        <v>14000</v>
      </c>
      <c r="L285" s="2">
        <v>45327</v>
      </c>
    </row>
    <row r="286" spans="1:12" x14ac:dyDescent="0.35">
      <c r="A286" s="1" t="s">
        <v>477</v>
      </c>
      <c r="B286" s="1" t="s">
        <v>478</v>
      </c>
      <c r="C286" s="1" t="s">
        <v>44</v>
      </c>
      <c r="D286" s="1" t="s">
        <v>45</v>
      </c>
      <c r="E286" s="1" t="s">
        <v>32</v>
      </c>
      <c r="F286" s="1" t="s">
        <v>39</v>
      </c>
      <c r="G286" s="1" t="s">
        <v>26</v>
      </c>
      <c r="H286" s="1">
        <v>12644</v>
      </c>
      <c r="I286" s="1" t="s">
        <v>27</v>
      </c>
      <c r="J286" s="1"/>
      <c r="K286" s="1">
        <v>13000</v>
      </c>
      <c r="L286" s="2">
        <v>45294</v>
      </c>
    </row>
    <row r="287" spans="1:12" x14ac:dyDescent="0.35">
      <c r="A287" s="1" t="s">
        <v>479</v>
      </c>
      <c r="B287" s="1" t="s">
        <v>161</v>
      </c>
      <c r="C287" s="1" t="s">
        <v>44</v>
      </c>
      <c r="D287" s="1" t="s">
        <v>45</v>
      </c>
      <c r="E287" s="1" t="s">
        <v>16</v>
      </c>
      <c r="F287" s="1" t="s">
        <v>17</v>
      </c>
      <c r="G287" s="1" t="s">
        <v>36</v>
      </c>
      <c r="H287" s="1">
        <v>13127</v>
      </c>
      <c r="I287" s="1"/>
      <c r="J287" s="1"/>
      <c r="K287" s="1">
        <v>13000</v>
      </c>
      <c r="L287" s="2">
        <v>45301</v>
      </c>
    </row>
    <row r="288" spans="1:12" x14ac:dyDescent="0.35">
      <c r="A288" s="1" t="s">
        <v>480</v>
      </c>
      <c r="B288" s="1" t="s">
        <v>86</v>
      </c>
      <c r="C288" s="1" t="s">
        <v>44</v>
      </c>
      <c r="D288" s="1" t="s">
        <v>45</v>
      </c>
      <c r="E288" s="1" t="s">
        <v>46</v>
      </c>
      <c r="F288" s="1" t="s">
        <v>39</v>
      </c>
      <c r="G288" s="1" t="s">
        <v>36</v>
      </c>
      <c r="H288" s="1">
        <v>11665</v>
      </c>
      <c r="I288" s="1"/>
      <c r="J288" s="1"/>
      <c r="K288" s="1">
        <v>13000</v>
      </c>
      <c r="L288" s="2">
        <v>45331</v>
      </c>
    </row>
    <row r="289" spans="1:12" x14ac:dyDescent="0.35">
      <c r="A289" s="1" t="s">
        <v>481</v>
      </c>
      <c r="B289" s="1" t="s">
        <v>371</v>
      </c>
      <c r="C289" s="1" t="s">
        <v>30</v>
      </c>
      <c r="D289" s="1" t="s">
        <v>31</v>
      </c>
      <c r="E289" s="1" t="s">
        <v>16</v>
      </c>
      <c r="F289" s="1" t="s">
        <v>17</v>
      </c>
      <c r="G289" s="1" t="s">
        <v>26</v>
      </c>
      <c r="H289" s="1">
        <v>18392</v>
      </c>
      <c r="I289" s="1" t="s">
        <v>27</v>
      </c>
      <c r="J289" s="1"/>
      <c r="K289" s="1">
        <v>17000</v>
      </c>
      <c r="L289" s="2">
        <v>45326</v>
      </c>
    </row>
    <row r="290" spans="1:12" x14ac:dyDescent="0.35">
      <c r="A290" s="1" t="s">
        <v>482</v>
      </c>
      <c r="B290" s="1" t="s">
        <v>483</v>
      </c>
      <c r="C290" s="1" t="s">
        <v>30</v>
      </c>
      <c r="D290" s="1" t="s">
        <v>31</v>
      </c>
      <c r="E290" s="1" t="s">
        <v>46</v>
      </c>
      <c r="F290" s="1" t="s">
        <v>25</v>
      </c>
      <c r="G290" s="1" t="s">
        <v>36</v>
      </c>
      <c r="H290" s="1">
        <v>16356</v>
      </c>
      <c r="I290" s="1" t="s">
        <v>22</v>
      </c>
      <c r="J290" s="1">
        <v>0.1</v>
      </c>
      <c r="K290" s="1">
        <v>17000</v>
      </c>
      <c r="L290" s="2">
        <v>45318</v>
      </c>
    </row>
    <row r="291" spans="1:12" x14ac:dyDescent="0.35">
      <c r="A291" s="1" t="s">
        <v>484</v>
      </c>
      <c r="B291" s="1" t="s">
        <v>291</v>
      </c>
      <c r="C291" s="1" t="s">
        <v>14</v>
      </c>
      <c r="D291" s="1" t="s">
        <v>15</v>
      </c>
      <c r="E291" s="1" t="s">
        <v>16</v>
      </c>
      <c r="F291" s="1" t="s">
        <v>17</v>
      </c>
      <c r="G291" s="1" t="s">
        <v>36</v>
      </c>
      <c r="H291" s="1">
        <v>15961</v>
      </c>
      <c r="I291" s="1" t="s">
        <v>27</v>
      </c>
      <c r="J291" s="1"/>
      <c r="K291" s="1">
        <v>14000</v>
      </c>
      <c r="L291" s="2">
        <v>45328</v>
      </c>
    </row>
    <row r="292" spans="1:12" x14ac:dyDescent="0.35">
      <c r="A292" s="1" t="s">
        <v>485</v>
      </c>
      <c r="B292" s="1" t="s">
        <v>220</v>
      </c>
      <c r="C292" s="1" t="s">
        <v>14</v>
      </c>
      <c r="D292" s="1" t="s">
        <v>15</v>
      </c>
      <c r="E292" s="1" t="s">
        <v>16</v>
      </c>
      <c r="F292" s="1" t="s">
        <v>17</v>
      </c>
      <c r="G292" s="1" t="s">
        <v>18</v>
      </c>
      <c r="H292" s="1">
        <v>14147</v>
      </c>
      <c r="I292" s="1" t="s">
        <v>27</v>
      </c>
      <c r="J292" s="1"/>
      <c r="K292" s="1">
        <v>14000</v>
      </c>
      <c r="L292" s="2">
        <v>45341</v>
      </c>
    </row>
    <row r="293" spans="1:12" x14ac:dyDescent="0.35">
      <c r="A293" s="1" t="s">
        <v>486</v>
      </c>
      <c r="B293" s="1" t="s">
        <v>487</v>
      </c>
      <c r="C293" s="1" t="s">
        <v>44</v>
      </c>
      <c r="D293" s="1" t="s">
        <v>45</v>
      </c>
      <c r="E293" s="1" t="s">
        <v>16</v>
      </c>
      <c r="F293" s="1" t="s">
        <v>25</v>
      </c>
      <c r="G293" s="1" t="s">
        <v>18</v>
      </c>
      <c r="H293" s="1">
        <v>13345</v>
      </c>
      <c r="I293" s="1" t="s">
        <v>22</v>
      </c>
      <c r="J293" s="1">
        <v>0.1</v>
      </c>
      <c r="K293" s="1">
        <v>13000</v>
      </c>
      <c r="L293" s="2">
        <v>45304</v>
      </c>
    </row>
    <row r="294" spans="1:12" x14ac:dyDescent="0.35">
      <c r="A294" s="1" t="s">
        <v>488</v>
      </c>
      <c r="B294" s="1" t="s">
        <v>489</v>
      </c>
      <c r="C294" s="1" t="s">
        <v>30</v>
      </c>
      <c r="D294" s="1" t="s">
        <v>31</v>
      </c>
      <c r="E294" s="1" t="s">
        <v>46</v>
      </c>
      <c r="F294" s="1" t="s">
        <v>25</v>
      </c>
      <c r="G294" s="1" t="s">
        <v>36</v>
      </c>
      <c r="H294" s="1">
        <v>17828</v>
      </c>
      <c r="I294" s="1" t="s">
        <v>19</v>
      </c>
      <c r="J294" s="1">
        <v>0.2</v>
      </c>
      <c r="K294" s="1">
        <v>17000</v>
      </c>
      <c r="L294" s="2">
        <v>45318</v>
      </c>
    </row>
    <row r="295" spans="1:12" x14ac:dyDescent="0.35">
      <c r="A295" s="1" t="s">
        <v>490</v>
      </c>
      <c r="B295" s="1" t="s">
        <v>82</v>
      </c>
      <c r="C295" s="1" t="s">
        <v>61</v>
      </c>
      <c r="D295" s="1" t="s">
        <v>62</v>
      </c>
      <c r="E295" s="1" t="s">
        <v>16</v>
      </c>
      <c r="F295" s="1" t="s">
        <v>39</v>
      </c>
      <c r="G295" s="1" t="s">
        <v>18</v>
      </c>
      <c r="H295" s="1">
        <v>9890</v>
      </c>
      <c r="I295" s="1" t="s">
        <v>19</v>
      </c>
      <c r="J295" s="1">
        <v>0.2</v>
      </c>
      <c r="K295" s="1">
        <v>9000</v>
      </c>
      <c r="L295" s="2">
        <v>45325</v>
      </c>
    </row>
    <row r="296" spans="1:12" x14ac:dyDescent="0.35">
      <c r="A296" s="1" t="s">
        <v>491</v>
      </c>
      <c r="B296" s="1" t="s">
        <v>24</v>
      </c>
      <c r="C296" s="1" t="s">
        <v>30</v>
      </c>
      <c r="D296" s="1" t="s">
        <v>31</v>
      </c>
      <c r="E296" s="1" t="s">
        <v>16</v>
      </c>
      <c r="F296" s="1" t="s">
        <v>17</v>
      </c>
      <c r="G296" s="1" t="s">
        <v>26</v>
      </c>
      <c r="H296" s="1">
        <v>16543</v>
      </c>
      <c r="I296" s="1" t="s">
        <v>33</v>
      </c>
      <c r="J296" s="1">
        <v>0.3</v>
      </c>
      <c r="K296" s="1">
        <v>17000</v>
      </c>
      <c r="L296" s="2">
        <v>45303</v>
      </c>
    </row>
    <row r="297" spans="1:12" x14ac:dyDescent="0.35">
      <c r="A297" s="1" t="s">
        <v>492</v>
      </c>
      <c r="B297" s="1" t="s">
        <v>330</v>
      </c>
      <c r="C297" s="1" t="s">
        <v>30</v>
      </c>
      <c r="D297" s="1" t="s">
        <v>31</v>
      </c>
      <c r="E297" s="1" t="s">
        <v>16</v>
      </c>
      <c r="F297" s="1" t="s">
        <v>17</v>
      </c>
      <c r="G297" s="1" t="s">
        <v>26</v>
      </c>
      <c r="H297" s="1">
        <v>18162</v>
      </c>
      <c r="I297" s="1" t="s">
        <v>33</v>
      </c>
      <c r="J297" s="1">
        <v>0.3</v>
      </c>
      <c r="K297" s="1">
        <v>17000</v>
      </c>
      <c r="L297" s="2">
        <v>45331</v>
      </c>
    </row>
    <row r="298" spans="1:12" x14ac:dyDescent="0.35">
      <c r="A298" s="1" t="s">
        <v>493</v>
      </c>
      <c r="B298" s="1" t="s">
        <v>211</v>
      </c>
      <c r="C298" s="1" t="s">
        <v>44</v>
      </c>
      <c r="D298" s="1" t="s">
        <v>45</v>
      </c>
      <c r="E298" s="1" t="s">
        <v>46</v>
      </c>
      <c r="F298" s="1" t="s">
        <v>39</v>
      </c>
      <c r="G298" s="1" t="s">
        <v>36</v>
      </c>
      <c r="H298" s="1">
        <v>11921</v>
      </c>
      <c r="I298" s="1" t="s">
        <v>33</v>
      </c>
      <c r="J298" s="1">
        <v>0.3</v>
      </c>
      <c r="K298" s="1">
        <v>13000</v>
      </c>
      <c r="L298" s="2">
        <v>45341</v>
      </c>
    </row>
    <row r="299" spans="1:12" x14ac:dyDescent="0.35">
      <c r="A299" s="1" t="s">
        <v>494</v>
      </c>
      <c r="B299" s="1" t="s">
        <v>350</v>
      </c>
      <c r="C299" s="1" t="s">
        <v>44</v>
      </c>
      <c r="D299" s="1" t="s">
        <v>45</v>
      </c>
      <c r="E299" s="1" t="s">
        <v>16</v>
      </c>
      <c r="F299" s="1" t="s">
        <v>39</v>
      </c>
      <c r="G299" s="1" t="s">
        <v>36</v>
      </c>
      <c r="H299" s="1">
        <v>12298</v>
      </c>
      <c r="I299" s="1"/>
      <c r="J299" s="1"/>
      <c r="K299" s="1">
        <v>13000</v>
      </c>
      <c r="L299" s="2">
        <v>45314</v>
      </c>
    </row>
    <row r="300" spans="1:12" x14ac:dyDescent="0.35">
      <c r="A300" s="1" t="s">
        <v>495</v>
      </c>
      <c r="B300" s="1" t="s">
        <v>82</v>
      </c>
      <c r="C300" s="1" t="s">
        <v>30</v>
      </c>
      <c r="D300" s="1" t="s">
        <v>31</v>
      </c>
      <c r="E300" s="1" t="s">
        <v>46</v>
      </c>
      <c r="F300" s="1" t="s">
        <v>25</v>
      </c>
      <c r="G300" s="1" t="s">
        <v>26</v>
      </c>
      <c r="H300" s="1">
        <v>17771</v>
      </c>
      <c r="I300" s="1" t="s">
        <v>27</v>
      </c>
      <c r="J300" s="1"/>
      <c r="K300" s="1">
        <v>17000</v>
      </c>
      <c r="L300" s="2">
        <v>45316</v>
      </c>
    </row>
    <row r="301" spans="1:12" x14ac:dyDescent="0.35">
      <c r="A301" s="1" t="s">
        <v>496</v>
      </c>
      <c r="B301" s="1" t="s">
        <v>137</v>
      </c>
      <c r="C301" s="1" t="s">
        <v>30</v>
      </c>
      <c r="D301" s="1" t="s">
        <v>31</v>
      </c>
      <c r="E301" s="1" t="s">
        <v>32</v>
      </c>
      <c r="F301" s="1" t="s">
        <v>17</v>
      </c>
      <c r="G301" s="1" t="s">
        <v>18</v>
      </c>
      <c r="H301" s="1">
        <v>16178</v>
      </c>
      <c r="I301" s="1" t="s">
        <v>22</v>
      </c>
      <c r="J301" s="1">
        <v>0.1</v>
      </c>
      <c r="K301" s="1">
        <v>17000</v>
      </c>
      <c r="L301" s="2">
        <v>45314</v>
      </c>
    </row>
    <row r="302" spans="1:12" x14ac:dyDescent="0.35">
      <c r="A302" s="1" t="s">
        <v>497</v>
      </c>
      <c r="B302" s="1" t="s">
        <v>445</v>
      </c>
      <c r="C302" s="1" t="s">
        <v>30</v>
      </c>
      <c r="D302" s="1" t="s">
        <v>31</v>
      </c>
      <c r="E302" s="1" t="s">
        <v>16</v>
      </c>
      <c r="F302" s="1" t="s">
        <v>17</v>
      </c>
      <c r="G302" s="1" t="s">
        <v>18</v>
      </c>
      <c r="H302" s="1">
        <v>15827</v>
      </c>
      <c r="I302" s="1" t="s">
        <v>27</v>
      </c>
      <c r="J302" s="1"/>
      <c r="K302" s="1">
        <v>17000</v>
      </c>
      <c r="L302" s="2">
        <v>45309</v>
      </c>
    </row>
    <row r="303" spans="1:12" x14ac:dyDescent="0.35">
      <c r="A303" s="1" t="s">
        <v>498</v>
      </c>
      <c r="B303" s="1" t="s">
        <v>84</v>
      </c>
      <c r="C303" s="1" t="s">
        <v>30</v>
      </c>
      <c r="D303" s="1" t="s">
        <v>31</v>
      </c>
      <c r="E303" s="1" t="s">
        <v>32</v>
      </c>
      <c r="F303" s="1" t="s">
        <v>25</v>
      </c>
      <c r="G303" s="1" t="s">
        <v>26</v>
      </c>
      <c r="H303" s="1">
        <v>18034</v>
      </c>
      <c r="I303" s="1" t="s">
        <v>27</v>
      </c>
      <c r="J303" s="1"/>
      <c r="K303" s="1">
        <v>17000</v>
      </c>
      <c r="L303" s="2">
        <v>45307</v>
      </c>
    </row>
    <row r="304" spans="1:12" x14ac:dyDescent="0.35">
      <c r="A304" s="1" t="s">
        <v>499</v>
      </c>
      <c r="B304" s="1" t="s">
        <v>500</v>
      </c>
      <c r="C304" s="1" t="s">
        <v>44</v>
      </c>
      <c r="D304" s="1" t="s">
        <v>45</v>
      </c>
      <c r="E304" s="1" t="s">
        <v>16</v>
      </c>
      <c r="F304" s="1" t="s">
        <v>25</v>
      </c>
      <c r="G304" s="1" t="s">
        <v>18</v>
      </c>
      <c r="H304" s="1">
        <v>11410</v>
      </c>
      <c r="I304" s="1"/>
      <c r="J304" s="1"/>
      <c r="K304" s="1">
        <v>13000</v>
      </c>
      <c r="L304" s="2">
        <v>45313</v>
      </c>
    </row>
    <row r="305" spans="1:12" x14ac:dyDescent="0.35">
      <c r="A305" s="1" t="s">
        <v>501</v>
      </c>
      <c r="B305" s="1" t="s">
        <v>334</v>
      </c>
      <c r="C305" s="1" t="s">
        <v>14</v>
      </c>
      <c r="D305" s="1" t="s">
        <v>15</v>
      </c>
      <c r="E305" s="1" t="s">
        <v>16</v>
      </c>
      <c r="F305" s="1" t="s">
        <v>25</v>
      </c>
      <c r="G305" s="1" t="s">
        <v>18</v>
      </c>
      <c r="H305" s="1">
        <v>15950</v>
      </c>
      <c r="I305" s="1" t="s">
        <v>27</v>
      </c>
      <c r="J305" s="1"/>
      <c r="K305" s="1">
        <v>14000</v>
      </c>
      <c r="L305" s="2">
        <v>45351</v>
      </c>
    </row>
    <row r="306" spans="1:12" x14ac:dyDescent="0.35">
      <c r="A306" s="1" t="s">
        <v>502</v>
      </c>
      <c r="B306" s="1" t="s">
        <v>363</v>
      </c>
      <c r="C306" s="1" t="s">
        <v>61</v>
      </c>
      <c r="D306" s="1" t="s">
        <v>62</v>
      </c>
      <c r="E306" s="1" t="s">
        <v>46</v>
      </c>
      <c r="F306" s="1" t="s">
        <v>39</v>
      </c>
      <c r="G306" s="1" t="s">
        <v>18</v>
      </c>
      <c r="H306" s="1">
        <v>10096</v>
      </c>
      <c r="I306" s="1" t="s">
        <v>33</v>
      </c>
      <c r="J306" s="1">
        <v>0.3</v>
      </c>
      <c r="K306" s="1">
        <v>9000</v>
      </c>
      <c r="L306" s="2">
        <v>45312</v>
      </c>
    </row>
    <row r="307" spans="1:12" x14ac:dyDescent="0.35">
      <c r="A307" s="1" t="s">
        <v>503</v>
      </c>
      <c r="B307" s="1" t="s">
        <v>286</v>
      </c>
      <c r="C307" s="1" t="s">
        <v>14</v>
      </c>
      <c r="D307" s="1" t="s">
        <v>15</v>
      </c>
      <c r="E307" s="1" t="s">
        <v>32</v>
      </c>
      <c r="F307" s="1" t="s">
        <v>39</v>
      </c>
      <c r="G307" s="1" t="s">
        <v>26</v>
      </c>
      <c r="H307" s="1">
        <v>12951</v>
      </c>
      <c r="I307" s="1" t="s">
        <v>27</v>
      </c>
      <c r="J307" s="1"/>
      <c r="K307" s="1">
        <v>14000</v>
      </c>
      <c r="L307" s="2">
        <v>45339</v>
      </c>
    </row>
    <row r="308" spans="1:12" x14ac:dyDescent="0.35">
      <c r="A308" s="1" t="s">
        <v>504</v>
      </c>
      <c r="B308" s="1" t="s">
        <v>371</v>
      </c>
      <c r="C308" s="1" t="s">
        <v>14</v>
      </c>
      <c r="D308" s="1" t="s">
        <v>15</v>
      </c>
      <c r="E308" s="1" t="s">
        <v>32</v>
      </c>
      <c r="F308" s="1" t="s">
        <v>17</v>
      </c>
      <c r="G308" s="1" t="s">
        <v>18</v>
      </c>
      <c r="H308" s="1">
        <v>15825</v>
      </c>
      <c r="I308" s="1" t="s">
        <v>22</v>
      </c>
      <c r="J308" s="1">
        <v>0.1</v>
      </c>
      <c r="K308" s="1">
        <v>14000</v>
      </c>
      <c r="L308" s="2">
        <v>45345</v>
      </c>
    </row>
    <row r="309" spans="1:12" x14ac:dyDescent="0.35">
      <c r="A309" s="1" t="s">
        <v>505</v>
      </c>
      <c r="B309" s="1" t="s">
        <v>155</v>
      </c>
      <c r="C309" s="1" t="s">
        <v>61</v>
      </c>
      <c r="D309" s="1" t="s">
        <v>62</v>
      </c>
      <c r="E309" s="1" t="s">
        <v>32</v>
      </c>
      <c r="F309" s="1" t="s">
        <v>39</v>
      </c>
      <c r="G309" s="1" t="s">
        <v>36</v>
      </c>
      <c r="H309" s="1">
        <v>10591</v>
      </c>
      <c r="I309" s="1" t="s">
        <v>22</v>
      </c>
      <c r="J309" s="1">
        <v>0.1</v>
      </c>
      <c r="K309" s="1">
        <v>9000</v>
      </c>
      <c r="L309" s="2">
        <v>45292</v>
      </c>
    </row>
    <row r="310" spans="1:12" x14ac:dyDescent="0.35">
      <c r="A310" s="1" t="s">
        <v>506</v>
      </c>
      <c r="B310" s="1" t="s">
        <v>118</v>
      </c>
      <c r="C310" s="1" t="s">
        <v>14</v>
      </c>
      <c r="D310" s="1" t="s">
        <v>15</v>
      </c>
      <c r="E310" s="1" t="s">
        <v>46</v>
      </c>
      <c r="F310" s="1" t="s">
        <v>17</v>
      </c>
      <c r="G310" s="1" t="s">
        <v>36</v>
      </c>
      <c r="H310" s="1">
        <v>14626</v>
      </c>
      <c r="I310" s="1" t="s">
        <v>27</v>
      </c>
      <c r="J310" s="1"/>
      <c r="K310" s="1">
        <v>14000</v>
      </c>
      <c r="L310" s="2">
        <v>45325</v>
      </c>
    </row>
    <row r="311" spans="1:12" x14ac:dyDescent="0.35">
      <c r="A311" s="1" t="s">
        <v>507</v>
      </c>
      <c r="B311" s="1" t="s">
        <v>508</v>
      </c>
      <c r="C311" s="1" t="s">
        <v>61</v>
      </c>
      <c r="D311" s="1" t="s">
        <v>62</v>
      </c>
      <c r="E311" s="1" t="s">
        <v>46</v>
      </c>
      <c r="F311" s="1" t="s">
        <v>25</v>
      </c>
      <c r="G311" s="1" t="s">
        <v>18</v>
      </c>
      <c r="H311" s="1">
        <v>8354</v>
      </c>
      <c r="I311" s="1" t="s">
        <v>19</v>
      </c>
      <c r="J311" s="1">
        <v>0.2</v>
      </c>
      <c r="K311" s="1">
        <v>9000</v>
      </c>
      <c r="L311" s="2">
        <v>45338</v>
      </c>
    </row>
    <row r="312" spans="1:12" x14ac:dyDescent="0.35">
      <c r="A312" s="1" t="s">
        <v>509</v>
      </c>
      <c r="B312" s="1" t="s">
        <v>332</v>
      </c>
      <c r="C312" s="1" t="s">
        <v>30</v>
      </c>
      <c r="D312" s="1" t="s">
        <v>31</v>
      </c>
      <c r="E312" s="1" t="s">
        <v>16</v>
      </c>
      <c r="F312" s="1" t="s">
        <v>25</v>
      </c>
      <c r="G312" s="1" t="s">
        <v>18</v>
      </c>
      <c r="H312" s="1">
        <v>18017</v>
      </c>
      <c r="I312" s="1" t="s">
        <v>33</v>
      </c>
      <c r="J312" s="1">
        <v>0.3</v>
      </c>
      <c r="K312" s="1">
        <v>17000</v>
      </c>
      <c r="L312" s="2">
        <v>45342</v>
      </c>
    </row>
    <row r="313" spans="1:12" x14ac:dyDescent="0.35">
      <c r="A313" s="1" t="s">
        <v>510</v>
      </c>
      <c r="B313" s="1" t="s">
        <v>118</v>
      </c>
      <c r="C313" s="1" t="s">
        <v>44</v>
      </c>
      <c r="D313" s="1" t="s">
        <v>45</v>
      </c>
      <c r="E313" s="1" t="s">
        <v>32</v>
      </c>
      <c r="F313" s="1" t="s">
        <v>39</v>
      </c>
      <c r="G313" s="1" t="s">
        <v>26</v>
      </c>
      <c r="H313" s="1">
        <v>14674</v>
      </c>
      <c r="I313" s="1"/>
      <c r="J313" s="1"/>
      <c r="K313" s="1">
        <v>13000</v>
      </c>
      <c r="L313" s="2">
        <v>45344</v>
      </c>
    </row>
    <row r="314" spans="1:12" x14ac:dyDescent="0.35">
      <c r="A314" s="1" t="s">
        <v>511</v>
      </c>
      <c r="B314" s="1" t="s">
        <v>512</v>
      </c>
      <c r="C314" s="1" t="s">
        <v>30</v>
      </c>
      <c r="D314" s="1" t="s">
        <v>31</v>
      </c>
      <c r="E314" s="1" t="s">
        <v>32</v>
      </c>
      <c r="F314" s="1" t="s">
        <v>17</v>
      </c>
      <c r="G314" s="1" t="s">
        <v>26</v>
      </c>
      <c r="H314" s="1">
        <v>15390</v>
      </c>
      <c r="I314" s="1" t="s">
        <v>19</v>
      </c>
      <c r="J314" s="1">
        <v>0.2</v>
      </c>
      <c r="K314" s="1">
        <v>17000</v>
      </c>
      <c r="L314" s="2">
        <v>45300</v>
      </c>
    </row>
    <row r="315" spans="1:12" x14ac:dyDescent="0.35">
      <c r="A315" s="1" t="s">
        <v>513</v>
      </c>
      <c r="B315" s="1" t="s">
        <v>188</v>
      </c>
      <c r="C315" s="1" t="s">
        <v>44</v>
      </c>
      <c r="D315" s="1" t="s">
        <v>45</v>
      </c>
      <c r="E315" s="1" t="s">
        <v>32</v>
      </c>
      <c r="F315" s="1" t="s">
        <v>17</v>
      </c>
      <c r="G315" s="1" t="s">
        <v>36</v>
      </c>
      <c r="H315" s="1">
        <v>11964</v>
      </c>
      <c r="I315" s="1"/>
      <c r="J315" s="1"/>
      <c r="K315" s="1">
        <v>13000</v>
      </c>
      <c r="L315" s="2">
        <v>45340</v>
      </c>
    </row>
    <row r="316" spans="1:12" x14ac:dyDescent="0.35">
      <c r="A316" s="1" t="s">
        <v>514</v>
      </c>
      <c r="B316" s="1" t="s">
        <v>131</v>
      </c>
      <c r="C316" s="1" t="s">
        <v>30</v>
      </c>
      <c r="D316" s="1" t="s">
        <v>31</v>
      </c>
      <c r="E316" s="1" t="s">
        <v>16</v>
      </c>
      <c r="F316" s="1" t="s">
        <v>39</v>
      </c>
      <c r="G316" s="1" t="s">
        <v>26</v>
      </c>
      <c r="H316" s="1">
        <v>15046</v>
      </c>
      <c r="I316" s="1" t="s">
        <v>33</v>
      </c>
      <c r="J316" s="1">
        <v>0.3</v>
      </c>
      <c r="K316" s="1">
        <v>17000</v>
      </c>
      <c r="L316" s="2">
        <v>45333</v>
      </c>
    </row>
    <row r="317" spans="1:12" x14ac:dyDescent="0.35">
      <c r="A317" s="1" t="s">
        <v>515</v>
      </c>
      <c r="B317" s="1" t="s">
        <v>516</v>
      </c>
      <c r="C317" s="1" t="s">
        <v>44</v>
      </c>
      <c r="D317" s="1" t="s">
        <v>45</v>
      </c>
      <c r="E317" s="1" t="s">
        <v>32</v>
      </c>
      <c r="F317" s="1" t="s">
        <v>39</v>
      </c>
      <c r="G317" s="1" t="s">
        <v>18</v>
      </c>
      <c r="H317" s="1">
        <v>12906</v>
      </c>
      <c r="I317" s="1" t="s">
        <v>33</v>
      </c>
      <c r="J317" s="1">
        <v>0.3</v>
      </c>
      <c r="K317" s="1">
        <v>13000</v>
      </c>
      <c r="L317" s="2">
        <v>45302</v>
      </c>
    </row>
    <row r="318" spans="1:12" x14ac:dyDescent="0.35">
      <c r="A318" s="1" t="s">
        <v>517</v>
      </c>
      <c r="B318" s="1" t="s">
        <v>274</v>
      </c>
      <c r="C318" s="1" t="s">
        <v>30</v>
      </c>
      <c r="D318" s="1" t="s">
        <v>31</v>
      </c>
      <c r="E318" s="1" t="s">
        <v>16</v>
      </c>
      <c r="F318" s="1" t="s">
        <v>25</v>
      </c>
      <c r="G318" s="1" t="s">
        <v>26</v>
      </c>
      <c r="H318" s="1">
        <v>18752</v>
      </c>
      <c r="I318" s="1" t="s">
        <v>33</v>
      </c>
      <c r="J318" s="1">
        <v>0.3</v>
      </c>
      <c r="K318" s="1">
        <v>17000</v>
      </c>
      <c r="L318" s="2">
        <v>45315</v>
      </c>
    </row>
    <row r="319" spans="1:12" x14ac:dyDescent="0.35">
      <c r="A319" s="1" t="s">
        <v>518</v>
      </c>
      <c r="B319" s="1" t="s">
        <v>519</v>
      </c>
      <c r="C319" s="1" t="s">
        <v>44</v>
      </c>
      <c r="D319" s="1" t="s">
        <v>45</v>
      </c>
      <c r="E319" s="1" t="s">
        <v>32</v>
      </c>
      <c r="F319" s="1" t="s">
        <v>17</v>
      </c>
      <c r="G319" s="1" t="s">
        <v>18</v>
      </c>
      <c r="H319" s="1">
        <v>12863</v>
      </c>
      <c r="I319" s="1" t="s">
        <v>27</v>
      </c>
      <c r="J319" s="1"/>
      <c r="K319" s="1">
        <v>13000</v>
      </c>
      <c r="L319" s="2">
        <v>45315</v>
      </c>
    </row>
    <row r="320" spans="1:12" x14ac:dyDescent="0.35">
      <c r="A320" s="1" t="s">
        <v>520</v>
      </c>
      <c r="B320" s="1" t="s">
        <v>101</v>
      </c>
      <c r="C320" s="1" t="s">
        <v>61</v>
      </c>
      <c r="D320" s="1" t="s">
        <v>62</v>
      </c>
      <c r="E320" s="1" t="s">
        <v>16</v>
      </c>
      <c r="F320" s="1" t="s">
        <v>39</v>
      </c>
      <c r="G320" s="1" t="s">
        <v>18</v>
      </c>
      <c r="H320" s="1">
        <v>10120</v>
      </c>
      <c r="I320" s="1" t="s">
        <v>19</v>
      </c>
      <c r="J320" s="1">
        <v>0.2</v>
      </c>
      <c r="K320" s="1">
        <v>9000</v>
      </c>
      <c r="L320" s="2">
        <v>45335</v>
      </c>
    </row>
    <row r="321" spans="1:12" x14ac:dyDescent="0.35">
      <c r="A321" s="1" t="s">
        <v>521</v>
      </c>
      <c r="B321" s="1" t="s">
        <v>522</v>
      </c>
      <c r="C321" s="1" t="s">
        <v>14</v>
      </c>
      <c r="D321" s="1" t="s">
        <v>15</v>
      </c>
      <c r="E321" s="1" t="s">
        <v>16</v>
      </c>
      <c r="F321" s="1" t="s">
        <v>17</v>
      </c>
      <c r="G321" s="1" t="s">
        <v>26</v>
      </c>
      <c r="H321" s="1">
        <v>14882</v>
      </c>
      <c r="I321" s="1" t="s">
        <v>33</v>
      </c>
      <c r="J321" s="1">
        <v>0.3</v>
      </c>
      <c r="K321" s="1">
        <v>14000</v>
      </c>
      <c r="L321" s="2">
        <v>45296</v>
      </c>
    </row>
    <row r="322" spans="1:12" x14ac:dyDescent="0.35">
      <c r="A322" s="1" t="s">
        <v>523</v>
      </c>
      <c r="B322" s="1" t="s">
        <v>60</v>
      </c>
      <c r="C322" s="1" t="s">
        <v>14</v>
      </c>
      <c r="D322" s="1" t="s">
        <v>15</v>
      </c>
      <c r="E322" s="1" t="s">
        <v>32</v>
      </c>
      <c r="F322" s="1" t="s">
        <v>39</v>
      </c>
      <c r="G322" s="1" t="s">
        <v>26</v>
      </c>
      <c r="H322" s="1">
        <v>12828</v>
      </c>
      <c r="I322" s="1" t="s">
        <v>27</v>
      </c>
      <c r="J322" s="1"/>
      <c r="K322" s="1">
        <v>14000</v>
      </c>
      <c r="L322" s="2">
        <v>45326</v>
      </c>
    </row>
    <row r="323" spans="1:12" x14ac:dyDescent="0.35">
      <c r="A323" s="1" t="s">
        <v>524</v>
      </c>
      <c r="B323" s="1" t="s">
        <v>175</v>
      </c>
      <c r="C323" s="1" t="s">
        <v>30</v>
      </c>
      <c r="D323" s="1" t="s">
        <v>31</v>
      </c>
      <c r="E323" s="1" t="s">
        <v>16</v>
      </c>
      <c r="F323" s="1" t="s">
        <v>17</v>
      </c>
      <c r="G323" s="1" t="s">
        <v>18</v>
      </c>
      <c r="H323" s="1">
        <v>17786</v>
      </c>
      <c r="I323" s="1" t="s">
        <v>19</v>
      </c>
      <c r="J323" s="1">
        <v>0.2</v>
      </c>
      <c r="K323" s="1">
        <v>17000</v>
      </c>
      <c r="L323" s="2">
        <v>45337</v>
      </c>
    </row>
    <row r="324" spans="1:12" x14ac:dyDescent="0.35">
      <c r="A324" s="1" t="s">
        <v>525</v>
      </c>
      <c r="B324" s="1" t="s">
        <v>356</v>
      </c>
      <c r="C324" s="1" t="s">
        <v>14</v>
      </c>
      <c r="D324" s="1" t="s">
        <v>15</v>
      </c>
      <c r="E324" s="1" t="s">
        <v>16</v>
      </c>
      <c r="F324" s="1" t="s">
        <v>17</v>
      </c>
      <c r="G324" s="1" t="s">
        <v>18</v>
      </c>
      <c r="H324" s="1">
        <v>13857</v>
      </c>
      <c r="I324" s="1" t="s">
        <v>19</v>
      </c>
      <c r="J324" s="1">
        <v>0.2</v>
      </c>
      <c r="K324" s="1">
        <v>14000</v>
      </c>
      <c r="L324" s="2">
        <v>45324</v>
      </c>
    </row>
    <row r="325" spans="1:12" x14ac:dyDescent="0.35">
      <c r="A325" s="1" t="s">
        <v>526</v>
      </c>
      <c r="B325" s="1" t="s">
        <v>527</v>
      </c>
      <c r="C325" s="1" t="s">
        <v>14</v>
      </c>
      <c r="D325" s="1" t="s">
        <v>15</v>
      </c>
      <c r="E325" s="1" t="s">
        <v>16</v>
      </c>
      <c r="F325" s="1" t="s">
        <v>17</v>
      </c>
      <c r="G325" s="1" t="s">
        <v>26</v>
      </c>
      <c r="H325" s="1">
        <v>15305</v>
      </c>
      <c r="I325" s="1" t="s">
        <v>33</v>
      </c>
      <c r="J325" s="1">
        <v>0.3</v>
      </c>
      <c r="K325" s="1">
        <v>14000</v>
      </c>
      <c r="L325" s="2">
        <v>45338</v>
      </c>
    </row>
    <row r="326" spans="1:12" x14ac:dyDescent="0.35">
      <c r="A326" s="1" t="s">
        <v>528</v>
      </c>
      <c r="B326" s="1" t="s">
        <v>406</v>
      </c>
      <c r="C326" s="1" t="s">
        <v>30</v>
      </c>
      <c r="D326" s="1" t="s">
        <v>31</v>
      </c>
      <c r="E326" s="1" t="s">
        <v>32</v>
      </c>
      <c r="F326" s="1" t="s">
        <v>39</v>
      </c>
      <c r="G326" s="1" t="s">
        <v>18</v>
      </c>
      <c r="H326" s="1">
        <v>17368</v>
      </c>
      <c r="I326" s="1" t="s">
        <v>22</v>
      </c>
      <c r="J326" s="1">
        <v>0.1</v>
      </c>
      <c r="K326" s="1">
        <v>17000</v>
      </c>
      <c r="L326" s="2">
        <v>45294</v>
      </c>
    </row>
    <row r="327" spans="1:12" x14ac:dyDescent="0.35">
      <c r="A327" s="1" t="s">
        <v>529</v>
      </c>
      <c r="B327" s="1" t="s">
        <v>474</v>
      </c>
      <c r="C327" s="1" t="s">
        <v>14</v>
      </c>
      <c r="D327" s="1" t="s">
        <v>15</v>
      </c>
      <c r="E327" s="1" t="s">
        <v>16</v>
      </c>
      <c r="F327" s="1" t="s">
        <v>25</v>
      </c>
      <c r="G327" s="1" t="s">
        <v>18</v>
      </c>
      <c r="H327" s="1">
        <v>15824</v>
      </c>
      <c r="I327" s="1"/>
      <c r="J327" s="1"/>
      <c r="K327" s="1">
        <v>14000</v>
      </c>
      <c r="L327" s="2">
        <v>45294</v>
      </c>
    </row>
    <row r="328" spans="1:12" x14ac:dyDescent="0.35">
      <c r="A328" s="1" t="s">
        <v>530</v>
      </c>
      <c r="B328" s="1" t="s">
        <v>70</v>
      </c>
      <c r="C328" s="1" t="s">
        <v>44</v>
      </c>
      <c r="D328" s="1" t="s">
        <v>45</v>
      </c>
      <c r="E328" s="1" t="s">
        <v>32</v>
      </c>
      <c r="F328" s="1" t="s">
        <v>39</v>
      </c>
      <c r="G328" s="1" t="s">
        <v>26</v>
      </c>
      <c r="H328" s="1">
        <v>13645</v>
      </c>
      <c r="I328" s="1"/>
      <c r="J328" s="1"/>
      <c r="K328" s="1">
        <v>13000</v>
      </c>
      <c r="L328" s="2">
        <v>45315</v>
      </c>
    </row>
    <row r="329" spans="1:12" x14ac:dyDescent="0.35">
      <c r="A329" s="1" t="s">
        <v>531</v>
      </c>
      <c r="B329" s="1" t="s">
        <v>137</v>
      </c>
      <c r="C329" s="1" t="s">
        <v>61</v>
      </c>
      <c r="D329" s="1" t="s">
        <v>62</v>
      </c>
      <c r="E329" s="1" t="s">
        <v>46</v>
      </c>
      <c r="F329" s="1" t="s">
        <v>17</v>
      </c>
      <c r="G329" s="1" t="s">
        <v>18</v>
      </c>
      <c r="H329" s="1">
        <v>9796</v>
      </c>
      <c r="I329" s="1" t="s">
        <v>27</v>
      </c>
      <c r="J329" s="1"/>
      <c r="K329" s="1">
        <v>9000</v>
      </c>
      <c r="L329" s="2">
        <v>45300</v>
      </c>
    </row>
    <row r="330" spans="1:12" x14ac:dyDescent="0.35">
      <c r="A330" s="1" t="s">
        <v>532</v>
      </c>
      <c r="B330" s="1" t="s">
        <v>204</v>
      </c>
      <c r="C330" s="1" t="s">
        <v>30</v>
      </c>
      <c r="D330" s="1" t="s">
        <v>31</v>
      </c>
      <c r="E330" s="1" t="s">
        <v>32</v>
      </c>
      <c r="F330" s="1" t="s">
        <v>25</v>
      </c>
      <c r="G330" s="1" t="s">
        <v>26</v>
      </c>
      <c r="H330" s="1">
        <v>16609</v>
      </c>
      <c r="I330" s="1" t="s">
        <v>27</v>
      </c>
      <c r="J330" s="1"/>
      <c r="K330" s="1">
        <v>17000</v>
      </c>
      <c r="L330" s="2">
        <v>45300</v>
      </c>
    </row>
    <row r="331" spans="1:12" x14ac:dyDescent="0.35">
      <c r="A331" s="1" t="s">
        <v>533</v>
      </c>
      <c r="B331" s="1" t="s">
        <v>397</v>
      </c>
      <c r="C331" s="1" t="s">
        <v>14</v>
      </c>
      <c r="D331" s="1" t="s">
        <v>15</v>
      </c>
      <c r="E331" s="1" t="s">
        <v>32</v>
      </c>
      <c r="F331" s="1" t="s">
        <v>17</v>
      </c>
      <c r="G331" s="1" t="s">
        <v>36</v>
      </c>
      <c r="H331" s="1">
        <v>14758</v>
      </c>
      <c r="I331" s="1" t="s">
        <v>27</v>
      </c>
      <c r="J331" s="1"/>
      <c r="K331" s="1">
        <v>14000</v>
      </c>
      <c r="L331" s="2">
        <v>45319</v>
      </c>
    </row>
    <row r="332" spans="1:12" x14ac:dyDescent="0.35">
      <c r="A332" s="1" t="s">
        <v>534</v>
      </c>
      <c r="B332" s="1" t="s">
        <v>388</v>
      </c>
      <c r="C332" s="1" t="s">
        <v>44</v>
      </c>
      <c r="D332" s="1" t="s">
        <v>45</v>
      </c>
      <c r="E332" s="1" t="s">
        <v>32</v>
      </c>
      <c r="F332" s="1" t="s">
        <v>17</v>
      </c>
      <c r="G332" s="1" t="s">
        <v>36</v>
      </c>
      <c r="H332" s="1">
        <v>11635</v>
      </c>
      <c r="I332" s="1" t="s">
        <v>33</v>
      </c>
      <c r="J332" s="1">
        <v>0.3</v>
      </c>
      <c r="K332" s="1">
        <v>13000</v>
      </c>
      <c r="L332" s="2">
        <v>45304</v>
      </c>
    </row>
    <row r="333" spans="1:12" x14ac:dyDescent="0.35">
      <c r="A333" s="1" t="s">
        <v>535</v>
      </c>
      <c r="B333" s="1" t="s">
        <v>260</v>
      </c>
      <c r="C333" s="1" t="s">
        <v>14</v>
      </c>
      <c r="D333" s="1" t="s">
        <v>15</v>
      </c>
      <c r="E333" s="1" t="s">
        <v>32</v>
      </c>
      <c r="F333" s="1" t="s">
        <v>39</v>
      </c>
      <c r="G333" s="1" t="s">
        <v>36</v>
      </c>
      <c r="H333" s="1">
        <v>14518</v>
      </c>
      <c r="I333" s="1" t="s">
        <v>22</v>
      </c>
      <c r="J333" s="1">
        <v>0.1</v>
      </c>
      <c r="K333" s="1">
        <v>14000</v>
      </c>
      <c r="L333" s="2">
        <v>45307</v>
      </c>
    </row>
    <row r="334" spans="1:12" x14ac:dyDescent="0.35">
      <c r="A334" s="1" t="s">
        <v>536</v>
      </c>
      <c r="B334" s="1" t="s">
        <v>229</v>
      </c>
      <c r="C334" s="1" t="s">
        <v>14</v>
      </c>
      <c r="D334" s="1" t="s">
        <v>15</v>
      </c>
      <c r="E334" s="1" t="s">
        <v>16</v>
      </c>
      <c r="F334" s="1" t="s">
        <v>25</v>
      </c>
      <c r="G334" s="1" t="s">
        <v>36</v>
      </c>
      <c r="H334" s="1">
        <v>14448</v>
      </c>
      <c r="I334" s="1" t="s">
        <v>22</v>
      </c>
      <c r="J334" s="1">
        <v>0.1</v>
      </c>
      <c r="K334" s="1">
        <v>14000</v>
      </c>
      <c r="L334" s="2">
        <v>45307</v>
      </c>
    </row>
    <row r="335" spans="1:12" x14ac:dyDescent="0.35">
      <c r="A335" s="1" t="s">
        <v>537</v>
      </c>
      <c r="B335" s="1" t="s">
        <v>464</v>
      </c>
      <c r="C335" s="1" t="s">
        <v>61</v>
      </c>
      <c r="D335" s="1" t="s">
        <v>62</v>
      </c>
      <c r="E335" s="1" t="s">
        <v>46</v>
      </c>
      <c r="F335" s="1" t="s">
        <v>25</v>
      </c>
      <c r="G335" s="1" t="s">
        <v>26</v>
      </c>
      <c r="H335" s="1">
        <v>7889</v>
      </c>
      <c r="I335" s="1" t="s">
        <v>22</v>
      </c>
      <c r="J335" s="1">
        <v>0.1</v>
      </c>
      <c r="K335" s="1">
        <v>9000</v>
      </c>
      <c r="L335" s="2">
        <v>45300</v>
      </c>
    </row>
    <row r="336" spans="1:12" x14ac:dyDescent="0.35">
      <c r="A336" s="1" t="s">
        <v>538</v>
      </c>
      <c r="B336" s="1" t="s">
        <v>448</v>
      </c>
      <c r="C336" s="1" t="s">
        <v>44</v>
      </c>
      <c r="D336" s="1" t="s">
        <v>45</v>
      </c>
      <c r="E336" s="1" t="s">
        <v>16</v>
      </c>
      <c r="F336" s="1" t="s">
        <v>39</v>
      </c>
      <c r="G336" s="1" t="s">
        <v>36</v>
      </c>
      <c r="H336" s="1">
        <v>13365</v>
      </c>
      <c r="I336" s="1" t="s">
        <v>27</v>
      </c>
      <c r="J336" s="1"/>
      <c r="K336" s="1">
        <v>13000</v>
      </c>
      <c r="L336" s="2">
        <v>45341</v>
      </c>
    </row>
    <row r="337" spans="1:12" x14ac:dyDescent="0.35">
      <c r="A337" s="1" t="s">
        <v>539</v>
      </c>
      <c r="B337" s="1" t="s">
        <v>204</v>
      </c>
      <c r="C337" s="1" t="s">
        <v>30</v>
      </c>
      <c r="D337" s="1" t="s">
        <v>31</v>
      </c>
      <c r="E337" s="1" t="s">
        <v>32</v>
      </c>
      <c r="F337" s="1" t="s">
        <v>17</v>
      </c>
      <c r="G337" s="1" t="s">
        <v>18</v>
      </c>
      <c r="H337" s="1">
        <v>17704</v>
      </c>
      <c r="I337" s="1" t="s">
        <v>27</v>
      </c>
      <c r="J337" s="1"/>
      <c r="K337" s="1">
        <v>17000</v>
      </c>
      <c r="L337" s="2">
        <v>45306</v>
      </c>
    </row>
    <row r="338" spans="1:12" x14ac:dyDescent="0.35">
      <c r="A338" s="1" t="s">
        <v>540</v>
      </c>
      <c r="B338" s="1" t="s">
        <v>435</v>
      </c>
      <c r="C338" s="1" t="s">
        <v>30</v>
      </c>
      <c r="D338" s="1" t="s">
        <v>31</v>
      </c>
      <c r="E338" s="1" t="s">
        <v>32</v>
      </c>
      <c r="F338" s="1" t="s">
        <v>39</v>
      </c>
      <c r="G338" s="1" t="s">
        <v>26</v>
      </c>
      <c r="H338" s="1">
        <v>18603</v>
      </c>
      <c r="I338" s="1" t="s">
        <v>19</v>
      </c>
      <c r="J338" s="1">
        <v>0.2</v>
      </c>
      <c r="K338" s="1">
        <v>17000</v>
      </c>
      <c r="L338" s="2">
        <v>45332</v>
      </c>
    </row>
    <row r="339" spans="1:12" x14ac:dyDescent="0.35">
      <c r="A339" s="1" t="s">
        <v>541</v>
      </c>
      <c r="B339" s="1" t="s">
        <v>90</v>
      </c>
      <c r="C339" s="1" t="s">
        <v>61</v>
      </c>
      <c r="D339" s="1" t="s">
        <v>62</v>
      </c>
      <c r="E339" s="1" t="s">
        <v>32</v>
      </c>
      <c r="F339" s="1" t="s">
        <v>17</v>
      </c>
      <c r="G339" s="1" t="s">
        <v>26</v>
      </c>
      <c r="H339" s="1">
        <v>9749</v>
      </c>
      <c r="I339" s="1"/>
      <c r="J339" s="1"/>
      <c r="K339" s="1">
        <v>9000</v>
      </c>
      <c r="L339" s="2">
        <v>45342</v>
      </c>
    </row>
    <row r="340" spans="1:12" x14ac:dyDescent="0.35">
      <c r="A340" s="1" t="s">
        <v>542</v>
      </c>
      <c r="B340" s="1" t="s">
        <v>217</v>
      </c>
      <c r="C340" s="1" t="s">
        <v>61</v>
      </c>
      <c r="D340" s="1" t="s">
        <v>62</v>
      </c>
      <c r="E340" s="1" t="s">
        <v>46</v>
      </c>
      <c r="F340" s="1" t="s">
        <v>25</v>
      </c>
      <c r="G340" s="1" t="s">
        <v>36</v>
      </c>
      <c r="H340" s="1">
        <v>8541</v>
      </c>
      <c r="I340" s="1" t="s">
        <v>19</v>
      </c>
      <c r="J340" s="1">
        <v>0.2</v>
      </c>
      <c r="K340" s="1">
        <v>9000</v>
      </c>
      <c r="L340" s="2">
        <v>45340</v>
      </c>
    </row>
    <row r="341" spans="1:12" x14ac:dyDescent="0.35">
      <c r="A341" s="1" t="s">
        <v>543</v>
      </c>
      <c r="B341" s="1" t="s">
        <v>544</v>
      </c>
      <c r="C341" s="1" t="s">
        <v>44</v>
      </c>
      <c r="D341" s="1" t="s">
        <v>45</v>
      </c>
      <c r="E341" s="1" t="s">
        <v>32</v>
      </c>
      <c r="F341" s="1" t="s">
        <v>17</v>
      </c>
      <c r="G341" s="1" t="s">
        <v>26</v>
      </c>
      <c r="H341" s="1">
        <v>11591</v>
      </c>
      <c r="I341" s="1"/>
      <c r="J341" s="1"/>
      <c r="K341" s="1">
        <v>13000</v>
      </c>
      <c r="L341" s="2">
        <v>45350</v>
      </c>
    </row>
    <row r="342" spans="1:12" x14ac:dyDescent="0.35">
      <c r="A342" s="1" t="s">
        <v>545</v>
      </c>
      <c r="B342" s="1" t="s">
        <v>166</v>
      </c>
      <c r="C342" s="1" t="s">
        <v>61</v>
      </c>
      <c r="D342" s="1" t="s">
        <v>62</v>
      </c>
      <c r="E342" s="1" t="s">
        <v>46</v>
      </c>
      <c r="F342" s="1" t="s">
        <v>39</v>
      </c>
      <c r="G342" s="1" t="s">
        <v>26</v>
      </c>
      <c r="H342" s="1">
        <v>7549</v>
      </c>
      <c r="I342" s="1"/>
      <c r="J342" s="1"/>
      <c r="K342" s="1">
        <v>9000</v>
      </c>
      <c r="L342" s="2">
        <v>45307</v>
      </c>
    </row>
    <row r="343" spans="1:12" x14ac:dyDescent="0.35">
      <c r="A343" s="1" t="s">
        <v>546</v>
      </c>
      <c r="B343" s="1" t="s">
        <v>289</v>
      </c>
      <c r="C343" s="1" t="s">
        <v>30</v>
      </c>
      <c r="D343" s="1" t="s">
        <v>31</v>
      </c>
      <c r="E343" s="1" t="s">
        <v>16</v>
      </c>
      <c r="F343" s="1" t="s">
        <v>25</v>
      </c>
      <c r="G343" s="1" t="s">
        <v>36</v>
      </c>
      <c r="H343" s="1">
        <v>18469</v>
      </c>
      <c r="I343" s="1" t="s">
        <v>33</v>
      </c>
      <c r="J343" s="1">
        <v>0.3</v>
      </c>
      <c r="K343" s="1">
        <v>17000</v>
      </c>
      <c r="L343" s="2">
        <v>45297</v>
      </c>
    </row>
    <row r="344" spans="1:12" x14ac:dyDescent="0.35">
      <c r="A344" s="1" t="s">
        <v>547</v>
      </c>
      <c r="B344" s="1" t="s">
        <v>548</v>
      </c>
      <c r="C344" s="1" t="s">
        <v>44</v>
      </c>
      <c r="D344" s="1" t="s">
        <v>45</v>
      </c>
      <c r="E344" s="1" t="s">
        <v>32</v>
      </c>
      <c r="F344" s="1" t="s">
        <v>17</v>
      </c>
      <c r="G344" s="1" t="s">
        <v>36</v>
      </c>
      <c r="H344" s="1">
        <v>13759</v>
      </c>
      <c r="I344" s="1" t="s">
        <v>27</v>
      </c>
      <c r="J344" s="1"/>
      <c r="K344" s="1">
        <v>13000</v>
      </c>
      <c r="L344" s="2">
        <v>45330</v>
      </c>
    </row>
    <row r="345" spans="1:12" x14ac:dyDescent="0.35">
      <c r="A345" s="1" t="s">
        <v>549</v>
      </c>
      <c r="B345" s="1" t="s">
        <v>129</v>
      </c>
      <c r="C345" s="1" t="s">
        <v>14</v>
      </c>
      <c r="D345" s="1" t="s">
        <v>15</v>
      </c>
      <c r="E345" s="1" t="s">
        <v>32</v>
      </c>
      <c r="F345" s="1" t="s">
        <v>39</v>
      </c>
      <c r="G345" s="1" t="s">
        <v>26</v>
      </c>
      <c r="H345" s="1">
        <v>14750</v>
      </c>
      <c r="I345" s="1" t="s">
        <v>27</v>
      </c>
      <c r="J345" s="1"/>
      <c r="K345" s="1">
        <v>14000</v>
      </c>
      <c r="L345" s="2">
        <v>45305</v>
      </c>
    </row>
    <row r="346" spans="1:12" x14ac:dyDescent="0.35">
      <c r="A346" s="1" t="s">
        <v>550</v>
      </c>
      <c r="B346" s="1" t="s">
        <v>211</v>
      </c>
      <c r="C346" s="1" t="s">
        <v>30</v>
      </c>
      <c r="D346" s="1" t="s">
        <v>31</v>
      </c>
      <c r="E346" s="1" t="s">
        <v>46</v>
      </c>
      <c r="F346" s="1" t="s">
        <v>25</v>
      </c>
      <c r="G346" s="1" t="s">
        <v>18</v>
      </c>
      <c r="H346" s="1">
        <v>18838</v>
      </c>
      <c r="I346" s="1" t="s">
        <v>19</v>
      </c>
      <c r="J346" s="1">
        <v>0.2</v>
      </c>
      <c r="K346" s="1">
        <v>17000</v>
      </c>
      <c r="L346" s="2">
        <v>45339</v>
      </c>
    </row>
    <row r="347" spans="1:12" x14ac:dyDescent="0.35">
      <c r="A347" s="1" t="s">
        <v>551</v>
      </c>
      <c r="B347" s="1" t="s">
        <v>173</v>
      </c>
      <c r="C347" s="1" t="s">
        <v>61</v>
      </c>
      <c r="D347" s="1" t="s">
        <v>62</v>
      </c>
      <c r="E347" s="1" t="s">
        <v>32</v>
      </c>
      <c r="F347" s="1" t="s">
        <v>39</v>
      </c>
      <c r="G347" s="1" t="s">
        <v>26</v>
      </c>
      <c r="H347" s="1">
        <v>9882</v>
      </c>
      <c r="I347" s="1" t="s">
        <v>19</v>
      </c>
      <c r="J347" s="1">
        <v>0.2</v>
      </c>
      <c r="K347" s="1">
        <v>9000</v>
      </c>
      <c r="L347" s="2">
        <v>45317</v>
      </c>
    </row>
    <row r="348" spans="1:12" x14ac:dyDescent="0.35">
      <c r="A348" s="1" t="s">
        <v>552</v>
      </c>
      <c r="B348" s="1" t="s">
        <v>553</v>
      </c>
      <c r="C348" s="1" t="s">
        <v>30</v>
      </c>
      <c r="D348" s="1" t="s">
        <v>31</v>
      </c>
      <c r="E348" s="1" t="s">
        <v>46</v>
      </c>
      <c r="F348" s="1" t="s">
        <v>17</v>
      </c>
      <c r="G348" s="1" t="s">
        <v>36</v>
      </c>
      <c r="H348" s="1">
        <v>17185</v>
      </c>
      <c r="I348" s="1" t="s">
        <v>33</v>
      </c>
      <c r="J348" s="1">
        <v>0.3</v>
      </c>
      <c r="K348" s="1">
        <v>17000</v>
      </c>
      <c r="L348" s="2">
        <v>45311</v>
      </c>
    </row>
    <row r="349" spans="1:12" x14ac:dyDescent="0.35">
      <c r="A349" s="1" t="s">
        <v>554</v>
      </c>
      <c r="B349" s="1" t="s">
        <v>131</v>
      </c>
      <c r="C349" s="1" t="s">
        <v>61</v>
      </c>
      <c r="D349" s="1" t="s">
        <v>62</v>
      </c>
      <c r="E349" s="1" t="s">
        <v>46</v>
      </c>
      <c r="F349" s="1" t="s">
        <v>25</v>
      </c>
      <c r="G349" s="1" t="s">
        <v>26</v>
      </c>
      <c r="H349" s="1">
        <v>8923</v>
      </c>
      <c r="I349" s="1" t="s">
        <v>33</v>
      </c>
      <c r="J349" s="1">
        <v>0.3</v>
      </c>
      <c r="K349" s="1">
        <v>9000</v>
      </c>
      <c r="L349" s="2">
        <v>45350</v>
      </c>
    </row>
    <row r="350" spans="1:12" x14ac:dyDescent="0.35">
      <c r="A350" s="1" t="s">
        <v>555</v>
      </c>
      <c r="B350" s="1" t="s">
        <v>391</v>
      </c>
      <c r="C350" s="1" t="s">
        <v>30</v>
      </c>
      <c r="D350" s="1" t="s">
        <v>31</v>
      </c>
      <c r="E350" s="1" t="s">
        <v>46</v>
      </c>
      <c r="F350" s="1" t="s">
        <v>25</v>
      </c>
      <c r="G350" s="1" t="s">
        <v>26</v>
      </c>
      <c r="H350" s="1">
        <v>18539</v>
      </c>
      <c r="I350" s="1" t="s">
        <v>19</v>
      </c>
      <c r="J350" s="1">
        <v>0.2</v>
      </c>
      <c r="K350" s="1">
        <v>17000</v>
      </c>
      <c r="L350" s="2">
        <v>45339</v>
      </c>
    </row>
    <row r="351" spans="1:12" x14ac:dyDescent="0.35">
      <c r="A351" s="1" t="s">
        <v>556</v>
      </c>
      <c r="B351" s="1" t="s">
        <v>557</v>
      </c>
      <c r="C351" s="1" t="s">
        <v>30</v>
      </c>
      <c r="D351" s="1" t="s">
        <v>31</v>
      </c>
      <c r="E351" s="1" t="s">
        <v>16</v>
      </c>
      <c r="F351" s="1" t="s">
        <v>39</v>
      </c>
      <c r="G351" s="1" t="s">
        <v>26</v>
      </c>
      <c r="H351" s="1">
        <v>17949</v>
      </c>
      <c r="I351" s="1"/>
      <c r="J351" s="1"/>
      <c r="K351" s="1">
        <v>17000</v>
      </c>
      <c r="L351" s="2">
        <v>45310</v>
      </c>
    </row>
    <row r="352" spans="1:12" x14ac:dyDescent="0.35">
      <c r="A352" s="1" t="s">
        <v>558</v>
      </c>
      <c r="B352" s="1" t="s">
        <v>35</v>
      </c>
      <c r="C352" s="1" t="s">
        <v>30</v>
      </c>
      <c r="D352" s="1" t="s">
        <v>31</v>
      </c>
      <c r="E352" s="1" t="s">
        <v>32</v>
      </c>
      <c r="F352" s="1" t="s">
        <v>17</v>
      </c>
      <c r="G352" s="1" t="s">
        <v>26</v>
      </c>
      <c r="H352" s="1">
        <v>18413</v>
      </c>
      <c r="I352" s="1" t="s">
        <v>19</v>
      </c>
      <c r="J352" s="1">
        <v>0.2</v>
      </c>
      <c r="K352" s="1">
        <v>17000</v>
      </c>
      <c r="L352" s="2">
        <v>45323</v>
      </c>
    </row>
    <row r="353" spans="1:12" x14ac:dyDescent="0.35">
      <c r="A353" s="1" t="s">
        <v>559</v>
      </c>
      <c r="B353" s="1" t="s">
        <v>202</v>
      </c>
      <c r="C353" s="1" t="s">
        <v>30</v>
      </c>
      <c r="D353" s="1" t="s">
        <v>31</v>
      </c>
      <c r="E353" s="1" t="s">
        <v>46</v>
      </c>
      <c r="F353" s="1" t="s">
        <v>17</v>
      </c>
      <c r="G353" s="1" t="s">
        <v>26</v>
      </c>
      <c r="H353" s="1">
        <v>17628</v>
      </c>
      <c r="I353" s="1"/>
      <c r="J353" s="1"/>
      <c r="K353" s="1">
        <v>17000</v>
      </c>
      <c r="L353" s="2">
        <v>45321</v>
      </c>
    </row>
    <row r="354" spans="1:12" x14ac:dyDescent="0.35">
      <c r="A354" s="1" t="s">
        <v>560</v>
      </c>
      <c r="B354" s="1" t="s">
        <v>280</v>
      </c>
      <c r="C354" s="1" t="s">
        <v>30</v>
      </c>
      <c r="D354" s="1" t="s">
        <v>31</v>
      </c>
      <c r="E354" s="1" t="s">
        <v>32</v>
      </c>
      <c r="F354" s="1" t="s">
        <v>25</v>
      </c>
      <c r="G354" s="1" t="s">
        <v>26</v>
      </c>
      <c r="H354" s="1">
        <v>17238</v>
      </c>
      <c r="I354" s="1"/>
      <c r="J354" s="1"/>
      <c r="K354" s="1">
        <v>17000</v>
      </c>
      <c r="L354" s="2">
        <v>45303</v>
      </c>
    </row>
    <row r="355" spans="1:12" x14ac:dyDescent="0.35">
      <c r="A355" s="1" t="s">
        <v>561</v>
      </c>
      <c r="B355" s="1" t="s">
        <v>84</v>
      </c>
      <c r="C355" s="1" t="s">
        <v>14</v>
      </c>
      <c r="D355" s="1" t="s">
        <v>15</v>
      </c>
      <c r="E355" s="1" t="s">
        <v>16</v>
      </c>
      <c r="F355" s="1" t="s">
        <v>25</v>
      </c>
      <c r="G355" s="1" t="s">
        <v>18</v>
      </c>
      <c r="H355" s="1">
        <v>15871</v>
      </c>
      <c r="I355" s="1" t="s">
        <v>22</v>
      </c>
      <c r="J355" s="1">
        <v>0.1</v>
      </c>
      <c r="K355" s="1">
        <v>14000</v>
      </c>
      <c r="L355" s="2">
        <v>45340</v>
      </c>
    </row>
    <row r="356" spans="1:12" x14ac:dyDescent="0.35">
      <c r="A356" s="1" t="s">
        <v>562</v>
      </c>
      <c r="B356" s="1" t="s">
        <v>406</v>
      </c>
      <c r="C356" s="1" t="s">
        <v>44</v>
      </c>
      <c r="D356" s="1" t="s">
        <v>45</v>
      </c>
      <c r="E356" s="1" t="s">
        <v>16</v>
      </c>
      <c r="F356" s="1" t="s">
        <v>25</v>
      </c>
      <c r="G356" s="1" t="s">
        <v>18</v>
      </c>
      <c r="H356" s="1">
        <v>13896</v>
      </c>
      <c r="I356" s="1" t="s">
        <v>19</v>
      </c>
      <c r="J356" s="1">
        <v>0.2</v>
      </c>
      <c r="K356" s="1">
        <v>13000</v>
      </c>
      <c r="L356" s="2">
        <v>45292</v>
      </c>
    </row>
    <row r="357" spans="1:12" x14ac:dyDescent="0.35">
      <c r="A357" s="1" t="s">
        <v>563</v>
      </c>
      <c r="B357" s="1" t="s">
        <v>24</v>
      </c>
      <c r="C357" s="1" t="s">
        <v>61</v>
      </c>
      <c r="D357" s="1" t="s">
        <v>62</v>
      </c>
      <c r="E357" s="1" t="s">
        <v>46</v>
      </c>
      <c r="F357" s="1" t="s">
        <v>25</v>
      </c>
      <c r="G357" s="1" t="s">
        <v>26</v>
      </c>
      <c r="H357" s="1">
        <v>9612</v>
      </c>
      <c r="I357" s="1" t="s">
        <v>27</v>
      </c>
      <c r="J357" s="1"/>
      <c r="K357" s="1">
        <v>9000</v>
      </c>
      <c r="L357" s="2">
        <v>45350</v>
      </c>
    </row>
    <row r="358" spans="1:12" x14ac:dyDescent="0.35">
      <c r="A358" s="1" t="s">
        <v>564</v>
      </c>
      <c r="B358" s="1" t="s">
        <v>332</v>
      </c>
      <c r="C358" s="1" t="s">
        <v>61</v>
      </c>
      <c r="D358" s="1" t="s">
        <v>62</v>
      </c>
      <c r="E358" s="1" t="s">
        <v>32</v>
      </c>
      <c r="F358" s="1" t="s">
        <v>25</v>
      </c>
      <c r="G358" s="1" t="s">
        <v>26</v>
      </c>
      <c r="H358" s="1">
        <v>9259</v>
      </c>
      <c r="I358" s="1"/>
      <c r="J358" s="1"/>
      <c r="K358" s="1">
        <v>9000</v>
      </c>
      <c r="L358" s="2">
        <v>45292</v>
      </c>
    </row>
    <row r="359" spans="1:12" x14ac:dyDescent="0.35">
      <c r="A359" s="1" t="s">
        <v>565</v>
      </c>
      <c r="B359" s="1" t="s">
        <v>166</v>
      </c>
      <c r="C359" s="1" t="s">
        <v>30</v>
      </c>
      <c r="D359" s="1" t="s">
        <v>31</v>
      </c>
      <c r="E359" s="1" t="s">
        <v>16</v>
      </c>
      <c r="F359" s="1" t="s">
        <v>17</v>
      </c>
      <c r="G359" s="1" t="s">
        <v>18</v>
      </c>
      <c r="H359" s="1">
        <v>17057</v>
      </c>
      <c r="I359" s="1"/>
      <c r="J359" s="1"/>
      <c r="K359" s="1">
        <v>17000</v>
      </c>
      <c r="L359" s="2">
        <v>45343</v>
      </c>
    </row>
    <row r="360" spans="1:12" x14ac:dyDescent="0.35">
      <c r="A360" s="1" t="s">
        <v>566</v>
      </c>
      <c r="B360" s="1" t="s">
        <v>120</v>
      </c>
      <c r="C360" s="1" t="s">
        <v>14</v>
      </c>
      <c r="D360" s="1" t="s">
        <v>15</v>
      </c>
      <c r="E360" s="1" t="s">
        <v>32</v>
      </c>
      <c r="F360" s="1" t="s">
        <v>39</v>
      </c>
      <c r="G360" s="1" t="s">
        <v>18</v>
      </c>
      <c r="H360" s="1">
        <v>12987</v>
      </c>
      <c r="I360" s="1" t="s">
        <v>19</v>
      </c>
      <c r="J360" s="1">
        <v>0.2</v>
      </c>
      <c r="K360" s="1">
        <v>14000</v>
      </c>
      <c r="L360" s="2">
        <v>45331</v>
      </c>
    </row>
    <row r="361" spans="1:12" x14ac:dyDescent="0.35">
      <c r="A361" s="1" t="s">
        <v>567</v>
      </c>
      <c r="B361" s="1" t="s">
        <v>448</v>
      </c>
      <c r="C361" s="1" t="s">
        <v>30</v>
      </c>
      <c r="D361" s="1" t="s">
        <v>31</v>
      </c>
      <c r="E361" s="1" t="s">
        <v>46</v>
      </c>
      <c r="F361" s="1" t="s">
        <v>17</v>
      </c>
      <c r="G361" s="1" t="s">
        <v>18</v>
      </c>
      <c r="H361" s="1">
        <v>16528</v>
      </c>
      <c r="I361" s="1"/>
      <c r="J361" s="1"/>
      <c r="K361" s="1">
        <v>17000</v>
      </c>
      <c r="L361" s="2">
        <v>45321</v>
      </c>
    </row>
    <row r="362" spans="1:12" x14ac:dyDescent="0.35">
      <c r="A362" s="1" t="s">
        <v>568</v>
      </c>
      <c r="B362" s="1" t="s">
        <v>519</v>
      </c>
      <c r="C362" s="1" t="s">
        <v>44</v>
      </c>
      <c r="D362" s="1" t="s">
        <v>45</v>
      </c>
      <c r="E362" s="1" t="s">
        <v>46</v>
      </c>
      <c r="F362" s="1" t="s">
        <v>39</v>
      </c>
      <c r="G362" s="1" t="s">
        <v>18</v>
      </c>
      <c r="H362" s="1">
        <v>13677</v>
      </c>
      <c r="I362" s="1" t="s">
        <v>22</v>
      </c>
      <c r="J362" s="1">
        <v>0.1</v>
      </c>
      <c r="K362" s="1">
        <v>13000</v>
      </c>
      <c r="L362" s="2">
        <v>45297</v>
      </c>
    </row>
    <row r="363" spans="1:12" x14ac:dyDescent="0.35">
      <c r="A363" s="1" t="s">
        <v>569</v>
      </c>
      <c r="B363" s="1" t="s">
        <v>177</v>
      </c>
      <c r="C363" s="1" t="s">
        <v>61</v>
      </c>
      <c r="D363" s="1" t="s">
        <v>62</v>
      </c>
      <c r="E363" s="1" t="s">
        <v>16</v>
      </c>
      <c r="F363" s="1" t="s">
        <v>17</v>
      </c>
      <c r="G363" s="1" t="s">
        <v>18</v>
      </c>
      <c r="H363" s="1">
        <v>9608</v>
      </c>
      <c r="I363" s="1" t="s">
        <v>22</v>
      </c>
      <c r="J363" s="1">
        <v>0.1</v>
      </c>
      <c r="K363" s="1">
        <v>9000</v>
      </c>
      <c r="L363" s="2">
        <v>45336</v>
      </c>
    </row>
    <row r="364" spans="1:12" x14ac:dyDescent="0.35">
      <c r="A364" s="1" t="s">
        <v>570</v>
      </c>
      <c r="B364" s="1" t="s">
        <v>325</v>
      </c>
      <c r="C364" s="1" t="s">
        <v>61</v>
      </c>
      <c r="D364" s="1" t="s">
        <v>62</v>
      </c>
      <c r="E364" s="1" t="s">
        <v>46</v>
      </c>
      <c r="F364" s="1" t="s">
        <v>39</v>
      </c>
      <c r="G364" s="1" t="s">
        <v>36</v>
      </c>
      <c r="H364" s="1">
        <v>9317</v>
      </c>
      <c r="I364" s="1" t="s">
        <v>22</v>
      </c>
      <c r="J364" s="1">
        <v>0.1</v>
      </c>
      <c r="K364" s="1">
        <v>9000</v>
      </c>
      <c r="L364" s="2">
        <v>45349</v>
      </c>
    </row>
    <row r="365" spans="1:12" x14ac:dyDescent="0.35">
      <c r="A365" s="1" t="s">
        <v>571</v>
      </c>
      <c r="B365" s="1" t="s">
        <v>184</v>
      </c>
      <c r="C365" s="1" t="s">
        <v>44</v>
      </c>
      <c r="D365" s="1" t="s">
        <v>45</v>
      </c>
      <c r="E365" s="1" t="s">
        <v>32</v>
      </c>
      <c r="F365" s="1" t="s">
        <v>39</v>
      </c>
      <c r="G365" s="1" t="s">
        <v>26</v>
      </c>
      <c r="H365" s="1">
        <v>12947</v>
      </c>
      <c r="I365" s="1" t="s">
        <v>33</v>
      </c>
      <c r="J365" s="1">
        <v>0.3</v>
      </c>
      <c r="K365" s="1">
        <v>13000</v>
      </c>
      <c r="L365" s="2">
        <v>45294</v>
      </c>
    </row>
    <row r="366" spans="1:12" x14ac:dyDescent="0.35">
      <c r="A366" s="1" t="s">
        <v>572</v>
      </c>
      <c r="B366" s="1" t="s">
        <v>403</v>
      </c>
      <c r="C366" s="1" t="s">
        <v>30</v>
      </c>
      <c r="D366" s="1" t="s">
        <v>31</v>
      </c>
      <c r="E366" s="1" t="s">
        <v>16</v>
      </c>
      <c r="F366" s="1" t="s">
        <v>39</v>
      </c>
      <c r="G366" s="1" t="s">
        <v>26</v>
      </c>
      <c r="H366" s="1">
        <v>15134</v>
      </c>
      <c r="I366" s="1" t="s">
        <v>19</v>
      </c>
      <c r="J366" s="1">
        <v>0.2</v>
      </c>
      <c r="K366" s="1">
        <v>17000</v>
      </c>
      <c r="L366" s="2">
        <v>45351</v>
      </c>
    </row>
    <row r="367" spans="1:12" x14ac:dyDescent="0.35">
      <c r="A367" s="1" t="s">
        <v>573</v>
      </c>
      <c r="B367" s="1" t="s">
        <v>303</v>
      </c>
      <c r="C367" s="1" t="s">
        <v>14</v>
      </c>
      <c r="D367" s="1" t="s">
        <v>15</v>
      </c>
      <c r="E367" s="1" t="s">
        <v>32</v>
      </c>
      <c r="F367" s="1" t="s">
        <v>39</v>
      </c>
      <c r="G367" s="1" t="s">
        <v>18</v>
      </c>
      <c r="H367" s="1">
        <v>15081</v>
      </c>
      <c r="I367" s="1"/>
      <c r="J367" s="1"/>
      <c r="K367" s="1">
        <v>14000</v>
      </c>
      <c r="L367" s="2">
        <v>45351</v>
      </c>
    </row>
    <row r="368" spans="1:12" x14ac:dyDescent="0.35">
      <c r="A368" s="1" t="s">
        <v>574</v>
      </c>
      <c r="B368" s="1" t="s">
        <v>263</v>
      </c>
      <c r="C368" s="1" t="s">
        <v>44</v>
      </c>
      <c r="D368" s="1" t="s">
        <v>45</v>
      </c>
      <c r="E368" s="1" t="s">
        <v>16</v>
      </c>
      <c r="F368" s="1" t="s">
        <v>25</v>
      </c>
      <c r="G368" s="1" t="s">
        <v>26</v>
      </c>
      <c r="H368" s="1">
        <v>14418</v>
      </c>
      <c r="I368" s="1"/>
      <c r="J368" s="1"/>
      <c r="K368" s="1">
        <v>13000</v>
      </c>
      <c r="L368" s="2">
        <v>45335</v>
      </c>
    </row>
    <row r="369" spans="1:12" x14ac:dyDescent="0.35">
      <c r="A369" s="1" t="s">
        <v>575</v>
      </c>
      <c r="B369" s="1" t="s">
        <v>84</v>
      </c>
      <c r="C369" s="1" t="s">
        <v>30</v>
      </c>
      <c r="D369" s="1" t="s">
        <v>31</v>
      </c>
      <c r="E369" s="1" t="s">
        <v>46</v>
      </c>
      <c r="F369" s="1" t="s">
        <v>39</v>
      </c>
      <c r="G369" s="1" t="s">
        <v>18</v>
      </c>
      <c r="H369" s="1">
        <v>18237</v>
      </c>
      <c r="I369" s="1" t="s">
        <v>22</v>
      </c>
      <c r="J369" s="1">
        <v>0.1</v>
      </c>
      <c r="K369" s="1">
        <v>17000</v>
      </c>
      <c r="L369" s="2">
        <v>45324</v>
      </c>
    </row>
    <row r="370" spans="1:12" x14ac:dyDescent="0.35">
      <c r="A370" s="1" t="s">
        <v>576</v>
      </c>
      <c r="B370" s="1" t="s">
        <v>577</v>
      </c>
      <c r="C370" s="1" t="s">
        <v>14</v>
      </c>
      <c r="D370" s="1" t="s">
        <v>15</v>
      </c>
      <c r="E370" s="1" t="s">
        <v>32</v>
      </c>
      <c r="F370" s="1" t="s">
        <v>17</v>
      </c>
      <c r="G370" s="1" t="s">
        <v>18</v>
      </c>
      <c r="H370" s="1">
        <v>15435</v>
      </c>
      <c r="I370" s="1" t="s">
        <v>22</v>
      </c>
      <c r="J370" s="1">
        <v>0.1</v>
      </c>
      <c r="K370" s="1">
        <v>14000</v>
      </c>
      <c r="L370" s="2">
        <v>45313</v>
      </c>
    </row>
    <row r="371" spans="1:12" x14ac:dyDescent="0.35">
      <c r="A371" s="1" t="s">
        <v>578</v>
      </c>
      <c r="B371" s="1" t="s">
        <v>579</v>
      </c>
      <c r="C371" s="1" t="s">
        <v>61</v>
      </c>
      <c r="D371" s="1" t="s">
        <v>62</v>
      </c>
      <c r="E371" s="1" t="s">
        <v>46</v>
      </c>
      <c r="F371" s="1" t="s">
        <v>25</v>
      </c>
      <c r="G371" s="1" t="s">
        <v>26</v>
      </c>
      <c r="H371" s="1">
        <v>8119</v>
      </c>
      <c r="I371" s="1"/>
      <c r="J371" s="1"/>
      <c r="K371" s="1">
        <v>9000</v>
      </c>
      <c r="L371" s="2">
        <v>45323</v>
      </c>
    </row>
    <row r="372" spans="1:12" x14ac:dyDescent="0.35">
      <c r="A372" s="1" t="s">
        <v>580</v>
      </c>
      <c r="B372" s="1" t="s">
        <v>391</v>
      </c>
      <c r="C372" s="1" t="s">
        <v>61</v>
      </c>
      <c r="D372" s="1" t="s">
        <v>62</v>
      </c>
      <c r="E372" s="1" t="s">
        <v>46</v>
      </c>
      <c r="F372" s="1" t="s">
        <v>25</v>
      </c>
      <c r="G372" s="1" t="s">
        <v>26</v>
      </c>
      <c r="H372" s="1">
        <v>9399</v>
      </c>
      <c r="I372" s="1"/>
      <c r="J372" s="1"/>
      <c r="K372" s="1">
        <v>9000</v>
      </c>
      <c r="L372" s="2">
        <v>45297</v>
      </c>
    </row>
    <row r="373" spans="1:12" x14ac:dyDescent="0.35">
      <c r="A373" s="1" t="s">
        <v>581</v>
      </c>
      <c r="B373" s="1" t="s">
        <v>522</v>
      </c>
      <c r="C373" s="1" t="s">
        <v>30</v>
      </c>
      <c r="D373" s="1" t="s">
        <v>31</v>
      </c>
      <c r="E373" s="1" t="s">
        <v>32</v>
      </c>
      <c r="F373" s="1" t="s">
        <v>39</v>
      </c>
      <c r="G373" s="1" t="s">
        <v>18</v>
      </c>
      <c r="H373" s="1">
        <v>15336</v>
      </c>
      <c r="I373" s="1" t="s">
        <v>33</v>
      </c>
      <c r="J373" s="1">
        <v>0.3</v>
      </c>
      <c r="K373" s="1">
        <v>17000</v>
      </c>
      <c r="L373" s="2">
        <v>45301</v>
      </c>
    </row>
    <row r="374" spans="1:12" x14ac:dyDescent="0.35">
      <c r="A374" s="1" t="s">
        <v>582</v>
      </c>
      <c r="B374" s="1" t="s">
        <v>101</v>
      </c>
      <c r="C374" s="1" t="s">
        <v>44</v>
      </c>
      <c r="D374" s="1" t="s">
        <v>45</v>
      </c>
      <c r="E374" s="1" t="s">
        <v>16</v>
      </c>
      <c r="F374" s="1" t="s">
        <v>17</v>
      </c>
      <c r="G374" s="1" t="s">
        <v>36</v>
      </c>
      <c r="H374" s="1">
        <v>12477</v>
      </c>
      <c r="I374" s="1" t="s">
        <v>22</v>
      </c>
      <c r="J374" s="1">
        <v>0.1</v>
      </c>
      <c r="K374" s="1">
        <v>13000</v>
      </c>
      <c r="L374" s="2">
        <v>45297</v>
      </c>
    </row>
    <row r="375" spans="1:12" x14ac:dyDescent="0.35">
      <c r="A375" s="1" t="s">
        <v>583</v>
      </c>
      <c r="B375" s="1" t="s">
        <v>584</v>
      </c>
      <c r="C375" s="1" t="s">
        <v>61</v>
      </c>
      <c r="D375" s="1" t="s">
        <v>62</v>
      </c>
      <c r="E375" s="1" t="s">
        <v>46</v>
      </c>
      <c r="F375" s="1" t="s">
        <v>17</v>
      </c>
      <c r="G375" s="1" t="s">
        <v>18</v>
      </c>
      <c r="H375" s="1">
        <v>7542</v>
      </c>
      <c r="I375" s="1" t="s">
        <v>22</v>
      </c>
      <c r="J375" s="1">
        <v>0.1</v>
      </c>
      <c r="K375" s="1">
        <v>9000</v>
      </c>
      <c r="L375" s="2">
        <v>45303</v>
      </c>
    </row>
    <row r="376" spans="1:12" x14ac:dyDescent="0.35">
      <c r="A376" s="1" t="s">
        <v>585</v>
      </c>
      <c r="B376" s="1" t="s">
        <v>527</v>
      </c>
      <c r="C376" s="1" t="s">
        <v>61</v>
      </c>
      <c r="D376" s="1" t="s">
        <v>62</v>
      </c>
      <c r="E376" s="1" t="s">
        <v>32</v>
      </c>
      <c r="F376" s="1" t="s">
        <v>25</v>
      </c>
      <c r="G376" s="1" t="s">
        <v>18</v>
      </c>
      <c r="H376" s="1">
        <v>8449</v>
      </c>
      <c r="I376" s="1" t="s">
        <v>27</v>
      </c>
      <c r="J376" s="1"/>
      <c r="K376" s="1">
        <v>9000</v>
      </c>
      <c r="L376" s="2">
        <v>45297</v>
      </c>
    </row>
    <row r="377" spans="1:12" x14ac:dyDescent="0.35">
      <c r="A377" s="1" t="s">
        <v>586</v>
      </c>
      <c r="B377" s="1" t="s">
        <v>195</v>
      </c>
      <c r="C377" s="1" t="s">
        <v>30</v>
      </c>
      <c r="D377" s="1" t="s">
        <v>31</v>
      </c>
      <c r="E377" s="1" t="s">
        <v>46</v>
      </c>
      <c r="F377" s="1" t="s">
        <v>25</v>
      </c>
      <c r="G377" s="1" t="s">
        <v>36</v>
      </c>
      <c r="H377" s="1">
        <v>16694</v>
      </c>
      <c r="I377" s="1"/>
      <c r="J377" s="1"/>
      <c r="K377" s="1">
        <v>17000</v>
      </c>
      <c r="L377" s="2">
        <v>45341</v>
      </c>
    </row>
    <row r="378" spans="1:12" x14ac:dyDescent="0.35">
      <c r="A378" s="1" t="s">
        <v>587</v>
      </c>
      <c r="B378" s="1" t="s">
        <v>173</v>
      </c>
      <c r="C378" s="1" t="s">
        <v>44</v>
      </c>
      <c r="D378" s="1" t="s">
        <v>45</v>
      </c>
      <c r="E378" s="1" t="s">
        <v>16</v>
      </c>
      <c r="F378" s="1" t="s">
        <v>39</v>
      </c>
      <c r="G378" s="1" t="s">
        <v>18</v>
      </c>
      <c r="H378" s="1">
        <v>13807</v>
      </c>
      <c r="I378" s="1"/>
      <c r="J378" s="1"/>
      <c r="K378" s="1">
        <v>13000</v>
      </c>
      <c r="L378" s="2">
        <v>45302</v>
      </c>
    </row>
    <row r="379" spans="1:12" x14ac:dyDescent="0.35">
      <c r="A379" s="1" t="s">
        <v>588</v>
      </c>
      <c r="B379" s="1" t="s">
        <v>256</v>
      </c>
      <c r="C379" s="1" t="s">
        <v>30</v>
      </c>
      <c r="D379" s="1" t="s">
        <v>31</v>
      </c>
      <c r="E379" s="1" t="s">
        <v>46</v>
      </c>
      <c r="F379" s="1" t="s">
        <v>17</v>
      </c>
      <c r="G379" s="1" t="s">
        <v>18</v>
      </c>
      <c r="H379" s="1">
        <v>15259</v>
      </c>
      <c r="I379" s="1" t="s">
        <v>19</v>
      </c>
      <c r="J379" s="1">
        <v>0.2</v>
      </c>
      <c r="K379" s="1">
        <v>17000</v>
      </c>
      <c r="L379" s="2">
        <v>45319</v>
      </c>
    </row>
    <row r="380" spans="1:12" x14ac:dyDescent="0.35">
      <c r="A380" s="1" t="s">
        <v>589</v>
      </c>
      <c r="B380" s="1" t="s">
        <v>70</v>
      </c>
      <c r="C380" s="1" t="s">
        <v>30</v>
      </c>
      <c r="D380" s="1" t="s">
        <v>31</v>
      </c>
      <c r="E380" s="1" t="s">
        <v>46</v>
      </c>
      <c r="F380" s="1" t="s">
        <v>25</v>
      </c>
      <c r="G380" s="1" t="s">
        <v>36</v>
      </c>
      <c r="H380" s="1">
        <v>16030</v>
      </c>
      <c r="I380" s="1" t="s">
        <v>19</v>
      </c>
      <c r="J380" s="1">
        <v>0.2</v>
      </c>
      <c r="K380" s="1">
        <v>17000</v>
      </c>
      <c r="L380" s="2">
        <v>45338</v>
      </c>
    </row>
    <row r="381" spans="1:12" x14ac:dyDescent="0.35">
      <c r="A381" s="1" t="s">
        <v>590</v>
      </c>
      <c r="B381" s="1" t="s">
        <v>591</v>
      </c>
      <c r="C381" s="1" t="s">
        <v>44</v>
      </c>
      <c r="D381" s="1" t="s">
        <v>45</v>
      </c>
      <c r="E381" s="1" t="s">
        <v>46</v>
      </c>
      <c r="F381" s="1" t="s">
        <v>25</v>
      </c>
      <c r="G381" s="1" t="s">
        <v>18</v>
      </c>
      <c r="H381" s="1">
        <v>12247</v>
      </c>
      <c r="I381" s="1" t="s">
        <v>22</v>
      </c>
      <c r="J381" s="1">
        <v>0.1</v>
      </c>
      <c r="K381" s="1">
        <v>13000</v>
      </c>
      <c r="L381" s="2">
        <v>45352</v>
      </c>
    </row>
    <row r="382" spans="1:12" x14ac:dyDescent="0.35">
      <c r="A382" s="1" t="s">
        <v>592</v>
      </c>
      <c r="B382" s="1" t="s">
        <v>474</v>
      </c>
      <c r="C382" s="1" t="s">
        <v>61</v>
      </c>
      <c r="D382" s="1" t="s">
        <v>62</v>
      </c>
      <c r="E382" s="1" t="s">
        <v>46</v>
      </c>
      <c r="F382" s="1" t="s">
        <v>17</v>
      </c>
      <c r="G382" s="1" t="s">
        <v>36</v>
      </c>
      <c r="H382" s="1">
        <v>8763</v>
      </c>
      <c r="I382" s="1" t="s">
        <v>27</v>
      </c>
      <c r="J382" s="1"/>
      <c r="K382" s="1">
        <v>9000</v>
      </c>
      <c r="L382" s="2">
        <v>45300</v>
      </c>
    </row>
    <row r="383" spans="1:12" x14ac:dyDescent="0.35">
      <c r="A383" s="1" t="s">
        <v>593</v>
      </c>
      <c r="B383" s="1" t="s">
        <v>131</v>
      </c>
      <c r="C383" s="1" t="s">
        <v>44</v>
      </c>
      <c r="D383" s="1" t="s">
        <v>45</v>
      </c>
      <c r="E383" s="1" t="s">
        <v>46</v>
      </c>
      <c r="F383" s="1" t="s">
        <v>17</v>
      </c>
      <c r="G383" s="1" t="s">
        <v>18</v>
      </c>
      <c r="H383" s="1">
        <v>14950</v>
      </c>
      <c r="I383" s="1"/>
      <c r="J383" s="1"/>
      <c r="K383" s="1">
        <v>13000</v>
      </c>
      <c r="L383" s="2">
        <v>45312</v>
      </c>
    </row>
    <row r="384" spans="1:12" x14ac:dyDescent="0.35">
      <c r="A384" s="1" t="s">
        <v>594</v>
      </c>
      <c r="B384" s="1" t="s">
        <v>350</v>
      </c>
      <c r="C384" s="1" t="s">
        <v>61</v>
      </c>
      <c r="D384" s="1" t="s">
        <v>62</v>
      </c>
      <c r="E384" s="1" t="s">
        <v>16</v>
      </c>
      <c r="F384" s="1" t="s">
        <v>25</v>
      </c>
      <c r="G384" s="1" t="s">
        <v>36</v>
      </c>
      <c r="H384" s="1">
        <v>8540</v>
      </c>
      <c r="I384" s="1" t="s">
        <v>33</v>
      </c>
      <c r="J384" s="1">
        <v>0.3</v>
      </c>
      <c r="K384" s="1">
        <v>9000</v>
      </c>
      <c r="L384" s="2">
        <v>45344</v>
      </c>
    </row>
    <row r="385" spans="1:12" x14ac:dyDescent="0.35">
      <c r="A385" s="1" t="s">
        <v>595</v>
      </c>
      <c r="B385" s="1" t="s">
        <v>180</v>
      </c>
      <c r="C385" s="1" t="s">
        <v>30</v>
      </c>
      <c r="D385" s="1" t="s">
        <v>31</v>
      </c>
      <c r="E385" s="1" t="s">
        <v>32</v>
      </c>
      <c r="F385" s="1" t="s">
        <v>39</v>
      </c>
      <c r="G385" s="1" t="s">
        <v>18</v>
      </c>
      <c r="H385" s="1">
        <v>17425</v>
      </c>
      <c r="I385" s="1" t="s">
        <v>27</v>
      </c>
      <c r="J385" s="1"/>
      <c r="K385" s="1">
        <v>17000</v>
      </c>
      <c r="L385" s="2">
        <v>45303</v>
      </c>
    </row>
    <row r="386" spans="1:12" x14ac:dyDescent="0.35">
      <c r="A386" s="1" t="s">
        <v>596</v>
      </c>
      <c r="B386" s="1" t="s">
        <v>270</v>
      </c>
      <c r="C386" s="1" t="s">
        <v>14</v>
      </c>
      <c r="D386" s="1" t="s">
        <v>15</v>
      </c>
      <c r="E386" s="1" t="s">
        <v>16</v>
      </c>
      <c r="F386" s="1" t="s">
        <v>17</v>
      </c>
      <c r="G386" s="1" t="s">
        <v>26</v>
      </c>
      <c r="H386" s="1">
        <v>12858</v>
      </c>
      <c r="I386" s="1"/>
      <c r="J386" s="1"/>
      <c r="K386" s="1">
        <v>14000</v>
      </c>
      <c r="L386" s="2">
        <v>45343</v>
      </c>
    </row>
    <row r="387" spans="1:12" x14ac:dyDescent="0.35">
      <c r="A387" s="1" t="s">
        <v>597</v>
      </c>
      <c r="B387" s="1" t="s">
        <v>142</v>
      </c>
      <c r="C387" s="1" t="s">
        <v>14</v>
      </c>
      <c r="D387" s="1" t="s">
        <v>15</v>
      </c>
      <c r="E387" s="1" t="s">
        <v>46</v>
      </c>
      <c r="F387" s="1" t="s">
        <v>39</v>
      </c>
      <c r="G387" s="1" t="s">
        <v>36</v>
      </c>
      <c r="H387" s="1">
        <v>12570</v>
      </c>
      <c r="I387" s="1" t="s">
        <v>33</v>
      </c>
      <c r="J387" s="1">
        <v>0.3</v>
      </c>
      <c r="K387" s="1">
        <v>14000</v>
      </c>
      <c r="L387" s="2">
        <v>45307</v>
      </c>
    </row>
    <row r="388" spans="1:12" x14ac:dyDescent="0.35">
      <c r="A388" s="1" t="s">
        <v>598</v>
      </c>
      <c r="B388" s="1" t="s">
        <v>286</v>
      </c>
      <c r="C388" s="1" t="s">
        <v>44</v>
      </c>
      <c r="D388" s="1" t="s">
        <v>45</v>
      </c>
      <c r="E388" s="1" t="s">
        <v>16</v>
      </c>
      <c r="F388" s="1" t="s">
        <v>17</v>
      </c>
      <c r="G388" s="1" t="s">
        <v>36</v>
      </c>
      <c r="H388" s="1">
        <v>11302</v>
      </c>
      <c r="I388" s="1"/>
      <c r="J388" s="1"/>
      <c r="K388" s="1">
        <v>13000</v>
      </c>
      <c r="L388" s="2">
        <v>45330</v>
      </c>
    </row>
    <row r="389" spans="1:12" x14ac:dyDescent="0.35">
      <c r="A389" s="1" t="s">
        <v>599</v>
      </c>
      <c r="B389" s="1" t="s">
        <v>600</v>
      </c>
      <c r="C389" s="1" t="s">
        <v>61</v>
      </c>
      <c r="D389" s="1" t="s">
        <v>62</v>
      </c>
      <c r="E389" s="1" t="s">
        <v>16</v>
      </c>
      <c r="F389" s="1" t="s">
        <v>39</v>
      </c>
      <c r="G389" s="1" t="s">
        <v>26</v>
      </c>
      <c r="H389" s="1">
        <v>8713</v>
      </c>
      <c r="I389" s="1" t="s">
        <v>27</v>
      </c>
      <c r="J389" s="1"/>
      <c r="K389" s="1">
        <v>9000</v>
      </c>
      <c r="L389" s="2">
        <v>45294</v>
      </c>
    </row>
    <row r="390" spans="1:12" x14ac:dyDescent="0.35">
      <c r="A390" s="1" t="s">
        <v>601</v>
      </c>
      <c r="B390" s="1" t="s">
        <v>602</v>
      </c>
      <c r="C390" s="1" t="s">
        <v>14</v>
      </c>
      <c r="D390" s="1" t="s">
        <v>15</v>
      </c>
      <c r="E390" s="1" t="s">
        <v>32</v>
      </c>
      <c r="F390" s="1" t="s">
        <v>25</v>
      </c>
      <c r="G390" s="1" t="s">
        <v>26</v>
      </c>
      <c r="H390" s="1">
        <v>14722</v>
      </c>
      <c r="I390" s="1" t="s">
        <v>33</v>
      </c>
      <c r="J390" s="1">
        <v>0.3</v>
      </c>
      <c r="K390" s="1">
        <v>14000</v>
      </c>
      <c r="L390" s="2">
        <v>45302</v>
      </c>
    </row>
    <row r="391" spans="1:12" x14ac:dyDescent="0.35">
      <c r="A391" s="1" t="s">
        <v>603</v>
      </c>
      <c r="B391" s="1" t="s">
        <v>163</v>
      </c>
      <c r="C391" s="1" t="s">
        <v>14</v>
      </c>
      <c r="D391" s="1" t="s">
        <v>15</v>
      </c>
      <c r="E391" s="1" t="s">
        <v>16</v>
      </c>
      <c r="F391" s="1" t="s">
        <v>39</v>
      </c>
      <c r="G391" s="1" t="s">
        <v>26</v>
      </c>
      <c r="H391" s="1">
        <v>14649</v>
      </c>
      <c r="I391" s="1"/>
      <c r="J391" s="1"/>
      <c r="K391" s="1">
        <v>14000</v>
      </c>
      <c r="L391" s="2">
        <v>45340</v>
      </c>
    </row>
    <row r="392" spans="1:12" x14ac:dyDescent="0.35">
      <c r="A392" s="1" t="s">
        <v>604</v>
      </c>
      <c r="B392" s="1" t="s">
        <v>478</v>
      </c>
      <c r="C392" s="1" t="s">
        <v>61</v>
      </c>
      <c r="D392" s="1" t="s">
        <v>62</v>
      </c>
      <c r="E392" s="1" t="s">
        <v>32</v>
      </c>
      <c r="F392" s="1" t="s">
        <v>25</v>
      </c>
      <c r="G392" s="1" t="s">
        <v>18</v>
      </c>
      <c r="H392" s="1">
        <v>8059</v>
      </c>
      <c r="I392" s="1" t="s">
        <v>19</v>
      </c>
      <c r="J392" s="1">
        <v>0.2</v>
      </c>
      <c r="K392" s="1">
        <v>9000</v>
      </c>
      <c r="L392" s="2">
        <v>45324</v>
      </c>
    </row>
    <row r="393" spans="1:12" x14ac:dyDescent="0.35">
      <c r="A393" s="1" t="s">
        <v>605</v>
      </c>
      <c r="B393" s="1" t="s">
        <v>103</v>
      </c>
      <c r="C393" s="1" t="s">
        <v>44</v>
      </c>
      <c r="D393" s="1" t="s">
        <v>45</v>
      </c>
      <c r="E393" s="1" t="s">
        <v>46</v>
      </c>
      <c r="F393" s="1" t="s">
        <v>17</v>
      </c>
      <c r="G393" s="1" t="s">
        <v>36</v>
      </c>
      <c r="H393" s="1">
        <v>12896</v>
      </c>
      <c r="I393" s="1" t="s">
        <v>27</v>
      </c>
      <c r="J393" s="1"/>
      <c r="K393" s="1">
        <v>13000</v>
      </c>
      <c r="L393" s="2">
        <v>45336</v>
      </c>
    </row>
    <row r="394" spans="1:12" x14ac:dyDescent="0.35">
      <c r="A394" s="1" t="s">
        <v>606</v>
      </c>
      <c r="B394" s="1" t="s">
        <v>80</v>
      </c>
      <c r="C394" s="1" t="s">
        <v>30</v>
      </c>
      <c r="D394" s="1" t="s">
        <v>31</v>
      </c>
      <c r="E394" s="1" t="s">
        <v>32</v>
      </c>
      <c r="F394" s="1" t="s">
        <v>17</v>
      </c>
      <c r="G394" s="1" t="s">
        <v>18</v>
      </c>
      <c r="H394" s="1">
        <v>16210</v>
      </c>
      <c r="I394" s="1"/>
      <c r="J394" s="1"/>
      <c r="K394" s="1">
        <v>17000</v>
      </c>
      <c r="L394" s="2">
        <v>45350</v>
      </c>
    </row>
    <row r="395" spans="1:12" x14ac:dyDescent="0.35">
      <c r="A395" s="1" t="s">
        <v>607</v>
      </c>
      <c r="B395" s="1" t="s">
        <v>78</v>
      </c>
      <c r="C395" s="1" t="s">
        <v>44</v>
      </c>
      <c r="D395" s="1" t="s">
        <v>45</v>
      </c>
      <c r="E395" s="1" t="s">
        <v>46</v>
      </c>
      <c r="F395" s="1" t="s">
        <v>17</v>
      </c>
      <c r="G395" s="1" t="s">
        <v>36</v>
      </c>
      <c r="H395" s="1">
        <v>12865</v>
      </c>
      <c r="I395" s="1" t="s">
        <v>19</v>
      </c>
      <c r="J395" s="1">
        <v>0.2</v>
      </c>
      <c r="K395" s="1">
        <v>13000</v>
      </c>
      <c r="L395" s="2">
        <v>45325</v>
      </c>
    </row>
    <row r="396" spans="1:12" x14ac:dyDescent="0.35">
      <c r="A396" s="1" t="s">
        <v>608</v>
      </c>
      <c r="B396" s="1" t="s">
        <v>188</v>
      </c>
      <c r="C396" s="1" t="s">
        <v>61</v>
      </c>
      <c r="D396" s="1" t="s">
        <v>62</v>
      </c>
      <c r="E396" s="1" t="s">
        <v>32</v>
      </c>
      <c r="F396" s="1" t="s">
        <v>17</v>
      </c>
      <c r="G396" s="1" t="s">
        <v>26</v>
      </c>
      <c r="H396" s="1">
        <v>9853</v>
      </c>
      <c r="I396" s="1"/>
      <c r="J396" s="1"/>
      <c r="K396" s="1">
        <v>9000</v>
      </c>
      <c r="L396" s="2">
        <v>45312</v>
      </c>
    </row>
    <row r="397" spans="1:12" x14ac:dyDescent="0.35">
      <c r="A397" s="1" t="s">
        <v>609</v>
      </c>
      <c r="B397" s="1" t="s">
        <v>263</v>
      </c>
      <c r="C397" s="1" t="s">
        <v>14</v>
      </c>
      <c r="D397" s="1" t="s">
        <v>15</v>
      </c>
      <c r="E397" s="1" t="s">
        <v>16</v>
      </c>
      <c r="F397" s="1" t="s">
        <v>25</v>
      </c>
      <c r="G397" s="1" t="s">
        <v>18</v>
      </c>
      <c r="H397" s="1">
        <v>15478</v>
      </c>
      <c r="I397" s="1" t="s">
        <v>33</v>
      </c>
      <c r="J397" s="1">
        <v>0.3</v>
      </c>
      <c r="K397" s="1">
        <v>14000</v>
      </c>
      <c r="L397" s="2">
        <v>45333</v>
      </c>
    </row>
    <row r="398" spans="1:12" x14ac:dyDescent="0.35">
      <c r="A398" s="1" t="s">
        <v>610</v>
      </c>
      <c r="B398" s="1" t="s">
        <v>21</v>
      </c>
      <c r="C398" s="1" t="s">
        <v>44</v>
      </c>
      <c r="D398" s="1" t="s">
        <v>45</v>
      </c>
      <c r="E398" s="1" t="s">
        <v>16</v>
      </c>
      <c r="F398" s="1" t="s">
        <v>25</v>
      </c>
      <c r="G398" s="1" t="s">
        <v>26</v>
      </c>
      <c r="H398" s="1">
        <v>11714</v>
      </c>
      <c r="I398" s="1" t="s">
        <v>27</v>
      </c>
      <c r="J398" s="1"/>
      <c r="K398" s="1">
        <v>13000</v>
      </c>
      <c r="L398" s="2">
        <v>45302</v>
      </c>
    </row>
    <row r="399" spans="1:12" x14ac:dyDescent="0.35">
      <c r="A399" s="1" t="s">
        <v>611</v>
      </c>
      <c r="B399" s="1" t="s">
        <v>301</v>
      </c>
      <c r="C399" s="1" t="s">
        <v>61</v>
      </c>
      <c r="D399" s="1" t="s">
        <v>62</v>
      </c>
      <c r="E399" s="1" t="s">
        <v>46</v>
      </c>
      <c r="F399" s="1" t="s">
        <v>25</v>
      </c>
      <c r="G399" s="1" t="s">
        <v>36</v>
      </c>
      <c r="H399" s="1">
        <v>9579</v>
      </c>
      <c r="I399" s="1" t="s">
        <v>19</v>
      </c>
      <c r="J399" s="1">
        <v>0.2</v>
      </c>
      <c r="K399" s="1">
        <v>9000</v>
      </c>
      <c r="L399" s="2">
        <v>45303</v>
      </c>
    </row>
    <row r="400" spans="1:12" x14ac:dyDescent="0.35">
      <c r="A400" s="1" t="s">
        <v>612</v>
      </c>
      <c r="B400" s="1" t="s">
        <v>92</v>
      </c>
      <c r="C400" s="1" t="s">
        <v>61</v>
      </c>
      <c r="D400" s="1" t="s">
        <v>62</v>
      </c>
      <c r="E400" s="1" t="s">
        <v>46</v>
      </c>
      <c r="F400" s="1" t="s">
        <v>25</v>
      </c>
      <c r="G400" s="1" t="s">
        <v>26</v>
      </c>
      <c r="H400" s="1">
        <v>9515</v>
      </c>
      <c r="I400" s="1" t="s">
        <v>19</v>
      </c>
      <c r="J400" s="1">
        <v>0.2</v>
      </c>
      <c r="K400" s="1">
        <v>9000</v>
      </c>
      <c r="L400" s="2">
        <v>45320</v>
      </c>
    </row>
    <row r="401" spans="1:12" x14ac:dyDescent="0.35">
      <c r="A401" s="1" t="s">
        <v>613</v>
      </c>
      <c r="B401" s="1" t="s">
        <v>337</v>
      </c>
      <c r="C401" s="1" t="s">
        <v>61</v>
      </c>
      <c r="D401" s="1" t="s">
        <v>62</v>
      </c>
      <c r="E401" s="1" t="s">
        <v>32</v>
      </c>
      <c r="F401" s="1" t="s">
        <v>39</v>
      </c>
      <c r="G401" s="1" t="s">
        <v>18</v>
      </c>
      <c r="H401" s="1">
        <v>7842</v>
      </c>
      <c r="I401" s="1" t="s">
        <v>33</v>
      </c>
      <c r="J401" s="1">
        <v>0.3</v>
      </c>
      <c r="K401" s="1">
        <v>9000</v>
      </c>
      <c r="L401" s="2">
        <v>45340</v>
      </c>
    </row>
    <row r="402" spans="1:12" x14ac:dyDescent="0.35">
      <c r="A402" s="1" t="s">
        <v>614</v>
      </c>
      <c r="B402" s="1" t="s">
        <v>276</v>
      </c>
      <c r="C402" s="1" t="s">
        <v>14</v>
      </c>
      <c r="D402" s="1" t="s">
        <v>15</v>
      </c>
      <c r="E402" s="1" t="s">
        <v>16</v>
      </c>
      <c r="F402" s="1" t="s">
        <v>25</v>
      </c>
      <c r="G402" s="1" t="s">
        <v>26</v>
      </c>
      <c r="H402" s="1">
        <v>12765</v>
      </c>
      <c r="I402" s="1" t="s">
        <v>33</v>
      </c>
      <c r="J402" s="1">
        <v>0.3</v>
      </c>
      <c r="K402" s="1">
        <v>14000</v>
      </c>
      <c r="L402" s="2">
        <v>45312</v>
      </c>
    </row>
    <row r="403" spans="1:12" x14ac:dyDescent="0.35">
      <c r="A403" s="1" t="s">
        <v>615</v>
      </c>
      <c r="B403" s="1" t="s">
        <v>29</v>
      </c>
      <c r="C403" s="1" t="s">
        <v>14</v>
      </c>
      <c r="D403" s="1" t="s">
        <v>15</v>
      </c>
      <c r="E403" s="1" t="s">
        <v>46</v>
      </c>
      <c r="F403" s="1" t="s">
        <v>39</v>
      </c>
      <c r="G403" s="1" t="s">
        <v>36</v>
      </c>
      <c r="H403" s="1">
        <v>14161</v>
      </c>
      <c r="I403" s="1" t="s">
        <v>33</v>
      </c>
      <c r="J403" s="1">
        <v>0.3</v>
      </c>
      <c r="K403" s="1">
        <v>14000</v>
      </c>
      <c r="L403" s="2">
        <v>45330</v>
      </c>
    </row>
    <row r="404" spans="1:12" x14ac:dyDescent="0.35">
      <c r="A404" s="1" t="s">
        <v>616</v>
      </c>
      <c r="B404" s="1" t="s">
        <v>617</v>
      </c>
      <c r="C404" s="1" t="s">
        <v>61</v>
      </c>
      <c r="D404" s="1" t="s">
        <v>62</v>
      </c>
      <c r="E404" s="1" t="s">
        <v>16</v>
      </c>
      <c r="F404" s="1" t="s">
        <v>25</v>
      </c>
      <c r="G404" s="1" t="s">
        <v>36</v>
      </c>
      <c r="H404" s="1">
        <v>8441</v>
      </c>
      <c r="I404" s="1"/>
      <c r="J404" s="1"/>
      <c r="K404" s="1">
        <v>9000</v>
      </c>
      <c r="L404" s="2">
        <v>45331</v>
      </c>
    </row>
    <row r="405" spans="1:12" x14ac:dyDescent="0.35">
      <c r="A405" s="1" t="s">
        <v>618</v>
      </c>
      <c r="B405" s="1" t="s">
        <v>619</v>
      </c>
      <c r="C405" s="1" t="s">
        <v>30</v>
      </c>
      <c r="D405" s="1" t="s">
        <v>31</v>
      </c>
      <c r="E405" s="1" t="s">
        <v>16</v>
      </c>
      <c r="F405" s="1" t="s">
        <v>39</v>
      </c>
      <c r="G405" s="1" t="s">
        <v>18</v>
      </c>
      <c r="H405" s="1">
        <v>17752</v>
      </c>
      <c r="I405" s="1" t="s">
        <v>19</v>
      </c>
      <c r="J405" s="1">
        <v>0.2</v>
      </c>
      <c r="K405" s="1">
        <v>17000</v>
      </c>
      <c r="L405" s="2">
        <v>45312</v>
      </c>
    </row>
    <row r="406" spans="1:12" x14ac:dyDescent="0.35">
      <c r="A406" s="1" t="s">
        <v>620</v>
      </c>
      <c r="B406" s="1" t="s">
        <v>248</v>
      </c>
      <c r="C406" s="1" t="s">
        <v>30</v>
      </c>
      <c r="D406" s="1" t="s">
        <v>31</v>
      </c>
      <c r="E406" s="1" t="s">
        <v>32</v>
      </c>
      <c r="F406" s="1" t="s">
        <v>25</v>
      </c>
      <c r="G406" s="1" t="s">
        <v>36</v>
      </c>
      <c r="H406" s="1">
        <v>17840</v>
      </c>
      <c r="I406" s="1" t="s">
        <v>19</v>
      </c>
      <c r="J406" s="1">
        <v>0.2</v>
      </c>
      <c r="K406" s="1">
        <v>17000</v>
      </c>
      <c r="L406" s="2">
        <v>45324</v>
      </c>
    </row>
    <row r="407" spans="1:12" x14ac:dyDescent="0.35">
      <c r="A407" s="1" t="s">
        <v>621</v>
      </c>
      <c r="B407" s="1" t="s">
        <v>177</v>
      </c>
      <c r="C407" s="1" t="s">
        <v>44</v>
      </c>
      <c r="D407" s="1" t="s">
        <v>45</v>
      </c>
      <c r="E407" s="1" t="s">
        <v>16</v>
      </c>
      <c r="F407" s="1" t="s">
        <v>17</v>
      </c>
      <c r="G407" s="1" t="s">
        <v>36</v>
      </c>
      <c r="H407" s="1">
        <v>11760</v>
      </c>
      <c r="I407" s="1"/>
      <c r="J407" s="1"/>
      <c r="K407" s="1">
        <v>13000</v>
      </c>
      <c r="L407" s="2">
        <v>45332</v>
      </c>
    </row>
    <row r="408" spans="1:12" x14ac:dyDescent="0.35">
      <c r="A408" s="1" t="s">
        <v>622</v>
      </c>
      <c r="B408" s="1" t="s">
        <v>548</v>
      </c>
      <c r="C408" s="1" t="s">
        <v>44</v>
      </c>
      <c r="D408" s="1" t="s">
        <v>45</v>
      </c>
      <c r="E408" s="1" t="s">
        <v>16</v>
      </c>
      <c r="F408" s="1" t="s">
        <v>25</v>
      </c>
      <c r="G408" s="1" t="s">
        <v>36</v>
      </c>
      <c r="H408" s="1">
        <v>12183</v>
      </c>
      <c r="I408" s="1" t="s">
        <v>19</v>
      </c>
      <c r="J408" s="1">
        <v>0.2</v>
      </c>
      <c r="K408" s="1">
        <v>13000</v>
      </c>
      <c r="L408" s="2">
        <v>45303</v>
      </c>
    </row>
    <row r="409" spans="1:12" x14ac:dyDescent="0.35">
      <c r="A409" s="1" t="s">
        <v>623</v>
      </c>
      <c r="B409" s="1" t="s">
        <v>624</v>
      </c>
      <c r="C409" s="1" t="s">
        <v>61</v>
      </c>
      <c r="D409" s="1" t="s">
        <v>62</v>
      </c>
      <c r="E409" s="1" t="s">
        <v>16</v>
      </c>
      <c r="F409" s="1" t="s">
        <v>25</v>
      </c>
      <c r="G409" s="1" t="s">
        <v>36</v>
      </c>
      <c r="H409" s="1">
        <v>10898</v>
      </c>
      <c r="I409" s="1" t="s">
        <v>22</v>
      </c>
      <c r="J409" s="1">
        <v>0.1</v>
      </c>
      <c r="K409" s="1">
        <v>9000</v>
      </c>
      <c r="L409" s="2">
        <v>45323</v>
      </c>
    </row>
    <row r="410" spans="1:12" x14ac:dyDescent="0.35">
      <c r="A410" s="1" t="s">
        <v>625</v>
      </c>
      <c r="B410" s="1" t="s">
        <v>35</v>
      </c>
      <c r="C410" s="1" t="s">
        <v>61</v>
      </c>
      <c r="D410" s="1" t="s">
        <v>62</v>
      </c>
      <c r="E410" s="1" t="s">
        <v>16</v>
      </c>
      <c r="F410" s="1" t="s">
        <v>39</v>
      </c>
      <c r="G410" s="1" t="s">
        <v>26</v>
      </c>
      <c r="H410" s="1">
        <v>9027</v>
      </c>
      <c r="I410" s="1"/>
      <c r="J410" s="1"/>
      <c r="K410" s="1">
        <v>9000</v>
      </c>
      <c r="L410" s="2">
        <v>45335</v>
      </c>
    </row>
    <row r="411" spans="1:12" x14ac:dyDescent="0.35">
      <c r="A411" s="1" t="s">
        <v>626</v>
      </c>
      <c r="B411" s="1" t="s">
        <v>52</v>
      </c>
      <c r="C411" s="1" t="s">
        <v>61</v>
      </c>
      <c r="D411" s="1" t="s">
        <v>62</v>
      </c>
      <c r="E411" s="1" t="s">
        <v>46</v>
      </c>
      <c r="F411" s="1" t="s">
        <v>25</v>
      </c>
      <c r="G411" s="1" t="s">
        <v>18</v>
      </c>
      <c r="H411" s="1">
        <v>9315</v>
      </c>
      <c r="I411" s="1" t="s">
        <v>22</v>
      </c>
      <c r="J411" s="1">
        <v>0.1</v>
      </c>
      <c r="K411" s="1">
        <v>9000</v>
      </c>
      <c r="L411" s="2">
        <v>45342</v>
      </c>
    </row>
    <row r="412" spans="1:12" x14ac:dyDescent="0.35">
      <c r="A412" s="1" t="s">
        <v>627</v>
      </c>
      <c r="B412" s="1" t="s">
        <v>294</v>
      </c>
      <c r="C412" s="1" t="s">
        <v>30</v>
      </c>
      <c r="D412" s="1" t="s">
        <v>31</v>
      </c>
      <c r="E412" s="1" t="s">
        <v>32</v>
      </c>
      <c r="F412" s="1" t="s">
        <v>17</v>
      </c>
      <c r="G412" s="1" t="s">
        <v>18</v>
      </c>
      <c r="H412" s="1">
        <v>17202</v>
      </c>
      <c r="I412" s="1" t="s">
        <v>33</v>
      </c>
      <c r="J412" s="1">
        <v>0.3</v>
      </c>
      <c r="K412" s="1">
        <v>17000</v>
      </c>
      <c r="L412" s="2">
        <v>45302</v>
      </c>
    </row>
    <row r="413" spans="1:12" x14ac:dyDescent="0.35">
      <c r="A413" s="1" t="s">
        <v>628</v>
      </c>
      <c r="B413" s="1" t="s">
        <v>298</v>
      </c>
      <c r="C413" s="1" t="s">
        <v>61</v>
      </c>
      <c r="D413" s="1" t="s">
        <v>62</v>
      </c>
      <c r="E413" s="1" t="s">
        <v>16</v>
      </c>
      <c r="F413" s="1" t="s">
        <v>39</v>
      </c>
      <c r="G413" s="1" t="s">
        <v>18</v>
      </c>
      <c r="H413" s="1">
        <v>9345</v>
      </c>
      <c r="I413" s="1" t="s">
        <v>22</v>
      </c>
      <c r="J413" s="1">
        <v>0.1</v>
      </c>
      <c r="K413" s="1">
        <v>9000</v>
      </c>
      <c r="L413" s="2">
        <v>45309</v>
      </c>
    </row>
    <row r="414" spans="1:12" x14ac:dyDescent="0.35">
      <c r="A414" s="1" t="s">
        <v>629</v>
      </c>
      <c r="B414" s="1" t="s">
        <v>133</v>
      </c>
      <c r="C414" s="1" t="s">
        <v>30</v>
      </c>
      <c r="D414" s="1" t="s">
        <v>31</v>
      </c>
      <c r="E414" s="1" t="s">
        <v>16</v>
      </c>
      <c r="F414" s="1" t="s">
        <v>25</v>
      </c>
      <c r="G414" s="1" t="s">
        <v>26</v>
      </c>
      <c r="H414" s="1">
        <v>16807</v>
      </c>
      <c r="I414" s="1" t="s">
        <v>27</v>
      </c>
      <c r="J414" s="1"/>
      <c r="K414" s="1">
        <v>17000</v>
      </c>
      <c r="L414" s="2">
        <v>45305</v>
      </c>
    </row>
    <row r="415" spans="1:12" x14ac:dyDescent="0.35">
      <c r="A415" s="1" t="s">
        <v>630</v>
      </c>
      <c r="B415" s="1" t="s">
        <v>41</v>
      </c>
      <c r="C415" s="1" t="s">
        <v>44</v>
      </c>
      <c r="D415" s="1" t="s">
        <v>45</v>
      </c>
      <c r="E415" s="1" t="s">
        <v>46</v>
      </c>
      <c r="F415" s="1" t="s">
        <v>25</v>
      </c>
      <c r="G415" s="1" t="s">
        <v>36</v>
      </c>
      <c r="H415" s="1">
        <v>12076</v>
      </c>
      <c r="I415" s="1" t="s">
        <v>33</v>
      </c>
      <c r="J415" s="1">
        <v>0.3</v>
      </c>
      <c r="K415" s="1">
        <v>13000</v>
      </c>
      <c r="L415" s="2">
        <v>45347</v>
      </c>
    </row>
    <row r="416" spans="1:12" x14ac:dyDescent="0.35">
      <c r="A416" s="1" t="s">
        <v>631</v>
      </c>
      <c r="B416" s="1" t="s">
        <v>96</v>
      </c>
      <c r="C416" s="1" t="s">
        <v>61</v>
      </c>
      <c r="D416" s="1" t="s">
        <v>62</v>
      </c>
      <c r="E416" s="1" t="s">
        <v>32</v>
      </c>
      <c r="F416" s="1" t="s">
        <v>25</v>
      </c>
      <c r="G416" s="1" t="s">
        <v>18</v>
      </c>
      <c r="H416" s="1">
        <v>10320</v>
      </c>
      <c r="I416" s="1" t="s">
        <v>27</v>
      </c>
      <c r="J416" s="1"/>
      <c r="K416" s="1">
        <v>9000</v>
      </c>
      <c r="L416" s="2">
        <v>45336</v>
      </c>
    </row>
    <row r="417" spans="1:12" x14ac:dyDescent="0.35">
      <c r="A417" s="1" t="s">
        <v>632</v>
      </c>
      <c r="B417" s="1" t="s">
        <v>624</v>
      </c>
      <c r="C417" s="1" t="s">
        <v>61</v>
      </c>
      <c r="D417" s="1" t="s">
        <v>62</v>
      </c>
      <c r="E417" s="1" t="s">
        <v>32</v>
      </c>
      <c r="F417" s="1" t="s">
        <v>39</v>
      </c>
      <c r="G417" s="1" t="s">
        <v>18</v>
      </c>
      <c r="H417" s="1">
        <v>10214</v>
      </c>
      <c r="I417" s="1" t="s">
        <v>19</v>
      </c>
      <c r="J417" s="1">
        <v>0.2</v>
      </c>
      <c r="K417" s="1">
        <v>9000</v>
      </c>
      <c r="L417" s="2">
        <v>45344</v>
      </c>
    </row>
    <row r="418" spans="1:12" x14ac:dyDescent="0.35">
      <c r="A418" s="1" t="s">
        <v>633</v>
      </c>
      <c r="B418" s="1" t="s">
        <v>401</v>
      </c>
      <c r="C418" s="1" t="s">
        <v>14</v>
      </c>
      <c r="D418" s="1" t="s">
        <v>15</v>
      </c>
      <c r="E418" s="1" t="s">
        <v>16</v>
      </c>
      <c r="F418" s="1" t="s">
        <v>17</v>
      </c>
      <c r="G418" s="1" t="s">
        <v>26</v>
      </c>
      <c r="H418" s="1">
        <v>13151</v>
      </c>
      <c r="I418" s="1" t="s">
        <v>27</v>
      </c>
      <c r="J418" s="1"/>
      <c r="K418" s="1">
        <v>14000</v>
      </c>
      <c r="L418" s="2">
        <v>45326</v>
      </c>
    </row>
    <row r="419" spans="1:12" x14ac:dyDescent="0.35">
      <c r="A419" s="1" t="s">
        <v>634</v>
      </c>
      <c r="B419" s="1" t="s">
        <v>74</v>
      </c>
      <c r="C419" s="1" t="s">
        <v>30</v>
      </c>
      <c r="D419" s="1" t="s">
        <v>31</v>
      </c>
      <c r="E419" s="1" t="s">
        <v>46</v>
      </c>
      <c r="F419" s="1" t="s">
        <v>39</v>
      </c>
      <c r="G419" s="1" t="s">
        <v>36</v>
      </c>
      <c r="H419" s="1">
        <v>18901</v>
      </c>
      <c r="I419" s="1" t="s">
        <v>27</v>
      </c>
      <c r="J419" s="1"/>
      <c r="K419" s="1">
        <v>17000</v>
      </c>
      <c r="L419" s="2">
        <v>45349</v>
      </c>
    </row>
    <row r="420" spans="1:12" x14ac:dyDescent="0.35">
      <c r="A420" s="1" t="s">
        <v>635</v>
      </c>
      <c r="B420" s="1" t="s">
        <v>204</v>
      </c>
      <c r="C420" s="1" t="s">
        <v>14</v>
      </c>
      <c r="D420" s="1" t="s">
        <v>15</v>
      </c>
      <c r="E420" s="1" t="s">
        <v>32</v>
      </c>
      <c r="F420" s="1" t="s">
        <v>17</v>
      </c>
      <c r="G420" s="1" t="s">
        <v>18</v>
      </c>
      <c r="H420" s="1">
        <v>13135</v>
      </c>
      <c r="I420" s="1" t="s">
        <v>19</v>
      </c>
      <c r="J420" s="1">
        <v>0.2</v>
      </c>
      <c r="K420" s="1">
        <v>14000</v>
      </c>
      <c r="L420" s="2">
        <v>45336</v>
      </c>
    </row>
    <row r="421" spans="1:12" x14ac:dyDescent="0.35">
      <c r="A421" s="1" t="s">
        <v>636</v>
      </c>
      <c r="B421" s="1" t="s">
        <v>412</v>
      </c>
      <c r="C421" s="1" t="s">
        <v>44</v>
      </c>
      <c r="D421" s="1" t="s">
        <v>45</v>
      </c>
      <c r="E421" s="1" t="s">
        <v>32</v>
      </c>
      <c r="F421" s="1" t="s">
        <v>39</v>
      </c>
      <c r="G421" s="1" t="s">
        <v>36</v>
      </c>
      <c r="H421" s="1">
        <v>14393</v>
      </c>
      <c r="I421" s="1" t="s">
        <v>19</v>
      </c>
      <c r="J421" s="1">
        <v>0.2</v>
      </c>
      <c r="K421" s="1">
        <v>13000</v>
      </c>
      <c r="L421" s="2">
        <v>45340</v>
      </c>
    </row>
    <row r="422" spans="1:12" x14ac:dyDescent="0.35">
      <c r="A422" s="1" t="s">
        <v>637</v>
      </c>
      <c r="B422" s="1" t="s">
        <v>198</v>
      </c>
      <c r="C422" s="1" t="s">
        <v>61</v>
      </c>
      <c r="D422" s="1" t="s">
        <v>62</v>
      </c>
      <c r="E422" s="1" t="s">
        <v>46</v>
      </c>
      <c r="F422" s="1" t="s">
        <v>25</v>
      </c>
      <c r="G422" s="1" t="s">
        <v>26</v>
      </c>
      <c r="H422" s="1">
        <v>9590</v>
      </c>
      <c r="I422" s="1" t="s">
        <v>33</v>
      </c>
      <c r="J422" s="1">
        <v>0.3</v>
      </c>
      <c r="K422" s="1">
        <v>9000</v>
      </c>
      <c r="L422" s="2">
        <v>45332</v>
      </c>
    </row>
    <row r="423" spans="1:12" x14ac:dyDescent="0.35">
      <c r="A423" s="1" t="s">
        <v>638</v>
      </c>
      <c r="B423" s="1" t="s">
        <v>177</v>
      </c>
      <c r="C423" s="1" t="s">
        <v>61</v>
      </c>
      <c r="D423" s="1" t="s">
        <v>62</v>
      </c>
      <c r="E423" s="1" t="s">
        <v>32</v>
      </c>
      <c r="F423" s="1" t="s">
        <v>39</v>
      </c>
      <c r="G423" s="1" t="s">
        <v>18</v>
      </c>
      <c r="H423" s="1">
        <v>8650</v>
      </c>
      <c r="I423" s="1" t="s">
        <v>27</v>
      </c>
      <c r="J423" s="1"/>
      <c r="K423" s="1">
        <v>9000</v>
      </c>
      <c r="L423" s="2">
        <v>45339</v>
      </c>
    </row>
    <row r="424" spans="1:12" x14ac:dyDescent="0.35">
      <c r="A424" s="1" t="s">
        <v>639</v>
      </c>
      <c r="B424" s="1" t="s">
        <v>350</v>
      </c>
      <c r="C424" s="1" t="s">
        <v>30</v>
      </c>
      <c r="D424" s="1" t="s">
        <v>31</v>
      </c>
      <c r="E424" s="1" t="s">
        <v>46</v>
      </c>
      <c r="F424" s="1" t="s">
        <v>17</v>
      </c>
      <c r="G424" s="1" t="s">
        <v>36</v>
      </c>
      <c r="H424" s="1">
        <v>17383</v>
      </c>
      <c r="I424" s="1" t="s">
        <v>22</v>
      </c>
      <c r="J424" s="1">
        <v>0.1</v>
      </c>
      <c r="K424" s="1">
        <v>17000</v>
      </c>
      <c r="L424" s="2">
        <v>45347</v>
      </c>
    </row>
    <row r="425" spans="1:12" x14ac:dyDescent="0.35">
      <c r="A425" s="1" t="s">
        <v>640</v>
      </c>
      <c r="B425" s="1" t="s">
        <v>140</v>
      </c>
      <c r="C425" s="1" t="s">
        <v>14</v>
      </c>
      <c r="D425" s="1" t="s">
        <v>15</v>
      </c>
      <c r="E425" s="1" t="s">
        <v>16</v>
      </c>
      <c r="F425" s="1" t="s">
        <v>17</v>
      </c>
      <c r="G425" s="1" t="s">
        <v>26</v>
      </c>
      <c r="H425" s="1">
        <v>14720</v>
      </c>
      <c r="I425" s="1" t="s">
        <v>33</v>
      </c>
      <c r="J425" s="1">
        <v>0.3</v>
      </c>
      <c r="K425" s="1">
        <v>14000</v>
      </c>
      <c r="L425" s="2">
        <v>45346</v>
      </c>
    </row>
    <row r="426" spans="1:12" x14ac:dyDescent="0.35">
      <c r="A426" s="1" t="s">
        <v>641</v>
      </c>
      <c r="B426" s="1" t="s">
        <v>200</v>
      </c>
      <c r="C426" s="1" t="s">
        <v>61</v>
      </c>
      <c r="D426" s="1" t="s">
        <v>62</v>
      </c>
      <c r="E426" s="1" t="s">
        <v>32</v>
      </c>
      <c r="F426" s="1" t="s">
        <v>17</v>
      </c>
      <c r="G426" s="1" t="s">
        <v>18</v>
      </c>
      <c r="H426" s="1">
        <v>9026</v>
      </c>
      <c r="I426" s="1" t="s">
        <v>33</v>
      </c>
      <c r="J426" s="1">
        <v>0.3</v>
      </c>
      <c r="K426" s="1">
        <v>9000</v>
      </c>
      <c r="L426" s="2">
        <v>45312</v>
      </c>
    </row>
    <row r="427" spans="1:12" x14ac:dyDescent="0.35">
      <c r="A427" s="1" t="s">
        <v>642</v>
      </c>
      <c r="B427" s="1" t="s">
        <v>643</v>
      </c>
      <c r="C427" s="1" t="s">
        <v>30</v>
      </c>
      <c r="D427" s="1" t="s">
        <v>31</v>
      </c>
      <c r="E427" s="1" t="s">
        <v>16</v>
      </c>
      <c r="F427" s="1" t="s">
        <v>39</v>
      </c>
      <c r="G427" s="1" t="s">
        <v>18</v>
      </c>
      <c r="H427" s="1">
        <v>17318</v>
      </c>
      <c r="I427" s="1"/>
      <c r="J427" s="1"/>
      <c r="K427" s="1">
        <v>17000</v>
      </c>
      <c r="L427" s="2">
        <v>45342</v>
      </c>
    </row>
    <row r="428" spans="1:12" x14ac:dyDescent="0.35">
      <c r="A428" s="1" t="s">
        <v>644</v>
      </c>
      <c r="B428" s="1" t="s">
        <v>150</v>
      </c>
      <c r="C428" s="1" t="s">
        <v>14</v>
      </c>
      <c r="D428" s="1" t="s">
        <v>15</v>
      </c>
      <c r="E428" s="1" t="s">
        <v>32</v>
      </c>
      <c r="F428" s="1" t="s">
        <v>25</v>
      </c>
      <c r="G428" s="1" t="s">
        <v>26</v>
      </c>
      <c r="H428" s="1">
        <v>15210</v>
      </c>
      <c r="I428" s="1"/>
      <c r="J428" s="1"/>
      <c r="K428" s="1">
        <v>14000</v>
      </c>
      <c r="L428" s="2">
        <v>45293</v>
      </c>
    </row>
    <row r="429" spans="1:12" x14ac:dyDescent="0.35">
      <c r="A429" s="1" t="s">
        <v>645</v>
      </c>
      <c r="B429" s="1" t="s">
        <v>159</v>
      </c>
      <c r="C429" s="1" t="s">
        <v>44</v>
      </c>
      <c r="D429" s="1" t="s">
        <v>45</v>
      </c>
      <c r="E429" s="1" t="s">
        <v>46</v>
      </c>
      <c r="F429" s="1" t="s">
        <v>17</v>
      </c>
      <c r="G429" s="1" t="s">
        <v>18</v>
      </c>
      <c r="H429" s="1">
        <v>14924</v>
      </c>
      <c r="I429" s="1"/>
      <c r="J429" s="1"/>
      <c r="K429" s="1">
        <v>13000</v>
      </c>
      <c r="L429" s="2">
        <v>45304</v>
      </c>
    </row>
    <row r="430" spans="1:12" x14ac:dyDescent="0.35">
      <c r="A430" s="1" t="s">
        <v>646</v>
      </c>
      <c r="B430" s="1" t="s">
        <v>153</v>
      </c>
      <c r="C430" s="1" t="s">
        <v>30</v>
      </c>
      <c r="D430" s="1" t="s">
        <v>31</v>
      </c>
      <c r="E430" s="1" t="s">
        <v>32</v>
      </c>
      <c r="F430" s="1" t="s">
        <v>17</v>
      </c>
      <c r="G430" s="1" t="s">
        <v>18</v>
      </c>
      <c r="H430" s="1">
        <v>17681</v>
      </c>
      <c r="I430" s="1" t="s">
        <v>33</v>
      </c>
      <c r="J430" s="1">
        <v>0.3</v>
      </c>
      <c r="K430" s="1">
        <v>17000</v>
      </c>
      <c r="L430" s="2">
        <v>45308</v>
      </c>
    </row>
    <row r="431" spans="1:12" x14ac:dyDescent="0.35">
      <c r="A431" s="1" t="s">
        <v>647</v>
      </c>
      <c r="B431" s="1" t="s">
        <v>432</v>
      </c>
      <c r="C431" s="1" t="s">
        <v>44</v>
      </c>
      <c r="D431" s="1" t="s">
        <v>45</v>
      </c>
      <c r="E431" s="1" t="s">
        <v>32</v>
      </c>
      <c r="F431" s="1" t="s">
        <v>17</v>
      </c>
      <c r="G431" s="1" t="s">
        <v>26</v>
      </c>
      <c r="H431" s="1">
        <v>12251</v>
      </c>
      <c r="I431" s="1" t="s">
        <v>19</v>
      </c>
      <c r="J431" s="1">
        <v>0.2</v>
      </c>
      <c r="K431" s="1">
        <v>13000</v>
      </c>
      <c r="L431" s="2">
        <v>45319</v>
      </c>
    </row>
    <row r="432" spans="1:12" x14ac:dyDescent="0.35">
      <c r="A432" s="1" t="s">
        <v>648</v>
      </c>
      <c r="B432" s="1" t="s">
        <v>13</v>
      </c>
      <c r="C432" s="1" t="s">
        <v>14</v>
      </c>
      <c r="D432" s="1" t="s">
        <v>15</v>
      </c>
      <c r="E432" s="1" t="s">
        <v>32</v>
      </c>
      <c r="F432" s="1" t="s">
        <v>25</v>
      </c>
      <c r="G432" s="1" t="s">
        <v>36</v>
      </c>
      <c r="H432" s="1">
        <v>12319</v>
      </c>
      <c r="I432" s="1" t="s">
        <v>19</v>
      </c>
      <c r="J432" s="1">
        <v>0.2</v>
      </c>
      <c r="K432" s="1">
        <v>14000</v>
      </c>
      <c r="L432" s="2">
        <v>45329</v>
      </c>
    </row>
    <row r="433" spans="1:12" x14ac:dyDescent="0.35">
      <c r="A433" s="1" t="s">
        <v>649</v>
      </c>
      <c r="B433" s="1" t="s">
        <v>24</v>
      </c>
      <c r="C433" s="1" t="s">
        <v>61</v>
      </c>
      <c r="D433" s="1" t="s">
        <v>62</v>
      </c>
      <c r="E433" s="1" t="s">
        <v>32</v>
      </c>
      <c r="F433" s="1" t="s">
        <v>25</v>
      </c>
      <c r="G433" s="1" t="s">
        <v>26</v>
      </c>
      <c r="H433" s="1">
        <v>8407</v>
      </c>
      <c r="I433" s="1" t="s">
        <v>22</v>
      </c>
      <c r="J433" s="1">
        <v>0.1</v>
      </c>
      <c r="K433" s="1">
        <v>9000</v>
      </c>
      <c r="L433" s="2">
        <v>45347</v>
      </c>
    </row>
    <row r="434" spans="1:12" x14ac:dyDescent="0.35">
      <c r="A434" s="1" t="s">
        <v>650</v>
      </c>
      <c r="B434" s="1" t="s">
        <v>101</v>
      </c>
      <c r="C434" s="1" t="s">
        <v>44</v>
      </c>
      <c r="D434" s="1" t="s">
        <v>45</v>
      </c>
      <c r="E434" s="1" t="s">
        <v>46</v>
      </c>
      <c r="F434" s="1" t="s">
        <v>25</v>
      </c>
      <c r="G434" s="1" t="s">
        <v>18</v>
      </c>
      <c r="H434" s="1">
        <v>12569</v>
      </c>
      <c r="I434" s="1" t="s">
        <v>22</v>
      </c>
      <c r="J434" s="1">
        <v>0.1</v>
      </c>
      <c r="K434" s="1">
        <v>13000</v>
      </c>
      <c r="L434" s="2">
        <v>45338</v>
      </c>
    </row>
    <row r="435" spans="1:12" x14ac:dyDescent="0.35">
      <c r="A435" s="1" t="s">
        <v>651</v>
      </c>
      <c r="B435" s="1" t="s">
        <v>652</v>
      </c>
      <c r="C435" s="1" t="s">
        <v>14</v>
      </c>
      <c r="D435" s="1" t="s">
        <v>15</v>
      </c>
      <c r="E435" s="1" t="s">
        <v>46</v>
      </c>
      <c r="F435" s="1" t="s">
        <v>17</v>
      </c>
      <c r="G435" s="1" t="s">
        <v>36</v>
      </c>
      <c r="H435" s="1">
        <v>12561</v>
      </c>
      <c r="I435" s="1"/>
      <c r="J435" s="1"/>
      <c r="K435" s="1">
        <v>14000</v>
      </c>
      <c r="L435" s="2">
        <v>45341</v>
      </c>
    </row>
    <row r="436" spans="1:12" x14ac:dyDescent="0.35">
      <c r="A436" s="1" t="s">
        <v>653</v>
      </c>
      <c r="B436" s="1" t="s">
        <v>393</v>
      </c>
      <c r="C436" s="1" t="s">
        <v>44</v>
      </c>
      <c r="D436" s="1" t="s">
        <v>45</v>
      </c>
      <c r="E436" s="1" t="s">
        <v>16</v>
      </c>
      <c r="F436" s="1" t="s">
        <v>39</v>
      </c>
      <c r="G436" s="1" t="s">
        <v>18</v>
      </c>
      <c r="H436" s="1">
        <v>11280</v>
      </c>
      <c r="I436" s="1" t="s">
        <v>27</v>
      </c>
      <c r="J436" s="1"/>
      <c r="K436" s="1">
        <v>13000</v>
      </c>
      <c r="L436" s="2">
        <v>45328</v>
      </c>
    </row>
    <row r="437" spans="1:12" x14ac:dyDescent="0.35">
      <c r="A437" s="1" t="s">
        <v>654</v>
      </c>
      <c r="B437" s="1" t="s">
        <v>109</v>
      </c>
      <c r="C437" s="1" t="s">
        <v>44</v>
      </c>
      <c r="D437" s="1" t="s">
        <v>45</v>
      </c>
      <c r="E437" s="1" t="s">
        <v>46</v>
      </c>
      <c r="F437" s="1" t="s">
        <v>17</v>
      </c>
      <c r="G437" s="1" t="s">
        <v>26</v>
      </c>
      <c r="H437" s="1">
        <v>11872</v>
      </c>
      <c r="I437" s="1" t="s">
        <v>19</v>
      </c>
      <c r="J437" s="1">
        <v>0.2</v>
      </c>
      <c r="K437" s="1">
        <v>13000</v>
      </c>
      <c r="L437" s="2">
        <v>45350</v>
      </c>
    </row>
    <row r="438" spans="1:12" x14ac:dyDescent="0.35">
      <c r="A438" s="1" t="s">
        <v>655</v>
      </c>
      <c r="B438" s="1" t="s">
        <v>617</v>
      </c>
      <c r="C438" s="1" t="s">
        <v>61</v>
      </c>
      <c r="D438" s="1" t="s">
        <v>62</v>
      </c>
      <c r="E438" s="1" t="s">
        <v>32</v>
      </c>
      <c r="F438" s="1" t="s">
        <v>25</v>
      </c>
      <c r="G438" s="1" t="s">
        <v>18</v>
      </c>
      <c r="H438" s="1">
        <v>7573</v>
      </c>
      <c r="I438" s="1" t="s">
        <v>22</v>
      </c>
      <c r="J438" s="1">
        <v>0.1</v>
      </c>
      <c r="K438" s="1">
        <v>9000</v>
      </c>
      <c r="L438" s="2">
        <v>45329</v>
      </c>
    </row>
    <row r="439" spans="1:12" x14ac:dyDescent="0.35">
      <c r="A439" s="1" t="s">
        <v>656</v>
      </c>
      <c r="B439" s="1" t="s">
        <v>127</v>
      </c>
      <c r="C439" s="1" t="s">
        <v>30</v>
      </c>
      <c r="D439" s="1" t="s">
        <v>31</v>
      </c>
      <c r="E439" s="1" t="s">
        <v>46</v>
      </c>
      <c r="F439" s="1" t="s">
        <v>17</v>
      </c>
      <c r="G439" s="1" t="s">
        <v>18</v>
      </c>
      <c r="H439" s="1">
        <v>16014</v>
      </c>
      <c r="I439" s="1" t="s">
        <v>33</v>
      </c>
      <c r="J439" s="1">
        <v>0.3</v>
      </c>
      <c r="K439" s="1">
        <v>17000</v>
      </c>
      <c r="L439" s="2">
        <v>45333</v>
      </c>
    </row>
    <row r="440" spans="1:12" x14ac:dyDescent="0.35">
      <c r="A440" s="1" t="s">
        <v>657</v>
      </c>
      <c r="B440" s="1" t="s">
        <v>248</v>
      </c>
      <c r="C440" s="1" t="s">
        <v>30</v>
      </c>
      <c r="D440" s="1" t="s">
        <v>31</v>
      </c>
      <c r="E440" s="1" t="s">
        <v>16</v>
      </c>
      <c r="F440" s="1" t="s">
        <v>25</v>
      </c>
      <c r="G440" s="1" t="s">
        <v>26</v>
      </c>
      <c r="H440" s="1">
        <v>18587</v>
      </c>
      <c r="I440" s="1" t="s">
        <v>33</v>
      </c>
      <c r="J440" s="1">
        <v>0.3</v>
      </c>
      <c r="K440" s="1">
        <v>17000</v>
      </c>
      <c r="L440" s="2">
        <v>45305</v>
      </c>
    </row>
    <row r="441" spans="1:12" x14ac:dyDescent="0.35">
      <c r="A441" s="1" t="s">
        <v>658</v>
      </c>
      <c r="B441" s="1" t="s">
        <v>382</v>
      </c>
      <c r="C441" s="1" t="s">
        <v>44</v>
      </c>
      <c r="D441" s="1" t="s">
        <v>45</v>
      </c>
      <c r="E441" s="1" t="s">
        <v>16</v>
      </c>
      <c r="F441" s="1" t="s">
        <v>17</v>
      </c>
      <c r="G441" s="1" t="s">
        <v>36</v>
      </c>
      <c r="H441" s="1">
        <v>13646</v>
      </c>
      <c r="I441" s="1" t="s">
        <v>22</v>
      </c>
      <c r="J441" s="1">
        <v>0.1</v>
      </c>
      <c r="K441" s="1">
        <v>13000</v>
      </c>
      <c r="L441" s="2">
        <v>45342</v>
      </c>
    </row>
    <row r="442" spans="1:12" x14ac:dyDescent="0.35">
      <c r="A442" s="1" t="s">
        <v>659</v>
      </c>
      <c r="B442" s="1" t="s">
        <v>148</v>
      </c>
      <c r="C442" s="1" t="s">
        <v>44</v>
      </c>
      <c r="D442" s="1" t="s">
        <v>45</v>
      </c>
      <c r="E442" s="1" t="s">
        <v>46</v>
      </c>
      <c r="F442" s="1" t="s">
        <v>17</v>
      </c>
      <c r="G442" s="1" t="s">
        <v>18</v>
      </c>
      <c r="H442" s="1">
        <v>11987</v>
      </c>
      <c r="I442" s="1"/>
      <c r="J442" s="1"/>
      <c r="K442" s="1">
        <v>13000</v>
      </c>
      <c r="L442" s="2">
        <v>45332</v>
      </c>
    </row>
    <row r="443" spans="1:12" x14ac:dyDescent="0.35">
      <c r="A443" s="1" t="s">
        <v>660</v>
      </c>
      <c r="B443" s="1" t="s">
        <v>107</v>
      </c>
      <c r="C443" s="1" t="s">
        <v>14</v>
      </c>
      <c r="D443" s="1" t="s">
        <v>15</v>
      </c>
      <c r="E443" s="1" t="s">
        <v>46</v>
      </c>
      <c r="F443" s="1" t="s">
        <v>17</v>
      </c>
      <c r="G443" s="1" t="s">
        <v>18</v>
      </c>
      <c r="H443" s="1">
        <v>13584</v>
      </c>
      <c r="I443" s="1" t="s">
        <v>27</v>
      </c>
      <c r="J443" s="1"/>
      <c r="K443" s="1">
        <v>14000</v>
      </c>
      <c r="L443" s="2">
        <v>45318</v>
      </c>
    </row>
    <row r="444" spans="1:12" x14ac:dyDescent="0.35">
      <c r="A444" s="1" t="s">
        <v>661</v>
      </c>
      <c r="B444" s="1" t="s">
        <v>301</v>
      </c>
      <c r="C444" s="1" t="s">
        <v>44</v>
      </c>
      <c r="D444" s="1" t="s">
        <v>45</v>
      </c>
      <c r="E444" s="1" t="s">
        <v>46</v>
      </c>
      <c r="F444" s="1" t="s">
        <v>25</v>
      </c>
      <c r="G444" s="1" t="s">
        <v>18</v>
      </c>
      <c r="H444" s="1">
        <v>13405</v>
      </c>
      <c r="I444" s="1" t="s">
        <v>22</v>
      </c>
      <c r="J444" s="1">
        <v>0.1</v>
      </c>
      <c r="K444" s="1">
        <v>13000</v>
      </c>
      <c r="L444" s="2">
        <v>45292</v>
      </c>
    </row>
    <row r="445" spans="1:12" x14ac:dyDescent="0.35">
      <c r="A445" s="1" t="s">
        <v>662</v>
      </c>
      <c r="B445" s="1" t="s">
        <v>289</v>
      </c>
      <c r="C445" s="1" t="s">
        <v>14</v>
      </c>
      <c r="D445" s="1" t="s">
        <v>15</v>
      </c>
      <c r="E445" s="1" t="s">
        <v>32</v>
      </c>
      <c r="F445" s="1" t="s">
        <v>17</v>
      </c>
      <c r="G445" s="1" t="s">
        <v>26</v>
      </c>
      <c r="H445" s="1">
        <v>13173</v>
      </c>
      <c r="I445" s="1" t="s">
        <v>27</v>
      </c>
      <c r="J445" s="1"/>
      <c r="K445" s="1">
        <v>14000</v>
      </c>
      <c r="L445" s="2">
        <v>45341</v>
      </c>
    </row>
    <row r="446" spans="1:12" x14ac:dyDescent="0.35">
      <c r="A446" s="1" t="s">
        <v>663</v>
      </c>
      <c r="B446" s="1" t="s">
        <v>177</v>
      </c>
      <c r="C446" s="1" t="s">
        <v>61</v>
      </c>
      <c r="D446" s="1" t="s">
        <v>62</v>
      </c>
      <c r="E446" s="1" t="s">
        <v>32</v>
      </c>
      <c r="F446" s="1" t="s">
        <v>39</v>
      </c>
      <c r="G446" s="1" t="s">
        <v>26</v>
      </c>
      <c r="H446" s="1">
        <v>9202</v>
      </c>
      <c r="I446" s="1" t="s">
        <v>27</v>
      </c>
      <c r="J446" s="1"/>
      <c r="K446" s="1">
        <v>9000</v>
      </c>
      <c r="L446" s="2">
        <v>45301</v>
      </c>
    </row>
    <row r="447" spans="1:12" x14ac:dyDescent="0.35">
      <c r="A447" s="1" t="s">
        <v>664</v>
      </c>
      <c r="B447" s="1" t="s">
        <v>222</v>
      </c>
      <c r="C447" s="1" t="s">
        <v>30</v>
      </c>
      <c r="D447" s="1" t="s">
        <v>31</v>
      </c>
      <c r="E447" s="1" t="s">
        <v>32</v>
      </c>
      <c r="F447" s="1" t="s">
        <v>39</v>
      </c>
      <c r="G447" s="1" t="s">
        <v>18</v>
      </c>
      <c r="H447" s="1">
        <v>18990</v>
      </c>
      <c r="I447" s="1" t="s">
        <v>19</v>
      </c>
      <c r="J447" s="1">
        <v>0.2</v>
      </c>
      <c r="K447" s="1">
        <v>17000</v>
      </c>
      <c r="L447" s="2">
        <v>45326</v>
      </c>
    </row>
    <row r="448" spans="1:12" x14ac:dyDescent="0.35">
      <c r="A448" s="1" t="s">
        <v>665</v>
      </c>
      <c r="B448" s="1" t="s">
        <v>666</v>
      </c>
      <c r="C448" s="1" t="s">
        <v>14</v>
      </c>
      <c r="D448" s="1" t="s">
        <v>15</v>
      </c>
      <c r="E448" s="1" t="s">
        <v>46</v>
      </c>
      <c r="F448" s="1" t="s">
        <v>39</v>
      </c>
      <c r="G448" s="1" t="s">
        <v>36</v>
      </c>
      <c r="H448" s="1">
        <v>14989</v>
      </c>
      <c r="I448" s="1" t="s">
        <v>19</v>
      </c>
      <c r="J448" s="1">
        <v>0.2</v>
      </c>
      <c r="K448" s="1">
        <v>14000</v>
      </c>
      <c r="L448" s="2">
        <v>45295</v>
      </c>
    </row>
    <row r="449" spans="1:12" x14ac:dyDescent="0.35">
      <c r="A449" s="1" t="s">
        <v>667</v>
      </c>
      <c r="B449" s="1" t="s">
        <v>229</v>
      </c>
      <c r="C449" s="1" t="s">
        <v>61</v>
      </c>
      <c r="D449" s="1" t="s">
        <v>62</v>
      </c>
      <c r="E449" s="1" t="s">
        <v>32</v>
      </c>
      <c r="F449" s="1" t="s">
        <v>17</v>
      </c>
      <c r="G449" s="1" t="s">
        <v>26</v>
      </c>
      <c r="H449" s="1">
        <v>9493</v>
      </c>
      <c r="I449" s="1" t="s">
        <v>22</v>
      </c>
      <c r="J449" s="1">
        <v>0.1</v>
      </c>
      <c r="K449" s="1">
        <v>9000</v>
      </c>
      <c r="L449" s="2">
        <v>45311</v>
      </c>
    </row>
    <row r="450" spans="1:12" x14ac:dyDescent="0.35">
      <c r="A450" s="1" t="s">
        <v>668</v>
      </c>
      <c r="B450" s="1" t="s">
        <v>305</v>
      </c>
      <c r="C450" s="1" t="s">
        <v>44</v>
      </c>
      <c r="D450" s="1" t="s">
        <v>45</v>
      </c>
      <c r="E450" s="1" t="s">
        <v>32</v>
      </c>
      <c r="F450" s="1" t="s">
        <v>25</v>
      </c>
      <c r="G450" s="1" t="s">
        <v>26</v>
      </c>
      <c r="H450" s="1">
        <v>11562</v>
      </c>
      <c r="I450" s="1" t="s">
        <v>22</v>
      </c>
      <c r="J450" s="1">
        <v>0.1</v>
      </c>
      <c r="K450" s="1">
        <v>13000</v>
      </c>
      <c r="L450" s="2">
        <v>45302</v>
      </c>
    </row>
    <row r="451" spans="1:12" x14ac:dyDescent="0.35">
      <c r="A451" s="1" t="s">
        <v>669</v>
      </c>
      <c r="B451" s="1" t="s">
        <v>188</v>
      </c>
      <c r="C451" s="1" t="s">
        <v>30</v>
      </c>
      <c r="D451" s="1" t="s">
        <v>31</v>
      </c>
      <c r="E451" s="1" t="s">
        <v>32</v>
      </c>
      <c r="F451" s="1" t="s">
        <v>17</v>
      </c>
      <c r="G451" s="1" t="s">
        <v>18</v>
      </c>
      <c r="H451" s="1">
        <v>18071</v>
      </c>
      <c r="I451" s="1" t="s">
        <v>33</v>
      </c>
      <c r="J451" s="1">
        <v>0.3</v>
      </c>
      <c r="K451" s="1">
        <v>17000</v>
      </c>
      <c r="L451" s="2">
        <v>45338</v>
      </c>
    </row>
    <row r="452" spans="1:12" x14ac:dyDescent="0.35">
      <c r="A452" s="1" t="s">
        <v>670</v>
      </c>
      <c r="B452" s="1" t="s">
        <v>403</v>
      </c>
      <c r="C452" s="1" t="s">
        <v>14</v>
      </c>
      <c r="D452" s="1" t="s">
        <v>15</v>
      </c>
      <c r="E452" s="1" t="s">
        <v>46</v>
      </c>
      <c r="F452" s="1" t="s">
        <v>17</v>
      </c>
      <c r="G452" s="1" t="s">
        <v>36</v>
      </c>
      <c r="H452" s="1">
        <v>14145</v>
      </c>
      <c r="I452" s="1" t="s">
        <v>22</v>
      </c>
      <c r="J452" s="1">
        <v>0.1</v>
      </c>
      <c r="K452" s="1">
        <v>14000</v>
      </c>
      <c r="L452" s="2">
        <v>45308</v>
      </c>
    </row>
    <row r="453" spans="1:12" x14ac:dyDescent="0.35">
      <c r="A453" s="1" t="s">
        <v>671</v>
      </c>
      <c r="B453" s="1" t="s">
        <v>672</v>
      </c>
      <c r="C453" s="1" t="s">
        <v>14</v>
      </c>
      <c r="D453" s="1" t="s">
        <v>15</v>
      </c>
      <c r="E453" s="1" t="s">
        <v>46</v>
      </c>
      <c r="F453" s="1" t="s">
        <v>17</v>
      </c>
      <c r="G453" s="1" t="s">
        <v>26</v>
      </c>
      <c r="H453" s="1">
        <v>13475</v>
      </c>
      <c r="I453" s="1" t="s">
        <v>22</v>
      </c>
      <c r="J453" s="1">
        <v>0.1</v>
      </c>
      <c r="K453" s="1">
        <v>14000</v>
      </c>
      <c r="L453" s="2">
        <v>45323</v>
      </c>
    </row>
    <row r="454" spans="1:12" x14ac:dyDescent="0.35">
      <c r="A454" s="1" t="s">
        <v>673</v>
      </c>
      <c r="B454" s="1" t="s">
        <v>460</v>
      </c>
      <c r="C454" s="1" t="s">
        <v>44</v>
      </c>
      <c r="D454" s="1" t="s">
        <v>45</v>
      </c>
      <c r="E454" s="1" t="s">
        <v>46</v>
      </c>
      <c r="F454" s="1" t="s">
        <v>25</v>
      </c>
      <c r="G454" s="1" t="s">
        <v>36</v>
      </c>
      <c r="H454" s="1">
        <v>14167</v>
      </c>
      <c r="I454" s="1" t="s">
        <v>22</v>
      </c>
      <c r="J454" s="1">
        <v>0.1</v>
      </c>
      <c r="K454" s="1">
        <v>13000</v>
      </c>
      <c r="L454" s="2">
        <v>45349</v>
      </c>
    </row>
    <row r="455" spans="1:12" x14ac:dyDescent="0.35">
      <c r="A455" s="1" t="s">
        <v>674</v>
      </c>
      <c r="B455" s="1" t="s">
        <v>209</v>
      </c>
      <c r="C455" s="1" t="s">
        <v>14</v>
      </c>
      <c r="D455" s="1" t="s">
        <v>15</v>
      </c>
      <c r="E455" s="1" t="s">
        <v>32</v>
      </c>
      <c r="F455" s="1" t="s">
        <v>39</v>
      </c>
      <c r="G455" s="1" t="s">
        <v>26</v>
      </c>
      <c r="H455" s="1">
        <v>12010</v>
      </c>
      <c r="I455" s="1" t="s">
        <v>22</v>
      </c>
      <c r="J455" s="1">
        <v>0.1</v>
      </c>
      <c r="K455" s="1">
        <v>14000</v>
      </c>
      <c r="L455" s="2">
        <v>45346</v>
      </c>
    </row>
    <row r="456" spans="1:12" x14ac:dyDescent="0.35">
      <c r="A456" s="1" t="s">
        <v>675</v>
      </c>
      <c r="B456" s="1" t="s">
        <v>676</v>
      </c>
      <c r="C456" s="1" t="s">
        <v>44</v>
      </c>
      <c r="D456" s="1" t="s">
        <v>45</v>
      </c>
      <c r="E456" s="1" t="s">
        <v>32</v>
      </c>
      <c r="F456" s="1" t="s">
        <v>17</v>
      </c>
      <c r="G456" s="1" t="s">
        <v>36</v>
      </c>
      <c r="H456" s="1">
        <v>12568</v>
      </c>
      <c r="I456" s="1" t="s">
        <v>19</v>
      </c>
      <c r="J456" s="1">
        <v>0.2</v>
      </c>
      <c r="K456" s="1">
        <v>13000</v>
      </c>
      <c r="L456" s="2">
        <v>45303</v>
      </c>
    </row>
    <row r="457" spans="1:12" x14ac:dyDescent="0.35">
      <c r="A457" s="1" t="s">
        <v>677</v>
      </c>
      <c r="B457" s="1" t="s">
        <v>454</v>
      </c>
      <c r="C457" s="1" t="s">
        <v>14</v>
      </c>
      <c r="D457" s="1" t="s">
        <v>15</v>
      </c>
      <c r="E457" s="1" t="s">
        <v>16</v>
      </c>
      <c r="F457" s="1" t="s">
        <v>39</v>
      </c>
      <c r="G457" s="1" t="s">
        <v>26</v>
      </c>
      <c r="H457" s="1">
        <v>14685</v>
      </c>
      <c r="I457" s="1"/>
      <c r="J457" s="1"/>
      <c r="K457" s="1">
        <v>14000</v>
      </c>
      <c r="L457" s="2">
        <v>45306</v>
      </c>
    </row>
    <row r="458" spans="1:12" x14ac:dyDescent="0.35">
      <c r="A458" s="1" t="s">
        <v>678</v>
      </c>
      <c r="B458" s="1" t="s">
        <v>408</v>
      </c>
      <c r="C458" s="1" t="s">
        <v>61</v>
      </c>
      <c r="D458" s="1" t="s">
        <v>62</v>
      </c>
      <c r="E458" s="1" t="s">
        <v>16</v>
      </c>
      <c r="F458" s="1" t="s">
        <v>17</v>
      </c>
      <c r="G458" s="1" t="s">
        <v>36</v>
      </c>
      <c r="H458" s="1">
        <v>10383</v>
      </c>
      <c r="I458" s="1" t="s">
        <v>22</v>
      </c>
      <c r="J458" s="1">
        <v>0.1</v>
      </c>
      <c r="K458" s="1">
        <v>9000</v>
      </c>
      <c r="L458" s="2">
        <v>45328</v>
      </c>
    </row>
    <row r="459" spans="1:12" x14ac:dyDescent="0.35">
      <c r="A459" s="1" t="s">
        <v>679</v>
      </c>
      <c r="B459" s="1" t="s">
        <v>116</v>
      </c>
      <c r="C459" s="1" t="s">
        <v>14</v>
      </c>
      <c r="D459" s="1" t="s">
        <v>15</v>
      </c>
      <c r="E459" s="1" t="s">
        <v>32</v>
      </c>
      <c r="F459" s="1" t="s">
        <v>25</v>
      </c>
      <c r="G459" s="1" t="s">
        <v>26</v>
      </c>
      <c r="H459" s="1">
        <v>12188</v>
      </c>
      <c r="I459" s="1"/>
      <c r="J459" s="1"/>
      <c r="K459" s="1">
        <v>14000</v>
      </c>
      <c r="L459" s="2">
        <v>45296</v>
      </c>
    </row>
    <row r="460" spans="1:12" x14ac:dyDescent="0.35">
      <c r="A460" s="1" t="s">
        <v>680</v>
      </c>
      <c r="B460" s="1" t="s">
        <v>445</v>
      </c>
      <c r="C460" s="1" t="s">
        <v>30</v>
      </c>
      <c r="D460" s="1" t="s">
        <v>31</v>
      </c>
      <c r="E460" s="1" t="s">
        <v>46</v>
      </c>
      <c r="F460" s="1" t="s">
        <v>17</v>
      </c>
      <c r="G460" s="1" t="s">
        <v>18</v>
      </c>
      <c r="H460" s="1">
        <v>17265</v>
      </c>
      <c r="I460" s="1"/>
      <c r="J460" s="1"/>
      <c r="K460" s="1">
        <v>17000</v>
      </c>
      <c r="L460" s="2">
        <v>45292</v>
      </c>
    </row>
    <row r="461" spans="1:12" x14ac:dyDescent="0.35">
      <c r="A461" s="1" t="s">
        <v>681</v>
      </c>
      <c r="B461" s="1" t="s">
        <v>408</v>
      </c>
      <c r="C461" s="1" t="s">
        <v>30</v>
      </c>
      <c r="D461" s="1" t="s">
        <v>31</v>
      </c>
      <c r="E461" s="1" t="s">
        <v>16</v>
      </c>
      <c r="F461" s="1" t="s">
        <v>17</v>
      </c>
      <c r="G461" s="1" t="s">
        <v>26</v>
      </c>
      <c r="H461" s="1">
        <v>17550</v>
      </c>
      <c r="I461" s="1" t="s">
        <v>19</v>
      </c>
      <c r="J461" s="1">
        <v>0.2</v>
      </c>
      <c r="K461" s="1">
        <v>17000</v>
      </c>
      <c r="L461" s="2">
        <v>45321</v>
      </c>
    </row>
    <row r="462" spans="1:12" x14ac:dyDescent="0.35">
      <c r="A462" s="1" t="s">
        <v>682</v>
      </c>
      <c r="B462" s="1" t="s">
        <v>38</v>
      </c>
      <c r="C462" s="1" t="s">
        <v>61</v>
      </c>
      <c r="D462" s="1" t="s">
        <v>62</v>
      </c>
      <c r="E462" s="1" t="s">
        <v>32</v>
      </c>
      <c r="F462" s="1" t="s">
        <v>39</v>
      </c>
      <c r="G462" s="1" t="s">
        <v>26</v>
      </c>
      <c r="H462" s="1">
        <v>10114</v>
      </c>
      <c r="I462" s="1" t="s">
        <v>19</v>
      </c>
      <c r="J462" s="1">
        <v>0.2</v>
      </c>
      <c r="K462" s="1">
        <v>9000</v>
      </c>
      <c r="L462" s="2">
        <v>45301</v>
      </c>
    </row>
    <row r="463" spans="1:12" x14ac:dyDescent="0.35">
      <c r="A463" s="1" t="s">
        <v>683</v>
      </c>
      <c r="B463" s="1" t="s">
        <v>406</v>
      </c>
      <c r="C463" s="1" t="s">
        <v>14</v>
      </c>
      <c r="D463" s="1" t="s">
        <v>15</v>
      </c>
      <c r="E463" s="1" t="s">
        <v>32</v>
      </c>
      <c r="F463" s="1" t="s">
        <v>39</v>
      </c>
      <c r="G463" s="1" t="s">
        <v>36</v>
      </c>
      <c r="H463" s="1">
        <v>14604</v>
      </c>
      <c r="I463" s="1" t="s">
        <v>22</v>
      </c>
      <c r="J463" s="1">
        <v>0.1</v>
      </c>
      <c r="K463" s="1">
        <v>14000</v>
      </c>
      <c r="L463" s="2">
        <v>45352</v>
      </c>
    </row>
    <row r="464" spans="1:12" x14ac:dyDescent="0.35">
      <c r="A464" s="1" t="s">
        <v>684</v>
      </c>
      <c r="B464" s="1" t="s">
        <v>327</v>
      </c>
      <c r="C464" s="1" t="s">
        <v>61</v>
      </c>
      <c r="D464" s="1" t="s">
        <v>62</v>
      </c>
      <c r="E464" s="1" t="s">
        <v>16</v>
      </c>
      <c r="F464" s="1" t="s">
        <v>39</v>
      </c>
      <c r="G464" s="1" t="s">
        <v>36</v>
      </c>
      <c r="H464" s="1">
        <v>7425</v>
      </c>
      <c r="I464" s="1" t="s">
        <v>19</v>
      </c>
      <c r="J464" s="1">
        <v>0.2</v>
      </c>
      <c r="K464" s="1">
        <v>9000</v>
      </c>
      <c r="L464" s="2">
        <v>45325</v>
      </c>
    </row>
    <row r="465" spans="1:12" x14ac:dyDescent="0.35">
      <c r="A465" s="1" t="s">
        <v>685</v>
      </c>
      <c r="B465" s="1" t="s">
        <v>414</v>
      </c>
      <c r="C465" s="1" t="s">
        <v>61</v>
      </c>
      <c r="D465" s="1" t="s">
        <v>62</v>
      </c>
      <c r="E465" s="1" t="s">
        <v>32</v>
      </c>
      <c r="F465" s="1" t="s">
        <v>25</v>
      </c>
      <c r="G465" s="1" t="s">
        <v>26</v>
      </c>
      <c r="H465" s="1">
        <v>8146</v>
      </c>
      <c r="I465" s="1" t="s">
        <v>22</v>
      </c>
      <c r="J465" s="1">
        <v>0.1</v>
      </c>
      <c r="K465" s="1">
        <v>9000</v>
      </c>
      <c r="L465" s="2">
        <v>45294</v>
      </c>
    </row>
    <row r="466" spans="1:12" x14ac:dyDescent="0.35">
      <c r="A466" s="1" t="s">
        <v>686</v>
      </c>
      <c r="B466" s="1" t="s">
        <v>553</v>
      </c>
      <c r="C466" s="1" t="s">
        <v>61</v>
      </c>
      <c r="D466" s="1" t="s">
        <v>62</v>
      </c>
      <c r="E466" s="1" t="s">
        <v>16</v>
      </c>
      <c r="F466" s="1" t="s">
        <v>17</v>
      </c>
      <c r="G466" s="1" t="s">
        <v>36</v>
      </c>
      <c r="H466" s="1">
        <v>10991</v>
      </c>
      <c r="I466" s="1" t="s">
        <v>22</v>
      </c>
      <c r="J466" s="1">
        <v>0.1</v>
      </c>
      <c r="K466" s="1">
        <v>9000</v>
      </c>
      <c r="L466" s="2">
        <v>45329</v>
      </c>
    </row>
    <row r="467" spans="1:12" x14ac:dyDescent="0.35">
      <c r="A467" s="1" t="s">
        <v>687</v>
      </c>
      <c r="B467" s="1" t="s">
        <v>241</v>
      </c>
      <c r="C467" s="1" t="s">
        <v>44</v>
      </c>
      <c r="D467" s="1" t="s">
        <v>45</v>
      </c>
      <c r="E467" s="1" t="s">
        <v>16</v>
      </c>
      <c r="F467" s="1" t="s">
        <v>17</v>
      </c>
      <c r="G467" s="1" t="s">
        <v>18</v>
      </c>
      <c r="H467" s="1">
        <v>13424</v>
      </c>
      <c r="I467" s="1" t="s">
        <v>27</v>
      </c>
      <c r="J467" s="1"/>
      <c r="K467" s="1">
        <v>13000</v>
      </c>
      <c r="L467" s="2">
        <v>45295</v>
      </c>
    </row>
    <row r="468" spans="1:12" x14ac:dyDescent="0.35">
      <c r="A468" s="1" t="s">
        <v>688</v>
      </c>
      <c r="B468" s="1" t="s">
        <v>274</v>
      </c>
      <c r="C468" s="1" t="s">
        <v>44</v>
      </c>
      <c r="D468" s="1" t="s">
        <v>45</v>
      </c>
      <c r="E468" s="1" t="s">
        <v>32</v>
      </c>
      <c r="F468" s="1" t="s">
        <v>17</v>
      </c>
      <c r="G468" s="1" t="s">
        <v>36</v>
      </c>
      <c r="H468" s="1">
        <v>14485</v>
      </c>
      <c r="I468" s="1" t="s">
        <v>33</v>
      </c>
      <c r="J468" s="1">
        <v>0.3</v>
      </c>
      <c r="K468" s="1">
        <v>13000</v>
      </c>
      <c r="L468" s="2">
        <v>45351</v>
      </c>
    </row>
    <row r="469" spans="1:12" x14ac:dyDescent="0.35">
      <c r="A469" s="1" t="s">
        <v>689</v>
      </c>
      <c r="B469" s="1" t="s">
        <v>180</v>
      </c>
      <c r="C469" s="1" t="s">
        <v>30</v>
      </c>
      <c r="D469" s="1" t="s">
        <v>31</v>
      </c>
      <c r="E469" s="1" t="s">
        <v>46</v>
      </c>
      <c r="F469" s="1" t="s">
        <v>17</v>
      </c>
      <c r="G469" s="1" t="s">
        <v>36</v>
      </c>
      <c r="H469" s="1">
        <v>15956</v>
      </c>
      <c r="I469" s="1" t="s">
        <v>22</v>
      </c>
      <c r="J469" s="1">
        <v>0.1</v>
      </c>
      <c r="K469" s="1">
        <v>17000</v>
      </c>
      <c r="L469" s="2">
        <v>45352</v>
      </c>
    </row>
    <row r="470" spans="1:12" x14ac:dyDescent="0.35">
      <c r="A470" s="1" t="s">
        <v>690</v>
      </c>
      <c r="B470" s="1" t="s">
        <v>235</v>
      </c>
      <c r="C470" s="1" t="s">
        <v>14</v>
      </c>
      <c r="D470" s="1" t="s">
        <v>15</v>
      </c>
      <c r="E470" s="1" t="s">
        <v>32</v>
      </c>
      <c r="F470" s="1" t="s">
        <v>25</v>
      </c>
      <c r="G470" s="1" t="s">
        <v>18</v>
      </c>
      <c r="H470" s="1">
        <v>13841</v>
      </c>
      <c r="I470" s="1"/>
      <c r="J470" s="1"/>
      <c r="K470" s="1">
        <v>14000</v>
      </c>
      <c r="L470" s="2">
        <v>45312</v>
      </c>
    </row>
    <row r="471" spans="1:12" x14ac:dyDescent="0.35">
      <c r="A471" s="1" t="s">
        <v>691</v>
      </c>
      <c r="B471" s="1" t="s">
        <v>41</v>
      </c>
      <c r="C471" s="1" t="s">
        <v>30</v>
      </c>
      <c r="D471" s="1" t="s">
        <v>31</v>
      </c>
      <c r="E471" s="1" t="s">
        <v>32</v>
      </c>
      <c r="F471" s="1" t="s">
        <v>17</v>
      </c>
      <c r="G471" s="1" t="s">
        <v>36</v>
      </c>
      <c r="H471" s="1">
        <v>16897</v>
      </c>
      <c r="I471" s="1" t="s">
        <v>33</v>
      </c>
      <c r="J471" s="1">
        <v>0.3</v>
      </c>
      <c r="K471" s="1">
        <v>17000</v>
      </c>
      <c r="L471" s="2">
        <v>45346</v>
      </c>
    </row>
    <row r="472" spans="1:12" x14ac:dyDescent="0.35">
      <c r="A472" s="1" t="s">
        <v>692</v>
      </c>
      <c r="B472" s="1" t="s">
        <v>78</v>
      </c>
      <c r="C472" s="1" t="s">
        <v>44</v>
      </c>
      <c r="D472" s="1" t="s">
        <v>45</v>
      </c>
      <c r="E472" s="1" t="s">
        <v>16</v>
      </c>
      <c r="F472" s="1" t="s">
        <v>17</v>
      </c>
      <c r="G472" s="1" t="s">
        <v>26</v>
      </c>
      <c r="H472" s="1">
        <v>13854</v>
      </c>
      <c r="I472" s="1" t="s">
        <v>27</v>
      </c>
      <c r="J472" s="1"/>
      <c r="K472" s="1">
        <v>13000</v>
      </c>
      <c r="L472" s="2">
        <v>45294</v>
      </c>
    </row>
    <row r="473" spans="1:12" x14ac:dyDescent="0.35">
      <c r="A473" s="1" t="s">
        <v>693</v>
      </c>
      <c r="B473" s="1" t="s">
        <v>171</v>
      </c>
      <c r="C473" s="1" t="s">
        <v>30</v>
      </c>
      <c r="D473" s="1" t="s">
        <v>31</v>
      </c>
      <c r="E473" s="1" t="s">
        <v>32</v>
      </c>
      <c r="F473" s="1" t="s">
        <v>25</v>
      </c>
      <c r="G473" s="1" t="s">
        <v>26</v>
      </c>
      <c r="H473" s="1">
        <v>16016</v>
      </c>
      <c r="I473" s="1" t="s">
        <v>33</v>
      </c>
      <c r="J473" s="1">
        <v>0.3</v>
      </c>
      <c r="K473" s="1">
        <v>17000</v>
      </c>
      <c r="L473" s="2">
        <v>45317</v>
      </c>
    </row>
    <row r="474" spans="1:12" x14ac:dyDescent="0.35">
      <c r="A474" s="1" t="s">
        <v>694</v>
      </c>
      <c r="B474" s="1" t="s">
        <v>184</v>
      </c>
      <c r="C474" s="1" t="s">
        <v>30</v>
      </c>
      <c r="D474" s="1" t="s">
        <v>31</v>
      </c>
      <c r="E474" s="1" t="s">
        <v>46</v>
      </c>
      <c r="F474" s="1" t="s">
        <v>25</v>
      </c>
      <c r="G474" s="1" t="s">
        <v>18</v>
      </c>
      <c r="H474" s="1">
        <v>18899</v>
      </c>
      <c r="I474" s="1"/>
      <c r="J474" s="1"/>
      <c r="K474" s="1">
        <v>17000</v>
      </c>
      <c r="L474" s="2">
        <v>45346</v>
      </c>
    </row>
    <row r="475" spans="1:12" x14ac:dyDescent="0.35">
      <c r="A475" s="1" t="s">
        <v>695</v>
      </c>
      <c r="B475" s="1" t="s">
        <v>330</v>
      </c>
      <c r="C475" s="1" t="s">
        <v>44</v>
      </c>
      <c r="D475" s="1" t="s">
        <v>45</v>
      </c>
      <c r="E475" s="1" t="s">
        <v>32</v>
      </c>
      <c r="F475" s="1" t="s">
        <v>17</v>
      </c>
      <c r="G475" s="1" t="s">
        <v>18</v>
      </c>
      <c r="H475" s="1">
        <v>14292</v>
      </c>
      <c r="I475" s="1" t="s">
        <v>19</v>
      </c>
      <c r="J475" s="1">
        <v>0.2</v>
      </c>
      <c r="K475" s="1">
        <v>13000</v>
      </c>
      <c r="L475" s="2">
        <v>45299</v>
      </c>
    </row>
    <row r="476" spans="1:12" x14ac:dyDescent="0.35">
      <c r="A476" s="1" t="s">
        <v>696</v>
      </c>
      <c r="B476" s="1" t="s">
        <v>161</v>
      </c>
      <c r="C476" s="1" t="s">
        <v>44</v>
      </c>
      <c r="D476" s="1" t="s">
        <v>45</v>
      </c>
      <c r="E476" s="1" t="s">
        <v>32</v>
      </c>
      <c r="F476" s="1" t="s">
        <v>25</v>
      </c>
      <c r="G476" s="1" t="s">
        <v>36</v>
      </c>
      <c r="H476" s="1">
        <v>12524</v>
      </c>
      <c r="I476" s="1" t="s">
        <v>22</v>
      </c>
      <c r="J476" s="1">
        <v>0.1</v>
      </c>
      <c r="K476" s="1">
        <v>13000</v>
      </c>
      <c r="L476" s="2">
        <v>45329</v>
      </c>
    </row>
    <row r="477" spans="1:12" x14ac:dyDescent="0.35">
      <c r="A477" s="1" t="s">
        <v>697</v>
      </c>
      <c r="B477" s="1" t="s">
        <v>291</v>
      </c>
      <c r="C477" s="1" t="s">
        <v>14</v>
      </c>
      <c r="D477" s="1" t="s">
        <v>15</v>
      </c>
      <c r="E477" s="1" t="s">
        <v>32</v>
      </c>
      <c r="F477" s="1" t="s">
        <v>25</v>
      </c>
      <c r="G477" s="1" t="s">
        <v>18</v>
      </c>
      <c r="H477" s="1">
        <v>15696</v>
      </c>
      <c r="I477" s="1"/>
      <c r="J477" s="1"/>
      <c r="K477" s="1">
        <v>14000</v>
      </c>
      <c r="L477" s="2">
        <v>45343</v>
      </c>
    </row>
    <row r="478" spans="1:12" x14ac:dyDescent="0.35">
      <c r="A478" s="1" t="s">
        <v>698</v>
      </c>
      <c r="B478" s="1" t="s">
        <v>325</v>
      </c>
      <c r="C478" s="1" t="s">
        <v>30</v>
      </c>
      <c r="D478" s="1" t="s">
        <v>31</v>
      </c>
      <c r="E478" s="1" t="s">
        <v>32</v>
      </c>
      <c r="F478" s="1" t="s">
        <v>25</v>
      </c>
      <c r="G478" s="1" t="s">
        <v>36</v>
      </c>
      <c r="H478" s="1">
        <v>15207</v>
      </c>
      <c r="I478" s="1" t="s">
        <v>19</v>
      </c>
      <c r="J478" s="1">
        <v>0.2</v>
      </c>
      <c r="K478" s="1">
        <v>17000</v>
      </c>
      <c r="L478" s="2">
        <v>45351</v>
      </c>
    </row>
    <row r="479" spans="1:12" x14ac:dyDescent="0.35">
      <c r="A479" s="1" t="s">
        <v>699</v>
      </c>
      <c r="B479" s="1" t="s">
        <v>337</v>
      </c>
      <c r="C479" s="1" t="s">
        <v>61</v>
      </c>
      <c r="D479" s="1" t="s">
        <v>62</v>
      </c>
      <c r="E479" s="1" t="s">
        <v>46</v>
      </c>
      <c r="F479" s="1" t="s">
        <v>25</v>
      </c>
      <c r="G479" s="1" t="s">
        <v>36</v>
      </c>
      <c r="H479" s="1">
        <v>9798</v>
      </c>
      <c r="I479" s="1"/>
      <c r="J479" s="1"/>
      <c r="K479" s="1">
        <v>9000</v>
      </c>
      <c r="L479" s="2">
        <v>45303</v>
      </c>
    </row>
    <row r="480" spans="1:12" x14ac:dyDescent="0.35">
      <c r="A480" s="1" t="s">
        <v>700</v>
      </c>
      <c r="B480" s="1" t="s">
        <v>408</v>
      </c>
      <c r="C480" s="1" t="s">
        <v>44</v>
      </c>
      <c r="D480" s="1" t="s">
        <v>45</v>
      </c>
      <c r="E480" s="1" t="s">
        <v>46</v>
      </c>
      <c r="F480" s="1" t="s">
        <v>17</v>
      </c>
      <c r="G480" s="1" t="s">
        <v>36</v>
      </c>
      <c r="H480" s="1">
        <v>14618</v>
      </c>
      <c r="I480" s="1" t="s">
        <v>19</v>
      </c>
      <c r="J480" s="1">
        <v>0.2</v>
      </c>
      <c r="K480" s="1">
        <v>13000</v>
      </c>
      <c r="L480" s="2">
        <v>45294</v>
      </c>
    </row>
    <row r="481" spans="1:12" x14ac:dyDescent="0.35">
      <c r="A481" s="1" t="s">
        <v>701</v>
      </c>
      <c r="B481" s="1" t="s">
        <v>195</v>
      </c>
      <c r="C481" s="1" t="s">
        <v>44</v>
      </c>
      <c r="D481" s="1" t="s">
        <v>45</v>
      </c>
      <c r="E481" s="1" t="s">
        <v>16</v>
      </c>
      <c r="F481" s="1" t="s">
        <v>17</v>
      </c>
      <c r="G481" s="1" t="s">
        <v>36</v>
      </c>
      <c r="H481" s="1">
        <v>12687</v>
      </c>
      <c r="I481" s="1" t="s">
        <v>27</v>
      </c>
      <c r="J481" s="1"/>
      <c r="K481" s="1">
        <v>13000</v>
      </c>
      <c r="L481" s="2">
        <v>45322</v>
      </c>
    </row>
    <row r="482" spans="1:12" x14ac:dyDescent="0.35">
      <c r="A482" s="1" t="s">
        <v>702</v>
      </c>
      <c r="B482" s="1" t="s">
        <v>76</v>
      </c>
      <c r="C482" s="1" t="s">
        <v>30</v>
      </c>
      <c r="D482" s="1" t="s">
        <v>31</v>
      </c>
      <c r="E482" s="1" t="s">
        <v>46</v>
      </c>
      <c r="F482" s="1" t="s">
        <v>25</v>
      </c>
      <c r="G482" s="1" t="s">
        <v>36</v>
      </c>
      <c r="H482" s="1">
        <v>15816</v>
      </c>
      <c r="I482" s="1" t="s">
        <v>27</v>
      </c>
      <c r="J482" s="1"/>
      <c r="K482" s="1">
        <v>17000</v>
      </c>
      <c r="L482" s="2">
        <v>45307</v>
      </c>
    </row>
    <row r="483" spans="1:12" x14ac:dyDescent="0.35">
      <c r="A483" s="1" t="s">
        <v>703</v>
      </c>
      <c r="B483" s="1" t="s">
        <v>270</v>
      </c>
      <c r="C483" s="1" t="s">
        <v>14</v>
      </c>
      <c r="D483" s="1" t="s">
        <v>15</v>
      </c>
      <c r="E483" s="1" t="s">
        <v>46</v>
      </c>
      <c r="F483" s="1" t="s">
        <v>39</v>
      </c>
      <c r="G483" s="1" t="s">
        <v>36</v>
      </c>
      <c r="H483" s="1">
        <v>13964</v>
      </c>
      <c r="I483" s="1" t="s">
        <v>27</v>
      </c>
      <c r="J483" s="1"/>
      <c r="K483" s="1">
        <v>14000</v>
      </c>
      <c r="L483" s="2">
        <v>45342</v>
      </c>
    </row>
    <row r="484" spans="1:12" x14ac:dyDescent="0.35">
      <c r="A484" s="1" t="s">
        <v>704</v>
      </c>
      <c r="B484" s="1" t="s">
        <v>188</v>
      </c>
      <c r="C484" s="1" t="s">
        <v>30</v>
      </c>
      <c r="D484" s="1" t="s">
        <v>31</v>
      </c>
      <c r="E484" s="1" t="s">
        <v>46</v>
      </c>
      <c r="F484" s="1" t="s">
        <v>17</v>
      </c>
      <c r="G484" s="1" t="s">
        <v>18</v>
      </c>
      <c r="H484" s="1">
        <v>15106</v>
      </c>
      <c r="I484" s="1" t="s">
        <v>33</v>
      </c>
      <c r="J484" s="1">
        <v>0.3</v>
      </c>
      <c r="K484" s="1">
        <v>17000</v>
      </c>
      <c r="L484" s="2">
        <v>45330</v>
      </c>
    </row>
    <row r="485" spans="1:12" x14ac:dyDescent="0.35">
      <c r="A485" s="1" t="s">
        <v>705</v>
      </c>
      <c r="B485" s="1" t="s">
        <v>500</v>
      </c>
      <c r="C485" s="1" t="s">
        <v>30</v>
      </c>
      <c r="D485" s="1" t="s">
        <v>31</v>
      </c>
      <c r="E485" s="1" t="s">
        <v>32</v>
      </c>
      <c r="F485" s="1" t="s">
        <v>17</v>
      </c>
      <c r="G485" s="1" t="s">
        <v>26</v>
      </c>
      <c r="H485" s="1">
        <v>16464</v>
      </c>
      <c r="I485" s="1" t="s">
        <v>27</v>
      </c>
      <c r="J485" s="1"/>
      <c r="K485" s="1">
        <v>17000</v>
      </c>
      <c r="L485" s="2">
        <v>45306</v>
      </c>
    </row>
    <row r="486" spans="1:12" x14ac:dyDescent="0.35">
      <c r="A486" s="1" t="s">
        <v>706</v>
      </c>
      <c r="B486" s="1" t="s">
        <v>325</v>
      </c>
      <c r="C486" s="1" t="s">
        <v>44</v>
      </c>
      <c r="D486" s="1" t="s">
        <v>45</v>
      </c>
      <c r="E486" s="1" t="s">
        <v>16</v>
      </c>
      <c r="F486" s="1" t="s">
        <v>25</v>
      </c>
      <c r="G486" s="1" t="s">
        <v>36</v>
      </c>
      <c r="H486" s="1">
        <v>13185</v>
      </c>
      <c r="I486" s="1" t="s">
        <v>22</v>
      </c>
      <c r="J486" s="1">
        <v>0.1</v>
      </c>
      <c r="K486" s="1">
        <v>13000</v>
      </c>
      <c r="L486" s="2">
        <v>45340</v>
      </c>
    </row>
    <row r="487" spans="1:12" x14ac:dyDescent="0.35">
      <c r="A487" s="1" t="s">
        <v>707</v>
      </c>
      <c r="B487" s="1" t="s">
        <v>56</v>
      </c>
      <c r="C487" s="1" t="s">
        <v>61</v>
      </c>
      <c r="D487" s="1" t="s">
        <v>62</v>
      </c>
      <c r="E487" s="1" t="s">
        <v>46</v>
      </c>
      <c r="F487" s="1" t="s">
        <v>25</v>
      </c>
      <c r="G487" s="1" t="s">
        <v>18</v>
      </c>
      <c r="H487" s="1">
        <v>7968</v>
      </c>
      <c r="I487" s="1" t="s">
        <v>27</v>
      </c>
      <c r="J487" s="1"/>
      <c r="K487" s="1">
        <v>9000</v>
      </c>
      <c r="L487" s="2">
        <v>45312</v>
      </c>
    </row>
    <row r="488" spans="1:12" x14ac:dyDescent="0.35">
      <c r="A488" s="1" t="s">
        <v>708</v>
      </c>
      <c r="B488" s="1" t="s">
        <v>296</v>
      </c>
      <c r="C488" s="1" t="s">
        <v>30</v>
      </c>
      <c r="D488" s="1" t="s">
        <v>31</v>
      </c>
      <c r="E488" s="1" t="s">
        <v>16</v>
      </c>
      <c r="F488" s="1" t="s">
        <v>25</v>
      </c>
      <c r="G488" s="1" t="s">
        <v>26</v>
      </c>
      <c r="H488" s="1">
        <v>17869</v>
      </c>
      <c r="I488" s="1" t="s">
        <v>33</v>
      </c>
      <c r="J488" s="1">
        <v>0.3</v>
      </c>
      <c r="K488" s="1">
        <v>17000</v>
      </c>
      <c r="L488" s="2">
        <v>45352</v>
      </c>
    </row>
    <row r="489" spans="1:12" x14ac:dyDescent="0.35">
      <c r="A489" s="1" t="s">
        <v>709</v>
      </c>
      <c r="B489" s="1" t="s">
        <v>195</v>
      </c>
      <c r="C489" s="1" t="s">
        <v>44</v>
      </c>
      <c r="D489" s="1" t="s">
        <v>45</v>
      </c>
      <c r="E489" s="1" t="s">
        <v>16</v>
      </c>
      <c r="F489" s="1" t="s">
        <v>25</v>
      </c>
      <c r="G489" s="1" t="s">
        <v>36</v>
      </c>
      <c r="H489" s="1">
        <v>13220</v>
      </c>
      <c r="I489" s="1" t="s">
        <v>33</v>
      </c>
      <c r="J489" s="1">
        <v>0.3</v>
      </c>
      <c r="K489" s="1">
        <v>13000</v>
      </c>
      <c r="L489" s="2">
        <v>45303</v>
      </c>
    </row>
    <row r="490" spans="1:12" x14ac:dyDescent="0.35">
      <c r="A490" s="1" t="s">
        <v>710</v>
      </c>
      <c r="B490" s="1" t="s">
        <v>711</v>
      </c>
      <c r="C490" s="1" t="s">
        <v>14</v>
      </c>
      <c r="D490" s="1" t="s">
        <v>15</v>
      </c>
      <c r="E490" s="1" t="s">
        <v>32</v>
      </c>
      <c r="F490" s="1" t="s">
        <v>25</v>
      </c>
      <c r="G490" s="1" t="s">
        <v>26</v>
      </c>
      <c r="H490" s="1">
        <v>12896</v>
      </c>
      <c r="I490" s="1" t="s">
        <v>22</v>
      </c>
      <c r="J490" s="1">
        <v>0.1</v>
      </c>
      <c r="K490" s="1">
        <v>14000</v>
      </c>
      <c r="L490" s="2">
        <v>45325</v>
      </c>
    </row>
    <row r="491" spans="1:12" x14ac:dyDescent="0.35">
      <c r="A491" s="1" t="s">
        <v>712</v>
      </c>
      <c r="B491" s="1" t="s">
        <v>711</v>
      </c>
      <c r="C491" s="1" t="s">
        <v>30</v>
      </c>
      <c r="D491" s="1" t="s">
        <v>31</v>
      </c>
      <c r="E491" s="1" t="s">
        <v>16</v>
      </c>
      <c r="F491" s="1" t="s">
        <v>25</v>
      </c>
      <c r="G491" s="1" t="s">
        <v>18</v>
      </c>
      <c r="H491" s="1">
        <v>16395</v>
      </c>
      <c r="I491" s="1" t="s">
        <v>19</v>
      </c>
      <c r="J491" s="1">
        <v>0.2</v>
      </c>
      <c r="K491" s="1">
        <v>17000</v>
      </c>
      <c r="L491" s="2">
        <v>45350</v>
      </c>
    </row>
    <row r="492" spans="1:12" x14ac:dyDescent="0.35">
      <c r="A492" s="1" t="s">
        <v>713</v>
      </c>
      <c r="B492" s="1" t="s">
        <v>140</v>
      </c>
      <c r="C492" s="1" t="s">
        <v>30</v>
      </c>
      <c r="D492" s="1" t="s">
        <v>31</v>
      </c>
      <c r="E492" s="1" t="s">
        <v>32</v>
      </c>
      <c r="F492" s="1" t="s">
        <v>25</v>
      </c>
      <c r="G492" s="1" t="s">
        <v>18</v>
      </c>
      <c r="H492" s="1">
        <v>17402</v>
      </c>
      <c r="I492" s="1" t="s">
        <v>19</v>
      </c>
      <c r="J492" s="1">
        <v>0.2</v>
      </c>
      <c r="K492" s="1">
        <v>17000</v>
      </c>
      <c r="L492" s="2">
        <v>45341</v>
      </c>
    </row>
    <row r="493" spans="1:12" x14ac:dyDescent="0.35">
      <c r="A493" s="1" t="s">
        <v>714</v>
      </c>
      <c r="B493" s="1" t="s">
        <v>159</v>
      </c>
      <c r="C493" s="1" t="s">
        <v>30</v>
      </c>
      <c r="D493" s="1" t="s">
        <v>31</v>
      </c>
      <c r="E493" s="1" t="s">
        <v>32</v>
      </c>
      <c r="F493" s="1" t="s">
        <v>17</v>
      </c>
      <c r="G493" s="1" t="s">
        <v>26</v>
      </c>
      <c r="H493" s="1">
        <v>18858</v>
      </c>
      <c r="I493" s="1"/>
      <c r="J493" s="1"/>
      <c r="K493" s="1">
        <v>17000</v>
      </c>
      <c r="L493" s="2">
        <v>45329</v>
      </c>
    </row>
    <row r="494" spans="1:12" x14ac:dyDescent="0.35">
      <c r="A494" s="1" t="s">
        <v>715</v>
      </c>
      <c r="B494" s="1" t="s">
        <v>432</v>
      </c>
      <c r="C494" s="1" t="s">
        <v>30</v>
      </c>
      <c r="D494" s="1" t="s">
        <v>31</v>
      </c>
      <c r="E494" s="1" t="s">
        <v>46</v>
      </c>
      <c r="F494" s="1" t="s">
        <v>25</v>
      </c>
      <c r="G494" s="1" t="s">
        <v>18</v>
      </c>
      <c r="H494" s="1">
        <v>17999</v>
      </c>
      <c r="I494" s="1"/>
      <c r="J494" s="1"/>
      <c r="K494" s="1">
        <v>17000</v>
      </c>
      <c r="L494" s="2">
        <v>45342</v>
      </c>
    </row>
    <row r="495" spans="1:12" x14ac:dyDescent="0.35">
      <c r="A495" s="1" t="s">
        <v>716</v>
      </c>
      <c r="B495" s="1" t="s">
        <v>591</v>
      </c>
      <c r="C495" s="1" t="s">
        <v>30</v>
      </c>
      <c r="D495" s="1" t="s">
        <v>31</v>
      </c>
      <c r="E495" s="1" t="s">
        <v>32</v>
      </c>
      <c r="F495" s="1" t="s">
        <v>39</v>
      </c>
      <c r="G495" s="1" t="s">
        <v>26</v>
      </c>
      <c r="H495" s="1">
        <v>17840</v>
      </c>
      <c r="I495" s="1" t="s">
        <v>27</v>
      </c>
      <c r="J495" s="1"/>
      <c r="K495" s="1">
        <v>17000</v>
      </c>
      <c r="L495" s="2">
        <v>45342</v>
      </c>
    </row>
    <row r="496" spans="1:12" x14ac:dyDescent="0.35">
      <c r="A496" s="1" t="s">
        <v>717</v>
      </c>
      <c r="B496" s="1" t="s">
        <v>408</v>
      </c>
      <c r="C496" s="1" t="s">
        <v>44</v>
      </c>
      <c r="D496" s="1" t="s">
        <v>45</v>
      </c>
      <c r="E496" s="1" t="s">
        <v>46</v>
      </c>
      <c r="F496" s="1" t="s">
        <v>17</v>
      </c>
      <c r="G496" s="1" t="s">
        <v>26</v>
      </c>
      <c r="H496" s="1">
        <v>13820</v>
      </c>
      <c r="I496" s="1" t="s">
        <v>33</v>
      </c>
      <c r="J496" s="1">
        <v>0.3</v>
      </c>
      <c r="K496" s="1">
        <v>13000</v>
      </c>
      <c r="L496" s="2">
        <v>45300</v>
      </c>
    </row>
    <row r="497" spans="1:12" x14ac:dyDescent="0.35">
      <c r="A497" s="1" t="s">
        <v>718</v>
      </c>
      <c r="B497" s="1" t="s">
        <v>280</v>
      </c>
      <c r="C497" s="1" t="s">
        <v>14</v>
      </c>
      <c r="D497" s="1" t="s">
        <v>15</v>
      </c>
      <c r="E497" s="1" t="s">
        <v>16</v>
      </c>
      <c r="F497" s="1" t="s">
        <v>39</v>
      </c>
      <c r="G497" s="1" t="s">
        <v>36</v>
      </c>
      <c r="H497" s="1">
        <v>15484</v>
      </c>
      <c r="I497" s="1" t="s">
        <v>27</v>
      </c>
      <c r="J497" s="1"/>
      <c r="K497" s="1">
        <v>14000</v>
      </c>
      <c r="L497" s="2">
        <v>45294</v>
      </c>
    </row>
    <row r="498" spans="1:12" x14ac:dyDescent="0.35">
      <c r="A498" s="1" t="s">
        <v>719</v>
      </c>
      <c r="B498" s="1" t="s">
        <v>720</v>
      </c>
      <c r="C498" s="1" t="s">
        <v>30</v>
      </c>
      <c r="D498" s="1" t="s">
        <v>31</v>
      </c>
      <c r="E498" s="1" t="s">
        <v>16</v>
      </c>
      <c r="F498" s="1" t="s">
        <v>25</v>
      </c>
      <c r="G498" s="1" t="s">
        <v>26</v>
      </c>
      <c r="H498" s="1">
        <v>17316</v>
      </c>
      <c r="I498" s="1" t="s">
        <v>22</v>
      </c>
      <c r="J498" s="1">
        <v>0.1</v>
      </c>
      <c r="K498" s="1">
        <v>17000</v>
      </c>
      <c r="L498" s="2">
        <v>45351</v>
      </c>
    </row>
    <row r="499" spans="1:12" x14ac:dyDescent="0.35">
      <c r="A499" s="1" t="s">
        <v>721</v>
      </c>
      <c r="B499" s="1" t="s">
        <v>508</v>
      </c>
      <c r="C499" s="1" t="s">
        <v>30</v>
      </c>
      <c r="D499" s="1" t="s">
        <v>31</v>
      </c>
      <c r="E499" s="1" t="s">
        <v>16</v>
      </c>
      <c r="F499" s="1" t="s">
        <v>25</v>
      </c>
      <c r="G499" s="1" t="s">
        <v>18</v>
      </c>
      <c r="H499" s="1">
        <v>16420</v>
      </c>
      <c r="I499" s="1" t="s">
        <v>33</v>
      </c>
      <c r="J499" s="1">
        <v>0.3</v>
      </c>
      <c r="K499" s="1">
        <v>17000</v>
      </c>
      <c r="L499" s="2">
        <v>45302</v>
      </c>
    </row>
    <row r="500" spans="1:12" x14ac:dyDescent="0.35">
      <c r="A500" s="1" t="s">
        <v>722</v>
      </c>
      <c r="B500" s="1" t="s">
        <v>13</v>
      </c>
      <c r="C500" s="1" t="s">
        <v>30</v>
      </c>
      <c r="D500" s="1" t="s">
        <v>31</v>
      </c>
      <c r="E500" s="1" t="s">
        <v>46</v>
      </c>
      <c r="F500" s="1" t="s">
        <v>25</v>
      </c>
      <c r="G500" s="1" t="s">
        <v>36</v>
      </c>
      <c r="H500" s="1">
        <v>15858</v>
      </c>
      <c r="I500" s="1" t="s">
        <v>19</v>
      </c>
      <c r="J500" s="1">
        <v>0.2</v>
      </c>
      <c r="K500" s="1">
        <v>17000</v>
      </c>
      <c r="L500" s="2">
        <v>45336</v>
      </c>
    </row>
    <row r="501" spans="1:12" x14ac:dyDescent="0.35">
      <c r="A501" s="1" t="s">
        <v>723</v>
      </c>
      <c r="B501" s="1" t="s">
        <v>432</v>
      </c>
      <c r="C501" s="1" t="s">
        <v>30</v>
      </c>
      <c r="D501" s="1" t="s">
        <v>31</v>
      </c>
      <c r="E501" s="1" t="s">
        <v>32</v>
      </c>
      <c r="F501" s="1" t="s">
        <v>39</v>
      </c>
      <c r="G501" s="1" t="s">
        <v>18</v>
      </c>
      <c r="H501" s="1">
        <v>15197</v>
      </c>
      <c r="I501" s="1"/>
      <c r="J501" s="1"/>
      <c r="K501" s="1">
        <v>17000</v>
      </c>
      <c r="L501" s="2">
        <v>45320</v>
      </c>
    </row>
    <row r="502" spans="1:12" x14ac:dyDescent="0.35">
      <c r="A502" s="1" t="s">
        <v>724</v>
      </c>
      <c r="B502" s="1" t="s">
        <v>127</v>
      </c>
      <c r="C502" s="1" t="s">
        <v>44</v>
      </c>
      <c r="D502" s="1" t="s">
        <v>45</v>
      </c>
      <c r="E502" s="1" t="s">
        <v>46</v>
      </c>
      <c r="F502" s="1" t="s">
        <v>17</v>
      </c>
      <c r="G502" s="1" t="s">
        <v>36</v>
      </c>
      <c r="H502" s="1">
        <v>12438</v>
      </c>
      <c r="I502" s="1" t="s">
        <v>27</v>
      </c>
      <c r="J502" s="1"/>
      <c r="K502" s="1">
        <v>13000</v>
      </c>
      <c r="L502" s="2">
        <v>45316</v>
      </c>
    </row>
    <row r="503" spans="1:12" x14ac:dyDescent="0.35">
      <c r="A503" s="1" t="s">
        <v>725</v>
      </c>
      <c r="B503" s="1" t="s">
        <v>159</v>
      </c>
      <c r="C503" s="1" t="s">
        <v>61</v>
      </c>
      <c r="D503" s="1" t="s">
        <v>62</v>
      </c>
      <c r="E503" s="1" t="s">
        <v>16</v>
      </c>
      <c r="F503" s="1" t="s">
        <v>39</v>
      </c>
      <c r="G503" s="1" t="s">
        <v>26</v>
      </c>
      <c r="H503" s="1">
        <v>7923</v>
      </c>
      <c r="I503" s="1" t="s">
        <v>19</v>
      </c>
      <c r="J503" s="1">
        <v>0.2</v>
      </c>
      <c r="K503" s="1">
        <v>9000</v>
      </c>
      <c r="L503" s="2">
        <v>45320</v>
      </c>
    </row>
    <row r="504" spans="1:12" x14ac:dyDescent="0.35">
      <c r="A504" s="1" t="s">
        <v>726</v>
      </c>
      <c r="B504" s="1" t="s">
        <v>200</v>
      </c>
      <c r="C504" s="1" t="s">
        <v>14</v>
      </c>
      <c r="D504" s="1" t="s">
        <v>15</v>
      </c>
      <c r="E504" s="1" t="s">
        <v>46</v>
      </c>
      <c r="F504" s="1" t="s">
        <v>25</v>
      </c>
      <c r="G504" s="1" t="s">
        <v>36</v>
      </c>
      <c r="H504" s="1">
        <v>13069</v>
      </c>
      <c r="I504" s="1" t="s">
        <v>22</v>
      </c>
      <c r="J504" s="1">
        <v>0.1</v>
      </c>
      <c r="K504" s="1">
        <v>14000</v>
      </c>
      <c r="L504" s="2">
        <v>45296</v>
      </c>
    </row>
    <row r="505" spans="1:12" x14ac:dyDescent="0.35">
      <c r="A505" s="1" t="s">
        <v>727</v>
      </c>
      <c r="B505" s="1" t="s">
        <v>728</v>
      </c>
      <c r="C505" s="1" t="s">
        <v>61</v>
      </c>
      <c r="D505" s="1" t="s">
        <v>62</v>
      </c>
      <c r="E505" s="1" t="s">
        <v>32</v>
      </c>
      <c r="F505" s="1" t="s">
        <v>39</v>
      </c>
      <c r="G505" s="1" t="s">
        <v>18</v>
      </c>
      <c r="H505" s="1">
        <v>9240</v>
      </c>
      <c r="I505" s="1" t="s">
        <v>22</v>
      </c>
      <c r="J505" s="1">
        <v>0.1</v>
      </c>
      <c r="K505" s="1">
        <v>9000</v>
      </c>
      <c r="L505" s="2">
        <v>45313</v>
      </c>
    </row>
    <row r="506" spans="1:12" x14ac:dyDescent="0.35">
      <c r="A506" s="1" t="s">
        <v>729</v>
      </c>
      <c r="B506" s="1" t="s">
        <v>195</v>
      </c>
      <c r="C506" s="1" t="s">
        <v>61</v>
      </c>
      <c r="D506" s="1" t="s">
        <v>62</v>
      </c>
      <c r="E506" s="1" t="s">
        <v>16</v>
      </c>
      <c r="F506" s="1" t="s">
        <v>25</v>
      </c>
      <c r="G506" s="1" t="s">
        <v>36</v>
      </c>
      <c r="H506" s="1">
        <v>10860</v>
      </c>
      <c r="I506" s="1" t="s">
        <v>19</v>
      </c>
      <c r="J506" s="1">
        <v>0.2</v>
      </c>
      <c r="K506" s="1">
        <v>9000</v>
      </c>
      <c r="L506" s="2">
        <v>45330</v>
      </c>
    </row>
    <row r="507" spans="1:12" x14ac:dyDescent="0.35">
      <c r="A507" s="1" t="s">
        <v>730</v>
      </c>
      <c r="B507" s="1" t="s">
        <v>137</v>
      </c>
      <c r="C507" s="1" t="s">
        <v>44</v>
      </c>
      <c r="D507" s="1" t="s">
        <v>45</v>
      </c>
      <c r="E507" s="1" t="s">
        <v>32</v>
      </c>
      <c r="F507" s="1" t="s">
        <v>25</v>
      </c>
      <c r="G507" s="1" t="s">
        <v>36</v>
      </c>
      <c r="H507" s="1">
        <v>11841</v>
      </c>
      <c r="I507" s="1" t="s">
        <v>19</v>
      </c>
      <c r="J507" s="1">
        <v>0.2</v>
      </c>
      <c r="K507" s="1">
        <v>13000</v>
      </c>
      <c r="L507" s="2">
        <v>45318</v>
      </c>
    </row>
    <row r="508" spans="1:12" x14ac:dyDescent="0.35">
      <c r="A508" s="1" t="s">
        <v>731</v>
      </c>
      <c r="B508" s="1" t="s">
        <v>103</v>
      </c>
      <c r="C508" s="1" t="s">
        <v>30</v>
      </c>
      <c r="D508" s="1" t="s">
        <v>31</v>
      </c>
      <c r="E508" s="1" t="s">
        <v>16</v>
      </c>
      <c r="F508" s="1" t="s">
        <v>17</v>
      </c>
      <c r="G508" s="1" t="s">
        <v>36</v>
      </c>
      <c r="H508" s="1">
        <v>15972</v>
      </c>
      <c r="I508" s="1" t="s">
        <v>22</v>
      </c>
      <c r="J508" s="1">
        <v>0.1</v>
      </c>
      <c r="K508" s="1">
        <v>17000</v>
      </c>
      <c r="L508" s="2">
        <v>45295</v>
      </c>
    </row>
    <row r="509" spans="1:12" x14ac:dyDescent="0.35">
      <c r="A509" s="1" t="s">
        <v>732</v>
      </c>
      <c r="B509" s="1" t="s">
        <v>617</v>
      </c>
      <c r="C509" s="1" t="s">
        <v>61</v>
      </c>
      <c r="D509" s="1" t="s">
        <v>62</v>
      </c>
      <c r="E509" s="1" t="s">
        <v>32</v>
      </c>
      <c r="F509" s="1" t="s">
        <v>25</v>
      </c>
      <c r="G509" s="1" t="s">
        <v>36</v>
      </c>
      <c r="H509" s="1">
        <v>7015</v>
      </c>
      <c r="I509" s="1"/>
      <c r="J509" s="1"/>
      <c r="K509" s="1">
        <v>9000</v>
      </c>
      <c r="L509" s="2">
        <v>45297</v>
      </c>
    </row>
    <row r="510" spans="1:12" x14ac:dyDescent="0.35">
      <c r="A510" s="1" t="s">
        <v>733</v>
      </c>
      <c r="B510" s="1" t="s">
        <v>142</v>
      </c>
      <c r="C510" s="1" t="s">
        <v>61</v>
      </c>
      <c r="D510" s="1" t="s">
        <v>62</v>
      </c>
      <c r="E510" s="1" t="s">
        <v>32</v>
      </c>
      <c r="F510" s="1" t="s">
        <v>25</v>
      </c>
      <c r="G510" s="1" t="s">
        <v>18</v>
      </c>
      <c r="H510" s="1">
        <v>7847</v>
      </c>
      <c r="I510" s="1" t="s">
        <v>19</v>
      </c>
      <c r="J510" s="1">
        <v>0.2</v>
      </c>
      <c r="K510" s="1">
        <v>9000</v>
      </c>
      <c r="L510" s="2">
        <v>45332</v>
      </c>
    </row>
    <row r="511" spans="1:12" x14ac:dyDescent="0.35">
      <c r="A511" s="1" t="s">
        <v>734</v>
      </c>
      <c r="B511" s="1" t="s">
        <v>222</v>
      </c>
      <c r="C511" s="1" t="s">
        <v>61</v>
      </c>
      <c r="D511" s="1" t="s">
        <v>62</v>
      </c>
      <c r="E511" s="1" t="s">
        <v>32</v>
      </c>
      <c r="F511" s="1" t="s">
        <v>17</v>
      </c>
      <c r="G511" s="1" t="s">
        <v>36</v>
      </c>
      <c r="H511" s="1">
        <v>8928</v>
      </c>
      <c r="I511" s="1"/>
      <c r="J511" s="1"/>
      <c r="K511" s="1">
        <v>9000</v>
      </c>
      <c r="L511" s="2">
        <v>45349</v>
      </c>
    </row>
    <row r="512" spans="1:12" x14ac:dyDescent="0.35">
      <c r="A512" s="1" t="s">
        <v>735</v>
      </c>
      <c r="B512" s="1" t="s">
        <v>278</v>
      </c>
      <c r="C512" s="1" t="s">
        <v>14</v>
      </c>
      <c r="D512" s="1" t="s">
        <v>15</v>
      </c>
      <c r="E512" s="1" t="s">
        <v>16</v>
      </c>
      <c r="F512" s="1" t="s">
        <v>39</v>
      </c>
      <c r="G512" s="1" t="s">
        <v>36</v>
      </c>
      <c r="H512" s="1">
        <v>12757</v>
      </c>
      <c r="I512" s="1" t="s">
        <v>33</v>
      </c>
      <c r="J512" s="1">
        <v>0.3</v>
      </c>
      <c r="K512" s="1">
        <v>14000</v>
      </c>
      <c r="L512" s="2">
        <v>45348</v>
      </c>
    </row>
    <row r="513" spans="1:12" x14ac:dyDescent="0.35">
      <c r="A513" s="1" t="s">
        <v>736</v>
      </c>
      <c r="B513" s="1" t="s">
        <v>474</v>
      </c>
      <c r="C513" s="1" t="s">
        <v>44</v>
      </c>
      <c r="D513" s="1" t="s">
        <v>45</v>
      </c>
      <c r="E513" s="1" t="s">
        <v>46</v>
      </c>
      <c r="F513" s="1" t="s">
        <v>25</v>
      </c>
      <c r="G513" s="1" t="s">
        <v>36</v>
      </c>
      <c r="H513" s="1">
        <v>12801</v>
      </c>
      <c r="I513" s="1"/>
      <c r="J513" s="1"/>
      <c r="K513" s="1">
        <v>13000</v>
      </c>
      <c r="L513" s="2">
        <v>45308</v>
      </c>
    </row>
    <row r="514" spans="1:12" x14ac:dyDescent="0.35">
      <c r="A514" s="1" t="s">
        <v>737</v>
      </c>
      <c r="B514" s="1" t="s">
        <v>171</v>
      </c>
      <c r="C514" s="1" t="s">
        <v>30</v>
      </c>
      <c r="D514" s="1" t="s">
        <v>31</v>
      </c>
      <c r="E514" s="1" t="s">
        <v>16</v>
      </c>
      <c r="F514" s="1" t="s">
        <v>25</v>
      </c>
      <c r="G514" s="1" t="s">
        <v>18</v>
      </c>
      <c r="H514" s="1">
        <v>18081</v>
      </c>
      <c r="I514" s="1" t="s">
        <v>22</v>
      </c>
      <c r="J514" s="1">
        <v>0.1</v>
      </c>
      <c r="K514" s="1">
        <v>17000</v>
      </c>
      <c r="L514" s="2">
        <v>45297</v>
      </c>
    </row>
    <row r="515" spans="1:12" x14ac:dyDescent="0.35">
      <c r="A515" s="1" t="s">
        <v>738</v>
      </c>
      <c r="B515" s="1" t="s">
        <v>317</v>
      </c>
      <c r="C515" s="1" t="s">
        <v>61</v>
      </c>
      <c r="D515" s="1" t="s">
        <v>62</v>
      </c>
      <c r="E515" s="1" t="s">
        <v>16</v>
      </c>
      <c r="F515" s="1" t="s">
        <v>25</v>
      </c>
      <c r="G515" s="1" t="s">
        <v>26</v>
      </c>
      <c r="H515" s="1">
        <v>7249</v>
      </c>
      <c r="I515" s="1"/>
      <c r="J515" s="1"/>
      <c r="K515" s="1">
        <v>9000</v>
      </c>
      <c r="L515" s="2">
        <v>45344</v>
      </c>
    </row>
    <row r="516" spans="1:12" x14ac:dyDescent="0.35">
      <c r="A516" s="1" t="s">
        <v>739</v>
      </c>
      <c r="B516" s="1" t="s">
        <v>388</v>
      </c>
      <c r="C516" s="1" t="s">
        <v>61</v>
      </c>
      <c r="D516" s="1" t="s">
        <v>62</v>
      </c>
      <c r="E516" s="1" t="s">
        <v>16</v>
      </c>
      <c r="F516" s="1" t="s">
        <v>25</v>
      </c>
      <c r="G516" s="1" t="s">
        <v>36</v>
      </c>
      <c r="H516" s="1">
        <v>8224</v>
      </c>
      <c r="I516" s="1" t="s">
        <v>22</v>
      </c>
      <c r="J516" s="1">
        <v>0.1</v>
      </c>
      <c r="K516" s="1">
        <v>9000</v>
      </c>
      <c r="L516" s="2">
        <v>45317</v>
      </c>
    </row>
    <row r="517" spans="1:12" x14ac:dyDescent="0.35">
      <c r="A517" s="1" t="s">
        <v>740</v>
      </c>
      <c r="B517" s="1" t="s">
        <v>454</v>
      </c>
      <c r="C517" s="1" t="s">
        <v>14</v>
      </c>
      <c r="D517" s="1" t="s">
        <v>15</v>
      </c>
      <c r="E517" s="1" t="s">
        <v>16</v>
      </c>
      <c r="F517" s="1" t="s">
        <v>39</v>
      </c>
      <c r="G517" s="1" t="s">
        <v>26</v>
      </c>
      <c r="H517" s="1">
        <v>15278</v>
      </c>
      <c r="I517" s="1" t="s">
        <v>27</v>
      </c>
      <c r="J517" s="1"/>
      <c r="K517" s="1">
        <v>14000</v>
      </c>
      <c r="L517" s="2">
        <v>45335</v>
      </c>
    </row>
    <row r="518" spans="1:12" x14ac:dyDescent="0.35">
      <c r="A518" s="1" t="s">
        <v>741</v>
      </c>
      <c r="B518" s="1" t="s">
        <v>373</v>
      </c>
      <c r="C518" s="1" t="s">
        <v>14</v>
      </c>
      <c r="D518" s="1" t="s">
        <v>15</v>
      </c>
      <c r="E518" s="1" t="s">
        <v>46</v>
      </c>
      <c r="F518" s="1" t="s">
        <v>25</v>
      </c>
      <c r="G518" s="1" t="s">
        <v>18</v>
      </c>
      <c r="H518" s="1">
        <v>15981</v>
      </c>
      <c r="I518" s="1" t="s">
        <v>19</v>
      </c>
      <c r="J518" s="1">
        <v>0.2</v>
      </c>
      <c r="K518" s="1">
        <v>14000</v>
      </c>
      <c r="L518" s="2">
        <v>45343</v>
      </c>
    </row>
    <row r="519" spans="1:12" x14ac:dyDescent="0.35">
      <c r="A519" s="1" t="s">
        <v>742</v>
      </c>
      <c r="B519" s="1" t="s">
        <v>235</v>
      </c>
      <c r="C519" s="1" t="s">
        <v>14</v>
      </c>
      <c r="D519" s="1" t="s">
        <v>15</v>
      </c>
      <c r="E519" s="1" t="s">
        <v>46</v>
      </c>
      <c r="F519" s="1" t="s">
        <v>25</v>
      </c>
      <c r="G519" s="1" t="s">
        <v>26</v>
      </c>
      <c r="H519" s="1">
        <v>13783</v>
      </c>
      <c r="I519" s="1" t="s">
        <v>19</v>
      </c>
      <c r="J519" s="1">
        <v>0.2</v>
      </c>
      <c r="K519" s="1">
        <v>14000</v>
      </c>
      <c r="L519" s="2">
        <v>45344</v>
      </c>
    </row>
    <row r="520" spans="1:12" x14ac:dyDescent="0.35">
      <c r="A520" s="1" t="s">
        <v>743</v>
      </c>
      <c r="B520" s="1" t="s">
        <v>422</v>
      </c>
      <c r="C520" s="1" t="s">
        <v>30</v>
      </c>
      <c r="D520" s="1" t="s">
        <v>31</v>
      </c>
      <c r="E520" s="1" t="s">
        <v>46</v>
      </c>
      <c r="F520" s="1" t="s">
        <v>39</v>
      </c>
      <c r="G520" s="1" t="s">
        <v>18</v>
      </c>
      <c r="H520" s="1">
        <v>15356</v>
      </c>
      <c r="I520" s="1"/>
      <c r="J520" s="1"/>
      <c r="K520" s="1">
        <v>17000</v>
      </c>
      <c r="L520" s="2">
        <v>45327</v>
      </c>
    </row>
    <row r="521" spans="1:12" x14ac:dyDescent="0.35">
      <c r="A521" s="1" t="s">
        <v>744</v>
      </c>
      <c r="B521" s="1" t="s">
        <v>512</v>
      </c>
      <c r="C521" s="1" t="s">
        <v>30</v>
      </c>
      <c r="D521" s="1" t="s">
        <v>31</v>
      </c>
      <c r="E521" s="1" t="s">
        <v>46</v>
      </c>
      <c r="F521" s="1" t="s">
        <v>39</v>
      </c>
      <c r="G521" s="1" t="s">
        <v>36</v>
      </c>
      <c r="H521" s="1">
        <v>18756</v>
      </c>
      <c r="I521" s="1" t="s">
        <v>22</v>
      </c>
      <c r="J521" s="1">
        <v>0.1</v>
      </c>
      <c r="K521" s="1">
        <v>17000</v>
      </c>
      <c r="L521" s="2">
        <v>45342</v>
      </c>
    </row>
    <row r="522" spans="1:12" x14ac:dyDescent="0.35">
      <c r="A522" s="1" t="s">
        <v>745</v>
      </c>
      <c r="B522" s="1" t="s">
        <v>672</v>
      </c>
      <c r="C522" s="1" t="s">
        <v>61</v>
      </c>
      <c r="D522" s="1" t="s">
        <v>62</v>
      </c>
      <c r="E522" s="1" t="s">
        <v>32</v>
      </c>
      <c r="F522" s="1" t="s">
        <v>17</v>
      </c>
      <c r="G522" s="1" t="s">
        <v>18</v>
      </c>
      <c r="H522" s="1">
        <v>7607</v>
      </c>
      <c r="I522" s="1" t="s">
        <v>27</v>
      </c>
      <c r="J522" s="1"/>
      <c r="K522" s="1">
        <v>9000</v>
      </c>
      <c r="L522" s="2">
        <v>45329</v>
      </c>
    </row>
    <row r="523" spans="1:12" x14ac:dyDescent="0.35">
      <c r="A523" s="1" t="s">
        <v>746</v>
      </c>
      <c r="B523" s="1" t="s">
        <v>579</v>
      </c>
      <c r="C523" s="1" t="s">
        <v>14</v>
      </c>
      <c r="D523" s="1" t="s">
        <v>15</v>
      </c>
      <c r="E523" s="1" t="s">
        <v>32</v>
      </c>
      <c r="F523" s="1" t="s">
        <v>39</v>
      </c>
      <c r="G523" s="1" t="s">
        <v>18</v>
      </c>
      <c r="H523" s="1">
        <v>15218</v>
      </c>
      <c r="I523" s="1" t="s">
        <v>33</v>
      </c>
      <c r="J523" s="1">
        <v>0.3</v>
      </c>
      <c r="K523" s="1">
        <v>14000</v>
      </c>
      <c r="L523" s="2">
        <v>45347</v>
      </c>
    </row>
    <row r="524" spans="1:12" x14ac:dyDescent="0.35">
      <c r="A524" s="1" t="s">
        <v>747</v>
      </c>
      <c r="B524" s="1" t="s">
        <v>217</v>
      </c>
      <c r="C524" s="1" t="s">
        <v>61</v>
      </c>
      <c r="D524" s="1" t="s">
        <v>62</v>
      </c>
      <c r="E524" s="1" t="s">
        <v>46</v>
      </c>
      <c r="F524" s="1" t="s">
        <v>17</v>
      </c>
      <c r="G524" s="1" t="s">
        <v>26</v>
      </c>
      <c r="H524" s="1">
        <v>8988</v>
      </c>
      <c r="I524" s="1" t="s">
        <v>27</v>
      </c>
      <c r="J524" s="1"/>
      <c r="K524" s="1">
        <v>9000</v>
      </c>
      <c r="L524" s="2">
        <v>45330</v>
      </c>
    </row>
    <row r="525" spans="1:12" x14ac:dyDescent="0.35">
      <c r="A525" s="1" t="s">
        <v>748</v>
      </c>
      <c r="B525" s="1" t="s">
        <v>711</v>
      </c>
      <c r="C525" s="1" t="s">
        <v>44</v>
      </c>
      <c r="D525" s="1" t="s">
        <v>45</v>
      </c>
      <c r="E525" s="1" t="s">
        <v>46</v>
      </c>
      <c r="F525" s="1" t="s">
        <v>17</v>
      </c>
      <c r="G525" s="1" t="s">
        <v>18</v>
      </c>
      <c r="H525" s="1">
        <v>13532</v>
      </c>
      <c r="I525" s="1" t="s">
        <v>27</v>
      </c>
      <c r="J525" s="1"/>
      <c r="K525" s="1">
        <v>13000</v>
      </c>
      <c r="L525" s="2">
        <v>45335</v>
      </c>
    </row>
    <row r="526" spans="1:12" x14ac:dyDescent="0.35">
      <c r="A526" s="1" t="s">
        <v>749</v>
      </c>
      <c r="B526" s="1" t="s">
        <v>127</v>
      </c>
      <c r="C526" s="1" t="s">
        <v>14</v>
      </c>
      <c r="D526" s="1" t="s">
        <v>15</v>
      </c>
      <c r="E526" s="1" t="s">
        <v>46</v>
      </c>
      <c r="F526" s="1" t="s">
        <v>17</v>
      </c>
      <c r="G526" s="1" t="s">
        <v>26</v>
      </c>
      <c r="H526" s="1">
        <v>12973</v>
      </c>
      <c r="I526" s="1" t="s">
        <v>22</v>
      </c>
      <c r="J526" s="1">
        <v>0.1</v>
      </c>
      <c r="K526" s="1">
        <v>14000</v>
      </c>
      <c r="L526" s="2">
        <v>45339</v>
      </c>
    </row>
    <row r="527" spans="1:12" x14ac:dyDescent="0.35">
      <c r="A527" s="1" t="s">
        <v>750</v>
      </c>
      <c r="B527" s="1" t="s">
        <v>123</v>
      </c>
      <c r="C527" s="1" t="s">
        <v>30</v>
      </c>
      <c r="D527" s="1" t="s">
        <v>31</v>
      </c>
      <c r="E527" s="1" t="s">
        <v>32</v>
      </c>
      <c r="F527" s="1" t="s">
        <v>17</v>
      </c>
      <c r="G527" s="1" t="s">
        <v>36</v>
      </c>
      <c r="H527" s="1">
        <v>16273</v>
      </c>
      <c r="I527" s="1" t="s">
        <v>33</v>
      </c>
      <c r="J527" s="1">
        <v>0.3</v>
      </c>
      <c r="K527" s="1">
        <v>17000</v>
      </c>
      <c r="L527" s="2">
        <v>45345</v>
      </c>
    </row>
    <row r="528" spans="1:12" x14ac:dyDescent="0.35">
      <c r="A528" s="1" t="s">
        <v>751</v>
      </c>
      <c r="B528" s="1" t="s">
        <v>752</v>
      </c>
      <c r="C528" s="1" t="s">
        <v>14</v>
      </c>
      <c r="D528" s="1" t="s">
        <v>15</v>
      </c>
      <c r="E528" s="1" t="s">
        <v>32</v>
      </c>
      <c r="F528" s="1" t="s">
        <v>25</v>
      </c>
      <c r="G528" s="1" t="s">
        <v>36</v>
      </c>
      <c r="H528" s="1">
        <v>15990</v>
      </c>
      <c r="I528" s="1"/>
      <c r="J528" s="1"/>
      <c r="K528" s="1">
        <v>14000</v>
      </c>
      <c r="L528" s="2">
        <v>45341</v>
      </c>
    </row>
    <row r="529" spans="1:12" x14ac:dyDescent="0.35">
      <c r="A529" s="1" t="s">
        <v>753</v>
      </c>
      <c r="B529" s="1" t="s">
        <v>303</v>
      </c>
      <c r="C529" s="1" t="s">
        <v>30</v>
      </c>
      <c r="D529" s="1" t="s">
        <v>31</v>
      </c>
      <c r="E529" s="1" t="s">
        <v>16</v>
      </c>
      <c r="F529" s="1" t="s">
        <v>17</v>
      </c>
      <c r="G529" s="1" t="s">
        <v>26</v>
      </c>
      <c r="H529" s="1">
        <v>17644</v>
      </c>
      <c r="I529" s="1" t="s">
        <v>22</v>
      </c>
      <c r="J529" s="1">
        <v>0.1</v>
      </c>
      <c r="K529" s="1">
        <v>17000</v>
      </c>
      <c r="L529" s="2">
        <v>45304</v>
      </c>
    </row>
    <row r="530" spans="1:12" x14ac:dyDescent="0.35">
      <c r="A530" s="1" t="s">
        <v>754</v>
      </c>
      <c r="B530" s="1" t="s">
        <v>211</v>
      </c>
      <c r="C530" s="1" t="s">
        <v>61</v>
      </c>
      <c r="D530" s="1" t="s">
        <v>62</v>
      </c>
      <c r="E530" s="1" t="s">
        <v>16</v>
      </c>
      <c r="F530" s="1" t="s">
        <v>17</v>
      </c>
      <c r="G530" s="1" t="s">
        <v>26</v>
      </c>
      <c r="H530" s="1">
        <v>10552</v>
      </c>
      <c r="I530" s="1" t="s">
        <v>33</v>
      </c>
      <c r="J530" s="1">
        <v>0.3</v>
      </c>
      <c r="K530" s="1">
        <v>9000</v>
      </c>
      <c r="L530" s="2">
        <v>45344</v>
      </c>
    </row>
    <row r="531" spans="1:12" x14ac:dyDescent="0.35">
      <c r="A531" s="1" t="s">
        <v>755</v>
      </c>
      <c r="B531" s="1" t="s">
        <v>166</v>
      </c>
      <c r="C531" s="1" t="s">
        <v>44</v>
      </c>
      <c r="D531" s="1" t="s">
        <v>45</v>
      </c>
      <c r="E531" s="1" t="s">
        <v>32</v>
      </c>
      <c r="F531" s="1" t="s">
        <v>17</v>
      </c>
      <c r="G531" s="1" t="s">
        <v>26</v>
      </c>
      <c r="H531" s="1">
        <v>13075</v>
      </c>
      <c r="I531" s="1"/>
      <c r="J531" s="1"/>
      <c r="K531" s="1">
        <v>13000</v>
      </c>
      <c r="L531" s="2">
        <v>45300</v>
      </c>
    </row>
    <row r="532" spans="1:12" x14ac:dyDescent="0.35">
      <c r="A532" s="1" t="s">
        <v>756</v>
      </c>
      <c r="B532" s="1" t="s">
        <v>140</v>
      </c>
      <c r="C532" s="1" t="s">
        <v>14</v>
      </c>
      <c r="D532" s="1" t="s">
        <v>15</v>
      </c>
      <c r="E532" s="1" t="s">
        <v>32</v>
      </c>
      <c r="F532" s="1" t="s">
        <v>25</v>
      </c>
      <c r="G532" s="1" t="s">
        <v>18</v>
      </c>
      <c r="H532" s="1">
        <v>15428</v>
      </c>
      <c r="I532" s="1" t="s">
        <v>22</v>
      </c>
      <c r="J532" s="1">
        <v>0.1</v>
      </c>
      <c r="K532" s="1">
        <v>14000</v>
      </c>
      <c r="L532" s="2">
        <v>45307</v>
      </c>
    </row>
    <row r="533" spans="1:12" x14ac:dyDescent="0.35">
      <c r="A533" s="1" t="s">
        <v>757</v>
      </c>
      <c r="B533" s="1" t="s">
        <v>489</v>
      </c>
      <c r="C533" s="1" t="s">
        <v>14</v>
      </c>
      <c r="D533" s="1" t="s">
        <v>15</v>
      </c>
      <c r="E533" s="1" t="s">
        <v>46</v>
      </c>
      <c r="F533" s="1" t="s">
        <v>39</v>
      </c>
      <c r="G533" s="1" t="s">
        <v>18</v>
      </c>
      <c r="H533" s="1">
        <v>13122</v>
      </c>
      <c r="I533" s="1" t="s">
        <v>33</v>
      </c>
      <c r="J533" s="1">
        <v>0.3</v>
      </c>
      <c r="K533" s="1">
        <v>14000</v>
      </c>
      <c r="L533" s="2">
        <v>45344</v>
      </c>
    </row>
    <row r="534" spans="1:12" x14ac:dyDescent="0.35">
      <c r="A534" s="1" t="s">
        <v>758</v>
      </c>
      <c r="B534" s="1" t="s">
        <v>330</v>
      </c>
      <c r="C534" s="1" t="s">
        <v>61</v>
      </c>
      <c r="D534" s="1" t="s">
        <v>62</v>
      </c>
      <c r="E534" s="1" t="s">
        <v>16</v>
      </c>
      <c r="F534" s="1" t="s">
        <v>25</v>
      </c>
      <c r="G534" s="1" t="s">
        <v>26</v>
      </c>
      <c r="H534" s="1">
        <v>7125</v>
      </c>
      <c r="I534" s="1" t="s">
        <v>19</v>
      </c>
      <c r="J534" s="1">
        <v>0.2</v>
      </c>
      <c r="K534" s="1">
        <v>9000</v>
      </c>
      <c r="L534" s="2">
        <v>45315</v>
      </c>
    </row>
    <row r="535" spans="1:12" x14ac:dyDescent="0.35">
      <c r="A535" s="1" t="s">
        <v>759</v>
      </c>
      <c r="B535" s="1" t="s">
        <v>600</v>
      </c>
      <c r="C535" s="1" t="s">
        <v>61</v>
      </c>
      <c r="D535" s="1" t="s">
        <v>62</v>
      </c>
      <c r="E535" s="1" t="s">
        <v>32</v>
      </c>
      <c r="F535" s="1" t="s">
        <v>17</v>
      </c>
      <c r="G535" s="1" t="s">
        <v>26</v>
      </c>
      <c r="H535" s="1">
        <v>9258</v>
      </c>
      <c r="I535" s="1" t="s">
        <v>33</v>
      </c>
      <c r="J535" s="1">
        <v>0.3</v>
      </c>
      <c r="K535" s="1">
        <v>9000</v>
      </c>
      <c r="L535" s="2">
        <v>45314</v>
      </c>
    </row>
    <row r="536" spans="1:12" x14ac:dyDescent="0.35">
      <c r="A536" s="1" t="s">
        <v>760</v>
      </c>
      <c r="B536" s="1" t="s">
        <v>619</v>
      </c>
      <c r="C536" s="1" t="s">
        <v>30</v>
      </c>
      <c r="D536" s="1" t="s">
        <v>31</v>
      </c>
      <c r="E536" s="1" t="s">
        <v>16</v>
      </c>
      <c r="F536" s="1" t="s">
        <v>39</v>
      </c>
      <c r="G536" s="1" t="s">
        <v>18</v>
      </c>
      <c r="H536" s="1">
        <v>16167</v>
      </c>
      <c r="I536" s="1" t="s">
        <v>22</v>
      </c>
      <c r="J536" s="1">
        <v>0.1</v>
      </c>
      <c r="K536" s="1">
        <v>17000</v>
      </c>
      <c r="L536" s="2">
        <v>45316</v>
      </c>
    </row>
    <row r="537" spans="1:12" x14ac:dyDescent="0.35">
      <c r="A537" s="1" t="s">
        <v>761</v>
      </c>
      <c r="B537" s="1" t="s">
        <v>243</v>
      </c>
      <c r="C537" s="1" t="s">
        <v>44</v>
      </c>
      <c r="D537" s="1" t="s">
        <v>45</v>
      </c>
      <c r="E537" s="1" t="s">
        <v>32</v>
      </c>
      <c r="F537" s="1" t="s">
        <v>39</v>
      </c>
      <c r="G537" s="1" t="s">
        <v>18</v>
      </c>
      <c r="H537" s="1">
        <v>13775</v>
      </c>
      <c r="I537" s="1" t="s">
        <v>19</v>
      </c>
      <c r="J537" s="1">
        <v>0.2</v>
      </c>
      <c r="K537" s="1">
        <v>13000</v>
      </c>
      <c r="L537" s="2">
        <v>45309</v>
      </c>
    </row>
    <row r="538" spans="1:12" x14ac:dyDescent="0.35">
      <c r="A538" s="1" t="s">
        <v>762</v>
      </c>
      <c r="B538" s="1" t="s">
        <v>90</v>
      </c>
      <c r="C538" s="1" t="s">
        <v>14</v>
      </c>
      <c r="D538" s="1" t="s">
        <v>15</v>
      </c>
      <c r="E538" s="1" t="s">
        <v>16</v>
      </c>
      <c r="F538" s="1" t="s">
        <v>25</v>
      </c>
      <c r="G538" s="1" t="s">
        <v>36</v>
      </c>
      <c r="H538" s="1">
        <v>15733</v>
      </c>
      <c r="I538" s="1" t="s">
        <v>19</v>
      </c>
      <c r="J538" s="1">
        <v>0.2</v>
      </c>
      <c r="K538" s="1">
        <v>14000</v>
      </c>
      <c r="L538" s="2">
        <v>45333</v>
      </c>
    </row>
    <row r="539" spans="1:12" x14ac:dyDescent="0.35">
      <c r="A539" s="1" t="s">
        <v>763</v>
      </c>
      <c r="B539" s="1" t="s">
        <v>720</v>
      </c>
      <c r="C539" s="1" t="s">
        <v>14</v>
      </c>
      <c r="D539" s="1" t="s">
        <v>15</v>
      </c>
      <c r="E539" s="1" t="s">
        <v>32</v>
      </c>
      <c r="F539" s="1" t="s">
        <v>17</v>
      </c>
      <c r="G539" s="1" t="s">
        <v>26</v>
      </c>
      <c r="H539" s="1">
        <v>15297</v>
      </c>
      <c r="I539" s="1" t="s">
        <v>33</v>
      </c>
      <c r="J539" s="1">
        <v>0.3</v>
      </c>
      <c r="K539" s="1">
        <v>14000</v>
      </c>
      <c r="L539" s="2">
        <v>45337</v>
      </c>
    </row>
    <row r="540" spans="1:12" x14ac:dyDescent="0.35">
      <c r="A540" s="1" t="s">
        <v>764</v>
      </c>
      <c r="B540" s="1" t="s">
        <v>765</v>
      </c>
      <c r="C540" s="1" t="s">
        <v>30</v>
      </c>
      <c r="D540" s="1" t="s">
        <v>31</v>
      </c>
      <c r="E540" s="1" t="s">
        <v>46</v>
      </c>
      <c r="F540" s="1" t="s">
        <v>17</v>
      </c>
      <c r="G540" s="1" t="s">
        <v>36</v>
      </c>
      <c r="H540" s="1">
        <v>16880</v>
      </c>
      <c r="I540" s="1" t="s">
        <v>33</v>
      </c>
      <c r="J540" s="1">
        <v>0.3</v>
      </c>
      <c r="K540" s="1">
        <v>17000</v>
      </c>
      <c r="L540" s="2">
        <v>45305</v>
      </c>
    </row>
    <row r="541" spans="1:12" x14ac:dyDescent="0.35">
      <c r="A541" s="1" t="s">
        <v>766</v>
      </c>
      <c r="B541" s="1" t="s">
        <v>123</v>
      </c>
      <c r="C541" s="1" t="s">
        <v>61</v>
      </c>
      <c r="D541" s="1" t="s">
        <v>62</v>
      </c>
      <c r="E541" s="1" t="s">
        <v>16</v>
      </c>
      <c r="F541" s="1" t="s">
        <v>25</v>
      </c>
      <c r="G541" s="1" t="s">
        <v>18</v>
      </c>
      <c r="H541" s="1">
        <v>9095</v>
      </c>
      <c r="I541" s="1" t="s">
        <v>33</v>
      </c>
      <c r="J541" s="1">
        <v>0.3</v>
      </c>
      <c r="K541" s="1">
        <v>9000</v>
      </c>
      <c r="L541" s="2">
        <v>45327</v>
      </c>
    </row>
    <row r="542" spans="1:12" x14ac:dyDescent="0.35">
      <c r="A542" s="1" t="s">
        <v>767</v>
      </c>
      <c r="B542" s="1" t="s">
        <v>163</v>
      </c>
      <c r="C542" s="1" t="s">
        <v>30</v>
      </c>
      <c r="D542" s="1" t="s">
        <v>31</v>
      </c>
      <c r="E542" s="1" t="s">
        <v>46</v>
      </c>
      <c r="F542" s="1" t="s">
        <v>39</v>
      </c>
      <c r="G542" s="1" t="s">
        <v>18</v>
      </c>
      <c r="H542" s="1">
        <v>16973</v>
      </c>
      <c r="I542" s="1" t="s">
        <v>22</v>
      </c>
      <c r="J542" s="1">
        <v>0.1</v>
      </c>
      <c r="K542" s="1">
        <v>17000</v>
      </c>
      <c r="L542" s="2">
        <v>45313</v>
      </c>
    </row>
    <row r="543" spans="1:12" x14ac:dyDescent="0.35">
      <c r="A543" s="1" t="s">
        <v>768</v>
      </c>
      <c r="B543" s="1" t="s">
        <v>286</v>
      </c>
      <c r="C543" s="1" t="s">
        <v>30</v>
      </c>
      <c r="D543" s="1" t="s">
        <v>31</v>
      </c>
      <c r="E543" s="1" t="s">
        <v>46</v>
      </c>
      <c r="F543" s="1" t="s">
        <v>17</v>
      </c>
      <c r="G543" s="1" t="s">
        <v>26</v>
      </c>
      <c r="H543" s="1">
        <v>17912</v>
      </c>
      <c r="I543" s="1" t="s">
        <v>33</v>
      </c>
      <c r="J543" s="1">
        <v>0.3</v>
      </c>
      <c r="K543" s="1">
        <v>17000</v>
      </c>
      <c r="L543" s="2">
        <v>45304</v>
      </c>
    </row>
    <row r="544" spans="1:12" x14ac:dyDescent="0.35">
      <c r="A544" s="1" t="s">
        <v>769</v>
      </c>
      <c r="B544" s="1" t="s">
        <v>440</v>
      </c>
      <c r="C544" s="1" t="s">
        <v>44</v>
      </c>
      <c r="D544" s="1" t="s">
        <v>45</v>
      </c>
      <c r="E544" s="1" t="s">
        <v>32</v>
      </c>
      <c r="F544" s="1" t="s">
        <v>39</v>
      </c>
      <c r="G544" s="1" t="s">
        <v>36</v>
      </c>
      <c r="H544" s="1">
        <v>13705</v>
      </c>
      <c r="I544" s="1" t="s">
        <v>33</v>
      </c>
      <c r="J544" s="1">
        <v>0.3</v>
      </c>
      <c r="K544" s="1">
        <v>13000</v>
      </c>
      <c r="L544" s="2">
        <v>45335</v>
      </c>
    </row>
    <row r="545" spans="1:12" x14ac:dyDescent="0.35">
      <c r="A545" s="1" t="s">
        <v>770</v>
      </c>
      <c r="B545" s="1" t="s">
        <v>280</v>
      </c>
      <c r="C545" s="1" t="s">
        <v>14</v>
      </c>
      <c r="D545" s="1" t="s">
        <v>15</v>
      </c>
      <c r="E545" s="1" t="s">
        <v>16</v>
      </c>
      <c r="F545" s="1" t="s">
        <v>17</v>
      </c>
      <c r="G545" s="1" t="s">
        <v>36</v>
      </c>
      <c r="H545" s="1">
        <v>13062</v>
      </c>
      <c r="I545" s="1"/>
      <c r="J545" s="1"/>
      <c r="K545" s="1">
        <v>14000</v>
      </c>
      <c r="L545" s="2">
        <v>45317</v>
      </c>
    </row>
    <row r="546" spans="1:12" x14ac:dyDescent="0.35">
      <c r="A546" s="1" t="s">
        <v>771</v>
      </c>
      <c r="B546" s="1" t="s">
        <v>101</v>
      </c>
      <c r="C546" s="1" t="s">
        <v>14</v>
      </c>
      <c r="D546" s="1" t="s">
        <v>15</v>
      </c>
      <c r="E546" s="1" t="s">
        <v>16</v>
      </c>
      <c r="F546" s="1" t="s">
        <v>39</v>
      </c>
      <c r="G546" s="1" t="s">
        <v>26</v>
      </c>
      <c r="H546" s="1">
        <v>15342</v>
      </c>
      <c r="I546" s="1" t="s">
        <v>19</v>
      </c>
      <c r="J546" s="1">
        <v>0.2</v>
      </c>
      <c r="K546" s="1">
        <v>14000</v>
      </c>
      <c r="L546" s="2">
        <v>45313</v>
      </c>
    </row>
    <row r="547" spans="1:12" x14ac:dyDescent="0.35">
      <c r="A547" s="1" t="s">
        <v>772</v>
      </c>
      <c r="B547" s="1" t="s">
        <v>342</v>
      </c>
      <c r="C547" s="1" t="s">
        <v>44</v>
      </c>
      <c r="D547" s="1" t="s">
        <v>45</v>
      </c>
      <c r="E547" s="1" t="s">
        <v>16</v>
      </c>
      <c r="F547" s="1" t="s">
        <v>39</v>
      </c>
      <c r="G547" s="1" t="s">
        <v>26</v>
      </c>
      <c r="H547" s="1">
        <v>14214</v>
      </c>
      <c r="I547" s="1"/>
      <c r="J547" s="1"/>
      <c r="K547" s="1">
        <v>13000</v>
      </c>
      <c r="L547" s="2">
        <v>45350</v>
      </c>
    </row>
    <row r="548" spans="1:12" x14ac:dyDescent="0.35">
      <c r="A548" s="1" t="s">
        <v>773</v>
      </c>
      <c r="B548" s="1" t="s">
        <v>317</v>
      </c>
      <c r="C548" s="1" t="s">
        <v>30</v>
      </c>
      <c r="D548" s="1" t="s">
        <v>31</v>
      </c>
      <c r="E548" s="1" t="s">
        <v>32</v>
      </c>
      <c r="F548" s="1" t="s">
        <v>39</v>
      </c>
      <c r="G548" s="1" t="s">
        <v>26</v>
      </c>
      <c r="H548" s="1">
        <v>15741</v>
      </c>
      <c r="I548" s="1" t="s">
        <v>33</v>
      </c>
      <c r="J548" s="1">
        <v>0.3</v>
      </c>
      <c r="K548" s="1">
        <v>17000</v>
      </c>
      <c r="L548" s="2">
        <v>45298</v>
      </c>
    </row>
    <row r="549" spans="1:12" x14ac:dyDescent="0.35">
      <c r="A549" s="1" t="s">
        <v>774</v>
      </c>
      <c r="B549" s="1" t="s">
        <v>508</v>
      </c>
      <c r="C549" s="1" t="s">
        <v>30</v>
      </c>
      <c r="D549" s="1" t="s">
        <v>31</v>
      </c>
      <c r="E549" s="1" t="s">
        <v>16</v>
      </c>
      <c r="F549" s="1" t="s">
        <v>39</v>
      </c>
      <c r="G549" s="1" t="s">
        <v>18</v>
      </c>
      <c r="H549" s="1">
        <v>18878</v>
      </c>
      <c r="I549" s="1" t="s">
        <v>33</v>
      </c>
      <c r="J549" s="1">
        <v>0.3</v>
      </c>
      <c r="K549" s="1">
        <v>17000</v>
      </c>
      <c r="L549" s="2">
        <v>45333</v>
      </c>
    </row>
    <row r="550" spans="1:12" x14ac:dyDescent="0.35">
      <c r="A550" s="1" t="s">
        <v>775</v>
      </c>
      <c r="B550" s="1" t="s">
        <v>248</v>
      </c>
      <c r="C550" s="1" t="s">
        <v>30</v>
      </c>
      <c r="D550" s="1" t="s">
        <v>31</v>
      </c>
      <c r="E550" s="1" t="s">
        <v>32</v>
      </c>
      <c r="F550" s="1" t="s">
        <v>39</v>
      </c>
      <c r="G550" s="1" t="s">
        <v>36</v>
      </c>
      <c r="H550" s="1">
        <v>16722</v>
      </c>
      <c r="I550" s="1" t="s">
        <v>33</v>
      </c>
      <c r="J550" s="1">
        <v>0.3</v>
      </c>
      <c r="K550" s="1">
        <v>17000</v>
      </c>
      <c r="L550" s="2">
        <v>45315</v>
      </c>
    </row>
    <row r="551" spans="1:12" x14ac:dyDescent="0.35">
      <c r="A551" s="1" t="s">
        <v>776</v>
      </c>
      <c r="B551" s="1" t="s">
        <v>118</v>
      </c>
      <c r="C551" s="1" t="s">
        <v>30</v>
      </c>
      <c r="D551" s="1" t="s">
        <v>31</v>
      </c>
      <c r="E551" s="1" t="s">
        <v>46</v>
      </c>
      <c r="F551" s="1" t="s">
        <v>25</v>
      </c>
      <c r="G551" s="1" t="s">
        <v>36</v>
      </c>
      <c r="H551" s="1">
        <v>15219</v>
      </c>
      <c r="I551" s="1" t="s">
        <v>27</v>
      </c>
      <c r="J551" s="1"/>
      <c r="K551" s="1">
        <v>17000</v>
      </c>
      <c r="L551" s="2">
        <v>45329</v>
      </c>
    </row>
    <row r="552" spans="1:12" x14ac:dyDescent="0.35">
      <c r="A552" s="1" t="s">
        <v>777</v>
      </c>
      <c r="B552" s="1" t="s">
        <v>107</v>
      </c>
      <c r="C552" s="1" t="s">
        <v>61</v>
      </c>
      <c r="D552" s="1" t="s">
        <v>62</v>
      </c>
      <c r="E552" s="1" t="s">
        <v>32</v>
      </c>
      <c r="F552" s="1" t="s">
        <v>39</v>
      </c>
      <c r="G552" s="1" t="s">
        <v>18</v>
      </c>
      <c r="H552" s="1">
        <v>10553</v>
      </c>
      <c r="I552" s="1"/>
      <c r="J552" s="1"/>
      <c r="K552" s="1">
        <v>9000</v>
      </c>
      <c r="L552" s="2">
        <v>45325</v>
      </c>
    </row>
    <row r="553" spans="1:12" x14ac:dyDescent="0.35">
      <c r="A553" s="1" t="s">
        <v>778</v>
      </c>
      <c r="B553" s="1" t="s">
        <v>70</v>
      </c>
      <c r="C553" s="1" t="s">
        <v>14</v>
      </c>
      <c r="D553" s="1" t="s">
        <v>15</v>
      </c>
      <c r="E553" s="1" t="s">
        <v>32</v>
      </c>
      <c r="F553" s="1" t="s">
        <v>25</v>
      </c>
      <c r="G553" s="1" t="s">
        <v>18</v>
      </c>
      <c r="H553" s="1">
        <v>13403</v>
      </c>
      <c r="I553" s="1"/>
      <c r="J553" s="1"/>
      <c r="K553" s="1">
        <v>14000</v>
      </c>
      <c r="L553" s="2">
        <v>45328</v>
      </c>
    </row>
    <row r="554" spans="1:12" x14ac:dyDescent="0.35">
      <c r="A554" s="1" t="s">
        <v>779</v>
      </c>
      <c r="B554" s="1" t="s">
        <v>445</v>
      </c>
      <c r="C554" s="1" t="s">
        <v>44</v>
      </c>
      <c r="D554" s="1" t="s">
        <v>45</v>
      </c>
      <c r="E554" s="1" t="s">
        <v>46</v>
      </c>
      <c r="F554" s="1" t="s">
        <v>39</v>
      </c>
      <c r="G554" s="1" t="s">
        <v>18</v>
      </c>
      <c r="H554" s="1">
        <v>14190</v>
      </c>
      <c r="I554" s="1" t="s">
        <v>22</v>
      </c>
      <c r="J554" s="1">
        <v>0.1</v>
      </c>
      <c r="K554" s="1">
        <v>13000</v>
      </c>
      <c r="L554" s="2">
        <v>45323</v>
      </c>
    </row>
    <row r="555" spans="1:12" x14ac:dyDescent="0.35">
      <c r="A555" s="1" t="s">
        <v>780</v>
      </c>
      <c r="B555" s="1" t="s">
        <v>150</v>
      </c>
      <c r="C555" s="1" t="s">
        <v>44</v>
      </c>
      <c r="D555" s="1" t="s">
        <v>45</v>
      </c>
      <c r="E555" s="1" t="s">
        <v>46</v>
      </c>
      <c r="F555" s="1" t="s">
        <v>39</v>
      </c>
      <c r="G555" s="1" t="s">
        <v>18</v>
      </c>
      <c r="H555" s="1">
        <v>11019</v>
      </c>
      <c r="I555" s="1"/>
      <c r="J555" s="1"/>
      <c r="K555" s="1">
        <v>13000</v>
      </c>
      <c r="L555" s="2">
        <v>45309</v>
      </c>
    </row>
    <row r="556" spans="1:12" x14ac:dyDescent="0.35">
      <c r="A556" s="1" t="s">
        <v>781</v>
      </c>
      <c r="B556" s="1" t="s">
        <v>401</v>
      </c>
      <c r="C556" s="1" t="s">
        <v>44</v>
      </c>
      <c r="D556" s="1" t="s">
        <v>45</v>
      </c>
      <c r="E556" s="1" t="s">
        <v>16</v>
      </c>
      <c r="F556" s="1" t="s">
        <v>25</v>
      </c>
      <c r="G556" s="1" t="s">
        <v>36</v>
      </c>
      <c r="H556" s="1">
        <v>14216</v>
      </c>
      <c r="I556" s="1" t="s">
        <v>22</v>
      </c>
      <c r="J556" s="1">
        <v>0.1</v>
      </c>
      <c r="K556" s="1">
        <v>13000</v>
      </c>
      <c r="L556" s="2">
        <v>45300</v>
      </c>
    </row>
    <row r="557" spans="1:12" x14ac:dyDescent="0.35">
      <c r="A557" s="1" t="s">
        <v>782</v>
      </c>
      <c r="B557" s="1" t="s">
        <v>337</v>
      </c>
      <c r="C557" s="1" t="s">
        <v>61</v>
      </c>
      <c r="D557" s="1" t="s">
        <v>62</v>
      </c>
      <c r="E557" s="1" t="s">
        <v>46</v>
      </c>
      <c r="F557" s="1" t="s">
        <v>17</v>
      </c>
      <c r="G557" s="1" t="s">
        <v>36</v>
      </c>
      <c r="H557" s="1">
        <v>8570</v>
      </c>
      <c r="I557" s="1" t="s">
        <v>22</v>
      </c>
      <c r="J557" s="1">
        <v>0.1</v>
      </c>
      <c r="K557" s="1">
        <v>9000</v>
      </c>
      <c r="L557" s="2">
        <v>45294</v>
      </c>
    </row>
    <row r="558" spans="1:12" x14ac:dyDescent="0.35">
      <c r="A558" s="1" t="s">
        <v>783</v>
      </c>
      <c r="B558" s="1" t="s">
        <v>346</v>
      </c>
      <c r="C558" s="1" t="s">
        <v>30</v>
      </c>
      <c r="D558" s="1" t="s">
        <v>31</v>
      </c>
      <c r="E558" s="1" t="s">
        <v>32</v>
      </c>
      <c r="F558" s="1" t="s">
        <v>17</v>
      </c>
      <c r="G558" s="1" t="s">
        <v>26</v>
      </c>
      <c r="H558" s="1">
        <v>15780</v>
      </c>
      <c r="I558" s="1" t="s">
        <v>22</v>
      </c>
      <c r="J558" s="1">
        <v>0.1</v>
      </c>
      <c r="K558" s="1">
        <v>17000</v>
      </c>
      <c r="L558" s="2">
        <v>45335</v>
      </c>
    </row>
    <row r="559" spans="1:12" x14ac:dyDescent="0.35">
      <c r="A559" s="1" t="s">
        <v>784</v>
      </c>
      <c r="B559" s="1" t="s">
        <v>68</v>
      </c>
      <c r="C559" s="1" t="s">
        <v>44</v>
      </c>
      <c r="D559" s="1" t="s">
        <v>45</v>
      </c>
      <c r="E559" s="1" t="s">
        <v>32</v>
      </c>
      <c r="F559" s="1" t="s">
        <v>39</v>
      </c>
      <c r="G559" s="1" t="s">
        <v>36</v>
      </c>
      <c r="H559" s="1">
        <v>12278</v>
      </c>
      <c r="I559" s="1" t="s">
        <v>19</v>
      </c>
      <c r="J559" s="1">
        <v>0.2</v>
      </c>
      <c r="K559" s="1">
        <v>13000</v>
      </c>
      <c r="L559" s="2">
        <v>45298</v>
      </c>
    </row>
    <row r="560" spans="1:12" x14ac:dyDescent="0.35">
      <c r="A560" s="1" t="s">
        <v>785</v>
      </c>
      <c r="B560" s="1" t="s">
        <v>512</v>
      </c>
      <c r="C560" s="1" t="s">
        <v>30</v>
      </c>
      <c r="D560" s="1" t="s">
        <v>31</v>
      </c>
      <c r="E560" s="1" t="s">
        <v>32</v>
      </c>
      <c r="F560" s="1" t="s">
        <v>25</v>
      </c>
      <c r="G560" s="1" t="s">
        <v>18</v>
      </c>
      <c r="H560" s="1">
        <v>16221</v>
      </c>
      <c r="I560" s="1" t="s">
        <v>33</v>
      </c>
      <c r="J560" s="1">
        <v>0.3</v>
      </c>
      <c r="K560" s="1">
        <v>17000</v>
      </c>
      <c r="L560" s="2">
        <v>45321</v>
      </c>
    </row>
    <row r="561" spans="1:12" x14ac:dyDescent="0.35">
      <c r="A561" s="1" t="s">
        <v>786</v>
      </c>
      <c r="B561" s="1" t="s">
        <v>103</v>
      </c>
      <c r="C561" s="1" t="s">
        <v>30</v>
      </c>
      <c r="D561" s="1" t="s">
        <v>31</v>
      </c>
      <c r="E561" s="1" t="s">
        <v>46</v>
      </c>
      <c r="F561" s="1" t="s">
        <v>39</v>
      </c>
      <c r="G561" s="1" t="s">
        <v>18</v>
      </c>
      <c r="H561" s="1">
        <v>16403</v>
      </c>
      <c r="I561" s="1"/>
      <c r="J561" s="1"/>
      <c r="K561" s="1">
        <v>17000</v>
      </c>
      <c r="L561" s="2">
        <v>45314</v>
      </c>
    </row>
    <row r="562" spans="1:12" x14ac:dyDescent="0.35">
      <c r="A562" s="1" t="s">
        <v>787</v>
      </c>
      <c r="B562" s="1" t="s">
        <v>294</v>
      </c>
      <c r="C562" s="1" t="s">
        <v>44</v>
      </c>
      <c r="D562" s="1" t="s">
        <v>45</v>
      </c>
      <c r="E562" s="1" t="s">
        <v>46</v>
      </c>
      <c r="F562" s="1" t="s">
        <v>25</v>
      </c>
      <c r="G562" s="1" t="s">
        <v>18</v>
      </c>
      <c r="H562" s="1">
        <v>11918</v>
      </c>
      <c r="I562" s="1" t="s">
        <v>19</v>
      </c>
      <c r="J562" s="1">
        <v>0.2</v>
      </c>
      <c r="K562" s="1">
        <v>13000</v>
      </c>
      <c r="L562" s="2">
        <v>45305</v>
      </c>
    </row>
    <row r="563" spans="1:12" x14ac:dyDescent="0.35">
      <c r="A563" s="1" t="s">
        <v>788</v>
      </c>
      <c r="B563" s="1" t="s">
        <v>464</v>
      </c>
      <c r="C563" s="1" t="s">
        <v>44</v>
      </c>
      <c r="D563" s="1" t="s">
        <v>45</v>
      </c>
      <c r="E563" s="1" t="s">
        <v>32</v>
      </c>
      <c r="F563" s="1" t="s">
        <v>17</v>
      </c>
      <c r="G563" s="1" t="s">
        <v>26</v>
      </c>
      <c r="H563" s="1">
        <v>13664</v>
      </c>
      <c r="I563" s="1" t="s">
        <v>22</v>
      </c>
      <c r="J563" s="1">
        <v>0.1</v>
      </c>
      <c r="K563" s="1">
        <v>13000</v>
      </c>
      <c r="L563" s="2">
        <v>45316</v>
      </c>
    </row>
    <row r="564" spans="1:12" x14ac:dyDescent="0.35">
      <c r="A564" s="1" t="s">
        <v>789</v>
      </c>
      <c r="B564" s="1" t="s">
        <v>50</v>
      </c>
      <c r="C564" s="1" t="s">
        <v>30</v>
      </c>
      <c r="D564" s="1" t="s">
        <v>31</v>
      </c>
      <c r="E564" s="1" t="s">
        <v>16</v>
      </c>
      <c r="F564" s="1" t="s">
        <v>39</v>
      </c>
      <c r="G564" s="1" t="s">
        <v>18</v>
      </c>
      <c r="H564" s="1">
        <v>17432</v>
      </c>
      <c r="I564" s="1" t="s">
        <v>22</v>
      </c>
      <c r="J564" s="1">
        <v>0.1</v>
      </c>
      <c r="K564" s="1">
        <v>17000</v>
      </c>
      <c r="L564" s="2">
        <v>45334</v>
      </c>
    </row>
    <row r="565" spans="1:12" x14ac:dyDescent="0.35">
      <c r="A565" s="1" t="s">
        <v>790</v>
      </c>
      <c r="B565" s="1" t="s">
        <v>21</v>
      </c>
      <c r="C565" s="1" t="s">
        <v>14</v>
      </c>
      <c r="D565" s="1" t="s">
        <v>15</v>
      </c>
      <c r="E565" s="1" t="s">
        <v>32</v>
      </c>
      <c r="F565" s="1" t="s">
        <v>39</v>
      </c>
      <c r="G565" s="1" t="s">
        <v>18</v>
      </c>
      <c r="H565" s="1">
        <v>13707</v>
      </c>
      <c r="I565" s="1"/>
      <c r="J565" s="1"/>
      <c r="K565" s="1">
        <v>14000</v>
      </c>
      <c r="L565" s="2">
        <v>45316</v>
      </c>
    </row>
    <row r="566" spans="1:12" x14ac:dyDescent="0.35">
      <c r="A566" s="1" t="s">
        <v>791</v>
      </c>
      <c r="B566" s="1" t="s">
        <v>241</v>
      </c>
      <c r="C566" s="1" t="s">
        <v>30</v>
      </c>
      <c r="D566" s="1" t="s">
        <v>31</v>
      </c>
      <c r="E566" s="1" t="s">
        <v>46</v>
      </c>
      <c r="F566" s="1" t="s">
        <v>39</v>
      </c>
      <c r="G566" s="1" t="s">
        <v>18</v>
      </c>
      <c r="H566" s="1">
        <v>15841</v>
      </c>
      <c r="I566" s="1" t="s">
        <v>22</v>
      </c>
      <c r="J566" s="1">
        <v>0.1</v>
      </c>
      <c r="K566" s="1">
        <v>17000</v>
      </c>
      <c r="L566" s="2">
        <v>45311</v>
      </c>
    </row>
    <row r="567" spans="1:12" x14ac:dyDescent="0.35">
      <c r="A567" s="1" t="s">
        <v>792</v>
      </c>
      <c r="B567" s="1" t="s">
        <v>274</v>
      </c>
      <c r="C567" s="1" t="s">
        <v>14</v>
      </c>
      <c r="D567" s="1" t="s">
        <v>15</v>
      </c>
      <c r="E567" s="1" t="s">
        <v>16</v>
      </c>
      <c r="F567" s="1" t="s">
        <v>39</v>
      </c>
      <c r="G567" s="1" t="s">
        <v>36</v>
      </c>
      <c r="H567" s="1">
        <v>14550</v>
      </c>
      <c r="I567" s="1" t="s">
        <v>27</v>
      </c>
      <c r="J567" s="1"/>
      <c r="K567" s="1">
        <v>14000</v>
      </c>
      <c r="L567" s="2">
        <v>45336</v>
      </c>
    </row>
    <row r="568" spans="1:12" x14ac:dyDescent="0.35">
      <c r="A568" s="1" t="s">
        <v>793</v>
      </c>
      <c r="B568" s="1" t="s">
        <v>363</v>
      </c>
      <c r="C568" s="1" t="s">
        <v>14</v>
      </c>
      <c r="D568" s="1" t="s">
        <v>15</v>
      </c>
      <c r="E568" s="1" t="s">
        <v>16</v>
      </c>
      <c r="F568" s="1" t="s">
        <v>39</v>
      </c>
      <c r="G568" s="1" t="s">
        <v>26</v>
      </c>
      <c r="H568" s="1">
        <v>12482</v>
      </c>
      <c r="I568" s="1" t="s">
        <v>33</v>
      </c>
      <c r="J568" s="1">
        <v>0.3</v>
      </c>
      <c r="K568" s="1">
        <v>14000</v>
      </c>
      <c r="L568" s="2">
        <v>45299</v>
      </c>
    </row>
    <row r="569" spans="1:12" x14ac:dyDescent="0.35">
      <c r="A569" s="1" t="s">
        <v>794</v>
      </c>
      <c r="B569" s="1" t="s">
        <v>652</v>
      </c>
      <c r="C569" s="1" t="s">
        <v>61</v>
      </c>
      <c r="D569" s="1" t="s">
        <v>62</v>
      </c>
      <c r="E569" s="1" t="s">
        <v>32</v>
      </c>
      <c r="F569" s="1" t="s">
        <v>39</v>
      </c>
      <c r="G569" s="1" t="s">
        <v>18</v>
      </c>
      <c r="H569" s="1">
        <v>10186</v>
      </c>
      <c r="I569" s="1" t="s">
        <v>33</v>
      </c>
      <c r="J569" s="1">
        <v>0.3</v>
      </c>
      <c r="K569" s="1">
        <v>9000</v>
      </c>
      <c r="L569" s="2">
        <v>45345</v>
      </c>
    </row>
    <row r="570" spans="1:12" x14ac:dyDescent="0.35">
      <c r="A570" s="1" t="s">
        <v>795</v>
      </c>
      <c r="B570" s="1" t="s">
        <v>346</v>
      </c>
      <c r="C570" s="1" t="s">
        <v>30</v>
      </c>
      <c r="D570" s="1" t="s">
        <v>31</v>
      </c>
      <c r="E570" s="1" t="s">
        <v>16</v>
      </c>
      <c r="F570" s="1" t="s">
        <v>17</v>
      </c>
      <c r="G570" s="1" t="s">
        <v>36</v>
      </c>
      <c r="H570" s="1">
        <v>15656</v>
      </c>
      <c r="I570" s="1" t="s">
        <v>22</v>
      </c>
      <c r="J570" s="1">
        <v>0.1</v>
      </c>
      <c r="K570" s="1">
        <v>17000</v>
      </c>
      <c r="L570" s="2">
        <v>45327</v>
      </c>
    </row>
    <row r="571" spans="1:12" x14ac:dyDescent="0.35">
      <c r="A571" s="1" t="s">
        <v>796</v>
      </c>
      <c r="B571" s="1" t="s">
        <v>211</v>
      </c>
      <c r="C571" s="1" t="s">
        <v>61</v>
      </c>
      <c r="D571" s="1" t="s">
        <v>62</v>
      </c>
      <c r="E571" s="1" t="s">
        <v>46</v>
      </c>
      <c r="F571" s="1" t="s">
        <v>25</v>
      </c>
      <c r="G571" s="1" t="s">
        <v>18</v>
      </c>
      <c r="H571" s="1">
        <v>7052</v>
      </c>
      <c r="I571" s="1" t="s">
        <v>22</v>
      </c>
      <c r="J571" s="1">
        <v>0.1</v>
      </c>
      <c r="K571" s="1">
        <v>9000</v>
      </c>
      <c r="L571" s="2">
        <v>45350</v>
      </c>
    </row>
    <row r="572" spans="1:12" x14ac:dyDescent="0.35">
      <c r="A572" s="1" t="s">
        <v>797</v>
      </c>
      <c r="B572" s="1" t="s">
        <v>159</v>
      </c>
      <c r="C572" s="1" t="s">
        <v>61</v>
      </c>
      <c r="D572" s="1" t="s">
        <v>62</v>
      </c>
      <c r="E572" s="1" t="s">
        <v>32</v>
      </c>
      <c r="F572" s="1" t="s">
        <v>25</v>
      </c>
      <c r="G572" s="1" t="s">
        <v>26</v>
      </c>
      <c r="H572" s="1">
        <v>7307</v>
      </c>
      <c r="I572" s="1" t="s">
        <v>22</v>
      </c>
      <c r="J572" s="1">
        <v>0.1</v>
      </c>
      <c r="K572" s="1">
        <v>9000</v>
      </c>
      <c r="L572" s="2">
        <v>45349</v>
      </c>
    </row>
    <row r="573" spans="1:12" x14ac:dyDescent="0.35">
      <c r="A573" s="1" t="s">
        <v>798</v>
      </c>
      <c r="B573" s="1" t="s">
        <v>286</v>
      </c>
      <c r="C573" s="1" t="s">
        <v>44</v>
      </c>
      <c r="D573" s="1" t="s">
        <v>45</v>
      </c>
      <c r="E573" s="1" t="s">
        <v>46</v>
      </c>
      <c r="F573" s="1" t="s">
        <v>17</v>
      </c>
      <c r="G573" s="1" t="s">
        <v>36</v>
      </c>
      <c r="H573" s="1">
        <v>12901</v>
      </c>
      <c r="I573" s="1" t="s">
        <v>22</v>
      </c>
      <c r="J573" s="1">
        <v>0.1</v>
      </c>
      <c r="K573" s="1">
        <v>13000</v>
      </c>
      <c r="L573" s="2">
        <v>45298</v>
      </c>
    </row>
    <row r="574" spans="1:12" x14ac:dyDescent="0.35">
      <c r="A574" s="1" t="s">
        <v>799</v>
      </c>
      <c r="B574" s="1" t="s">
        <v>412</v>
      </c>
      <c r="C574" s="1" t="s">
        <v>14</v>
      </c>
      <c r="D574" s="1" t="s">
        <v>15</v>
      </c>
      <c r="E574" s="1" t="s">
        <v>46</v>
      </c>
      <c r="F574" s="1" t="s">
        <v>17</v>
      </c>
      <c r="G574" s="1" t="s">
        <v>26</v>
      </c>
      <c r="H574" s="1">
        <v>13280</v>
      </c>
      <c r="I574" s="1"/>
      <c r="J574" s="1"/>
      <c r="K574" s="1">
        <v>14000</v>
      </c>
      <c r="L574" s="2">
        <v>45339</v>
      </c>
    </row>
    <row r="575" spans="1:12" x14ac:dyDescent="0.35">
      <c r="A575" s="1" t="s">
        <v>800</v>
      </c>
      <c r="B575" s="1" t="s">
        <v>78</v>
      </c>
      <c r="C575" s="1" t="s">
        <v>14</v>
      </c>
      <c r="D575" s="1" t="s">
        <v>15</v>
      </c>
      <c r="E575" s="1" t="s">
        <v>32</v>
      </c>
      <c r="F575" s="1" t="s">
        <v>25</v>
      </c>
      <c r="G575" s="1" t="s">
        <v>26</v>
      </c>
      <c r="H575" s="1">
        <v>14650</v>
      </c>
      <c r="I575" s="1" t="s">
        <v>19</v>
      </c>
      <c r="J575" s="1">
        <v>0.2</v>
      </c>
      <c r="K575" s="1">
        <v>14000</v>
      </c>
      <c r="L575" s="2">
        <v>45313</v>
      </c>
    </row>
    <row r="576" spans="1:12" x14ac:dyDescent="0.35">
      <c r="A576" s="1" t="s">
        <v>801</v>
      </c>
      <c r="B576" s="1" t="s">
        <v>802</v>
      </c>
      <c r="C576" s="1" t="s">
        <v>30</v>
      </c>
      <c r="D576" s="1" t="s">
        <v>31</v>
      </c>
      <c r="E576" s="1" t="s">
        <v>16</v>
      </c>
      <c r="F576" s="1" t="s">
        <v>25</v>
      </c>
      <c r="G576" s="1" t="s">
        <v>36</v>
      </c>
      <c r="H576" s="1">
        <v>18338</v>
      </c>
      <c r="I576" s="1" t="s">
        <v>33</v>
      </c>
      <c r="J576" s="1">
        <v>0.3</v>
      </c>
      <c r="K576" s="1">
        <v>17000</v>
      </c>
      <c r="L576" s="2">
        <v>45303</v>
      </c>
    </row>
    <row r="577" spans="1:12" x14ac:dyDescent="0.35">
      <c r="A577" s="1" t="s">
        <v>803</v>
      </c>
      <c r="B577" s="1" t="s">
        <v>66</v>
      </c>
      <c r="C577" s="1" t="s">
        <v>61</v>
      </c>
      <c r="D577" s="1" t="s">
        <v>62</v>
      </c>
      <c r="E577" s="1" t="s">
        <v>46</v>
      </c>
      <c r="F577" s="1" t="s">
        <v>17</v>
      </c>
      <c r="G577" s="1" t="s">
        <v>36</v>
      </c>
      <c r="H577" s="1">
        <v>9825</v>
      </c>
      <c r="I577" s="1"/>
      <c r="J577" s="1"/>
      <c r="K577" s="1">
        <v>9000</v>
      </c>
      <c r="L577" s="2">
        <v>45343</v>
      </c>
    </row>
    <row r="578" spans="1:12" x14ac:dyDescent="0.35">
      <c r="A578" s="1" t="s">
        <v>804</v>
      </c>
      <c r="B578" s="1" t="s">
        <v>274</v>
      </c>
      <c r="C578" s="1" t="s">
        <v>44</v>
      </c>
      <c r="D578" s="1" t="s">
        <v>45</v>
      </c>
      <c r="E578" s="1" t="s">
        <v>32</v>
      </c>
      <c r="F578" s="1" t="s">
        <v>25</v>
      </c>
      <c r="G578" s="1" t="s">
        <v>26</v>
      </c>
      <c r="H578" s="1">
        <v>13975</v>
      </c>
      <c r="I578" s="1" t="s">
        <v>22</v>
      </c>
      <c r="J578" s="1">
        <v>0.1</v>
      </c>
      <c r="K578" s="1">
        <v>13000</v>
      </c>
      <c r="L578" s="2">
        <v>45352</v>
      </c>
    </row>
    <row r="579" spans="1:12" x14ac:dyDescent="0.35">
      <c r="A579" s="1" t="s">
        <v>805</v>
      </c>
      <c r="B579" s="1" t="s">
        <v>412</v>
      </c>
      <c r="C579" s="1" t="s">
        <v>14</v>
      </c>
      <c r="D579" s="1" t="s">
        <v>15</v>
      </c>
      <c r="E579" s="1" t="s">
        <v>46</v>
      </c>
      <c r="F579" s="1" t="s">
        <v>39</v>
      </c>
      <c r="G579" s="1" t="s">
        <v>36</v>
      </c>
      <c r="H579" s="1">
        <v>15286</v>
      </c>
      <c r="I579" s="1" t="s">
        <v>27</v>
      </c>
      <c r="J579" s="1"/>
      <c r="K579" s="1">
        <v>14000</v>
      </c>
      <c r="L579" s="2">
        <v>45335</v>
      </c>
    </row>
    <row r="580" spans="1:12" x14ac:dyDescent="0.35">
      <c r="A580" s="1" t="s">
        <v>806</v>
      </c>
      <c r="B580" s="1" t="s">
        <v>508</v>
      </c>
      <c r="C580" s="1" t="s">
        <v>61</v>
      </c>
      <c r="D580" s="1" t="s">
        <v>62</v>
      </c>
      <c r="E580" s="1" t="s">
        <v>46</v>
      </c>
      <c r="F580" s="1" t="s">
        <v>39</v>
      </c>
      <c r="G580" s="1" t="s">
        <v>18</v>
      </c>
      <c r="H580" s="1">
        <v>10533</v>
      </c>
      <c r="I580" s="1" t="s">
        <v>19</v>
      </c>
      <c r="J580" s="1">
        <v>0.2</v>
      </c>
      <c r="K580" s="1">
        <v>9000</v>
      </c>
      <c r="L580" s="2">
        <v>45322</v>
      </c>
    </row>
    <row r="581" spans="1:12" x14ac:dyDescent="0.35">
      <c r="A581" s="1" t="s">
        <v>807</v>
      </c>
      <c r="B581" s="1" t="s">
        <v>445</v>
      </c>
      <c r="C581" s="1" t="s">
        <v>14</v>
      </c>
      <c r="D581" s="1" t="s">
        <v>15</v>
      </c>
      <c r="E581" s="1" t="s">
        <v>46</v>
      </c>
      <c r="F581" s="1" t="s">
        <v>17</v>
      </c>
      <c r="G581" s="1" t="s">
        <v>18</v>
      </c>
      <c r="H581" s="1">
        <v>12259</v>
      </c>
      <c r="I581" s="1" t="s">
        <v>33</v>
      </c>
      <c r="J581" s="1">
        <v>0.3</v>
      </c>
      <c r="K581" s="1">
        <v>14000</v>
      </c>
      <c r="L581" s="2">
        <v>45333</v>
      </c>
    </row>
    <row r="582" spans="1:12" x14ac:dyDescent="0.35">
      <c r="A582" s="1" t="s">
        <v>808</v>
      </c>
      <c r="B582" s="1" t="s">
        <v>327</v>
      </c>
      <c r="C582" s="1" t="s">
        <v>44</v>
      </c>
      <c r="D582" s="1" t="s">
        <v>45</v>
      </c>
      <c r="E582" s="1" t="s">
        <v>16</v>
      </c>
      <c r="F582" s="1" t="s">
        <v>17</v>
      </c>
      <c r="G582" s="1" t="s">
        <v>26</v>
      </c>
      <c r="H582" s="1">
        <v>13142</v>
      </c>
      <c r="I582" s="1" t="s">
        <v>27</v>
      </c>
      <c r="J582" s="1"/>
      <c r="K582" s="1">
        <v>13000</v>
      </c>
      <c r="L582" s="2">
        <v>45298</v>
      </c>
    </row>
    <row r="583" spans="1:12" x14ac:dyDescent="0.35">
      <c r="A583" s="1" t="s">
        <v>809</v>
      </c>
      <c r="B583" s="1" t="s">
        <v>274</v>
      </c>
      <c r="C583" s="1" t="s">
        <v>44</v>
      </c>
      <c r="D583" s="1" t="s">
        <v>45</v>
      </c>
      <c r="E583" s="1" t="s">
        <v>46</v>
      </c>
      <c r="F583" s="1" t="s">
        <v>17</v>
      </c>
      <c r="G583" s="1" t="s">
        <v>26</v>
      </c>
      <c r="H583" s="1">
        <v>13770</v>
      </c>
      <c r="I583" s="1"/>
      <c r="J583" s="1"/>
      <c r="K583" s="1">
        <v>13000</v>
      </c>
      <c r="L583" s="2">
        <v>45301</v>
      </c>
    </row>
    <row r="584" spans="1:12" x14ac:dyDescent="0.35">
      <c r="A584" s="1" t="s">
        <v>810</v>
      </c>
      <c r="B584" s="1" t="s">
        <v>319</v>
      </c>
      <c r="C584" s="1" t="s">
        <v>14</v>
      </c>
      <c r="D584" s="1" t="s">
        <v>15</v>
      </c>
      <c r="E584" s="1" t="s">
        <v>32</v>
      </c>
      <c r="F584" s="1" t="s">
        <v>39</v>
      </c>
      <c r="G584" s="1" t="s">
        <v>18</v>
      </c>
      <c r="H584" s="1">
        <v>14070</v>
      </c>
      <c r="I584" s="1"/>
      <c r="J584" s="1"/>
      <c r="K584" s="1">
        <v>14000</v>
      </c>
      <c r="L584" s="2">
        <v>45346</v>
      </c>
    </row>
    <row r="585" spans="1:12" x14ac:dyDescent="0.35">
      <c r="A585" s="1" t="s">
        <v>811</v>
      </c>
      <c r="B585" s="1" t="s">
        <v>752</v>
      </c>
      <c r="C585" s="1" t="s">
        <v>44</v>
      </c>
      <c r="D585" s="1" t="s">
        <v>45</v>
      </c>
      <c r="E585" s="1" t="s">
        <v>32</v>
      </c>
      <c r="F585" s="1" t="s">
        <v>17</v>
      </c>
      <c r="G585" s="1" t="s">
        <v>36</v>
      </c>
      <c r="H585" s="1">
        <v>11986</v>
      </c>
      <c r="I585" s="1" t="s">
        <v>33</v>
      </c>
      <c r="J585" s="1">
        <v>0.3</v>
      </c>
      <c r="K585" s="1">
        <v>13000</v>
      </c>
      <c r="L585" s="2">
        <v>45309</v>
      </c>
    </row>
    <row r="586" spans="1:12" x14ac:dyDescent="0.35">
      <c r="A586" s="1" t="s">
        <v>812</v>
      </c>
      <c r="B586" s="1" t="s">
        <v>166</v>
      </c>
      <c r="C586" s="1" t="s">
        <v>44</v>
      </c>
      <c r="D586" s="1" t="s">
        <v>45</v>
      </c>
      <c r="E586" s="1" t="s">
        <v>16</v>
      </c>
      <c r="F586" s="1" t="s">
        <v>39</v>
      </c>
      <c r="G586" s="1" t="s">
        <v>36</v>
      </c>
      <c r="H586" s="1">
        <v>12651</v>
      </c>
      <c r="I586" s="1" t="s">
        <v>19</v>
      </c>
      <c r="J586" s="1">
        <v>0.2</v>
      </c>
      <c r="K586" s="1">
        <v>13000</v>
      </c>
      <c r="L586" s="2">
        <v>45297</v>
      </c>
    </row>
    <row r="587" spans="1:12" x14ac:dyDescent="0.35">
      <c r="A587" s="1" t="s">
        <v>813</v>
      </c>
      <c r="B587" s="1" t="s">
        <v>231</v>
      </c>
      <c r="C587" s="1" t="s">
        <v>61</v>
      </c>
      <c r="D587" s="1" t="s">
        <v>62</v>
      </c>
      <c r="E587" s="1" t="s">
        <v>32</v>
      </c>
      <c r="F587" s="1" t="s">
        <v>17</v>
      </c>
      <c r="G587" s="1" t="s">
        <v>36</v>
      </c>
      <c r="H587" s="1">
        <v>8294</v>
      </c>
      <c r="I587" s="1" t="s">
        <v>22</v>
      </c>
      <c r="J587" s="1">
        <v>0.1</v>
      </c>
      <c r="K587" s="1">
        <v>9000</v>
      </c>
      <c r="L587" s="2">
        <v>45323</v>
      </c>
    </row>
    <row r="588" spans="1:12" x14ac:dyDescent="0.35">
      <c r="A588" s="1" t="s">
        <v>814</v>
      </c>
      <c r="B588" s="1" t="s">
        <v>765</v>
      </c>
      <c r="C588" s="1" t="s">
        <v>14</v>
      </c>
      <c r="D588" s="1" t="s">
        <v>15</v>
      </c>
      <c r="E588" s="1" t="s">
        <v>32</v>
      </c>
      <c r="F588" s="1" t="s">
        <v>17</v>
      </c>
      <c r="G588" s="1" t="s">
        <v>36</v>
      </c>
      <c r="H588" s="1">
        <v>12146</v>
      </c>
      <c r="I588" s="1" t="s">
        <v>27</v>
      </c>
      <c r="J588" s="1"/>
      <c r="K588" s="1">
        <v>14000</v>
      </c>
      <c r="L588" s="2">
        <v>45327</v>
      </c>
    </row>
    <row r="589" spans="1:12" x14ac:dyDescent="0.35">
      <c r="A589" s="1" t="s">
        <v>815</v>
      </c>
      <c r="B589" s="1" t="s">
        <v>129</v>
      </c>
      <c r="C589" s="1" t="s">
        <v>14</v>
      </c>
      <c r="D589" s="1" t="s">
        <v>15</v>
      </c>
      <c r="E589" s="1" t="s">
        <v>16</v>
      </c>
      <c r="F589" s="1" t="s">
        <v>39</v>
      </c>
      <c r="G589" s="1" t="s">
        <v>26</v>
      </c>
      <c r="H589" s="1">
        <v>13247</v>
      </c>
      <c r="I589" s="1" t="s">
        <v>27</v>
      </c>
      <c r="J589" s="1"/>
      <c r="K589" s="1">
        <v>14000</v>
      </c>
      <c r="L589" s="2">
        <v>45327</v>
      </c>
    </row>
    <row r="590" spans="1:12" x14ac:dyDescent="0.35">
      <c r="A590" s="1" t="s">
        <v>816</v>
      </c>
      <c r="B590" s="1" t="s">
        <v>817</v>
      </c>
      <c r="C590" s="1" t="s">
        <v>61</v>
      </c>
      <c r="D590" s="1" t="s">
        <v>62</v>
      </c>
      <c r="E590" s="1" t="s">
        <v>46</v>
      </c>
      <c r="F590" s="1" t="s">
        <v>17</v>
      </c>
      <c r="G590" s="1" t="s">
        <v>18</v>
      </c>
      <c r="H590" s="1">
        <v>10344</v>
      </c>
      <c r="I590" s="1" t="s">
        <v>19</v>
      </c>
      <c r="J590" s="1">
        <v>0.2</v>
      </c>
      <c r="K590" s="1">
        <v>9000</v>
      </c>
      <c r="L590" s="2">
        <v>45346</v>
      </c>
    </row>
    <row r="591" spans="1:12" x14ac:dyDescent="0.35">
      <c r="A591" s="1" t="s">
        <v>818</v>
      </c>
      <c r="B591" s="1" t="s">
        <v>188</v>
      </c>
      <c r="C591" s="1" t="s">
        <v>61</v>
      </c>
      <c r="D591" s="1" t="s">
        <v>62</v>
      </c>
      <c r="E591" s="1" t="s">
        <v>16</v>
      </c>
      <c r="F591" s="1" t="s">
        <v>39</v>
      </c>
      <c r="G591" s="1" t="s">
        <v>36</v>
      </c>
      <c r="H591" s="1">
        <v>9932</v>
      </c>
      <c r="I591" s="1"/>
      <c r="J591" s="1"/>
      <c r="K591" s="1">
        <v>9000</v>
      </c>
      <c r="L591" s="2">
        <v>45299</v>
      </c>
    </row>
    <row r="592" spans="1:12" x14ac:dyDescent="0.35">
      <c r="A592" s="1" t="s">
        <v>819</v>
      </c>
      <c r="B592" s="1" t="s">
        <v>200</v>
      </c>
      <c r="C592" s="1" t="s">
        <v>44</v>
      </c>
      <c r="D592" s="1" t="s">
        <v>45</v>
      </c>
      <c r="E592" s="1" t="s">
        <v>32</v>
      </c>
      <c r="F592" s="1" t="s">
        <v>17</v>
      </c>
      <c r="G592" s="1" t="s">
        <v>36</v>
      </c>
      <c r="H592" s="1">
        <v>14399</v>
      </c>
      <c r="I592" s="1" t="s">
        <v>33</v>
      </c>
      <c r="J592" s="1">
        <v>0.3</v>
      </c>
      <c r="K592" s="1">
        <v>13000</v>
      </c>
      <c r="L592" s="2">
        <v>45327</v>
      </c>
    </row>
    <row r="593" spans="1:12" x14ac:dyDescent="0.35">
      <c r="A593" s="1" t="s">
        <v>820</v>
      </c>
      <c r="B593" s="1" t="s">
        <v>217</v>
      </c>
      <c r="C593" s="1" t="s">
        <v>14</v>
      </c>
      <c r="D593" s="1" t="s">
        <v>15</v>
      </c>
      <c r="E593" s="1" t="s">
        <v>32</v>
      </c>
      <c r="F593" s="1" t="s">
        <v>25</v>
      </c>
      <c r="G593" s="1" t="s">
        <v>36</v>
      </c>
      <c r="H593" s="1">
        <v>12575</v>
      </c>
      <c r="I593" s="1"/>
      <c r="J593" s="1"/>
      <c r="K593" s="1">
        <v>14000</v>
      </c>
      <c r="L593" s="2">
        <v>45298</v>
      </c>
    </row>
    <row r="594" spans="1:12" x14ac:dyDescent="0.35">
      <c r="A594" s="1" t="s">
        <v>821</v>
      </c>
      <c r="B594" s="1" t="s">
        <v>118</v>
      </c>
      <c r="C594" s="1" t="s">
        <v>44</v>
      </c>
      <c r="D594" s="1" t="s">
        <v>45</v>
      </c>
      <c r="E594" s="1" t="s">
        <v>32</v>
      </c>
      <c r="F594" s="1" t="s">
        <v>25</v>
      </c>
      <c r="G594" s="1" t="s">
        <v>36</v>
      </c>
      <c r="H594" s="1">
        <v>11883</v>
      </c>
      <c r="I594" s="1"/>
      <c r="J594" s="1"/>
      <c r="K594" s="1">
        <v>13000</v>
      </c>
      <c r="L594" s="2">
        <v>45344</v>
      </c>
    </row>
    <row r="595" spans="1:12" x14ac:dyDescent="0.35">
      <c r="A595" s="1" t="s">
        <v>822</v>
      </c>
      <c r="B595" s="1" t="s">
        <v>294</v>
      </c>
      <c r="C595" s="1" t="s">
        <v>30</v>
      </c>
      <c r="D595" s="1" t="s">
        <v>31</v>
      </c>
      <c r="E595" s="1" t="s">
        <v>32</v>
      </c>
      <c r="F595" s="1" t="s">
        <v>17</v>
      </c>
      <c r="G595" s="1" t="s">
        <v>18</v>
      </c>
      <c r="H595" s="1">
        <v>18795</v>
      </c>
      <c r="I595" s="1" t="s">
        <v>27</v>
      </c>
      <c r="J595" s="1"/>
      <c r="K595" s="1">
        <v>17000</v>
      </c>
      <c r="L595" s="2">
        <v>45299</v>
      </c>
    </row>
    <row r="596" spans="1:12" x14ac:dyDescent="0.35">
      <c r="A596" s="1" t="s">
        <v>823</v>
      </c>
      <c r="B596" s="1" t="s">
        <v>298</v>
      </c>
      <c r="C596" s="1" t="s">
        <v>61</v>
      </c>
      <c r="D596" s="1" t="s">
        <v>62</v>
      </c>
      <c r="E596" s="1" t="s">
        <v>16</v>
      </c>
      <c r="F596" s="1" t="s">
        <v>39</v>
      </c>
      <c r="G596" s="1" t="s">
        <v>26</v>
      </c>
      <c r="H596" s="1">
        <v>7551</v>
      </c>
      <c r="I596" s="1"/>
      <c r="J596" s="1"/>
      <c r="K596" s="1">
        <v>9000</v>
      </c>
      <c r="L596" s="2">
        <v>45292</v>
      </c>
    </row>
    <row r="597" spans="1:12" x14ac:dyDescent="0.35">
      <c r="A597" s="1" t="s">
        <v>824</v>
      </c>
      <c r="B597" s="1" t="s">
        <v>548</v>
      </c>
      <c r="C597" s="1" t="s">
        <v>14</v>
      </c>
      <c r="D597" s="1" t="s">
        <v>15</v>
      </c>
      <c r="E597" s="1" t="s">
        <v>16</v>
      </c>
      <c r="F597" s="1" t="s">
        <v>17</v>
      </c>
      <c r="G597" s="1" t="s">
        <v>26</v>
      </c>
      <c r="H597" s="1">
        <v>13978</v>
      </c>
      <c r="I597" s="1" t="s">
        <v>27</v>
      </c>
      <c r="J597" s="1"/>
      <c r="K597" s="1">
        <v>14000</v>
      </c>
      <c r="L597" s="2">
        <v>45341</v>
      </c>
    </row>
    <row r="598" spans="1:12" x14ac:dyDescent="0.35">
      <c r="A598" s="1" t="s">
        <v>825</v>
      </c>
      <c r="B598" s="1" t="s">
        <v>120</v>
      </c>
      <c r="C598" s="1" t="s">
        <v>44</v>
      </c>
      <c r="D598" s="1" t="s">
        <v>45</v>
      </c>
      <c r="E598" s="1" t="s">
        <v>16</v>
      </c>
      <c r="F598" s="1" t="s">
        <v>25</v>
      </c>
      <c r="G598" s="1" t="s">
        <v>18</v>
      </c>
      <c r="H598" s="1">
        <v>12586</v>
      </c>
      <c r="I598" s="1" t="s">
        <v>27</v>
      </c>
      <c r="J598" s="1"/>
      <c r="K598" s="1">
        <v>13000</v>
      </c>
      <c r="L598" s="2">
        <v>45330</v>
      </c>
    </row>
    <row r="599" spans="1:12" x14ac:dyDescent="0.35">
      <c r="A599" s="1" t="s">
        <v>826</v>
      </c>
      <c r="B599" s="1" t="s">
        <v>827</v>
      </c>
      <c r="C599" s="1" t="s">
        <v>61</v>
      </c>
      <c r="D599" s="1" t="s">
        <v>62</v>
      </c>
      <c r="E599" s="1" t="s">
        <v>46</v>
      </c>
      <c r="F599" s="1" t="s">
        <v>39</v>
      </c>
      <c r="G599" s="1" t="s">
        <v>26</v>
      </c>
      <c r="H599" s="1">
        <v>10122</v>
      </c>
      <c r="I599" s="1" t="s">
        <v>19</v>
      </c>
      <c r="J599" s="1">
        <v>0.2</v>
      </c>
      <c r="K599" s="1">
        <v>9000</v>
      </c>
      <c r="L599" s="2">
        <v>45309</v>
      </c>
    </row>
    <row r="600" spans="1:12" x14ac:dyDescent="0.35">
      <c r="A600" s="1" t="s">
        <v>828</v>
      </c>
      <c r="B600" s="1" t="s">
        <v>474</v>
      </c>
      <c r="C600" s="1" t="s">
        <v>30</v>
      </c>
      <c r="D600" s="1" t="s">
        <v>31</v>
      </c>
      <c r="E600" s="1" t="s">
        <v>46</v>
      </c>
      <c r="F600" s="1" t="s">
        <v>25</v>
      </c>
      <c r="G600" s="1" t="s">
        <v>18</v>
      </c>
      <c r="H600" s="1">
        <v>16690</v>
      </c>
      <c r="I600" s="1" t="s">
        <v>27</v>
      </c>
      <c r="J600" s="1"/>
      <c r="K600" s="1">
        <v>17000</v>
      </c>
      <c r="L600" s="2">
        <v>45336</v>
      </c>
    </row>
    <row r="601" spans="1:12" x14ac:dyDescent="0.35">
      <c r="A601" s="1" t="s">
        <v>829</v>
      </c>
      <c r="B601" s="1" t="s">
        <v>260</v>
      </c>
      <c r="C601" s="1" t="s">
        <v>30</v>
      </c>
      <c r="D601" s="1" t="s">
        <v>31</v>
      </c>
      <c r="E601" s="1" t="s">
        <v>16</v>
      </c>
      <c r="F601" s="1" t="s">
        <v>39</v>
      </c>
      <c r="G601" s="1" t="s">
        <v>36</v>
      </c>
      <c r="H601" s="1">
        <v>17915</v>
      </c>
      <c r="I601" s="1" t="s">
        <v>27</v>
      </c>
      <c r="J601" s="1"/>
      <c r="K601" s="1">
        <v>17000</v>
      </c>
      <c r="L601" s="2">
        <v>45332</v>
      </c>
    </row>
    <row r="602" spans="1:12" x14ac:dyDescent="0.35">
      <c r="A602" s="1" t="s">
        <v>830</v>
      </c>
      <c r="B602" s="1" t="s">
        <v>94</v>
      </c>
      <c r="C602" s="1" t="s">
        <v>44</v>
      </c>
      <c r="D602" s="1" t="s">
        <v>45</v>
      </c>
      <c r="E602" s="1" t="s">
        <v>16</v>
      </c>
      <c r="F602" s="1" t="s">
        <v>39</v>
      </c>
      <c r="G602" s="1" t="s">
        <v>36</v>
      </c>
      <c r="H602" s="1">
        <v>13812</v>
      </c>
      <c r="I602" s="1" t="s">
        <v>33</v>
      </c>
      <c r="J602" s="1">
        <v>0.3</v>
      </c>
      <c r="K602" s="1">
        <v>13000</v>
      </c>
      <c r="L602" s="2">
        <v>45350</v>
      </c>
    </row>
    <row r="603" spans="1:12" x14ac:dyDescent="0.35">
      <c r="A603" s="1" t="s">
        <v>831</v>
      </c>
      <c r="B603" s="1" t="s">
        <v>422</v>
      </c>
      <c r="C603" s="1" t="s">
        <v>44</v>
      </c>
      <c r="D603" s="1" t="s">
        <v>45</v>
      </c>
      <c r="E603" s="1" t="s">
        <v>16</v>
      </c>
      <c r="F603" s="1" t="s">
        <v>39</v>
      </c>
      <c r="G603" s="1" t="s">
        <v>26</v>
      </c>
      <c r="H603" s="1">
        <v>13608</v>
      </c>
      <c r="I603" s="1" t="s">
        <v>33</v>
      </c>
      <c r="J603" s="1">
        <v>0.3</v>
      </c>
      <c r="K603" s="1">
        <v>13000</v>
      </c>
      <c r="L603" s="2">
        <v>45337</v>
      </c>
    </row>
    <row r="604" spans="1:12" x14ac:dyDescent="0.35">
      <c r="A604" s="1" t="s">
        <v>832</v>
      </c>
      <c r="B604" s="1" t="s">
        <v>200</v>
      </c>
      <c r="C604" s="1" t="s">
        <v>30</v>
      </c>
      <c r="D604" s="1" t="s">
        <v>31</v>
      </c>
      <c r="E604" s="1" t="s">
        <v>16</v>
      </c>
      <c r="F604" s="1" t="s">
        <v>17</v>
      </c>
      <c r="G604" s="1" t="s">
        <v>26</v>
      </c>
      <c r="H604" s="1">
        <v>17337</v>
      </c>
      <c r="I604" s="1"/>
      <c r="J604" s="1"/>
      <c r="K604" s="1">
        <v>17000</v>
      </c>
      <c r="L604" s="2">
        <v>45335</v>
      </c>
    </row>
    <row r="605" spans="1:12" x14ac:dyDescent="0.35">
      <c r="A605" s="1" t="s">
        <v>833</v>
      </c>
      <c r="B605" s="1" t="s">
        <v>371</v>
      </c>
      <c r="C605" s="1" t="s">
        <v>30</v>
      </c>
      <c r="D605" s="1" t="s">
        <v>31</v>
      </c>
      <c r="E605" s="1" t="s">
        <v>46</v>
      </c>
      <c r="F605" s="1" t="s">
        <v>25</v>
      </c>
      <c r="G605" s="1" t="s">
        <v>26</v>
      </c>
      <c r="H605" s="1">
        <v>15436</v>
      </c>
      <c r="I605" s="1" t="s">
        <v>22</v>
      </c>
      <c r="J605" s="1">
        <v>0.1</v>
      </c>
      <c r="K605" s="1">
        <v>17000</v>
      </c>
      <c r="L605" s="2">
        <v>45316</v>
      </c>
    </row>
    <row r="606" spans="1:12" x14ac:dyDescent="0.35">
      <c r="A606" s="1" t="s">
        <v>834</v>
      </c>
      <c r="B606" s="1" t="s">
        <v>557</v>
      </c>
      <c r="C606" s="1" t="s">
        <v>14</v>
      </c>
      <c r="D606" s="1" t="s">
        <v>15</v>
      </c>
      <c r="E606" s="1" t="s">
        <v>32</v>
      </c>
      <c r="F606" s="1" t="s">
        <v>17</v>
      </c>
      <c r="G606" s="1" t="s">
        <v>18</v>
      </c>
      <c r="H606" s="1">
        <v>13173</v>
      </c>
      <c r="I606" s="1" t="s">
        <v>33</v>
      </c>
      <c r="J606" s="1">
        <v>0.3</v>
      </c>
      <c r="K606" s="1">
        <v>14000</v>
      </c>
      <c r="L606" s="2">
        <v>45301</v>
      </c>
    </row>
    <row r="607" spans="1:12" x14ac:dyDescent="0.35">
      <c r="A607" s="1" t="s">
        <v>835</v>
      </c>
      <c r="B607" s="1" t="s">
        <v>676</v>
      </c>
      <c r="C607" s="1" t="s">
        <v>30</v>
      </c>
      <c r="D607" s="1" t="s">
        <v>31</v>
      </c>
      <c r="E607" s="1" t="s">
        <v>32</v>
      </c>
      <c r="F607" s="1" t="s">
        <v>39</v>
      </c>
      <c r="G607" s="1" t="s">
        <v>18</v>
      </c>
      <c r="H607" s="1">
        <v>16469</v>
      </c>
      <c r="I607" s="1"/>
      <c r="J607" s="1"/>
      <c r="K607" s="1">
        <v>17000</v>
      </c>
      <c r="L607" s="2">
        <v>45298</v>
      </c>
    </row>
    <row r="608" spans="1:12" x14ac:dyDescent="0.35">
      <c r="A608" s="1" t="s">
        <v>836</v>
      </c>
      <c r="B608" s="1" t="s">
        <v>837</v>
      </c>
      <c r="C608" s="1" t="s">
        <v>44</v>
      </c>
      <c r="D608" s="1" t="s">
        <v>45</v>
      </c>
      <c r="E608" s="1" t="s">
        <v>16</v>
      </c>
      <c r="F608" s="1" t="s">
        <v>39</v>
      </c>
      <c r="G608" s="1" t="s">
        <v>26</v>
      </c>
      <c r="H608" s="1">
        <v>12592</v>
      </c>
      <c r="I608" s="1" t="s">
        <v>19</v>
      </c>
      <c r="J608" s="1">
        <v>0.2</v>
      </c>
      <c r="K608" s="1">
        <v>13000</v>
      </c>
      <c r="L608" s="2">
        <v>45324</v>
      </c>
    </row>
    <row r="609" spans="1:12" x14ac:dyDescent="0.35">
      <c r="A609" s="1" t="s">
        <v>838</v>
      </c>
      <c r="B609" s="1" t="s">
        <v>54</v>
      </c>
      <c r="C609" s="1" t="s">
        <v>30</v>
      </c>
      <c r="D609" s="1" t="s">
        <v>31</v>
      </c>
      <c r="E609" s="1" t="s">
        <v>16</v>
      </c>
      <c r="F609" s="1" t="s">
        <v>39</v>
      </c>
      <c r="G609" s="1" t="s">
        <v>18</v>
      </c>
      <c r="H609" s="1">
        <v>18794</v>
      </c>
      <c r="I609" s="1"/>
      <c r="J609" s="1"/>
      <c r="K609" s="1">
        <v>17000</v>
      </c>
      <c r="L609" s="2">
        <v>45316</v>
      </c>
    </row>
    <row r="610" spans="1:12" x14ac:dyDescent="0.35">
      <c r="A610" s="1" t="s">
        <v>839</v>
      </c>
      <c r="B610" s="1" t="s">
        <v>155</v>
      </c>
      <c r="C610" s="1" t="s">
        <v>30</v>
      </c>
      <c r="D610" s="1" t="s">
        <v>31</v>
      </c>
      <c r="E610" s="1" t="s">
        <v>16</v>
      </c>
      <c r="F610" s="1" t="s">
        <v>25</v>
      </c>
      <c r="G610" s="1" t="s">
        <v>18</v>
      </c>
      <c r="H610" s="1">
        <v>18046</v>
      </c>
      <c r="I610" s="1" t="s">
        <v>33</v>
      </c>
      <c r="J610" s="1">
        <v>0.3</v>
      </c>
      <c r="K610" s="1">
        <v>17000</v>
      </c>
      <c r="L610" s="2">
        <v>45304</v>
      </c>
    </row>
    <row r="611" spans="1:12" x14ac:dyDescent="0.35">
      <c r="A611" s="1" t="s">
        <v>840</v>
      </c>
      <c r="B611" s="1" t="s">
        <v>837</v>
      </c>
      <c r="C611" s="1" t="s">
        <v>61</v>
      </c>
      <c r="D611" s="1" t="s">
        <v>62</v>
      </c>
      <c r="E611" s="1" t="s">
        <v>32</v>
      </c>
      <c r="F611" s="1" t="s">
        <v>39</v>
      </c>
      <c r="G611" s="1" t="s">
        <v>26</v>
      </c>
      <c r="H611" s="1">
        <v>9906</v>
      </c>
      <c r="I611" s="1" t="s">
        <v>33</v>
      </c>
      <c r="J611" s="1">
        <v>0.3</v>
      </c>
      <c r="K611" s="1">
        <v>9000</v>
      </c>
      <c r="L611" s="2">
        <v>45340</v>
      </c>
    </row>
    <row r="612" spans="1:12" x14ac:dyDescent="0.35">
      <c r="A612" s="1" t="s">
        <v>841</v>
      </c>
      <c r="B612" s="1" t="s">
        <v>86</v>
      </c>
      <c r="C612" s="1" t="s">
        <v>44</v>
      </c>
      <c r="D612" s="1" t="s">
        <v>45</v>
      </c>
      <c r="E612" s="1" t="s">
        <v>16</v>
      </c>
      <c r="F612" s="1" t="s">
        <v>25</v>
      </c>
      <c r="G612" s="1" t="s">
        <v>36</v>
      </c>
      <c r="H612" s="1">
        <v>12838</v>
      </c>
      <c r="I612" s="1" t="s">
        <v>19</v>
      </c>
      <c r="J612" s="1">
        <v>0.2</v>
      </c>
      <c r="K612" s="1">
        <v>13000</v>
      </c>
      <c r="L612" s="2">
        <v>45335</v>
      </c>
    </row>
    <row r="613" spans="1:12" x14ac:dyDescent="0.35">
      <c r="A613" s="1" t="s">
        <v>842</v>
      </c>
      <c r="B613" s="1" t="s">
        <v>843</v>
      </c>
      <c r="C613" s="1" t="s">
        <v>44</v>
      </c>
      <c r="D613" s="1" t="s">
        <v>45</v>
      </c>
      <c r="E613" s="1" t="s">
        <v>16</v>
      </c>
      <c r="F613" s="1" t="s">
        <v>39</v>
      </c>
      <c r="G613" s="1" t="s">
        <v>18</v>
      </c>
      <c r="H613" s="1">
        <v>12545</v>
      </c>
      <c r="I613" s="1" t="s">
        <v>22</v>
      </c>
      <c r="J613" s="1">
        <v>0.1</v>
      </c>
      <c r="K613" s="1">
        <v>13000</v>
      </c>
      <c r="L613" s="2">
        <v>45319</v>
      </c>
    </row>
    <row r="614" spans="1:12" x14ac:dyDescent="0.35">
      <c r="A614" s="1" t="s">
        <v>844</v>
      </c>
      <c r="B614" s="1" t="s">
        <v>307</v>
      </c>
      <c r="C614" s="1" t="s">
        <v>30</v>
      </c>
      <c r="D614" s="1" t="s">
        <v>31</v>
      </c>
      <c r="E614" s="1" t="s">
        <v>32</v>
      </c>
      <c r="F614" s="1" t="s">
        <v>25</v>
      </c>
      <c r="G614" s="1" t="s">
        <v>26</v>
      </c>
      <c r="H614" s="1">
        <v>18465</v>
      </c>
      <c r="I614" s="1" t="s">
        <v>33</v>
      </c>
      <c r="J614" s="1">
        <v>0.3</v>
      </c>
      <c r="K614" s="1">
        <v>17000</v>
      </c>
      <c r="L614" s="2">
        <v>45292</v>
      </c>
    </row>
    <row r="615" spans="1:12" x14ac:dyDescent="0.35">
      <c r="A615" s="1" t="s">
        <v>845</v>
      </c>
      <c r="B615" s="1" t="s">
        <v>802</v>
      </c>
      <c r="C615" s="1" t="s">
        <v>44</v>
      </c>
      <c r="D615" s="1" t="s">
        <v>45</v>
      </c>
      <c r="E615" s="1" t="s">
        <v>32</v>
      </c>
      <c r="F615" s="1" t="s">
        <v>25</v>
      </c>
      <c r="G615" s="1" t="s">
        <v>36</v>
      </c>
      <c r="H615" s="1">
        <v>13444</v>
      </c>
      <c r="I615" s="1" t="s">
        <v>22</v>
      </c>
      <c r="J615" s="1">
        <v>0.1</v>
      </c>
      <c r="K615" s="1">
        <v>13000</v>
      </c>
      <c r="L615" s="2">
        <v>45341</v>
      </c>
    </row>
    <row r="616" spans="1:12" x14ac:dyDescent="0.35">
      <c r="A616" s="1" t="s">
        <v>846</v>
      </c>
      <c r="B616" s="1" t="s">
        <v>50</v>
      </c>
      <c r="C616" s="1" t="s">
        <v>30</v>
      </c>
      <c r="D616" s="1" t="s">
        <v>31</v>
      </c>
      <c r="E616" s="1" t="s">
        <v>46</v>
      </c>
      <c r="F616" s="1" t="s">
        <v>39</v>
      </c>
      <c r="G616" s="1" t="s">
        <v>26</v>
      </c>
      <c r="H616" s="1">
        <v>16466</v>
      </c>
      <c r="I616" s="1" t="s">
        <v>22</v>
      </c>
      <c r="J616" s="1">
        <v>0.1</v>
      </c>
      <c r="K616" s="1">
        <v>17000</v>
      </c>
      <c r="L616" s="2">
        <v>45342</v>
      </c>
    </row>
    <row r="617" spans="1:12" x14ac:dyDescent="0.35">
      <c r="A617" s="1" t="s">
        <v>847</v>
      </c>
      <c r="B617" s="1" t="s">
        <v>577</v>
      </c>
      <c r="C617" s="1" t="s">
        <v>44</v>
      </c>
      <c r="D617" s="1" t="s">
        <v>45</v>
      </c>
      <c r="E617" s="1" t="s">
        <v>32</v>
      </c>
      <c r="F617" s="1" t="s">
        <v>39</v>
      </c>
      <c r="G617" s="1" t="s">
        <v>18</v>
      </c>
      <c r="H617" s="1">
        <v>14220</v>
      </c>
      <c r="I617" s="1" t="s">
        <v>27</v>
      </c>
      <c r="J617" s="1"/>
      <c r="K617" s="1">
        <v>13000</v>
      </c>
      <c r="L617" s="2">
        <v>45302</v>
      </c>
    </row>
    <row r="618" spans="1:12" x14ac:dyDescent="0.35">
      <c r="A618" s="1" t="s">
        <v>848</v>
      </c>
      <c r="B618" s="1" t="s">
        <v>512</v>
      </c>
      <c r="C618" s="1" t="s">
        <v>61</v>
      </c>
      <c r="D618" s="1" t="s">
        <v>62</v>
      </c>
      <c r="E618" s="1" t="s">
        <v>32</v>
      </c>
      <c r="F618" s="1" t="s">
        <v>17</v>
      </c>
      <c r="G618" s="1" t="s">
        <v>18</v>
      </c>
      <c r="H618" s="1">
        <v>10618</v>
      </c>
      <c r="I618" s="1" t="s">
        <v>19</v>
      </c>
      <c r="J618" s="1">
        <v>0.2</v>
      </c>
      <c r="K618" s="1">
        <v>9000</v>
      </c>
      <c r="L618" s="2">
        <v>45334</v>
      </c>
    </row>
    <row r="619" spans="1:12" x14ac:dyDescent="0.35">
      <c r="A619" s="1" t="s">
        <v>849</v>
      </c>
      <c r="B619" s="1" t="s">
        <v>282</v>
      </c>
      <c r="C619" s="1" t="s">
        <v>30</v>
      </c>
      <c r="D619" s="1" t="s">
        <v>31</v>
      </c>
      <c r="E619" s="1" t="s">
        <v>46</v>
      </c>
      <c r="F619" s="1" t="s">
        <v>25</v>
      </c>
      <c r="G619" s="1" t="s">
        <v>26</v>
      </c>
      <c r="H619" s="1">
        <v>17172</v>
      </c>
      <c r="I619" s="1"/>
      <c r="J619" s="1"/>
      <c r="K619" s="1">
        <v>17000</v>
      </c>
      <c r="L619" s="2">
        <v>45327</v>
      </c>
    </row>
    <row r="620" spans="1:12" x14ac:dyDescent="0.35">
      <c r="A620" s="1" t="s">
        <v>850</v>
      </c>
      <c r="B620" s="1" t="s">
        <v>393</v>
      </c>
      <c r="C620" s="1" t="s">
        <v>14</v>
      </c>
      <c r="D620" s="1" t="s">
        <v>15</v>
      </c>
      <c r="E620" s="1" t="s">
        <v>32</v>
      </c>
      <c r="F620" s="1" t="s">
        <v>39</v>
      </c>
      <c r="G620" s="1" t="s">
        <v>36</v>
      </c>
      <c r="H620" s="1">
        <v>13825</v>
      </c>
      <c r="I620" s="1" t="s">
        <v>19</v>
      </c>
      <c r="J620" s="1">
        <v>0.2</v>
      </c>
      <c r="K620" s="1">
        <v>14000</v>
      </c>
      <c r="L620" s="2">
        <v>45349</v>
      </c>
    </row>
    <row r="621" spans="1:12" x14ac:dyDescent="0.35">
      <c r="A621" s="1" t="s">
        <v>851</v>
      </c>
      <c r="B621" s="1" t="s">
        <v>163</v>
      </c>
      <c r="C621" s="1" t="s">
        <v>44</v>
      </c>
      <c r="D621" s="1" t="s">
        <v>45</v>
      </c>
      <c r="E621" s="1" t="s">
        <v>32</v>
      </c>
      <c r="F621" s="1" t="s">
        <v>39</v>
      </c>
      <c r="G621" s="1" t="s">
        <v>36</v>
      </c>
      <c r="H621" s="1">
        <v>12562</v>
      </c>
      <c r="I621" s="1" t="s">
        <v>22</v>
      </c>
      <c r="J621" s="1">
        <v>0.1</v>
      </c>
      <c r="K621" s="1">
        <v>13000</v>
      </c>
      <c r="L621" s="2">
        <v>45316</v>
      </c>
    </row>
    <row r="622" spans="1:12" x14ac:dyDescent="0.35">
      <c r="A622" s="1" t="s">
        <v>852</v>
      </c>
      <c r="B622" s="1" t="s">
        <v>307</v>
      </c>
      <c r="C622" s="1" t="s">
        <v>30</v>
      </c>
      <c r="D622" s="1" t="s">
        <v>31</v>
      </c>
      <c r="E622" s="1" t="s">
        <v>32</v>
      </c>
      <c r="F622" s="1" t="s">
        <v>39</v>
      </c>
      <c r="G622" s="1" t="s">
        <v>36</v>
      </c>
      <c r="H622" s="1">
        <v>17106</v>
      </c>
      <c r="I622" s="1" t="s">
        <v>27</v>
      </c>
      <c r="J622" s="1"/>
      <c r="K622" s="1">
        <v>17000</v>
      </c>
      <c r="L622" s="2">
        <v>45320</v>
      </c>
    </row>
    <row r="623" spans="1:12" x14ac:dyDescent="0.35">
      <c r="A623" s="1" t="s">
        <v>853</v>
      </c>
      <c r="B623" s="1" t="s">
        <v>711</v>
      </c>
      <c r="C623" s="1" t="s">
        <v>30</v>
      </c>
      <c r="D623" s="1" t="s">
        <v>31</v>
      </c>
      <c r="E623" s="1" t="s">
        <v>16</v>
      </c>
      <c r="F623" s="1" t="s">
        <v>25</v>
      </c>
      <c r="G623" s="1" t="s">
        <v>36</v>
      </c>
      <c r="H623" s="1">
        <v>17104</v>
      </c>
      <c r="I623" s="1" t="s">
        <v>22</v>
      </c>
      <c r="J623" s="1">
        <v>0.1</v>
      </c>
      <c r="K623" s="1">
        <v>17000</v>
      </c>
      <c r="L623" s="2">
        <v>45352</v>
      </c>
    </row>
    <row r="624" spans="1:12" x14ac:dyDescent="0.35">
      <c r="A624" s="1" t="s">
        <v>854</v>
      </c>
      <c r="B624" s="1" t="s">
        <v>843</v>
      </c>
      <c r="C624" s="1" t="s">
        <v>14</v>
      </c>
      <c r="D624" s="1" t="s">
        <v>15</v>
      </c>
      <c r="E624" s="1" t="s">
        <v>16</v>
      </c>
      <c r="F624" s="1" t="s">
        <v>25</v>
      </c>
      <c r="G624" s="1" t="s">
        <v>18</v>
      </c>
      <c r="H624" s="1">
        <v>14745</v>
      </c>
      <c r="I624" s="1" t="s">
        <v>19</v>
      </c>
      <c r="J624" s="1">
        <v>0.2</v>
      </c>
      <c r="K624" s="1">
        <v>14000</v>
      </c>
      <c r="L624" s="2">
        <v>45347</v>
      </c>
    </row>
    <row r="625" spans="1:12" x14ac:dyDescent="0.35">
      <c r="A625" s="1" t="s">
        <v>855</v>
      </c>
      <c r="B625" s="1" t="s">
        <v>90</v>
      </c>
      <c r="C625" s="1" t="s">
        <v>14</v>
      </c>
      <c r="D625" s="1" t="s">
        <v>15</v>
      </c>
      <c r="E625" s="1" t="s">
        <v>32</v>
      </c>
      <c r="F625" s="1" t="s">
        <v>39</v>
      </c>
      <c r="G625" s="1" t="s">
        <v>26</v>
      </c>
      <c r="H625" s="1">
        <v>15598</v>
      </c>
      <c r="I625" s="1"/>
      <c r="J625" s="1"/>
      <c r="K625" s="1">
        <v>14000</v>
      </c>
      <c r="L625" s="2">
        <v>45333</v>
      </c>
    </row>
    <row r="626" spans="1:12" x14ac:dyDescent="0.35">
      <c r="A626" s="1" t="s">
        <v>856</v>
      </c>
      <c r="B626" s="1" t="s">
        <v>96</v>
      </c>
      <c r="C626" s="1" t="s">
        <v>44</v>
      </c>
      <c r="D626" s="1" t="s">
        <v>45</v>
      </c>
      <c r="E626" s="1" t="s">
        <v>32</v>
      </c>
      <c r="F626" s="1" t="s">
        <v>17</v>
      </c>
      <c r="G626" s="1" t="s">
        <v>26</v>
      </c>
      <c r="H626" s="1">
        <v>12358</v>
      </c>
      <c r="I626" s="1" t="s">
        <v>22</v>
      </c>
      <c r="J626" s="1">
        <v>0.1</v>
      </c>
      <c r="K626" s="1">
        <v>13000</v>
      </c>
      <c r="L626" s="2">
        <v>45297</v>
      </c>
    </row>
    <row r="627" spans="1:12" x14ac:dyDescent="0.35">
      <c r="A627" s="1" t="s">
        <v>857</v>
      </c>
      <c r="B627" s="1" t="s">
        <v>43</v>
      </c>
      <c r="C627" s="1" t="s">
        <v>44</v>
      </c>
      <c r="D627" s="1" t="s">
        <v>45</v>
      </c>
      <c r="E627" s="1" t="s">
        <v>46</v>
      </c>
      <c r="F627" s="1" t="s">
        <v>39</v>
      </c>
      <c r="G627" s="1" t="s">
        <v>18</v>
      </c>
      <c r="H627" s="1">
        <v>13355</v>
      </c>
      <c r="I627" s="1" t="s">
        <v>19</v>
      </c>
      <c r="J627" s="1">
        <v>0.2</v>
      </c>
      <c r="K627" s="1">
        <v>13000</v>
      </c>
      <c r="L627" s="2">
        <v>45350</v>
      </c>
    </row>
    <row r="628" spans="1:12" x14ac:dyDescent="0.35">
      <c r="A628" s="1" t="s">
        <v>858</v>
      </c>
      <c r="B628" s="1" t="s">
        <v>70</v>
      </c>
      <c r="C628" s="1" t="s">
        <v>61</v>
      </c>
      <c r="D628" s="1" t="s">
        <v>62</v>
      </c>
      <c r="E628" s="1" t="s">
        <v>46</v>
      </c>
      <c r="F628" s="1" t="s">
        <v>39</v>
      </c>
      <c r="G628" s="1" t="s">
        <v>36</v>
      </c>
      <c r="H628" s="1">
        <v>8773</v>
      </c>
      <c r="I628" s="1" t="s">
        <v>33</v>
      </c>
      <c r="J628" s="1">
        <v>0.3</v>
      </c>
      <c r="K628" s="1">
        <v>9000</v>
      </c>
      <c r="L628" s="2">
        <v>45293</v>
      </c>
    </row>
    <row r="629" spans="1:12" x14ac:dyDescent="0.35">
      <c r="A629" s="1" t="s">
        <v>859</v>
      </c>
      <c r="B629" s="1" t="s">
        <v>274</v>
      </c>
      <c r="C629" s="1" t="s">
        <v>14</v>
      </c>
      <c r="D629" s="1" t="s">
        <v>15</v>
      </c>
      <c r="E629" s="1" t="s">
        <v>16</v>
      </c>
      <c r="F629" s="1" t="s">
        <v>25</v>
      </c>
      <c r="G629" s="1" t="s">
        <v>26</v>
      </c>
      <c r="H629" s="1">
        <v>14950</v>
      </c>
      <c r="I629" s="1" t="s">
        <v>27</v>
      </c>
      <c r="J629" s="1"/>
      <c r="K629" s="1">
        <v>14000</v>
      </c>
      <c r="L629" s="2">
        <v>45296</v>
      </c>
    </row>
    <row r="630" spans="1:12" x14ac:dyDescent="0.35">
      <c r="A630" s="1" t="s">
        <v>860</v>
      </c>
      <c r="B630" s="1" t="s">
        <v>296</v>
      </c>
      <c r="C630" s="1" t="s">
        <v>14</v>
      </c>
      <c r="D630" s="1" t="s">
        <v>15</v>
      </c>
      <c r="E630" s="1" t="s">
        <v>16</v>
      </c>
      <c r="F630" s="1" t="s">
        <v>25</v>
      </c>
      <c r="G630" s="1" t="s">
        <v>36</v>
      </c>
      <c r="H630" s="1">
        <v>15801</v>
      </c>
      <c r="I630" s="1" t="s">
        <v>27</v>
      </c>
      <c r="J630" s="1"/>
      <c r="K630" s="1">
        <v>14000</v>
      </c>
      <c r="L630" s="2">
        <v>45298</v>
      </c>
    </row>
    <row r="631" spans="1:12" x14ac:dyDescent="0.35">
      <c r="A631" s="1" t="s">
        <v>861</v>
      </c>
      <c r="B631" s="1" t="s">
        <v>443</v>
      </c>
      <c r="C631" s="1" t="s">
        <v>30</v>
      </c>
      <c r="D631" s="1" t="s">
        <v>31</v>
      </c>
      <c r="E631" s="1" t="s">
        <v>16</v>
      </c>
      <c r="F631" s="1" t="s">
        <v>25</v>
      </c>
      <c r="G631" s="1" t="s">
        <v>36</v>
      </c>
      <c r="H631" s="1">
        <v>18134</v>
      </c>
      <c r="I631" s="1"/>
      <c r="J631" s="1"/>
      <c r="K631" s="1">
        <v>17000</v>
      </c>
      <c r="L631" s="2">
        <v>45316</v>
      </c>
    </row>
    <row r="632" spans="1:12" x14ac:dyDescent="0.35">
      <c r="A632" s="1" t="s">
        <v>862</v>
      </c>
      <c r="B632" s="1" t="s">
        <v>309</v>
      </c>
      <c r="C632" s="1" t="s">
        <v>14</v>
      </c>
      <c r="D632" s="1" t="s">
        <v>15</v>
      </c>
      <c r="E632" s="1" t="s">
        <v>46</v>
      </c>
      <c r="F632" s="1" t="s">
        <v>25</v>
      </c>
      <c r="G632" s="1" t="s">
        <v>26</v>
      </c>
      <c r="H632" s="1">
        <v>12900</v>
      </c>
      <c r="I632" s="1" t="s">
        <v>19</v>
      </c>
      <c r="J632" s="1">
        <v>0.2</v>
      </c>
      <c r="K632" s="1">
        <v>14000</v>
      </c>
      <c r="L632" s="2">
        <v>45339</v>
      </c>
    </row>
    <row r="633" spans="1:12" x14ac:dyDescent="0.35">
      <c r="A633" s="1" t="s">
        <v>863</v>
      </c>
      <c r="B633" s="1" t="s">
        <v>155</v>
      </c>
      <c r="C633" s="1" t="s">
        <v>30</v>
      </c>
      <c r="D633" s="1" t="s">
        <v>31</v>
      </c>
      <c r="E633" s="1" t="s">
        <v>16</v>
      </c>
      <c r="F633" s="1" t="s">
        <v>25</v>
      </c>
      <c r="G633" s="1" t="s">
        <v>36</v>
      </c>
      <c r="H633" s="1">
        <v>17774</v>
      </c>
      <c r="I633" s="1" t="s">
        <v>33</v>
      </c>
      <c r="J633" s="1">
        <v>0.3</v>
      </c>
      <c r="K633" s="1">
        <v>17000</v>
      </c>
      <c r="L633" s="2">
        <v>45352</v>
      </c>
    </row>
    <row r="634" spans="1:12" x14ac:dyDescent="0.35">
      <c r="A634" s="1" t="s">
        <v>864</v>
      </c>
      <c r="B634" s="1" t="s">
        <v>166</v>
      </c>
      <c r="C634" s="1" t="s">
        <v>44</v>
      </c>
      <c r="D634" s="1" t="s">
        <v>45</v>
      </c>
      <c r="E634" s="1" t="s">
        <v>32</v>
      </c>
      <c r="F634" s="1" t="s">
        <v>25</v>
      </c>
      <c r="G634" s="1" t="s">
        <v>18</v>
      </c>
      <c r="H634" s="1">
        <v>13345</v>
      </c>
      <c r="I634" s="1" t="s">
        <v>27</v>
      </c>
      <c r="J634" s="1"/>
      <c r="K634" s="1">
        <v>13000</v>
      </c>
      <c r="L634" s="2">
        <v>45317</v>
      </c>
    </row>
    <row r="635" spans="1:12" x14ac:dyDescent="0.35">
      <c r="A635" s="1" t="s">
        <v>865</v>
      </c>
      <c r="B635" s="1" t="s">
        <v>168</v>
      </c>
      <c r="C635" s="1" t="s">
        <v>14</v>
      </c>
      <c r="D635" s="1" t="s">
        <v>15</v>
      </c>
      <c r="E635" s="1" t="s">
        <v>46</v>
      </c>
      <c r="F635" s="1" t="s">
        <v>25</v>
      </c>
      <c r="G635" s="1" t="s">
        <v>26</v>
      </c>
      <c r="H635" s="1">
        <v>15036</v>
      </c>
      <c r="I635" s="1" t="s">
        <v>33</v>
      </c>
      <c r="J635" s="1">
        <v>0.3</v>
      </c>
      <c r="K635" s="1">
        <v>14000</v>
      </c>
      <c r="L635" s="2">
        <v>45305</v>
      </c>
    </row>
    <row r="636" spans="1:12" x14ac:dyDescent="0.35">
      <c r="A636" s="1" t="s">
        <v>866</v>
      </c>
      <c r="B636" s="1" t="s">
        <v>274</v>
      </c>
      <c r="C636" s="1" t="s">
        <v>44</v>
      </c>
      <c r="D636" s="1" t="s">
        <v>45</v>
      </c>
      <c r="E636" s="1" t="s">
        <v>32</v>
      </c>
      <c r="F636" s="1" t="s">
        <v>25</v>
      </c>
      <c r="G636" s="1" t="s">
        <v>18</v>
      </c>
      <c r="H636" s="1">
        <v>13526</v>
      </c>
      <c r="I636" s="1" t="s">
        <v>33</v>
      </c>
      <c r="J636" s="1">
        <v>0.3</v>
      </c>
      <c r="K636" s="1">
        <v>13000</v>
      </c>
      <c r="L636" s="2">
        <v>45304</v>
      </c>
    </row>
    <row r="637" spans="1:12" x14ac:dyDescent="0.35">
      <c r="A637" s="1" t="s">
        <v>867</v>
      </c>
      <c r="B637" s="1" t="s">
        <v>843</v>
      </c>
      <c r="C637" s="1" t="s">
        <v>14</v>
      </c>
      <c r="D637" s="1" t="s">
        <v>15</v>
      </c>
      <c r="E637" s="1" t="s">
        <v>16</v>
      </c>
      <c r="F637" s="1" t="s">
        <v>17</v>
      </c>
      <c r="G637" s="1" t="s">
        <v>26</v>
      </c>
      <c r="H637" s="1">
        <v>14251</v>
      </c>
      <c r="I637" s="1" t="s">
        <v>22</v>
      </c>
      <c r="J637" s="1">
        <v>0.1</v>
      </c>
      <c r="K637" s="1">
        <v>14000</v>
      </c>
      <c r="L637" s="2">
        <v>45310</v>
      </c>
    </row>
    <row r="638" spans="1:12" x14ac:dyDescent="0.35">
      <c r="A638" s="1" t="s">
        <v>868</v>
      </c>
      <c r="B638" s="1" t="s">
        <v>13</v>
      </c>
      <c r="C638" s="1" t="s">
        <v>30</v>
      </c>
      <c r="D638" s="1" t="s">
        <v>31</v>
      </c>
      <c r="E638" s="1" t="s">
        <v>32</v>
      </c>
      <c r="F638" s="1" t="s">
        <v>25</v>
      </c>
      <c r="G638" s="1" t="s">
        <v>26</v>
      </c>
      <c r="H638" s="1">
        <v>17378</v>
      </c>
      <c r="I638" s="1"/>
      <c r="J638" s="1"/>
      <c r="K638" s="1">
        <v>17000</v>
      </c>
      <c r="L638" s="2">
        <v>45352</v>
      </c>
    </row>
    <row r="639" spans="1:12" x14ac:dyDescent="0.35">
      <c r="A639" s="1" t="s">
        <v>869</v>
      </c>
      <c r="B639" s="1" t="s">
        <v>282</v>
      </c>
      <c r="C639" s="1" t="s">
        <v>44</v>
      </c>
      <c r="D639" s="1" t="s">
        <v>45</v>
      </c>
      <c r="E639" s="1" t="s">
        <v>16</v>
      </c>
      <c r="F639" s="1" t="s">
        <v>39</v>
      </c>
      <c r="G639" s="1" t="s">
        <v>18</v>
      </c>
      <c r="H639" s="1">
        <v>11409</v>
      </c>
      <c r="I639" s="1" t="s">
        <v>33</v>
      </c>
      <c r="J639" s="1">
        <v>0.3</v>
      </c>
      <c r="K639" s="1">
        <v>13000</v>
      </c>
      <c r="L639" s="2">
        <v>45331</v>
      </c>
    </row>
    <row r="640" spans="1:12" x14ac:dyDescent="0.35">
      <c r="A640" s="1" t="s">
        <v>870</v>
      </c>
      <c r="B640" s="1" t="s">
        <v>248</v>
      </c>
      <c r="C640" s="1" t="s">
        <v>30</v>
      </c>
      <c r="D640" s="1" t="s">
        <v>31</v>
      </c>
      <c r="E640" s="1" t="s">
        <v>46</v>
      </c>
      <c r="F640" s="1" t="s">
        <v>17</v>
      </c>
      <c r="G640" s="1" t="s">
        <v>36</v>
      </c>
      <c r="H640" s="1">
        <v>17524</v>
      </c>
      <c r="I640" s="1" t="s">
        <v>33</v>
      </c>
      <c r="J640" s="1">
        <v>0.3</v>
      </c>
      <c r="K640" s="1">
        <v>17000</v>
      </c>
      <c r="L640" s="2">
        <v>45336</v>
      </c>
    </row>
    <row r="641" spans="1:12" x14ac:dyDescent="0.35">
      <c r="A641" s="1" t="s">
        <v>871</v>
      </c>
      <c r="B641" s="1" t="s">
        <v>373</v>
      </c>
      <c r="C641" s="1" t="s">
        <v>30</v>
      </c>
      <c r="D641" s="1" t="s">
        <v>31</v>
      </c>
      <c r="E641" s="1" t="s">
        <v>46</v>
      </c>
      <c r="F641" s="1" t="s">
        <v>17</v>
      </c>
      <c r="G641" s="1" t="s">
        <v>18</v>
      </c>
      <c r="H641" s="1">
        <v>15019</v>
      </c>
      <c r="I641" s="1" t="s">
        <v>33</v>
      </c>
      <c r="J641" s="1">
        <v>0.3</v>
      </c>
      <c r="K641" s="1">
        <v>17000</v>
      </c>
      <c r="L641" s="2">
        <v>45307</v>
      </c>
    </row>
    <row r="642" spans="1:12" x14ac:dyDescent="0.35">
      <c r="A642" s="1" t="s">
        <v>872</v>
      </c>
      <c r="B642" s="1" t="s">
        <v>294</v>
      </c>
      <c r="C642" s="1" t="s">
        <v>61</v>
      </c>
      <c r="D642" s="1" t="s">
        <v>62</v>
      </c>
      <c r="E642" s="1" t="s">
        <v>46</v>
      </c>
      <c r="F642" s="1" t="s">
        <v>17</v>
      </c>
      <c r="G642" s="1" t="s">
        <v>18</v>
      </c>
      <c r="H642" s="1">
        <v>9783</v>
      </c>
      <c r="I642" s="1" t="s">
        <v>33</v>
      </c>
      <c r="J642" s="1">
        <v>0.3</v>
      </c>
      <c r="K642" s="1">
        <v>9000</v>
      </c>
      <c r="L642" s="2">
        <v>45348</v>
      </c>
    </row>
    <row r="643" spans="1:12" x14ac:dyDescent="0.35">
      <c r="A643" s="1" t="s">
        <v>873</v>
      </c>
      <c r="B643" s="1" t="s">
        <v>231</v>
      </c>
      <c r="C643" s="1" t="s">
        <v>61</v>
      </c>
      <c r="D643" s="1" t="s">
        <v>62</v>
      </c>
      <c r="E643" s="1" t="s">
        <v>46</v>
      </c>
      <c r="F643" s="1" t="s">
        <v>17</v>
      </c>
      <c r="G643" s="1" t="s">
        <v>36</v>
      </c>
      <c r="H643" s="1">
        <v>9259</v>
      </c>
      <c r="I643" s="1" t="s">
        <v>22</v>
      </c>
      <c r="J643" s="1">
        <v>0.1</v>
      </c>
      <c r="K643" s="1">
        <v>9000</v>
      </c>
      <c r="L643" s="2">
        <v>45303</v>
      </c>
    </row>
    <row r="644" spans="1:12" x14ac:dyDescent="0.35">
      <c r="A644" s="1" t="s">
        <v>874</v>
      </c>
      <c r="B644" s="1" t="s">
        <v>163</v>
      </c>
      <c r="C644" s="1" t="s">
        <v>14</v>
      </c>
      <c r="D644" s="1" t="s">
        <v>15</v>
      </c>
      <c r="E644" s="1" t="s">
        <v>46</v>
      </c>
      <c r="F644" s="1" t="s">
        <v>25</v>
      </c>
      <c r="G644" s="1" t="s">
        <v>26</v>
      </c>
      <c r="H644" s="1">
        <v>12804</v>
      </c>
      <c r="I644" s="1" t="s">
        <v>33</v>
      </c>
      <c r="J644" s="1">
        <v>0.3</v>
      </c>
      <c r="K644" s="1">
        <v>14000</v>
      </c>
      <c r="L644" s="2">
        <v>45338</v>
      </c>
    </row>
    <row r="645" spans="1:12" x14ac:dyDescent="0.35">
      <c r="A645" s="1" t="s">
        <v>875</v>
      </c>
      <c r="B645" s="1" t="s">
        <v>50</v>
      </c>
      <c r="C645" s="1" t="s">
        <v>14</v>
      </c>
      <c r="D645" s="1" t="s">
        <v>15</v>
      </c>
      <c r="E645" s="1" t="s">
        <v>16</v>
      </c>
      <c r="F645" s="1" t="s">
        <v>25</v>
      </c>
      <c r="G645" s="1" t="s">
        <v>18</v>
      </c>
      <c r="H645" s="1">
        <v>15479</v>
      </c>
      <c r="I645" s="1" t="s">
        <v>27</v>
      </c>
      <c r="J645" s="1"/>
      <c r="K645" s="1">
        <v>14000</v>
      </c>
      <c r="L645" s="2">
        <v>45332</v>
      </c>
    </row>
    <row r="646" spans="1:12" x14ac:dyDescent="0.35">
      <c r="A646" s="1" t="s">
        <v>876</v>
      </c>
      <c r="B646" s="1" t="s">
        <v>129</v>
      </c>
      <c r="C646" s="1" t="s">
        <v>61</v>
      </c>
      <c r="D646" s="1" t="s">
        <v>62</v>
      </c>
      <c r="E646" s="1" t="s">
        <v>16</v>
      </c>
      <c r="F646" s="1" t="s">
        <v>25</v>
      </c>
      <c r="G646" s="1" t="s">
        <v>18</v>
      </c>
      <c r="H646" s="1">
        <v>9259</v>
      </c>
      <c r="I646" s="1" t="s">
        <v>33</v>
      </c>
      <c r="J646" s="1">
        <v>0.3</v>
      </c>
      <c r="K646" s="1">
        <v>9000</v>
      </c>
      <c r="L646" s="2">
        <v>45326</v>
      </c>
    </row>
    <row r="647" spans="1:12" x14ac:dyDescent="0.35">
      <c r="A647" s="1" t="s">
        <v>877</v>
      </c>
      <c r="B647" s="1" t="s">
        <v>84</v>
      </c>
      <c r="C647" s="1" t="s">
        <v>61</v>
      </c>
      <c r="D647" s="1" t="s">
        <v>62</v>
      </c>
      <c r="E647" s="1" t="s">
        <v>16</v>
      </c>
      <c r="F647" s="1" t="s">
        <v>25</v>
      </c>
      <c r="G647" s="1" t="s">
        <v>36</v>
      </c>
      <c r="H647" s="1">
        <v>8607</v>
      </c>
      <c r="I647" s="1" t="s">
        <v>19</v>
      </c>
      <c r="J647" s="1">
        <v>0.2</v>
      </c>
      <c r="K647" s="1">
        <v>9000</v>
      </c>
      <c r="L647" s="2">
        <v>45349</v>
      </c>
    </row>
    <row r="648" spans="1:12" x14ac:dyDescent="0.35">
      <c r="A648" s="1" t="s">
        <v>878</v>
      </c>
      <c r="B648" s="1" t="s">
        <v>522</v>
      </c>
      <c r="C648" s="1" t="s">
        <v>30</v>
      </c>
      <c r="D648" s="1" t="s">
        <v>31</v>
      </c>
      <c r="E648" s="1" t="s">
        <v>32</v>
      </c>
      <c r="F648" s="1" t="s">
        <v>17</v>
      </c>
      <c r="G648" s="1" t="s">
        <v>26</v>
      </c>
      <c r="H648" s="1">
        <v>17090</v>
      </c>
      <c r="I648" s="1" t="s">
        <v>22</v>
      </c>
      <c r="J648" s="1">
        <v>0.1</v>
      </c>
      <c r="K648" s="1">
        <v>17000</v>
      </c>
      <c r="L648" s="2">
        <v>45317</v>
      </c>
    </row>
    <row r="649" spans="1:12" x14ac:dyDescent="0.35">
      <c r="A649" s="1" t="s">
        <v>879</v>
      </c>
      <c r="B649" s="1" t="s">
        <v>301</v>
      </c>
      <c r="C649" s="1" t="s">
        <v>14</v>
      </c>
      <c r="D649" s="1" t="s">
        <v>15</v>
      </c>
      <c r="E649" s="1" t="s">
        <v>16</v>
      </c>
      <c r="F649" s="1" t="s">
        <v>25</v>
      </c>
      <c r="G649" s="1" t="s">
        <v>26</v>
      </c>
      <c r="H649" s="1">
        <v>14802</v>
      </c>
      <c r="I649" s="1" t="s">
        <v>19</v>
      </c>
      <c r="J649" s="1">
        <v>0.2</v>
      </c>
      <c r="K649" s="1">
        <v>14000</v>
      </c>
      <c r="L649" s="2">
        <v>45340</v>
      </c>
    </row>
    <row r="650" spans="1:12" x14ac:dyDescent="0.35">
      <c r="A650" s="1" t="s">
        <v>880</v>
      </c>
      <c r="B650" s="1" t="s">
        <v>80</v>
      </c>
      <c r="C650" s="1" t="s">
        <v>61</v>
      </c>
      <c r="D650" s="1" t="s">
        <v>62</v>
      </c>
      <c r="E650" s="1" t="s">
        <v>32</v>
      </c>
      <c r="F650" s="1" t="s">
        <v>25</v>
      </c>
      <c r="G650" s="1" t="s">
        <v>26</v>
      </c>
      <c r="H650" s="1">
        <v>10885</v>
      </c>
      <c r="I650" s="1" t="s">
        <v>27</v>
      </c>
      <c r="J650" s="1"/>
      <c r="K650" s="1">
        <v>9000</v>
      </c>
      <c r="L650" s="2">
        <v>45334</v>
      </c>
    </row>
    <row r="651" spans="1:12" x14ac:dyDescent="0.35">
      <c r="A651" s="1" t="s">
        <v>881</v>
      </c>
      <c r="B651" s="1" t="s">
        <v>412</v>
      </c>
      <c r="C651" s="1" t="s">
        <v>61</v>
      </c>
      <c r="D651" s="1" t="s">
        <v>62</v>
      </c>
      <c r="E651" s="1" t="s">
        <v>46</v>
      </c>
      <c r="F651" s="1" t="s">
        <v>25</v>
      </c>
      <c r="G651" s="1" t="s">
        <v>18</v>
      </c>
      <c r="H651" s="1">
        <v>10118</v>
      </c>
      <c r="I651" s="1"/>
      <c r="J651" s="1"/>
      <c r="K651" s="1">
        <v>9000</v>
      </c>
      <c r="L651" s="2">
        <v>45306</v>
      </c>
    </row>
    <row r="652" spans="1:12" x14ac:dyDescent="0.35">
      <c r="A652" s="1" t="s">
        <v>882</v>
      </c>
      <c r="B652" s="1" t="s">
        <v>263</v>
      </c>
      <c r="C652" s="1" t="s">
        <v>30</v>
      </c>
      <c r="D652" s="1" t="s">
        <v>31</v>
      </c>
      <c r="E652" s="1" t="s">
        <v>32</v>
      </c>
      <c r="F652" s="1" t="s">
        <v>25</v>
      </c>
      <c r="G652" s="1" t="s">
        <v>26</v>
      </c>
      <c r="H652" s="1">
        <v>15846</v>
      </c>
      <c r="I652" s="1" t="s">
        <v>27</v>
      </c>
      <c r="J652" s="1"/>
      <c r="K652" s="1">
        <v>17000</v>
      </c>
      <c r="L652" s="2">
        <v>45350</v>
      </c>
    </row>
    <row r="653" spans="1:12" x14ac:dyDescent="0.35">
      <c r="A653" s="1" t="s">
        <v>883</v>
      </c>
      <c r="B653" s="1" t="s">
        <v>602</v>
      </c>
      <c r="C653" s="1" t="s">
        <v>61</v>
      </c>
      <c r="D653" s="1" t="s">
        <v>62</v>
      </c>
      <c r="E653" s="1" t="s">
        <v>46</v>
      </c>
      <c r="F653" s="1" t="s">
        <v>17</v>
      </c>
      <c r="G653" s="1" t="s">
        <v>18</v>
      </c>
      <c r="H653" s="1">
        <v>7163</v>
      </c>
      <c r="I653" s="1" t="s">
        <v>33</v>
      </c>
      <c r="J653" s="1">
        <v>0.3</v>
      </c>
      <c r="K653" s="1">
        <v>9000</v>
      </c>
      <c r="L653" s="2">
        <v>45298</v>
      </c>
    </row>
    <row r="654" spans="1:12" x14ac:dyDescent="0.35">
      <c r="A654" s="1" t="s">
        <v>884</v>
      </c>
      <c r="B654" s="1" t="s">
        <v>103</v>
      </c>
      <c r="C654" s="1" t="s">
        <v>30</v>
      </c>
      <c r="D654" s="1" t="s">
        <v>31</v>
      </c>
      <c r="E654" s="1" t="s">
        <v>16</v>
      </c>
      <c r="F654" s="1" t="s">
        <v>17</v>
      </c>
      <c r="G654" s="1" t="s">
        <v>26</v>
      </c>
      <c r="H654" s="1">
        <v>17229</v>
      </c>
      <c r="I654" s="1" t="s">
        <v>27</v>
      </c>
      <c r="J654" s="1"/>
      <c r="K654" s="1">
        <v>17000</v>
      </c>
      <c r="L654" s="2">
        <v>45303</v>
      </c>
    </row>
    <row r="655" spans="1:12" x14ac:dyDescent="0.35">
      <c r="A655" s="1" t="s">
        <v>885</v>
      </c>
      <c r="B655" s="1" t="s">
        <v>274</v>
      </c>
      <c r="C655" s="1" t="s">
        <v>61</v>
      </c>
      <c r="D655" s="1" t="s">
        <v>62</v>
      </c>
      <c r="E655" s="1" t="s">
        <v>46</v>
      </c>
      <c r="F655" s="1" t="s">
        <v>39</v>
      </c>
      <c r="G655" s="1" t="s">
        <v>26</v>
      </c>
      <c r="H655" s="1">
        <v>10679</v>
      </c>
      <c r="I655" s="1" t="s">
        <v>22</v>
      </c>
      <c r="J655" s="1">
        <v>0.1</v>
      </c>
      <c r="K655" s="1">
        <v>9000</v>
      </c>
      <c r="L655" s="2">
        <v>45325</v>
      </c>
    </row>
    <row r="656" spans="1:12" x14ac:dyDescent="0.35">
      <c r="A656" s="1" t="s">
        <v>886</v>
      </c>
      <c r="B656" s="1" t="s">
        <v>70</v>
      </c>
      <c r="C656" s="1" t="s">
        <v>44</v>
      </c>
      <c r="D656" s="1" t="s">
        <v>45</v>
      </c>
      <c r="E656" s="1" t="s">
        <v>16</v>
      </c>
      <c r="F656" s="1" t="s">
        <v>17</v>
      </c>
      <c r="G656" s="1" t="s">
        <v>36</v>
      </c>
      <c r="H656" s="1">
        <v>14347</v>
      </c>
      <c r="I656" s="1" t="s">
        <v>33</v>
      </c>
      <c r="J656" s="1">
        <v>0.3</v>
      </c>
      <c r="K656" s="1">
        <v>13000</v>
      </c>
      <c r="L656" s="2">
        <v>45323</v>
      </c>
    </row>
    <row r="657" spans="1:12" x14ac:dyDescent="0.35">
      <c r="A657" s="1" t="s">
        <v>887</v>
      </c>
      <c r="B657" s="1" t="s">
        <v>298</v>
      </c>
      <c r="C657" s="1" t="s">
        <v>14</v>
      </c>
      <c r="D657" s="1" t="s">
        <v>15</v>
      </c>
      <c r="E657" s="1" t="s">
        <v>16</v>
      </c>
      <c r="F657" s="1" t="s">
        <v>25</v>
      </c>
      <c r="G657" s="1" t="s">
        <v>36</v>
      </c>
      <c r="H657" s="1">
        <v>12678</v>
      </c>
      <c r="I657" s="1" t="s">
        <v>19</v>
      </c>
      <c r="J657" s="1">
        <v>0.2</v>
      </c>
      <c r="K657" s="1">
        <v>14000</v>
      </c>
      <c r="L657" s="2">
        <v>45296</v>
      </c>
    </row>
    <row r="658" spans="1:12" x14ac:dyDescent="0.35">
      <c r="A658" s="1" t="s">
        <v>888</v>
      </c>
      <c r="B658" s="1" t="s">
        <v>202</v>
      </c>
      <c r="C658" s="1" t="s">
        <v>30</v>
      </c>
      <c r="D658" s="1" t="s">
        <v>31</v>
      </c>
      <c r="E658" s="1" t="s">
        <v>32</v>
      </c>
      <c r="F658" s="1" t="s">
        <v>25</v>
      </c>
      <c r="G658" s="1" t="s">
        <v>18</v>
      </c>
      <c r="H658" s="1">
        <v>15644</v>
      </c>
      <c r="I658" s="1" t="s">
        <v>33</v>
      </c>
      <c r="J658" s="1">
        <v>0.3</v>
      </c>
      <c r="K658" s="1">
        <v>17000</v>
      </c>
      <c r="L658" s="2">
        <v>45330</v>
      </c>
    </row>
    <row r="659" spans="1:12" x14ac:dyDescent="0.35">
      <c r="A659" s="1" t="s">
        <v>889</v>
      </c>
      <c r="B659" s="1" t="s">
        <v>371</v>
      </c>
      <c r="C659" s="1" t="s">
        <v>14</v>
      </c>
      <c r="D659" s="1" t="s">
        <v>15</v>
      </c>
      <c r="E659" s="1" t="s">
        <v>16</v>
      </c>
      <c r="F659" s="1" t="s">
        <v>25</v>
      </c>
      <c r="G659" s="1" t="s">
        <v>36</v>
      </c>
      <c r="H659" s="1">
        <v>15322</v>
      </c>
      <c r="I659" s="1" t="s">
        <v>33</v>
      </c>
      <c r="J659" s="1">
        <v>0.3</v>
      </c>
      <c r="K659" s="1">
        <v>14000</v>
      </c>
      <c r="L659" s="2">
        <v>45338</v>
      </c>
    </row>
    <row r="660" spans="1:12" x14ac:dyDescent="0.35">
      <c r="A660" s="1" t="s">
        <v>890</v>
      </c>
      <c r="B660" s="1" t="s">
        <v>245</v>
      </c>
      <c r="C660" s="1" t="s">
        <v>61</v>
      </c>
      <c r="D660" s="1" t="s">
        <v>62</v>
      </c>
      <c r="E660" s="1" t="s">
        <v>46</v>
      </c>
      <c r="F660" s="1" t="s">
        <v>25</v>
      </c>
      <c r="G660" s="1" t="s">
        <v>26</v>
      </c>
      <c r="H660" s="1">
        <v>7660</v>
      </c>
      <c r="I660" s="1"/>
      <c r="J660" s="1"/>
      <c r="K660" s="1">
        <v>9000</v>
      </c>
      <c r="L660" s="2">
        <v>45293</v>
      </c>
    </row>
    <row r="661" spans="1:12" x14ac:dyDescent="0.35">
      <c r="A661" s="1" t="s">
        <v>891</v>
      </c>
      <c r="B661" s="1" t="s">
        <v>500</v>
      </c>
      <c r="C661" s="1" t="s">
        <v>44</v>
      </c>
      <c r="D661" s="1" t="s">
        <v>45</v>
      </c>
      <c r="E661" s="1" t="s">
        <v>16</v>
      </c>
      <c r="F661" s="1" t="s">
        <v>39</v>
      </c>
      <c r="G661" s="1" t="s">
        <v>18</v>
      </c>
      <c r="H661" s="1">
        <v>11551</v>
      </c>
      <c r="I661" s="1" t="s">
        <v>27</v>
      </c>
      <c r="J661" s="1"/>
      <c r="K661" s="1">
        <v>13000</v>
      </c>
      <c r="L661" s="2">
        <v>45294</v>
      </c>
    </row>
    <row r="662" spans="1:12" x14ac:dyDescent="0.35">
      <c r="A662" s="1" t="s">
        <v>892</v>
      </c>
      <c r="B662" s="1" t="s">
        <v>60</v>
      </c>
      <c r="C662" s="1" t="s">
        <v>44</v>
      </c>
      <c r="D662" s="1" t="s">
        <v>45</v>
      </c>
      <c r="E662" s="1" t="s">
        <v>32</v>
      </c>
      <c r="F662" s="1" t="s">
        <v>25</v>
      </c>
      <c r="G662" s="1" t="s">
        <v>36</v>
      </c>
      <c r="H662" s="1">
        <v>14778</v>
      </c>
      <c r="I662" s="1" t="s">
        <v>19</v>
      </c>
      <c r="J662" s="1">
        <v>0.2</v>
      </c>
      <c r="K662" s="1">
        <v>13000</v>
      </c>
      <c r="L662" s="2">
        <v>45325</v>
      </c>
    </row>
    <row r="663" spans="1:12" x14ac:dyDescent="0.35">
      <c r="A663" s="1" t="s">
        <v>893</v>
      </c>
      <c r="B663" s="1" t="s">
        <v>617</v>
      </c>
      <c r="C663" s="1" t="s">
        <v>14</v>
      </c>
      <c r="D663" s="1" t="s">
        <v>15</v>
      </c>
      <c r="E663" s="1" t="s">
        <v>16</v>
      </c>
      <c r="F663" s="1" t="s">
        <v>39</v>
      </c>
      <c r="G663" s="1" t="s">
        <v>26</v>
      </c>
      <c r="H663" s="1">
        <v>15364</v>
      </c>
      <c r="I663" s="1" t="s">
        <v>33</v>
      </c>
      <c r="J663" s="1">
        <v>0.3</v>
      </c>
      <c r="K663" s="1">
        <v>14000</v>
      </c>
      <c r="L663" s="2">
        <v>45352</v>
      </c>
    </row>
    <row r="664" spans="1:12" x14ac:dyDescent="0.35">
      <c r="A664" s="1" t="s">
        <v>894</v>
      </c>
      <c r="B664" s="1" t="s">
        <v>248</v>
      </c>
      <c r="C664" s="1" t="s">
        <v>61</v>
      </c>
      <c r="D664" s="1" t="s">
        <v>62</v>
      </c>
      <c r="E664" s="1" t="s">
        <v>16</v>
      </c>
      <c r="F664" s="1" t="s">
        <v>17</v>
      </c>
      <c r="G664" s="1" t="s">
        <v>36</v>
      </c>
      <c r="H664" s="1">
        <v>7698</v>
      </c>
      <c r="I664" s="1" t="s">
        <v>19</v>
      </c>
      <c r="J664" s="1">
        <v>0.2</v>
      </c>
      <c r="K664" s="1">
        <v>9000</v>
      </c>
      <c r="L664" s="2">
        <v>45345</v>
      </c>
    </row>
    <row r="665" spans="1:12" x14ac:dyDescent="0.35">
      <c r="A665" s="1" t="s">
        <v>895</v>
      </c>
      <c r="B665" s="1" t="s">
        <v>617</v>
      </c>
      <c r="C665" s="1" t="s">
        <v>44</v>
      </c>
      <c r="D665" s="1" t="s">
        <v>45</v>
      </c>
      <c r="E665" s="1" t="s">
        <v>16</v>
      </c>
      <c r="F665" s="1" t="s">
        <v>25</v>
      </c>
      <c r="G665" s="1" t="s">
        <v>26</v>
      </c>
      <c r="H665" s="1">
        <v>13701</v>
      </c>
      <c r="I665" s="1" t="s">
        <v>27</v>
      </c>
      <c r="J665" s="1"/>
      <c r="K665" s="1">
        <v>13000</v>
      </c>
      <c r="L665" s="2">
        <v>45308</v>
      </c>
    </row>
    <row r="666" spans="1:12" x14ac:dyDescent="0.35">
      <c r="A666" s="1" t="s">
        <v>896</v>
      </c>
      <c r="B666" s="1" t="s">
        <v>280</v>
      </c>
      <c r="C666" s="1" t="s">
        <v>30</v>
      </c>
      <c r="D666" s="1" t="s">
        <v>31</v>
      </c>
      <c r="E666" s="1" t="s">
        <v>46</v>
      </c>
      <c r="F666" s="1" t="s">
        <v>39</v>
      </c>
      <c r="G666" s="1" t="s">
        <v>26</v>
      </c>
      <c r="H666" s="1">
        <v>15281</v>
      </c>
      <c r="I666" s="1" t="s">
        <v>19</v>
      </c>
      <c r="J666" s="1">
        <v>0.2</v>
      </c>
      <c r="K666" s="1">
        <v>17000</v>
      </c>
      <c r="L666" s="2">
        <v>45316</v>
      </c>
    </row>
    <row r="667" spans="1:12" x14ac:dyDescent="0.35">
      <c r="A667" s="1" t="s">
        <v>897</v>
      </c>
      <c r="B667" s="1" t="s">
        <v>186</v>
      </c>
      <c r="C667" s="1" t="s">
        <v>14</v>
      </c>
      <c r="D667" s="1" t="s">
        <v>15</v>
      </c>
      <c r="E667" s="1" t="s">
        <v>32</v>
      </c>
      <c r="F667" s="1" t="s">
        <v>25</v>
      </c>
      <c r="G667" s="1" t="s">
        <v>26</v>
      </c>
      <c r="H667" s="1">
        <v>15520</v>
      </c>
      <c r="I667" s="1" t="s">
        <v>27</v>
      </c>
      <c r="J667" s="1"/>
      <c r="K667" s="1">
        <v>14000</v>
      </c>
      <c r="L667" s="2">
        <v>45335</v>
      </c>
    </row>
    <row r="668" spans="1:12" x14ac:dyDescent="0.35">
      <c r="A668" s="1" t="s">
        <v>898</v>
      </c>
      <c r="B668" s="1" t="s">
        <v>309</v>
      </c>
      <c r="C668" s="1" t="s">
        <v>44</v>
      </c>
      <c r="D668" s="1" t="s">
        <v>45</v>
      </c>
      <c r="E668" s="1" t="s">
        <v>16</v>
      </c>
      <c r="F668" s="1" t="s">
        <v>25</v>
      </c>
      <c r="G668" s="1" t="s">
        <v>18</v>
      </c>
      <c r="H668" s="1">
        <v>12949</v>
      </c>
      <c r="I668" s="1" t="s">
        <v>27</v>
      </c>
      <c r="J668" s="1"/>
      <c r="K668" s="1">
        <v>13000</v>
      </c>
      <c r="L668" s="2">
        <v>45330</v>
      </c>
    </row>
    <row r="669" spans="1:12" x14ac:dyDescent="0.35">
      <c r="A669" s="1" t="s">
        <v>899</v>
      </c>
      <c r="B669" s="1" t="s">
        <v>321</v>
      </c>
      <c r="C669" s="1" t="s">
        <v>14</v>
      </c>
      <c r="D669" s="1" t="s">
        <v>15</v>
      </c>
      <c r="E669" s="1" t="s">
        <v>32</v>
      </c>
      <c r="F669" s="1" t="s">
        <v>17</v>
      </c>
      <c r="G669" s="1" t="s">
        <v>26</v>
      </c>
      <c r="H669" s="1">
        <v>12533</v>
      </c>
      <c r="I669" s="1" t="s">
        <v>27</v>
      </c>
      <c r="J669" s="1"/>
      <c r="K669" s="1">
        <v>14000</v>
      </c>
      <c r="L669" s="2">
        <v>45326</v>
      </c>
    </row>
    <row r="670" spans="1:12" x14ac:dyDescent="0.35">
      <c r="A670" s="1" t="s">
        <v>900</v>
      </c>
      <c r="B670" s="1" t="s">
        <v>676</v>
      </c>
      <c r="C670" s="1" t="s">
        <v>61</v>
      </c>
      <c r="D670" s="1" t="s">
        <v>62</v>
      </c>
      <c r="E670" s="1" t="s">
        <v>16</v>
      </c>
      <c r="F670" s="1" t="s">
        <v>17</v>
      </c>
      <c r="G670" s="1" t="s">
        <v>36</v>
      </c>
      <c r="H670" s="1">
        <v>10583</v>
      </c>
      <c r="I670" s="1" t="s">
        <v>22</v>
      </c>
      <c r="J670" s="1">
        <v>0.1</v>
      </c>
      <c r="K670" s="1">
        <v>9000</v>
      </c>
      <c r="L670" s="2">
        <v>45336</v>
      </c>
    </row>
    <row r="671" spans="1:12" x14ac:dyDescent="0.35">
      <c r="A671" s="1" t="s">
        <v>901</v>
      </c>
      <c r="B671" s="1" t="s">
        <v>388</v>
      </c>
      <c r="C671" s="1" t="s">
        <v>44</v>
      </c>
      <c r="D671" s="1" t="s">
        <v>45</v>
      </c>
      <c r="E671" s="1" t="s">
        <v>46</v>
      </c>
      <c r="F671" s="1" t="s">
        <v>17</v>
      </c>
      <c r="G671" s="1" t="s">
        <v>36</v>
      </c>
      <c r="H671" s="1">
        <v>13412</v>
      </c>
      <c r="I671" s="1" t="s">
        <v>27</v>
      </c>
      <c r="J671" s="1"/>
      <c r="K671" s="1">
        <v>13000</v>
      </c>
      <c r="L671" s="2">
        <v>45298</v>
      </c>
    </row>
    <row r="672" spans="1:12" x14ac:dyDescent="0.35">
      <c r="A672" s="1" t="s">
        <v>902</v>
      </c>
      <c r="B672" s="1" t="s">
        <v>186</v>
      </c>
      <c r="C672" s="1" t="s">
        <v>30</v>
      </c>
      <c r="D672" s="1" t="s">
        <v>31</v>
      </c>
      <c r="E672" s="1" t="s">
        <v>46</v>
      </c>
      <c r="F672" s="1" t="s">
        <v>25</v>
      </c>
      <c r="G672" s="1" t="s">
        <v>18</v>
      </c>
      <c r="H672" s="1">
        <v>16160</v>
      </c>
      <c r="I672" s="1" t="s">
        <v>27</v>
      </c>
      <c r="J672" s="1"/>
      <c r="K672" s="1">
        <v>17000</v>
      </c>
      <c r="L672" s="2">
        <v>45348</v>
      </c>
    </row>
    <row r="673" spans="1:12" x14ac:dyDescent="0.35">
      <c r="A673" s="1" t="s">
        <v>903</v>
      </c>
      <c r="B673" s="1" t="s">
        <v>388</v>
      </c>
      <c r="C673" s="1" t="s">
        <v>30</v>
      </c>
      <c r="D673" s="1" t="s">
        <v>31</v>
      </c>
      <c r="E673" s="1" t="s">
        <v>32</v>
      </c>
      <c r="F673" s="1" t="s">
        <v>25</v>
      </c>
      <c r="G673" s="1" t="s">
        <v>26</v>
      </c>
      <c r="H673" s="1">
        <v>18045</v>
      </c>
      <c r="I673" s="1" t="s">
        <v>22</v>
      </c>
      <c r="J673" s="1">
        <v>0.1</v>
      </c>
      <c r="K673" s="1">
        <v>17000</v>
      </c>
      <c r="L673" s="2">
        <v>45328</v>
      </c>
    </row>
    <row r="674" spans="1:12" x14ac:dyDescent="0.35">
      <c r="A674" s="1" t="s">
        <v>904</v>
      </c>
      <c r="B674" s="1" t="s">
        <v>905</v>
      </c>
      <c r="C674" s="1" t="s">
        <v>14</v>
      </c>
      <c r="D674" s="1" t="s">
        <v>15</v>
      </c>
      <c r="E674" s="1" t="s">
        <v>46</v>
      </c>
      <c r="F674" s="1" t="s">
        <v>39</v>
      </c>
      <c r="G674" s="1" t="s">
        <v>18</v>
      </c>
      <c r="H674" s="1">
        <v>14817</v>
      </c>
      <c r="I674" s="1" t="s">
        <v>33</v>
      </c>
      <c r="J674" s="1">
        <v>0.3</v>
      </c>
      <c r="K674" s="1">
        <v>14000</v>
      </c>
      <c r="L674" s="2">
        <v>45318</v>
      </c>
    </row>
    <row r="675" spans="1:12" x14ac:dyDescent="0.35">
      <c r="A675" s="1" t="s">
        <v>906</v>
      </c>
      <c r="B675" s="1" t="s">
        <v>116</v>
      </c>
      <c r="C675" s="1" t="s">
        <v>44</v>
      </c>
      <c r="D675" s="1" t="s">
        <v>45</v>
      </c>
      <c r="E675" s="1" t="s">
        <v>46</v>
      </c>
      <c r="F675" s="1" t="s">
        <v>39</v>
      </c>
      <c r="G675" s="1" t="s">
        <v>26</v>
      </c>
      <c r="H675" s="1">
        <v>12038</v>
      </c>
      <c r="I675" s="1" t="s">
        <v>33</v>
      </c>
      <c r="J675" s="1">
        <v>0.3</v>
      </c>
      <c r="K675" s="1">
        <v>13000</v>
      </c>
      <c r="L675" s="2">
        <v>45346</v>
      </c>
    </row>
    <row r="676" spans="1:12" x14ac:dyDescent="0.35">
      <c r="A676" s="1" t="s">
        <v>907</v>
      </c>
      <c r="B676" s="1" t="s">
        <v>388</v>
      </c>
      <c r="C676" s="1" t="s">
        <v>30</v>
      </c>
      <c r="D676" s="1" t="s">
        <v>31</v>
      </c>
      <c r="E676" s="1" t="s">
        <v>16</v>
      </c>
      <c r="F676" s="1" t="s">
        <v>17</v>
      </c>
      <c r="G676" s="1" t="s">
        <v>26</v>
      </c>
      <c r="H676" s="1">
        <v>16627</v>
      </c>
      <c r="I676" s="1" t="s">
        <v>19</v>
      </c>
      <c r="J676" s="1">
        <v>0.2</v>
      </c>
      <c r="K676" s="1">
        <v>17000</v>
      </c>
      <c r="L676" s="2">
        <v>45318</v>
      </c>
    </row>
    <row r="677" spans="1:12" x14ac:dyDescent="0.35">
      <c r="A677" s="1" t="s">
        <v>908</v>
      </c>
      <c r="B677" s="1" t="s">
        <v>82</v>
      </c>
      <c r="C677" s="1" t="s">
        <v>61</v>
      </c>
      <c r="D677" s="1" t="s">
        <v>62</v>
      </c>
      <c r="E677" s="1" t="s">
        <v>32</v>
      </c>
      <c r="F677" s="1" t="s">
        <v>17</v>
      </c>
      <c r="G677" s="1" t="s">
        <v>26</v>
      </c>
      <c r="H677" s="1">
        <v>9272</v>
      </c>
      <c r="I677" s="1"/>
      <c r="J677" s="1"/>
      <c r="K677" s="1">
        <v>9000</v>
      </c>
      <c r="L677" s="2">
        <v>45308</v>
      </c>
    </row>
    <row r="678" spans="1:12" x14ac:dyDescent="0.35">
      <c r="A678" s="1" t="s">
        <v>909</v>
      </c>
      <c r="B678" s="1" t="s">
        <v>118</v>
      </c>
      <c r="C678" s="1" t="s">
        <v>30</v>
      </c>
      <c r="D678" s="1" t="s">
        <v>31</v>
      </c>
      <c r="E678" s="1" t="s">
        <v>16</v>
      </c>
      <c r="F678" s="1" t="s">
        <v>17</v>
      </c>
      <c r="G678" s="1" t="s">
        <v>26</v>
      </c>
      <c r="H678" s="1">
        <v>15565</v>
      </c>
      <c r="I678" s="1" t="s">
        <v>22</v>
      </c>
      <c r="J678" s="1">
        <v>0.1</v>
      </c>
      <c r="K678" s="1">
        <v>17000</v>
      </c>
      <c r="L678" s="2">
        <v>45339</v>
      </c>
    </row>
    <row r="679" spans="1:12" x14ac:dyDescent="0.35">
      <c r="A679" s="1" t="s">
        <v>910</v>
      </c>
      <c r="B679" s="1" t="s">
        <v>29</v>
      </c>
      <c r="C679" s="1" t="s">
        <v>44</v>
      </c>
      <c r="D679" s="1" t="s">
        <v>45</v>
      </c>
      <c r="E679" s="1" t="s">
        <v>32</v>
      </c>
      <c r="F679" s="1" t="s">
        <v>25</v>
      </c>
      <c r="G679" s="1" t="s">
        <v>26</v>
      </c>
      <c r="H679" s="1">
        <v>12640</v>
      </c>
      <c r="I679" s="1" t="s">
        <v>33</v>
      </c>
      <c r="J679" s="1">
        <v>0.3</v>
      </c>
      <c r="K679" s="1">
        <v>13000</v>
      </c>
      <c r="L679" s="2">
        <v>45343</v>
      </c>
    </row>
    <row r="680" spans="1:12" x14ac:dyDescent="0.35">
      <c r="A680" s="1" t="s">
        <v>911</v>
      </c>
      <c r="B680" s="1" t="s">
        <v>382</v>
      </c>
      <c r="C680" s="1" t="s">
        <v>14</v>
      </c>
      <c r="D680" s="1" t="s">
        <v>15</v>
      </c>
      <c r="E680" s="1" t="s">
        <v>32</v>
      </c>
      <c r="F680" s="1" t="s">
        <v>17</v>
      </c>
      <c r="G680" s="1" t="s">
        <v>26</v>
      </c>
      <c r="H680" s="1">
        <v>12021</v>
      </c>
      <c r="I680" s="1" t="s">
        <v>22</v>
      </c>
      <c r="J680" s="1">
        <v>0.1</v>
      </c>
      <c r="K680" s="1">
        <v>14000</v>
      </c>
      <c r="L680" s="2">
        <v>45344</v>
      </c>
    </row>
    <row r="681" spans="1:12" x14ac:dyDescent="0.35">
      <c r="A681" s="1" t="s">
        <v>912</v>
      </c>
      <c r="B681" s="1" t="s">
        <v>429</v>
      </c>
      <c r="C681" s="1" t="s">
        <v>61</v>
      </c>
      <c r="D681" s="1" t="s">
        <v>62</v>
      </c>
      <c r="E681" s="1" t="s">
        <v>32</v>
      </c>
      <c r="F681" s="1" t="s">
        <v>25</v>
      </c>
      <c r="G681" s="1" t="s">
        <v>36</v>
      </c>
      <c r="H681" s="1">
        <v>7908</v>
      </c>
      <c r="I681" s="1" t="s">
        <v>33</v>
      </c>
      <c r="J681" s="1">
        <v>0.3</v>
      </c>
      <c r="K681" s="1">
        <v>9000</v>
      </c>
      <c r="L681" s="2">
        <v>45297</v>
      </c>
    </row>
    <row r="682" spans="1:12" x14ac:dyDescent="0.35">
      <c r="A682" s="1" t="s">
        <v>913</v>
      </c>
      <c r="B682" s="1" t="s">
        <v>359</v>
      </c>
      <c r="C682" s="1" t="s">
        <v>61</v>
      </c>
      <c r="D682" s="1" t="s">
        <v>62</v>
      </c>
      <c r="E682" s="1" t="s">
        <v>46</v>
      </c>
      <c r="F682" s="1" t="s">
        <v>39</v>
      </c>
      <c r="G682" s="1" t="s">
        <v>26</v>
      </c>
      <c r="H682" s="1">
        <v>9134</v>
      </c>
      <c r="I682" s="1" t="s">
        <v>33</v>
      </c>
      <c r="J682" s="1">
        <v>0.3</v>
      </c>
      <c r="K682" s="1">
        <v>9000</v>
      </c>
      <c r="L682" s="2">
        <v>45337</v>
      </c>
    </row>
    <row r="683" spans="1:12" x14ac:dyDescent="0.35">
      <c r="A683" s="1" t="s">
        <v>914</v>
      </c>
      <c r="B683" s="1" t="s">
        <v>359</v>
      </c>
      <c r="C683" s="1" t="s">
        <v>44</v>
      </c>
      <c r="D683" s="1" t="s">
        <v>45</v>
      </c>
      <c r="E683" s="1" t="s">
        <v>16</v>
      </c>
      <c r="F683" s="1" t="s">
        <v>17</v>
      </c>
      <c r="G683" s="1" t="s">
        <v>36</v>
      </c>
      <c r="H683" s="1">
        <v>11043</v>
      </c>
      <c r="I683" s="1" t="s">
        <v>19</v>
      </c>
      <c r="J683" s="1">
        <v>0.2</v>
      </c>
      <c r="K683" s="1">
        <v>13000</v>
      </c>
      <c r="L683" s="2">
        <v>45346</v>
      </c>
    </row>
    <row r="684" spans="1:12" x14ac:dyDescent="0.35">
      <c r="A684" s="1" t="s">
        <v>915</v>
      </c>
      <c r="B684" s="1" t="s">
        <v>270</v>
      </c>
      <c r="C684" s="1" t="s">
        <v>30</v>
      </c>
      <c r="D684" s="1" t="s">
        <v>31</v>
      </c>
      <c r="E684" s="1" t="s">
        <v>32</v>
      </c>
      <c r="F684" s="1" t="s">
        <v>25</v>
      </c>
      <c r="G684" s="1" t="s">
        <v>26</v>
      </c>
      <c r="H684" s="1">
        <v>17091</v>
      </c>
      <c r="I684" s="1" t="s">
        <v>27</v>
      </c>
      <c r="J684" s="1"/>
      <c r="K684" s="1">
        <v>17000</v>
      </c>
      <c r="L684" s="2">
        <v>45336</v>
      </c>
    </row>
    <row r="685" spans="1:12" x14ac:dyDescent="0.35">
      <c r="A685" s="1" t="s">
        <v>916</v>
      </c>
      <c r="B685" s="1" t="s">
        <v>56</v>
      </c>
      <c r="C685" s="1" t="s">
        <v>44</v>
      </c>
      <c r="D685" s="1" t="s">
        <v>45</v>
      </c>
      <c r="E685" s="1" t="s">
        <v>16</v>
      </c>
      <c r="F685" s="1" t="s">
        <v>25</v>
      </c>
      <c r="G685" s="1" t="s">
        <v>36</v>
      </c>
      <c r="H685" s="1">
        <v>11979</v>
      </c>
      <c r="I685" s="1" t="s">
        <v>22</v>
      </c>
      <c r="J685" s="1">
        <v>0.1</v>
      </c>
      <c r="K685" s="1">
        <v>13000</v>
      </c>
      <c r="L685" s="2">
        <v>45302</v>
      </c>
    </row>
    <row r="686" spans="1:12" x14ac:dyDescent="0.35">
      <c r="A686" s="1" t="s">
        <v>917</v>
      </c>
      <c r="B686" s="1" t="s">
        <v>263</v>
      </c>
      <c r="C686" s="1" t="s">
        <v>61</v>
      </c>
      <c r="D686" s="1" t="s">
        <v>62</v>
      </c>
      <c r="E686" s="1" t="s">
        <v>46</v>
      </c>
      <c r="F686" s="1" t="s">
        <v>39</v>
      </c>
      <c r="G686" s="1" t="s">
        <v>36</v>
      </c>
      <c r="H686" s="1">
        <v>8660</v>
      </c>
      <c r="I686" s="1" t="s">
        <v>27</v>
      </c>
      <c r="J686" s="1"/>
      <c r="K686" s="1">
        <v>9000</v>
      </c>
      <c r="L686" s="2">
        <v>45304</v>
      </c>
    </row>
    <row r="687" spans="1:12" x14ac:dyDescent="0.35">
      <c r="A687" s="1" t="s">
        <v>918</v>
      </c>
      <c r="B687" s="1" t="s">
        <v>184</v>
      </c>
      <c r="C687" s="1" t="s">
        <v>14</v>
      </c>
      <c r="D687" s="1" t="s">
        <v>15</v>
      </c>
      <c r="E687" s="1" t="s">
        <v>32</v>
      </c>
      <c r="F687" s="1" t="s">
        <v>39</v>
      </c>
      <c r="G687" s="1" t="s">
        <v>36</v>
      </c>
      <c r="H687" s="1">
        <v>14974</v>
      </c>
      <c r="I687" s="1" t="s">
        <v>27</v>
      </c>
      <c r="J687" s="1"/>
      <c r="K687" s="1">
        <v>14000</v>
      </c>
      <c r="L687" s="2">
        <v>45350</v>
      </c>
    </row>
    <row r="688" spans="1:12" x14ac:dyDescent="0.35">
      <c r="A688" s="1" t="s">
        <v>919</v>
      </c>
      <c r="B688" s="1" t="s">
        <v>920</v>
      </c>
      <c r="C688" s="1" t="s">
        <v>30</v>
      </c>
      <c r="D688" s="1" t="s">
        <v>31</v>
      </c>
      <c r="E688" s="1" t="s">
        <v>46</v>
      </c>
      <c r="F688" s="1" t="s">
        <v>25</v>
      </c>
      <c r="G688" s="1" t="s">
        <v>26</v>
      </c>
      <c r="H688" s="1">
        <v>18944</v>
      </c>
      <c r="I688" s="1" t="s">
        <v>19</v>
      </c>
      <c r="J688" s="1">
        <v>0.2</v>
      </c>
      <c r="K688" s="1">
        <v>17000</v>
      </c>
      <c r="L688" s="2">
        <v>45321</v>
      </c>
    </row>
    <row r="689" spans="1:12" x14ac:dyDescent="0.35">
      <c r="A689" s="1" t="s">
        <v>921</v>
      </c>
      <c r="B689" s="1" t="s">
        <v>137</v>
      </c>
      <c r="C689" s="1" t="s">
        <v>14</v>
      </c>
      <c r="D689" s="1" t="s">
        <v>15</v>
      </c>
      <c r="E689" s="1" t="s">
        <v>46</v>
      </c>
      <c r="F689" s="1" t="s">
        <v>25</v>
      </c>
      <c r="G689" s="1" t="s">
        <v>36</v>
      </c>
      <c r="H689" s="1">
        <v>14073</v>
      </c>
      <c r="I689" s="1" t="s">
        <v>22</v>
      </c>
      <c r="J689" s="1">
        <v>0.1</v>
      </c>
      <c r="K689" s="1">
        <v>14000</v>
      </c>
      <c r="L689" s="2">
        <v>45327</v>
      </c>
    </row>
    <row r="690" spans="1:12" x14ac:dyDescent="0.35">
      <c r="A690" s="1" t="s">
        <v>922</v>
      </c>
      <c r="B690" s="1" t="s">
        <v>241</v>
      </c>
      <c r="C690" s="1" t="s">
        <v>30</v>
      </c>
      <c r="D690" s="1" t="s">
        <v>31</v>
      </c>
      <c r="E690" s="1" t="s">
        <v>46</v>
      </c>
      <c r="F690" s="1" t="s">
        <v>25</v>
      </c>
      <c r="G690" s="1" t="s">
        <v>26</v>
      </c>
      <c r="H690" s="1">
        <v>18918</v>
      </c>
      <c r="I690" s="1" t="s">
        <v>33</v>
      </c>
      <c r="J690" s="1">
        <v>0.3</v>
      </c>
      <c r="K690" s="1">
        <v>17000</v>
      </c>
      <c r="L690" s="2">
        <v>45348</v>
      </c>
    </row>
    <row r="691" spans="1:12" x14ac:dyDescent="0.35">
      <c r="A691" s="1" t="s">
        <v>923</v>
      </c>
      <c r="B691" s="1" t="s">
        <v>105</v>
      </c>
      <c r="C691" s="1" t="s">
        <v>30</v>
      </c>
      <c r="D691" s="1" t="s">
        <v>31</v>
      </c>
      <c r="E691" s="1" t="s">
        <v>16</v>
      </c>
      <c r="F691" s="1" t="s">
        <v>17</v>
      </c>
      <c r="G691" s="1" t="s">
        <v>36</v>
      </c>
      <c r="H691" s="1">
        <v>17306</v>
      </c>
      <c r="I691" s="1"/>
      <c r="J691" s="1"/>
      <c r="K691" s="1">
        <v>17000</v>
      </c>
      <c r="L691" s="2">
        <v>45341</v>
      </c>
    </row>
    <row r="692" spans="1:12" x14ac:dyDescent="0.35">
      <c r="A692" s="1" t="s">
        <v>924</v>
      </c>
      <c r="B692" s="1" t="s">
        <v>401</v>
      </c>
      <c r="C692" s="1" t="s">
        <v>30</v>
      </c>
      <c r="D692" s="1" t="s">
        <v>31</v>
      </c>
      <c r="E692" s="1" t="s">
        <v>46</v>
      </c>
      <c r="F692" s="1" t="s">
        <v>39</v>
      </c>
      <c r="G692" s="1" t="s">
        <v>36</v>
      </c>
      <c r="H692" s="1">
        <v>18672</v>
      </c>
      <c r="I692" s="1" t="s">
        <v>27</v>
      </c>
      <c r="J692" s="1"/>
      <c r="K692" s="1">
        <v>17000</v>
      </c>
      <c r="L692" s="2">
        <v>45347</v>
      </c>
    </row>
    <row r="693" spans="1:12" x14ac:dyDescent="0.35">
      <c r="A693" s="1" t="s">
        <v>925</v>
      </c>
      <c r="B693" s="1" t="s">
        <v>489</v>
      </c>
      <c r="C693" s="1" t="s">
        <v>14</v>
      </c>
      <c r="D693" s="1" t="s">
        <v>15</v>
      </c>
      <c r="E693" s="1" t="s">
        <v>46</v>
      </c>
      <c r="F693" s="1" t="s">
        <v>25</v>
      </c>
      <c r="G693" s="1" t="s">
        <v>36</v>
      </c>
      <c r="H693" s="1">
        <v>14595</v>
      </c>
      <c r="I693" s="1" t="s">
        <v>19</v>
      </c>
      <c r="J693" s="1">
        <v>0.2</v>
      </c>
      <c r="K693" s="1">
        <v>14000</v>
      </c>
      <c r="L693" s="2">
        <v>45335</v>
      </c>
    </row>
    <row r="694" spans="1:12" x14ac:dyDescent="0.35">
      <c r="A694" s="1" t="s">
        <v>926</v>
      </c>
      <c r="B694" s="1" t="s">
        <v>397</v>
      </c>
      <c r="C694" s="1" t="s">
        <v>30</v>
      </c>
      <c r="D694" s="1" t="s">
        <v>31</v>
      </c>
      <c r="E694" s="1" t="s">
        <v>46</v>
      </c>
      <c r="F694" s="1" t="s">
        <v>17</v>
      </c>
      <c r="G694" s="1" t="s">
        <v>26</v>
      </c>
      <c r="H694" s="1">
        <v>17194</v>
      </c>
      <c r="I694" s="1" t="s">
        <v>22</v>
      </c>
      <c r="J694" s="1">
        <v>0.1</v>
      </c>
      <c r="K694" s="1">
        <v>17000</v>
      </c>
      <c r="L694" s="2">
        <v>45336</v>
      </c>
    </row>
    <row r="695" spans="1:12" x14ac:dyDescent="0.35">
      <c r="A695" s="1" t="s">
        <v>927</v>
      </c>
      <c r="B695" s="1" t="s">
        <v>643</v>
      </c>
      <c r="C695" s="1" t="s">
        <v>44</v>
      </c>
      <c r="D695" s="1" t="s">
        <v>45</v>
      </c>
      <c r="E695" s="1" t="s">
        <v>46</v>
      </c>
      <c r="F695" s="1" t="s">
        <v>25</v>
      </c>
      <c r="G695" s="1" t="s">
        <v>36</v>
      </c>
      <c r="H695" s="1">
        <v>13759</v>
      </c>
      <c r="I695" s="1" t="s">
        <v>33</v>
      </c>
      <c r="J695" s="1">
        <v>0.3</v>
      </c>
      <c r="K695" s="1">
        <v>13000</v>
      </c>
      <c r="L695" s="2">
        <v>45296</v>
      </c>
    </row>
    <row r="696" spans="1:12" x14ac:dyDescent="0.35">
      <c r="A696" s="1" t="s">
        <v>928</v>
      </c>
      <c r="B696" s="1" t="s">
        <v>80</v>
      </c>
      <c r="C696" s="1" t="s">
        <v>61</v>
      </c>
      <c r="D696" s="1" t="s">
        <v>62</v>
      </c>
      <c r="E696" s="1" t="s">
        <v>46</v>
      </c>
      <c r="F696" s="1" t="s">
        <v>17</v>
      </c>
      <c r="G696" s="1" t="s">
        <v>18</v>
      </c>
      <c r="H696" s="1">
        <v>10663</v>
      </c>
      <c r="I696" s="1" t="s">
        <v>27</v>
      </c>
      <c r="J696" s="1"/>
      <c r="K696" s="1">
        <v>9000</v>
      </c>
      <c r="L696" s="2">
        <v>45309</v>
      </c>
    </row>
    <row r="697" spans="1:12" x14ac:dyDescent="0.35">
      <c r="A697" s="1" t="s">
        <v>929</v>
      </c>
      <c r="B697" s="1" t="s">
        <v>280</v>
      </c>
      <c r="C697" s="1" t="s">
        <v>44</v>
      </c>
      <c r="D697" s="1" t="s">
        <v>45</v>
      </c>
      <c r="E697" s="1" t="s">
        <v>46</v>
      </c>
      <c r="F697" s="1" t="s">
        <v>39</v>
      </c>
      <c r="G697" s="1" t="s">
        <v>18</v>
      </c>
      <c r="H697" s="1">
        <v>11961</v>
      </c>
      <c r="I697" s="1" t="s">
        <v>19</v>
      </c>
      <c r="J697" s="1">
        <v>0.2</v>
      </c>
      <c r="K697" s="1">
        <v>13000</v>
      </c>
      <c r="L697" s="2">
        <v>45347</v>
      </c>
    </row>
    <row r="698" spans="1:12" x14ac:dyDescent="0.35">
      <c r="A698" s="1" t="s">
        <v>930</v>
      </c>
      <c r="B698" s="1" t="s">
        <v>289</v>
      </c>
      <c r="C698" s="1" t="s">
        <v>44</v>
      </c>
      <c r="D698" s="1" t="s">
        <v>45</v>
      </c>
      <c r="E698" s="1" t="s">
        <v>32</v>
      </c>
      <c r="F698" s="1" t="s">
        <v>25</v>
      </c>
      <c r="G698" s="1" t="s">
        <v>26</v>
      </c>
      <c r="H698" s="1">
        <v>12458</v>
      </c>
      <c r="I698" s="1" t="s">
        <v>19</v>
      </c>
      <c r="J698" s="1">
        <v>0.2</v>
      </c>
      <c r="K698" s="1">
        <v>13000</v>
      </c>
      <c r="L698" s="2">
        <v>45341</v>
      </c>
    </row>
    <row r="699" spans="1:12" x14ac:dyDescent="0.35">
      <c r="A699" s="1" t="s">
        <v>931</v>
      </c>
      <c r="B699" s="1" t="s">
        <v>78</v>
      </c>
      <c r="C699" s="1" t="s">
        <v>14</v>
      </c>
      <c r="D699" s="1" t="s">
        <v>15</v>
      </c>
      <c r="E699" s="1" t="s">
        <v>16</v>
      </c>
      <c r="F699" s="1" t="s">
        <v>39</v>
      </c>
      <c r="G699" s="1" t="s">
        <v>36</v>
      </c>
      <c r="H699" s="1">
        <v>14514</v>
      </c>
      <c r="I699" s="1" t="s">
        <v>22</v>
      </c>
      <c r="J699" s="1">
        <v>0.1</v>
      </c>
      <c r="K699" s="1">
        <v>14000</v>
      </c>
      <c r="L699" s="2">
        <v>45340</v>
      </c>
    </row>
    <row r="700" spans="1:12" x14ac:dyDescent="0.35">
      <c r="A700" s="1" t="s">
        <v>932</v>
      </c>
      <c r="B700" s="1" t="s">
        <v>144</v>
      </c>
      <c r="C700" s="1" t="s">
        <v>14</v>
      </c>
      <c r="D700" s="1" t="s">
        <v>15</v>
      </c>
      <c r="E700" s="1" t="s">
        <v>46</v>
      </c>
      <c r="F700" s="1" t="s">
        <v>17</v>
      </c>
      <c r="G700" s="1" t="s">
        <v>26</v>
      </c>
      <c r="H700" s="1">
        <v>13291</v>
      </c>
      <c r="I700" s="1"/>
      <c r="J700" s="1"/>
      <c r="K700" s="1">
        <v>14000</v>
      </c>
      <c r="L700" s="2">
        <v>45349</v>
      </c>
    </row>
    <row r="701" spans="1:12" x14ac:dyDescent="0.35">
      <c r="A701" s="1" t="s">
        <v>933</v>
      </c>
      <c r="B701" s="1" t="s">
        <v>60</v>
      </c>
      <c r="C701" s="1" t="s">
        <v>30</v>
      </c>
      <c r="D701" s="1" t="s">
        <v>31</v>
      </c>
      <c r="E701" s="1" t="s">
        <v>46</v>
      </c>
      <c r="F701" s="1" t="s">
        <v>25</v>
      </c>
      <c r="G701" s="1" t="s">
        <v>26</v>
      </c>
      <c r="H701" s="1">
        <v>16147</v>
      </c>
      <c r="I701" s="1"/>
      <c r="J701" s="1"/>
      <c r="K701" s="1">
        <v>17000</v>
      </c>
      <c r="L701" s="2">
        <v>45306</v>
      </c>
    </row>
    <row r="702" spans="1:12" x14ac:dyDescent="0.35">
      <c r="A702" s="1" t="s">
        <v>934</v>
      </c>
      <c r="B702" s="1" t="s">
        <v>522</v>
      </c>
      <c r="C702" s="1" t="s">
        <v>44</v>
      </c>
      <c r="D702" s="1" t="s">
        <v>45</v>
      </c>
      <c r="E702" s="1" t="s">
        <v>32</v>
      </c>
      <c r="F702" s="1" t="s">
        <v>39</v>
      </c>
      <c r="G702" s="1" t="s">
        <v>36</v>
      </c>
      <c r="H702" s="1">
        <v>12959</v>
      </c>
      <c r="I702" s="1" t="s">
        <v>27</v>
      </c>
      <c r="J702" s="1"/>
      <c r="K702" s="1">
        <v>13000</v>
      </c>
      <c r="L702" s="2">
        <v>45294</v>
      </c>
    </row>
    <row r="703" spans="1:12" x14ac:dyDescent="0.35">
      <c r="A703" s="1" t="s">
        <v>935</v>
      </c>
      <c r="B703" s="1" t="s">
        <v>217</v>
      </c>
      <c r="C703" s="1" t="s">
        <v>61</v>
      </c>
      <c r="D703" s="1" t="s">
        <v>62</v>
      </c>
      <c r="E703" s="1" t="s">
        <v>16</v>
      </c>
      <c r="F703" s="1" t="s">
        <v>25</v>
      </c>
      <c r="G703" s="1" t="s">
        <v>36</v>
      </c>
      <c r="H703" s="1">
        <v>10999</v>
      </c>
      <c r="I703" s="1" t="s">
        <v>22</v>
      </c>
      <c r="J703" s="1">
        <v>0.1</v>
      </c>
      <c r="K703" s="1">
        <v>9000</v>
      </c>
      <c r="L703" s="2">
        <v>45336</v>
      </c>
    </row>
    <row r="704" spans="1:12" x14ac:dyDescent="0.35">
      <c r="A704" s="1" t="s">
        <v>936</v>
      </c>
      <c r="B704" s="1" t="s">
        <v>544</v>
      </c>
      <c r="C704" s="1" t="s">
        <v>30</v>
      </c>
      <c r="D704" s="1" t="s">
        <v>31</v>
      </c>
      <c r="E704" s="1" t="s">
        <v>16</v>
      </c>
      <c r="F704" s="1" t="s">
        <v>25</v>
      </c>
      <c r="G704" s="1" t="s">
        <v>18</v>
      </c>
      <c r="H704" s="1">
        <v>17761</v>
      </c>
      <c r="I704" s="1" t="s">
        <v>19</v>
      </c>
      <c r="J704" s="1">
        <v>0.2</v>
      </c>
      <c r="K704" s="1">
        <v>17000</v>
      </c>
      <c r="L704" s="2">
        <v>45316</v>
      </c>
    </row>
    <row r="705" spans="1:12" x14ac:dyDescent="0.35">
      <c r="A705" s="1" t="s">
        <v>937</v>
      </c>
      <c r="B705" s="1" t="s">
        <v>107</v>
      </c>
      <c r="C705" s="1" t="s">
        <v>30</v>
      </c>
      <c r="D705" s="1" t="s">
        <v>31</v>
      </c>
      <c r="E705" s="1" t="s">
        <v>46</v>
      </c>
      <c r="F705" s="1" t="s">
        <v>39</v>
      </c>
      <c r="G705" s="1" t="s">
        <v>36</v>
      </c>
      <c r="H705" s="1">
        <v>15766</v>
      </c>
      <c r="I705" s="1" t="s">
        <v>27</v>
      </c>
      <c r="J705" s="1"/>
      <c r="K705" s="1">
        <v>17000</v>
      </c>
      <c r="L705" s="2">
        <v>45308</v>
      </c>
    </row>
    <row r="706" spans="1:12" x14ac:dyDescent="0.35">
      <c r="A706" s="1" t="s">
        <v>938</v>
      </c>
      <c r="B706" s="1" t="s">
        <v>939</v>
      </c>
      <c r="C706" s="1" t="s">
        <v>61</v>
      </c>
      <c r="D706" s="1" t="s">
        <v>62</v>
      </c>
      <c r="E706" s="1" t="s">
        <v>16</v>
      </c>
      <c r="F706" s="1" t="s">
        <v>17</v>
      </c>
      <c r="G706" s="1" t="s">
        <v>36</v>
      </c>
      <c r="H706" s="1">
        <v>7753</v>
      </c>
      <c r="I706" s="1"/>
      <c r="J706" s="1"/>
      <c r="K706" s="1">
        <v>9000</v>
      </c>
      <c r="L706" s="2">
        <v>45319</v>
      </c>
    </row>
    <row r="707" spans="1:12" x14ac:dyDescent="0.35">
      <c r="A707" s="1" t="s">
        <v>940</v>
      </c>
      <c r="B707" s="1" t="s">
        <v>414</v>
      </c>
      <c r="C707" s="1" t="s">
        <v>30</v>
      </c>
      <c r="D707" s="1" t="s">
        <v>31</v>
      </c>
      <c r="E707" s="1" t="s">
        <v>46</v>
      </c>
      <c r="F707" s="1" t="s">
        <v>17</v>
      </c>
      <c r="G707" s="1" t="s">
        <v>36</v>
      </c>
      <c r="H707" s="1">
        <v>16846</v>
      </c>
      <c r="I707" s="1" t="s">
        <v>19</v>
      </c>
      <c r="J707" s="1">
        <v>0.2</v>
      </c>
      <c r="K707" s="1">
        <v>17000</v>
      </c>
      <c r="L707" s="2">
        <v>45328</v>
      </c>
    </row>
    <row r="708" spans="1:12" x14ac:dyDescent="0.35">
      <c r="A708" s="1" t="s">
        <v>941</v>
      </c>
      <c r="B708" s="1" t="s">
        <v>720</v>
      </c>
      <c r="C708" s="1" t="s">
        <v>44</v>
      </c>
      <c r="D708" s="1" t="s">
        <v>45</v>
      </c>
      <c r="E708" s="1" t="s">
        <v>32</v>
      </c>
      <c r="F708" s="1" t="s">
        <v>39</v>
      </c>
      <c r="G708" s="1" t="s">
        <v>36</v>
      </c>
      <c r="H708" s="1">
        <v>14293</v>
      </c>
      <c r="I708" s="1" t="s">
        <v>19</v>
      </c>
      <c r="J708" s="1">
        <v>0.2</v>
      </c>
      <c r="K708" s="1">
        <v>13000</v>
      </c>
      <c r="L708" s="2">
        <v>45327</v>
      </c>
    </row>
    <row r="709" spans="1:12" x14ac:dyDescent="0.35">
      <c r="A709" s="1" t="s">
        <v>942</v>
      </c>
      <c r="B709" s="1" t="s">
        <v>309</v>
      </c>
      <c r="C709" s="1" t="s">
        <v>61</v>
      </c>
      <c r="D709" s="1" t="s">
        <v>62</v>
      </c>
      <c r="E709" s="1" t="s">
        <v>32</v>
      </c>
      <c r="F709" s="1" t="s">
        <v>25</v>
      </c>
      <c r="G709" s="1" t="s">
        <v>26</v>
      </c>
      <c r="H709" s="1">
        <v>7612</v>
      </c>
      <c r="I709" s="1"/>
      <c r="J709" s="1"/>
      <c r="K709" s="1">
        <v>9000</v>
      </c>
      <c r="L709" s="2">
        <v>45343</v>
      </c>
    </row>
    <row r="710" spans="1:12" x14ac:dyDescent="0.35">
      <c r="A710" s="1" t="s">
        <v>943</v>
      </c>
      <c r="B710" s="1" t="s">
        <v>243</v>
      </c>
      <c r="C710" s="1" t="s">
        <v>61</v>
      </c>
      <c r="D710" s="1" t="s">
        <v>62</v>
      </c>
      <c r="E710" s="1" t="s">
        <v>46</v>
      </c>
      <c r="F710" s="1" t="s">
        <v>25</v>
      </c>
      <c r="G710" s="1" t="s">
        <v>26</v>
      </c>
      <c r="H710" s="1">
        <v>9117</v>
      </c>
      <c r="I710" s="1" t="s">
        <v>27</v>
      </c>
      <c r="J710" s="1"/>
      <c r="K710" s="1">
        <v>9000</v>
      </c>
      <c r="L710" s="2">
        <v>45338</v>
      </c>
    </row>
    <row r="711" spans="1:12" x14ac:dyDescent="0.35">
      <c r="A711" s="1" t="s">
        <v>944</v>
      </c>
      <c r="B711" s="1" t="s">
        <v>478</v>
      </c>
      <c r="C711" s="1" t="s">
        <v>61</v>
      </c>
      <c r="D711" s="1" t="s">
        <v>62</v>
      </c>
      <c r="E711" s="1" t="s">
        <v>46</v>
      </c>
      <c r="F711" s="1" t="s">
        <v>17</v>
      </c>
      <c r="G711" s="1" t="s">
        <v>26</v>
      </c>
      <c r="H711" s="1">
        <v>10516</v>
      </c>
      <c r="I711" s="1" t="s">
        <v>27</v>
      </c>
      <c r="J711" s="1"/>
      <c r="K711" s="1">
        <v>9000</v>
      </c>
      <c r="L711" s="2">
        <v>45295</v>
      </c>
    </row>
    <row r="712" spans="1:12" x14ac:dyDescent="0.35">
      <c r="A712" s="1" t="s">
        <v>945</v>
      </c>
      <c r="B712" s="1" t="s">
        <v>41</v>
      </c>
      <c r="C712" s="1" t="s">
        <v>44</v>
      </c>
      <c r="D712" s="1" t="s">
        <v>45</v>
      </c>
      <c r="E712" s="1" t="s">
        <v>32</v>
      </c>
      <c r="F712" s="1" t="s">
        <v>25</v>
      </c>
      <c r="G712" s="1" t="s">
        <v>36</v>
      </c>
      <c r="H712" s="1">
        <v>12951</v>
      </c>
      <c r="I712" s="1" t="s">
        <v>22</v>
      </c>
      <c r="J712" s="1">
        <v>0.1</v>
      </c>
      <c r="K712" s="1">
        <v>13000</v>
      </c>
      <c r="L712" s="2">
        <v>45320</v>
      </c>
    </row>
    <row r="713" spans="1:12" x14ac:dyDescent="0.35">
      <c r="A713" s="1" t="s">
        <v>946</v>
      </c>
      <c r="B713" s="1" t="s">
        <v>577</v>
      </c>
      <c r="C713" s="1" t="s">
        <v>30</v>
      </c>
      <c r="D713" s="1" t="s">
        <v>31</v>
      </c>
      <c r="E713" s="1" t="s">
        <v>46</v>
      </c>
      <c r="F713" s="1" t="s">
        <v>17</v>
      </c>
      <c r="G713" s="1" t="s">
        <v>26</v>
      </c>
      <c r="H713" s="1">
        <v>17283</v>
      </c>
      <c r="I713" s="1" t="s">
        <v>33</v>
      </c>
      <c r="J713" s="1">
        <v>0.3</v>
      </c>
      <c r="K713" s="1">
        <v>17000</v>
      </c>
      <c r="L713" s="2">
        <v>45314</v>
      </c>
    </row>
    <row r="714" spans="1:12" x14ac:dyDescent="0.35">
      <c r="A714" s="1" t="s">
        <v>947</v>
      </c>
      <c r="B714" s="1" t="s">
        <v>406</v>
      </c>
      <c r="C714" s="1" t="s">
        <v>14</v>
      </c>
      <c r="D714" s="1" t="s">
        <v>15</v>
      </c>
      <c r="E714" s="1" t="s">
        <v>46</v>
      </c>
      <c r="F714" s="1" t="s">
        <v>39</v>
      </c>
      <c r="G714" s="1" t="s">
        <v>26</v>
      </c>
      <c r="H714" s="1">
        <v>12814</v>
      </c>
      <c r="I714" s="1" t="s">
        <v>27</v>
      </c>
      <c r="J714" s="1"/>
      <c r="K714" s="1">
        <v>14000</v>
      </c>
      <c r="L714" s="2">
        <v>45328</v>
      </c>
    </row>
    <row r="715" spans="1:12" x14ac:dyDescent="0.35">
      <c r="A715" s="1" t="s">
        <v>948</v>
      </c>
      <c r="B715" s="1" t="s">
        <v>92</v>
      </c>
      <c r="C715" s="1" t="s">
        <v>44</v>
      </c>
      <c r="D715" s="1" t="s">
        <v>45</v>
      </c>
      <c r="E715" s="1" t="s">
        <v>46</v>
      </c>
      <c r="F715" s="1" t="s">
        <v>17</v>
      </c>
      <c r="G715" s="1" t="s">
        <v>36</v>
      </c>
      <c r="H715" s="1">
        <v>13757</v>
      </c>
      <c r="I715" s="1" t="s">
        <v>27</v>
      </c>
      <c r="J715" s="1"/>
      <c r="K715" s="1">
        <v>13000</v>
      </c>
      <c r="L715" s="2">
        <v>45323</v>
      </c>
    </row>
    <row r="716" spans="1:12" x14ac:dyDescent="0.35">
      <c r="A716" s="1" t="s">
        <v>949</v>
      </c>
      <c r="B716" s="1" t="s">
        <v>296</v>
      </c>
      <c r="C716" s="1" t="s">
        <v>61</v>
      </c>
      <c r="D716" s="1" t="s">
        <v>62</v>
      </c>
      <c r="E716" s="1" t="s">
        <v>32</v>
      </c>
      <c r="F716" s="1" t="s">
        <v>17</v>
      </c>
      <c r="G716" s="1" t="s">
        <v>26</v>
      </c>
      <c r="H716" s="1">
        <v>8173</v>
      </c>
      <c r="I716" s="1"/>
      <c r="J716" s="1"/>
      <c r="K716" s="1">
        <v>9000</v>
      </c>
      <c r="L716" s="2">
        <v>45332</v>
      </c>
    </row>
    <row r="717" spans="1:12" x14ac:dyDescent="0.35">
      <c r="A717" s="1" t="s">
        <v>950</v>
      </c>
      <c r="B717" s="1" t="s">
        <v>619</v>
      </c>
      <c r="C717" s="1" t="s">
        <v>44</v>
      </c>
      <c r="D717" s="1" t="s">
        <v>45</v>
      </c>
      <c r="E717" s="1" t="s">
        <v>16</v>
      </c>
      <c r="F717" s="1" t="s">
        <v>17</v>
      </c>
      <c r="G717" s="1" t="s">
        <v>36</v>
      </c>
      <c r="H717" s="1">
        <v>13585</v>
      </c>
      <c r="I717" s="1" t="s">
        <v>27</v>
      </c>
      <c r="J717" s="1"/>
      <c r="K717" s="1">
        <v>13000</v>
      </c>
      <c r="L717" s="2">
        <v>45328</v>
      </c>
    </row>
    <row r="718" spans="1:12" x14ac:dyDescent="0.35">
      <c r="A718" s="1" t="s">
        <v>951</v>
      </c>
      <c r="B718" s="1" t="s">
        <v>309</v>
      </c>
      <c r="C718" s="1" t="s">
        <v>14</v>
      </c>
      <c r="D718" s="1" t="s">
        <v>15</v>
      </c>
      <c r="E718" s="1" t="s">
        <v>32</v>
      </c>
      <c r="F718" s="1" t="s">
        <v>25</v>
      </c>
      <c r="G718" s="1" t="s">
        <v>36</v>
      </c>
      <c r="H718" s="1">
        <v>12934</v>
      </c>
      <c r="I718" s="1" t="s">
        <v>33</v>
      </c>
      <c r="J718" s="1">
        <v>0.3</v>
      </c>
      <c r="K718" s="1">
        <v>14000</v>
      </c>
      <c r="L718" s="2">
        <v>45312</v>
      </c>
    </row>
    <row r="719" spans="1:12" x14ac:dyDescent="0.35">
      <c r="A719" s="1" t="s">
        <v>952</v>
      </c>
      <c r="B719" s="1" t="s">
        <v>278</v>
      </c>
      <c r="C719" s="1" t="s">
        <v>30</v>
      </c>
      <c r="D719" s="1" t="s">
        <v>31</v>
      </c>
      <c r="E719" s="1" t="s">
        <v>16</v>
      </c>
      <c r="F719" s="1" t="s">
        <v>39</v>
      </c>
      <c r="G719" s="1" t="s">
        <v>36</v>
      </c>
      <c r="H719" s="1">
        <v>16111</v>
      </c>
      <c r="I719" s="1"/>
      <c r="J719" s="1"/>
      <c r="K719" s="1">
        <v>17000</v>
      </c>
      <c r="L719" s="2">
        <v>45341</v>
      </c>
    </row>
    <row r="720" spans="1:12" x14ac:dyDescent="0.35">
      <c r="A720" s="1" t="s">
        <v>953</v>
      </c>
      <c r="B720" s="1" t="s">
        <v>303</v>
      </c>
      <c r="C720" s="1" t="s">
        <v>61</v>
      </c>
      <c r="D720" s="1" t="s">
        <v>62</v>
      </c>
      <c r="E720" s="1" t="s">
        <v>46</v>
      </c>
      <c r="F720" s="1" t="s">
        <v>25</v>
      </c>
      <c r="G720" s="1" t="s">
        <v>18</v>
      </c>
      <c r="H720" s="1">
        <v>10498</v>
      </c>
      <c r="I720" s="1" t="s">
        <v>22</v>
      </c>
      <c r="J720" s="1">
        <v>0.1</v>
      </c>
      <c r="K720" s="1">
        <v>9000</v>
      </c>
      <c r="L720" s="2">
        <v>45300</v>
      </c>
    </row>
    <row r="721" spans="1:12" x14ac:dyDescent="0.35">
      <c r="A721" s="1" t="s">
        <v>954</v>
      </c>
      <c r="B721" s="1" t="s">
        <v>397</v>
      </c>
      <c r="C721" s="1" t="s">
        <v>30</v>
      </c>
      <c r="D721" s="1" t="s">
        <v>31</v>
      </c>
      <c r="E721" s="1" t="s">
        <v>16</v>
      </c>
      <c r="F721" s="1" t="s">
        <v>39</v>
      </c>
      <c r="G721" s="1" t="s">
        <v>26</v>
      </c>
      <c r="H721" s="1">
        <v>15327</v>
      </c>
      <c r="I721" s="1" t="s">
        <v>19</v>
      </c>
      <c r="J721" s="1">
        <v>0.2</v>
      </c>
      <c r="K721" s="1">
        <v>17000</v>
      </c>
      <c r="L721" s="2">
        <v>45302</v>
      </c>
    </row>
    <row r="722" spans="1:12" x14ac:dyDescent="0.35">
      <c r="A722" s="1" t="s">
        <v>955</v>
      </c>
      <c r="B722" s="1" t="s">
        <v>41</v>
      </c>
      <c r="C722" s="1" t="s">
        <v>14</v>
      </c>
      <c r="D722" s="1" t="s">
        <v>15</v>
      </c>
      <c r="E722" s="1" t="s">
        <v>32</v>
      </c>
      <c r="F722" s="1" t="s">
        <v>17</v>
      </c>
      <c r="G722" s="1" t="s">
        <v>26</v>
      </c>
      <c r="H722" s="1">
        <v>12220</v>
      </c>
      <c r="I722" s="1" t="s">
        <v>22</v>
      </c>
      <c r="J722" s="1">
        <v>0.1</v>
      </c>
      <c r="K722" s="1">
        <v>14000</v>
      </c>
      <c r="L722" s="2">
        <v>45341</v>
      </c>
    </row>
    <row r="723" spans="1:12" x14ac:dyDescent="0.35">
      <c r="A723" s="1" t="s">
        <v>956</v>
      </c>
      <c r="B723" s="1" t="s">
        <v>512</v>
      </c>
      <c r="C723" s="1" t="s">
        <v>14</v>
      </c>
      <c r="D723" s="1" t="s">
        <v>15</v>
      </c>
      <c r="E723" s="1" t="s">
        <v>32</v>
      </c>
      <c r="F723" s="1" t="s">
        <v>17</v>
      </c>
      <c r="G723" s="1" t="s">
        <v>26</v>
      </c>
      <c r="H723" s="1">
        <v>12636</v>
      </c>
      <c r="I723" s="1" t="s">
        <v>22</v>
      </c>
      <c r="J723" s="1">
        <v>0.1</v>
      </c>
      <c r="K723" s="1">
        <v>14000</v>
      </c>
      <c r="L723" s="2">
        <v>45333</v>
      </c>
    </row>
    <row r="724" spans="1:12" x14ac:dyDescent="0.35">
      <c r="A724" s="1" t="s">
        <v>957</v>
      </c>
      <c r="B724" s="1" t="s">
        <v>137</v>
      </c>
      <c r="C724" s="1" t="s">
        <v>30</v>
      </c>
      <c r="D724" s="1" t="s">
        <v>31</v>
      </c>
      <c r="E724" s="1" t="s">
        <v>32</v>
      </c>
      <c r="F724" s="1" t="s">
        <v>25</v>
      </c>
      <c r="G724" s="1" t="s">
        <v>26</v>
      </c>
      <c r="H724" s="1">
        <v>16163</v>
      </c>
      <c r="I724" s="1"/>
      <c r="J724" s="1"/>
      <c r="K724" s="1">
        <v>17000</v>
      </c>
      <c r="L724" s="2">
        <v>45332</v>
      </c>
    </row>
    <row r="725" spans="1:12" x14ac:dyDescent="0.35">
      <c r="A725" s="1" t="s">
        <v>958</v>
      </c>
      <c r="B725" s="1" t="s">
        <v>175</v>
      </c>
      <c r="C725" s="1" t="s">
        <v>44</v>
      </c>
      <c r="D725" s="1" t="s">
        <v>45</v>
      </c>
      <c r="E725" s="1" t="s">
        <v>32</v>
      </c>
      <c r="F725" s="1" t="s">
        <v>25</v>
      </c>
      <c r="G725" s="1" t="s">
        <v>26</v>
      </c>
      <c r="H725" s="1">
        <v>12461</v>
      </c>
      <c r="I725" s="1" t="s">
        <v>33</v>
      </c>
      <c r="J725" s="1">
        <v>0.3</v>
      </c>
      <c r="K725" s="1">
        <v>13000</v>
      </c>
      <c r="L725" s="2">
        <v>45347</v>
      </c>
    </row>
    <row r="726" spans="1:12" x14ac:dyDescent="0.35">
      <c r="A726" s="1" t="s">
        <v>959</v>
      </c>
      <c r="B726" s="1" t="s">
        <v>231</v>
      </c>
      <c r="C726" s="1" t="s">
        <v>30</v>
      </c>
      <c r="D726" s="1" t="s">
        <v>31</v>
      </c>
      <c r="E726" s="1" t="s">
        <v>16</v>
      </c>
      <c r="F726" s="1" t="s">
        <v>17</v>
      </c>
      <c r="G726" s="1" t="s">
        <v>18</v>
      </c>
      <c r="H726" s="1">
        <v>18971</v>
      </c>
      <c r="I726" s="1" t="s">
        <v>27</v>
      </c>
      <c r="J726" s="1"/>
      <c r="K726" s="1">
        <v>17000</v>
      </c>
      <c r="L726" s="2">
        <v>45303</v>
      </c>
    </row>
    <row r="727" spans="1:12" x14ac:dyDescent="0.35">
      <c r="A727" s="1" t="s">
        <v>960</v>
      </c>
      <c r="B727" s="1" t="s">
        <v>195</v>
      </c>
      <c r="C727" s="1" t="s">
        <v>61</v>
      </c>
      <c r="D727" s="1" t="s">
        <v>62</v>
      </c>
      <c r="E727" s="1" t="s">
        <v>16</v>
      </c>
      <c r="F727" s="1" t="s">
        <v>39</v>
      </c>
      <c r="G727" s="1" t="s">
        <v>26</v>
      </c>
      <c r="H727" s="1">
        <v>10593</v>
      </c>
      <c r="I727" s="1" t="s">
        <v>27</v>
      </c>
      <c r="J727" s="1"/>
      <c r="K727" s="1">
        <v>9000</v>
      </c>
      <c r="L727" s="2">
        <v>45319</v>
      </c>
    </row>
    <row r="728" spans="1:12" x14ac:dyDescent="0.35">
      <c r="A728" s="1" t="s">
        <v>961</v>
      </c>
      <c r="B728" s="1" t="s">
        <v>202</v>
      </c>
      <c r="C728" s="1" t="s">
        <v>30</v>
      </c>
      <c r="D728" s="1" t="s">
        <v>31</v>
      </c>
      <c r="E728" s="1" t="s">
        <v>46</v>
      </c>
      <c r="F728" s="1" t="s">
        <v>17</v>
      </c>
      <c r="G728" s="1" t="s">
        <v>26</v>
      </c>
      <c r="H728" s="1">
        <v>15930</v>
      </c>
      <c r="I728" s="1" t="s">
        <v>22</v>
      </c>
      <c r="J728" s="1">
        <v>0.1</v>
      </c>
      <c r="K728" s="1">
        <v>17000</v>
      </c>
      <c r="L728" s="2">
        <v>45320</v>
      </c>
    </row>
    <row r="729" spans="1:12" x14ac:dyDescent="0.35">
      <c r="A729" s="1" t="s">
        <v>962</v>
      </c>
      <c r="B729" s="1" t="s">
        <v>131</v>
      </c>
      <c r="C729" s="1" t="s">
        <v>61</v>
      </c>
      <c r="D729" s="1" t="s">
        <v>62</v>
      </c>
      <c r="E729" s="1" t="s">
        <v>46</v>
      </c>
      <c r="F729" s="1" t="s">
        <v>25</v>
      </c>
      <c r="G729" s="1" t="s">
        <v>36</v>
      </c>
      <c r="H729" s="1">
        <v>7043</v>
      </c>
      <c r="I729" s="1" t="s">
        <v>22</v>
      </c>
      <c r="J729" s="1">
        <v>0.1</v>
      </c>
      <c r="K729" s="1">
        <v>9000</v>
      </c>
      <c r="L729" s="2">
        <v>45325</v>
      </c>
    </row>
    <row r="730" spans="1:12" x14ac:dyDescent="0.35">
      <c r="A730" s="1" t="s">
        <v>963</v>
      </c>
      <c r="B730" s="1" t="s">
        <v>393</v>
      </c>
      <c r="C730" s="1" t="s">
        <v>44</v>
      </c>
      <c r="D730" s="1" t="s">
        <v>45</v>
      </c>
      <c r="E730" s="1" t="s">
        <v>46</v>
      </c>
      <c r="F730" s="1" t="s">
        <v>17</v>
      </c>
      <c r="G730" s="1" t="s">
        <v>36</v>
      </c>
      <c r="H730" s="1">
        <v>13191</v>
      </c>
      <c r="I730" s="1" t="s">
        <v>22</v>
      </c>
      <c r="J730" s="1">
        <v>0.1</v>
      </c>
      <c r="K730" s="1">
        <v>13000</v>
      </c>
      <c r="L730" s="2">
        <v>45336</v>
      </c>
    </row>
    <row r="731" spans="1:12" x14ac:dyDescent="0.35">
      <c r="A731" s="1" t="s">
        <v>964</v>
      </c>
      <c r="B731" s="1" t="s">
        <v>445</v>
      </c>
      <c r="C731" s="1" t="s">
        <v>61</v>
      </c>
      <c r="D731" s="1" t="s">
        <v>62</v>
      </c>
      <c r="E731" s="1" t="s">
        <v>46</v>
      </c>
      <c r="F731" s="1" t="s">
        <v>25</v>
      </c>
      <c r="G731" s="1" t="s">
        <v>36</v>
      </c>
      <c r="H731" s="1">
        <v>10268</v>
      </c>
      <c r="I731" s="1" t="s">
        <v>33</v>
      </c>
      <c r="J731" s="1">
        <v>0.3</v>
      </c>
      <c r="K731" s="1">
        <v>9000</v>
      </c>
      <c r="L731" s="2">
        <v>45330</v>
      </c>
    </row>
    <row r="732" spans="1:12" x14ac:dyDescent="0.35">
      <c r="A732" s="1" t="s">
        <v>965</v>
      </c>
      <c r="B732" s="1" t="s">
        <v>401</v>
      </c>
      <c r="C732" s="1" t="s">
        <v>14</v>
      </c>
      <c r="D732" s="1" t="s">
        <v>15</v>
      </c>
      <c r="E732" s="1" t="s">
        <v>16</v>
      </c>
      <c r="F732" s="1" t="s">
        <v>17</v>
      </c>
      <c r="G732" s="1" t="s">
        <v>18</v>
      </c>
      <c r="H732" s="1">
        <v>13686</v>
      </c>
      <c r="I732" s="1" t="s">
        <v>27</v>
      </c>
      <c r="J732" s="1"/>
      <c r="K732" s="1">
        <v>14000</v>
      </c>
      <c r="L732" s="2">
        <v>45319</v>
      </c>
    </row>
    <row r="733" spans="1:12" x14ac:dyDescent="0.35">
      <c r="A733" s="1" t="s">
        <v>966</v>
      </c>
      <c r="B733" s="1" t="s">
        <v>268</v>
      </c>
      <c r="C733" s="1" t="s">
        <v>44</v>
      </c>
      <c r="D733" s="1" t="s">
        <v>45</v>
      </c>
      <c r="E733" s="1" t="s">
        <v>16</v>
      </c>
      <c r="F733" s="1" t="s">
        <v>39</v>
      </c>
      <c r="G733" s="1" t="s">
        <v>26</v>
      </c>
      <c r="H733" s="1">
        <v>12596</v>
      </c>
      <c r="I733" s="1"/>
      <c r="J733" s="1"/>
      <c r="K733" s="1">
        <v>13000</v>
      </c>
      <c r="L733" s="2">
        <v>45306</v>
      </c>
    </row>
    <row r="734" spans="1:12" x14ac:dyDescent="0.35">
      <c r="A734" s="1" t="s">
        <v>967</v>
      </c>
      <c r="B734" s="1" t="s">
        <v>222</v>
      </c>
      <c r="C734" s="1" t="s">
        <v>61</v>
      </c>
      <c r="D734" s="1" t="s">
        <v>62</v>
      </c>
      <c r="E734" s="1" t="s">
        <v>16</v>
      </c>
      <c r="F734" s="1" t="s">
        <v>25</v>
      </c>
      <c r="G734" s="1" t="s">
        <v>26</v>
      </c>
      <c r="H734" s="1">
        <v>10131</v>
      </c>
      <c r="I734" s="1" t="s">
        <v>27</v>
      </c>
      <c r="J734" s="1"/>
      <c r="K734" s="1">
        <v>9000</v>
      </c>
      <c r="L734" s="2">
        <v>45343</v>
      </c>
    </row>
    <row r="735" spans="1:12" x14ac:dyDescent="0.35">
      <c r="A735" s="1" t="s">
        <v>968</v>
      </c>
      <c r="B735" s="1" t="s">
        <v>765</v>
      </c>
      <c r="C735" s="1" t="s">
        <v>30</v>
      </c>
      <c r="D735" s="1" t="s">
        <v>31</v>
      </c>
      <c r="E735" s="1" t="s">
        <v>46</v>
      </c>
      <c r="F735" s="1" t="s">
        <v>39</v>
      </c>
      <c r="G735" s="1" t="s">
        <v>26</v>
      </c>
      <c r="H735" s="1">
        <v>17178</v>
      </c>
      <c r="I735" s="1" t="s">
        <v>33</v>
      </c>
      <c r="J735" s="1">
        <v>0.3</v>
      </c>
      <c r="K735" s="1">
        <v>17000</v>
      </c>
      <c r="L735" s="2">
        <v>45318</v>
      </c>
    </row>
    <row r="736" spans="1:12" x14ac:dyDescent="0.35">
      <c r="A736" s="1" t="s">
        <v>969</v>
      </c>
      <c r="B736" s="1" t="s">
        <v>171</v>
      </c>
      <c r="C736" s="1" t="s">
        <v>14</v>
      </c>
      <c r="D736" s="1" t="s">
        <v>15</v>
      </c>
      <c r="E736" s="1" t="s">
        <v>32</v>
      </c>
      <c r="F736" s="1" t="s">
        <v>25</v>
      </c>
      <c r="G736" s="1" t="s">
        <v>36</v>
      </c>
      <c r="H736" s="1">
        <v>12452</v>
      </c>
      <c r="I736" s="1"/>
      <c r="J736" s="1"/>
      <c r="K736" s="1">
        <v>14000</v>
      </c>
      <c r="L736" s="2">
        <v>45331</v>
      </c>
    </row>
    <row r="737" spans="1:12" x14ac:dyDescent="0.35">
      <c r="A737" s="1" t="s">
        <v>970</v>
      </c>
      <c r="B737" s="1" t="s">
        <v>123</v>
      </c>
      <c r="C737" s="1" t="s">
        <v>61</v>
      </c>
      <c r="D737" s="1" t="s">
        <v>62</v>
      </c>
      <c r="E737" s="1" t="s">
        <v>32</v>
      </c>
      <c r="F737" s="1" t="s">
        <v>17</v>
      </c>
      <c r="G737" s="1" t="s">
        <v>18</v>
      </c>
      <c r="H737" s="1">
        <v>7623</v>
      </c>
      <c r="I737" s="1" t="s">
        <v>22</v>
      </c>
      <c r="J737" s="1">
        <v>0.1</v>
      </c>
      <c r="K737" s="1">
        <v>9000</v>
      </c>
      <c r="L737" s="2">
        <v>45326</v>
      </c>
    </row>
    <row r="738" spans="1:12" x14ac:dyDescent="0.35">
      <c r="A738" s="1" t="s">
        <v>971</v>
      </c>
      <c r="B738" s="1" t="s">
        <v>243</v>
      </c>
      <c r="C738" s="1" t="s">
        <v>14</v>
      </c>
      <c r="D738" s="1" t="s">
        <v>15</v>
      </c>
      <c r="E738" s="1" t="s">
        <v>46</v>
      </c>
      <c r="F738" s="1" t="s">
        <v>17</v>
      </c>
      <c r="G738" s="1" t="s">
        <v>18</v>
      </c>
      <c r="H738" s="1">
        <v>14929</v>
      </c>
      <c r="I738" s="1"/>
      <c r="J738" s="1"/>
      <c r="K738" s="1">
        <v>14000</v>
      </c>
      <c r="L738" s="2">
        <v>45338</v>
      </c>
    </row>
    <row r="739" spans="1:12" x14ac:dyDescent="0.35">
      <c r="A739" s="1" t="s">
        <v>972</v>
      </c>
      <c r="B739" s="1" t="s">
        <v>192</v>
      </c>
      <c r="C739" s="1" t="s">
        <v>14</v>
      </c>
      <c r="D739" s="1" t="s">
        <v>15</v>
      </c>
      <c r="E739" s="1" t="s">
        <v>32</v>
      </c>
      <c r="F739" s="1" t="s">
        <v>25</v>
      </c>
      <c r="G739" s="1" t="s">
        <v>36</v>
      </c>
      <c r="H739" s="1">
        <v>12889</v>
      </c>
      <c r="I739" s="1" t="s">
        <v>33</v>
      </c>
      <c r="J739" s="1">
        <v>0.3</v>
      </c>
      <c r="K739" s="1">
        <v>14000</v>
      </c>
      <c r="L739" s="2">
        <v>45318</v>
      </c>
    </row>
    <row r="740" spans="1:12" x14ac:dyDescent="0.35">
      <c r="A740" s="1" t="s">
        <v>973</v>
      </c>
      <c r="B740" s="1" t="s">
        <v>443</v>
      </c>
      <c r="C740" s="1" t="s">
        <v>61</v>
      </c>
      <c r="D740" s="1" t="s">
        <v>62</v>
      </c>
      <c r="E740" s="1" t="s">
        <v>46</v>
      </c>
      <c r="F740" s="1" t="s">
        <v>17</v>
      </c>
      <c r="G740" s="1" t="s">
        <v>26</v>
      </c>
      <c r="H740" s="1">
        <v>10241</v>
      </c>
      <c r="I740" s="1" t="s">
        <v>22</v>
      </c>
      <c r="J740" s="1">
        <v>0.1</v>
      </c>
      <c r="K740" s="1">
        <v>9000</v>
      </c>
      <c r="L740" s="2">
        <v>45313</v>
      </c>
    </row>
    <row r="741" spans="1:12" x14ac:dyDescent="0.35">
      <c r="A741" s="1" t="s">
        <v>974</v>
      </c>
      <c r="B741" s="1" t="s">
        <v>159</v>
      </c>
      <c r="C741" s="1" t="s">
        <v>44</v>
      </c>
      <c r="D741" s="1" t="s">
        <v>45</v>
      </c>
      <c r="E741" s="1" t="s">
        <v>32</v>
      </c>
      <c r="F741" s="1" t="s">
        <v>17</v>
      </c>
      <c r="G741" s="1" t="s">
        <v>36</v>
      </c>
      <c r="H741" s="1">
        <v>11292</v>
      </c>
      <c r="I741" s="1" t="s">
        <v>27</v>
      </c>
      <c r="J741" s="1"/>
      <c r="K741" s="1">
        <v>13000</v>
      </c>
      <c r="L741" s="2">
        <v>45322</v>
      </c>
    </row>
    <row r="742" spans="1:12" x14ac:dyDescent="0.35">
      <c r="A742" s="1" t="s">
        <v>975</v>
      </c>
      <c r="B742" s="1" t="s">
        <v>35</v>
      </c>
      <c r="C742" s="1" t="s">
        <v>30</v>
      </c>
      <c r="D742" s="1" t="s">
        <v>31</v>
      </c>
      <c r="E742" s="1" t="s">
        <v>46</v>
      </c>
      <c r="F742" s="1" t="s">
        <v>25</v>
      </c>
      <c r="G742" s="1" t="s">
        <v>18</v>
      </c>
      <c r="H742" s="1">
        <v>18991</v>
      </c>
      <c r="I742" s="1" t="s">
        <v>19</v>
      </c>
      <c r="J742" s="1">
        <v>0.2</v>
      </c>
      <c r="K742" s="1">
        <v>17000</v>
      </c>
      <c r="L742" s="2">
        <v>45316</v>
      </c>
    </row>
    <row r="743" spans="1:12" x14ac:dyDescent="0.35">
      <c r="A743" s="1" t="s">
        <v>976</v>
      </c>
      <c r="B743" s="1" t="s">
        <v>298</v>
      </c>
      <c r="C743" s="1" t="s">
        <v>44</v>
      </c>
      <c r="D743" s="1" t="s">
        <v>45</v>
      </c>
      <c r="E743" s="1" t="s">
        <v>16</v>
      </c>
      <c r="F743" s="1" t="s">
        <v>25</v>
      </c>
      <c r="G743" s="1" t="s">
        <v>18</v>
      </c>
      <c r="H743" s="1">
        <v>12887</v>
      </c>
      <c r="I743" s="1" t="s">
        <v>22</v>
      </c>
      <c r="J743" s="1">
        <v>0.1</v>
      </c>
      <c r="K743" s="1">
        <v>13000</v>
      </c>
      <c r="L743" s="2">
        <v>45325</v>
      </c>
    </row>
    <row r="744" spans="1:12" x14ac:dyDescent="0.35">
      <c r="A744" s="1" t="s">
        <v>977</v>
      </c>
      <c r="B744" s="1" t="s">
        <v>239</v>
      </c>
      <c r="C744" s="1" t="s">
        <v>61</v>
      </c>
      <c r="D744" s="1" t="s">
        <v>62</v>
      </c>
      <c r="E744" s="1" t="s">
        <v>46</v>
      </c>
      <c r="F744" s="1" t="s">
        <v>39</v>
      </c>
      <c r="G744" s="1" t="s">
        <v>36</v>
      </c>
      <c r="H744" s="1">
        <v>10834</v>
      </c>
      <c r="I744" s="1" t="s">
        <v>33</v>
      </c>
      <c r="J744" s="1">
        <v>0.3</v>
      </c>
      <c r="K744" s="1">
        <v>9000</v>
      </c>
      <c r="L744" s="2">
        <v>45302</v>
      </c>
    </row>
    <row r="745" spans="1:12" x14ac:dyDescent="0.35">
      <c r="A745" s="1" t="s">
        <v>978</v>
      </c>
      <c r="B745" s="1" t="s">
        <v>305</v>
      </c>
      <c r="C745" s="1" t="s">
        <v>14</v>
      </c>
      <c r="D745" s="1" t="s">
        <v>15</v>
      </c>
      <c r="E745" s="1" t="s">
        <v>16</v>
      </c>
      <c r="F745" s="1" t="s">
        <v>39</v>
      </c>
      <c r="G745" s="1" t="s">
        <v>26</v>
      </c>
      <c r="H745" s="1">
        <v>12500</v>
      </c>
      <c r="I745" s="1" t="s">
        <v>33</v>
      </c>
      <c r="J745" s="1">
        <v>0.3</v>
      </c>
      <c r="K745" s="1">
        <v>14000</v>
      </c>
      <c r="L745" s="2">
        <v>45322</v>
      </c>
    </row>
    <row r="746" spans="1:12" x14ac:dyDescent="0.35">
      <c r="A746" s="1" t="s">
        <v>979</v>
      </c>
      <c r="B746" s="1" t="s">
        <v>278</v>
      </c>
      <c r="C746" s="1" t="s">
        <v>44</v>
      </c>
      <c r="D746" s="1" t="s">
        <v>45</v>
      </c>
      <c r="E746" s="1" t="s">
        <v>46</v>
      </c>
      <c r="F746" s="1" t="s">
        <v>25</v>
      </c>
      <c r="G746" s="1" t="s">
        <v>26</v>
      </c>
      <c r="H746" s="1">
        <v>11892</v>
      </c>
      <c r="I746" s="1" t="s">
        <v>22</v>
      </c>
      <c r="J746" s="1">
        <v>0.1</v>
      </c>
      <c r="K746" s="1">
        <v>13000</v>
      </c>
      <c r="L746" s="2">
        <v>45307</v>
      </c>
    </row>
    <row r="747" spans="1:12" x14ac:dyDescent="0.35">
      <c r="A747" s="1" t="s">
        <v>980</v>
      </c>
      <c r="B747" s="1" t="s">
        <v>90</v>
      </c>
      <c r="C747" s="1" t="s">
        <v>30</v>
      </c>
      <c r="D747" s="1" t="s">
        <v>31</v>
      </c>
      <c r="E747" s="1" t="s">
        <v>32</v>
      </c>
      <c r="F747" s="1" t="s">
        <v>25</v>
      </c>
      <c r="G747" s="1" t="s">
        <v>36</v>
      </c>
      <c r="H747" s="1">
        <v>17394</v>
      </c>
      <c r="I747" s="1" t="s">
        <v>22</v>
      </c>
      <c r="J747" s="1">
        <v>0.1</v>
      </c>
      <c r="K747" s="1">
        <v>17000</v>
      </c>
      <c r="L747" s="2">
        <v>45317</v>
      </c>
    </row>
    <row r="748" spans="1:12" x14ac:dyDescent="0.35">
      <c r="A748" s="1" t="s">
        <v>981</v>
      </c>
      <c r="B748" s="1" t="s">
        <v>294</v>
      </c>
      <c r="C748" s="1" t="s">
        <v>14</v>
      </c>
      <c r="D748" s="1" t="s">
        <v>15</v>
      </c>
      <c r="E748" s="1" t="s">
        <v>32</v>
      </c>
      <c r="F748" s="1" t="s">
        <v>39</v>
      </c>
      <c r="G748" s="1" t="s">
        <v>26</v>
      </c>
      <c r="H748" s="1">
        <v>13946</v>
      </c>
      <c r="I748" s="1" t="s">
        <v>27</v>
      </c>
      <c r="J748" s="1"/>
      <c r="K748" s="1">
        <v>14000</v>
      </c>
      <c r="L748" s="2">
        <v>45301</v>
      </c>
    </row>
    <row r="749" spans="1:12" x14ac:dyDescent="0.35">
      <c r="A749" s="1" t="s">
        <v>982</v>
      </c>
      <c r="B749" s="1" t="s">
        <v>478</v>
      </c>
      <c r="C749" s="1" t="s">
        <v>14</v>
      </c>
      <c r="D749" s="1" t="s">
        <v>15</v>
      </c>
      <c r="E749" s="1" t="s">
        <v>32</v>
      </c>
      <c r="F749" s="1" t="s">
        <v>25</v>
      </c>
      <c r="G749" s="1" t="s">
        <v>36</v>
      </c>
      <c r="H749" s="1">
        <v>12374</v>
      </c>
      <c r="I749" s="1" t="s">
        <v>27</v>
      </c>
      <c r="J749" s="1"/>
      <c r="K749" s="1">
        <v>14000</v>
      </c>
      <c r="L749" s="2">
        <v>45313</v>
      </c>
    </row>
    <row r="750" spans="1:12" x14ac:dyDescent="0.35">
      <c r="A750" s="1" t="s">
        <v>983</v>
      </c>
      <c r="B750" s="1" t="s">
        <v>148</v>
      </c>
      <c r="C750" s="1" t="s">
        <v>14</v>
      </c>
      <c r="D750" s="1" t="s">
        <v>15</v>
      </c>
      <c r="E750" s="1" t="s">
        <v>32</v>
      </c>
      <c r="F750" s="1" t="s">
        <v>17</v>
      </c>
      <c r="G750" s="1" t="s">
        <v>26</v>
      </c>
      <c r="H750" s="1">
        <v>12630</v>
      </c>
      <c r="I750" s="1" t="s">
        <v>27</v>
      </c>
      <c r="J750" s="1"/>
      <c r="K750" s="1">
        <v>14000</v>
      </c>
      <c r="L750" s="2">
        <v>45342</v>
      </c>
    </row>
    <row r="751" spans="1:12" x14ac:dyDescent="0.35">
      <c r="A751" s="1" t="s">
        <v>984</v>
      </c>
      <c r="B751" s="1" t="s">
        <v>843</v>
      </c>
      <c r="C751" s="1" t="s">
        <v>61</v>
      </c>
      <c r="D751" s="1" t="s">
        <v>62</v>
      </c>
      <c r="E751" s="1" t="s">
        <v>32</v>
      </c>
      <c r="F751" s="1" t="s">
        <v>17</v>
      </c>
      <c r="G751" s="1" t="s">
        <v>26</v>
      </c>
      <c r="H751" s="1">
        <v>10229</v>
      </c>
      <c r="I751" s="1" t="s">
        <v>33</v>
      </c>
      <c r="J751" s="1">
        <v>0.3</v>
      </c>
      <c r="K751" s="1">
        <v>9000</v>
      </c>
      <c r="L751" s="2">
        <v>45343</v>
      </c>
    </row>
    <row r="752" spans="1:12" x14ac:dyDescent="0.35">
      <c r="A752" s="1" t="s">
        <v>985</v>
      </c>
      <c r="B752" s="1" t="s">
        <v>445</v>
      </c>
      <c r="C752" s="1" t="s">
        <v>44</v>
      </c>
      <c r="D752" s="1" t="s">
        <v>45</v>
      </c>
      <c r="E752" s="1" t="s">
        <v>32</v>
      </c>
      <c r="F752" s="1" t="s">
        <v>39</v>
      </c>
      <c r="G752" s="1" t="s">
        <v>36</v>
      </c>
      <c r="H752" s="1">
        <v>12467</v>
      </c>
      <c r="I752" s="1" t="s">
        <v>19</v>
      </c>
      <c r="J752" s="1">
        <v>0.2</v>
      </c>
      <c r="K752" s="1">
        <v>13000</v>
      </c>
      <c r="L752" s="2">
        <v>45308</v>
      </c>
    </row>
    <row r="753" spans="1:12" x14ac:dyDescent="0.35">
      <c r="A753" s="1" t="s">
        <v>986</v>
      </c>
      <c r="B753" s="1" t="s">
        <v>987</v>
      </c>
      <c r="C753" s="1" t="s">
        <v>61</v>
      </c>
      <c r="D753" s="1" t="s">
        <v>62</v>
      </c>
      <c r="E753" s="1" t="s">
        <v>16</v>
      </c>
      <c r="F753" s="1" t="s">
        <v>17</v>
      </c>
      <c r="G753" s="1" t="s">
        <v>26</v>
      </c>
      <c r="H753" s="1">
        <v>8207</v>
      </c>
      <c r="I753" s="1" t="s">
        <v>27</v>
      </c>
      <c r="J753" s="1"/>
      <c r="K753" s="1">
        <v>9000</v>
      </c>
      <c r="L753" s="2">
        <v>45336</v>
      </c>
    </row>
    <row r="754" spans="1:12" x14ac:dyDescent="0.35">
      <c r="A754" s="1" t="s">
        <v>988</v>
      </c>
      <c r="B754" s="1" t="s">
        <v>211</v>
      </c>
      <c r="C754" s="1" t="s">
        <v>44</v>
      </c>
      <c r="D754" s="1" t="s">
        <v>45</v>
      </c>
      <c r="E754" s="1" t="s">
        <v>16</v>
      </c>
      <c r="F754" s="1" t="s">
        <v>17</v>
      </c>
      <c r="G754" s="1" t="s">
        <v>36</v>
      </c>
      <c r="H754" s="1">
        <v>13999</v>
      </c>
      <c r="I754" s="1"/>
      <c r="J754" s="1"/>
      <c r="K754" s="1">
        <v>13000</v>
      </c>
      <c r="L754" s="2">
        <v>45309</v>
      </c>
    </row>
    <row r="755" spans="1:12" x14ac:dyDescent="0.35">
      <c r="A755" s="1" t="s">
        <v>989</v>
      </c>
      <c r="B755" s="1" t="s">
        <v>319</v>
      </c>
      <c r="C755" s="1" t="s">
        <v>44</v>
      </c>
      <c r="D755" s="1" t="s">
        <v>45</v>
      </c>
      <c r="E755" s="1" t="s">
        <v>32</v>
      </c>
      <c r="F755" s="1" t="s">
        <v>39</v>
      </c>
      <c r="G755" s="1" t="s">
        <v>18</v>
      </c>
      <c r="H755" s="1">
        <v>12840</v>
      </c>
      <c r="I755" s="1" t="s">
        <v>33</v>
      </c>
      <c r="J755" s="1">
        <v>0.3</v>
      </c>
      <c r="K755" s="1">
        <v>13000</v>
      </c>
      <c r="L755" s="2">
        <v>45344</v>
      </c>
    </row>
    <row r="756" spans="1:12" x14ac:dyDescent="0.35">
      <c r="A756" s="1" t="s">
        <v>990</v>
      </c>
      <c r="B756" s="1" t="s">
        <v>307</v>
      </c>
      <c r="C756" s="1" t="s">
        <v>30</v>
      </c>
      <c r="D756" s="1" t="s">
        <v>31</v>
      </c>
      <c r="E756" s="1" t="s">
        <v>46</v>
      </c>
      <c r="F756" s="1" t="s">
        <v>25</v>
      </c>
      <c r="G756" s="1" t="s">
        <v>26</v>
      </c>
      <c r="H756" s="1">
        <v>17072</v>
      </c>
      <c r="I756" s="1"/>
      <c r="J756" s="1"/>
      <c r="K756" s="1">
        <v>17000</v>
      </c>
      <c r="L756" s="2">
        <v>45338</v>
      </c>
    </row>
    <row r="757" spans="1:12" x14ac:dyDescent="0.35">
      <c r="A757" s="1" t="s">
        <v>991</v>
      </c>
      <c r="B757" s="1" t="s">
        <v>557</v>
      </c>
      <c r="C757" s="1" t="s">
        <v>30</v>
      </c>
      <c r="D757" s="1" t="s">
        <v>31</v>
      </c>
      <c r="E757" s="1" t="s">
        <v>16</v>
      </c>
      <c r="F757" s="1" t="s">
        <v>25</v>
      </c>
      <c r="G757" s="1" t="s">
        <v>36</v>
      </c>
      <c r="H757" s="1">
        <v>17953</v>
      </c>
      <c r="I757" s="1" t="s">
        <v>22</v>
      </c>
      <c r="J757" s="1">
        <v>0.1</v>
      </c>
      <c r="K757" s="1">
        <v>17000</v>
      </c>
      <c r="L757" s="2">
        <v>45334</v>
      </c>
    </row>
    <row r="758" spans="1:12" x14ac:dyDescent="0.35">
      <c r="A758" s="1" t="s">
        <v>992</v>
      </c>
      <c r="B758" s="1" t="s">
        <v>105</v>
      </c>
      <c r="C758" s="1" t="s">
        <v>61</v>
      </c>
      <c r="D758" s="1" t="s">
        <v>62</v>
      </c>
      <c r="E758" s="1" t="s">
        <v>32</v>
      </c>
      <c r="F758" s="1" t="s">
        <v>39</v>
      </c>
      <c r="G758" s="1" t="s">
        <v>26</v>
      </c>
      <c r="H758" s="1">
        <v>9037</v>
      </c>
      <c r="I758" s="1" t="s">
        <v>27</v>
      </c>
      <c r="J758" s="1"/>
      <c r="K758" s="1">
        <v>9000</v>
      </c>
      <c r="L758" s="2">
        <v>45301</v>
      </c>
    </row>
    <row r="759" spans="1:12" x14ac:dyDescent="0.35">
      <c r="A759" s="1" t="s">
        <v>993</v>
      </c>
      <c r="B759" s="1" t="s">
        <v>291</v>
      </c>
      <c r="C759" s="1" t="s">
        <v>30</v>
      </c>
      <c r="D759" s="1" t="s">
        <v>31</v>
      </c>
      <c r="E759" s="1" t="s">
        <v>46</v>
      </c>
      <c r="F759" s="1" t="s">
        <v>39</v>
      </c>
      <c r="G759" s="1" t="s">
        <v>36</v>
      </c>
      <c r="H759" s="1">
        <v>15452</v>
      </c>
      <c r="I759" s="1" t="s">
        <v>22</v>
      </c>
      <c r="J759" s="1">
        <v>0.1</v>
      </c>
      <c r="K759" s="1">
        <v>17000</v>
      </c>
      <c r="L759" s="2">
        <v>45325</v>
      </c>
    </row>
    <row r="760" spans="1:12" x14ac:dyDescent="0.35">
      <c r="A760" s="1" t="s">
        <v>994</v>
      </c>
      <c r="B760" s="1" t="s">
        <v>13</v>
      </c>
      <c r="C760" s="1" t="s">
        <v>14</v>
      </c>
      <c r="D760" s="1" t="s">
        <v>15</v>
      </c>
      <c r="E760" s="1" t="s">
        <v>32</v>
      </c>
      <c r="F760" s="1" t="s">
        <v>25</v>
      </c>
      <c r="G760" s="1" t="s">
        <v>18</v>
      </c>
      <c r="H760" s="1">
        <v>12827</v>
      </c>
      <c r="I760" s="1" t="s">
        <v>22</v>
      </c>
      <c r="J760" s="1">
        <v>0.1</v>
      </c>
      <c r="K760" s="1">
        <v>14000</v>
      </c>
      <c r="L760" s="2">
        <v>45323</v>
      </c>
    </row>
    <row r="761" spans="1:12" x14ac:dyDescent="0.35">
      <c r="A761" s="1" t="s">
        <v>995</v>
      </c>
      <c r="B761" s="1" t="s">
        <v>229</v>
      </c>
      <c r="C761" s="1" t="s">
        <v>14</v>
      </c>
      <c r="D761" s="1" t="s">
        <v>15</v>
      </c>
      <c r="E761" s="1" t="s">
        <v>16</v>
      </c>
      <c r="F761" s="1" t="s">
        <v>39</v>
      </c>
      <c r="G761" s="1" t="s">
        <v>36</v>
      </c>
      <c r="H761" s="1">
        <v>14694</v>
      </c>
      <c r="I761" s="1"/>
      <c r="J761" s="1"/>
      <c r="K761" s="1">
        <v>14000</v>
      </c>
      <c r="L761" s="2">
        <v>45325</v>
      </c>
    </row>
    <row r="762" spans="1:12" x14ac:dyDescent="0.35">
      <c r="A762" s="1" t="s">
        <v>996</v>
      </c>
      <c r="B762" s="1" t="s">
        <v>233</v>
      </c>
      <c r="C762" s="1" t="s">
        <v>30</v>
      </c>
      <c r="D762" s="1" t="s">
        <v>31</v>
      </c>
      <c r="E762" s="1" t="s">
        <v>32</v>
      </c>
      <c r="F762" s="1" t="s">
        <v>17</v>
      </c>
      <c r="G762" s="1" t="s">
        <v>18</v>
      </c>
      <c r="H762" s="1">
        <v>17481</v>
      </c>
      <c r="I762" s="1" t="s">
        <v>22</v>
      </c>
      <c r="J762" s="1">
        <v>0.1</v>
      </c>
      <c r="K762" s="1">
        <v>17000</v>
      </c>
      <c r="L762" s="2">
        <v>45292</v>
      </c>
    </row>
    <row r="763" spans="1:12" x14ac:dyDescent="0.35">
      <c r="A763" s="1" t="s">
        <v>997</v>
      </c>
      <c r="B763" s="1" t="s">
        <v>553</v>
      </c>
      <c r="C763" s="1" t="s">
        <v>61</v>
      </c>
      <c r="D763" s="1" t="s">
        <v>62</v>
      </c>
      <c r="E763" s="1" t="s">
        <v>32</v>
      </c>
      <c r="F763" s="1" t="s">
        <v>17</v>
      </c>
      <c r="G763" s="1" t="s">
        <v>26</v>
      </c>
      <c r="H763" s="1">
        <v>7248</v>
      </c>
      <c r="I763" s="1" t="s">
        <v>33</v>
      </c>
      <c r="J763" s="1">
        <v>0.3</v>
      </c>
      <c r="K763" s="1">
        <v>9000</v>
      </c>
      <c r="L763" s="2">
        <v>45327</v>
      </c>
    </row>
    <row r="764" spans="1:12" x14ac:dyDescent="0.35">
      <c r="A764" s="1" t="s">
        <v>998</v>
      </c>
      <c r="B764" s="1" t="s">
        <v>127</v>
      </c>
      <c r="C764" s="1" t="s">
        <v>30</v>
      </c>
      <c r="D764" s="1" t="s">
        <v>31</v>
      </c>
      <c r="E764" s="1" t="s">
        <v>16</v>
      </c>
      <c r="F764" s="1" t="s">
        <v>25</v>
      </c>
      <c r="G764" s="1" t="s">
        <v>26</v>
      </c>
      <c r="H764" s="1">
        <v>16088</v>
      </c>
      <c r="I764" s="1" t="s">
        <v>27</v>
      </c>
      <c r="J764" s="1"/>
      <c r="K764" s="1">
        <v>17000</v>
      </c>
      <c r="L764" s="2">
        <v>45294</v>
      </c>
    </row>
    <row r="765" spans="1:12" x14ac:dyDescent="0.35">
      <c r="A765" s="1" t="s">
        <v>999</v>
      </c>
      <c r="B765" s="1" t="s">
        <v>1000</v>
      </c>
      <c r="C765" s="1" t="s">
        <v>30</v>
      </c>
      <c r="D765" s="1" t="s">
        <v>31</v>
      </c>
      <c r="E765" s="1" t="s">
        <v>32</v>
      </c>
      <c r="F765" s="1" t="s">
        <v>25</v>
      </c>
      <c r="G765" s="1" t="s">
        <v>26</v>
      </c>
      <c r="H765" s="1">
        <v>15397</v>
      </c>
      <c r="I765" s="1" t="s">
        <v>22</v>
      </c>
      <c r="J765" s="1">
        <v>0.1</v>
      </c>
      <c r="K765" s="1">
        <v>17000</v>
      </c>
      <c r="L765" s="2">
        <v>45338</v>
      </c>
    </row>
    <row r="766" spans="1:12" x14ac:dyDescent="0.35">
      <c r="A766" s="1" t="s">
        <v>1001</v>
      </c>
      <c r="B766" s="1" t="s">
        <v>24</v>
      </c>
      <c r="C766" s="1" t="s">
        <v>61</v>
      </c>
      <c r="D766" s="1" t="s">
        <v>62</v>
      </c>
      <c r="E766" s="1" t="s">
        <v>32</v>
      </c>
      <c r="F766" s="1" t="s">
        <v>25</v>
      </c>
      <c r="G766" s="1" t="s">
        <v>26</v>
      </c>
      <c r="H766" s="1">
        <v>9690</v>
      </c>
      <c r="I766" s="1" t="s">
        <v>19</v>
      </c>
      <c r="J766" s="1">
        <v>0.2</v>
      </c>
      <c r="K766" s="1">
        <v>9000</v>
      </c>
      <c r="L766" s="2">
        <v>45328</v>
      </c>
    </row>
    <row r="767" spans="1:12" x14ac:dyDescent="0.35">
      <c r="A767" s="1" t="s">
        <v>1002</v>
      </c>
      <c r="B767" s="1" t="s">
        <v>422</v>
      </c>
      <c r="C767" s="1" t="s">
        <v>61</v>
      </c>
      <c r="D767" s="1" t="s">
        <v>62</v>
      </c>
      <c r="E767" s="1" t="s">
        <v>16</v>
      </c>
      <c r="F767" s="1" t="s">
        <v>25</v>
      </c>
      <c r="G767" s="1" t="s">
        <v>26</v>
      </c>
      <c r="H767" s="1">
        <v>9361</v>
      </c>
      <c r="I767" s="1" t="s">
        <v>33</v>
      </c>
      <c r="J767" s="1">
        <v>0.3</v>
      </c>
      <c r="K767" s="1">
        <v>9000</v>
      </c>
      <c r="L767" s="2">
        <v>45335</v>
      </c>
    </row>
    <row r="768" spans="1:12" x14ac:dyDescent="0.35">
      <c r="A768" s="1" t="s">
        <v>1003</v>
      </c>
      <c r="B768" s="1" t="s">
        <v>483</v>
      </c>
      <c r="C768" s="1" t="s">
        <v>61</v>
      </c>
      <c r="D768" s="1" t="s">
        <v>62</v>
      </c>
      <c r="E768" s="1" t="s">
        <v>32</v>
      </c>
      <c r="F768" s="1" t="s">
        <v>25</v>
      </c>
      <c r="G768" s="1" t="s">
        <v>18</v>
      </c>
      <c r="H768" s="1">
        <v>9252</v>
      </c>
      <c r="I768" s="1"/>
      <c r="J768" s="1"/>
      <c r="K768" s="1">
        <v>9000</v>
      </c>
      <c r="L768" s="2">
        <v>45324</v>
      </c>
    </row>
    <row r="769" spans="1:12" x14ac:dyDescent="0.35">
      <c r="A769" s="1" t="s">
        <v>1004</v>
      </c>
      <c r="B769" s="1" t="s">
        <v>150</v>
      </c>
      <c r="C769" s="1" t="s">
        <v>44</v>
      </c>
      <c r="D769" s="1" t="s">
        <v>45</v>
      </c>
      <c r="E769" s="1" t="s">
        <v>16</v>
      </c>
      <c r="F769" s="1" t="s">
        <v>39</v>
      </c>
      <c r="G769" s="1" t="s">
        <v>36</v>
      </c>
      <c r="H769" s="1">
        <v>14823</v>
      </c>
      <c r="I769" s="1" t="s">
        <v>33</v>
      </c>
      <c r="J769" s="1">
        <v>0.3</v>
      </c>
      <c r="K769" s="1">
        <v>13000</v>
      </c>
      <c r="L769" s="2">
        <v>45349</v>
      </c>
    </row>
    <row r="770" spans="1:12" x14ac:dyDescent="0.35">
      <c r="A770" s="1" t="s">
        <v>1005</v>
      </c>
      <c r="B770" s="1" t="s">
        <v>301</v>
      </c>
      <c r="C770" s="1" t="s">
        <v>30</v>
      </c>
      <c r="D770" s="1" t="s">
        <v>31</v>
      </c>
      <c r="E770" s="1" t="s">
        <v>46</v>
      </c>
      <c r="F770" s="1" t="s">
        <v>17</v>
      </c>
      <c r="G770" s="1" t="s">
        <v>26</v>
      </c>
      <c r="H770" s="1">
        <v>16763</v>
      </c>
      <c r="I770" s="1" t="s">
        <v>33</v>
      </c>
      <c r="J770" s="1">
        <v>0.3</v>
      </c>
      <c r="K770" s="1">
        <v>17000</v>
      </c>
      <c r="L770" s="2">
        <v>45330</v>
      </c>
    </row>
    <row r="771" spans="1:12" x14ac:dyDescent="0.35">
      <c r="A771" s="1" t="s">
        <v>1006</v>
      </c>
      <c r="B771" s="1" t="s">
        <v>56</v>
      </c>
      <c r="C771" s="1" t="s">
        <v>44</v>
      </c>
      <c r="D771" s="1" t="s">
        <v>45</v>
      </c>
      <c r="E771" s="1" t="s">
        <v>46</v>
      </c>
      <c r="F771" s="1" t="s">
        <v>39</v>
      </c>
      <c r="G771" s="1" t="s">
        <v>26</v>
      </c>
      <c r="H771" s="1">
        <v>12040</v>
      </c>
      <c r="I771" s="1" t="s">
        <v>33</v>
      </c>
      <c r="J771" s="1">
        <v>0.3</v>
      </c>
      <c r="K771" s="1">
        <v>13000</v>
      </c>
      <c r="L771" s="2">
        <v>45320</v>
      </c>
    </row>
    <row r="772" spans="1:12" x14ac:dyDescent="0.35">
      <c r="A772" s="1" t="s">
        <v>1007</v>
      </c>
      <c r="B772" s="1" t="s">
        <v>52</v>
      </c>
      <c r="C772" s="1" t="s">
        <v>14</v>
      </c>
      <c r="D772" s="1" t="s">
        <v>15</v>
      </c>
      <c r="E772" s="1" t="s">
        <v>16</v>
      </c>
      <c r="F772" s="1" t="s">
        <v>25</v>
      </c>
      <c r="G772" s="1" t="s">
        <v>36</v>
      </c>
      <c r="H772" s="1">
        <v>14440</v>
      </c>
      <c r="I772" s="1" t="s">
        <v>22</v>
      </c>
      <c r="J772" s="1">
        <v>0.1</v>
      </c>
      <c r="K772" s="1">
        <v>14000</v>
      </c>
      <c r="L772" s="2">
        <v>45325</v>
      </c>
    </row>
    <row r="773" spans="1:12" x14ac:dyDescent="0.35">
      <c r="A773" s="1" t="s">
        <v>1008</v>
      </c>
      <c r="B773" s="1" t="s">
        <v>256</v>
      </c>
      <c r="C773" s="1" t="s">
        <v>14</v>
      </c>
      <c r="D773" s="1" t="s">
        <v>15</v>
      </c>
      <c r="E773" s="1" t="s">
        <v>46</v>
      </c>
      <c r="F773" s="1" t="s">
        <v>25</v>
      </c>
      <c r="G773" s="1" t="s">
        <v>18</v>
      </c>
      <c r="H773" s="1">
        <v>15505</v>
      </c>
      <c r="I773" s="1" t="s">
        <v>33</v>
      </c>
      <c r="J773" s="1">
        <v>0.3</v>
      </c>
      <c r="K773" s="1">
        <v>14000</v>
      </c>
      <c r="L773" s="2">
        <v>45293</v>
      </c>
    </row>
    <row r="774" spans="1:12" x14ac:dyDescent="0.35">
      <c r="A774" s="1" t="s">
        <v>1009</v>
      </c>
      <c r="B774" s="1" t="s">
        <v>140</v>
      </c>
      <c r="C774" s="1" t="s">
        <v>30</v>
      </c>
      <c r="D774" s="1" t="s">
        <v>31</v>
      </c>
      <c r="E774" s="1" t="s">
        <v>16</v>
      </c>
      <c r="F774" s="1" t="s">
        <v>39</v>
      </c>
      <c r="G774" s="1" t="s">
        <v>26</v>
      </c>
      <c r="H774" s="1">
        <v>17337</v>
      </c>
      <c r="I774" s="1" t="s">
        <v>27</v>
      </c>
      <c r="J774" s="1"/>
      <c r="K774" s="1">
        <v>17000</v>
      </c>
      <c r="L774" s="2">
        <v>45301</v>
      </c>
    </row>
    <row r="775" spans="1:12" x14ac:dyDescent="0.35">
      <c r="A775" s="1" t="s">
        <v>1010</v>
      </c>
      <c r="B775" s="1" t="s">
        <v>43</v>
      </c>
      <c r="C775" s="1" t="s">
        <v>61</v>
      </c>
      <c r="D775" s="1" t="s">
        <v>62</v>
      </c>
      <c r="E775" s="1" t="s">
        <v>46</v>
      </c>
      <c r="F775" s="1" t="s">
        <v>25</v>
      </c>
      <c r="G775" s="1" t="s">
        <v>18</v>
      </c>
      <c r="H775" s="1">
        <v>8085</v>
      </c>
      <c r="I775" s="1" t="s">
        <v>33</v>
      </c>
      <c r="J775" s="1">
        <v>0.3</v>
      </c>
      <c r="K775" s="1">
        <v>9000</v>
      </c>
      <c r="L775" s="2">
        <v>45348</v>
      </c>
    </row>
    <row r="776" spans="1:12" x14ac:dyDescent="0.35">
      <c r="A776" s="1" t="s">
        <v>1011</v>
      </c>
      <c r="B776" s="1" t="s">
        <v>519</v>
      </c>
      <c r="C776" s="1" t="s">
        <v>44</v>
      </c>
      <c r="D776" s="1" t="s">
        <v>45</v>
      </c>
      <c r="E776" s="1" t="s">
        <v>46</v>
      </c>
      <c r="F776" s="1" t="s">
        <v>17</v>
      </c>
      <c r="G776" s="1" t="s">
        <v>18</v>
      </c>
      <c r="H776" s="1">
        <v>13336</v>
      </c>
      <c r="I776" s="1"/>
      <c r="J776" s="1"/>
      <c r="K776" s="1">
        <v>13000</v>
      </c>
      <c r="L776" s="2">
        <v>45328</v>
      </c>
    </row>
    <row r="777" spans="1:12" x14ac:dyDescent="0.35">
      <c r="A777" s="1" t="s">
        <v>1012</v>
      </c>
      <c r="B777" s="1" t="s">
        <v>553</v>
      </c>
      <c r="C777" s="1" t="s">
        <v>14</v>
      </c>
      <c r="D777" s="1" t="s">
        <v>15</v>
      </c>
      <c r="E777" s="1" t="s">
        <v>16</v>
      </c>
      <c r="F777" s="1" t="s">
        <v>17</v>
      </c>
      <c r="G777" s="1" t="s">
        <v>36</v>
      </c>
      <c r="H777" s="1">
        <v>12708</v>
      </c>
      <c r="I777" s="1"/>
      <c r="J777" s="1"/>
      <c r="K777" s="1">
        <v>14000</v>
      </c>
      <c r="L777" s="2">
        <v>45344</v>
      </c>
    </row>
    <row r="778" spans="1:12" x14ac:dyDescent="0.35">
      <c r="A778" s="1" t="s">
        <v>1013</v>
      </c>
      <c r="B778" s="1" t="s">
        <v>260</v>
      </c>
      <c r="C778" s="1" t="s">
        <v>14</v>
      </c>
      <c r="D778" s="1" t="s">
        <v>15</v>
      </c>
      <c r="E778" s="1" t="s">
        <v>16</v>
      </c>
      <c r="F778" s="1" t="s">
        <v>39</v>
      </c>
      <c r="G778" s="1" t="s">
        <v>36</v>
      </c>
      <c r="H778" s="1">
        <v>12153</v>
      </c>
      <c r="I778" s="1" t="s">
        <v>27</v>
      </c>
      <c r="J778" s="1"/>
      <c r="K778" s="1">
        <v>14000</v>
      </c>
      <c r="L778" s="2">
        <v>45316</v>
      </c>
    </row>
    <row r="779" spans="1:12" x14ac:dyDescent="0.35">
      <c r="A779" s="1" t="s">
        <v>1014</v>
      </c>
      <c r="B779" s="1" t="s">
        <v>200</v>
      </c>
      <c r="C779" s="1" t="s">
        <v>14</v>
      </c>
      <c r="D779" s="1" t="s">
        <v>15</v>
      </c>
      <c r="E779" s="1" t="s">
        <v>46</v>
      </c>
      <c r="F779" s="1" t="s">
        <v>17</v>
      </c>
      <c r="G779" s="1" t="s">
        <v>36</v>
      </c>
      <c r="H779" s="1">
        <v>13706</v>
      </c>
      <c r="I779" s="1" t="s">
        <v>22</v>
      </c>
      <c r="J779" s="1">
        <v>0.1</v>
      </c>
      <c r="K779" s="1">
        <v>14000</v>
      </c>
      <c r="L779" s="2">
        <v>45347</v>
      </c>
    </row>
    <row r="780" spans="1:12" x14ac:dyDescent="0.35">
      <c r="A780" s="1" t="s">
        <v>1015</v>
      </c>
      <c r="B780" s="1" t="s">
        <v>294</v>
      </c>
      <c r="C780" s="1" t="s">
        <v>14</v>
      </c>
      <c r="D780" s="1" t="s">
        <v>15</v>
      </c>
      <c r="E780" s="1" t="s">
        <v>16</v>
      </c>
      <c r="F780" s="1" t="s">
        <v>39</v>
      </c>
      <c r="G780" s="1" t="s">
        <v>36</v>
      </c>
      <c r="H780" s="1">
        <v>12221</v>
      </c>
      <c r="I780" s="1" t="s">
        <v>33</v>
      </c>
      <c r="J780" s="1">
        <v>0.3</v>
      </c>
      <c r="K780" s="1">
        <v>14000</v>
      </c>
      <c r="L780" s="2">
        <v>45325</v>
      </c>
    </row>
    <row r="781" spans="1:12" x14ac:dyDescent="0.35">
      <c r="A781" s="1" t="s">
        <v>1016</v>
      </c>
      <c r="B781" s="1" t="s">
        <v>125</v>
      </c>
      <c r="C781" s="1" t="s">
        <v>44</v>
      </c>
      <c r="D781" s="1" t="s">
        <v>45</v>
      </c>
      <c r="E781" s="1" t="s">
        <v>46</v>
      </c>
      <c r="F781" s="1" t="s">
        <v>39</v>
      </c>
      <c r="G781" s="1" t="s">
        <v>26</v>
      </c>
      <c r="H781" s="1">
        <v>11904</v>
      </c>
      <c r="I781" s="1" t="s">
        <v>19</v>
      </c>
      <c r="J781" s="1">
        <v>0.2</v>
      </c>
      <c r="K781" s="1">
        <v>13000</v>
      </c>
      <c r="L781" s="2">
        <v>45295</v>
      </c>
    </row>
    <row r="782" spans="1:12" x14ac:dyDescent="0.35">
      <c r="A782" s="1" t="s">
        <v>1017</v>
      </c>
      <c r="B782" s="1" t="s">
        <v>305</v>
      </c>
      <c r="C782" s="1" t="s">
        <v>61</v>
      </c>
      <c r="D782" s="1" t="s">
        <v>62</v>
      </c>
      <c r="E782" s="1" t="s">
        <v>46</v>
      </c>
      <c r="F782" s="1" t="s">
        <v>39</v>
      </c>
      <c r="G782" s="1" t="s">
        <v>26</v>
      </c>
      <c r="H782" s="1">
        <v>9067</v>
      </c>
      <c r="I782" s="1" t="s">
        <v>22</v>
      </c>
      <c r="J782" s="1">
        <v>0.1</v>
      </c>
      <c r="K782" s="1">
        <v>9000</v>
      </c>
      <c r="L782" s="2">
        <v>45306</v>
      </c>
    </row>
    <row r="783" spans="1:12" x14ac:dyDescent="0.35">
      <c r="A783" s="1" t="s">
        <v>1018</v>
      </c>
      <c r="B783" s="1" t="s">
        <v>435</v>
      </c>
      <c r="C783" s="1" t="s">
        <v>61</v>
      </c>
      <c r="D783" s="1" t="s">
        <v>62</v>
      </c>
      <c r="E783" s="1" t="s">
        <v>32</v>
      </c>
      <c r="F783" s="1" t="s">
        <v>25</v>
      </c>
      <c r="G783" s="1" t="s">
        <v>36</v>
      </c>
      <c r="H783" s="1">
        <v>7338</v>
      </c>
      <c r="I783" s="1"/>
      <c r="J783" s="1"/>
      <c r="K783" s="1">
        <v>9000</v>
      </c>
      <c r="L783" s="2">
        <v>45328</v>
      </c>
    </row>
    <row r="784" spans="1:12" x14ac:dyDescent="0.35">
      <c r="A784" s="1" t="s">
        <v>1019</v>
      </c>
      <c r="B784" s="1" t="s">
        <v>464</v>
      </c>
      <c r="C784" s="1" t="s">
        <v>61</v>
      </c>
      <c r="D784" s="1" t="s">
        <v>62</v>
      </c>
      <c r="E784" s="1" t="s">
        <v>46</v>
      </c>
      <c r="F784" s="1" t="s">
        <v>25</v>
      </c>
      <c r="G784" s="1" t="s">
        <v>36</v>
      </c>
      <c r="H784" s="1">
        <v>9055</v>
      </c>
      <c r="I784" s="1"/>
      <c r="J784" s="1"/>
      <c r="K784" s="1">
        <v>9000</v>
      </c>
      <c r="L784" s="2">
        <v>45341</v>
      </c>
    </row>
    <row r="785" spans="1:12" x14ac:dyDescent="0.35">
      <c r="A785" s="1" t="s">
        <v>1020</v>
      </c>
      <c r="B785" s="1" t="s">
        <v>153</v>
      </c>
      <c r="C785" s="1" t="s">
        <v>44</v>
      </c>
      <c r="D785" s="1" t="s">
        <v>45</v>
      </c>
      <c r="E785" s="1" t="s">
        <v>46</v>
      </c>
      <c r="F785" s="1" t="s">
        <v>39</v>
      </c>
      <c r="G785" s="1" t="s">
        <v>18</v>
      </c>
      <c r="H785" s="1">
        <v>12998</v>
      </c>
      <c r="I785" s="1"/>
      <c r="J785" s="1"/>
      <c r="K785" s="1">
        <v>13000</v>
      </c>
      <c r="L785" s="2">
        <v>45333</v>
      </c>
    </row>
    <row r="786" spans="1:12" x14ac:dyDescent="0.35">
      <c r="A786" s="1" t="s">
        <v>1021</v>
      </c>
      <c r="B786" s="1" t="s">
        <v>519</v>
      </c>
      <c r="C786" s="1" t="s">
        <v>44</v>
      </c>
      <c r="D786" s="1" t="s">
        <v>45</v>
      </c>
      <c r="E786" s="1" t="s">
        <v>32</v>
      </c>
      <c r="F786" s="1" t="s">
        <v>25</v>
      </c>
      <c r="G786" s="1" t="s">
        <v>36</v>
      </c>
      <c r="H786" s="1">
        <v>14181</v>
      </c>
      <c r="I786" s="1"/>
      <c r="J786" s="1"/>
      <c r="K786" s="1">
        <v>13000</v>
      </c>
      <c r="L786" s="2">
        <v>45312</v>
      </c>
    </row>
    <row r="787" spans="1:12" x14ac:dyDescent="0.35">
      <c r="A787" s="1" t="s">
        <v>1022</v>
      </c>
      <c r="B787" s="1" t="s">
        <v>163</v>
      </c>
      <c r="C787" s="1" t="s">
        <v>14</v>
      </c>
      <c r="D787" s="1" t="s">
        <v>15</v>
      </c>
      <c r="E787" s="1" t="s">
        <v>32</v>
      </c>
      <c r="F787" s="1" t="s">
        <v>39</v>
      </c>
      <c r="G787" s="1" t="s">
        <v>36</v>
      </c>
      <c r="H787" s="1">
        <v>13734</v>
      </c>
      <c r="I787" s="1" t="s">
        <v>33</v>
      </c>
      <c r="J787" s="1">
        <v>0.3</v>
      </c>
      <c r="K787" s="1">
        <v>14000</v>
      </c>
      <c r="L787" s="2">
        <v>45314</v>
      </c>
    </row>
    <row r="788" spans="1:12" x14ac:dyDescent="0.35">
      <c r="A788" s="1" t="s">
        <v>1023</v>
      </c>
      <c r="B788" s="1" t="s">
        <v>391</v>
      </c>
      <c r="C788" s="1" t="s">
        <v>30</v>
      </c>
      <c r="D788" s="1" t="s">
        <v>31</v>
      </c>
      <c r="E788" s="1" t="s">
        <v>16</v>
      </c>
      <c r="F788" s="1" t="s">
        <v>39</v>
      </c>
      <c r="G788" s="1" t="s">
        <v>18</v>
      </c>
      <c r="H788" s="1">
        <v>18152</v>
      </c>
      <c r="I788" s="1" t="s">
        <v>33</v>
      </c>
      <c r="J788" s="1">
        <v>0.3</v>
      </c>
      <c r="K788" s="1">
        <v>17000</v>
      </c>
      <c r="L788" s="2">
        <v>45302</v>
      </c>
    </row>
    <row r="789" spans="1:12" x14ac:dyDescent="0.35">
      <c r="A789" s="1" t="s">
        <v>1024</v>
      </c>
      <c r="B789" s="1" t="s">
        <v>38</v>
      </c>
      <c r="C789" s="1" t="s">
        <v>61</v>
      </c>
      <c r="D789" s="1" t="s">
        <v>62</v>
      </c>
      <c r="E789" s="1" t="s">
        <v>16</v>
      </c>
      <c r="F789" s="1" t="s">
        <v>25</v>
      </c>
      <c r="G789" s="1" t="s">
        <v>36</v>
      </c>
      <c r="H789" s="1">
        <v>7183</v>
      </c>
      <c r="I789" s="1" t="s">
        <v>19</v>
      </c>
      <c r="J789" s="1">
        <v>0.2</v>
      </c>
      <c r="K789" s="1">
        <v>9000</v>
      </c>
      <c r="L789" s="2">
        <v>45304</v>
      </c>
    </row>
    <row r="790" spans="1:12" x14ac:dyDescent="0.35">
      <c r="A790" s="1" t="s">
        <v>1025</v>
      </c>
      <c r="B790" s="1" t="s">
        <v>317</v>
      </c>
      <c r="C790" s="1" t="s">
        <v>44</v>
      </c>
      <c r="D790" s="1" t="s">
        <v>45</v>
      </c>
      <c r="E790" s="1" t="s">
        <v>16</v>
      </c>
      <c r="F790" s="1" t="s">
        <v>25</v>
      </c>
      <c r="G790" s="1" t="s">
        <v>18</v>
      </c>
      <c r="H790" s="1">
        <v>14029</v>
      </c>
      <c r="I790" s="1" t="s">
        <v>22</v>
      </c>
      <c r="J790" s="1">
        <v>0.1</v>
      </c>
      <c r="K790" s="1">
        <v>13000</v>
      </c>
      <c r="L790" s="2">
        <v>45307</v>
      </c>
    </row>
    <row r="791" spans="1:12" x14ac:dyDescent="0.35">
      <c r="A791" s="1" t="s">
        <v>1026</v>
      </c>
      <c r="B791" s="1" t="s">
        <v>373</v>
      </c>
      <c r="C791" s="1" t="s">
        <v>30</v>
      </c>
      <c r="D791" s="1" t="s">
        <v>31</v>
      </c>
      <c r="E791" s="1" t="s">
        <v>32</v>
      </c>
      <c r="F791" s="1" t="s">
        <v>17</v>
      </c>
      <c r="G791" s="1" t="s">
        <v>26</v>
      </c>
      <c r="H791" s="1">
        <v>18294</v>
      </c>
      <c r="I791" s="1" t="s">
        <v>22</v>
      </c>
      <c r="J791" s="1">
        <v>0.1</v>
      </c>
      <c r="K791" s="1">
        <v>17000</v>
      </c>
      <c r="L791" s="2">
        <v>45311</v>
      </c>
    </row>
    <row r="792" spans="1:12" x14ac:dyDescent="0.35">
      <c r="A792" s="1" t="s">
        <v>1027</v>
      </c>
      <c r="B792" s="1" t="s">
        <v>231</v>
      </c>
      <c r="C792" s="1" t="s">
        <v>14</v>
      </c>
      <c r="D792" s="1" t="s">
        <v>15</v>
      </c>
      <c r="E792" s="1" t="s">
        <v>46</v>
      </c>
      <c r="F792" s="1" t="s">
        <v>25</v>
      </c>
      <c r="G792" s="1" t="s">
        <v>26</v>
      </c>
      <c r="H792" s="1">
        <v>14203</v>
      </c>
      <c r="I792" s="1" t="s">
        <v>19</v>
      </c>
      <c r="J792" s="1">
        <v>0.2</v>
      </c>
      <c r="K792" s="1">
        <v>14000</v>
      </c>
      <c r="L792" s="2">
        <v>45305</v>
      </c>
    </row>
    <row r="793" spans="1:12" x14ac:dyDescent="0.35">
      <c r="A793" s="1" t="s">
        <v>1028</v>
      </c>
      <c r="B793" s="1" t="s">
        <v>168</v>
      </c>
      <c r="C793" s="1" t="s">
        <v>30</v>
      </c>
      <c r="D793" s="1" t="s">
        <v>31</v>
      </c>
      <c r="E793" s="1" t="s">
        <v>16</v>
      </c>
      <c r="F793" s="1" t="s">
        <v>17</v>
      </c>
      <c r="G793" s="1" t="s">
        <v>26</v>
      </c>
      <c r="H793" s="1">
        <v>17989</v>
      </c>
      <c r="I793" s="1" t="s">
        <v>19</v>
      </c>
      <c r="J793" s="1">
        <v>0.2</v>
      </c>
      <c r="K793" s="1">
        <v>17000</v>
      </c>
      <c r="L793" s="2">
        <v>45336</v>
      </c>
    </row>
    <row r="794" spans="1:12" x14ac:dyDescent="0.35">
      <c r="A794" s="1" t="s">
        <v>1029</v>
      </c>
      <c r="B794" s="1" t="s">
        <v>765</v>
      </c>
      <c r="C794" s="1" t="s">
        <v>14</v>
      </c>
      <c r="D794" s="1" t="s">
        <v>15</v>
      </c>
      <c r="E794" s="1" t="s">
        <v>46</v>
      </c>
      <c r="F794" s="1" t="s">
        <v>39</v>
      </c>
      <c r="G794" s="1" t="s">
        <v>26</v>
      </c>
      <c r="H794" s="1">
        <v>14157</v>
      </c>
      <c r="I794" s="1" t="s">
        <v>22</v>
      </c>
      <c r="J794" s="1">
        <v>0.1</v>
      </c>
      <c r="K794" s="1">
        <v>14000</v>
      </c>
      <c r="L794" s="2">
        <v>45308</v>
      </c>
    </row>
    <row r="795" spans="1:12" x14ac:dyDescent="0.35">
      <c r="A795" s="1" t="s">
        <v>1030</v>
      </c>
      <c r="B795" s="1" t="s">
        <v>557</v>
      </c>
      <c r="C795" s="1" t="s">
        <v>30</v>
      </c>
      <c r="D795" s="1" t="s">
        <v>31</v>
      </c>
      <c r="E795" s="1" t="s">
        <v>32</v>
      </c>
      <c r="F795" s="1" t="s">
        <v>39</v>
      </c>
      <c r="G795" s="1" t="s">
        <v>26</v>
      </c>
      <c r="H795" s="1">
        <v>16111</v>
      </c>
      <c r="I795" s="1" t="s">
        <v>22</v>
      </c>
      <c r="J795" s="1">
        <v>0.1</v>
      </c>
      <c r="K795" s="1">
        <v>17000</v>
      </c>
      <c r="L795" s="2">
        <v>45321</v>
      </c>
    </row>
    <row r="796" spans="1:12" x14ac:dyDescent="0.35">
      <c r="A796" s="1" t="s">
        <v>1031</v>
      </c>
      <c r="B796" s="1" t="s">
        <v>1032</v>
      </c>
      <c r="C796" s="1" t="s">
        <v>14</v>
      </c>
      <c r="D796" s="1" t="s">
        <v>15</v>
      </c>
      <c r="E796" s="1" t="s">
        <v>46</v>
      </c>
      <c r="F796" s="1" t="s">
        <v>39</v>
      </c>
      <c r="G796" s="1" t="s">
        <v>36</v>
      </c>
      <c r="H796" s="1">
        <v>14715</v>
      </c>
      <c r="I796" s="1" t="s">
        <v>33</v>
      </c>
      <c r="J796" s="1">
        <v>0.3</v>
      </c>
      <c r="K796" s="1">
        <v>14000</v>
      </c>
      <c r="L796" s="2">
        <v>45347</v>
      </c>
    </row>
    <row r="797" spans="1:12" x14ac:dyDescent="0.35">
      <c r="A797" s="1" t="s">
        <v>1033</v>
      </c>
      <c r="B797" s="1" t="s">
        <v>43</v>
      </c>
      <c r="C797" s="1" t="s">
        <v>30</v>
      </c>
      <c r="D797" s="1" t="s">
        <v>31</v>
      </c>
      <c r="E797" s="1" t="s">
        <v>16</v>
      </c>
      <c r="F797" s="1" t="s">
        <v>17</v>
      </c>
      <c r="G797" s="1" t="s">
        <v>18</v>
      </c>
      <c r="H797" s="1">
        <v>16559</v>
      </c>
      <c r="I797" s="1" t="s">
        <v>27</v>
      </c>
      <c r="J797" s="1"/>
      <c r="K797" s="1">
        <v>17000</v>
      </c>
      <c r="L797" s="2">
        <v>45337</v>
      </c>
    </row>
    <row r="798" spans="1:12" x14ac:dyDescent="0.35">
      <c r="A798" s="1" t="s">
        <v>1034</v>
      </c>
      <c r="B798" s="1" t="s">
        <v>432</v>
      </c>
      <c r="C798" s="1" t="s">
        <v>61</v>
      </c>
      <c r="D798" s="1" t="s">
        <v>62</v>
      </c>
      <c r="E798" s="1" t="s">
        <v>16</v>
      </c>
      <c r="F798" s="1" t="s">
        <v>39</v>
      </c>
      <c r="G798" s="1" t="s">
        <v>18</v>
      </c>
      <c r="H798" s="1">
        <v>7763</v>
      </c>
      <c r="I798" s="1" t="s">
        <v>19</v>
      </c>
      <c r="J798" s="1">
        <v>0.2</v>
      </c>
      <c r="K798" s="1">
        <v>9000</v>
      </c>
      <c r="L798" s="2">
        <v>45324</v>
      </c>
    </row>
    <row r="799" spans="1:12" x14ac:dyDescent="0.35">
      <c r="A799" s="1" t="s">
        <v>1035</v>
      </c>
      <c r="B799" s="1" t="s">
        <v>330</v>
      </c>
      <c r="C799" s="1" t="s">
        <v>14</v>
      </c>
      <c r="D799" s="1" t="s">
        <v>15</v>
      </c>
      <c r="E799" s="1" t="s">
        <v>32</v>
      </c>
      <c r="F799" s="1" t="s">
        <v>25</v>
      </c>
      <c r="G799" s="1" t="s">
        <v>26</v>
      </c>
      <c r="H799" s="1">
        <v>13248</v>
      </c>
      <c r="I799" s="1" t="s">
        <v>33</v>
      </c>
      <c r="J799" s="1">
        <v>0.3</v>
      </c>
      <c r="K799" s="1">
        <v>14000</v>
      </c>
      <c r="L799" s="2">
        <v>45323</v>
      </c>
    </row>
    <row r="800" spans="1:12" x14ac:dyDescent="0.35">
      <c r="A800" s="1" t="s">
        <v>1036</v>
      </c>
      <c r="B800" s="1" t="s">
        <v>101</v>
      </c>
      <c r="C800" s="1" t="s">
        <v>44</v>
      </c>
      <c r="D800" s="1" t="s">
        <v>45</v>
      </c>
      <c r="E800" s="1" t="s">
        <v>32</v>
      </c>
      <c r="F800" s="1" t="s">
        <v>17</v>
      </c>
      <c r="G800" s="1" t="s">
        <v>26</v>
      </c>
      <c r="H800" s="1">
        <v>12441</v>
      </c>
      <c r="I800" s="1" t="s">
        <v>33</v>
      </c>
      <c r="J800" s="1">
        <v>0.3</v>
      </c>
      <c r="K800" s="1">
        <v>13000</v>
      </c>
      <c r="L800" s="2">
        <v>45332</v>
      </c>
    </row>
    <row r="801" spans="1:12" x14ac:dyDescent="0.35">
      <c r="A801" s="1" t="s">
        <v>1037</v>
      </c>
      <c r="B801" s="1" t="s">
        <v>289</v>
      </c>
      <c r="C801" s="1" t="s">
        <v>30</v>
      </c>
      <c r="D801" s="1" t="s">
        <v>31</v>
      </c>
      <c r="E801" s="1" t="s">
        <v>32</v>
      </c>
      <c r="F801" s="1" t="s">
        <v>39</v>
      </c>
      <c r="G801" s="1" t="s">
        <v>36</v>
      </c>
      <c r="H801" s="1">
        <v>18599</v>
      </c>
      <c r="I801" s="1"/>
      <c r="J801" s="1"/>
      <c r="K801" s="1">
        <v>17000</v>
      </c>
      <c r="L801" s="2">
        <v>45348</v>
      </c>
    </row>
    <row r="802" spans="1:12" x14ac:dyDescent="0.35">
      <c r="A802" s="1" t="s">
        <v>1038</v>
      </c>
      <c r="B802" s="1" t="s">
        <v>676</v>
      </c>
      <c r="C802" s="1" t="s">
        <v>30</v>
      </c>
      <c r="D802" s="1" t="s">
        <v>31</v>
      </c>
      <c r="E802" s="1" t="s">
        <v>32</v>
      </c>
      <c r="F802" s="1" t="s">
        <v>25</v>
      </c>
      <c r="G802" s="1" t="s">
        <v>36</v>
      </c>
      <c r="H802" s="1">
        <v>18674</v>
      </c>
      <c r="I802" s="1"/>
      <c r="J802" s="1"/>
      <c r="K802" s="1">
        <v>17000</v>
      </c>
      <c r="L802" s="2">
        <v>45334</v>
      </c>
    </row>
    <row r="803" spans="1:12" x14ac:dyDescent="0.35">
      <c r="A803" s="1" t="s">
        <v>1039</v>
      </c>
      <c r="B803" s="1" t="s">
        <v>325</v>
      </c>
      <c r="C803" s="1" t="s">
        <v>61</v>
      </c>
      <c r="D803" s="1" t="s">
        <v>62</v>
      </c>
      <c r="E803" s="1" t="s">
        <v>16</v>
      </c>
      <c r="F803" s="1" t="s">
        <v>39</v>
      </c>
      <c r="G803" s="1" t="s">
        <v>26</v>
      </c>
      <c r="H803" s="1">
        <v>10574</v>
      </c>
      <c r="I803" s="1" t="s">
        <v>19</v>
      </c>
      <c r="J803" s="1">
        <v>0.2</v>
      </c>
      <c r="K803" s="1">
        <v>9000</v>
      </c>
      <c r="L803" s="2">
        <v>45318</v>
      </c>
    </row>
    <row r="804" spans="1:12" x14ac:dyDescent="0.35">
      <c r="A804" s="1" t="s">
        <v>1040</v>
      </c>
      <c r="B804" s="1" t="s">
        <v>56</v>
      </c>
      <c r="C804" s="1" t="s">
        <v>44</v>
      </c>
      <c r="D804" s="1" t="s">
        <v>45</v>
      </c>
      <c r="E804" s="1" t="s">
        <v>46</v>
      </c>
      <c r="F804" s="1" t="s">
        <v>17</v>
      </c>
      <c r="G804" s="1" t="s">
        <v>26</v>
      </c>
      <c r="H804" s="1">
        <v>12348</v>
      </c>
      <c r="I804" s="1"/>
      <c r="J804" s="1"/>
      <c r="K804" s="1">
        <v>13000</v>
      </c>
      <c r="L804" s="2">
        <v>45326</v>
      </c>
    </row>
    <row r="805" spans="1:12" x14ac:dyDescent="0.35">
      <c r="A805" s="1" t="s">
        <v>1041</v>
      </c>
      <c r="B805" s="1" t="s">
        <v>35</v>
      </c>
      <c r="C805" s="1" t="s">
        <v>44</v>
      </c>
      <c r="D805" s="1" t="s">
        <v>45</v>
      </c>
      <c r="E805" s="1" t="s">
        <v>16</v>
      </c>
      <c r="F805" s="1" t="s">
        <v>39</v>
      </c>
      <c r="G805" s="1" t="s">
        <v>26</v>
      </c>
      <c r="H805" s="1">
        <v>14277</v>
      </c>
      <c r="I805" s="1" t="s">
        <v>19</v>
      </c>
      <c r="J805" s="1">
        <v>0.2</v>
      </c>
      <c r="K805" s="1">
        <v>13000</v>
      </c>
      <c r="L805" s="2">
        <v>45347</v>
      </c>
    </row>
    <row r="806" spans="1:12" x14ac:dyDescent="0.35">
      <c r="A806" s="1" t="s">
        <v>1042</v>
      </c>
      <c r="B806" s="1" t="s">
        <v>256</v>
      </c>
      <c r="C806" s="1" t="s">
        <v>44</v>
      </c>
      <c r="D806" s="1" t="s">
        <v>45</v>
      </c>
      <c r="E806" s="1" t="s">
        <v>46</v>
      </c>
      <c r="F806" s="1" t="s">
        <v>25</v>
      </c>
      <c r="G806" s="1" t="s">
        <v>26</v>
      </c>
      <c r="H806" s="1">
        <v>14821</v>
      </c>
      <c r="I806" s="1" t="s">
        <v>27</v>
      </c>
      <c r="J806" s="1"/>
      <c r="K806" s="1">
        <v>13000</v>
      </c>
      <c r="L806" s="2">
        <v>45350</v>
      </c>
    </row>
    <row r="807" spans="1:12" x14ac:dyDescent="0.35">
      <c r="A807" s="1" t="s">
        <v>1043</v>
      </c>
      <c r="B807" s="1" t="s">
        <v>74</v>
      </c>
      <c r="C807" s="1" t="s">
        <v>14</v>
      </c>
      <c r="D807" s="1" t="s">
        <v>15</v>
      </c>
      <c r="E807" s="1" t="s">
        <v>16</v>
      </c>
      <c r="F807" s="1" t="s">
        <v>39</v>
      </c>
      <c r="G807" s="1" t="s">
        <v>26</v>
      </c>
      <c r="H807" s="1">
        <v>12484</v>
      </c>
      <c r="I807" s="1" t="s">
        <v>19</v>
      </c>
      <c r="J807" s="1">
        <v>0.2</v>
      </c>
      <c r="K807" s="1">
        <v>14000</v>
      </c>
      <c r="L807" s="2">
        <v>45312</v>
      </c>
    </row>
    <row r="808" spans="1:12" x14ac:dyDescent="0.35">
      <c r="A808" s="1" t="s">
        <v>1044</v>
      </c>
      <c r="B808" s="1" t="s">
        <v>412</v>
      </c>
      <c r="C808" s="1" t="s">
        <v>14</v>
      </c>
      <c r="D808" s="1" t="s">
        <v>15</v>
      </c>
      <c r="E808" s="1" t="s">
        <v>46</v>
      </c>
      <c r="F808" s="1" t="s">
        <v>17</v>
      </c>
      <c r="G808" s="1" t="s">
        <v>36</v>
      </c>
      <c r="H808" s="1">
        <v>13242</v>
      </c>
      <c r="I808" s="1"/>
      <c r="J808" s="1"/>
      <c r="K808" s="1">
        <v>14000</v>
      </c>
      <c r="L808" s="2">
        <v>45339</v>
      </c>
    </row>
    <row r="809" spans="1:12" x14ac:dyDescent="0.35">
      <c r="A809" s="1" t="s">
        <v>1045</v>
      </c>
      <c r="B809" s="1" t="s">
        <v>454</v>
      </c>
      <c r="C809" s="1" t="s">
        <v>30</v>
      </c>
      <c r="D809" s="1" t="s">
        <v>31</v>
      </c>
      <c r="E809" s="1" t="s">
        <v>32</v>
      </c>
      <c r="F809" s="1" t="s">
        <v>25</v>
      </c>
      <c r="G809" s="1" t="s">
        <v>18</v>
      </c>
      <c r="H809" s="1">
        <v>15538</v>
      </c>
      <c r="I809" s="1" t="s">
        <v>19</v>
      </c>
      <c r="J809" s="1">
        <v>0.2</v>
      </c>
      <c r="K809" s="1">
        <v>17000</v>
      </c>
      <c r="L809" s="2">
        <v>45293</v>
      </c>
    </row>
    <row r="810" spans="1:12" x14ac:dyDescent="0.35">
      <c r="A810" s="1" t="s">
        <v>1046</v>
      </c>
      <c r="B810" s="1" t="s">
        <v>522</v>
      </c>
      <c r="C810" s="1" t="s">
        <v>30</v>
      </c>
      <c r="D810" s="1" t="s">
        <v>31</v>
      </c>
      <c r="E810" s="1" t="s">
        <v>16</v>
      </c>
      <c r="F810" s="1" t="s">
        <v>39</v>
      </c>
      <c r="G810" s="1" t="s">
        <v>26</v>
      </c>
      <c r="H810" s="1">
        <v>15945</v>
      </c>
      <c r="I810" s="1" t="s">
        <v>27</v>
      </c>
      <c r="J810" s="1"/>
      <c r="K810" s="1">
        <v>17000</v>
      </c>
      <c r="L810" s="2">
        <v>45306</v>
      </c>
    </row>
    <row r="811" spans="1:12" x14ac:dyDescent="0.35">
      <c r="A811" s="1" t="s">
        <v>1047</v>
      </c>
      <c r="B811" s="1" t="s">
        <v>817</v>
      </c>
      <c r="C811" s="1" t="s">
        <v>14</v>
      </c>
      <c r="D811" s="1" t="s">
        <v>15</v>
      </c>
      <c r="E811" s="1" t="s">
        <v>46</v>
      </c>
      <c r="F811" s="1" t="s">
        <v>25</v>
      </c>
      <c r="G811" s="1" t="s">
        <v>26</v>
      </c>
      <c r="H811" s="1">
        <v>15194</v>
      </c>
      <c r="I811" s="1"/>
      <c r="J811" s="1"/>
      <c r="K811" s="1">
        <v>14000</v>
      </c>
      <c r="L811" s="2">
        <v>45300</v>
      </c>
    </row>
    <row r="812" spans="1:12" x14ac:dyDescent="0.35">
      <c r="A812" s="1" t="s">
        <v>1048</v>
      </c>
      <c r="B812" s="1" t="s">
        <v>105</v>
      </c>
      <c r="C812" s="1" t="s">
        <v>61</v>
      </c>
      <c r="D812" s="1" t="s">
        <v>62</v>
      </c>
      <c r="E812" s="1" t="s">
        <v>16</v>
      </c>
      <c r="F812" s="1" t="s">
        <v>39</v>
      </c>
      <c r="G812" s="1" t="s">
        <v>36</v>
      </c>
      <c r="H812" s="1">
        <v>7753</v>
      </c>
      <c r="I812" s="1"/>
      <c r="J812" s="1"/>
      <c r="K812" s="1">
        <v>9000</v>
      </c>
      <c r="L812" s="2">
        <v>45323</v>
      </c>
    </row>
    <row r="813" spans="1:12" x14ac:dyDescent="0.35">
      <c r="A813" s="1" t="s">
        <v>1049</v>
      </c>
      <c r="B813" s="1" t="s">
        <v>508</v>
      </c>
      <c r="C813" s="1" t="s">
        <v>44</v>
      </c>
      <c r="D813" s="1" t="s">
        <v>45</v>
      </c>
      <c r="E813" s="1" t="s">
        <v>32</v>
      </c>
      <c r="F813" s="1" t="s">
        <v>25</v>
      </c>
      <c r="G813" s="1" t="s">
        <v>18</v>
      </c>
      <c r="H813" s="1">
        <v>12673</v>
      </c>
      <c r="I813" s="1" t="s">
        <v>22</v>
      </c>
      <c r="J813" s="1">
        <v>0.1</v>
      </c>
      <c r="K813" s="1">
        <v>13000</v>
      </c>
      <c r="L813" s="2">
        <v>45351</v>
      </c>
    </row>
    <row r="814" spans="1:12" x14ac:dyDescent="0.35">
      <c r="A814" s="1" t="s">
        <v>1050</v>
      </c>
      <c r="B814" s="1" t="s">
        <v>70</v>
      </c>
      <c r="C814" s="1" t="s">
        <v>44</v>
      </c>
      <c r="D814" s="1" t="s">
        <v>45</v>
      </c>
      <c r="E814" s="1" t="s">
        <v>16</v>
      </c>
      <c r="F814" s="1" t="s">
        <v>39</v>
      </c>
      <c r="G814" s="1" t="s">
        <v>18</v>
      </c>
      <c r="H814" s="1">
        <v>14103</v>
      </c>
      <c r="I814" s="1" t="s">
        <v>19</v>
      </c>
      <c r="J814" s="1">
        <v>0.2</v>
      </c>
      <c r="K814" s="1">
        <v>13000</v>
      </c>
      <c r="L814" s="2">
        <v>45296</v>
      </c>
    </row>
    <row r="815" spans="1:12" x14ac:dyDescent="0.35">
      <c r="A815" s="1" t="s">
        <v>1051</v>
      </c>
      <c r="B815" s="1" t="s">
        <v>429</v>
      </c>
      <c r="C815" s="1" t="s">
        <v>61</v>
      </c>
      <c r="D815" s="1" t="s">
        <v>62</v>
      </c>
      <c r="E815" s="1" t="s">
        <v>16</v>
      </c>
      <c r="F815" s="1" t="s">
        <v>17</v>
      </c>
      <c r="G815" s="1" t="s">
        <v>36</v>
      </c>
      <c r="H815" s="1">
        <v>10635</v>
      </c>
      <c r="I815" s="1" t="s">
        <v>19</v>
      </c>
      <c r="J815" s="1">
        <v>0.2</v>
      </c>
      <c r="K815" s="1">
        <v>9000</v>
      </c>
      <c r="L815" s="2">
        <v>45319</v>
      </c>
    </row>
    <row r="816" spans="1:12" x14ac:dyDescent="0.35">
      <c r="A816" s="1" t="s">
        <v>1052</v>
      </c>
      <c r="B816" s="1" t="s">
        <v>155</v>
      </c>
      <c r="C816" s="1" t="s">
        <v>14</v>
      </c>
      <c r="D816" s="1" t="s">
        <v>15</v>
      </c>
      <c r="E816" s="1" t="s">
        <v>16</v>
      </c>
      <c r="F816" s="1" t="s">
        <v>39</v>
      </c>
      <c r="G816" s="1" t="s">
        <v>36</v>
      </c>
      <c r="H816" s="1">
        <v>14949</v>
      </c>
      <c r="I816" s="1" t="s">
        <v>33</v>
      </c>
      <c r="J816" s="1">
        <v>0.3</v>
      </c>
      <c r="K816" s="1">
        <v>14000</v>
      </c>
      <c r="L816" s="2">
        <v>45317</v>
      </c>
    </row>
    <row r="817" spans="1:12" x14ac:dyDescent="0.35">
      <c r="A817" s="1" t="s">
        <v>1053</v>
      </c>
      <c r="B817" s="1" t="s">
        <v>233</v>
      </c>
      <c r="C817" s="1" t="s">
        <v>14</v>
      </c>
      <c r="D817" s="1" t="s">
        <v>15</v>
      </c>
      <c r="E817" s="1" t="s">
        <v>16</v>
      </c>
      <c r="F817" s="1" t="s">
        <v>25</v>
      </c>
      <c r="G817" s="1" t="s">
        <v>36</v>
      </c>
      <c r="H817" s="1">
        <v>13871</v>
      </c>
      <c r="I817" s="1" t="s">
        <v>22</v>
      </c>
      <c r="J817" s="1">
        <v>0.1</v>
      </c>
      <c r="K817" s="1">
        <v>14000</v>
      </c>
      <c r="L817" s="2">
        <v>45348</v>
      </c>
    </row>
    <row r="818" spans="1:12" x14ac:dyDescent="0.35">
      <c r="A818" s="1" t="s">
        <v>1054</v>
      </c>
      <c r="B818" s="1" t="s">
        <v>24</v>
      </c>
      <c r="C818" s="1" t="s">
        <v>61</v>
      </c>
      <c r="D818" s="1" t="s">
        <v>62</v>
      </c>
      <c r="E818" s="1" t="s">
        <v>16</v>
      </c>
      <c r="F818" s="1" t="s">
        <v>25</v>
      </c>
      <c r="G818" s="1" t="s">
        <v>26</v>
      </c>
      <c r="H818" s="1">
        <v>8586</v>
      </c>
      <c r="I818" s="1" t="s">
        <v>27</v>
      </c>
      <c r="J818" s="1"/>
      <c r="K818" s="1">
        <v>9000</v>
      </c>
      <c r="L818" s="2">
        <v>45340</v>
      </c>
    </row>
    <row r="819" spans="1:12" x14ac:dyDescent="0.35">
      <c r="A819" s="1" t="s">
        <v>1055</v>
      </c>
      <c r="B819" s="1" t="s">
        <v>1032</v>
      </c>
      <c r="C819" s="1" t="s">
        <v>44</v>
      </c>
      <c r="D819" s="1" t="s">
        <v>45</v>
      </c>
      <c r="E819" s="1" t="s">
        <v>46</v>
      </c>
      <c r="F819" s="1" t="s">
        <v>17</v>
      </c>
      <c r="G819" s="1" t="s">
        <v>36</v>
      </c>
      <c r="H819" s="1">
        <v>14622</v>
      </c>
      <c r="I819" s="1" t="s">
        <v>33</v>
      </c>
      <c r="J819" s="1">
        <v>0.3</v>
      </c>
      <c r="K819" s="1">
        <v>13000</v>
      </c>
      <c r="L819" s="2">
        <v>45341</v>
      </c>
    </row>
    <row r="820" spans="1:12" x14ac:dyDescent="0.35">
      <c r="A820" s="1" t="s">
        <v>1056</v>
      </c>
      <c r="B820" s="1" t="s">
        <v>643</v>
      </c>
      <c r="C820" s="1" t="s">
        <v>61</v>
      </c>
      <c r="D820" s="1" t="s">
        <v>62</v>
      </c>
      <c r="E820" s="1" t="s">
        <v>32</v>
      </c>
      <c r="F820" s="1" t="s">
        <v>17</v>
      </c>
      <c r="G820" s="1" t="s">
        <v>36</v>
      </c>
      <c r="H820" s="1">
        <v>9511</v>
      </c>
      <c r="I820" s="1" t="s">
        <v>22</v>
      </c>
      <c r="J820" s="1">
        <v>0.1</v>
      </c>
      <c r="K820" s="1">
        <v>9000</v>
      </c>
      <c r="L820" s="2">
        <v>45336</v>
      </c>
    </row>
    <row r="821" spans="1:12" x14ac:dyDescent="0.35">
      <c r="A821" s="1" t="s">
        <v>1057</v>
      </c>
      <c r="B821" s="1" t="s">
        <v>80</v>
      </c>
      <c r="C821" s="1" t="s">
        <v>61</v>
      </c>
      <c r="D821" s="1" t="s">
        <v>62</v>
      </c>
      <c r="E821" s="1" t="s">
        <v>16</v>
      </c>
      <c r="F821" s="1" t="s">
        <v>17</v>
      </c>
      <c r="G821" s="1" t="s">
        <v>18</v>
      </c>
      <c r="H821" s="1">
        <v>9959</v>
      </c>
      <c r="I821" s="1" t="s">
        <v>27</v>
      </c>
      <c r="J821" s="1"/>
      <c r="K821" s="1">
        <v>9000</v>
      </c>
      <c r="L821" s="2">
        <v>45299</v>
      </c>
    </row>
    <row r="822" spans="1:12" x14ac:dyDescent="0.35">
      <c r="A822" s="1" t="s">
        <v>1058</v>
      </c>
      <c r="B822" s="1" t="s">
        <v>135</v>
      </c>
      <c r="C822" s="1" t="s">
        <v>44</v>
      </c>
      <c r="D822" s="1" t="s">
        <v>45</v>
      </c>
      <c r="E822" s="1" t="s">
        <v>46</v>
      </c>
      <c r="F822" s="1" t="s">
        <v>17</v>
      </c>
      <c r="G822" s="1" t="s">
        <v>36</v>
      </c>
      <c r="H822" s="1">
        <v>12846</v>
      </c>
      <c r="I822" s="1" t="s">
        <v>22</v>
      </c>
      <c r="J822" s="1">
        <v>0.1</v>
      </c>
      <c r="K822" s="1">
        <v>13000</v>
      </c>
      <c r="L822" s="2">
        <v>45303</v>
      </c>
    </row>
    <row r="823" spans="1:12" x14ac:dyDescent="0.35">
      <c r="A823" s="1" t="s">
        <v>1059</v>
      </c>
      <c r="B823" s="1" t="s">
        <v>600</v>
      </c>
      <c r="C823" s="1" t="s">
        <v>44</v>
      </c>
      <c r="D823" s="1" t="s">
        <v>45</v>
      </c>
      <c r="E823" s="1" t="s">
        <v>46</v>
      </c>
      <c r="F823" s="1" t="s">
        <v>25</v>
      </c>
      <c r="G823" s="1" t="s">
        <v>36</v>
      </c>
      <c r="H823" s="1">
        <v>12327</v>
      </c>
      <c r="I823" s="1" t="s">
        <v>19</v>
      </c>
      <c r="J823" s="1">
        <v>0.2</v>
      </c>
      <c r="K823" s="1">
        <v>13000</v>
      </c>
      <c r="L823" s="2">
        <v>45337</v>
      </c>
    </row>
    <row r="824" spans="1:12" x14ac:dyDescent="0.35">
      <c r="A824" s="1" t="s">
        <v>1060</v>
      </c>
      <c r="B824" s="1" t="s">
        <v>1000</v>
      </c>
      <c r="C824" s="1" t="s">
        <v>14</v>
      </c>
      <c r="D824" s="1" t="s">
        <v>15</v>
      </c>
      <c r="E824" s="1" t="s">
        <v>32</v>
      </c>
      <c r="F824" s="1" t="s">
        <v>39</v>
      </c>
      <c r="G824" s="1" t="s">
        <v>36</v>
      </c>
      <c r="H824" s="1">
        <v>14597</v>
      </c>
      <c r="I824" s="1" t="s">
        <v>33</v>
      </c>
      <c r="J824" s="1">
        <v>0.3</v>
      </c>
      <c r="K824" s="1">
        <v>14000</v>
      </c>
      <c r="L824" s="2">
        <v>45297</v>
      </c>
    </row>
    <row r="825" spans="1:12" x14ac:dyDescent="0.35">
      <c r="A825" s="1" t="s">
        <v>1061</v>
      </c>
      <c r="B825" s="1" t="s">
        <v>548</v>
      </c>
      <c r="C825" s="1" t="s">
        <v>61</v>
      </c>
      <c r="D825" s="1" t="s">
        <v>62</v>
      </c>
      <c r="E825" s="1" t="s">
        <v>16</v>
      </c>
      <c r="F825" s="1" t="s">
        <v>39</v>
      </c>
      <c r="G825" s="1" t="s">
        <v>26</v>
      </c>
      <c r="H825" s="1">
        <v>10890</v>
      </c>
      <c r="I825" s="1" t="s">
        <v>19</v>
      </c>
      <c r="J825" s="1">
        <v>0.2</v>
      </c>
      <c r="K825" s="1">
        <v>9000</v>
      </c>
      <c r="L825" s="2">
        <v>45316</v>
      </c>
    </row>
    <row r="826" spans="1:12" x14ac:dyDescent="0.35">
      <c r="A826" s="1" t="s">
        <v>1062</v>
      </c>
      <c r="B826" s="1" t="s">
        <v>388</v>
      </c>
      <c r="C826" s="1" t="s">
        <v>14</v>
      </c>
      <c r="D826" s="1" t="s">
        <v>15</v>
      </c>
      <c r="E826" s="1" t="s">
        <v>32</v>
      </c>
      <c r="F826" s="1" t="s">
        <v>17</v>
      </c>
      <c r="G826" s="1" t="s">
        <v>26</v>
      </c>
      <c r="H826" s="1">
        <v>15568</v>
      </c>
      <c r="I826" s="1" t="s">
        <v>19</v>
      </c>
      <c r="J826" s="1">
        <v>0.2</v>
      </c>
      <c r="K826" s="1">
        <v>14000</v>
      </c>
      <c r="L826" s="2">
        <v>45302</v>
      </c>
    </row>
    <row r="827" spans="1:12" x14ac:dyDescent="0.35">
      <c r="A827" s="1" t="s">
        <v>1063</v>
      </c>
      <c r="B827" s="1" t="s">
        <v>412</v>
      </c>
      <c r="C827" s="1" t="s">
        <v>44</v>
      </c>
      <c r="D827" s="1" t="s">
        <v>45</v>
      </c>
      <c r="E827" s="1" t="s">
        <v>16</v>
      </c>
      <c r="F827" s="1" t="s">
        <v>25</v>
      </c>
      <c r="G827" s="1" t="s">
        <v>36</v>
      </c>
      <c r="H827" s="1">
        <v>12261</v>
      </c>
      <c r="I827" s="1" t="s">
        <v>33</v>
      </c>
      <c r="J827" s="1">
        <v>0.3</v>
      </c>
      <c r="K827" s="1">
        <v>13000</v>
      </c>
      <c r="L827" s="2">
        <v>45338</v>
      </c>
    </row>
    <row r="828" spans="1:12" x14ac:dyDescent="0.35">
      <c r="A828" s="1" t="s">
        <v>1064</v>
      </c>
      <c r="B828" s="1" t="s">
        <v>298</v>
      </c>
      <c r="C828" s="1" t="s">
        <v>30</v>
      </c>
      <c r="D828" s="1" t="s">
        <v>31</v>
      </c>
      <c r="E828" s="1" t="s">
        <v>16</v>
      </c>
      <c r="F828" s="1" t="s">
        <v>25</v>
      </c>
      <c r="G828" s="1" t="s">
        <v>18</v>
      </c>
      <c r="H828" s="1">
        <v>18680</v>
      </c>
      <c r="I828" s="1" t="s">
        <v>19</v>
      </c>
      <c r="J828" s="1">
        <v>0.2</v>
      </c>
      <c r="K828" s="1">
        <v>17000</v>
      </c>
      <c r="L828" s="2">
        <v>45304</v>
      </c>
    </row>
    <row r="829" spans="1:12" x14ac:dyDescent="0.35">
      <c r="A829" s="1" t="s">
        <v>1065</v>
      </c>
      <c r="B829" s="1" t="s">
        <v>109</v>
      </c>
      <c r="C829" s="1" t="s">
        <v>30</v>
      </c>
      <c r="D829" s="1" t="s">
        <v>31</v>
      </c>
      <c r="E829" s="1" t="s">
        <v>32</v>
      </c>
      <c r="F829" s="1" t="s">
        <v>17</v>
      </c>
      <c r="G829" s="1" t="s">
        <v>36</v>
      </c>
      <c r="H829" s="1">
        <v>18503</v>
      </c>
      <c r="I829" s="1"/>
      <c r="J829" s="1"/>
      <c r="K829" s="1">
        <v>17000</v>
      </c>
      <c r="L829" s="2">
        <v>45326</v>
      </c>
    </row>
    <row r="830" spans="1:12" x14ac:dyDescent="0.35">
      <c r="A830" s="1" t="s">
        <v>1066</v>
      </c>
      <c r="B830" s="1" t="s">
        <v>64</v>
      </c>
      <c r="C830" s="1" t="s">
        <v>61</v>
      </c>
      <c r="D830" s="1" t="s">
        <v>62</v>
      </c>
      <c r="E830" s="1" t="s">
        <v>32</v>
      </c>
      <c r="F830" s="1" t="s">
        <v>25</v>
      </c>
      <c r="G830" s="1" t="s">
        <v>26</v>
      </c>
      <c r="H830" s="1">
        <v>9701</v>
      </c>
      <c r="I830" s="1"/>
      <c r="J830" s="1"/>
      <c r="K830" s="1">
        <v>9000</v>
      </c>
      <c r="L830" s="2">
        <v>45321</v>
      </c>
    </row>
    <row r="831" spans="1:12" x14ac:dyDescent="0.35">
      <c r="A831" s="1" t="s">
        <v>1067</v>
      </c>
      <c r="B831" s="1" t="s">
        <v>527</v>
      </c>
      <c r="C831" s="1" t="s">
        <v>14</v>
      </c>
      <c r="D831" s="1" t="s">
        <v>15</v>
      </c>
      <c r="E831" s="1" t="s">
        <v>16</v>
      </c>
      <c r="F831" s="1" t="s">
        <v>39</v>
      </c>
      <c r="G831" s="1" t="s">
        <v>18</v>
      </c>
      <c r="H831" s="1">
        <v>13002</v>
      </c>
      <c r="I831" s="1" t="s">
        <v>27</v>
      </c>
      <c r="J831" s="1"/>
      <c r="K831" s="1">
        <v>14000</v>
      </c>
      <c r="L831" s="2">
        <v>45309</v>
      </c>
    </row>
    <row r="832" spans="1:12" x14ac:dyDescent="0.35">
      <c r="A832" s="1" t="s">
        <v>1068</v>
      </c>
      <c r="B832" s="1" t="s">
        <v>209</v>
      </c>
      <c r="C832" s="1" t="s">
        <v>44</v>
      </c>
      <c r="D832" s="1" t="s">
        <v>45</v>
      </c>
      <c r="E832" s="1" t="s">
        <v>32</v>
      </c>
      <c r="F832" s="1" t="s">
        <v>25</v>
      </c>
      <c r="G832" s="1" t="s">
        <v>18</v>
      </c>
      <c r="H832" s="1">
        <v>11225</v>
      </c>
      <c r="I832" s="1" t="s">
        <v>33</v>
      </c>
      <c r="J832" s="1">
        <v>0.3</v>
      </c>
      <c r="K832" s="1">
        <v>13000</v>
      </c>
      <c r="L832" s="2">
        <v>45294</v>
      </c>
    </row>
    <row r="833" spans="1:12" x14ac:dyDescent="0.35">
      <c r="A833" s="1" t="s">
        <v>1069</v>
      </c>
      <c r="B833" s="1" t="s">
        <v>619</v>
      </c>
      <c r="C833" s="1" t="s">
        <v>14</v>
      </c>
      <c r="D833" s="1" t="s">
        <v>15</v>
      </c>
      <c r="E833" s="1" t="s">
        <v>16</v>
      </c>
      <c r="F833" s="1" t="s">
        <v>39</v>
      </c>
      <c r="G833" s="1" t="s">
        <v>26</v>
      </c>
      <c r="H833" s="1">
        <v>13222</v>
      </c>
      <c r="I833" s="1" t="s">
        <v>33</v>
      </c>
      <c r="J833" s="1">
        <v>0.3</v>
      </c>
      <c r="K833" s="1">
        <v>14000</v>
      </c>
      <c r="L833" s="2">
        <v>45350</v>
      </c>
    </row>
    <row r="834" spans="1:12" x14ac:dyDescent="0.35">
      <c r="A834" s="1" t="s">
        <v>1070</v>
      </c>
      <c r="B834" s="1" t="s">
        <v>43</v>
      </c>
      <c r="C834" s="1" t="s">
        <v>14</v>
      </c>
      <c r="D834" s="1" t="s">
        <v>15</v>
      </c>
      <c r="E834" s="1" t="s">
        <v>46</v>
      </c>
      <c r="F834" s="1" t="s">
        <v>25</v>
      </c>
      <c r="G834" s="1" t="s">
        <v>18</v>
      </c>
      <c r="H834" s="1">
        <v>14752</v>
      </c>
      <c r="I834" s="1" t="s">
        <v>33</v>
      </c>
      <c r="J834" s="1">
        <v>0.3</v>
      </c>
      <c r="K834" s="1">
        <v>14000</v>
      </c>
      <c r="L834" s="2">
        <v>45331</v>
      </c>
    </row>
    <row r="835" spans="1:12" x14ac:dyDescent="0.35">
      <c r="A835" s="1" t="s">
        <v>1071</v>
      </c>
      <c r="B835" s="1" t="s">
        <v>305</v>
      </c>
      <c r="C835" s="1" t="s">
        <v>44</v>
      </c>
      <c r="D835" s="1" t="s">
        <v>45</v>
      </c>
      <c r="E835" s="1" t="s">
        <v>46</v>
      </c>
      <c r="F835" s="1" t="s">
        <v>39</v>
      </c>
      <c r="G835" s="1" t="s">
        <v>26</v>
      </c>
      <c r="H835" s="1">
        <v>12475</v>
      </c>
      <c r="I835" s="1" t="s">
        <v>22</v>
      </c>
      <c r="J835" s="1">
        <v>0.1</v>
      </c>
      <c r="K835" s="1">
        <v>13000</v>
      </c>
      <c r="L835" s="2">
        <v>45297</v>
      </c>
    </row>
    <row r="836" spans="1:12" x14ac:dyDescent="0.35">
      <c r="A836" s="1" t="s">
        <v>1072</v>
      </c>
      <c r="B836" s="1" t="s">
        <v>1073</v>
      </c>
      <c r="C836" s="1" t="s">
        <v>30</v>
      </c>
      <c r="D836" s="1" t="s">
        <v>31</v>
      </c>
      <c r="E836" s="1" t="s">
        <v>46</v>
      </c>
      <c r="F836" s="1" t="s">
        <v>17</v>
      </c>
      <c r="G836" s="1" t="s">
        <v>18</v>
      </c>
      <c r="H836" s="1">
        <v>18106</v>
      </c>
      <c r="I836" s="1"/>
      <c r="J836" s="1"/>
      <c r="K836" s="1">
        <v>17000</v>
      </c>
      <c r="L836" s="2">
        <v>45345</v>
      </c>
    </row>
    <row r="837" spans="1:12" x14ac:dyDescent="0.35">
      <c r="A837" s="1" t="s">
        <v>1074</v>
      </c>
      <c r="B837" s="1" t="s">
        <v>905</v>
      </c>
      <c r="C837" s="1" t="s">
        <v>30</v>
      </c>
      <c r="D837" s="1" t="s">
        <v>31</v>
      </c>
      <c r="E837" s="1" t="s">
        <v>46</v>
      </c>
      <c r="F837" s="1" t="s">
        <v>25</v>
      </c>
      <c r="G837" s="1" t="s">
        <v>18</v>
      </c>
      <c r="H837" s="1">
        <v>17845</v>
      </c>
      <c r="I837" s="1" t="s">
        <v>33</v>
      </c>
      <c r="J837" s="1">
        <v>0.3</v>
      </c>
      <c r="K837" s="1">
        <v>17000</v>
      </c>
      <c r="L837" s="2">
        <v>45313</v>
      </c>
    </row>
    <row r="838" spans="1:12" x14ac:dyDescent="0.35">
      <c r="A838" s="1" t="s">
        <v>1075</v>
      </c>
      <c r="B838" s="1" t="s">
        <v>388</v>
      </c>
      <c r="C838" s="1" t="s">
        <v>44</v>
      </c>
      <c r="D838" s="1" t="s">
        <v>45</v>
      </c>
      <c r="E838" s="1" t="s">
        <v>16</v>
      </c>
      <c r="F838" s="1" t="s">
        <v>25</v>
      </c>
      <c r="G838" s="1" t="s">
        <v>26</v>
      </c>
      <c r="H838" s="1">
        <v>11238</v>
      </c>
      <c r="I838" s="1" t="s">
        <v>22</v>
      </c>
      <c r="J838" s="1">
        <v>0.1</v>
      </c>
      <c r="K838" s="1">
        <v>13000</v>
      </c>
      <c r="L838" s="2">
        <v>45328</v>
      </c>
    </row>
    <row r="839" spans="1:12" x14ac:dyDescent="0.35">
      <c r="A839" s="1" t="s">
        <v>1076</v>
      </c>
      <c r="B839" s="1" t="s">
        <v>765</v>
      </c>
      <c r="C839" s="1" t="s">
        <v>14</v>
      </c>
      <c r="D839" s="1" t="s">
        <v>15</v>
      </c>
      <c r="E839" s="1" t="s">
        <v>46</v>
      </c>
      <c r="F839" s="1" t="s">
        <v>39</v>
      </c>
      <c r="G839" s="1" t="s">
        <v>26</v>
      </c>
      <c r="H839" s="1">
        <v>14477</v>
      </c>
      <c r="I839" s="1" t="s">
        <v>33</v>
      </c>
      <c r="J839" s="1">
        <v>0.3</v>
      </c>
      <c r="K839" s="1">
        <v>14000</v>
      </c>
      <c r="L839" s="2">
        <v>45319</v>
      </c>
    </row>
    <row r="840" spans="1:12" x14ac:dyDescent="0.35">
      <c r="A840" s="1" t="s">
        <v>1077</v>
      </c>
      <c r="B840" s="1" t="s">
        <v>837</v>
      </c>
      <c r="C840" s="1" t="s">
        <v>30</v>
      </c>
      <c r="D840" s="1" t="s">
        <v>31</v>
      </c>
      <c r="E840" s="1" t="s">
        <v>46</v>
      </c>
      <c r="F840" s="1" t="s">
        <v>39</v>
      </c>
      <c r="G840" s="1" t="s">
        <v>26</v>
      </c>
      <c r="H840" s="1">
        <v>17552</v>
      </c>
      <c r="I840" s="1" t="s">
        <v>33</v>
      </c>
      <c r="J840" s="1">
        <v>0.3</v>
      </c>
      <c r="K840" s="1">
        <v>17000</v>
      </c>
      <c r="L840" s="2">
        <v>45351</v>
      </c>
    </row>
    <row r="841" spans="1:12" x14ac:dyDescent="0.35">
      <c r="A841" s="1" t="s">
        <v>1078</v>
      </c>
      <c r="B841" s="1" t="s">
        <v>720</v>
      </c>
      <c r="C841" s="1" t="s">
        <v>61</v>
      </c>
      <c r="D841" s="1" t="s">
        <v>62</v>
      </c>
      <c r="E841" s="1" t="s">
        <v>16</v>
      </c>
      <c r="F841" s="1" t="s">
        <v>39</v>
      </c>
      <c r="G841" s="1" t="s">
        <v>26</v>
      </c>
      <c r="H841" s="1">
        <v>9038</v>
      </c>
      <c r="I841" s="1"/>
      <c r="J841" s="1"/>
      <c r="K841" s="1">
        <v>9000</v>
      </c>
      <c r="L841" s="2">
        <v>45343</v>
      </c>
    </row>
    <row r="842" spans="1:12" x14ac:dyDescent="0.35">
      <c r="A842" s="1" t="s">
        <v>1079</v>
      </c>
      <c r="B842" s="1" t="s">
        <v>720</v>
      </c>
      <c r="C842" s="1" t="s">
        <v>44</v>
      </c>
      <c r="D842" s="1" t="s">
        <v>45</v>
      </c>
      <c r="E842" s="1" t="s">
        <v>16</v>
      </c>
      <c r="F842" s="1" t="s">
        <v>17</v>
      </c>
      <c r="G842" s="1" t="s">
        <v>18</v>
      </c>
      <c r="H842" s="1">
        <v>11006</v>
      </c>
      <c r="I842" s="1" t="s">
        <v>22</v>
      </c>
      <c r="J842" s="1">
        <v>0.1</v>
      </c>
      <c r="K842" s="1">
        <v>13000</v>
      </c>
      <c r="L842" s="2">
        <v>45293</v>
      </c>
    </row>
    <row r="843" spans="1:12" x14ac:dyDescent="0.35">
      <c r="A843" s="1" t="s">
        <v>1080</v>
      </c>
      <c r="B843" s="1" t="s">
        <v>332</v>
      </c>
      <c r="C843" s="1" t="s">
        <v>14</v>
      </c>
      <c r="D843" s="1" t="s">
        <v>15</v>
      </c>
      <c r="E843" s="1" t="s">
        <v>16</v>
      </c>
      <c r="F843" s="1" t="s">
        <v>25</v>
      </c>
      <c r="G843" s="1" t="s">
        <v>26</v>
      </c>
      <c r="H843" s="1">
        <v>13698</v>
      </c>
      <c r="I843" s="1"/>
      <c r="J843" s="1"/>
      <c r="K843" s="1">
        <v>14000</v>
      </c>
      <c r="L843" s="2">
        <v>45294</v>
      </c>
    </row>
    <row r="844" spans="1:12" x14ac:dyDescent="0.35">
      <c r="A844" s="1" t="s">
        <v>1081</v>
      </c>
      <c r="B844" s="1" t="s">
        <v>282</v>
      </c>
      <c r="C844" s="1" t="s">
        <v>44</v>
      </c>
      <c r="D844" s="1" t="s">
        <v>45</v>
      </c>
      <c r="E844" s="1" t="s">
        <v>32</v>
      </c>
      <c r="F844" s="1" t="s">
        <v>39</v>
      </c>
      <c r="G844" s="1" t="s">
        <v>18</v>
      </c>
      <c r="H844" s="1">
        <v>13826</v>
      </c>
      <c r="I844" s="1" t="s">
        <v>33</v>
      </c>
      <c r="J844" s="1">
        <v>0.3</v>
      </c>
      <c r="K844" s="1">
        <v>13000</v>
      </c>
      <c r="L844" s="2">
        <v>45308</v>
      </c>
    </row>
    <row r="845" spans="1:12" x14ac:dyDescent="0.35">
      <c r="A845" s="1" t="s">
        <v>1082</v>
      </c>
      <c r="B845" s="1" t="s">
        <v>652</v>
      </c>
      <c r="C845" s="1" t="s">
        <v>30</v>
      </c>
      <c r="D845" s="1" t="s">
        <v>31</v>
      </c>
      <c r="E845" s="1" t="s">
        <v>46</v>
      </c>
      <c r="F845" s="1" t="s">
        <v>39</v>
      </c>
      <c r="G845" s="1" t="s">
        <v>26</v>
      </c>
      <c r="H845" s="1">
        <v>16326</v>
      </c>
      <c r="I845" s="1" t="s">
        <v>22</v>
      </c>
      <c r="J845" s="1">
        <v>0.1</v>
      </c>
      <c r="K845" s="1">
        <v>17000</v>
      </c>
      <c r="L845" s="2">
        <v>45299</v>
      </c>
    </row>
    <row r="846" spans="1:12" x14ac:dyDescent="0.35">
      <c r="A846" s="1" t="s">
        <v>1083</v>
      </c>
      <c r="B846" s="1" t="s">
        <v>317</v>
      </c>
      <c r="C846" s="1" t="s">
        <v>30</v>
      </c>
      <c r="D846" s="1" t="s">
        <v>31</v>
      </c>
      <c r="E846" s="1" t="s">
        <v>46</v>
      </c>
      <c r="F846" s="1" t="s">
        <v>39</v>
      </c>
      <c r="G846" s="1" t="s">
        <v>26</v>
      </c>
      <c r="H846" s="1">
        <v>17523</v>
      </c>
      <c r="I846" s="1" t="s">
        <v>22</v>
      </c>
      <c r="J846" s="1">
        <v>0.1</v>
      </c>
      <c r="K846" s="1">
        <v>17000</v>
      </c>
      <c r="L846" s="2">
        <v>45345</v>
      </c>
    </row>
    <row r="847" spans="1:12" x14ac:dyDescent="0.35">
      <c r="A847" s="1" t="s">
        <v>1084</v>
      </c>
      <c r="B847" s="1" t="s">
        <v>35</v>
      </c>
      <c r="C847" s="1" t="s">
        <v>30</v>
      </c>
      <c r="D847" s="1" t="s">
        <v>31</v>
      </c>
      <c r="E847" s="1" t="s">
        <v>46</v>
      </c>
      <c r="F847" s="1" t="s">
        <v>39</v>
      </c>
      <c r="G847" s="1" t="s">
        <v>36</v>
      </c>
      <c r="H847" s="1">
        <v>18752</v>
      </c>
      <c r="I847" s="1"/>
      <c r="J847" s="1"/>
      <c r="K847" s="1">
        <v>17000</v>
      </c>
      <c r="L847" s="2">
        <v>45343</v>
      </c>
    </row>
    <row r="848" spans="1:12" x14ac:dyDescent="0.35">
      <c r="A848" s="1" t="s">
        <v>1085</v>
      </c>
      <c r="B848" s="1" t="s">
        <v>68</v>
      </c>
      <c r="C848" s="1" t="s">
        <v>44</v>
      </c>
      <c r="D848" s="1" t="s">
        <v>45</v>
      </c>
      <c r="E848" s="1" t="s">
        <v>46</v>
      </c>
      <c r="F848" s="1" t="s">
        <v>25</v>
      </c>
      <c r="G848" s="1" t="s">
        <v>26</v>
      </c>
      <c r="H848" s="1">
        <v>12886</v>
      </c>
      <c r="I848" s="1" t="s">
        <v>27</v>
      </c>
      <c r="J848" s="1"/>
      <c r="K848" s="1">
        <v>13000</v>
      </c>
      <c r="L848" s="2">
        <v>45349</v>
      </c>
    </row>
    <row r="849" spans="1:12" x14ac:dyDescent="0.35">
      <c r="A849" s="1" t="s">
        <v>1086</v>
      </c>
      <c r="B849" s="1" t="s">
        <v>802</v>
      </c>
      <c r="C849" s="1" t="s">
        <v>61</v>
      </c>
      <c r="D849" s="1" t="s">
        <v>62</v>
      </c>
      <c r="E849" s="1" t="s">
        <v>16</v>
      </c>
      <c r="F849" s="1" t="s">
        <v>25</v>
      </c>
      <c r="G849" s="1" t="s">
        <v>26</v>
      </c>
      <c r="H849" s="1">
        <v>8226</v>
      </c>
      <c r="I849" s="1" t="s">
        <v>27</v>
      </c>
      <c r="J849" s="1"/>
      <c r="K849" s="1">
        <v>9000</v>
      </c>
      <c r="L849" s="2">
        <v>45338</v>
      </c>
    </row>
    <row r="850" spans="1:12" x14ac:dyDescent="0.35">
      <c r="A850" s="1" t="s">
        <v>1087</v>
      </c>
      <c r="B850" s="1" t="s">
        <v>317</v>
      </c>
      <c r="C850" s="1" t="s">
        <v>14</v>
      </c>
      <c r="D850" s="1" t="s">
        <v>15</v>
      </c>
      <c r="E850" s="1" t="s">
        <v>32</v>
      </c>
      <c r="F850" s="1" t="s">
        <v>39</v>
      </c>
      <c r="G850" s="1" t="s">
        <v>26</v>
      </c>
      <c r="H850" s="1">
        <v>13358</v>
      </c>
      <c r="I850" s="1" t="s">
        <v>33</v>
      </c>
      <c r="J850" s="1">
        <v>0.3</v>
      </c>
      <c r="K850" s="1">
        <v>14000</v>
      </c>
      <c r="L850" s="2">
        <v>45296</v>
      </c>
    </row>
    <row r="851" spans="1:12" x14ac:dyDescent="0.35">
      <c r="A851" s="1" t="s">
        <v>1088</v>
      </c>
      <c r="B851" s="1" t="s">
        <v>256</v>
      </c>
      <c r="C851" s="1" t="s">
        <v>14</v>
      </c>
      <c r="D851" s="1" t="s">
        <v>15</v>
      </c>
      <c r="E851" s="1" t="s">
        <v>46</v>
      </c>
      <c r="F851" s="1" t="s">
        <v>17</v>
      </c>
      <c r="G851" s="1" t="s">
        <v>26</v>
      </c>
      <c r="H851" s="1">
        <v>14188</v>
      </c>
      <c r="I851" s="1" t="s">
        <v>19</v>
      </c>
      <c r="J851" s="1">
        <v>0.2</v>
      </c>
      <c r="K851" s="1">
        <v>14000</v>
      </c>
      <c r="L851" s="2">
        <v>45328</v>
      </c>
    </row>
    <row r="852" spans="1:12" x14ac:dyDescent="0.35">
      <c r="A852" s="1" t="s">
        <v>1089</v>
      </c>
      <c r="B852" s="1" t="s">
        <v>337</v>
      </c>
      <c r="C852" s="1" t="s">
        <v>44</v>
      </c>
      <c r="D852" s="1" t="s">
        <v>45</v>
      </c>
      <c r="E852" s="1" t="s">
        <v>16</v>
      </c>
      <c r="F852" s="1" t="s">
        <v>25</v>
      </c>
      <c r="G852" s="1" t="s">
        <v>36</v>
      </c>
      <c r="H852" s="1">
        <v>13888</v>
      </c>
      <c r="I852" s="1" t="s">
        <v>33</v>
      </c>
      <c r="J852" s="1">
        <v>0.3</v>
      </c>
      <c r="K852" s="1">
        <v>13000</v>
      </c>
      <c r="L852" s="2">
        <v>45337</v>
      </c>
    </row>
    <row r="853" spans="1:12" x14ac:dyDescent="0.35">
      <c r="A853" s="1" t="s">
        <v>1090</v>
      </c>
      <c r="B853" s="1" t="s">
        <v>584</v>
      </c>
      <c r="C853" s="1" t="s">
        <v>61</v>
      </c>
      <c r="D853" s="1" t="s">
        <v>62</v>
      </c>
      <c r="E853" s="1" t="s">
        <v>32</v>
      </c>
      <c r="F853" s="1" t="s">
        <v>17</v>
      </c>
      <c r="G853" s="1" t="s">
        <v>18</v>
      </c>
      <c r="H853" s="1">
        <v>8522</v>
      </c>
      <c r="I853" s="1"/>
      <c r="J853" s="1"/>
      <c r="K853" s="1">
        <v>9000</v>
      </c>
      <c r="L853" s="2">
        <v>45345</v>
      </c>
    </row>
    <row r="854" spans="1:12" x14ac:dyDescent="0.35">
      <c r="A854" s="1" t="s">
        <v>1091</v>
      </c>
      <c r="B854" s="1" t="s">
        <v>289</v>
      </c>
      <c r="C854" s="1" t="s">
        <v>30</v>
      </c>
      <c r="D854" s="1" t="s">
        <v>31</v>
      </c>
      <c r="E854" s="1" t="s">
        <v>32</v>
      </c>
      <c r="F854" s="1" t="s">
        <v>25</v>
      </c>
      <c r="G854" s="1" t="s">
        <v>36</v>
      </c>
      <c r="H854" s="1">
        <v>18215</v>
      </c>
      <c r="I854" s="1" t="s">
        <v>22</v>
      </c>
      <c r="J854" s="1">
        <v>0.1</v>
      </c>
      <c r="K854" s="1">
        <v>17000</v>
      </c>
      <c r="L854" s="2">
        <v>45341</v>
      </c>
    </row>
    <row r="855" spans="1:12" x14ac:dyDescent="0.35">
      <c r="A855" s="1" t="s">
        <v>1092</v>
      </c>
      <c r="B855" s="1" t="s">
        <v>229</v>
      </c>
      <c r="C855" s="1" t="s">
        <v>61</v>
      </c>
      <c r="D855" s="1" t="s">
        <v>62</v>
      </c>
      <c r="E855" s="1" t="s">
        <v>16</v>
      </c>
      <c r="F855" s="1" t="s">
        <v>25</v>
      </c>
      <c r="G855" s="1" t="s">
        <v>36</v>
      </c>
      <c r="H855" s="1">
        <v>10706</v>
      </c>
      <c r="I855" s="1" t="s">
        <v>27</v>
      </c>
      <c r="J855" s="1"/>
      <c r="K855" s="1">
        <v>9000</v>
      </c>
      <c r="L855" s="2">
        <v>45301</v>
      </c>
    </row>
    <row r="856" spans="1:12" x14ac:dyDescent="0.35">
      <c r="A856" s="1" t="s">
        <v>1093</v>
      </c>
      <c r="B856" s="1" t="s">
        <v>391</v>
      </c>
      <c r="C856" s="1" t="s">
        <v>61</v>
      </c>
      <c r="D856" s="1" t="s">
        <v>62</v>
      </c>
      <c r="E856" s="1" t="s">
        <v>16</v>
      </c>
      <c r="F856" s="1" t="s">
        <v>39</v>
      </c>
      <c r="G856" s="1" t="s">
        <v>36</v>
      </c>
      <c r="H856" s="1">
        <v>10176</v>
      </c>
      <c r="I856" s="1" t="s">
        <v>33</v>
      </c>
      <c r="J856" s="1">
        <v>0.3</v>
      </c>
      <c r="K856" s="1">
        <v>9000</v>
      </c>
      <c r="L856" s="2">
        <v>45301</v>
      </c>
    </row>
    <row r="857" spans="1:12" x14ac:dyDescent="0.35">
      <c r="A857" s="1" t="s">
        <v>1094</v>
      </c>
      <c r="B857" s="1" t="s">
        <v>140</v>
      </c>
      <c r="C857" s="1" t="s">
        <v>14</v>
      </c>
      <c r="D857" s="1" t="s">
        <v>15</v>
      </c>
      <c r="E857" s="1" t="s">
        <v>16</v>
      </c>
      <c r="F857" s="1" t="s">
        <v>39</v>
      </c>
      <c r="G857" s="1" t="s">
        <v>18</v>
      </c>
      <c r="H857" s="1">
        <v>12840</v>
      </c>
      <c r="I857" s="1" t="s">
        <v>22</v>
      </c>
      <c r="J857" s="1">
        <v>0.1</v>
      </c>
      <c r="K857" s="1">
        <v>14000</v>
      </c>
      <c r="L857" s="2">
        <v>45321</v>
      </c>
    </row>
    <row r="858" spans="1:12" x14ac:dyDescent="0.35">
      <c r="A858" s="1" t="s">
        <v>1095</v>
      </c>
      <c r="B858" s="1" t="s">
        <v>101</v>
      </c>
      <c r="C858" s="1" t="s">
        <v>14</v>
      </c>
      <c r="D858" s="1" t="s">
        <v>15</v>
      </c>
      <c r="E858" s="1" t="s">
        <v>32</v>
      </c>
      <c r="F858" s="1" t="s">
        <v>17</v>
      </c>
      <c r="G858" s="1" t="s">
        <v>18</v>
      </c>
      <c r="H858" s="1">
        <v>14814</v>
      </c>
      <c r="I858" s="1" t="s">
        <v>27</v>
      </c>
      <c r="J858" s="1"/>
      <c r="K858" s="1">
        <v>14000</v>
      </c>
      <c r="L858" s="2">
        <v>45347</v>
      </c>
    </row>
    <row r="859" spans="1:12" x14ac:dyDescent="0.35">
      <c r="A859" s="1" t="s">
        <v>1096</v>
      </c>
      <c r="B859" s="1" t="s">
        <v>432</v>
      </c>
      <c r="C859" s="1" t="s">
        <v>61</v>
      </c>
      <c r="D859" s="1" t="s">
        <v>62</v>
      </c>
      <c r="E859" s="1" t="s">
        <v>32</v>
      </c>
      <c r="F859" s="1" t="s">
        <v>25</v>
      </c>
      <c r="G859" s="1" t="s">
        <v>26</v>
      </c>
      <c r="H859" s="1">
        <v>10138</v>
      </c>
      <c r="I859" s="1" t="s">
        <v>33</v>
      </c>
      <c r="J859" s="1">
        <v>0.3</v>
      </c>
      <c r="K859" s="1">
        <v>9000</v>
      </c>
      <c r="L859" s="2">
        <v>45293</v>
      </c>
    </row>
    <row r="860" spans="1:12" x14ac:dyDescent="0.35">
      <c r="A860" s="1" t="s">
        <v>1097</v>
      </c>
      <c r="B860" s="1" t="s">
        <v>579</v>
      </c>
      <c r="C860" s="1" t="s">
        <v>30</v>
      </c>
      <c r="D860" s="1" t="s">
        <v>31</v>
      </c>
      <c r="E860" s="1" t="s">
        <v>16</v>
      </c>
      <c r="F860" s="1" t="s">
        <v>25</v>
      </c>
      <c r="G860" s="1" t="s">
        <v>36</v>
      </c>
      <c r="H860" s="1">
        <v>15821</v>
      </c>
      <c r="I860" s="1" t="s">
        <v>19</v>
      </c>
      <c r="J860" s="1">
        <v>0.2</v>
      </c>
      <c r="K860" s="1">
        <v>17000</v>
      </c>
      <c r="L860" s="2">
        <v>45310</v>
      </c>
    </row>
    <row r="861" spans="1:12" x14ac:dyDescent="0.35">
      <c r="A861" s="1" t="s">
        <v>1098</v>
      </c>
      <c r="B861" s="1" t="s">
        <v>307</v>
      </c>
      <c r="C861" s="1" t="s">
        <v>30</v>
      </c>
      <c r="D861" s="1" t="s">
        <v>31</v>
      </c>
      <c r="E861" s="1" t="s">
        <v>46</v>
      </c>
      <c r="F861" s="1" t="s">
        <v>39</v>
      </c>
      <c r="G861" s="1" t="s">
        <v>18</v>
      </c>
      <c r="H861" s="1">
        <v>16116</v>
      </c>
      <c r="I861" s="1" t="s">
        <v>19</v>
      </c>
      <c r="J861" s="1">
        <v>0.2</v>
      </c>
      <c r="K861" s="1">
        <v>17000</v>
      </c>
      <c r="L861" s="2">
        <v>45302</v>
      </c>
    </row>
    <row r="862" spans="1:12" x14ac:dyDescent="0.35">
      <c r="A862" s="1" t="s">
        <v>1099</v>
      </c>
      <c r="B862" s="1" t="s">
        <v>222</v>
      </c>
      <c r="C862" s="1" t="s">
        <v>14</v>
      </c>
      <c r="D862" s="1" t="s">
        <v>15</v>
      </c>
      <c r="E862" s="1" t="s">
        <v>16</v>
      </c>
      <c r="F862" s="1" t="s">
        <v>39</v>
      </c>
      <c r="G862" s="1" t="s">
        <v>26</v>
      </c>
      <c r="H862" s="1">
        <v>12419</v>
      </c>
      <c r="I862" s="1" t="s">
        <v>19</v>
      </c>
      <c r="J862" s="1">
        <v>0.2</v>
      </c>
      <c r="K862" s="1">
        <v>14000</v>
      </c>
      <c r="L862" s="2">
        <v>45326</v>
      </c>
    </row>
    <row r="863" spans="1:12" x14ac:dyDescent="0.35">
      <c r="A863" s="1" t="s">
        <v>1100</v>
      </c>
      <c r="B863" s="1" t="s">
        <v>301</v>
      </c>
      <c r="C863" s="1" t="s">
        <v>30</v>
      </c>
      <c r="D863" s="1" t="s">
        <v>31</v>
      </c>
      <c r="E863" s="1" t="s">
        <v>46</v>
      </c>
      <c r="F863" s="1" t="s">
        <v>25</v>
      </c>
      <c r="G863" s="1" t="s">
        <v>26</v>
      </c>
      <c r="H863" s="1">
        <v>18293</v>
      </c>
      <c r="I863" s="1" t="s">
        <v>33</v>
      </c>
      <c r="J863" s="1">
        <v>0.3</v>
      </c>
      <c r="K863" s="1">
        <v>17000</v>
      </c>
      <c r="L863" s="2">
        <v>45328</v>
      </c>
    </row>
    <row r="864" spans="1:12" x14ac:dyDescent="0.35">
      <c r="A864" s="1" t="s">
        <v>1101</v>
      </c>
      <c r="B864" s="1" t="s">
        <v>235</v>
      </c>
      <c r="C864" s="1" t="s">
        <v>14</v>
      </c>
      <c r="D864" s="1" t="s">
        <v>15</v>
      </c>
      <c r="E864" s="1" t="s">
        <v>46</v>
      </c>
      <c r="F864" s="1" t="s">
        <v>39</v>
      </c>
      <c r="G864" s="1" t="s">
        <v>36</v>
      </c>
      <c r="H864" s="1">
        <v>14214</v>
      </c>
      <c r="I864" s="1"/>
      <c r="J864" s="1"/>
      <c r="K864" s="1">
        <v>14000</v>
      </c>
      <c r="L864" s="2">
        <v>45295</v>
      </c>
    </row>
    <row r="865" spans="1:12" x14ac:dyDescent="0.35">
      <c r="A865" s="1" t="s">
        <v>1102</v>
      </c>
      <c r="B865" s="1" t="s">
        <v>557</v>
      </c>
      <c r="C865" s="1" t="s">
        <v>61</v>
      </c>
      <c r="D865" s="1" t="s">
        <v>62</v>
      </c>
      <c r="E865" s="1" t="s">
        <v>16</v>
      </c>
      <c r="F865" s="1" t="s">
        <v>25</v>
      </c>
      <c r="G865" s="1" t="s">
        <v>18</v>
      </c>
      <c r="H865" s="1">
        <v>8571</v>
      </c>
      <c r="I865" s="1" t="s">
        <v>22</v>
      </c>
      <c r="J865" s="1">
        <v>0.1</v>
      </c>
      <c r="K865" s="1">
        <v>9000</v>
      </c>
      <c r="L865" s="2">
        <v>45297</v>
      </c>
    </row>
    <row r="866" spans="1:12" x14ac:dyDescent="0.35">
      <c r="A866" s="1" t="s">
        <v>1103</v>
      </c>
      <c r="B866" s="1" t="s">
        <v>177</v>
      </c>
      <c r="C866" s="1" t="s">
        <v>44</v>
      </c>
      <c r="D866" s="1" t="s">
        <v>45</v>
      </c>
      <c r="E866" s="1" t="s">
        <v>16</v>
      </c>
      <c r="F866" s="1" t="s">
        <v>39</v>
      </c>
      <c r="G866" s="1" t="s">
        <v>26</v>
      </c>
      <c r="H866" s="1">
        <v>13578</v>
      </c>
      <c r="I866" s="1"/>
      <c r="J866" s="1"/>
      <c r="K866" s="1">
        <v>13000</v>
      </c>
      <c r="L866" s="2">
        <v>45331</v>
      </c>
    </row>
    <row r="867" spans="1:12" x14ac:dyDescent="0.35">
      <c r="A867" s="1" t="s">
        <v>1104</v>
      </c>
      <c r="B867" s="1" t="s">
        <v>1105</v>
      </c>
      <c r="C867" s="1" t="s">
        <v>30</v>
      </c>
      <c r="D867" s="1" t="s">
        <v>31</v>
      </c>
      <c r="E867" s="1" t="s">
        <v>32</v>
      </c>
      <c r="F867" s="1" t="s">
        <v>39</v>
      </c>
      <c r="G867" s="1" t="s">
        <v>26</v>
      </c>
      <c r="H867" s="1">
        <v>18314</v>
      </c>
      <c r="I867" s="1" t="s">
        <v>27</v>
      </c>
      <c r="J867" s="1"/>
      <c r="K867" s="1">
        <v>17000</v>
      </c>
      <c r="L867" s="2">
        <v>45297</v>
      </c>
    </row>
    <row r="868" spans="1:12" x14ac:dyDescent="0.35">
      <c r="A868" s="1" t="s">
        <v>1106</v>
      </c>
      <c r="B868" s="1" t="s">
        <v>148</v>
      </c>
      <c r="C868" s="1" t="s">
        <v>61</v>
      </c>
      <c r="D868" s="1" t="s">
        <v>62</v>
      </c>
      <c r="E868" s="1" t="s">
        <v>16</v>
      </c>
      <c r="F868" s="1" t="s">
        <v>25</v>
      </c>
      <c r="G868" s="1" t="s">
        <v>18</v>
      </c>
      <c r="H868" s="1">
        <v>10329</v>
      </c>
      <c r="I868" s="1"/>
      <c r="J868" s="1"/>
      <c r="K868" s="1">
        <v>9000</v>
      </c>
      <c r="L868" s="2">
        <v>45298</v>
      </c>
    </row>
    <row r="869" spans="1:12" x14ac:dyDescent="0.35">
      <c r="A869" s="1" t="s">
        <v>1107</v>
      </c>
      <c r="B869" s="1" t="s">
        <v>123</v>
      </c>
      <c r="C869" s="1" t="s">
        <v>61</v>
      </c>
      <c r="D869" s="1" t="s">
        <v>62</v>
      </c>
      <c r="E869" s="1" t="s">
        <v>46</v>
      </c>
      <c r="F869" s="1" t="s">
        <v>25</v>
      </c>
      <c r="G869" s="1" t="s">
        <v>18</v>
      </c>
      <c r="H869" s="1">
        <v>7588</v>
      </c>
      <c r="I869" s="1" t="s">
        <v>27</v>
      </c>
      <c r="J869" s="1"/>
      <c r="K869" s="1">
        <v>9000</v>
      </c>
      <c r="L869" s="2">
        <v>45308</v>
      </c>
    </row>
    <row r="870" spans="1:12" x14ac:dyDescent="0.35">
      <c r="A870" s="1" t="s">
        <v>1108</v>
      </c>
      <c r="B870" s="1" t="s">
        <v>827</v>
      </c>
      <c r="C870" s="1" t="s">
        <v>61</v>
      </c>
      <c r="D870" s="1" t="s">
        <v>62</v>
      </c>
      <c r="E870" s="1" t="s">
        <v>32</v>
      </c>
      <c r="F870" s="1" t="s">
        <v>39</v>
      </c>
      <c r="G870" s="1" t="s">
        <v>26</v>
      </c>
      <c r="H870" s="1">
        <v>8353</v>
      </c>
      <c r="I870" s="1" t="s">
        <v>33</v>
      </c>
      <c r="J870" s="1">
        <v>0.3</v>
      </c>
      <c r="K870" s="1">
        <v>9000</v>
      </c>
      <c r="L870" s="2">
        <v>45321</v>
      </c>
    </row>
    <row r="871" spans="1:12" x14ac:dyDescent="0.35">
      <c r="A871" s="1" t="s">
        <v>1109</v>
      </c>
      <c r="B871" s="1" t="s">
        <v>711</v>
      </c>
      <c r="C871" s="1" t="s">
        <v>14</v>
      </c>
      <c r="D871" s="1" t="s">
        <v>15</v>
      </c>
      <c r="E871" s="1" t="s">
        <v>46</v>
      </c>
      <c r="F871" s="1" t="s">
        <v>25</v>
      </c>
      <c r="G871" s="1" t="s">
        <v>36</v>
      </c>
      <c r="H871" s="1">
        <v>13960</v>
      </c>
      <c r="I871" s="1"/>
      <c r="J871" s="1"/>
      <c r="K871" s="1">
        <v>14000</v>
      </c>
      <c r="L871" s="2">
        <v>45346</v>
      </c>
    </row>
    <row r="872" spans="1:12" x14ac:dyDescent="0.35">
      <c r="A872" s="1" t="s">
        <v>1110</v>
      </c>
      <c r="B872" s="1" t="s">
        <v>256</v>
      </c>
      <c r="C872" s="1" t="s">
        <v>30</v>
      </c>
      <c r="D872" s="1" t="s">
        <v>31</v>
      </c>
      <c r="E872" s="1" t="s">
        <v>16</v>
      </c>
      <c r="F872" s="1" t="s">
        <v>39</v>
      </c>
      <c r="G872" s="1" t="s">
        <v>18</v>
      </c>
      <c r="H872" s="1">
        <v>17080</v>
      </c>
      <c r="I872" s="1" t="s">
        <v>22</v>
      </c>
      <c r="J872" s="1">
        <v>0.1</v>
      </c>
      <c r="K872" s="1">
        <v>17000</v>
      </c>
      <c r="L872" s="2">
        <v>45317</v>
      </c>
    </row>
    <row r="873" spans="1:12" x14ac:dyDescent="0.35">
      <c r="A873" s="1" t="s">
        <v>1111</v>
      </c>
      <c r="B873" s="1" t="s">
        <v>1112</v>
      </c>
      <c r="C873" s="1" t="s">
        <v>14</v>
      </c>
      <c r="D873" s="1" t="s">
        <v>15</v>
      </c>
      <c r="E873" s="1" t="s">
        <v>46</v>
      </c>
      <c r="F873" s="1" t="s">
        <v>39</v>
      </c>
      <c r="G873" s="1" t="s">
        <v>26</v>
      </c>
      <c r="H873" s="1">
        <v>12290</v>
      </c>
      <c r="I873" s="1" t="s">
        <v>33</v>
      </c>
      <c r="J873" s="1">
        <v>0.3</v>
      </c>
      <c r="K873" s="1">
        <v>14000</v>
      </c>
      <c r="L873" s="2">
        <v>45326</v>
      </c>
    </row>
    <row r="874" spans="1:12" x14ac:dyDescent="0.35">
      <c r="A874" s="1" t="s">
        <v>1113</v>
      </c>
      <c r="B874" s="1" t="s">
        <v>52</v>
      </c>
      <c r="C874" s="1" t="s">
        <v>61</v>
      </c>
      <c r="D874" s="1" t="s">
        <v>62</v>
      </c>
      <c r="E874" s="1" t="s">
        <v>32</v>
      </c>
      <c r="F874" s="1" t="s">
        <v>39</v>
      </c>
      <c r="G874" s="1" t="s">
        <v>18</v>
      </c>
      <c r="H874" s="1">
        <v>9244</v>
      </c>
      <c r="I874" s="1" t="s">
        <v>19</v>
      </c>
      <c r="J874" s="1">
        <v>0.2</v>
      </c>
      <c r="K874" s="1">
        <v>9000</v>
      </c>
      <c r="L874" s="2">
        <v>45322</v>
      </c>
    </row>
    <row r="875" spans="1:12" x14ac:dyDescent="0.35">
      <c r="A875" s="1" t="s">
        <v>1114</v>
      </c>
      <c r="B875" s="1" t="s">
        <v>41</v>
      </c>
      <c r="C875" s="1" t="s">
        <v>30</v>
      </c>
      <c r="D875" s="1" t="s">
        <v>31</v>
      </c>
      <c r="E875" s="1" t="s">
        <v>32</v>
      </c>
      <c r="F875" s="1" t="s">
        <v>39</v>
      </c>
      <c r="G875" s="1" t="s">
        <v>26</v>
      </c>
      <c r="H875" s="1">
        <v>16765</v>
      </c>
      <c r="I875" s="1"/>
      <c r="J875" s="1"/>
      <c r="K875" s="1">
        <v>17000</v>
      </c>
      <c r="L875" s="2">
        <v>45328</v>
      </c>
    </row>
    <row r="876" spans="1:12" x14ac:dyDescent="0.35">
      <c r="A876" s="1" t="s">
        <v>1115</v>
      </c>
      <c r="B876" s="1" t="s">
        <v>602</v>
      </c>
      <c r="C876" s="1" t="s">
        <v>44</v>
      </c>
      <c r="D876" s="1" t="s">
        <v>45</v>
      </c>
      <c r="E876" s="1" t="s">
        <v>32</v>
      </c>
      <c r="F876" s="1" t="s">
        <v>39</v>
      </c>
      <c r="G876" s="1" t="s">
        <v>26</v>
      </c>
      <c r="H876" s="1">
        <v>11319</v>
      </c>
      <c r="I876" s="1" t="s">
        <v>27</v>
      </c>
      <c r="J876" s="1"/>
      <c r="K876" s="1">
        <v>13000</v>
      </c>
      <c r="L876" s="2">
        <v>45345</v>
      </c>
    </row>
    <row r="877" spans="1:12" x14ac:dyDescent="0.35">
      <c r="A877" s="1" t="s">
        <v>1116</v>
      </c>
      <c r="B877" s="1" t="s">
        <v>227</v>
      </c>
      <c r="C877" s="1" t="s">
        <v>61</v>
      </c>
      <c r="D877" s="1" t="s">
        <v>62</v>
      </c>
      <c r="E877" s="1" t="s">
        <v>46</v>
      </c>
      <c r="F877" s="1" t="s">
        <v>39</v>
      </c>
      <c r="G877" s="1" t="s">
        <v>18</v>
      </c>
      <c r="H877" s="1">
        <v>10367</v>
      </c>
      <c r="I877" s="1"/>
      <c r="J877" s="1"/>
      <c r="K877" s="1">
        <v>9000</v>
      </c>
      <c r="L877" s="2">
        <v>45303</v>
      </c>
    </row>
    <row r="878" spans="1:12" x14ac:dyDescent="0.35">
      <c r="A878" s="1" t="s">
        <v>1117</v>
      </c>
      <c r="B878" s="1" t="s">
        <v>70</v>
      </c>
      <c r="C878" s="1" t="s">
        <v>14</v>
      </c>
      <c r="D878" s="1" t="s">
        <v>15</v>
      </c>
      <c r="E878" s="1" t="s">
        <v>16</v>
      </c>
      <c r="F878" s="1" t="s">
        <v>25</v>
      </c>
      <c r="G878" s="1" t="s">
        <v>26</v>
      </c>
      <c r="H878" s="1">
        <v>15334</v>
      </c>
      <c r="I878" s="1" t="s">
        <v>27</v>
      </c>
      <c r="J878" s="1"/>
      <c r="K878" s="1">
        <v>14000</v>
      </c>
      <c r="L878" s="2">
        <v>45341</v>
      </c>
    </row>
    <row r="879" spans="1:12" x14ac:dyDescent="0.35">
      <c r="A879" s="1" t="s">
        <v>1118</v>
      </c>
      <c r="B879" s="1" t="s">
        <v>487</v>
      </c>
      <c r="C879" s="1" t="s">
        <v>30</v>
      </c>
      <c r="D879" s="1" t="s">
        <v>31</v>
      </c>
      <c r="E879" s="1" t="s">
        <v>46</v>
      </c>
      <c r="F879" s="1" t="s">
        <v>39</v>
      </c>
      <c r="G879" s="1" t="s">
        <v>26</v>
      </c>
      <c r="H879" s="1">
        <v>15251</v>
      </c>
      <c r="I879" s="1" t="s">
        <v>22</v>
      </c>
      <c r="J879" s="1">
        <v>0.1</v>
      </c>
      <c r="K879" s="1">
        <v>17000</v>
      </c>
      <c r="L879" s="2">
        <v>45305</v>
      </c>
    </row>
    <row r="880" spans="1:12" x14ac:dyDescent="0.35">
      <c r="A880" s="1" t="s">
        <v>1119</v>
      </c>
      <c r="B880" s="1" t="s">
        <v>412</v>
      </c>
      <c r="C880" s="1" t="s">
        <v>14</v>
      </c>
      <c r="D880" s="1" t="s">
        <v>15</v>
      </c>
      <c r="E880" s="1" t="s">
        <v>32</v>
      </c>
      <c r="F880" s="1" t="s">
        <v>39</v>
      </c>
      <c r="G880" s="1" t="s">
        <v>18</v>
      </c>
      <c r="H880" s="1">
        <v>13855</v>
      </c>
      <c r="I880" s="1" t="s">
        <v>27</v>
      </c>
      <c r="J880" s="1"/>
      <c r="K880" s="1">
        <v>14000</v>
      </c>
      <c r="L880" s="2">
        <v>45310</v>
      </c>
    </row>
    <row r="881" spans="1:12" x14ac:dyDescent="0.35">
      <c r="A881" s="1" t="s">
        <v>1120</v>
      </c>
      <c r="B881" s="1" t="s">
        <v>617</v>
      </c>
      <c r="C881" s="1" t="s">
        <v>61</v>
      </c>
      <c r="D881" s="1" t="s">
        <v>62</v>
      </c>
      <c r="E881" s="1" t="s">
        <v>32</v>
      </c>
      <c r="F881" s="1" t="s">
        <v>25</v>
      </c>
      <c r="G881" s="1" t="s">
        <v>26</v>
      </c>
      <c r="H881" s="1">
        <v>10593</v>
      </c>
      <c r="I881" s="1" t="s">
        <v>33</v>
      </c>
      <c r="J881" s="1">
        <v>0.3</v>
      </c>
      <c r="K881" s="1">
        <v>9000</v>
      </c>
      <c r="L881" s="2">
        <v>45311</v>
      </c>
    </row>
    <row r="882" spans="1:12" x14ac:dyDescent="0.35">
      <c r="A882" s="1" t="s">
        <v>1121</v>
      </c>
      <c r="B882" s="1" t="s">
        <v>579</v>
      </c>
      <c r="C882" s="1" t="s">
        <v>30</v>
      </c>
      <c r="D882" s="1" t="s">
        <v>31</v>
      </c>
      <c r="E882" s="1" t="s">
        <v>46</v>
      </c>
      <c r="F882" s="1" t="s">
        <v>39</v>
      </c>
      <c r="G882" s="1" t="s">
        <v>36</v>
      </c>
      <c r="H882" s="1">
        <v>15365</v>
      </c>
      <c r="I882" s="1" t="s">
        <v>27</v>
      </c>
      <c r="J882" s="1"/>
      <c r="K882" s="1">
        <v>17000</v>
      </c>
      <c r="L882" s="2">
        <v>45292</v>
      </c>
    </row>
    <row r="883" spans="1:12" x14ac:dyDescent="0.35">
      <c r="A883" s="1" t="s">
        <v>1122</v>
      </c>
      <c r="B883" s="1" t="s">
        <v>86</v>
      </c>
      <c r="C883" s="1" t="s">
        <v>61</v>
      </c>
      <c r="D883" s="1" t="s">
        <v>62</v>
      </c>
      <c r="E883" s="1" t="s">
        <v>32</v>
      </c>
      <c r="F883" s="1" t="s">
        <v>17</v>
      </c>
      <c r="G883" s="1" t="s">
        <v>18</v>
      </c>
      <c r="H883" s="1">
        <v>8512</v>
      </c>
      <c r="I883" s="1" t="s">
        <v>27</v>
      </c>
      <c r="J883" s="1"/>
      <c r="K883" s="1">
        <v>9000</v>
      </c>
      <c r="L883" s="2">
        <v>45295</v>
      </c>
    </row>
    <row r="884" spans="1:12" x14ac:dyDescent="0.35">
      <c r="A884" s="1" t="s">
        <v>1123</v>
      </c>
      <c r="B884" s="1" t="s">
        <v>190</v>
      </c>
      <c r="C884" s="1" t="s">
        <v>30</v>
      </c>
      <c r="D884" s="1" t="s">
        <v>31</v>
      </c>
      <c r="E884" s="1" t="s">
        <v>32</v>
      </c>
      <c r="F884" s="1" t="s">
        <v>17</v>
      </c>
      <c r="G884" s="1" t="s">
        <v>18</v>
      </c>
      <c r="H884" s="1">
        <v>15963</v>
      </c>
      <c r="I884" s="1"/>
      <c r="J884" s="1"/>
      <c r="K884" s="1">
        <v>17000</v>
      </c>
      <c r="L884" s="2">
        <v>45336</v>
      </c>
    </row>
    <row r="885" spans="1:12" x14ac:dyDescent="0.35">
      <c r="A885" s="1" t="s">
        <v>1124</v>
      </c>
      <c r="B885" s="1" t="s">
        <v>337</v>
      </c>
      <c r="C885" s="1" t="s">
        <v>30</v>
      </c>
      <c r="D885" s="1" t="s">
        <v>31</v>
      </c>
      <c r="E885" s="1" t="s">
        <v>16</v>
      </c>
      <c r="F885" s="1" t="s">
        <v>17</v>
      </c>
      <c r="G885" s="1" t="s">
        <v>36</v>
      </c>
      <c r="H885" s="1">
        <v>16562</v>
      </c>
      <c r="I885" s="1"/>
      <c r="J885" s="1"/>
      <c r="K885" s="1">
        <v>17000</v>
      </c>
      <c r="L885" s="2">
        <v>45326</v>
      </c>
    </row>
    <row r="886" spans="1:12" x14ac:dyDescent="0.35">
      <c r="A886" s="1" t="s">
        <v>1125</v>
      </c>
      <c r="B886" s="1" t="s">
        <v>817</v>
      </c>
      <c r="C886" s="1" t="s">
        <v>44</v>
      </c>
      <c r="D886" s="1" t="s">
        <v>45</v>
      </c>
      <c r="E886" s="1" t="s">
        <v>46</v>
      </c>
      <c r="F886" s="1" t="s">
        <v>25</v>
      </c>
      <c r="G886" s="1" t="s">
        <v>18</v>
      </c>
      <c r="H886" s="1">
        <v>13275</v>
      </c>
      <c r="I886" s="1"/>
      <c r="J886" s="1"/>
      <c r="K886" s="1">
        <v>13000</v>
      </c>
      <c r="L886" s="2">
        <v>45345</v>
      </c>
    </row>
    <row r="887" spans="1:12" x14ac:dyDescent="0.35">
      <c r="A887" s="1" t="s">
        <v>1126</v>
      </c>
      <c r="B887" s="1" t="s">
        <v>827</v>
      </c>
      <c r="C887" s="1" t="s">
        <v>61</v>
      </c>
      <c r="D887" s="1" t="s">
        <v>62</v>
      </c>
      <c r="E887" s="1" t="s">
        <v>32</v>
      </c>
      <c r="F887" s="1" t="s">
        <v>17</v>
      </c>
      <c r="G887" s="1" t="s">
        <v>26</v>
      </c>
      <c r="H887" s="1">
        <v>7514</v>
      </c>
      <c r="I887" s="1" t="s">
        <v>19</v>
      </c>
      <c r="J887" s="1">
        <v>0.2</v>
      </c>
      <c r="K887" s="1">
        <v>9000</v>
      </c>
      <c r="L887" s="2">
        <v>45292</v>
      </c>
    </row>
    <row r="888" spans="1:12" x14ac:dyDescent="0.35">
      <c r="A888" s="1" t="s">
        <v>1127</v>
      </c>
      <c r="B888" s="1" t="s">
        <v>21</v>
      </c>
      <c r="C888" s="1" t="s">
        <v>14</v>
      </c>
      <c r="D888" s="1" t="s">
        <v>15</v>
      </c>
      <c r="E888" s="1" t="s">
        <v>32</v>
      </c>
      <c r="F888" s="1" t="s">
        <v>39</v>
      </c>
      <c r="G888" s="1" t="s">
        <v>36</v>
      </c>
      <c r="H888" s="1">
        <v>14694</v>
      </c>
      <c r="I888" s="1"/>
      <c r="J888" s="1"/>
      <c r="K888" s="1">
        <v>14000</v>
      </c>
      <c r="L888" s="2">
        <v>45300</v>
      </c>
    </row>
    <row r="889" spans="1:12" x14ac:dyDescent="0.35">
      <c r="A889" s="1" t="s">
        <v>1128</v>
      </c>
      <c r="B889" s="1" t="s">
        <v>843</v>
      </c>
      <c r="C889" s="1" t="s">
        <v>61</v>
      </c>
      <c r="D889" s="1" t="s">
        <v>62</v>
      </c>
      <c r="E889" s="1" t="s">
        <v>46</v>
      </c>
      <c r="F889" s="1" t="s">
        <v>39</v>
      </c>
      <c r="G889" s="1" t="s">
        <v>26</v>
      </c>
      <c r="H889" s="1">
        <v>10810</v>
      </c>
      <c r="I889" s="1"/>
      <c r="J889" s="1"/>
      <c r="K889" s="1">
        <v>9000</v>
      </c>
      <c r="L889" s="2">
        <v>45331</v>
      </c>
    </row>
    <row r="890" spans="1:12" x14ac:dyDescent="0.35">
      <c r="A890" s="1" t="s">
        <v>1129</v>
      </c>
      <c r="B890" s="1" t="s">
        <v>429</v>
      </c>
      <c r="C890" s="1" t="s">
        <v>61</v>
      </c>
      <c r="D890" s="1" t="s">
        <v>62</v>
      </c>
      <c r="E890" s="1" t="s">
        <v>16</v>
      </c>
      <c r="F890" s="1" t="s">
        <v>17</v>
      </c>
      <c r="G890" s="1" t="s">
        <v>36</v>
      </c>
      <c r="H890" s="1">
        <v>8455</v>
      </c>
      <c r="I890" s="1" t="s">
        <v>19</v>
      </c>
      <c r="J890" s="1">
        <v>0.2</v>
      </c>
      <c r="K890" s="1">
        <v>9000</v>
      </c>
      <c r="L890" s="2">
        <v>45303</v>
      </c>
    </row>
    <row r="891" spans="1:12" x14ac:dyDescent="0.35">
      <c r="A891" s="1" t="s">
        <v>1130</v>
      </c>
      <c r="B891" s="1" t="s">
        <v>617</v>
      </c>
      <c r="C891" s="1" t="s">
        <v>14</v>
      </c>
      <c r="D891" s="1" t="s">
        <v>15</v>
      </c>
      <c r="E891" s="1" t="s">
        <v>16</v>
      </c>
      <c r="F891" s="1" t="s">
        <v>17</v>
      </c>
      <c r="G891" s="1" t="s">
        <v>26</v>
      </c>
      <c r="H891" s="1">
        <v>12969</v>
      </c>
      <c r="I891" s="1" t="s">
        <v>27</v>
      </c>
      <c r="J891" s="1"/>
      <c r="K891" s="1">
        <v>14000</v>
      </c>
      <c r="L891" s="2">
        <v>45309</v>
      </c>
    </row>
    <row r="892" spans="1:12" x14ac:dyDescent="0.35">
      <c r="A892" s="1" t="s">
        <v>1131</v>
      </c>
      <c r="B892" s="1" t="s">
        <v>512</v>
      </c>
      <c r="C892" s="1" t="s">
        <v>30</v>
      </c>
      <c r="D892" s="1" t="s">
        <v>31</v>
      </c>
      <c r="E892" s="1" t="s">
        <v>32</v>
      </c>
      <c r="F892" s="1" t="s">
        <v>25</v>
      </c>
      <c r="G892" s="1" t="s">
        <v>26</v>
      </c>
      <c r="H892" s="1">
        <v>16979</v>
      </c>
      <c r="I892" s="1" t="s">
        <v>33</v>
      </c>
      <c r="J892" s="1">
        <v>0.3</v>
      </c>
      <c r="K892" s="1">
        <v>17000</v>
      </c>
      <c r="L892" s="2">
        <v>45299</v>
      </c>
    </row>
    <row r="893" spans="1:12" x14ac:dyDescent="0.35">
      <c r="A893" s="1" t="s">
        <v>1132</v>
      </c>
      <c r="B893" s="1" t="s">
        <v>356</v>
      </c>
      <c r="C893" s="1" t="s">
        <v>14</v>
      </c>
      <c r="D893" s="1" t="s">
        <v>15</v>
      </c>
      <c r="E893" s="1" t="s">
        <v>32</v>
      </c>
      <c r="F893" s="1" t="s">
        <v>39</v>
      </c>
      <c r="G893" s="1" t="s">
        <v>26</v>
      </c>
      <c r="H893" s="1">
        <v>14156</v>
      </c>
      <c r="I893" s="1" t="s">
        <v>33</v>
      </c>
      <c r="J893" s="1">
        <v>0.3</v>
      </c>
      <c r="K893" s="1">
        <v>14000</v>
      </c>
      <c r="L893" s="2">
        <v>45321</v>
      </c>
    </row>
    <row r="894" spans="1:12" x14ac:dyDescent="0.35">
      <c r="A894" s="1" t="s">
        <v>1133</v>
      </c>
      <c r="B894" s="1" t="s">
        <v>905</v>
      </c>
      <c r="C894" s="1" t="s">
        <v>14</v>
      </c>
      <c r="D894" s="1" t="s">
        <v>15</v>
      </c>
      <c r="E894" s="1" t="s">
        <v>32</v>
      </c>
      <c r="F894" s="1" t="s">
        <v>17</v>
      </c>
      <c r="G894" s="1" t="s">
        <v>26</v>
      </c>
      <c r="H894" s="1">
        <v>15037</v>
      </c>
      <c r="I894" s="1" t="s">
        <v>22</v>
      </c>
      <c r="J894" s="1">
        <v>0.1</v>
      </c>
      <c r="K894" s="1">
        <v>14000</v>
      </c>
      <c r="L894" s="2">
        <v>45335</v>
      </c>
    </row>
    <row r="895" spans="1:12" x14ac:dyDescent="0.35">
      <c r="A895" s="1" t="s">
        <v>1134</v>
      </c>
      <c r="B895" s="1" t="s">
        <v>416</v>
      </c>
      <c r="C895" s="1" t="s">
        <v>30</v>
      </c>
      <c r="D895" s="1" t="s">
        <v>31</v>
      </c>
      <c r="E895" s="1" t="s">
        <v>16</v>
      </c>
      <c r="F895" s="1" t="s">
        <v>25</v>
      </c>
      <c r="G895" s="1" t="s">
        <v>36</v>
      </c>
      <c r="H895" s="1">
        <v>17191</v>
      </c>
      <c r="I895" s="1" t="s">
        <v>22</v>
      </c>
      <c r="J895" s="1">
        <v>0.1</v>
      </c>
      <c r="K895" s="1">
        <v>17000</v>
      </c>
      <c r="L895" s="2">
        <v>45322</v>
      </c>
    </row>
    <row r="896" spans="1:12" x14ac:dyDescent="0.35">
      <c r="A896" s="1" t="s">
        <v>1135</v>
      </c>
      <c r="B896" s="1" t="s">
        <v>330</v>
      </c>
      <c r="C896" s="1" t="s">
        <v>61</v>
      </c>
      <c r="D896" s="1" t="s">
        <v>62</v>
      </c>
      <c r="E896" s="1" t="s">
        <v>16</v>
      </c>
      <c r="F896" s="1" t="s">
        <v>39</v>
      </c>
      <c r="G896" s="1" t="s">
        <v>36</v>
      </c>
      <c r="H896" s="1">
        <v>8724</v>
      </c>
      <c r="I896" s="1" t="s">
        <v>33</v>
      </c>
      <c r="J896" s="1">
        <v>0.3</v>
      </c>
      <c r="K896" s="1">
        <v>9000</v>
      </c>
      <c r="L896" s="2">
        <v>45343</v>
      </c>
    </row>
    <row r="897" spans="1:12" x14ac:dyDescent="0.35">
      <c r="A897" s="1" t="s">
        <v>1136</v>
      </c>
      <c r="B897" s="1" t="s">
        <v>361</v>
      </c>
      <c r="C897" s="1" t="s">
        <v>44</v>
      </c>
      <c r="D897" s="1" t="s">
        <v>45</v>
      </c>
      <c r="E897" s="1" t="s">
        <v>32</v>
      </c>
      <c r="F897" s="1" t="s">
        <v>39</v>
      </c>
      <c r="G897" s="1" t="s">
        <v>26</v>
      </c>
      <c r="H897" s="1">
        <v>14069</v>
      </c>
      <c r="I897" s="1" t="s">
        <v>33</v>
      </c>
      <c r="J897" s="1">
        <v>0.3</v>
      </c>
      <c r="K897" s="1">
        <v>13000</v>
      </c>
      <c r="L897" s="2">
        <v>45338</v>
      </c>
    </row>
    <row r="898" spans="1:12" x14ac:dyDescent="0.35">
      <c r="A898" s="1" t="s">
        <v>1137</v>
      </c>
      <c r="B898" s="1" t="s">
        <v>522</v>
      </c>
      <c r="C898" s="1" t="s">
        <v>30</v>
      </c>
      <c r="D898" s="1" t="s">
        <v>31</v>
      </c>
      <c r="E898" s="1" t="s">
        <v>32</v>
      </c>
      <c r="F898" s="1" t="s">
        <v>39</v>
      </c>
      <c r="G898" s="1" t="s">
        <v>36</v>
      </c>
      <c r="H898" s="1">
        <v>17368</v>
      </c>
      <c r="I898" s="1" t="s">
        <v>19</v>
      </c>
      <c r="J898" s="1">
        <v>0.2</v>
      </c>
      <c r="K898" s="1">
        <v>17000</v>
      </c>
      <c r="L898" s="2">
        <v>45328</v>
      </c>
    </row>
    <row r="899" spans="1:12" x14ac:dyDescent="0.35">
      <c r="A899" s="1" t="s">
        <v>1138</v>
      </c>
      <c r="B899" s="1" t="s">
        <v>68</v>
      </c>
      <c r="C899" s="1" t="s">
        <v>30</v>
      </c>
      <c r="D899" s="1" t="s">
        <v>31</v>
      </c>
      <c r="E899" s="1" t="s">
        <v>16</v>
      </c>
      <c r="F899" s="1" t="s">
        <v>39</v>
      </c>
      <c r="G899" s="1" t="s">
        <v>18</v>
      </c>
      <c r="H899" s="1">
        <v>16174</v>
      </c>
      <c r="I899" s="1"/>
      <c r="J899" s="1"/>
      <c r="K899" s="1">
        <v>17000</v>
      </c>
      <c r="L899" s="2">
        <v>45297</v>
      </c>
    </row>
    <row r="900" spans="1:12" x14ac:dyDescent="0.35">
      <c r="A900" s="1" t="s">
        <v>1139</v>
      </c>
      <c r="B900" s="1" t="s">
        <v>440</v>
      </c>
      <c r="C900" s="1" t="s">
        <v>14</v>
      </c>
      <c r="D900" s="1" t="s">
        <v>15</v>
      </c>
      <c r="E900" s="1" t="s">
        <v>46</v>
      </c>
      <c r="F900" s="1" t="s">
        <v>17</v>
      </c>
      <c r="G900" s="1" t="s">
        <v>18</v>
      </c>
      <c r="H900" s="1">
        <v>14522</v>
      </c>
      <c r="I900" s="1" t="s">
        <v>33</v>
      </c>
      <c r="J900" s="1">
        <v>0.3</v>
      </c>
      <c r="K900" s="1">
        <v>14000</v>
      </c>
      <c r="L900" s="2">
        <v>45309</v>
      </c>
    </row>
    <row r="901" spans="1:12" x14ac:dyDescent="0.35">
      <c r="A901" s="1" t="s">
        <v>1140</v>
      </c>
      <c r="B901" s="1" t="s">
        <v>643</v>
      </c>
      <c r="C901" s="1" t="s">
        <v>14</v>
      </c>
      <c r="D901" s="1" t="s">
        <v>15</v>
      </c>
      <c r="E901" s="1" t="s">
        <v>16</v>
      </c>
      <c r="F901" s="1" t="s">
        <v>25</v>
      </c>
      <c r="G901" s="1" t="s">
        <v>26</v>
      </c>
      <c r="H901" s="1">
        <v>12715</v>
      </c>
      <c r="I901" s="1" t="s">
        <v>27</v>
      </c>
      <c r="J901" s="1"/>
      <c r="K901" s="1">
        <v>14000</v>
      </c>
      <c r="L901" s="2">
        <v>45339</v>
      </c>
    </row>
    <row r="902" spans="1:12" x14ac:dyDescent="0.35">
      <c r="A902" s="1" t="s">
        <v>1141</v>
      </c>
      <c r="B902" s="1" t="s">
        <v>113</v>
      </c>
      <c r="C902" s="1" t="s">
        <v>61</v>
      </c>
      <c r="D902" s="1" t="s">
        <v>62</v>
      </c>
      <c r="E902" s="1" t="s">
        <v>46</v>
      </c>
      <c r="F902" s="1" t="s">
        <v>25</v>
      </c>
      <c r="G902" s="1" t="s">
        <v>36</v>
      </c>
      <c r="H902" s="1">
        <v>10205</v>
      </c>
      <c r="I902" s="1" t="s">
        <v>19</v>
      </c>
      <c r="J902" s="1">
        <v>0.2</v>
      </c>
      <c r="K902" s="1">
        <v>9000</v>
      </c>
      <c r="L902" s="2">
        <v>45323</v>
      </c>
    </row>
    <row r="903" spans="1:12" x14ac:dyDescent="0.35">
      <c r="A903" s="1" t="s">
        <v>1142</v>
      </c>
      <c r="B903" s="1" t="s">
        <v>135</v>
      </c>
      <c r="C903" s="1" t="s">
        <v>14</v>
      </c>
      <c r="D903" s="1" t="s">
        <v>15</v>
      </c>
      <c r="E903" s="1" t="s">
        <v>46</v>
      </c>
      <c r="F903" s="1" t="s">
        <v>25</v>
      </c>
      <c r="G903" s="1" t="s">
        <v>18</v>
      </c>
      <c r="H903" s="1">
        <v>14439</v>
      </c>
      <c r="I903" s="1" t="s">
        <v>19</v>
      </c>
      <c r="J903" s="1">
        <v>0.2</v>
      </c>
      <c r="K903" s="1">
        <v>14000</v>
      </c>
      <c r="L903" s="2">
        <v>45345</v>
      </c>
    </row>
    <row r="904" spans="1:12" x14ac:dyDescent="0.35">
      <c r="A904" s="1" t="s">
        <v>1143</v>
      </c>
      <c r="B904" s="1" t="s">
        <v>157</v>
      </c>
      <c r="C904" s="1" t="s">
        <v>61</v>
      </c>
      <c r="D904" s="1" t="s">
        <v>62</v>
      </c>
      <c r="E904" s="1" t="s">
        <v>46</v>
      </c>
      <c r="F904" s="1" t="s">
        <v>25</v>
      </c>
      <c r="G904" s="1" t="s">
        <v>26</v>
      </c>
      <c r="H904" s="1">
        <v>8802</v>
      </c>
      <c r="I904" s="1" t="s">
        <v>19</v>
      </c>
      <c r="J904" s="1">
        <v>0.2</v>
      </c>
      <c r="K904" s="1">
        <v>9000</v>
      </c>
      <c r="L904" s="2">
        <v>45305</v>
      </c>
    </row>
    <row r="905" spans="1:12" x14ac:dyDescent="0.35">
      <c r="A905" s="1" t="s">
        <v>1144</v>
      </c>
      <c r="B905" s="1" t="s">
        <v>233</v>
      </c>
      <c r="C905" s="1" t="s">
        <v>30</v>
      </c>
      <c r="D905" s="1" t="s">
        <v>31</v>
      </c>
      <c r="E905" s="1" t="s">
        <v>32</v>
      </c>
      <c r="F905" s="1" t="s">
        <v>39</v>
      </c>
      <c r="G905" s="1" t="s">
        <v>36</v>
      </c>
      <c r="H905" s="1">
        <v>18094</v>
      </c>
      <c r="I905" s="1" t="s">
        <v>22</v>
      </c>
      <c r="J905" s="1">
        <v>0.1</v>
      </c>
      <c r="K905" s="1">
        <v>17000</v>
      </c>
      <c r="L905" s="2">
        <v>45295</v>
      </c>
    </row>
    <row r="906" spans="1:12" x14ac:dyDescent="0.35">
      <c r="A906" s="1" t="s">
        <v>1145</v>
      </c>
      <c r="B906" s="1" t="s">
        <v>429</v>
      </c>
      <c r="C906" s="1" t="s">
        <v>61</v>
      </c>
      <c r="D906" s="1" t="s">
        <v>62</v>
      </c>
      <c r="E906" s="1" t="s">
        <v>46</v>
      </c>
      <c r="F906" s="1" t="s">
        <v>17</v>
      </c>
      <c r="G906" s="1" t="s">
        <v>36</v>
      </c>
      <c r="H906" s="1">
        <v>10056</v>
      </c>
      <c r="I906" s="1" t="s">
        <v>27</v>
      </c>
      <c r="J906" s="1"/>
      <c r="K906" s="1">
        <v>9000</v>
      </c>
      <c r="L906" s="2">
        <v>45306</v>
      </c>
    </row>
    <row r="907" spans="1:12" x14ac:dyDescent="0.35">
      <c r="A907" s="1" t="s">
        <v>1146</v>
      </c>
      <c r="B907" s="1" t="s">
        <v>274</v>
      </c>
      <c r="C907" s="1" t="s">
        <v>61</v>
      </c>
      <c r="D907" s="1" t="s">
        <v>62</v>
      </c>
      <c r="E907" s="1" t="s">
        <v>46</v>
      </c>
      <c r="F907" s="1" t="s">
        <v>17</v>
      </c>
      <c r="G907" s="1" t="s">
        <v>18</v>
      </c>
      <c r="H907" s="1">
        <v>9172</v>
      </c>
      <c r="I907" s="1"/>
      <c r="J907" s="1"/>
      <c r="K907" s="1">
        <v>9000</v>
      </c>
      <c r="L907" s="2">
        <v>45292</v>
      </c>
    </row>
    <row r="908" spans="1:12" x14ac:dyDescent="0.35">
      <c r="A908" s="1" t="s">
        <v>1147</v>
      </c>
      <c r="B908" s="1" t="s">
        <v>443</v>
      </c>
      <c r="C908" s="1" t="s">
        <v>61</v>
      </c>
      <c r="D908" s="1" t="s">
        <v>62</v>
      </c>
      <c r="E908" s="1" t="s">
        <v>46</v>
      </c>
      <c r="F908" s="1" t="s">
        <v>39</v>
      </c>
      <c r="G908" s="1" t="s">
        <v>36</v>
      </c>
      <c r="H908" s="1">
        <v>10939</v>
      </c>
      <c r="I908" s="1" t="s">
        <v>27</v>
      </c>
      <c r="J908" s="1"/>
      <c r="K908" s="1">
        <v>9000</v>
      </c>
      <c r="L908" s="2">
        <v>45335</v>
      </c>
    </row>
    <row r="909" spans="1:12" x14ac:dyDescent="0.35">
      <c r="A909" s="1" t="s">
        <v>1148</v>
      </c>
      <c r="B909" s="1" t="s">
        <v>76</v>
      </c>
      <c r="C909" s="1" t="s">
        <v>30</v>
      </c>
      <c r="D909" s="1" t="s">
        <v>31</v>
      </c>
      <c r="E909" s="1" t="s">
        <v>46</v>
      </c>
      <c r="F909" s="1" t="s">
        <v>39</v>
      </c>
      <c r="G909" s="1" t="s">
        <v>26</v>
      </c>
      <c r="H909" s="1">
        <v>18515</v>
      </c>
      <c r="I909" s="1" t="s">
        <v>33</v>
      </c>
      <c r="J909" s="1">
        <v>0.3</v>
      </c>
      <c r="K909" s="1">
        <v>17000</v>
      </c>
      <c r="L909" s="2">
        <v>45313</v>
      </c>
    </row>
    <row r="910" spans="1:12" x14ac:dyDescent="0.35">
      <c r="A910" s="1" t="s">
        <v>1149</v>
      </c>
      <c r="B910" s="1" t="s">
        <v>361</v>
      </c>
      <c r="C910" s="1" t="s">
        <v>14</v>
      </c>
      <c r="D910" s="1" t="s">
        <v>15</v>
      </c>
      <c r="E910" s="1" t="s">
        <v>46</v>
      </c>
      <c r="F910" s="1" t="s">
        <v>39</v>
      </c>
      <c r="G910" s="1" t="s">
        <v>26</v>
      </c>
      <c r="H910" s="1">
        <v>13602</v>
      </c>
      <c r="I910" s="1"/>
      <c r="J910" s="1"/>
      <c r="K910" s="1">
        <v>14000</v>
      </c>
      <c r="L910" s="2">
        <v>45341</v>
      </c>
    </row>
    <row r="911" spans="1:12" x14ac:dyDescent="0.35">
      <c r="A911" s="1" t="s">
        <v>1150</v>
      </c>
      <c r="B911" s="1" t="s">
        <v>305</v>
      </c>
      <c r="C911" s="1" t="s">
        <v>44</v>
      </c>
      <c r="D911" s="1" t="s">
        <v>45</v>
      </c>
      <c r="E911" s="1" t="s">
        <v>16</v>
      </c>
      <c r="F911" s="1" t="s">
        <v>39</v>
      </c>
      <c r="G911" s="1" t="s">
        <v>26</v>
      </c>
      <c r="H911" s="1">
        <v>14155</v>
      </c>
      <c r="I911" s="1" t="s">
        <v>19</v>
      </c>
      <c r="J911" s="1">
        <v>0.2</v>
      </c>
      <c r="K911" s="1">
        <v>13000</v>
      </c>
      <c r="L911" s="2">
        <v>45325</v>
      </c>
    </row>
    <row r="912" spans="1:12" x14ac:dyDescent="0.35">
      <c r="A912" s="1" t="s">
        <v>1151</v>
      </c>
      <c r="B912" s="1" t="s">
        <v>150</v>
      </c>
      <c r="C912" s="1" t="s">
        <v>44</v>
      </c>
      <c r="D912" s="1" t="s">
        <v>45</v>
      </c>
      <c r="E912" s="1" t="s">
        <v>46</v>
      </c>
      <c r="F912" s="1" t="s">
        <v>39</v>
      </c>
      <c r="G912" s="1" t="s">
        <v>18</v>
      </c>
      <c r="H912" s="1">
        <v>13755</v>
      </c>
      <c r="I912" s="1" t="s">
        <v>22</v>
      </c>
      <c r="J912" s="1">
        <v>0.1</v>
      </c>
      <c r="K912" s="1">
        <v>13000</v>
      </c>
      <c r="L912" s="2">
        <v>45345</v>
      </c>
    </row>
    <row r="913" spans="1:12" x14ac:dyDescent="0.35">
      <c r="A913" s="1" t="s">
        <v>1152</v>
      </c>
      <c r="B913" s="1" t="s">
        <v>43</v>
      </c>
      <c r="C913" s="1" t="s">
        <v>61</v>
      </c>
      <c r="D913" s="1" t="s">
        <v>62</v>
      </c>
      <c r="E913" s="1" t="s">
        <v>32</v>
      </c>
      <c r="F913" s="1" t="s">
        <v>39</v>
      </c>
      <c r="G913" s="1" t="s">
        <v>18</v>
      </c>
      <c r="H913" s="1">
        <v>9807</v>
      </c>
      <c r="I913" s="1"/>
      <c r="J913" s="1"/>
      <c r="K913" s="1">
        <v>9000</v>
      </c>
      <c r="L913" s="2">
        <v>45314</v>
      </c>
    </row>
    <row r="914" spans="1:12" x14ac:dyDescent="0.35">
      <c r="A914" s="1" t="s">
        <v>1153</v>
      </c>
      <c r="B914" s="1" t="s">
        <v>220</v>
      </c>
      <c r="C914" s="1" t="s">
        <v>30</v>
      </c>
      <c r="D914" s="1" t="s">
        <v>31</v>
      </c>
      <c r="E914" s="1" t="s">
        <v>46</v>
      </c>
      <c r="F914" s="1" t="s">
        <v>25</v>
      </c>
      <c r="G914" s="1" t="s">
        <v>18</v>
      </c>
      <c r="H914" s="1">
        <v>15097</v>
      </c>
      <c r="I914" s="1" t="s">
        <v>27</v>
      </c>
      <c r="J914" s="1"/>
      <c r="K914" s="1">
        <v>17000</v>
      </c>
      <c r="L914" s="2">
        <v>45297</v>
      </c>
    </row>
    <row r="915" spans="1:12" x14ac:dyDescent="0.35">
      <c r="A915" s="1" t="s">
        <v>1154</v>
      </c>
      <c r="B915" s="1" t="s">
        <v>109</v>
      </c>
      <c r="C915" s="1" t="s">
        <v>44</v>
      </c>
      <c r="D915" s="1" t="s">
        <v>45</v>
      </c>
      <c r="E915" s="1" t="s">
        <v>16</v>
      </c>
      <c r="F915" s="1" t="s">
        <v>39</v>
      </c>
      <c r="G915" s="1" t="s">
        <v>18</v>
      </c>
      <c r="H915" s="1">
        <v>13900</v>
      </c>
      <c r="I915" s="1" t="s">
        <v>22</v>
      </c>
      <c r="J915" s="1">
        <v>0.1</v>
      </c>
      <c r="K915" s="1">
        <v>13000</v>
      </c>
      <c r="L915" s="2">
        <v>45297</v>
      </c>
    </row>
    <row r="916" spans="1:12" x14ac:dyDescent="0.35">
      <c r="A916" s="1" t="s">
        <v>1155</v>
      </c>
      <c r="B916" s="1" t="s">
        <v>460</v>
      </c>
      <c r="C916" s="1" t="s">
        <v>44</v>
      </c>
      <c r="D916" s="1" t="s">
        <v>45</v>
      </c>
      <c r="E916" s="1" t="s">
        <v>46</v>
      </c>
      <c r="F916" s="1" t="s">
        <v>39</v>
      </c>
      <c r="G916" s="1" t="s">
        <v>26</v>
      </c>
      <c r="H916" s="1">
        <v>13318</v>
      </c>
      <c r="I916" s="1" t="s">
        <v>19</v>
      </c>
      <c r="J916" s="1">
        <v>0.2</v>
      </c>
      <c r="K916" s="1">
        <v>13000</v>
      </c>
      <c r="L916" s="2">
        <v>45349</v>
      </c>
    </row>
    <row r="917" spans="1:12" x14ac:dyDescent="0.35">
      <c r="A917" s="1" t="s">
        <v>1156</v>
      </c>
      <c r="B917" s="1" t="s">
        <v>173</v>
      </c>
      <c r="C917" s="1" t="s">
        <v>44</v>
      </c>
      <c r="D917" s="1" t="s">
        <v>45</v>
      </c>
      <c r="E917" s="1" t="s">
        <v>46</v>
      </c>
      <c r="F917" s="1" t="s">
        <v>17</v>
      </c>
      <c r="G917" s="1" t="s">
        <v>36</v>
      </c>
      <c r="H917" s="1">
        <v>13705</v>
      </c>
      <c r="I917" s="1" t="s">
        <v>22</v>
      </c>
      <c r="J917" s="1">
        <v>0.1</v>
      </c>
      <c r="K917" s="1">
        <v>13000</v>
      </c>
      <c r="L917" s="2">
        <v>45332</v>
      </c>
    </row>
    <row r="918" spans="1:12" x14ac:dyDescent="0.35">
      <c r="A918" s="1" t="s">
        <v>1157</v>
      </c>
      <c r="B918" s="1" t="s">
        <v>123</v>
      </c>
      <c r="C918" s="1" t="s">
        <v>61</v>
      </c>
      <c r="D918" s="1" t="s">
        <v>62</v>
      </c>
      <c r="E918" s="1" t="s">
        <v>16</v>
      </c>
      <c r="F918" s="1" t="s">
        <v>39</v>
      </c>
      <c r="G918" s="1" t="s">
        <v>36</v>
      </c>
      <c r="H918" s="1">
        <v>8054</v>
      </c>
      <c r="I918" s="1" t="s">
        <v>19</v>
      </c>
      <c r="J918" s="1">
        <v>0.2</v>
      </c>
      <c r="K918" s="1">
        <v>9000</v>
      </c>
      <c r="L918" s="2">
        <v>45341</v>
      </c>
    </row>
    <row r="919" spans="1:12" x14ac:dyDescent="0.35">
      <c r="A919" s="1" t="s">
        <v>1158</v>
      </c>
      <c r="B919" s="1" t="s">
        <v>263</v>
      </c>
      <c r="C919" s="1" t="s">
        <v>14</v>
      </c>
      <c r="D919" s="1" t="s">
        <v>15</v>
      </c>
      <c r="E919" s="1" t="s">
        <v>46</v>
      </c>
      <c r="F919" s="1" t="s">
        <v>17</v>
      </c>
      <c r="G919" s="1" t="s">
        <v>36</v>
      </c>
      <c r="H919" s="1">
        <v>12246</v>
      </c>
      <c r="I919" s="1" t="s">
        <v>33</v>
      </c>
      <c r="J919" s="1">
        <v>0.3</v>
      </c>
      <c r="K919" s="1">
        <v>14000</v>
      </c>
      <c r="L919" s="2">
        <v>45344</v>
      </c>
    </row>
    <row r="920" spans="1:12" x14ac:dyDescent="0.35">
      <c r="A920" s="1" t="s">
        <v>1159</v>
      </c>
      <c r="B920" s="1" t="s">
        <v>58</v>
      </c>
      <c r="C920" s="1" t="s">
        <v>61</v>
      </c>
      <c r="D920" s="1" t="s">
        <v>62</v>
      </c>
      <c r="E920" s="1" t="s">
        <v>32</v>
      </c>
      <c r="F920" s="1" t="s">
        <v>17</v>
      </c>
      <c r="G920" s="1" t="s">
        <v>18</v>
      </c>
      <c r="H920" s="1">
        <v>9499</v>
      </c>
      <c r="I920" s="1"/>
      <c r="J920" s="1"/>
      <c r="K920" s="1">
        <v>9000</v>
      </c>
      <c r="L920" s="2">
        <v>45303</v>
      </c>
    </row>
    <row r="921" spans="1:12" x14ac:dyDescent="0.35">
      <c r="A921" s="1" t="s">
        <v>1160</v>
      </c>
      <c r="B921" s="1" t="s">
        <v>591</v>
      </c>
      <c r="C921" s="1" t="s">
        <v>14</v>
      </c>
      <c r="D921" s="1" t="s">
        <v>15</v>
      </c>
      <c r="E921" s="1" t="s">
        <v>32</v>
      </c>
      <c r="F921" s="1" t="s">
        <v>39</v>
      </c>
      <c r="G921" s="1" t="s">
        <v>36</v>
      </c>
      <c r="H921" s="1">
        <v>12894</v>
      </c>
      <c r="I921" s="1" t="s">
        <v>27</v>
      </c>
      <c r="J921" s="1"/>
      <c r="K921" s="1">
        <v>14000</v>
      </c>
      <c r="L921" s="2">
        <v>45333</v>
      </c>
    </row>
    <row r="922" spans="1:12" x14ac:dyDescent="0.35">
      <c r="A922" s="1" t="s">
        <v>1161</v>
      </c>
      <c r="B922" s="1" t="s">
        <v>245</v>
      </c>
      <c r="C922" s="1" t="s">
        <v>30</v>
      </c>
      <c r="D922" s="1" t="s">
        <v>31</v>
      </c>
      <c r="E922" s="1" t="s">
        <v>32</v>
      </c>
      <c r="F922" s="1" t="s">
        <v>25</v>
      </c>
      <c r="G922" s="1" t="s">
        <v>18</v>
      </c>
      <c r="H922" s="1">
        <v>15288</v>
      </c>
      <c r="I922" s="1" t="s">
        <v>27</v>
      </c>
      <c r="J922" s="1"/>
      <c r="K922" s="1">
        <v>17000</v>
      </c>
      <c r="L922" s="2">
        <v>45338</v>
      </c>
    </row>
    <row r="923" spans="1:12" x14ac:dyDescent="0.35">
      <c r="A923" s="1" t="s">
        <v>1162</v>
      </c>
      <c r="B923" s="1" t="s">
        <v>443</v>
      </c>
      <c r="C923" s="1" t="s">
        <v>61</v>
      </c>
      <c r="D923" s="1" t="s">
        <v>62</v>
      </c>
      <c r="E923" s="1" t="s">
        <v>32</v>
      </c>
      <c r="F923" s="1" t="s">
        <v>17</v>
      </c>
      <c r="G923" s="1" t="s">
        <v>18</v>
      </c>
      <c r="H923" s="1">
        <v>9674</v>
      </c>
      <c r="I923" s="1" t="s">
        <v>22</v>
      </c>
      <c r="J923" s="1">
        <v>0.1</v>
      </c>
      <c r="K923" s="1">
        <v>9000</v>
      </c>
      <c r="L923" s="2">
        <v>45351</v>
      </c>
    </row>
    <row r="924" spans="1:12" x14ac:dyDescent="0.35">
      <c r="A924" s="1" t="s">
        <v>1163</v>
      </c>
      <c r="B924" s="1" t="s">
        <v>68</v>
      </c>
      <c r="C924" s="1" t="s">
        <v>61</v>
      </c>
      <c r="D924" s="1" t="s">
        <v>62</v>
      </c>
      <c r="E924" s="1" t="s">
        <v>46</v>
      </c>
      <c r="F924" s="1" t="s">
        <v>25</v>
      </c>
      <c r="G924" s="1" t="s">
        <v>26</v>
      </c>
      <c r="H924" s="1">
        <v>8350</v>
      </c>
      <c r="I924" s="1"/>
      <c r="J924" s="1"/>
      <c r="K924" s="1">
        <v>9000</v>
      </c>
      <c r="L924" s="2">
        <v>45328</v>
      </c>
    </row>
    <row r="925" spans="1:12" x14ac:dyDescent="0.35">
      <c r="A925" s="1" t="s">
        <v>1164</v>
      </c>
      <c r="B925" s="1" t="s">
        <v>166</v>
      </c>
      <c r="C925" s="1" t="s">
        <v>61</v>
      </c>
      <c r="D925" s="1" t="s">
        <v>62</v>
      </c>
      <c r="E925" s="1" t="s">
        <v>46</v>
      </c>
      <c r="F925" s="1" t="s">
        <v>17</v>
      </c>
      <c r="G925" s="1" t="s">
        <v>36</v>
      </c>
      <c r="H925" s="1">
        <v>10457</v>
      </c>
      <c r="I925" s="1" t="s">
        <v>22</v>
      </c>
      <c r="J925" s="1">
        <v>0.1</v>
      </c>
      <c r="K925" s="1">
        <v>9000</v>
      </c>
      <c r="L925" s="2">
        <v>45326</v>
      </c>
    </row>
    <row r="926" spans="1:12" x14ac:dyDescent="0.35">
      <c r="A926" s="1" t="s">
        <v>1165</v>
      </c>
      <c r="B926" s="1" t="s">
        <v>500</v>
      </c>
      <c r="C926" s="1" t="s">
        <v>61</v>
      </c>
      <c r="D926" s="1" t="s">
        <v>62</v>
      </c>
      <c r="E926" s="1" t="s">
        <v>16</v>
      </c>
      <c r="F926" s="1" t="s">
        <v>17</v>
      </c>
      <c r="G926" s="1" t="s">
        <v>18</v>
      </c>
      <c r="H926" s="1">
        <v>9323</v>
      </c>
      <c r="I926" s="1" t="s">
        <v>27</v>
      </c>
      <c r="J926" s="1"/>
      <c r="K926" s="1">
        <v>9000</v>
      </c>
      <c r="L926" s="2">
        <v>45351</v>
      </c>
    </row>
    <row r="927" spans="1:12" x14ac:dyDescent="0.35">
      <c r="A927" s="1" t="s">
        <v>1166</v>
      </c>
      <c r="B927" s="1" t="s">
        <v>282</v>
      </c>
      <c r="C927" s="1" t="s">
        <v>30</v>
      </c>
      <c r="D927" s="1" t="s">
        <v>31</v>
      </c>
      <c r="E927" s="1" t="s">
        <v>46</v>
      </c>
      <c r="F927" s="1" t="s">
        <v>25</v>
      </c>
      <c r="G927" s="1" t="s">
        <v>26</v>
      </c>
      <c r="H927" s="1">
        <v>18927</v>
      </c>
      <c r="I927" s="1" t="s">
        <v>22</v>
      </c>
      <c r="J927" s="1">
        <v>0.1</v>
      </c>
      <c r="K927" s="1">
        <v>17000</v>
      </c>
      <c r="L927" s="2">
        <v>45315</v>
      </c>
    </row>
    <row r="928" spans="1:12" x14ac:dyDescent="0.35">
      <c r="A928" s="1" t="s">
        <v>1167</v>
      </c>
      <c r="B928" s="1" t="s">
        <v>105</v>
      </c>
      <c r="C928" s="1" t="s">
        <v>30</v>
      </c>
      <c r="D928" s="1" t="s">
        <v>31</v>
      </c>
      <c r="E928" s="1" t="s">
        <v>32</v>
      </c>
      <c r="F928" s="1" t="s">
        <v>17</v>
      </c>
      <c r="G928" s="1" t="s">
        <v>36</v>
      </c>
      <c r="H928" s="1">
        <v>17653</v>
      </c>
      <c r="I928" s="1" t="s">
        <v>19</v>
      </c>
      <c r="J928" s="1">
        <v>0.2</v>
      </c>
      <c r="K928" s="1">
        <v>17000</v>
      </c>
      <c r="L928" s="2">
        <v>45303</v>
      </c>
    </row>
    <row r="929" spans="1:12" x14ac:dyDescent="0.35">
      <c r="A929" s="1" t="s">
        <v>1168</v>
      </c>
      <c r="B929" s="1" t="s">
        <v>184</v>
      </c>
      <c r="C929" s="1" t="s">
        <v>61</v>
      </c>
      <c r="D929" s="1" t="s">
        <v>62</v>
      </c>
      <c r="E929" s="1" t="s">
        <v>16</v>
      </c>
      <c r="F929" s="1" t="s">
        <v>25</v>
      </c>
      <c r="G929" s="1" t="s">
        <v>36</v>
      </c>
      <c r="H929" s="1">
        <v>9850</v>
      </c>
      <c r="I929" s="1"/>
      <c r="J929" s="1"/>
      <c r="K929" s="1">
        <v>9000</v>
      </c>
      <c r="L929" s="2">
        <v>45349</v>
      </c>
    </row>
    <row r="930" spans="1:12" x14ac:dyDescent="0.35">
      <c r="A930" s="1" t="s">
        <v>1169</v>
      </c>
      <c r="B930" s="1" t="s">
        <v>21</v>
      </c>
      <c r="C930" s="1" t="s">
        <v>30</v>
      </c>
      <c r="D930" s="1" t="s">
        <v>31</v>
      </c>
      <c r="E930" s="1" t="s">
        <v>46</v>
      </c>
      <c r="F930" s="1" t="s">
        <v>25</v>
      </c>
      <c r="G930" s="1" t="s">
        <v>26</v>
      </c>
      <c r="H930" s="1">
        <v>16793</v>
      </c>
      <c r="I930" s="1" t="s">
        <v>19</v>
      </c>
      <c r="J930" s="1">
        <v>0.2</v>
      </c>
      <c r="K930" s="1">
        <v>17000</v>
      </c>
      <c r="L930" s="2">
        <v>45300</v>
      </c>
    </row>
    <row r="931" spans="1:12" x14ac:dyDescent="0.35">
      <c r="A931" s="1" t="s">
        <v>1170</v>
      </c>
      <c r="B931" s="1" t="s">
        <v>192</v>
      </c>
      <c r="C931" s="1" t="s">
        <v>14</v>
      </c>
      <c r="D931" s="1" t="s">
        <v>15</v>
      </c>
      <c r="E931" s="1" t="s">
        <v>16</v>
      </c>
      <c r="F931" s="1" t="s">
        <v>39</v>
      </c>
      <c r="G931" s="1" t="s">
        <v>18</v>
      </c>
      <c r="H931" s="1">
        <v>14003</v>
      </c>
      <c r="I931" s="1"/>
      <c r="J931" s="1"/>
      <c r="K931" s="1">
        <v>14000</v>
      </c>
      <c r="L931" s="2">
        <v>45296</v>
      </c>
    </row>
    <row r="932" spans="1:12" x14ac:dyDescent="0.35">
      <c r="A932" s="1" t="s">
        <v>1171</v>
      </c>
      <c r="B932" s="1" t="s">
        <v>133</v>
      </c>
      <c r="C932" s="1" t="s">
        <v>30</v>
      </c>
      <c r="D932" s="1" t="s">
        <v>31</v>
      </c>
      <c r="E932" s="1" t="s">
        <v>46</v>
      </c>
      <c r="F932" s="1" t="s">
        <v>39</v>
      </c>
      <c r="G932" s="1" t="s">
        <v>36</v>
      </c>
      <c r="H932" s="1">
        <v>18959</v>
      </c>
      <c r="I932" s="1" t="s">
        <v>22</v>
      </c>
      <c r="J932" s="1">
        <v>0.1</v>
      </c>
      <c r="K932" s="1">
        <v>17000</v>
      </c>
      <c r="L932" s="2">
        <v>45294</v>
      </c>
    </row>
    <row r="933" spans="1:12" x14ac:dyDescent="0.35">
      <c r="A933" s="1" t="s">
        <v>1172</v>
      </c>
      <c r="B933" s="1" t="s">
        <v>327</v>
      </c>
      <c r="C933" s="1" t="s">
        <v>30</v>
      </c>
      <c r="D933" s="1" t="s">
        <v>31</v>
      </c>
      <c r="E933" s="1" t="s">
        <v>16</v>
      </c>
      <c r="F933" s="1" t="s">
        <v>25</v>
      </c>
      <c r="G933" s="1" t="s">
        <v>36</v>
      </c>
      <c r="H933" s="1">
        <v>15484</v>
      </c>
      <c r="I933" s="1" t="s">
        <v>19</v>
      </c>
      <c r="J933" s="1">
        <v>0.2</v>
      </c>
      <c r="K933" s="1">
        <v>17000</v>
      </c>
      <c r="L933" s="2">
        <v>45343</v>
      </c>
    </row>
    <row r="934" spans="1:12" x14ac:dyDescent="0.35">
      <c r="A934" s="1" t="s">
        <v>1173</v>
      </c>
      <c r="B934" s="1" t="s">
        <v>92</v>
      </c>
      <c r="C934" s="1" t="s">
        <v>61</v>
      </c>
      <c r="D934" s="1" t="s">
        <v>62</v>
      </c>
      <c r="E934" s="1" t="s">
        <v>16</v>
      </c>
      <c r="F934" s="1" t="s">
        <v>39</v>
      </c>
      <c r="G934" s="1" t="s">
        <v>18</v>
      </c>
      <c r="H934" s="1">
        <v>10035</v>
      </c>
      <c r="I934" s="1" t="s">
        <v>27</v>
      </c>
      <c r="J934" s="1"/>
      <c r="K934" s="1">
        <v>9000</v>
      </c>
      <c r="L934" s="2">
        <v>45306</v>
      </c>
    </row>
    <row r="935" spans="1:12" x14ac:dyDescent="0.35">
      <c r="A935" s="1" t="s">
        <v>1174</v>
      </c>
      <c r="B935" s="1" t="s">
        <v>403</v>
      </c>
      <c r="C935" s="1" t="s">
        <v>14</v>
      </c>
      <c r="D935" s="1" t="s">
        <v>15</v>
      </c>
      <c r="E935" s="1" t="s">
        <v>16</v>
      </c>
      <c r="F935" s="1" t="s">
        <v>25</v>
      </c>
      <c r="G935" s="1" t="s">
        <v>36</v>
      </c>
      <c r="H935" s="1">
        <v>14678</v>
      </c>
      <c r="I935" s="1" t="s">
        <v>22</v>
      </c>
      <c r="J935" s="1">
        <v>0.1</v>
      </c>
      <c r="K935" s="1">
        <v>14000</v>
      </c>
      <c r="L935" s="2">
        <v>45322</v>
      </c>
    </row>
    <row r="936" spans="1:12" x14ac:dyDescent="0.35">
      <c r="A936" s="1" t="s">
        <v>1175</v>
      </c>
      <c r="B936" s="1" t="s">
        <v>60</v>
      </c>
      <c r="C936" s="1" t="s">
        <v>14</v>
      </c>
      <c r="D936" s="1" t="s">
        <v>15</v>
      </c>
      <c r="E936" s="1" t="s">
        <v>32</v>
      </c>
      <c r="F936" s="1" t="s">
        <v>39</v>
      </c>
      <c r="G936" s="1" t="s">
        <v>26</v>
      </c>
      <c r="H936" s="1">
        <v>12534</v>
      </c>
      <c r="I936" s="1" t="s">
        <v>22</v>
      </c>
      <c r="J936" s="1">
        <v>0.1</v>
      </c>
      <c r="K936" s="1">
        <v>14000</v>
      </c>
      <c r="L936" s="2">
        <v>45303</v>
      </c>
    </row>
    <row r="937" spans="1:12" x14ac:dyDescent="0.35">
      <c r="A937" s="1" t="s">
        <v>1176</v>
      </c>
      <c r="B937" s="1" t="s">
        <v>1032</v>
      </c>
      <c r="C937" s="1" t="s">
        <v>30</v>
      </c>
      <c r="D937" s="1" t="s">
        <v>31</v>
      </c>
      <c r="E937" s="1" t="s">
        <v>32</v>
      </c>
      <c r="F937" s="1" t="s">
        <v>17</v>
      </c>
      <c r="G937" s="1" t="s">
        <v>26</v>
      </c>
      <c r="H937" s="1">
        <v>15699</v>
      </c>
      <c r="I937" s="1" t="s">
        <v>27</v>
      </c>
      <c r="J937" s="1"/>
      <c r="K937" s="1">
        <v>17000</v>
      </c>
      <c r="L937" s="2">
        <v>45296</v>
      </c>
    </row>
    <row r="938" spans="1:12" x14ac:dyDescent="0.35">
      <c r="A938" s="1" t="s">
        <v>1177</v>
      </c>
      <c r="B938" s="1" t="s">
        <v>319</v>
      </c>
      <c r="C938" s="1" t="s">
        <v>14</v>
      </c>
      <c r="D938" s="1" t="s">
        <v>15</v>
      </c>
      <c r="E938" s="1" t="s">
        <v>32</v>
      </c>
      <c r="F938" s="1" t="s">
        <v>17</v>
      </c>
      <c r="G938" s="1" t="s">
        <v>26</v>
      </c>
      <c r="H938" s="1">
        <v>15273</v>
      </c>
      <c r="I938" s="1" t="s">
        <v>27</v>
      </c>
      <c r="J938" s="1"/>
      <c r="K938" s="1">
        <v>14000</v>
      </c>
      <c r="L938" s="2">
        <v>45306</v>
      </c>
    </row>
    <row r="939" spans="1:12" x14ac:dyDescent="0.35">
      <c r="A939" s="1" t="s">
        <v>1178</v>
      </c>
      <c r="B939" s="1" t="s">
        <v>200</v>
      </c>
      <c r="C939" s="1" t="s">
        <v>44</v>
      </c>
      <c r="D939" s="1" t="s">
        <v>45</v>
      </c>
      <c r="E939" s="1" t="s">
        <v>46</v>
      </c>
      <c r="F939" s="1" t="s">
        <v>17</v>
      </c>
      <c r="G939" s="1" t="s">
        <v>26</v>
      </c>
      <c r="H939" s="1">
        <v>13778</v>
      </c>
      <c r="I939" s="1"/>
      <c r="J939" s="1"/>
      <c r="K939" s="1">
        <v>13000</v>
      </c>
      <c r="L939" s="2">
        <v>45312</v>
      </c>
    </row>
    <row r="940" spans="1:12" x14ac:dyDescent="0.35">
      <c r="A940" s="1" t="s">
        <v>1179</v>
      </c>
      <c r="B940" s="1" t="s">
        <v>21</v>
      </c>
      <c r="C940" s="1" t="s">
        <v>44</v>
      </c>
      <c r="D940" s="1" t="s">
        <v>45</v>
      </c>
      <c r="E940" s="1" t="s">
        <v>46</v>
      </c>
      <c r="F940" s="1" t="s">
        <v>25</v>
      </c>
      <c r="G940" s="1" t="s">
        <v>18</v>
      </c>
      <c r="H940" s="1">
        <v>13429</v>
      </c>
      <c r="I940" s="1" t="s">
        <v>19</v>
      </c>
      <c r="J940" s="1">
        <v>0.2</v>
      </c>
      <c r="K940" s="1">
        <v>13000</v>
      </c>
      <c r="L940" s="2">
        <v>45313</v>
      </c>
    </row>
    <row r="941" spans="1:12" x14ac:dyDescent="0.35">
      <c r="A941" s="1" t="s">
        <v>1180</v>
      </c>
      <c r="B941" s="1" t="s">
        <v>78</v>
      </c>
      <c r="C941" s="1" t="s">
        <v>30</v>
      </c>
      <c r="D941" s="1" t="s">
        <v>31</v>
      </c>
      <c r="E941" s="1" t="s">
        <v>32</v>
      </c>
      <c r="F941" s="1" t="s">
        <v>17</v>
      </c>
      <c r="G941" s="1" t="s">
        <v>18</v>
      </c>
      <c r="H941" s="1">
        <v>17852</v>
      </c>
      <c r="I941" s="1" t="s">
        <v>33</v>
      </c>
      <c r="J941" s="1">
        <v>0.3</v>
      </c>
      <c r="K941" s="1">
        <v>17000</v>
      </c>
      <c r="L941" s="2">
        <v>45327</v>
      </c>
    </row>
    <row r="942" spans="1:12" x14ac:dyDescent="0.35">
      <c r="A942" s="1" t="s">
        <v>1181</v>
      </c>
      <c r="B942" s="1" t="s">
        <v>429</v>
      </c>
      <c r="C942" s="1" t="s">
        <v>44</v>
      </c>
      <c r="D942" s="1" t="s">
        <v>45</v>
      </c>
      <c r="E942" s="1" t="s">
        <v>16</v>
      </c>
      <c r="F942" s="1" t="s">
        <v>25</v>
      </c>
      <c r="G942" s="1" t="s">
        <v>18</v>
      </c>
      <c r="H942" s="1">
        <v>11409</v>
      </c>
      <c r="I942" s="1" t="s">
        <v>27</v>
      </c>
      <c r="J942" s="1"/>
      <c r="K942" s="1">
        <v>13000</v>
      </c>
      <c r="L942" s="2">
        <v>45316</v>
      </c>
    </row>
    <row r="943" spans="1:12" x14ac:dyDescent="0.35">
      <c r="A943" s="1" t="s">
        <v>1182</v>
      </c>
      <c r="B943" s="1" t="s">
        <v>72</v>
      </c>
      <c r="C943" s="1" t="s">
        <v>14</v>
      </c>
      <c r="D943" s="1" t="s">
        <v>15</v>
      </c>
      <c r="E943" s="1" t="s">
        <v>46</v>
      </c>
      <c r="F943" s="1" t="s">
        <v>25</v>
      </c>
      <c r="G943" s="1" t="s">
        <v>18</v>
      </c>
      <c r="H943" s="1">
        <v>12029</v>
      </c>
      <c r="I943" s="1" t="s">
        <v>19</v>
      </c>
      <c r="J943" s="1">
        <v>0.2</v>
      </c>
      <c r="K943" s="1">
        <v>14000</v>
      </c>
      <c r="L943" s="2">
        <v>45351</v>
      </c>
    </row>
    <row r="944" spans="1:12" x14ac:dyDescent="0.35">
      <c r="A944" s="1" t="s">
        <v>1183</v>
      </c>
      <c r="B944" s="1" t="s">
        <v>173</v>
      </c>
      <c r="C944" s="1" t="s">
        <v>30</v>
      </c>
      <c r="D944" s="1" t="s">
        <v>31</v>
      </c>
      <c r="E944" s="1" t="s">
        <v>46</v>
      </c>
      <c r="F944" s="1" t="s">
        <v>39</v>
      </c>
      <c r="G944" s="1" t="s">
        <v>36</v>
      </c>
      <c r="H944" s="1">
        <v>17835</v>
      </c>
      <c r="I944" s="1" t="s">
        <v>19</v>
      </c>
      <c r="J944" s="1">
        <v>0.2</v>
      </c>
      <c r="K944" s="1">
        <v>17000</v>
      </c>
      <c r="L944" s="2">
        <v>45305</v>
      </c>
    </row>
    <row r="945" spans="1:12" x14ac:dyDescent="0.35">
      <c r="A945" s="1" t="s">
        <v>1184</v>
      </c>
      <c r="B945" s="1" t="s">
        <v>113</v>
      </c>
      <c r="C945" s="1" t="s">
        <v>30</v>
      </c>
      <c r="D945" s="1" t="s">
        <v>31</v>
      </c>
      <c r="E945" s="1" t="s">
        <v>16</v>
      </c>
      <c r="F945" s="1" t="s">
        <v>17</v>
      </c>
      <c r="G945" s="1" t="s">
        <v>36</v>
      </c>
      <c r="H945" s="1">
        <v>15979</v>
      </c>
      <c r="I945" s="1" t="s">
        <v>19</v>
      </c>
      <c r="J945" s="1">
        <v>0.2</v>
      </c>
      <c r="K945" s="1">
        <v>17000</v>
      </c>
      <c r="L945" s="2">
        <v>45331</v>
      </c>
    </row>
    <row r="946" spans="1:12" x14ac:dyDescent="0.35">
      <c r="A946" s="1" t="s">
        <v>1185</v>
      </c>
      <c r="B946" s="1" t="s">
        <v>464</v>
      </c>
      <c r="C946" s="1" t="s">
        <v>44</v>
      </c>
      <c r="D946" s="1" t="s">
        <v>45</v>
      </c>
      <c r="E946" s="1" t="s">
        <v>16</v>
      </c>
      <c r="F946" s="1" t="s">
        <v>17</v>
      </c>
      <c r="G946" s="1" t="s">
        <v>26</v>
      </c>
      <c r="H946" s="1">
        <v>14892</v>
      </c>
      <c r="I946" s="1" t="s">
        <v>22</v>
      </c>
      <c r="J946" s="1">
        <v>0.1</v>
      </c>
      <c r="K946" s="1">
        <v>13000</v>
      </c>
      <c r="L946" s="2">
        <v>45332</v>
      </c>
    </row>
    <row r="947" spans="1:12" x14ac:dyDescent="0.35">
      <c r="A947" s="1" t="s">
        <v>1186</v>
      </c>
      <c r="B947" s="1" t="s">
        <v>393</v>
      </c>
      <c r="C947" s="1" t="s">
        <v>30</v>
      </c>
      <c r="D947" s="1" t="s">
        <v>31</v>
      </c>
      <c r="E947" s="1" t="s">
        <v>46</v>
      </c>
      <c r="F947" s="1" t="s">
        <v>17</v>
      </c>
      <c r="G947" s="1" t="s">
        <v>18</v>
      </c>
      <c r="H947" s="1">
        <v>17284</v>
      </c>
      <c r="I947" s="1" t="s">
        <v>19</v>
      </c>
      <c r="J947" s="1">
        <v>0.2</v>
      </c>
      <c r="K947" s="1">
        <v>17000</v>
      </c>
      <c r="L947" s="2">
        <v>45304</v>
      </c>
    </row>
    <row r="948" spans="1:12" x14ac:dyDescent="0.35">
      <c r="A948" s="1" t="s">
        <v>1187</v>
      </c>
      <c r="B948" s="1" t="s">
        <v>241</v>
      </c>
      <c r="C948" s="1" t="s">
        <v>14</v>
      </c>
      <c r="D948" s="1" t="s">
        <v>15</v>
      </c>
      <c r="E948" s="1" t="s">
        <v>16</v>
      </c>
      <c r="F948" s="1" t="s">
        <v>17</v>
      </c>
      <c r="G948" s="1" t="s">
        <v>26</v>
      </c>
      <c r="H948" s="1">
        <v>14078</v>
      </c>
      <c r="I948" s="1" t="s">
        <v>19</v>
      </c>
      <c r="J948" s="1">
        <v>0.2</v>
      </c>
      <c r="K948" s="1">
        <v>14000</v>
      </c>
      <c r="L948" s="2">
        <v>45321</v>
      </c>
    </row>
    <row r="949" spans="1:12" x14ac:dyDescent="0.35">
      <c r="A949" s="1" t="s">
        <v>1188</v>
      </c>
      <c r="B949" s="1" t="s">
        <v>426</v>
      </c>
      <c r="C949" s="1" t="s">
        <v>44</v>
      </c>
      <c r="D949" s="1" t="s">
        <v>45</v>
      </c>
      <c r="E949" s="1" t="s">
        <v>46</v>
      </c>
      <c r="F949" s="1" t="s">
        <v>25</v>
      </c>
      <c r="G949" s="1" t="s">
        <v>18</v>
      </c>
      <c r="H949" s="1">
        <v>11461</v>
      </c>
      <c r="I949" s="1" t="s">
        <v>19</v>
      </c>
      <c r="J949" s="1">
        <v>0.2</v>
      </c>
      <c r="K949" s="1">
        <v>13000</v>
      </c>
      <c r="L949" s="2">
        <v>45335</v>
      </c>
    </row>
    <row r="950" spans="1:12" x14ac:dyDescent="0.35">
      <c r="A950" s="1" t="s">
        <v>1189</v>
      </c>
      <c r="B950" s="1" t="s">
        <v>1190</v>
      </c>
      <c r="C950" s="1" t="s">
        <v>61</v>
      </c>
      <c r="D950" s="1" t="s">
        <v>62</v>
      </c>
      <c r="E950" s="1" t="s">
        <v>32</v>
      </c>
      <c r="F950" s="1" t="s">
        <v>25</v>
      </c>
      <c r="G950" s="1" t="s">
        <v>26</v>
      </c>
      <c r="H950" s="1">
        <v>10779</v>
      </c>
      <c r="I950" s="1" t="s">
        <v>22</v>
      </c>
      <c r="J950" s="1">
        <v>0.1</v>
      </c>
      <c r="K950" s="1">
        <v>9000</v>
      </c>
      <c r="L950" s="2">
        <v>45295</v>
      </c>
    </row>
    <row r="951" spans="1:12" x14ac:dyDescent="0.35">
      <c r="A951" s="1" t="s">
        <v>1191</v>
      </c>
      <c r="B951" s="1" t="s">
        <v>317</v>
      </c>
      <c r="C951" s="1" t="s">
        <v>30</v>
      </c>
      <c r="D951" s="1" t="s">
        <v>31</v>
      </c>
      <c r="E951" s="1" t="s">
        <v>32</v>
      </c>
      <c r="F951" s="1" t="s">
        <v>17</v>
      </c>
      <c r="G951" s="1" t="s">
        <v>36</v>
      </c>
      <c r="H951" s="1">
        <v>16369</v>
      </c>
      <c r="I951" s="1" t="s">
        <v>27</v>
      </c>
      <c r="J951" s="1"/>
      <c r="K951" s="1">
        <v>17000</v>
      </c>
      <c r="L951" s="2">
        <v>45343</v>
      </c>
    </row>
    <row r="952" spans="1:12" x14ac:dyDescent="0.35">
      <c r="A952" s="1" t="s">
        <v>1192</v>
      </c>
      <c r="B952" s="1" t="s">
        <v>148</v>
      </c>
      <c r="C952" s="1" t="s">
        <v>61</v>
      </c>
      <c r="D952" s="1" t="s">
        <v>62</v>
      </c>
      <c r="E952" s="1" t="s">
        <v>32</v>
      </c>
      <c r="F952" s="1" t="s">
        <v>25</v>
      </c>
      <c r="G952" s="1" t="s">
        <v>26</v>
      </c>
      <c r="H952" s="1">
        <v>7214</v>
      </c>
      <c r="I952" s="1" t="s">
        <v>27</v>
      </c>
      <c r="J952" s="1"/>
      <c r="K952" s="1">
        <v>9000</v>
      </c>
      <c r="L952" s="2">
        <v>45303</v>
      </c>
    </row>
    <row r="953" spans="1:12" x14ac:dyDescent="0.35">
      <c r="A953" s="1" t="s">
        <v>1193</v>
      </c>
      <c r="B953" s="1" t="s">
        <v>135</v>
      </c>
      <c r="C953" s="1" t="s">
        <v>14</v>
      </c>
      <c r="D953" s="1" t="s">
        <v>15</v>
      </c>
      <c r="E953" s="1" t="s">
        <v>46</v>
      </c>
      <c r="F953" s="1" t="s">
        <v>39</v>
      </c>
      <c r="G953" s="1" t="s">
        <v>18</v>
      </c>
      <c r="H953" s="1">
        <v>12290</v>
      </c>
      <c r="I953" s="1" t="s">
        <v>19</v>
      </c>
      <c r="J953" s="1">
        <v>0.2</v>
      </c>
      <c r="K953" s="1">
        <v>14000</v>
      </c>
      <c r="L953" s="2">
        <v>45338</v>
      </c>
    </row>
    <row r="954" spans="1:12" x14ac:dyDescent="0.35">
      <c r="A954" s="1" t="s">
        <v>1194</v>
      </c>
      <c r="B954" s="1" t="s">
        <v>600</v>
      </c>
      <c r="C954" s="1" t="s">
        <v>30</v>
      </c>
      <c r="D954" s="1" t="s">
        <v>31</v>
      </c>
      <c r="E954" s="1" t="s">
        <v>46</v>
      </c>
      <c r="F954" s="1" t="s">
        <v>25</v>
      </c>
      <c r="G954" s="1" t="s">
        <v>26</v>
      </c>
      <c r="H954" s="1">
        <v>17772</v>
      </c>
      <c r="I954" s="1" t="s">
        <v>33</v>
      </c>
      <c r="J954" s="1">
        <v>0.3</v>
      </c>
      <c r="K954" s="1">
        <v>17000</v>
      </c>
      <c r="L954" s="2">
        <v>45306</v>
      </c>
    </row>
    <row r="955" spans="1:12" x14ac:dyDescent="0.35">
      <c r="A955" s="1" t="s">
        <v>1195</v>
      </c>
      <c r="B955" s="1" t="s">
        <v>652</v>
      </c>
      <c r="C955" s="1" t="s">
        <v>30</v>
      </c>
      <c r="D955" s="1" t="s">
        <v>31</v>
      </c>
      <c r="E955" s="1" t="s">
        <v>32</v>
      </c>
      <c r="F955" s="1" t="s">
        <v>25</v>
      </c>
      <c r="G955" s="1" t="s">
        <v>18</v>
      </c>
      <c r="H955" s="1">
        <v>18021</v>
      </c>
      <c r="I955" s="1"/>
      <c r="J955" s="1"/>
      <c r="K955" s="1">
        <v>17000</v>
      </c>
      <c r="L955" s="2">
        <v>45347</v>
      </c>
    </row>
    <row r="956" spans="1:12" x14ac:dyDescent="0.35">
      <c r="A956" s="1" t="s">
        <v>1196</v>
      </c>
      <c r="B956" s="1" t="s">
        <v>414</v>
      </c>
      <c r="C956" s="1" t="s">
        <v>44</v>
      </c>
      <c r="D956" s="1" t="s">
        <v>45</v>
      </c>
      <c r="E956" s="1" t="s">
        <v>32</v>
      </c>
      <c r="F956" s="1" t="s">
        <v>17</v>
      </c>
      <c r="G956" s="1" t="s">
        <v>26</v>
      </c>
      <c r="H956" s="1">
        <v>12984</v>
      </c>
      <c r="I956" s="1" t="s">
        <v>22</v>
      </c>
      <c r="J956" s="1">
        <v>0.1</v>
      </c>
      <c r="K956" s="1">
        <v>13000</v>
      </c>
      <c r="L956" s="2">
        <v>45348</v>
      </c>
    </row>
    <row r="957" spans="1:12" x14ac:dyDescent="0.35">
      <c r="A957" s="1" t="s">
        <v>1197</v>
      </c>
      <c r="B957" s="1" t="s">
        <v>186</v>
      </c>
      <c r="C957" s="1" t="s">
        <v>44</v>
      </c>
      <c r="D957" s="1" t="s">
        <v>45</v>
      </c>
      <c r="E957" s="1" t="s">
        <v>16</v>
      </c>
      <c r="F957" s="1" t="s">
        <v>17</v>
      </c>
      <c r="G957" s="1" t="s">
        <v>18</v>
      </c>
      <c r="H957" s="1">
        <v>12586</v>
      </c>
      <c r="I957" s="1" t="s">
        <v>33</v>
      </c>
      <c r="J957" s="1">
        <v>0.3</v>
      </c>
      <c r="K957" s="1">
        <v>13000</v>
      </c>
      <c r="L957" s="2">
        <v>45300</v>
      </c>
    </row>
    <row r="958" spans="1:12" x14ac:dyDescent="0.35">
      <c r="A958" s="1" t="s">
        <v>1198</v>
      </c>
      <c r="B958" s="1" t="s">
        <v>483</v>
      </c>
      <c r="C958" s="1" t="s">
        <v>44</v>
      </c>
      <c r="D958" s="1" t="s">
        <v>45</v>
      </c>
      <c r="E958" s="1" t="s">
        <v>16</v>
      </c>
      <c r="F958" s="1" t="s">
        <v>17</v>
      </c>
      <c r="G958" s="1" t="s">
        <v>36</v>
      </c>
      <c r="H958" s="1">
        <v>11828</v>
      </c>
      <c r="I958" s="1" t="s">
        <v>33</v>
      </c>
      <c r="J958" s="1">
        <v>0.3</v>
      </c>
      <c r="K958" s="1">
        <v>13000</v>
      </c>
      <c r="L958" s="2">
        <v>45300</v>
      </c>
    </row>
    <row r="959" spans="1:12" x14ac:dyDescent="0.35">
      <c r="A959" s="1" t="s">
        <v>1199</v>
      </c>
      <c r="B959" s="1" t="s">
        <v>190</v>
      </c>
      <c r="C959" s="1" t="s">
        <v>14</v>
      </c>
      <c r="D959" s="1" t="s">
        <v>15</v>
      </c>
      <c r="E959" s="1" t="s">
        <v>46</v>
      </c>
      <c r="F959" s="1" t="s">
        <v>25</v>
      </c>
      <c r="G959" s="1" t="s">
        <v>18</v>
      </c>
      <c r="H959" s="1">
        <v>15488</v>
      </c>
      <c r="I959" s="1"/>
      <c r="J959" s="1"/>
      <c r="K959" s="1">
        <v>14000</v>
      </c>
      <c r="L959" s="2">
        <v>45321</v>
      </c>
    </row>
    <row r="960" spans="1:12" x14ac:dyDescent="0.35">
      <c r="A960" s="1" t="s">
        <v>1200</v>
      </c>
      <c r="B960" s="1" t="s">
        <v>186</v>
      </c>
      <c r="C960" s="1" t="s">
        <v>30</v>
      </c>
      <c r="D960" s="1" t="s">
        <v>31</v>
      </c>
      <c r="E960" s="1" t="s">
        <v>32</v>
      </c>
      <c r="F960" s="1" t="s">
        <v>17</v>
      </c>
      <c r="G960" s="1" t="s">
        <v>26</v>
      </c>
      <c r="H960" s="1">
        <v>15642</v>
      </c>
      <c r="I960" s="1" t="s">
        <v>27</v>
      </c>
      <c r="J960" s="1"/>
      <c r="K960" s="1">
        <v>17000</v>
      </c>
      <c r="L960" s="2">
        <v>45349</v>
      </c>
    </row>
    <row r="961" spans="1:12" x14ac:dyDescent="0.35">
      <c r="A961" s="1" t="s">
        <v>1201</v>
      </c>
      <c r="B961" s="1" t="s">
        <v>720</v>
      </c>
      <c r="C961" s="1" t="s">
        <v>44</v>
      </c>
      <c r="D961" s="1" t="s">
        <v>45</v>
      </c>
      <c r="E961" s="1" t="s">
        <v>32</v>
      </c>
      <c r="F961" s="1" t="s">
        <v>17</v>
      </c>
      <c r="G961" s="1" t="s">
        <v>26</v>
      </c>
      <c r="H961" s="1">
        <v>13003</v>
      </c>
      <c r="I961" s="1" t="s">
        <v>19</v>
      </c>
      <c r="J961" s="1">
        <v>0.2</v>
      </c>
      <c r="K961" s="1">
        <v>13000</v>
      </c>
      <c r="L961" s="2">
        <v>45329</v>
      </c>
    </row>
    <row r="962" spans="1:12" x14ac:dyDescent="0.35">
      <c r="A962" s="1" t="s">
        <v>1202</v>
      </c>
      <c r="B962" s="1" t="s">
        <v>752</v>
      </c>
      <c r="C962" s="1" t="s">
        <v>61</v>
      </c>
      <c r="D962" s="1" t="s">
        <v>62</v>
      </c>
      <c r="E962" s="1" t="s">
        <v>46</v>
      </c>
      <c r="F962" s="1" t="s">
        <v>25</v>
      </c>
      <c r="G962" s="1" t="s">
        <v>26</v>
      </c>
      <c r="H962" s="1">
        <v>8753</v>
      </c>
      <c r="I962" s="1" t="s">
        <v>19</v>
      </c>
      <c r="J962" s="1">
        <v>0.2</v>
      </c>
      <c r="K962" s="1">
        <v>9000</v>
      </c>
      <c r="L962" s="2">
        <v>45307</v>
      </c>
    </row>
    <row r="963" spans="1:12" x14ac:dyDescent="0.35">
      <c r="A963" s="1" t="s">
        <v>1203</v>
      </c>
      <c r="B963" s="1" t="s">
        <v>666</v>
      </c>
      <c r="C963" s="1" t="s">
        <v>44</v>
      </c>
      <c r="D963" s="1" t="s">
        <v>45</v>
      </c>
      <c r="E963" s="1" t="s">
        <v>16</v>
      </c>
      <c r="F963" s="1" t="s">
        <v>25</v>
      </c>
      <c r="G963" s="1" t="s">
        <v>26</v>
      </c>
      <c r="H963" s="1">
        <v>14679</v>
      </c>
      <c r="I963" s="1" t="s">
        <v>22</v>
      </c>
      <c r="J963" s="1">
        <v>0.1</v>
      </c>
      <c r="K963" s="1">
        <v>13000</v>
      </c>
      <c r="L963" s="2">
        <v>45318</v>
      </c>
    </row>
    <row r="964" spans="1:12" x14ac:dyDescent="0.35">
      <c r="A964" s="1" t="s">
        <v>1204</v>
      </c>
      <c r="B964" s="1" t="s">
        <v>161</v>
      </c>
      <c r="C964" s="1" t="s">
        <v>61</v>
      </c>
      <c r="D964" s="1" t="s">
        <v>62</v>
      </c>
      <c r="E964" s="1" t="s">
        <v>16</v>
      </c>
      <c r="F964" s="1" t="s">
        <v>39</v>
      </c>
      <c r="G964" s="1" t="s">
        <v>18</v>
      </c>
      <c r="H964" s="1">
        <v>8743</v>
      </c>
      <c r="I964" s="1" t="s">
        <v>27</v>
      </c>
      <c r="J964" s="1"/>
      <c r="K964" s="1">
        <v>9000</v>
      </c>
      <c r="L964" s="2">
        <v>45317</v>
      </c>
    </row>
    <row r="965" spans="1:12" x14ac:dyDescent="0.35">
      <c r="A965" s="1" t="s">
        <v>1205</v>
      </c>
      <c r="B965" s="1" t="s">
        <v>157</v>
      </c>
      <c r="C965" s="1" t="s">
        <v>14</v>
      </c>
      <c r="D965" s="1" t="s">
        <v>15</v>
      </c>
      <c r="E965" s="1" t="s">
        <v>46</v>
      </c>
      <c r="F965" s="1" t="s">
        <v>17</v>
      </c>
      <c r="G965" s="1" t="s">
        <v>18</v>
      </c>
      <c r="H965" s="1">
        <v>12340</v>
      </c>
      <c r="I965" s="1" t="s">
        <v>27</v>
      </c>
      <c r="J965" s="1"/>
      <c r="K965" s="1">
        <v>14000</v>
      </c>
      <c r="L965" s="2">
        <v>45340</v>
      </c>
    </row>
    <row r="966" spans="1:12" x14ac:dyDescent="0.35">
      <c r="A966" s="1" t="s">
        <v>1206</v>
      </c>
      <c r="B966" s="1" t="s">
        <v>190</v>
      </c>
      <c r="C966" s="1" t="s">
        <v>61</v>
      </c>
      <c r="D966" s="1" t="s">
        <v>62</v>
      </c>
      <c r="E966" s="1" t="s">
        <v>32</v>
      </c>
      <c r="F966" s="1" t="s">
        <v>25</v>
      </c>
      <c r="G966" s="1" t="s">
        <v>36</v>
      </c>
      <c r="H966" s="1">
        <v>8211</v>
      </c>
      <c r="I966" s="1" t="s">
        <v>19</v>
      </c>
      <c r="J966" s="1">
        <v>0.2</v>
      </c>
      <c r="K966" s="1">
        <v>9000</v>
      </c>
      <c r="L966" s="2">
        <v>45333</v>
      </c>
    </row>
    <row r="967" spans="1:12" x14ac:dyDescent="0.35">
      <c r="A967" s="1" t="s">
        <v>1207</v>
      </c>
      <c r="B967" s="1" t="s">
        <v>43</v>
      </c>
      <c r="C967" s="1" t="s">
        <v>61</v>
      </c>
      <c r="D967" s="1" t="s">
        <v>62</v>
      </c>
      <c r="E967" s="1" t="s">
        <v>16</v>
      </c>
      <c r="F967" s="1" t="s">
        <v>17</v>
      </c>
      <c r="G967" s="1" t="s">
        <v>18</v>
      </c>
      <c r="H967" s="1">
        <v>9880</v>
      </c>
      <c r="I967" s="1"/>
      <c r="J967" s="1"/>
      <c r="K967" s="1">
        <v>9000</v>
      </c>
      <c r="L967" s="2">
        <v>45346</v>
      </c>
    </row>
    <row r="968" spans="1:12" x14ac:dyDescent="0.35">
      <c r="A968" s="1" t="s">
        <v>1208</v>
      </c>
      <c r="B968" s="1" t="s">
        <v>233</v>
      </c>
      <c r="C968" s="1" t="s">
        <v>14</v>
      </c>
      <c r="D968" s="1" t="s">
        <v>15</v>
      </c>
      <c r="E968" s="1" t="s">
        <v>46</v>
      </c>
      <c r="F968" s="1" t="s">
        <v>17</v>
      </c>
      <c r="G968" s="1" t="s">
        <v>18</v>
      </c>
      <c r="H968" s="1">
        <v>15580</v>
      </c>
      <c r="I968" s="1"/>
      <c r="J968" s="1"/>
      <c r="K968" s="1">
        <v>14000</v>
      </c>
      <c r="L968" s="2">
        <v>45303</v>
      </c>
    </row>
    <row r="969" spans="1:12" x14ac:dyDescent="0.35">
      <c r="A969" s="1" t="s">
        <v>1209</v>
      </c>
      <c r="B969" s="1" t="s">
        <v>140</v>
      </c>
      <c r="C969" s="1" t="s">
        <v>30</v>
      </c>
      <c r="D969" s="1" t="s">
        <v>31</v>
      </c>
      <c r="E969" s="1" t="s">
        <v>16</v>
      </c>
      <c r="F969" s="1" t="s">
        <v>17</v>
      </c>
      <c r="G969" s="1" t="s">
        <v>26</v>
      </c>
      <c r="H969" s="1">
        <v>17594</v>
      </c>
      <c r="I969" s="1" t="s">
        <v>22</v>
      </c>
      <c r="J969" s="1">
        <v>0.1</v>
      </c>
      <c r="K969" s="1">
        <v>17000</v>
      </c>
      <c r="L969" s="2">
        <v>45347</v>
      </c>
    </row>
    <row r="970" spans="1:12" x14ac:dyDescent="0.35">
      <c r="A970" s="1" t="s">
        <v>1210</v>
      </c>
      <c r="B970" s="1" t="s">
        <v>13</v>
      </c>
      <c r="C970" s="1" t="s">
        <v>61</v>
      </c>
      <c r="D970" s="1" t="s">
        <v>62</v>
      </c>
      <c r="E970" s="1" t="s">
        <v>16</v>
      </c>
      <c r="F970" s="1" t="s">
        <v>17</v>
      </c>
      <c r="G970" s="1" t="s">
        <v>26</v>
      </c>
      <c r="H970" s="1">
        <v>7133</v>
      </c>
      <c r="I970" s="1" t="s">
        <v>33</v>
      </c>
      <c r="J970" s="1">
        <v>0.3</v>
      </c>
      <c r="K970" s="1">
        <v>9000</v>
      </c>
      <c r="L970" s="2">
        <v>45319</v>
      </c>
    </row>
    <row r="971" spans="1:12" x14ac:dyDescent="0.35">
      <c r="A971" s="1" t="s">
        <v>1211</v>
      </c>
      <c r="B971" s="1" t="s">
        <v>1073</v>
      </c>
      <c r="C971" s="1" t="s">
        <v>44</v>
      </c>
      <c r="D971" s="1" t="s">
        <v>45</v>
      </c>
      <c r="E971" s="1" t="s">
        <v>16</v>
      </c>
      <c r="F971" s="1" t="s">
        <v>25</v>
      </c>
      <c r="G971" s="1" t="s">
        <v>26</v>
      </c>
      <c r="H971" s="1">
        <v>14607</v>
      </c>
      <c r="I971" s="1" t="s">
        <v>33</v>
      </c>
      <c r="J971" s="1">
        <v>0.3</v>
      </c>
      <c r="K971" s="1">
        <v>13000</v>
      </c>
      <c r="L971" s="2">
        <v>45339</v>
      </c>
    </row>
    <row r="972" spans="1:12" x14ac:dyDescent="0.35">
      <c r="A972" s="1" t="s">
        <v>1212</v>
      </c>
      <c r="B972" s="1" t="s">
        <v>987</v>
      </c>
      <c r="C972" s="1" t="s">
        <v>30</v>
      </c>
      <c r="D972" s="1" t="s">
        <v>31</v>
      </c>
      <c r="E972" s="1" t="s">
        <v>32</v>
      </c>
      <c r="F972" s="1" t="s">
        <v>25</v>
      </c>
      <c r="G972" s="1" t="s">
        <v>36</v>
      </c>
      <c r="H972" s="1">
        <v>16497</v>
      </c>
      <c r="I972" s="1"/>
      <c r="J972" s="1"/>
      <c r="K972" s="1">
        <v>17000</v>
      </c>
      <c r="L972" s="2">
        <v>45331</v>
      </c>
    </row>
    <row r="973" spans="1:12" x14ac:dyDescent="0.35">
      <c r="A973" s="1" t="s">
        <v>1213</v>
      </c>
      <c r="B973" s="1" t="s">
        <v>125</v>
      </c>
      <c r="C973" s="1" t="s">
        <v>30</v>
      </c>
      <c r="D973" s="1" t="s">
        <v>31</v>
      </c>
      <c r="E973" s="1" t="s">
        <v>32</v>
      </c>
      <c r="F973" s="1" t="s">
        <v>39</v>
      </c>
      <c r="G973" s="1" t="s">
        <v>26</v>
      </c>
      <c r="H973" s="1">
        <v>17887</v>
      </c>
      <c r="I973" s="1" t="s">
        <v>22</v>
      </c>
      <c r="J973" s="1">
        <v>0.1</v>
      </c>
      <c r="K973" s="1">
        <v>17000</v>
      </c>
      <c r="L973" s="2">
        <v>45327</v>
      </c>
    </row>
    <row r="974" spans="1:12" x14ac:dyDescent="0.35">
      <c r="A974" s="1" t="s">
        <v>1214</v>
      </c>
      <c r="B974" s="1" t="s">
        <v>276</v>
      </c>
      <c r="C974" s="1" t="s">
        <v>44</v>
      </c>
      <c r="D974" s="1" t="s">
        <v>45</v>
      </c>
      <c r="E974" s="1" t="s">
        <v>32</v>
      </c>
      <c r="F974" s="1" t="s">
        <v>17</v>
      </c>
      <c r="G974" s="1" t="s">
        <v>18</v>
      </c>
      <c r="H974" s="1">
        <v>13210</v>
      </c>
      <c r="I974" s="1" t="s">
        <v>22</v>
      </c>
      <c r="J974" s="1">
        <v>0.1</v>
      </c>
      <c r="K974" s="1">
        <v>13000</v>
      </c>
      <c r="L974" s="2">
        <v>45333</v>
      </c>
    </row>
    <row r="975" spans="1:12" x14ac:dyDescent="0.35">
      <c r="A975" s="1" t="s">
        <v>1215</v>
      </c>
      <c r="B975" s="1" t="s">
        <v>483</v>
      </c>
      <c r="C975" s="1" t="s">
        <v>44</v>
      </c>
      <c r="D975" s="1" t="s">
        <v>45</v>
      </c>
      <c r="E975" s="1" t="s">
        <v>16</v>
      </c>
      <c r="F975" s="1" t="s">
        <v>25</v>
      </c>
      <c r="G975" s="1" t="s">
        <v>36</v>
      </c>
      <c r="H975" s="1">
        <v>12444</v>
      </c>
      <c r="I975" s="1" t="s">
        <v>33</v>
      </c>
      <c r="J975" s="1">
        <v>0.3</v>
      </c>
      <c r="K975" s="1">
        <v>13000</v>
      </c>
      <c r="L975" s="2">
        <v>45324</v>
      </c>
    </row>
    <row r="976" spans="1:12" x14ac:dyDescent="0.35">
      <c r="A976" s="1" t="s">
        <v>1216</v>
      </c>
      <c r="B976" s="1" t="s">
        <v>90</v>
      </c>
      <c r="C976" s="1" t="s">
        <v>30</v>
      </c>
      <c r="D976" s="1" t="s">
        <v>31</v>
      </c>
      <c r="E976" s="1" t="s">
        <v>32</v>
      </c>
      <c r="F976" s="1" t="s">
        <v>25</v>
      </c>
      <c r="G976" s="1" t="s">
        <v>36</v>
      </c>
      <c r="H976" s="1">
        <v>16414</v>
      </c>
      <c r="I976" s="1"/>
      <c r="J976" s="1"/>
      <c r="K976" s="1">
        <v>17000</v>
      </c>
      <c r="L976" s="2">
        <v>45323</v>
      </c>
    </row>
    <row r="977" spans="1:12" x14ac:dyDescent="0.35">
      <c r="A977" s="1" t="s">
        <v>1217</v>
      </c>
      <c r="B977" s="1" t="s">
        <v>168</v>
      </c>
      <c r="C977" s="1" t="s">
        <v>14</v>
      </c>
      <c r="D977" s="1" t="s">
        <v>15</v>
      </c>
      <c r="E977" s="1" t="s">
        <v>46</v>
      </c>
      <c r="F977" s="1" t="s">
        <v>39</v>
      </c>
      <c r="G977" s="1" t="s">
        <v>26</v>
      </c>
      <c r="H977" s="1">
        <v>14778</v>
      </c>
      <c r="I977" s="1" t="s">
        <v>27</v>
      </c>
      <c r="J977" s="1"/>
      <c r="K977" s="1">
        <v>14000</v>
      </c>
      <c r="L977" s="2">
        <v>45349</v>
      </c>
    </row>
    <row r="978" spans="1:12" x14ac:dyDescent="0.35">
      <c r="A978" s="1" t="s">
        <v>1218</v>
      </c>
      <c r="B978" s="1" t="s">
        <v>48</v>
      </c>
      <c r="C978" s="1" t="s">
        <v>30</v>
      </c>
      <c r="D978" s="1" t="s">
        <v>31</v>
      </c>
      <c r="E978" s="1" t="s">
        <v>16</v>
      </c>
      <c r="F978" s="1" t="s">
        <v>39</v>
      </c>
      <c r="G978" s="1" t="s">
        <v>18</v>
      </c>
      <c r="H978" s="1">
        <v>15771</v>
      </c>
      <c r="I978" s="1"/>
      <c r="J978" s="1"/>
      <c r="K978" s="1">
        <v>17000</v>
      </c>
      <c r="L978" s="2">
        <v>45297</v>
      </c>
    </row>
    <row r="979" spans="1:12" x14ac:dyDescent="0.35">
      <c r="A979" s="1" t="s">
        <v>1219</v>
      </c>
      <c r="B979" s="1" t="s">
        <v>66</v>
      </c>
      <c r="C979" s="1" t="s">
        <v>44</v>
      </c>
      <c r="D979" s="1" t="s">
        <v>45</v>
      </c>
      <c r="E979" s="1" t="s">
        <v>46</v>
      </c>
      <c r="F979" s="1" t="s">
        <v>25</v>
      </c>
      <c r="G979" s="1" t="s">
        <v>18</v>
      </c>
      <c r="H979" s="1">
        <v>11674</v>
      </c>
      <c r="I979" s="1" t="s">
        <v>33</v>
      </c>
      <c r="J979" s="1">
        <v>0.3</v>
      </c>
      <c r="K979" s="1">
        <v>13000</v>
      </c>
      <c r="L979" s="2">
        <v>45299</v>
      </c>
    </row>
    <row r="980" spans="1:12" x14ac:dyDescent="0.35">
      <c r="A980" s="1" t="s">
        <v>1220</v>
      </c>
      <c r="B980" s="1" t="s">
        <v>153</v>
      </c>
      <c r="C980" s="1" t="s">
        <v>61</v>
      </c>
      <c r="D980" s="1" t="s">
        <v>62</v>
      </c>
      <c r="E980" s="1" t="s">
        <v>32</v>
      </c>
      <c r="F980" s="1" t="s">
        <v>25</v>
      </c>
      <c r="G980" s="1" t="s">
        <v>26</v>
      </c>
      <c r="H980" s="1">
        <v>10899</v>
      </c>
      <c r="I980" s="1" t="s">
        <v>22</v>
      </c>
      <c r="J980" s="1">
        <v>0.1</v>
      </c>
      <c r="K980" s="1">
        <v>9000</v>
      </c>
      <c r="L980" s="2">
        <v>45310</v>
      </c>
    </row>
    <row r="981" spans="1:12" x14ac:dyDescent="0.35">
      <c r="A981" s="1" t="s">
        <v>1221</v>
      </c>
      <c r="B981" s="1" t="s">
        <v>274</v>
      </c>
      <c r="C981" s="1" t="s">
        <v>44</v>
      </c>
      <c r="D981" s="1" t="s">
        <v>45</v>
      </c>
      <c r="E981" s="1" t="s">
        <v>46</v>
      </c>
      <c r="F981" s="1" t="s">
        <v>17</v>
      </c>
      <c r="G981" s="1" t="s">
        <v>36</v>
      </c>
      <c r="H981" s="1">
        <v>12818</v>
      </c>
      <c r="I981" s="1" t="s">
        <v>22</v>
      </c>
      <c r="J981" s="1">
        <v>0.1</v>
      </c>
      <c r="K981" s="1">
        <v>13000</v>
      </c>
      <c r="L981" s="2">
        <v>45310</v>
      </c>
    </row>
    <row r="982" spans="1:12" x14ac:dyDescent="0.35">
      <c r="A982" s="1" t="s">
        <v>1222</v>
      </c>
      <c r="B982" s="1" t="s">
        <v>229</v>
      </c>
      <c r="C982" s="1" t="s">
        <v>14</v>
      </c>
      <c r="D982" s="1" t="s">
        <v>15</v>
      </c>
      <c r="E982" s="1" t="s">
        <v>32</v>
      </c>
      <c r="F982" s="1" t="s">
        <v>39</v>
      </c>
      <c r="G982" s="1" t="s">
        <v>26</v>
      </c>
      <c r="H982" s="1">
        <v>13375</v>
      </c>
      <c r="I982" s="1"/>
      <c r="J982" s="1"/>
      <c r="K982" s="1">
        <v>14000</v>
      </c>
      <c r="L982" s="2">
        <v>45329</v>
      </c>
    </row>
    <row r="983" spans="1:12" x14ac:dyDescent="0.35">
      <c r="A983" s="1" t="s">
        <v>1223</v>
      </c>
      <c r="B983" s="1" t="s">
        <v>150</v>
      </c>
      <c r="C983" s="1" t="s">
        <v>30</v>
      </c>
      <c r="D983" s="1" t="s">
        <v>31</v>
      </c>
      <c r="E983" s="1" t="s">
        <v>46</v>
      </c>
      <c r="F983" s="1" t="s">
        <v>39</v>
      </c>
      <c r="G983" s="1" t="s">
        <v>26</v>
      </c>
      <c r="H983" s="1">
        <v>17854</v>
      </c>
      <c r="I983" s="1" t="s">
        <v>27</v>
      </c>
      <c r="J983" s="1"/>
      <c r="K983" s="1">
        <v>17000</v>
      </c>
      <c r="L983" s="2">
        <v>45345</v>
      </c>
    </row>
    <row r="984" spans="1:12" x14ac:dyDescent="0.35">
      <c r="A984" s="1" t="s">
        <v>1224</v>
      </c>
      <c r="B984" s="1" t="s">
        <v>544</v>
      </c>
      <c r="C984" s="1" t="s">
        <v>61</v>
      </c>
      <c r="D984" s="1" t="s">
        <v>62</v>
      </c>
      <c r="E984" s="1" t="s">
        <v>46</v>
      </c>
      <c r="F984" s="1" t="s">
        <v>39</v>
      </c>
      <c r="G984" s="1" t="s">
        <v>18</v>
      </c>
      <c r="H984" s="1">
        <v>10679</v>
      </c>
      <c r="I984" s="1" t="s">
        <v>33</v>
      </c>
      <c r="J984" s="1">
        <v>0.3</v>
      </c>
      <c r="K984" s="1">
        <v>9000</v>
      </c>
      <c r="L984" s="2">
        <v>45302</v>
      </c>
    </row>
    <row r="985" spans="1:12" x14ac:dyDescent="0.35">
      <c r="A985" s="1" t="s">
        <v>1225</v>
      </c>
      <c r="B985" s="1" t="s">
        <v>1073</v>
      </c>
      <c r="C985" s="1" t="s">
        <v>44</v>
      </c>
      <c r="D985" s="1" t="s">
        <v>45</v>
      </c>
      <c r="E985" s="1" t="s">
        <v>46</v>
      </c>
      <c r="F985" s="1" t="s">
        <v>17</v>
      </c>
      <c r="G985" s="1" t="s">
        <v>36</v>
      </c>
      <c r="H985" s="1">
        <v>14152</v>
      </c>
      <c r="I985" s="1" t="s">
        <v>22</v>
      </c>
      <c r="J985" s="1">
        <v>0.1</v>
      </c>
      <c r="K985" s="1">
        <v>13000</v>
      </c>
      <c r="L985" s="2">
        <v>45301</v>
      </c>
    </row>
    <row r="986" spans="1:12" x14ac:dyDescent="0.35">
      <c r="A986" s="1" t="s">
        <v>1226</v>
      </c>
      <c r="B986" s="1" t="s">
        <v>1105</v>
      </c>
      <c r="C986" s="1" t="s">
        <v>61</v>
      </c>
      <c r="D986" s="1" t="s">
        <v>62</v>
      </c>
      <c r="E986" s="1" t="s">
        <v>32</v>
      </c>
      <c r="F986" s="1" t="s">
        <v>39</v>
      </c>
      <c r="G986" s="1" t="s">
        <v>18</v>
      </c>
      <c r="H986" s="1">
        <v>9915</v>
      </c>
      <c r="I986" s="1" t="s">
        <v>27</v>
      </c>
      <c r="J986" s="1"/>
      <c r="K986" s="1">
        <v>9000</v>
      </c>
      <c r="L986" s="2">
        <v>45310</v>
      </c>
    </row>
    <row r="987" spans="1:12" x14ac:dyDescent="0.35">
      <c r="A987" s="1" t="s">
        <v>1227</v>
      </c>
      <c r="B987" s="1" t="s">
        <v>175</v>
      </c>
      <c r="C987" s="1" t="s">
        <v>44</v>
      </c>
      <c r="D987" s="1" t="s">
        <v>45</v>
      </c>
      <c r="E987" s="1" t="s">
        <v>32</v>
      </c>
      <c r="F987" s="1" t="s">
        <v>25</v>
      </c>
      <c r="G987" s="1" t="s">
        <v>18</v>
      </c>
      <c r="H987" s="1">
        <v>11168</v>
      </c>
      <c r="I987" s="1" t="s">
        <v>33</v>
      </c>
      <c r="J987" s="1">
        <v>0.3</v>
      </c>
      <c r="K987" s="1">
        <v>13000</v>
      </c>
      <c r="L987" s="2">
        <v>45328</v>
      </c>
    </row>
    <row r="988" spans="1:12" x14ac:dyDescent="0.35">
      <c r="A988" s="1" t="s">
        <v>1228</v>
      </c>
      <c r="B988" s="1" t="s">
        <v>429</v>
      </c>
      <c r="C988" s="1" t="s">
        <v>30</v>
      </c>
      <c r="D988" s="1" t="s">
        <v>31</v>
      </c>
      <c r="E988" s="1" t="s">
        <v>46</v>
      </c>
      <c r="F988" s="1" t="s">
        <v>25</v>
      </c>
      <c r="G988" s="1" t="s">
        <v>18</v>
      </c>
      <c r="H988" s="1">
        <v>17303</v>
      </c>
      <c r="I988" s="1" t="s">
        <v>22</v>
      </c>
      <c r="J988" s="1">
        <v>0.1</v>
      </c>
      <c r="K988" s="1">
        <v>17000</v>
      </c>
      <c r="L988" s="2">
        <v>45334</v>
      </c>
    </row>
    <row r="989" spans="1:12" x14ac:dyDescent="0.35">
      <c r="A989" s="1" t="s">
        <v>1229</v>
      </c>
      <c r="B989" s="1" t="s">
        <v>282</v>
      </c>
      <c r="C989" s="1" t="s">
        <v>44</v>
      </c>
      <c r="D989" s="1" t="s">
        <v>45</v>
      </c>
      <c r="E989" s="1" t="s">
        <v>46</v>
      </c>
      <c r="F989" s="1" t="s">
        <v>17</v>
      </c>
      <c r="G989" s="1" t="s">
        <v>26</v>
      </c>
      <c r="H989" s="1">
        <v>14995</v>
      </c>
      <c r="I989" s="1" t="s">
        <v>19</v>
      </c>
      <c r="J989" s="1">
        <v>0.2</v>
      </c>
      <c r="K989" s="1">
        <v>13000</v>
      </c>
      <c r="L989" s="2">
        <v>45326</v>
      </c>
    </row>
    <row r="990" spans="1:12" x14ac:dyDescent="0.35">
      <c r="A990" s="1" t="s">
        <v>1230</v>
      </c>
      <c r="B990" s="1" t="s">
        <v>222</v>
      </c>
      <c r="C990" s="1" t="s">
        <v>14</v>
      </c>
      <c r="D990" s="1" t="s">
        <v>15</v>
      </c>
      <c r="E990" s="1" t="s">
        <v>46</v>
      </c>
      <c r="F990" s="1" t="s">
        <v>17</v>
      </c>
      <c r="G990" s="1" t="s">
        <v>18</v>
      </c>
      <c r="H990" s="1">
        <v>15882</v>
      </c>
      <c r="I990" s="1"/>
      <c r="J990" s="1"/>
      <c r="K990" s="1">
        <v>14000</v>
      </c>
      <c r="L990" s="2">
        <v>45351</v>
      </c>
    </row>
    <row r="991" spans="1:12" x14ac:dyDescent="0.35">
      <c r="A991" s="1" t="s">
        <v>1231</v>
      </c>
      <c r="B991" s="1" t="s">
        <v>728</v>
      </c>
      <c r="C991" s="1" t="s">
        <v>14</v>
      </c>
      <c r="D991" s="1" t="s">
        <v>15</v>
      </c>
      <c r="E991" s="1" t="s">
        <v>16</v>
      </c>
      <c r="F991" s="1" t="s">
        <v>39</v>
      </c>
      <c r="G991" s="1" t="s">
        <v>26</v>
      </c>
      <c r="H991" s="1">
        <v>13356</v>
      </c>
      <c r="I991" s="1" t="s">
        <v>33</v>
      </c>
      <c r="J991" s="1">
        <v>0.3</v>
      </c>
      <c r="K991" s="1">
        <v>14000</v>
      </c>
      <c r="L991" s="2">
        <v>45322</v>
      </c>
    </row>
    <row r="992" spans="1:12" x14ac:dyDescent="0.35">
      <c r="A992" s="1" t="s">
        <v>1232</v>
      </c>
      <c r="B992" s="1" t="s">
        <v>111</v>
      </c>
      <c r="C992" s="1" t="s">
        <v>44</v>
      </c>
      <c r="D992" s="1" t="s">
        <v>45</v>
      </c>
      <c r="E992" s="1" t="s">
        <v>16</v>
      </c>
      <c r="F992" s="1" t="s">
        <v>39</v>
      </c>
      <c r="G992" s="1" t="s">
        <v>36</v>
      </c>
      <c r="H992" s="1">
        <v>12387</v>
      </c>
      <c r="I992" s="1" t="s">
        <v>22</v>
      </c>
      <c r="J992" s="1">
        <v>0.1</v>
      </c>
      <c r="K992" s="1">
        <v>13000</v>
      </c>
      <c r="L992" s="2">
        <v>45338</v>
      </c>
    </row>
    <row r="993" spans="1:12" x14ac:dyDescent="0.35">
      <c r="A993" s="1" t="s">
        <v>1233</v>
      </c>
      <c r="B993" s="1" t="s">
        <v>711</v>
      </c>
      <c r="C993" s="1" t="s">
        <v>44</v>
      </c>
      <c r="D993" s="1" t="s">
        <v>45</v>
      </c>
      <c r="E993" s="1" t="s">
        <v>16</v>
      </c>
      <c r="F993" s="1" t="s">
        <v>39</v>
      </c>
      <c r="G993" s="1" t="s">
        <v>18</v>
      </c>
      <c r="H993" s="1">
        <v>12261</v>
      </c>
      <c r="I993" s="1" t="s">
        <v>22</v>
      </c>
      <c r="J993" s="1">
        <v>0.1</v>
      </c>
      <c r="K993" s="1">
        <v>13000</v>
      </c>
      <c r="L993" s="2">
        <v>45317</v>
      </c>
    </row>
    <row r="994" spans="1:12" x14ac:dyDescent="0.35">
      <c r="A994" s="1" t="s">
        <v>1234</v>
      </c>
      <c r="B994" s="1" t="s">
        <v>837</v>
      </c>
      <c r="C994" s="1" t="s">
        <v>44</v>
      </c>
      <c r="D994" s="1" t="s">
        <v>45</v>
      </c>
      <c r="E994" s="1" t="s">
        <v>46</v>
      </c>
      <c r="F994" s="1" t="s">
        <v>17</v>
      </c>
      <c r="G994" s="1" t="s">
        <v>18</v>
      </c>
      <c r="H994" s="1">
        <v>12336</v>
      </c>
      <c r="I994" s="1" t="s">
        <v>22</v>
      </c>
      <c r="J994" s="1">
        <v>0.1</v>
      </c>
      <c r="K994" s="1">
        <v>13000</v>
      </c>
      <c r="L994" s="2">
        <v>45330</v>
      </c>
    </row>
    <row r="995" spans="1:12" x14ac:dyDescent="0.35">
      <c r="A995" s="1" t="s">
        <v>1235</v>
      </c>
      <c r="B995" s="1" t="s">
        <v>239</v>
      </c>
      <c r="C995" s="1" t="s">
        <v>44</v>
      </c>
      <c r="D995" s="1" t="s">
        <v>45</v>
      </c>
      <c r="E995" s="1" t="s">
        <v>46</v>
      </c>
      <c r="F995" s="1" t="s">
        <v>25</v>
      </c>
      <c r="G995" s="1" t="s">
        <v>18</v>
      </c>
      <c r="H995" s="1">
        <v>11342</v>
      </c>
      <c r="I995" s="1" t="s">
        <v>27</v>
      </c>
      <c r="J995" s="1"/>
      <c r="K995" s="1">
        <v>13000</v>
      </c>
      <c r="L995" s="2">
        <v>45346</v>
      </c>
    </row>
    <row r="996" spans="1:12" x14ac:dyDescent="0.35">
      <c r="A996" s="1" t="s">
        <v>1236</v>
      </c>
      <c r="B996" s="1" t="s">
        <v>332</v>
      </c>
      <c r="C996" s="1" t="s">
        <v>14</v>
      </c>
      <c r="D996" s="1" t="s">
        <v>15</v>
      </c>
      <c r="E996" s="1" t="s">
        <v>16</v>
      </c>
      <c r="F996" s="1" t="s">
        <v>17</v>
      </c>
      <c r="G996" s="1" t="s">
        <v>18</v>
      </c>
      <c r="H996" s="1">
        <v>14008</v>
      </c>
      <c r="I996" s="1" t="s">
        <v>33</v>
      </c>
      <c r="J996" s="1">
        <v>0.3</v>
      </c>
      <c r="K996" s="1">
        <v>14000</v>
      </c>
      <c r="L996" s="2">
        <v>45330</v>
      </c>
    </row>
    <row r="997" spans="1:12" x14ac:dyDescent="0.35">
      <c r="A997" s="1" t="s">
        <v>1237</v>
      </c>
      <c r="B997" s="1" t="s">
        <v>86</v>
      </c>
      <c r="C997" s="1" t="s">
        <v>14</v>
      </c>
      <c r="D997" s="1" t="s">
        <v>15</v>
      </c>
      <c r="E997" s="1" t="s">
        <v>16</v>
      </c>
      <c r="F997" s="1" t="s">
        <v>17</v>
      </c>
      <c r="G997" s="1" t="s">
        <v>36</v>
      </c>
      <c r="H997" s="1">
        <v>12605</v>
      </c>
      <c r="I997" s="1"/>
      <c r="J997" s="1"/>
      <c r="K997" s="1">
        <v>14000</v>
      </c>
      <c r="L997" s="2">
        <v>45315</v>
      </c>
    </row>
    <row r="998" spans="1:12" x14ac:dyDescent="0.35">
      <c r="A998" s="1" t="s">
        <v>1238</v>
      </c>
      <c r="B998" s="1" t="s">
        <v>474</v>
      </c>
      <c r="C998" s="1" t="s">
        <v>14</v>
      </c>
      <c r="D998" s="1" t="s">
        <v>15</v>
      </c>
      <c r="E998" s="1" t="s">
        <v>46</v>
      </c>
      <c r="F998" s="1" t="s">
        <v>17</v>
      </c>
      <c r="G998" s="1" t="s">
        <v>36</v>
      </c>
      <c r="H998" s="1">
        <v>13261</v>
      </c>
      <c r="I998" s="1"/>
      <c r="J998" s="1"/>
      <c r="K998" s="1">
        <v>14000</v>
      </c>
      <c r="L998" s="2">
        <v>45347</v>
      </c>
    </row>
    <row r="999" spans="1:12" x14ac:dyDescent="0.35">
      <c r="A999" s="1" t="s">
        <v>1239</v>
      </c>
      <c r="B999" s="1" t="s">
        <v>905</v>
      </c>
      <c r="C999" s="1" t="s">
        <v>44</v>
      </c>
      <c r="D999" s="1" t="s">
        <v>45</v>
      </c>
      <c r="E999" s="1" t="s">
        <v>16</v>
      </c>
      <c r="F999" s="1" t="s">
        <v>17</v>
      </c>
      <c r="G999" s="1" t="s">
        <v>26</v>
      </c>
      <c r="H999" s="1">
        <v>12702</v>
      </c>
      <c r="I999" s="1"/>
      <c r="J999" s="1"/>
      <c r="K999" s="1">
        <v>13000</v>
      </c>
      <c r="L999" s="2">
        <v>45310</v>
      </c>
    </row>
    <row r="1000" spans="1:12" x14ac:dyDescent="0.35">
      <c r="A1000" s="1" t="s">
        <v>1240</v>
      </c>
      <c r="B1000" s="1" t="s">
        <v>135</v>
      </c>
      <c r="C1000" s="1" t="s">
        <v>61</v>
      </c>
      <c r="D1000" s="1" t="s">
        <v>62</v>
      </c>
      <c r="E1000" s="1" t="s">
        <v>16</v>
      </c>
      <c r="F1000" s="1" t="s">
        <v>17</v>
      </c>
      <c r="G1000" s="1" t="s">
        <v>18</v>
      </c>
      <c r="H1000" s="1">
        <v>10422</v>
      </c>
      <c r="I1000" s="1" t="s">
        <v>27</v>
      </c>
      <c r="J1000" s="1"/>
      <c r="K1000" s="1">
        <v>9000</v>
      </c>
      <c r="L1000" s="2">
        <v>45330</v>
      </c>
    </row>
    <row r="1001" spans="1:12"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4769-0899-4A27-80EF-13FE18646564}">
  <dimension ref="A1:R1001"/>
  <sheetViews>
    <sheetView topLeftCell="A980" workbookViewId="0">
      <selection activeCell="B985" sqref="B985"/>
    </sheetView>
  </sheetViews>
  <sheetFormatPr defaultRowHeight="14.5" x14ac:dyDescent="0.35"/>
  <cols>
    <col min="1" max="1" width="11.26953125" customWidth="1"/>
    <col min="2" max="2" width="14.36328125" customWidth="1"/>
    <col min="3" max="3" width="10.54296875" customWidth="1"/>
    <col min="4" max="4" width="13.6328125" customWidth="1"/>
    <col min="5" max="5" width="9.453125" customWidth="1"/>
    <col min="6" max="6" width="13.54296875" customWidth="1"/>
    <col min="7" max="7" width="10" customWidth="1"/>
    <col min="8" max="8" width="16.7265625" customWidth="1"/>
    <col min="9" max="9" width="14.7265625" customWidth="1"/>
    <col min="10" max="10" width="16.81640625" customWidth="1"/>
    <col min="11" max="11" width="15.1796875" customWidth="1"/>
    <col min="12" max="12" width="14.08984375" customWidth="1"/>
    <col min="14" max="14" width="21.1796875" bestFit="1" customWidth="1"/>
    <col min="15" max="17" width="7.81640625" bestFit="1" customWidth="1"/>
    <col min="18" max="18" width="10.36328125" bestFit="1" customWidth="1"/>
    <col min="19" max="20" width="7.81640625" bestFit="1" customWidth="1"/>
    <col min="21" max="21" width="10.36328125" bestFit="1"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row>
    <row r="2" spans="1:18" x14ac:dyDescent="0.35">
      <c r="A2" s="1" t="s">
        <v>12</v>
      </c>
      <c r="B2" s="1" t="s">
        <v>13</v>
      </c>
      <c r="C2" s="1" t="s">
        <v>14</v>
      </c>
      <c r="D2" s="1" t="s">
        <v>15</v>
      </c>
      <c r="E2" s="1" t="s">
        <v>16</v>
      </c>
      <c r="F2" s="1" t="s">
        <v>17</v>
      </c>
      <c r="G2" s="1" t="s">
        <v>18</v>
      </c>
      <c r="H2" s="1">
        <v>12914</v>
      </c>
      <c r="I2" s="1" t="s">
        <v>19</v>
      </c>
      <c r="J2" s="1">
        <v>0.2</v>
      </c>
      <c r="K2" s="1">
        <v>14000</v>
      </c>
      <c r="L2" s="2">
        <v>45339</v>
      </c>
      <c r="N2" s="23" t="s">
        <v>1259</v>
      </c>
      <c r="O2" s="5"/>
      <c r="P2" s="5"/>
      <c r="Q2" s="5"/>
      <c r="R2" s="5"/>
    </row>
    <row r="3" spans="1:18" x14ac:dyDescent="0.35">
      <c r="A3" s="1" t="s">
        <v>20</v>
      </c>
      <c r="B3" s="1" t="s">
        <v>21</v>
      </c>
      <c r="C3" s="1" t="s">
        <v>14</v>
      </c>
      <c r="D3" s="1" t="s">
        <v>15</v>
      </c>
      <c r="E3" s="1" t="s">
        <v>16</v>
      </c>
      <c r="F3" s="1" t="s">
        <v>17</v>
      </c>
      <c r="G3" s="1" t="s">
        <v>18</v>
      </c>
      <c r="H3" s="1">
        <v>12122</v>
      </c>
      <c r="I3" s="1" t="s">
        <v>22</v>
      </c>
      <c r="J3" s="1">
        <v>0.1</v>
      </c>
      <c r="K3" s="1">
        <v>14000</v>
      </c>
      <c r="L3" s="2">
        <v>45305</v>
      </c>
      <c r="N3" s="5"/>
      <c r="O3" s="5" t="s">
        <v>36</v>
      </c>
      <c r="P3" s="5" t="s">
        <v>26</v>
      </c>
      <c r="Q3" s="5" t="s">
        <v>18</v>
      </c>
      <c r="R3" s="5" t="s">
        <v>1258</v>
      </c>
    </row>
    <row r="4" spans="1:18" x14ac:dyDescent="0.35">
      <c r="A4" s="1" t="s">
        <v>23</v>
      </c>
      <c r="B4" s="1" t="s">
        <v>24</v>
      </c>
      <c r="C4" s="1" t="s">
        <v>14</v>
      </c>
      <c r="D4" s="1" t="s">
        <v>15</v>
      </c>
      <c r="E4" s="1" t="s">
        <v>16</v>
      </c>
      <c r="F4" s="1" t="s">
        <v>25</v>
      </c>
      <c r="G4" s="1" t="s">
        <v>26</v>
      </c>
      <c r="H4" s="1">
        <v>14661</v>
      </c>
      <c r="I4" s="1" t="s">
        <v>27</v>
      </c>
      <c r="J4" s="1"/>
      <c r="K4" s="1">
        <v>14000</v>
      </c>
      <c r="L4" s="2">
        <v>45318</v>
      </c>
      <c r="N4" s="24" t="s">
        <v>15</v>
      </c>
      <c r="O4" s="25">
        <v>1119871</v>
      </c>
      <c r="P4" s="25">
        <v>1458981</v>
      </c>
      <c r="Q4" s="25">
        <v>928879</v>
      </c>
      <c r="R4" s="25">
        <v>3507731</v>
      </c>
    </row>
    <row r="5" spans="1:18" x14ac:dyDescent="0.35">
      <c r="A5" s="1" t="s">
        <v>28</v>
      </c>
      <c r="B5" s="1" t="s">
        <v>29</v>
      </c>
      <c r="C5" s="1" t="s">
        <v>30</v>
      </c>
      <c r="D5" s="1" t="s">
        <v>31</v>
      </c>
      <c r="E5" s="1" t="s">
        <v>32</v>
      </c>
      <c r="F5" s="1" t="s">
        <v>25</v>
      </c>
      <c r="G5" s="1" t="s">
        <v>26</v>
      </c>
      <c r="H5" s="1">
        <v>16731</v>
      </c>
      <c r="I5" s="1" t="s">
        <v>33</v>
      </c>
      <c r="J5" s="1">
        <v>0.3</v>
      </c>
      <c r="K5" s="1">
        <v>17000</v>
      </c>
      <c r="L5" s="2">
        <v>45309</v>
      </c>
      <c r="N5" s="24" t="s">
        <v>45</v>
      </c>
      <c r="O5" s="25">
        <v>1167543</v>
      </c>
      <c r="P5" s="25">
        <v>921127</v>
      </c>
      <c r="Q5" s="25">
        <v>1067078</v>
      </c>
      <c r="R5" s="25">
        <v>3155748</v>
      </c>
    </row>
    <row r="6" spans="1:18" x14ac:dyDescent="0.35">
      <c r="A6" s="1" t="s">
        <v>34</v>
      </c>
      <c r="B6" s="1" t="s">
        <v>35</v>
      </c>
      <c r="C6" s="1" t="s">
        <v>30</v>
      </c>
      <c r="D6" s="1" t="s">
        <v>31</v>
      </c>
      <c r="E6" s="1" t="s">
        <v>32</v>
      </c>
      <c r="F6" s="1" t="s">
        <v>25</v>
      </c>
      <c r="G6" s="1" t="s">
        <v>36</v>
      </c>
      <c r="H6" s="1">
        <v>15396</v>
      </c>
      <c r="I6" s="1" t="s">
        <v>33</v>
      </c>
      <c r="J6" s="1">
        <v>0.3</v>
      </c>
      <c r="K6" s="1">
        <v>17000</v>
      </c>
      <c r="L6" s="2">
        <v>45346</v>
      </c>
      <c r="N6" s="24" t="s">
        <v>31</v>
      </c>
      <c r="O6" s="25">
        <v>1348435</v>
      </c>
      <c r="P6" s="25">
        <v>1729206</v>
      </c>
      <c r="Q6" s="25">
        <v>1462566</v>
      </c>
      <c r="R6" s="25">
        <v>4540207</v>
      </c>
    </row>
    <row r="7" spans="1:18" x14ac:dyDescent="0.35">
      <c r="A7" s="1" t="s">
        <v>37</v>
      </c>
      <c r="B7" s="1" t="s">
        <v>38</v>
      </c>
      <c r="C7" s="1" t="s">
        <v>30</v>
      </c>
      <c r="D7" s="1" t="s">
        <v>31</v>
      </c>
      <c r="E7" s="1" t="s">
        <v>32</v>
      </c>
      <c r="F7" s="1" t="s">
        <v>39</v>
      </c>
      <c r="G7" s="1" t="s">
        <v>36</v>
      </c>
      <c r="H7" s="1">
        <v>17196</v>
      </c>
      <c r="I7" s="1" t="s">
        <v>22</v>
      </c>
      <c r="J7" s="1">
        <v>0.1</v>
      </c>
      <c r="K7" s="1">
        <v>17000</v>
      </c>
      <c r="L7" s="2">
        <v>45351</v>
      </c>
      <c r="N7" s="24" t="s">
        <v>62</v>
      </c>
      <c r="O7" s="25">
        <v>660619</v>
      </c>
      <c r="P7" s="25">
        <v>792176</v>
      </c>
      <c r="Q7" s="25">
        <v>738812</v>
      </c>
      <c r="R7" s="25">
        <v>2191607</v>
      </c>
    </row>
    <row r="8" spans="1:18" x14ac:dyDescent="0.35">
      <c r="A8" s="1" t="s">
        <v>40</v>
      </c>
      <c r="B8" s="1" t="s">
        <v>41</v>
      </c>
      <c r="C8" s="1" t="s">
        <v>30</v>
      </c>
      <c r="D8" s="1" t="s">
        <v>31</v>
      </c>
      <c r="E8" s="1" t="s">
        <v>16</v>
      </c>
      <c r="F8" s="1" t="s">
        <v>39</v>
      </c>
      <c r="G8" s="1" t="s">
        <v>36</v>
      </c>
      <c r="H8" s="1">
        <v>17364</v>
      </c>
      <c r="I8" s="1" t="s">
        <v>19</v>
      </c>
      <c r="J8" s="1">
        <v>0.2</v>
      </c>
      <c r="K8" s="1">
        <v>17000</v>
      </c>
      <c r="L8" s="2">
        <v>45337</v>
      </c>
      <c r="N8" s="24" t="s">
        <v>1258</v>
      </c>
      <c r="O8" s="25">
        <v>4296468</v>
      </c>
      <c r="P8" s="25">
        <v>4901490</v>
      </c>
      <c r="Q8" s="25">
        <v>4197335</v>
      </c>
      <c r="R8" s="25">
        <v>13395293</v>
      </c>
    </row>
    <row r="9" spans="1:18" x14ac:dyDescent="0.35">
      <c r="A9" s="1" t="s">
        <v>42</v>
      </c>
      <c r="B9" s="1" t="s">
        <v>43</v>
      </c>
      <c r="C9" s="1" t="s">
        <v>44</v>
      </c>
      <c r="D9" s="1" t="s">
        <v>45</v>
      </c>
      <c r="E9" s="1" t="s">
        <v>46</v>
      </c>
      <c r="F9" s="1" t="s">
        <v>25</v>
      </c>
      <c r="G9" s="1" t="s">
        <v>18</v>
      </c>
      <c r="H9" s="1">
        <v>14549</v>
      </c>
      <c r="I9" s="1" t="s">
        <v>22</v>
      </c>
      <c r="J9" s="1">
        <v>0.1</v>
      </c>
      <c r="K9" s="1">
        <v>13000</v>
      </c>
      <c r="L9" s="2">
        <v>45316</v>
      </c>
    </row>
    <row r="10" spans="1:18" x14ac:dyDescent="0.35">
      <c r="A10" s="1" t="s">
        <v>47</v>
      </c>
      <c r="B10" s="1" t="s">
        <v>48</v>
      </c>
      <c r="C10" s="1" t="s">
        <v>30</v>
      </c>
      <c r="D10" s="1" t="s">
        <v>31</v>
      </c>
      <c r="E10" s="1" t="s">
        <v>32</v>
      </c>
      <c r="F10" s="1" t="s">
        <v>17</v>
      </c>
      <c r="G10" s="1" t="s">
        <v>36</v>
      </c>
      <c r="H10" s="1">
        <v>15858</v>
      </c>
      <c r="I10" s="1" t="s">
        <v>33</v>
      </c>
      <c r="J10" s="1">
        <v>0.3</v>
      </c>
      <c r="K10" s="1">
        <v>17000</v>
      </c>
      <c r="L10" s="2">
        <v>45336</v>
      </c>
    </row>
    <row r="11" spans="1:18" x14ac:dyDescent="0.35">
      <c r="A11" s="1" t="s">
        <v>49</v>
      </c>
      <c r="B11" s="1" t="s">
        <v>50</v>
      </c>
      <c r="C11" s="1" t="s">
        <v>14</v>
      </c>
      <c r="D11" s="1" t="s">
        <v>15</v>
      </c>
      <c r="E11" s="1" t="s">
        <v>16</v>
      </c>
      <c r="F11" s="1" t="s">
        <v>39</v>
      </c>
      <c r="G11" s="1" t="s">
        <v>18</v>
      </c>
      <c r="H11" s="1">
        <v>14187</v>
      </c>
      <c r="I11" s="1" t="s">
        <v>19</v>
      </c>
      <c r="J11" s="1">
        <v>0.2</v>
      </c>
      <c r="K11" s="1">
        <v>14000</v>
      </c>
      <c r="L11" s="2">
        <v>45302</v>
      </c>
    </row>
    <row r="12" spans="1:18" x14ac:dyDescent="0.35">
      <c r="A12" s="1" t="s">
        <v>51</v>
      </c>
      <c r="B12" s="1" t="s">
        <v>52</v>
      </c>
      <c r="C12" s="1" t="s">
        <v>30</v>
      </c>
      <c r="D12" s="1" t="s">
        <v>31</v>
      </c>
      <c r="E12" s="1" t="s">
        <v>16</v>
      </c>
      <c r="F12" s="1" t="s">
        <v>39</v>
      </c>
      <c r="G12" s="1" t="s">
        <v>26</v>
      </c>
      <c r="H12" s="1">
        <v>15899</v>
      </c>
      <c r="I12" s="1" t="s">
        <v>33</v>
      </c>
      <c r="J12" s="1">
        <v>0.3</v>
      </c>
      <c r="K12" s="1">
        <v>17000</v>
      </c>
      <c r="L12" s="2">
        <v>45345</v>
      </c>
    </row>
    <row r="13" spans="1:18" x14ac:dyDescent="0.35">
      <c r="A13" s="1" t="s">
        <v>53</v>
      </c>
      <c r="B13" s="1" t="s">
        <v>54</v>
      </c>
      <c r="C13" s="1" t="s">
        <v>14</v>
      </c>
      <c r="D13" s="1" t="s">
        <v>15</v>
      </c>
      <c r="E13" s="1" t="s">
        <v>32</v>
      </c>
      <c r="F13" s="1" t="s">
        <v>25</v>
      </c>
      <c r="G13" s="1" t="s">
        <v>36</v>
      </c>
      <c r="H13" s="1">
        <v>13643</v>
      </c>
      <c r="I13" s="1" t="s">
        <v>33</v>
      </c>
      <c r="J13" s="1">
        <v>0.3</v>
      </c>
      <c r="K13" s="1">
        <v>14000</v>
      </c>
      <c r="L13" s="2">
        <v>45296</v>
      </c>
    </row>
    <row r="14" spans="1:18" x14ac:dyDescent="0.35">
      <c r="A14" s="1" t="s">
        <v>55</v>
      </c>
      <c r="B14" s="1" t="s">
        <v>56</v>
      </c>
      <c r="C14" s="1" t="s">
        <v>30</v>
      </c>
      <c r="D14" s="1" t="s">
        <v>31</v>
      </c>
      <c r="E14" s="1" t="s">
        <v>32</v>
      </c>
      <c r="F14" s="1" t="s">
        <v>39</v>
      </c>
      <c r="G14" s="1" t="s">
        <v>36</v>
      </c>
      <c r="H14" s="1">
        <v>16620</v>
      </c>
      <c r="I14" s="1"/>
      <c r="J14" s="1"/>
      <c r="K14" s="1">
        <v>17000</v>
      </c>
      <c r="L14" s="2">
        <v>45301</v>
      </c>
    </row>
    <row r="15" spans="1:18" x14ac:dyDescent="0.35">
      <c r="A15" s="1" t="s">
        <v>57</v>
      </c>
      <c r="B15" s="1" t="s">
        <v>58</v>
      </c>
      <c r="C15" s="1" t="s">
        <v>44</v>
      </c>
      <c r="D15" s="1" t="s">
        <v>45</v>
      </c>
      <c r="E15" s="1" t="s">
        <v>16</v>
      </c>
      <c r="F15" s="1" t="s">
        <v>39</v>
      </c>
      <c r="G15" s="1" t="s">
        <v>26</v>
      </c>
      <c r="H15" s="1">
        <v>12076</v>
      </c>
      <c r="I15" s="1" t="s">
        <v>27</v>
      </c>
      <c r="J15" s="1"/>
      <c r="K15" s="1">
        <v>13000</v>
      </c>
      <c r="L15" s="2">
        <v>45319</v>
      </c>
    </row>
    <row r="16" spans="1:18" x14ac:dyDescent="0.35">
      <c r="A16" s="1" t="s">
        <v>59</v>
      </c>
      <c r="B16" s="1" t="s">
        <v>60</v>
      </c>
      <c r="C16" s="1" t="s">
        <v>61</v>
      </c>
      <c r="D16" s="1" t="s">
        <v>62</v>
      </c>
      <c r="E16" s="1" t="s">
        <v>46</v>
      </c>
      <c r="F16" s="1" t="s">
        <v>25</v>
      </c>
      <c r="G16" s="1" t="s">
        <v>18</v>
      </c>
      <c r="H16" s="1">
        <v>9087</v>
      </c>
      <c r="I16" s="1"/>
      <c r="J16" s="1"/>
      <c r="K16" s="1">
        <v>9000</v>
      </c>
      <c r="L16" s="2">
        <v>45297</v>
      </c>
    </row>
    <row r="17" spans="1:12" x14ac:dyDescent="0.35">
      <c r="A17" s="1" t="s">
        <v>63</v>
      </c>
      <c r="B17" s="1" t="s">
        <v>64</v>
      </c>
      <c r="C17" s="1" t="s">
        <v>14</v>
      </c>
      <c r="D17" s="1" t="s">
        <v>15</v>
      </c>
      <c r="E17" s="1" t="s">
        <v>32</v>
      </c>
      <c r="F17" s="1" t="s">
        <v>39</v>
      </c>
      <c r="G17" s="1" t="s">
        <v>18</v>
      </c>
      <c r="H17" s="1">
        <v>15244</v>
      </c>
      <c r="I17" s="1"/>
      <c r="J17" s="1"/>
      <c r="K17" s="1">
        <v>14000</v>
      </c>
      <c r="L17" s="2">
        <v>45330</v>
      </c>
    </row>
    <row r="18" spans="1:12" x14ac:dyDescent="0.35">
      <c r="A18" s="1" t="s">
        <v>65</v>
      </c>
      <c r="B18" s="1" t="s">
        <v>66</v>
      </c>
      <c r="C18" s="1" t="s">
        <v>61</v>
      </c>
      <c r="D18" s="1" t="s">
        <v>62</v>
      </c>
      <c r="E18" s="1" t="s">
        <v>16</v>
      </c>
      <c r="F18" s="1" t="s">
        <v>17</v>
      </c>
      <c r="G18" s="1" t="s">
        <v>26</v>
      </c>
      <c r="H18" s="1">
        <v>8029</v>
      </c>
      <c r="I18" s="1" t="s">
        <v>27</v>
      </c>
      <c r="J18" s="1"/>
      <c r="K18" s="1">
        <v>9000</v>
      </c>
      <c r="L18" s="2">
        <v>45347</v>
      </c>
    </row>
    <row r="19" spans="1:12" x14ac:dyDescent="0.35">
      <c r="A19" s="1" t="s">
        <v>67</v>
      </c>
      <c r="B19" s="1" t="s">
        <v>68</v>
      </c>
      <c r="C19" s="1" t="s">
        <v>14</v>
      </c>
      <c r="D19" s="1" t="s">
        <v>15</v>
      </c>
      <c r="E19" s="1" t="s">
        <v>16</v>
      </c>
      <c r="F19" s="1" t="s">
        <v>39</v>
      </c>
      <c r="G19" s="1" t="s">
        <v>36</v>
      </c>
      <c r="H19" s="1">
        <v>15148</v>
      </c>
      <c r="I19" s="1" t="s">
        <v>33</v>
      </c>
      <c r="J19" s="1">
        <v>0.3</v>
      </c>
      <c r="K19" s="1">
        <v>14000</v>
      </c>
      <c r="L19" s="2">
        <v>45299</v>
      </c>
    </row>
    <row r="20" spans="1:12" x14ac:dyDescent="0.35">
      <c r="A20" s="1" t="s">
        <v>69</v>
      </c>
      <c r="B20" s="1" t="s">
        <v>70</v>
      </c>
      <c r="C20" s="1" t="s">
        <v>44</v>
      </c>
      <c r="D20" s="1" t="s">
        <v>45</v>
      </c>
      <c r="E20" s="1" t="s">
        <v>46</v>
      </c>
      <c r="F20" s="1" t="s">
        <v>25</v>
      </c>
      <c r="G20" s="1" t="s">
        <v>26</v>
      </c>
      <c r="H20" s="1">
        <v>14587</v>
      </c>
      <c r="I20" s="1" t="s">
        <v>33</v>
      </c>
      <c r="J20" s="1">
        <v>0.3</v>
      </c>
      <c r="K20" s="1">
        <v>13000</v>
      </c>
      <c r="L20" s="2">
        <v>45324</v>
      </c>
    </row>
    <row r="21" spans="1:12" x14ac:dyDescent="0.35">
      <c r="A21" s="1" t="s">
        <v>71</v>
      </c>
      <c r="B21" s="1" t="s">
        <v>72</v>
      </c>
      <c r="C21" s="1" t="s">
        <v>14</v>
      </c>
      <c r="D21" s="1" t="s">
        <v>15</v>
      </c>
      <c r="E21" s="1" t="s">
        <v>16</v>
      </c>
      <c r="F21" s="1" t="s">
        <v>17</v>
      </c>
      <c r="G21" s="1" t="s">
        <v>26</v>
      </c>
      <c r="H21" s="1">
        <v>14079</v>
      </c>
      <c r="I21" s="1" t="s">
        <v>27</v>
      </c>
      <c r="J21" s="1"/>
      <c r="K21" s="1">
        <v>14000</v>
      </c>
      <c r="L21" s="2">
        <v>45304</v>
      </c>
    </row>
    <row r="22" spans="1:12" x14ac:dyDescent="0.35">
      <c r="A22" s="1" t="s">
        <v>73</v>
      </c>
      <c r="B22" s="1" t="s">
        <v>74</v>
      </c>
      <c r="C22" s="1" t="s">
        <v>44</v>
      </c>
      <c r="D22" s="1" t="s">
        <v>45</v>
      </c>
      <c r="E22" s="1" t="s">
        <v>16</v>
      </c>
      <c r="F22" s="1" t="s">
        <v>39</v>
      </c>
      <c r="G22" s="1" t="s">
        <v>18</v>
      </c>
      <c r="H22" s="1">
        <v>13453</v>
      </c>
      <c r="I22" s="1" t="s">
        <v>33</v>
      </c>
      <c r="J22" s="1">
        <v>0.3</v>
      </c>
      <c r="K22" s="1">
        <v>13000</v>
      </c>
      <c r="L22" s="2">
        <v>45323</v>
      </c>
    </row>
    <row r="23" spans="1:12" x14ac:dyDescent="0.35">
      <c r="A23" s="1" t="s">
        <v>75</v>
      </c>
      <c r="B23" s="1" t="s">
        <v>76</v>
      </c>
      <c r="C23" s="1" t="s">
        <v>30</v>
      </c>
      <c r="D23" s="1" t="s">
        <v>31</v>
      </c>
      <c r="E23" s="1" t="s">
        <v>46</v>
      </c>
      <c r="F23" s="1" t="s">
        <v>25</v>
      </c>
      <c r="G23" s="1" t="s">
        <v>18</v>
      </c>
      <c r="H23" s="1">
        <v>15986</v>
      </c>
      <c r="I23" s="1" t="s">
        <v>27</v>
      </c>
      <c r="J23" s="1"/>
      <c r="K23" s="1">
        <v>17000</v>
      </c>
      <c r="L23" s="2">
        <v>45352</v>
      </c>
    </row>
    <row r="24" spans="1:12" x14ac:dyDescent="0.35">
      <c r="A24" s="1" t="s">
        <v>77</v>
      </c>
      <c r="B24" s="1" t="s">
        <v>78</v>
      </c>
      <c r="C24" s="1" t="s">
        <v>61</v>
      </c>
      <c r="D24" s="1" t="s">
        <v>62</v>
      </c>
      <c r="E24" s="1" t="s">
        <v>32</v>
      </c>
      <c r="F24" s="1" t="s">
        <v>39</v>
      </c>
      <c r="G24" s="1" t="s">
        <v>18</v>
      </c>
      <c r="H24" s="1">
        <v>7525</v>
      </c>
      <c r="I24" s="1"/>
      <c r="J24" s="1"/>
      <c r="K24" s="1">
        <v>9000</v>
      </c>
      <c r="L24" s="2">
        <v>45352</v>
      </c>
    </row>
    <row r="25" spans="1:12" x14ac:dyDescent="0.35">
      <c r="A25" s="1" t="s">
        <v>79</v>
      </c>
      <c r="B25" s="1" t="s">
        <v>80</v>
      </c>
      <c r="C25" s="1" t="s">
        <v>30</v>
      </c>
      <c r="D25" s="1" t="s">
        <v>31</v>
      </c>
      <c r="E25" s="1" t="s">
        <v>16</v>
      </c>
      <c r="F25" s="1" t="s">
        <v>39</v>
      </c>
      <c r="G25" s="1" t="s">
        <v>36</v>
      </c>
      <c r="H25" s="1">
        <v>18950</v>
      </c>
      <c r="I25" s="1" t="s">
        <v>19</v>
      </c>
      <c r="J25" s="1">
        <v>0.2</v>
      </c>
      <c r="K25" s="1">
        <v>17000</v>
      </c>
      <c r="L25" s="2">
        <v>45351</v>
      </c>
    </row>
    <row r="26" spans="1:12" x14ac:dyDescent="0.35">
      <c r="A26" s="1" t="s">
        <v>81</v>
      </c>
      <c r="B26" s="1" t="s">
        <v>82</v>
      </c>
      <c r="C26" s="1" t="s">
        <v>44</v>
      </c>
      <c r="D26" s="1" t="s">
        <v>45</v>
      </c>
      <c r="E26" s="1" t="s">
        <v>16</v>
      </c>
      <c r="F26" s="1" t="s">
        <v>17</v>
      </c>
      <c r="G26" s="1" t="s">
        <v>36</v>
      </c>
      <c r="H26" s="1">
        <v>13751</v>
      </c>
      <c r="I26" s="1" t="s">
        <v>33</v>
      </c>
      <c r="J26" s="1">
        <v>0.3</v>
      </c>
      <c r="K26" s="1">
        <v>13000</v>
      </c>
      <c r="L26" s="2">
        <v>45320</v>
      </c>
    </row>
    <row r="27" spans="1:12" x14ac:dyDescent="0.35">
      <c r="A27" s="1" t="s">
        <v>83</v>
      </c>
      <c r="B27" s="1" t="s">
        <v>84</v>
      </c>
      <c r="C27" s="1" t="s">
        <v>61</v>
      </c>
      <c r="D27" s="1" t="s">
        <v>62</v>
      </c>
      <c r="E27" s="1" t="s">
        <v>32</v>
      </c>
      <c r="F27" s="1" t="s">
        <v>25</v>
      </c>
      <c r="G27" s="1" t="s">
        <v>18</v>
      </c>
      <c r="H27" s="1">
        <v>7262</v>
      </c>
      <c r="I27" s="1" t="s">
        <v>33</v>
      </c>
      <c r="J27" s="1">
        <v>0.3</v>
      </c>
      <c r="K27" s="1">
        <v>9000</v>
      </c>
      <c r="L27" s="2">
        <v>45293</v>
      </c>
    </row>
    <row r="28" spans="1:12" x14ac:dyDescent="0.35">
      <c r="A28" s="1" t="s">
        <v>85</v>
      </c>
      <c r="B28" s="1" t="s">
        <v>86</v>
      </c>
      <c r="C28" s="1" t="s">
        <v>44</v>
      </c>
      <c r="D28" s="1" t="s">
        <v>45</v>
      </c>
      <c r="E28" s="1" t="s">
        <v>16</v>
      </c>
      <c r="F28" s="1" t="s">
        <v>25</v>
      </c>
      <c r="G28" s="1" t="s">
        <v>18</v>
      </c>
      <c r="H28" s="1">
        <v>11290</v>
      </c>
      <c r="I28" s="1" t="s">
        <v>22</v>
      </c>
      <c r="J28" s="1">
        <v>0.1</v>
      </c>
      <c r="K28" s="1">
        <v>13000</v>
      </c>
      <c r="L28" s="2">
        <v>45306</v>
      </c>
    </row>
    <row r="29" spans="1:12" x14ac:dyDescent="0.35">
      <c r="A29" s="1" t="s">
        <v>87</v>
      </c>
      <c r="B29" s="1" t="s">
        <v>43</v>
      </c>
      <c r="C29" s="1" t="s">
        <v>30</v>
      </c>
      <c r="D29" s="1" t="s">
        <v>31</v>
      </c>
      <c r="E29" s="1" t="s">
        <v>32</v>
      </c>
      <c r="F29" s="1" t="s">
        <v>39</v>
      </c>
      <c r="G29" s="1" t="s">
        <v>18</v>
      </c>
      <c r="H29" s="1">
        <v>16140</v>
      </c>
      <c r="I29" s="1"/>
      <c r="J29" s="1"/>
      <c r="K29" s="1">
        <v>17000</v>
      </c>
      <c r="L29" s="2">
        <v>45305</v>
      </c>
    </row>
    <row r="30" spans="1:12" x14ac:dyDescent="0.35">
      <c r="A30" s="1" t="s">
        <v>88</v>
      </c>
      <c r="B30" s="1" t="s">
        <v>80</v>
      </c>
      <c r="C30" s="1" t="s">
        <v>61</v>
      </c>
      <c r="D30" s="1" t="s">
        <v>62</v>
      </c>
      <c r="E30" s="1" t="s">
        <v>32</v>
      </c>
      <c r="F30" s="1" t="s">
        <v>17</v>
      </c>
      <c r="G30" s="1" t="s">
        <v>36</v>
      </c>
      <c r="H30" s="1">
        <v>7779</v>
      </c>
      <c r="I30" s="1" t="s">
        <v>22</v>
      </c>
      <c r="J30" s="1">
        <v>0.1</v>
      </c>
      <c r="K30" s="1">
        <v>9000</v>
      </c>
      <c r="L30" s="2">
        <v>45298</v>
      </c>
    </row>
    <row r="31" spans="1:12" x14ac:dyDescent="0.35">
      <c r="A31" s="1" t="s">
        <v>89</v>
      </c>
      <c r="B31" s="1" t="s">
        <v>90</v>
      </c>
      <c r="C31" s="1" t="s">
        <v>30</v>
      </c>
      <c r="D31" s="1" t="s">
        <v>31</v>
      </c>
      <c r="E31" s="1" t="s">
        <v>46</v>
      </c>
      <c r="F31" s="1" t="s">
        <v>17</v>
      </c>
      <c r="G31" s="1" t="s">
        <v>36</v>
      </c>
      <c r="H31" s="1">
        <v>18538</v>
      </c>
      <c r="I31" s="1" t="s">
        <v>22</v>
      </c>
      <c r="J31" s="1">
        <v>0.1</v>
      </c>
      <c r="K31" s="1">
        <v>17000</v>
      </c>
      <c r="L31" s="2">
        <v>45335</v>
      </c>
    </row>
    <row r="32" spans="1:12" x14ac:dyDescent="0.35">
      <c r="A32" s="1" t="s">
        <v>91</v>
      </c>
      <c r="B32" s="1" t="s">
        <v>92</v>
      </c>
      <c r="C32" s="1" t="s">
        <v>14</v>
      </c>
      <c r="D32" s="1" t="s">
        <v>15</v>
      </c>
      <c r="E32" s="1" t="s">
        <v>32</v>
      </c>
      <c r="F32" s="1" t="s">
        <v>17</v>
      </c>
      <c r="G32" s="1" t="s">
        <v>26</v>
      </c>
      <c r="H32" s="1">
        <v>13389</v>
      </c>
      <c r="I32" s="1" t="s">
        <v>22</v>
      </c>
      <c r="J32" s="1">
        <v>0.1</v>
      </c>
      <c r="K32" s="1">
        <v>14000</v>
      </c>
      <c r="L32" s="2">
        <v>45307</v>
      </c>
    </row>
    <row r="33" spans="1:12" x14ac:dyDescent="0.35">
      <c r="A33" s="1" t="s">
        <v>93</v>
      </c>
      <c r="B33" s="1" t="s">
        <v>94</v>
      </c>
      <c r="C33" s="1" t="s">
        <v>61</v>
      </c>
      <c r="D33" s="1" t="s">
        <v>62</v>
      </c>
      <c r="E33" s="1" t="s">
        <v>32</v>
      </c>
      <c r="F33" s="1" t="s">
        <v>17</v>
      </c>
      <c r="G33" s="1" t="s">
        <v>18</v>
      </c>
      <c r="H33" s="1">
        <v>8140</v>
      </c>
      <c r="I33" s="1"/>
      <c r="J33" s="1"/>
      <c r="K33" s="1">
        <v>9000</v>
      </c>
      <c r="L33" s="2">
        <v>45307</v>
      </c>
    </row>
    <row r="34" spans="1:12" x14ac:dyDescent="0.35">
      <c r="A34" s="1" t="s">
        <v>95</v>
      </c>
      <c r="B34" s="1" t="s">
        <v>96</v>
      </c>
      <c r="C34" s="1" t="s">
        <v>61</v>
      </c>
      <c r="D34" s="1" t="s">
        <v>62</v>
      </c>
      <c r="E34" s="1" t="s">
        <v>16</v>
      </c>
      <c r="F34" s="1" t="s">
        <v>25</v>
      </c>
      <c r="G34" s="1" t="s">
        <v>18</v>
      </c>
      <c r="H34" s="1">
        <v>9671</v>
      </c>
      <c r="I34" s="1" t="s">
        <v>27</v>
      </c>
      <c r="J34" s="1"/>
      <c r="K34" s="1">
        <v>9000</v>
      </c>
      <c r="L34" s="2">
        <v>45345</v>
      </c>
    </row>
    <row r="35" spans="1:12" x14ac:dyDescent="0.35">
      <c r="A35" s="1" t="s">
        <v>97</v>
      </c>
      <c r="B35" s="1" t="s">
        <v>76</v>
      </c>
      <c r="C35" s="1" t="s">
        <v>44</v>
      </c>
      <c r="D35" s="1" t="s">
        <v>45</v>
      </c>
      <c r="E35" s="1" t="s">
        <v>32</v>
      </c>
      <c r="F35" s="1" t="s">
        <v>17</v>
      </c>
      <c r="G35" s="1" t="s">
        <v>36</v>
      </c>
      <c r="H35" s="1">
        <v>12971</v>
      </c>
      <c r="I35" s="1" t="s">
        <v>19</v>
      </c>
      <c r="J35" s="1">
        <v>0.2</v>
      </c>
      <c r="K35" s="1">
        <v>13000</v>
      </c>
      <c r="L35" s="2">
        <v>45347</v>
      </c>
    </row>
    <row r="36" spans="1:12" x14ac:dyDescent="0.35">
      <c r="A36" s="1" t="s">
        <v>98</v>
      </c>
      <c r="B36" s="1" t="s">
        <v>99</v>
      </c>
      <c r="C36" s="1" t="s">
        <v>44</v>
      </c>
      <c r="D36" s="1" t="s">
        <v>45</v>
      </c>
      <c r="E36" s="1" t="s">
        <v>46</v>
      </c>
      <c r="F36" s="1" t="s">
        <v>25</v>
      </c>
      <c r="G36" s="1" t="s">
        <v>36</v>
      </c>
      <c r="H36" s="1">
        <v>12086</v>
      </c>
      <c r="I36" s="1"/>
      <c r="J36" s="1"/>
      <c r="K36" s="1">
        <v>13000</v>
      </c>
      <c r="L36" s="2">
        <v>45310</v>
      </c>
    </row>
    <row r="37" spans="1:12" x14ac:dyDescent="0.35">
      <c r="A37" s="1" t="s">
        <v>100</v>
      </c>
      <c r="B37" s="1" t="s">
        <v>101</v>
      </c>
      <c r="C37" s="1" t="s">
        <v>61</v>
      </c>
      <c r="D37" s="1" t="s">
        <v>62</v>
      </c>
      <c r="E37" s="1" t="s">
        <v>32</v>
      </c>
      <c r="F37" s="1" t="s">
        <v>25</v>
      </c>
      <c r="G37" s="1" t="s">
        <v>36</v>
      </c>
      <c r="H37" s="1">
        <v>7891</v>
      </c>
      <c r="I37" s="1" t="s">
        <v>22</v>
      </c>
      <c r="J37" s="1">
        <v>0.1</v>
      </c>
      <c r="K37" s="1">
        <v>9000</v>
      </c>
      <c r="L37" s="2">
        <v>45329</v>
      </c>
    </row>
    <row r="38" spans="1:12" x14ac:dyDescent="0.35">
      <c r="A38" s="1" t="s">
        <v>102</v>
      </c>
      <c r="B38" s="1" t="s">
        <v>103</v>
      </c>
      <c r="C38" s="1" t="s">
        <v>14</v>
      </c>
      <c r="D38" s="1" t="s">
        <v>15</v>
      </c>
      <c r="E38" s="1" t="s">
        <v>16</v>
      </c>
      <c r="F38" s="1" t="s">
        <v>17</v>
      </c>
      <c r="G38" s="1" t="s">
        <v>18</v>
      </c>
      <c r="H38" s="1">
        <v>12205</v>
      </c>
      <c r="I38" s="1" t="s">
        <v>27</v>
      </c>
      <c r="J38" s="1"/>
      <c r="K38" s="1">
        <v>14000</v>
      </c>
      <c r="L38" s="2">
        <v>45322</v>
      </c>
    </row>
    <row r="39" spans="1:12" x14ac:dyDescent="0.35">
      <c r="A39" s="1" t="s">
        <v>104</v>
      </c>
      <c r="B39" s="1" t="s">
        <v>105</v>
      </c>
      <c r="C39" s="1" t="s">
        <v>44</v>
      </c>
      <c r="D39" s="1" t="s">
        <v>45</v>
      </c>
      <c r="E39" s="1" t="s">
        <v>32</v>
      </c>
      <c r="F39" s="1" t="s">
        <v>39</v>
      </c>
      <c r="G39" s="1" t="s">
        <v>18</v>
      </c>
      <c r="H39" s="1">
        <v>14487</v>
      </c>
      <c r="I39" s="1" t="s">
        <v>19</v>
      </c>
      <c r="J39" s="1">
        <v>0.2</v>
      </c>
      <c r="K39" s="1">
        <v>13000</v>
      </c>
      <c r="L39" s="2">
        <v>45296</v>
      </c>
    </row>
    <row r="40" spans="1:12" x14ac:dyDescent="0.35">
      <c r="A40" s="1" t="s">
        <v>106</v>
      </c>
      <c r="B40" s="1" t="s">
        <v>107</v>
      </c>
      <c r="C40" s="1" t="s">
        <v>44</v>
      </c>
      <c r="D40" s="1" t="s">
        <v>45</v>
      </c>
      <c r="E40" s="1" t="s">
        <v>46</v>
      </c>
      <c r="F40" s="1" t="s">
        <v>25</v>
      </c>
      <c r="G40" s="1" t="s">
        <v>26</v>
      </c>
      <c r="H40" s="1">
        <v>12008</v>
      </c>
      <c r="I40" s="1" t="s">
        <v>27</v>
      </c>
      <c r="J40" s="1"/>
      <c r="K40" s="1">
        <v>13000</v>
      </c>
      <c r="L40" s="2">
        <v>45330</v>
      </c>
    </row>
    <row r="41" spans="1:12" x14ac:dyDescent="0.35">
      <c r="A41" s="1" t="s">
        <v>108</v>
      </c>
      <c r="B41" s="1" t="s">
        <v>109</v>
      </c>
      <c r="C41" s="1" t="s">
        <v>14</v>
      </c>
      <c r="D41" s="1" t="s">
        <v>15</v>
      </c>
      <c r="E41" s="1" t="s">
        <v>46</v>
      </c>
      <c r="F41" s="1" t="s">
        <v>39</v>
      </c>
      <c r="G41" s="1" t="s">
        <v>26</v>
      </c>
      <c r="H41" s="1">
        <v>14315</v>
      </c>
      <c r="I41" s="1" t="s">
        <v>27</v>
      </c>
      <c r="J41" s="1"/>
      <c r="K41" s="1">
        <v>14000</v>
      </c>
      <c r="L41" s="2">
        <v>45312</v>
      </c>
    </row>
    <row r="42" spans="1:12" x14ac:dyDescent="0.35">
      <c r="A42" s="1" t="s">
        <v>110</v>
      </c>
      <c r="B42" s="1" t="s">
        <v>111</v>
      </c>
      <c r="C42" s="1" t="s">
        <v>44</v>
      </c>
      <c r="D42" s="1" t="s">
        <v>45</v>
      </c>
      <c r="E42" s="1" t="s">
        <v>16</v>
      </c>
      <c r="F42" s="1" t="s">
        <v>39</v>
      </c>
      <c r="G42" s="1" t="s">
        <v>36</v>
      </c>
      <c r="H42" s="1">
        <v>11977</v>
      </c>
      <c r="I42" s="1" t="s">
        <v>33</v>
      </c>
      <c r="J42" s="1">
        <v>0.3</v>
      </c>
      <c r="K42" s="1">
        <v>13000</v>
      </c>
      <c r="L42" s="2">
        <v>45317</v>
      </c>
    </row>
    <row r="43" spans="1:12" x14ac:dyDescent="0.35">
      <c r="A43" s="1" t="s">
        <v>112</v>
      </c>
      <c r="B43" s="1" t="s">
        <v>113</v>
      </c>
      <c r="C43" s="1" t="s">
        <v>30</v>
      </c>
      <c r="D43" s="1" t="s">
        <v>31</v>
      </c>
      <c r="E43" s="1" t="s">
        <v>46</v>
      </c>
      <c r="F43" s="1" t="s">
        <v>17</v>
      </c>
      <c r="G43" s="1" t="s">
        <v>18</v>
      </c>
      <c r="H43" s="1">
        <v>15038</v>
      </c>
      <c r="I43" s="1"/>
      <c r="J43" s="1"/>
      <c r="K43" s="1">
        <v>17000</v>
      </c>
      <c r="L43" s="2">
        <v>45331</v>
      </c>
    </row>
    <row r="44" spans="1:12" x14ac:dyDescent="0.35">
      <c r="A44" s="1" t="s">
        <v>114</v>
      </c>
      <c r="B44" s="1" t="s">
        <v>107</v>
      </c>
      <c r="C44" s="1" t="s">
        <v>14</v>
      </c>
      <c r="D44" s="1" t="s">
        <v>15</v>
      </c>
      <c r="E44" s="1" t="s">
        <v>16</v>
      </c>
      <c r="F44" s="1" t="s">
        <v>25</v>
      </c>
      <c r="G44" s="1" t="s">
        <v>26</v>
      </c>
      <c r="H44" s="1">
        <v>13086</v>
      </c>
      <c r="I44" s="1" t="s">
        <v>19</v>
      </c>
      <c r="J44" s="1">
        <v>0.2</v>
      </c>
      <c r="K44" s="1">
        <v>14000</v>
      </c>
      <c r="L44" s="2">
        <v>45351</v>
      </c>
    </row>
    <row r="45" spans="1:12" x14ac:dyDescent="0.35">
      <c r="A45" s="1" t="s">
        <v>115</v>
      </c>
      <c r="B45" s="1" t="s">
        <v>116</v>
      </c>
      <c r="C45" s="1" t="s">
        <v>44</v>
      </c>
      <c r="D45" s="1" t="s">
        <v>45</v>
      </c>
      <c r="E45" s="1" t="s">
        <v>46</v>
      </c>
      <c r="F45" s="1" t="s">
        <v>17</v>
      </c>
      <c r="G45" s="1" t="s">
        <v>18</v>
      </c>
      <c r="H45" s="1">
        <v>12794</v>
      </c>
      <c r="I45" s="1" t="s">
        <v>27</v>
      </c>
      <c r="J45" s="1"/>
      <c r="K45" s="1">
        <v>13000</v>
      </c>
      <c r="L45" s="2">
        <v>45337</v>
      </c>
    </row>
    <row r="46" spans="1:12" x14ac:dyDescent="0.35">
      <c r="A46" s="1" t="s">
        <v>117</v>
      </c>
      <c r="B46" s="1" t="s">
        <v>118</v>
      </c>
      <c r="C46" s="1" t="s">
        <v>14</v>
      </c>
      <c r="D46" s="1" t="s">
        <v>15</v>
      </c>
      <c r="E46" s="1" t="s">
        <v>16</v>
      </c>
      <c r="F46" s="1" t="s">
        <v>39</v>
      </c>
      <c r="G46" s="1" t="s">
        <v>36</v>
      </c>
      <c r="H46" s="1">
        <v>15816</v>
      </c>
      <c r="I46" s="1" t="s">
        <v>22</v>
      </c>
      <c r="J46" s="1">
        <v>0.1</v>
      </c>
      <c r="K46" s="1">
        <v>14000</v>
      </c>
      <c r="L46" s="2">
        <v>45352</v>
      </c>
    </row>
    <row r="47" spans="1:12" x14ac:dyDescent="0.35">
      <c r="A47" s="1" t="s">
        <v>119</v>
      </c>
      <c r="B47" s="1" t="s">
        <v>120</v>
      </c>
      <c r="C47" s="1" t="s">
        <v>30</v>
      </c>
      <c r="D47" s="1" t="s">
        <v>31</v>
      </c>
      <c r="E47" s="1" t="s">
        <v>32</v>
      </c>
      <c r="F47" s="1" t="s">
        <v>25</v>
      </c>
      <c r="G47" s="1" t="s">
        <v>26</v>
      </c>
      <c r="H47" s="1">
        <v>17266</v>
      </c>
      <c r="I47" s="1" t="s">
        <v>19</v>
      </c>
      <c r="J47" s="1">
        <v>0.2</v>
      </c>
      <c r="K47" s="1">
        <v>17000</v>
      </c>
      <c r="L47" s="2">
        <v>45309</v>
      </c>
    </row>
    <row r="48" spans="1:12" x14ac:dyDescent="0.35">
      <c r="A48" s="1" t="s">
        <v>121</v>
      </c>
      <c r="B48" s="1" t="s">
        <v>118</v>
      </c>
      <c r="C48" s="1" t="s">
        <v>44</v>
      </c>
      <c r="D48" s="1" t="s">
        <v>45</v>
      </c>
      <c r="E48" s="1" t="s">
        <v>16</v>
      </c>
      <c r="F48" s="1" t="s">
        <v>17</v>
      </c>
      <c r="G48" s="1" t="s">
        <v>18</v>
      </c>
      <c r="H48" s="1">
        <v>13815</v>
      </c>
      <c r="I48" s="1" t="s">
        <v>33</v>
      </c>
      <c r="J48" s="1">
        <v>0.3</v>
      </c>
      <c r="K48" s="1">
        <v>13000</v>
      </c>
      <c r="L48" s="2">
        <v>45324</v>
      </c>
    </row>
    <row r="49" spans="1:12" x14ac:dyDescent="0.35">
      <c r="A49" s="1" t="s">
        <v>122</v>
      </c>
      <c r="B49" s="1" t="s">
        <v>123</v>
      </c>
      <c r="C49" s="1" t="s">
        <v>14</v>
      </c>
      <c r="D49" s="1" t="s">
        <v>15</v>
      </c>
      <c r="E49" s="1" t="s">
        <v>32</v>
      </c>
      <c r="F49" s="1" t="s">
        <v>39</v>
      </c>
      <c r="G49" s="1" t="s">
        <v>36</v>
      </c>
      <c r="H49" s="1">
        <v>15397</v>
      </c>
      <c r="I49" s="1" t="s">
        <v>33</v>
      </c>
      <c r="J49" s="1">
        <v>0.3</v>
      </c>
      <c r="K49" s="1">
        <v>14000</v>
      </c>
      <c r="L49" s="2">
        <v>45294</v>
      </c>
    </row>
    <row r="50" spans="1:12" x14ac:dyDescent="0.35">
      <c r="A50" s="1" t="s">
        <v>124</v>
      </c>
      <c r="B50" s="1" t="s">
        <v>125</v>
      </c>
      <c r="C50" s="1" t="s">
        <v>44</v>
      </c>
      <c r="D50" s="1" t="s">
        <v>45</v>
      </c>
      <c r="E50" s="1" t="s">
        <v>16</v>
      </c>
      <c r="F50" s="1" t="s">
        <v>17</v>
      </c>
      <c r="G50" s="1" t="s">
        <v>18</v>
      </c>
      <c r="H50" s="1">
        <v>14036</v>
      </c>
      <c r="I50" s="1"/>
      <c r="J50" s="1"/>
      <c r="K50" s="1">
        <v>13000</v>
      </c>
      <c r="L50" s="2">
        <v>45327</v>
      </c>
    </row>
    <row r="51" spans="1:12" x14ac:dyDescent="0.35">
      <c r="A51" s="1" t="s">
        <v>126</v>
      </c>
      <c r="B51" s="1" t="s">
        <v>127</v>
      </c>
      <c r="C51" s="1" t="s">
        <v>14</v>
      </c>
      <c r="D51" s="1" t="s">
        <v>15</v>
      </c>
      <c r="E51" s="1" t="s">
        <v>32</v>
      </c>
      <c r="F51" s="1" t="s">
        <v>25</v>
      </c>
      <c r="G51" s="1" t="s">
        <v>26</v>
      </c>
      <c r="H51" s="1">
        <v>15702</v>
      </c>
      <c r="I51" s="1" t="s">
        <v>19</v>
      </c>
      <c r="J51" s="1">
        <v>0.2</v>
      </c>
      <c r="K51" s="1">
        <v>14000</v>
      </c>
      <c r="L51" s="2">
        <v>45326</v>
      </c>
    </row>
    <row r="52" spans="1:12" x14ac:dyDescent="0.35">
      <c r="A52" s="1" t="s">
        <v>128</v>
      </c>
      <c r="B52" s="1" t="s">
        <v>129</v>
      </c>
      <c r="C52" s="1" t="s">
        <v>30</v>
      </c>
      <c r="D52" s="1" t="s">
        <v>31</v>
      </c>
      <c r="E52" s="1" t="s">
        <v>16</v>
      </c>
      <c r="F52" s="1" t="s">
        <v>39</v>
      </c>
      <c r="G52" s="1" t="s">
        <v>18</v>
      </c>
      <c r="H52" s="1">
        <v>16760</v>
      </c>
      <c r="I52" s="1" t="s">
        <v>19</v>
      </c>
      <c r="J52" s="1">
        <v>0.2</v>
      </c>
      <c r="K52" s="1">
        <v>17000</v>
      </c>
      <c r="L52" s="2">
        <v>45294</v>
      </c>
    </row>
    <row r="53" spans="1:12" x14ac:dyDescent="0.35">
      <c r="A53" s="1" t="s">
        <v>130</v>
      </c>
      <c r="B53" s="1" t="s">
        <v>131</v>
      </c>
      <c r="C53" s="1" t="s">
        <v>14</v>
      </c>
      <c r="D53" s="1" t="s">
        <v>15</v>
      </c>
      <c r="E53" s="1" t="s">
        <v>46</v>
      </c>
      <c r="F53" s="1" t="s">
        <v>25</v>
      </c>
      <c r="G53" s="1" t="s">
        <v>26</v>
      </c>
      <c r="H53" s="1">
        <v>13022</v>
      </c>
      <c r="I53" s="1" t="s">
        <v>22</v>
      </c>
      <c r="J53" s="1">
        <v>0.1</v>
      </c>
      <c r="K53" s="1">
        <v>14000</v>
      </c>
      <c r="L53" s="2">
        <v>45314</v>
      </c>
    </row>
    <row r="54" spans="1:12" x14ac:dyDescent="0.35">
      <c r="A54" s="1" t="s">
        <v>132</v>
      </c>
      <c r="B54" s="1" t="s">
        <v>133</v>
      </c>
      <c r="C54" s="1" t="s">
        <v>61</v>
      </c>
      <c r="D54" s="1" t="s">
        <v>62</v>
      </c>
      <c r="E54" s="1" t="s">
        <v>16</v>
      </c>
      <c r="F54" s="1" t="s">
        <v>39</v>
      </c>
      <c r="G54" s="1" t="s">
        <v>18</v>
      </c>
      <c r="H54" s="1">
        <v>10791</v>
      </c>
      <c r="I54" s="1" t="s">
        <v>19</v>
      </c>
      <c r="J54" s="1">
        <v>0.2</v>
      </c>
      <c r="K54" s="1">
        <v>9000</v>
      </c>
      <c r="L54" s="2">
        <v>45347</v>
      </c>
    </row>
    <row r="55" spans="1:12" x14ac:dyDescent="0.35">
      <c r="A55" s="1" t="s">
        <v>134</v>
      </c>
      <c r="B55" s="1" t="s">
        <v>135</v>
      </c>
      <c r="C55" s="1" t="s">
        <v>44</v>
      </c>
      <c r="D55" s="1" t="s">
        <v>45</v>
      </c>
      <c r="E55" s="1" t="s">
        <v>46</v>
      </c>
      <c r="F55" s="1" t="s">
        <v>25</v>
      </c>
      <c r="G55" s="1" t="s">
        <v>18</v>
      </c>
      <c r="H55" s="1">
        <v>14016</v>
      </c>
      <c r="I55" s="1" t="s">
        <v>33</v>
      </c>
      <c r="J55" s="1">
        <v>0.3</v>
      </c>
      <c r="K55" s="1">
        <v>13000</v>
      </c>
      <c r="L55" s="2">
        <v>45342</v>
      </c>
    </row>
    <row r="56" spans="1:12" x14ac:dyDescent="0.35">
      <c r="A56" s="1" t="s">
        <v>136</v>
      </c>
      <c r="B56" s="1" t="s">
        <v>137</v>
      </c>
      <c r="C56" s="1" t="s">
        <v>44</v>
      </c>
      <c r="D56" s="1" t="s">
        <v>45</v>
      </c>
      <c r="E56" s="1" t="s">
        <v>46</v>
      </c>
      <c r="F56" s="1" t="s">
        <v>25</v>
      </c>
      <c r="G56" s="1" t="s">
        <v>26</v>
      </c>
      <c r="H56" s="1">
        <v>11442</v>
      </c>
      <c r="I56" s="1"/>
      <c r="J56" s="1"/>
      <c r="K56" s="1">
        <v>13000</v>
      </c>
      <c r="L56" s="2">
        <v>45347</v>
      </c>
    </row>
    <row r="57" spans="1:12" x14ac:dyDescent="0.35">
      <c r="A57" s="1" t="s">
        <v>138</v>
      </c>
      <c r="B57" s="1" t="s">
        <v>129</v>
      </c>
      <c r="C57" s="1" t="s">
        <v>61</v>
      </c>
      <c r="D57" s="1" t="s">
        <v>62</v>
      </c>
      <c r="E57" s="1" t="s">
        <v>32</v>
      </c>
      <c r="F57" s="1" t="s">
        <v>25</v>
      </c>
      <c r="G57" s="1" t="s">
        <v>36</v>
      </c>
      <c r="H57" s="1">
        <v>8432</v>
      </c>
      <c r="I57" s="1" t="s">
        <v>33</v>
      </c>
      <c r="J57" s="1">
        <v>0.3</v>
      </c>
      <c r="K57" s="1">
        <v>9000</v>
      </c>
      <c r="L57" s="2">
        <v>45344</v>
      </c>
    </row>
    <row r="58" spans="1:12" x14ac:dyDescent="0.35">
      <c r="A58" s="1" t="s">
        <v>139</v>
      </c>
      <c r="B58" s="1" t="s">
        <v>140</v>
      </c>
      <c r="C58" s="1" t="s">
        <v>44</v>
      </c>
      <c r="D58" s="1" t="s">
        <v>45</v>
      </c>
      <c r="E58" s="1" t="s">
        <v>32</v>
      </c>
      <c r="F58" s="1" t="s">
        <v>25</v>
      </c>
      <c r="G58" s="1" t="s">
        <v>26</v>
      </c>
      <c r="H58" s="1">
        <v>11791</v>
      </c>
      <c r="I58" s="1"/>
      <c r="J58" s="1"/>
      <c r="K58" s="1">
        <v>13000</v>
      </c>
      <c r="L58" s="2">
        <v>45313</v>
      </c>
    </row>
    <row r="59" spans="1:12" x14ac:dyDescent="0.35">
      <c r="A59" s="1" t="s">
        <v>141</v>
      </c>
      <c r="B59" s="1" t="s">
        <v>142</v>
      </c>
      <c r="C59" s="1" t="s">
        <v>14</v>
      </c>
      <c r="D59" s="1" t="s">
        <v>15</v>
      </c>
      <c r="E59" s="1" t="s">
        <v>46</v>
      </c>
      <c r="F59" s="1" t="s">
        <v>17</v>
      </c>
      <c r="G59" s="1" t="s">
        <v>26</v>
      </c>
      <c r="H59" s="1">
        <v>14086</v>
      </c>
      <c r="I59" s="1"/>
      <c r="J59" s="1"/>
      <c r="K59" s="1">
        <v>14000</v>
      </c>
      <c r="L59" s="2">
        <v>45335</v>
      </c>
    </row>
    <row r="60" spans="1:12" x14ac:dyDescent="0.35">
      <c r="A60" s="1" t="s">
        <v>143</v>
      </c>
      <c r="B60" s="1" t="s">
        <v>144</v>
      </c>
      <c r="C60" s="1" t="s">
        <v>30</v>
      </c>
      <c r="D60" s="1" t="s">
        <v>31</v>
      </c>
      <c r="E60" s="1" t="s">
        <v>32</v>
      </c>
      <c r="F60" s="1" t="s">
        <v>25</v>
      </c>
      <c r="G60" s="1" t="s">
        <v>36</v>
      </c>
      <c r="H60" s="1">
        <v>15731</v>
      </c>
      <c r="I60" s="1" t="s">
        <v>27</v>
      </c>
      <c r="J60" s="1"/>
      <c r="K60" s="1">
        <v>17000</v>
      </c>
      <c r="L60" s="2">
        <v>45308</v>
      </c>
    </row>
    <row r="61" spans="1:12" x14ac:dyDescent="0.35">
      <c r="A61" s="1" t="s">
        <v>145</v>
      </c>
      <c r="B61" s="1" t="s">
        <v>76</v>
      </c>
      <c r="C61" s="1" t="s">
        <v>61</v>
      </c>
      <c r="D61" s="1" t="s">
        <v>62</v>
      </c>
      <c r="E61" s="1" t="s">
        <v>46</v>
      </c>
      <c r="F61" s="1" t="s">
        <v>39</v>
      </c>
      <c r="G61" s="1" t="s">
        <v>36</v>
      </c>
      <c r="H61" s="1">
        <v>8787</v>
      </c>
      <c r="I61" s="1" t="s">
        <v>27</v>
      </c>
      <c r="J61" s="1"/>
      <c r="K61" s="1">
        <v>9000</v>
      </c>
      <c r="L61" s="2">
        <v>45324</v>
      </c>
    </row>
    <row r="62" spans="1:12" x14ac:dyDescent="0.35">
      <c r="A62" s="1" t="s">
        <v>146</v>
      </c>
      <c r="B62" s="1" t="s">
        <v>66</v>
      </c>
      <c r="C62" s="1" t="s">
        <v>44</v>
      </c>
      <c r="D62" s="1" t="s">
        <v>45</v>
      </c>
      <c r="E62" s="1" t="s">
        <v>46</v>
      </c>
      <c r="F62" s="1" t="s">
        <v>25</v>
      </c>
      <c r="G62" s="1" t="s">
        <v>26</v>
      </c>
      <c r="H62" s="1">
        <v>12786</v>
      </c>
      <c r="I62" s="1" t="s">
        <v>22</v>
      </c>
      <c r="J62" s="1">
        <v>0.1</v>
      </c>
      <c r="K62" s="1">
        <v>13000</v>
      </c>
      <c r="L62" s="2">
        <v>45325</v>
      </c>
    </row>
    <row r="63" spans="1:12" x14ac:dyDescent="0.35">
      <c r="A63" s="1" t="s">
        <v>147</v>
      </c>
      <c r="B63" s="1" t="s">
        <v>148</v>
      </c>
      <c r="C63" s="1" t="s">
        <v>44</v>
      </c>
      <c r="D63" s="1" t="s">
        <v>45</v>
      </c>
      <c r="E63" s="1" t="s">
        <v>46</v>
      </c>
      <c r="F63" s="1" t="s">
        <v>17</v>
      </c>
      <c r="G63" s="1" t="s">
        <v>18</v>
      </c>
      <c r="H63" s="1">
        <v>14886</v>
      </c>
      <c r="I63" s="1" t="s">
        <v>33</v>
      </c>
      <c r="J63" s="1">
        <v>0.3</v>
      </c>
      <c r="K63" s="1">
        <v>13000</v>
      </c>
      <c r="L63" s="2">
        <v>45331</v>
      </c>
    </row>
    <row r="64" spans="1:12" x14ac:dyDescent="0.35">
      <c r="A64" s="1" t="s">
        <v>149</v>
      </c>
      <c r="B64" s="1" t="s">
        <v>150</v>
      </c>
      <c r="C64" s="1" t="s">
        <v>14</v>
      </c>
      <c r="D64" s="1" t="s">
        <v>15</v>
      </c>
      <c r="E64" s="1" t="s">
        <v>16</v>
      </c>
      <c r="F64" s="1" t="s">
        <v>17</v>
      </c>
      <c r="G64" s="1" t="s">
        <v>26</v>
      </c>
      <c r="H64" s="1">
        <v>13266</v>
      </c>
      <c r="I64" s="1"/>
      <c r="J64" s="1"/>
      <c r="K64" s="1">
        <v>14000</v>
      </c>
      <c r="L64" s="2">
        <v>45312</v>
      </c>
    </row>
    <row r="65" spans="1:12" x14ac:dyDescent="0.35">
      <c r="A65" s="1" t="s">
        <v>151</v>
      </c>
      <c r="B65" s="1" t="s">
        <v>101</v>
      </c>
      <c r="C65" s="1" t="s">
        <v>30</v>
      </c>
      <c r="D65" s="1" t="s">
        <v>31</v>
      </c>
      <c r="E65" s="1" t="s">
        <v>16</v>
      </c>
      <c r="F65" s="1" t="s">
        <v>25</v>
      </c>
      <c r="G65" s="1" t="s">
        <v>18</v>
      </c>
      <c r="H65" s="1">
        <v>16722</v>
      </c>
      <c r="I65" s="1"/>
      <c r="J65" s="1"/>
      <c r="K65" s="1">
        <v>17000</v>
      </c>
      <c r="L65" s="2">
        <v>45335</v>
      </c>
    </row>
    <row r="66" spans="1:12" x14ac:dyDescent="0.35">
      <c r="A66" s="1" t="s">
        <v>152</v>
      </c>
      <c r="B66" s="1" t="s">
        <v>153</v>
      </c>
      <c r="C66" s="1" t="s">
        <v>30</v>
      </c>
      <c r="D66" s="1" t="s">
        <v>31</v>
      </c>
      <c r="E66" s="1" t="s">
        <v>46</v>
      </c>
      <c r="F66" s="1" t="s">
        <v>39</v>
      </c>
      <c r="G66" s="1" t="s">
        <v>18</v>
      </c>
      <c r="H66" s="1">
        <v>16244</v>
      </c>
      <c r="I66" s="1" t="s">
        <v>33</v>
      </c>
      <c r="J66" s="1">
        <v>0.3</v>
      </c>
      <c r="K66" s="1">
        <v>17000</v>
      </c>
      <c r="L66" s="2">
        <v>45305</v>
      </c>
    </row>
    <row r="67" spans="1:12" x14ac:dyDescent="0.35">
      <c r="A67" s="1" t="s">
        <v>154</v>
      </c>
      <c r="B67" s="1" t="s">
        <v>155</v>
      </c>
      <c r="C67" s="1" t="s">
        <v>30</v>
      </c>
      <c r="D67" s="1" t="s">
        <v>31</v>
      </c>
      <c r="E67" s="1" t="s">
        <v>46</v>
      </c>
      <c r="F67" s="1" t="s">
        <v>17</v>
      </c>
      <c r="G67" s="1" t="s">
        <v>36</v>
      </c>
      <c r="H67" s="1">
        <v>17767</v>
      </c>
      <c r="I67" s="1" t="s">
        <v>19</v>
      </c>
      <c r="J67" s="1">
        <v>0.2</v>
      </c>
      <c r="K67" s="1">
        <v>17000</v>
      </c>
      <c r="L67" s="2">
        <v>45324</v>
      </c>
    </row>
    <row r="68" spans="1:12" x14ac:dyDescent="0.35">
      <c r="A68" s="1" t="s">
        <v>156</v>
      </c>
      <c r="B68" s="1" t="s">
        <v>157</v>
      </c>
      <c r="C68" s="1" t="s">
        <v>44</v>
      </c>
      <c r="D68" s="1" t="s">
        <v>45</v>
      </c>
      <c r="E68" s="1" t="s">
        <v>16</v>
      </c>
      <c r="F68" s="1" t="s">
        <v>25</v>
      </c>
      <c r="G68" s="1" t="s">
        <v>36</v>
      </c>
      <c r="H68" s="1">
        <v>13111</v>
      </c>
      <c r="I68" s="1" t="s">
        <v>27</v>
      </c>
      <c r="J68" s="1"/>
      <c r="K68" s="1">
        <v>13000</v>
      </c>
      <c r="L68" s="2">
        <v>45313</v>
      </c>
    </row>
    <row r="69" spans="1:12" x14ac:dyDescent="0.35">
      <c r="A69" s="1" t="s">
        <v>158</v>
      </c>
      <c r="B69" s="1" t="s">
        <v>159</v>
      </c>
      <c r="C69" s="1" t="s">
        <v>44</v>
      </c>
      <c r="D69" s="1" t="s">
        <v>45</v>
      </c>
      <c r="E69" s="1" t="s">
        <v>16</v>
      </c>
      <c r="F69" s="1" t="s">
        <v>17</v>
      </c>
      <c r="G69" s="1" t="s">
        <v>18</v>
      </c>
      <c r="H69" s="1">
        <v>14303</v>
      </c>
      <c r="I69" s="1" t="s">
        <v>19</v>
      </c>
      <c r="J69" s="1">
        <v>0.2</v>
      </c>
      <c r="K69" s="1">
        <v>13000</v>
      </c>
      <c r="L69" s="2">
        <v>45301</v>
      </c>
    </row>
    <row r="70" spans="1:12" x14ac:dyDescent="0.35">
      <c r="A70" s="1" t="s">
        <v>160</v>
      </c>
      <c r="B70" s="1" t="s">
        <v>161</v>
      </c>
      <c r="C70" s="1" t="s">
        <v>44</v>
      </c>
      <c r="D70" s="1" t="s">
        <v>45</v>
      </c>
      <c r="E70" s="1" t="s">
        <v>46</v>
      </c>
      <c r="F70" s="1" t="s">
        <v>39</v>
      </c>
      <c r="G70" s="1" t="s">
        <v>18</v>
      </c>
      <c r="H70" s="1">
        <v>12865</v>
      </c>
      <c r="I70" s="1"/>
      <c r="J70" s="1"/>
      <c r="K70" s="1">
        <v>13000</v>
      </c>
      <c r="L70" s="2">
        <v>45348</v>
      </c>
    </row>
    <row r="71" spans="1:12" x14ac:dyDescent="0.35">
      <c r="A71" s="1" t="s">
        <v>162</v>
      </c>
      <c r="B71" s="1" t="s">
        <v>163</v>
      </c>
      <c r="C71" s="1" t="s">
        <v>44</v>
      </c>
      <c r="D71" s="1" t="s">
        <v>45</v>
      </c>
      <c r="E71" s="1" t="s">
        <v>16</v>
      </c>
      <c r="F71" s="1" t="s">
        <v>39</v>
      </c>
      <c r="G71" s="1" t="s">
        <v>36</v>
      </c>
      <c r="H71" s="1">
        <v>13024</v>
      </c>
      <c r="I71" s="1"/>
      <c r="J71" s="1"/>
      <c r="K71" s="1">
        <v>13000</v>
      </c>
      <c r="L71" s="2">
        <v>45307</v>
      </c>
    </row>
    <row r="72" spans="1:12" x14ac:dyDescent="0.35">
      <c r="A72" s="1" t="s">
        <v>164</v>
      </c>
      <c r="B72" s="1" t="s">
        <v>113</v>
      </c>
      <c r="C72" s="1" t="s">
        <v>14</v>
      </c>
      <c r="D72" s="1" t="s">
        <v>15</v>
      </c>
      <c r="E72" s="1" t="s">
        <v>32</v>
      </c>
      <c r="F72" s="1" t="s">
        <v>17</v>
      </c>
      <c r="G72" s="1" t="s">
        <v>18</v>
      </c>
      <c r="H72" s="1">
        <v>12720</v>
      </c>
      <c r="I72" s="1" t="s">
        <v>27</v>
      </c>
      <c r="J72" s="1"/>
      <c r="K72" s="1">
        <v>14000</v>
      </c>
      <c r="L72" s="2">
        <v>45321</v>
      </c>
    </row>
    <row r="73" spans="1:12" x14ac:dyDescent="0.35">
      <c r="A73" s="1" t="s">
        <v>165</v>
      </c>
      <c r="B73" s="1" t="s">
        <v>166</v>
      </c>
      <c r="C73" s="1" t="s">
        <v>44</v>
      </c>
      <c r="D73" s="1" t="s">
        <v>45</v>
      </c>
      <c r="E73" s="1" t="s">
        <v>32</v>
      </c>
      <c r="F73" s="1" t="s">
        <v>17</v>
      </c>
      <c r="G73" s="1" t="s">
        <v>18</v>
      </c>
      <c r="H73" s="1">
        <v>14282</v>
      </c>
      <c r="I73" s="1"/>
      <c r="J73" s="1"/>
      <c r="K73" s="1">
        <v>13000</v>
      </c>
      <c r="L73" s="2">
        <v>45334</v>
      </c>
    </row>
    <row r="74" spans="1:12" x14ac:dyDescent="0.35">
      <c r="A74" s="1" t="s">
        <v>167</v>
      </c>
      <c r="B74" s="1" t="s">
        <v>168</v>
      </c>
      <c r="C74" s="1" t="s">
        <v>30</v>
      </c>
      <c r="D74" s="1" t="s">
        <v>31</v>
      </c>
      <c r="E74" s="1" t="s">
        <v>46</v>
      </c>
      <c r="F74" s="1" t="s">
        <v>39</v>
      </c>
      <c r="G74" s="1" t="s">
        <v>26</v>
      </c>
      <c r="H74" s="1">
        <v>18653</v>
      </c>
      <c r="I74" s="1" t="s">
        <v>27</v>
      </c>
      <c r="J74" s="1"/>
      <c r="K74" s="1">
        <v>17000</v>
      </c>
      <c r="L74" s="2">
        <v>45319</v>
      </c>
    </row>
    <row r="75" spans="1:12" x14ac:dyDescent="0.35">
      <c r="A75" s="1" t="s">
        <v>169</v>
      </c>
      <c r="B75" s="1" t="s">
        <v>144</v>
      </c>
      <c r="C75" s="1" t="s">
        <v>61</v>
      </c>
      <c r="D75" s="1" t="s">
        <v>62</v>
      </c>
      <c r="E75" s="1" t="s">
        <v>32</v>
      </c>
      <c r="F75" s="1" t="s">
        <v>39</v>
      </c>
      <c r="G75" s="1" t="s">
        <v>36</v>
      </c>
      <c r="H75" s="1">
        <v>8843</v>
      </c>
      <c r="I75" s="1" t="s">
        <v>33</v>
      </c>
      <c r="J75" s="1">
        <v>0.3</v>
      </c>
      <c r="K75" s="1">
        <v>9000</v>
      </c>
      <c r="L75" s="2">
        <v>45340</v>
      </c>
    </row>
    <row r="76" spans="1:12" x14ac:dyDescent="0.35">
      <c r="A76" s="1" t="s">
        <v>170</v>
      </c>
      <c r="B76" s="1" t="s">
        <v>171</v>
      </c>
      <c r="C76" s="1" t="s">
        <v>30</v>
      </c>
      <c r="D76" s="1" t="s">
        <v>31</v>
      </c>
      <c r="E76" s="1" t="s">
        <v>16</v>
      </c>
      <c r="F76" s="1" t="s">
        <v>17</v>
      </c>
      <c r="G76" s="1" t="s">
        <v>26</v>
      </c>
      <c r="H76" s="1">
        <v>15979</v>
      </c>
      <c r="I76" s="1" t="s">
        <v>33</v>
      </c>
      <c r="J76" s="1">
        <v>0.3</v>
      </c>
      <c r="K76" s="1">
        <v>17000</v>
      </c>
      <c r="L76" s="2">
        <v>45320</v>
      </c>
    </row>
    <row r="77" spans="1:12" x14ac:dyDescent="0.35">
      <c r="A77" s="1" t="s">
        <v>172</v>
      </c>
      <c r="B77" s="1" t="s">
        <v>173</v>
      </c>
      <c r="C77" s="1" t="s">
        <v>30</v>
      </c>
      <c r="D77" s="1" t="s">
        <v>31</v>
      </c>
      <c r="E77" s="1" t="s">
        <v>32</v>
      </c>
      <c r="F77" s="1" t="s">
        <v>17</v>
      </c>
      <c r="G77" s="1" t="s">
        <v>36</v>
      </c>
      <c r="H77" s="1">
        <v>16309</v>
      </c>
      <c r="I77" s="1" t="s">
        <v>27</v>
      </c>
      <c r="J77" s="1"/>
      <c r="K77" s="1">
        <v>17000</v>
      </c>
      <c r="L77" s="2">
        <v>45297</v>
      </c>
    </row>
    <row r="78" spans="1:12" x14ac:dyDescent="0.35">
      <c r="A78" s="1" t="s">
        <v>174</v>
      </c>
      <c r="B78" s="1" t="s">
        <v>175</v>
      </c>
      <c r="C78" s="1" t="s">
        <v>44</v>
      </c>
      <c r="D78" s="1" t="s">
        <v>45</v>
      </c>
      <c r="E78" s="1" t="s">
        <v>46</v>
      </c>
      <c r="F78" s="1" t="s">
        <v>39</v>
      </c>
      <c r="G78" s="1" t="s">
        <v>18</v>
      </c>
      <c r="H78" s="1">
        <v>13893</v>
      </c>
      <c r="I78" s="1" t="s">
        <v>19</v>
      </c>
      <c r="J78" s="1">
        <v>0.2</v>
      </c>
      <c r="K78" s="1">
        <v>13000</v>
      </c>
      <c r="L78" s="2">
        <v>45296</v>
      </c>
    </row>
    <row r="79" spans="1:12" x14ac:dyDescent="0.35">
      <c r="A79" s="1" t="s">
        <v>176</v>
      </c>
      <c r="B79" s="1" t="s">
        <v>177</v>
      </c>
      <c r="C79" s="1" t="s">
        <v>30</v>
      </c>
      <c r="D79" s="1" t="s">
        <v>31</v>
      </c>
      <c r="E79" s="1" t="s">
        <v>16</v>
      </c>
      <c r="F79" s="1" t="s">
        <v>17</v>
      </c>
      <c r="G79" s="1" t="s">
        <v>36</v>
      </c>
      <c r="H79" s="1">
        <v>15255</v>
      </c>
      <c r="I79" s="1" t="s">
        <v>19</v>
      </c>
      <c r="J79" s="1">
        <v>0.2</v>
      </c>
      <c r="K79" s="1">
        <v>17000</v>
      </c>
      <c r="L79" s="2">
        <v>45345</v>
      </c>
    </row>
    <row r="80" spans="1:12" x14ac:dyDescent="0.35">
      <c r="A80" s="1" t="s">
        <v>178</v>
      </c>
      <c r="B80" s="1" t="s">
        <v>177</v>
      </c>
      <c r="C80" s="1" t="s">
        <v>14</v>
      </c>
      <c r="D80" s="1" t="s">
        <v>15</v>
      </c>
      <c r="E80" s="1" t="s">
        <v>16</v>
      </c>
      <c r="F80" s="1" t="s">
        <v>17</v>
      </c>
      <c r="G80" s="1" t="s">
        <v>36</v>
      </c>
      <c r="H80" s="1">
        <v>12024</v>
      </c>
      <c r="I80" s="1" t="s">
        <v>33</v>
      </c>
      <c r="J80" s="1">
        <v>0.3</v>
      </c>
      <c r="K80" s="1">
        <v>14000</v>
      </c>
      <c r="L80" s="2">
        <v>45311</v>
      </c>
    </row>
    <row r="81" spans="1:12" x14ac:dyDescent="0.35">
      <c r="A81" s="1" t="s">
        <v>179</v>
      </c>
      <c r="B81" s="1" t="s">
        <v>180</v>
      </c>
      <c r="C81" s="1" t="s">
        <v>61</v>
      </c>
      <c r="D81" s="1" t="s">
        <v>62</v>
      </c>
      <c r="E81" s="1" t="s">
        <v>16</v>
      </c>
      <c r="F81" s="1" t="s">
        <v>39</v>
      </c>
      <c r="G81" s="1" t="s">
        <v>26</v>
      </c>
      <c r="H81" s="1">
        <v>9236</v>
      </c>
      <c r="I81" s="1" t="s">
        <v>27</v>
      </c>
      <c r="J81" s="1"/>
      <c r="K81" s="1">
        <v>9000</v>
      </c>
      <c r="L81" s="2">
        <v>45349</v>
      </c>
    </row>
    <row r="82" spans="1:12" x14ac:dyDescent="0.35">
      <c r="A82" s="1" t="s">
        <v>181</v>
      </c>
      <c r="B82" s="1" t="s">
        <v>29</v>
      </c>
      <c r="C82" s="1" t="s">
        <v>44</v>
      </c>
      <c r="D82" s="1" t="s">
        <v>45</v>
      </c>
      <c r="E82" s="1" t="s">
        <v>46</v>
      </c>
      <c r="F82" s="1" t="s">
        <v>17</v>
      </c>
      <c r="G82" s="1" t="s">
        <v>36</v>
      </c>
      <c r="H82" s="1">
        <v>11118</v>
      </c>
      <c r="I82" s="1"/>
      <c r="J82" s="1"/>
      <c r="K82" s="1">
        <v>13000</v>
      </c>
      <c r="L82" s="2">
        <v>45313</v>
      </c>
    </row>
    <row r="83" spans="1:12" x14ac:dyDescent="0.35">
      <c r="A83" s="1" t="s">
        <v>182</v>
      </c>
      <c r="B83" s="1" t="s">
        <v>92</v>
      </c>
      <c r="C83" s="1" t="s">
        <v>61</v>
      </c>
      <c r="D83" s="1" t="s">
        <v>62</v>
      </c>
      <c r="E83" s="1" t="s">
        <v>16</v>
      </c>
      <c r="F83" s="1" t="s">
        <v>25</v>
      </c>
      <c r="G83" s="1" t="s">
        <v>36</v>
      </c>
      <c r="H83" s="1">
        <v>10766</v>
      </c>
      <c r="I83" s="1" t="s">
        <v>19</v>
      </c>
      <c r="J83" s="1">
        <v>0.2</v>
      </c>
      <c r="K83" s="1">
        <v>9000</v>
      </c>
      <c r="L83" s="2">
        <v>45331</v>
      </c>
    </row>
    <row r="84" spans="1:12" x14ac:dyDescent="0.35">
      <c r="A84" s="1" t="s">
        <v>183</v>
      </c>
      <c r="B84" s="1" t="s">
        <v>184</v>
      </c>
      <c r="C84" s="1" t="s">
        <v>61</v>
      </c>
      <c r="D84" s="1" t="s">
        <v>62</v>
      </c>
      <c r="E84" s="1" t="s">
        <v>16</v>
      </c>
      <c r="F84" s="1" t="s">
        <v>39</v>
      </c>
      <c r="G84" s="1" t="s">
        <v>26</v>
      </c>
      <c r="H84" s="1">
        <v>7111</v>
      </c>
      <c r="I84" s="1" t="s">
        <v>22</v>
      </c>
      <c r="J84" s="1">
        <v>0.1</v>
      </c>
      <c r="K84" s="1">
        <v>9000</v>
      </c>
      <c r="L84" s="2">
        <v>45333</v>
      </c>
    </row>
    <row r="85" spans="1:12" x14ac:dyDescent="0.35">
      <c r="A85" s="1" t="s">
        <v>185</v>
      </c>
      <c r="B85" s="1" t="s">
        <v>186</v>
      </c>
      <c r="C85" s="1" t="s">
        <v>61</v>
      </c>
      <c r="D85" s="1" t="s">
        <v>62</v>
      </c>
      <c r="E85" s="1" t="s">
        <v>32</v>
      </c>
      <c r="F85" s="1" t="s">
        <v>25</v>
      </c>
      <c r="G85" s="1" t="s">
        <v>36</v>
      </c>
      <c r="H85" s="1">
        <v>8552</v>
      </c>
      <c r="I85" s="1" t="s">
        <v>33</v>
      </c>
      <c r="J85" s="1">
        <v>0.3</v>
      </c>
      <c r="K85" s="1">
        <v>9000</v>
      </c>
      <c r="L85" s="2">
        <v>45305</v>
      </c>
    </row>
    <row r="86" spans="1:12" x14ac:dyDescent="0.35">
      <c r="A86" s="1" t="s">
        <v>187</v>
      </c>
      <c r="B86" s="1" t="s">
        <v>188</v>
      </c>
      <c r="C86" s="1" t="s">
        <v>30</v>
      </c>
      <c r="D86" s="1" t="s">
        <v>31</v>
      </c>
      <c r="E86" s="1" t="s">
        <v>46</v>
      </c>
      <c r="F86" s="1" t="s">
        <v>17</v>
      </c>
      <c r="G86" s="1" t="s">
        <v>36</v>
      </c>
      <c r="H86" s="1">
        <v>16033</v>
      </c>
      <c r="I86" s="1" t="s">
        <v>22</v>
      </c>
      <c r="J86" s="1">
        <v>0.1</v>
      </c>
      <c r="K86" s="1">
        <v>17000</v>
      </c>
      <c r="L86" s="2">
        <v>45322</v>
      </c>
    </row>
    <row r="87" spans="1:12" x14ac:dyDescent="0.35">
      <c r="A87" s="1" t="s">
        <v>189</v>
      </c>
      <c r="B87" s="1" t="s">
        <v>190</v>
      </c>
      <c r="C87" s="1" t="s">
        <v>14</v>
      </c>
      <c r="D87" s="1" t="s">
        <v>15</v>
      </c>
      <c r="E87" s="1" t="s">
        <v>46</v>
      </c>
      <c r="F87" s="1" t="s">
        <v>25</v>
      </c>
      <c r="G87" s="1" t="s">
        <v>26</v>
      </c>
      <c r="H87" s="1">
        <v>12281</v>
      </c>
      <c r="I87" s="1" t="s">
        <v>22</v>
      </c>
      <c r="J87" s="1">
        <v>0.1</v>
      </c>
      <c r="K87" s="1">
        <v>14000</v>
      </c>
      <c r="L87" s="2">
        <v>45340</v>
      </c>
    </row>
    <row r="88" spans="1:12" x14ac:dyDescent="0.35">
      <c r="A88" s="1" t="s">
        <v>191</v>
      </c>
      <c r="B88" s="1" t="s">
        <v>192</v>
      </c>
      <c r="C88" s="1" t="s">
        <v>44</v>
      </c>
      <c r="D88" s="1" t="s">
        <v>45</v>
      </c>
      <c r="E88" s="1" t="s">
        <v>32</v>
      </c>
      <c r="F88" s="1" t="s">
        <v>39</v>
      </c>
      <c r="G88" s="1" t="s">
        <v>18</v>
      </c>
      <c r="H88" s="1">
        <v>11977</v>
      </c>
      <c r="I88" s="1" t="s">
        <v>19</v>
      </c>
      <c r="J88" s="1">
        <v>0.2</v>
      </c>
      <c r="K88" s="1">
        <v>13000</v>
      </c>
      <c r="L88" s="2">
        <v>45322</v>
      </c>
    </row>
    <row r="89" spans="1:12" x14ac:dyDescent="0.35">
      <c r="A89" s="1" t="s">
        <v>193</v>
      </c>
      <c r="B89" s="1" t="s">
        <v>13</v>
      </c>
      <c r="C89" s="1" t="s">
        <v>44</v>
      </c>
      <c r="D89" s="1" t="s">
        <v>45</v>
      </c>
      <c r="E89" s="1" t="s">
        <v>46</v>
      </c>
      <c r="F89" s="1" t="s">
        <v>39</v>
      </c>
      <c r="G89" s="1" t="s">
        <v>36</v>
      </c>
      <c r="H89" s="1">
        <v>14141</v>
      </c>
      <c r="I89" s="1" t="s">
        <v>33</v>
      </c>
      <c r="J89" s="1">
        <v>0.3</v>
      </c>
      <c r="K89" s="1">
        <v>13000</v>
      </c>
      <c r="L89" s="2">
        <v>45302</v>
      </c>
    </row>
    <row r="90" spans="1:12" x14ac:dyDescent="0.35">
      <c r="A90" s="1" t="s">
        <v>194</v>
      </c>
      <c r="B90" s="1" t="s">
        <v>195</v>
      </c>
      <c r="C90" s="1" t="s">
        <v>14</v>
      </c>
      <c r="D90" s="1" t="s">
        <v>15</v>
      </c>
      <c r="E90" s="1" t="s">
        <v>32</v>
      </c>
      <c r="F90" s="1" t="s">
        <v>17</v>
      </c>
      <c r="G90" s="1" t="s">
        <v>18</v>
      </c>
      <c r="H90" s="1">
        <v>14370</v>
      </c>
      <c r="I90" s="1" t="s">
        <v>22</v>
      </c>
      <c r="J90" s="1">
        <v>0.1</v>
      </c>
      <c r="K90" s="1">
        <v>14000</v>
      </c>
      <c r="L90" s="2">
        <v>45351</v>
      </c>
    </row>
    <row r="91" spans="1:12" x14ac:dyDescent="0.35">
      <c r="A91" s="1" t="s">
        <v>196</v>
      </c>
      <c r="B91" s="1" t="s">
        <v>118</v>
      </c>
      <c r="C91" s="1" t="s">
        <v>61</v>
      </c>
      <c r="D91" s="1" t="s">
        <v>62</v>
      </c>
      <c r="E91" s="1" t="s">
        <v>46</v>
      </c>
      <c r="F91" s="1" t="s">
        <v>39</v>
      </c>
      <c r="G91" s="1" t="s">
        <v>18</v>
      </c>
      <c r="H91" s="1">
        <v>7311</v>
      </c>
      <c r="I91" s="1" t="s">
        <v>27</v>
      </c>
      <c r="J91" s="1"/>
      <c r="K91" s="1">
        <v>9000</v>
      </c>
      <c r="L91" s="2">
        <v>45336</v>
      </c>
    </row>
    <row r="92" spans="1:12" x14ac:dyDescent="0.35">
      <c r="A92" s="1" t="s">
        <v>197</v>
      </c>
      <c r="B92" s="1" t="s">
        <v>198</v>
      </c>
      <c r="C92" s="1" t="s">
        <v>44</v>
      </c>
      <c r="D92" s="1" t="s">
        <v>45</v>
      </c>
      <c r="E92" s="1" t="s">
        <v>32</v>
      </c>
      <c r="F92" s="1" t="s">
        <v>39</v>
      </c>
      <c r="G92" s="1" t="s">
        <v>36</v>
      </c>
      <c r="H92" s="1">
        <v>14482</v>
      </c>
      <c r="I92" s="1" t="s">
        <v>27</v>
      </c>
      <c r="J92" s="1"/>
      <c r="K92" s="1">
        <v>13000</v>
      </c>
      <c r="L92" s="2">
        <v>45343</v>
      </c>
    </row>
    <row r="93" spans="1:12" x14ac:dyDescent="0.35">
      <c r="A93" s="1" t="s">
        <v>199</v>
      </c>
      <c r="B93" s="1" t="s">
        <v>200</v>
      </c>
      <c r="C93" s="1" t="s">
        <v>14</v>
      </c>
      <c r="D93" s="1" t="s">
        <v>15</v>
      </c>
      <c r="E93" s="1" t="s">
        <v>46</v>
      </c>
      <c r="F93" s="1" t="s">
        <v>39</v>
      </c>
      <c r="G93" s="1" t="s">
        <v>36</v>
      </c>
      <c r="H93" s="1">
        <v>14709</v>
      </c>
      <c r="I93" s="1" t="s">
        <v>33</v>
      </c>
      <c r="J93" s="1">
        <v>0.3</v>
      </c>
      <c r="K93" s="1">
        <v>14000</v>
      </c>
      <c r="L93" s="2">
        <v>45296</v>
      </c>
    </row>
    <row r="94" spans="1:12" x14ac:dyDescent="0.35">
      <c r="A94" s="1" t="s">
        <v>201</v>
      </c>
      <c r="B94" s="1" t="s">
        <v>202</v>
      </c>
      <c r="C94" s="1" t="s">
        <v>30</v>
      </c>
      <c r="D94" s="1" t="s">
        <v>31</v>
      </c>
      <c r="E94" s="1" t="s">
        <v>32</v>
      </c>
      <c r="F94" s="1" t="s">
        <v>17</v>
      </c>
      <c r="G94" s="1" t="s">
        <v>36</v>
      </c>
      <c r="H94" s="1">
        <v>15432</v>
      </c>
      <c r="I94" s="1"/>
      <c r="J94" s="1"/>
      <c r="K94" s="1">
        <v>17000</v>
      </c>
      <c r="L94" s="2">
        <v>45315</v>
      </c>
    </row>
    <row r="95" spans="1:12" x14ac:dyDescent="0.35">
      <c r="A95" s="1" t="s">
        <v>203</v>
      </c>
      <c r="B95" s="1" t="s">
        <v>204</v>
      </c>
      <c r="C95" s="1" t="s">
        <v>61</v>
      </c>
      <c r="D95" s="1" t="s">
        <v>62</v>
      </c>
      <c r="E95" s="1" t="s">
        <v>16</v>
      </c>
      <c r="F95" s="1" t="s">
        <v>25</v>
      </c>
      <c r="G95" s="1" t="s">
        <v>36</v>
      </c>
      <c r="H95" s="1">
        <v>7721</v>
      </c>
      <c r="I95" s="1" t="s">
        <v>27</v>
      </c>
      <c r="J95" s="1"/>
      <c r="K95" s="1">
        <v>9000</v>
      </c>
      <c r="L95" s="2">
        <v>45333</v>
      </c>
    </row>
    <row r="96" spans="1:12" x14ac:dyDescent="0.35">
      <c r="A96" s="1" t="s">
        <v>205</v>
      </c>
      <c r="B96" s="1" t="s">
        <v>118</v>
      </c>
      <c r="C96" s="1" t="s">
        <v>61</v>
      </c>
      <c r="D96" s="1" t="s">
        <v>62</v>
      </c>
      <c r="E96" s="1" t="s">
        <v>46</v>
      </c>
      <c r="F96" s="1" t="s">
        <v>17</v>
      </c>
      <c r="G96" s="1" t="s">
        <v>26</v>
      </c>
      <c r="H96" s="1">
        <v>9426</v>
      </c>
      <c r="I96" s="1" t="s">
        <v>33</v>
      </c>
      <c r="J96" s="1">
        <v>0.3</v>
      </c>
      <c r="K96" s="1">
        <v>9000</v>
      </c>
      <c r="L96" s="2">
        <v>45312</v>
      </c>
    </row>
    <row r="97" spans="1:12" x14ac:dyDescent="0.35">
      <c r="A97" s="1" t="s">
        <v>206</v>
      </c>
      <c r="B97" s="1" t="s">
        <v>207</v>
      </c>
      <c r="C97" s="1" t="s">
        <v>14</v>
      </c>
      <c r="D97" s="1" t="s">
        <v>15</v>
      </c>
      <c r="E97" s="1" t="s">
        <v>46</v>
      </c>
      <c r="F97" s="1" t="s">
        <v>17</v>
      </c>
      <c r="G97" s="1" t="s">
        <v>18</v>
      </c>
      <c r="H97" s="1">
        <v>15073</v>
      </c>
      <c r="I97" s="1"/>
      <c r="J97" s="1"/>
      <c r="K97" s="1">
        <v>14000</v>
      </c>
      <c r="L97" s="2">
        <v>45328</v>
      </c>
    </row>
    <row r="98" spans="1:12" x14ac:dyDescent="0.35">
      <c r="A98" s="1" t="s">
        <v>208</v>
      </c>
      <c r="B98" s="1" t="s">
        <v>209</v>
      </c>
      <c r="C98" s="1" t="s">
        <v>61</v>
      </c>
      <c r="D98" s="1" t="s">
        <v>62</v>
      </c>
      <c r="E98" s="1" t="s">
        <v>46</v>
      </c>
      <c r="F98" s="1" t="s">
        <v>25</v>
      </c>
      <c r="G98" s="1" t="s">
        <v>36</v>
      </c>
      <c r="H98" s="1">
        <v>10485</v>
      </c>
      <c r="I98" s="1" t="s">
        <v>33</v>
      </c>
      <c r="J98" s="1">
        <v>0.3</v>
      </c>
      <c r="K98" s="1">
        <v>9000</v>
      </c>
      <c r="L98" s="2">
        <v>45303</v>
      </c>
    </row>
    <row r="99" spans="1:12" x14ac:dyDescent="0.35">
      <c r="A99" s="1" t="s">
        <v>210</v>
      </c>
      <c r="B99" s="1" t="s">
        <v>211</v>
      </c>
      <c r="C99" s="1" t="s">
        <v>30</v>
      </c>
      <c r="D99" s="1" t="s">
        <v>31</v>
      </c>
      <c r="E99" s="1" t="s">
        <v>46</v>
      </c>
      <c r="F99" s="1" t="s">
        <v>17</v>
      </c>
      <c r="G99" s="1" t="s">
        <v>36</v>
      </c>
      <c r="H99" s="1">
        <v>18605</v>
      </c>
      <c r="I99" s="1" t="s">
        <v>27</v>
      </c>
      <c r="J99" s="1"/>
      <c r="K99" s="1">
        <v>17000</v>
      </c>
      <c r="L99" s="2">
        <v>45336</v>
      </c>
    </row>
    <row r="100" spans="1:12" x14ac:dyDescent="0.35">
      <c r="A100" s="1" t="s">
        <v>212</v>
      </c>
      <c r="B100" s="1" t="s">
        <v>111</v>
      </c>
      <c r="C100" s="1" t="s">
        <v>14</v>
      </c>
      <c r="D100" s="1" t="s">
        <v>15</v>
      </c>
      <c r="E100" s="1" t="s">
        <v>16</v>
      </c>
      <c r="F100" s="1" t="s">
        <v>25</v>
      </c>
      <c r="G100" s="1" t="s">
        <v>18</v>
      </c>
      <c r="H100" s="1">
        <v>12988</v>
      </c>
      <c r="I100" s="1"/>
      <c r="J100" s="1"/>
      <c r="K100" s="1">
        <v>14000</v>
      </c>
      <c r="L100" s="2">
        <v>45323</v>
      </c>
    </row>
    <row r="101" spans="1:12" x14ac:dyDescent="0.35">
      <c r="A101" s="1" t="s">
        <v>213</v>
      </c>
      <c r="B101" s="1" t="s">
        <v>82</v>
      </c>
      <c r="C101" s="1" t="s">
        <v>44</v>
      </c>
      <c r="D101" s="1" t="s">
        <v>45</v>
      </c>
      <c r="E101" s="1" t="s">
        <v>16</v>
      </c>
      <c r="F101" s="1" t="s">
        <v>17</v>
      </c>
      <c r="G101" s="1" t="s">
        <v>26</v>
      </c>
      <c r="H101" s="1">
        <v>13915</v>
      </c>
      <c r="I101" s="1"/>
      <c r="J101" s="1"/>
      <c r="K101" s="1">
        <v>13000</v>
      </c>
      <c r="L101" s="2">
        <v>45320</v>
      </c>
    </row>
    <row r="102" spans="1:12" x14ac:dyDescent="0.35">
      <c r="A102" s="1" t="s">
        <v>214</v>
      </c>
      <c r="B102" s="1" t="s">
        <v>64</v>
      </c>
      <c r="C102" s="1" t="s">
        <v>14</v>
      </c>
      <c r="D102" s="1" t="s">
        <v>15</v>
      </c>
      <c r="E102" s="1" t="s">
        <v>46</v>
      </c>
      <c r="F102" s="1" t="s">
        <v>25</v>
      </c>
      <c r="G102" s="1" t="s">
        <v>36</v>
      </c>
      <c r="H102" s="1">
        <v>14833</v>
      </c>
      <c r="I102" s="1" t="s">
        <v>19</v>
      </c>
      <c r="J102" s="1">
        <v>0.2</v>
      </c>
      <c r="K102" s="1">
        <v>14000</v>
      </c>
      <c r="L102" s="2">
        <v>45311</v>
      </c>
    </row>
    <row r="103" spans="1:12" x14ac:dyDescent="0.35">
      <c r="A103" s="1" t="s">
        <v>215</v>
      </c>
      <c r="B103" s="1" t="s">
        <v>163</v>
      </c>
      <c r="C103" s="1" t="s">
        <v>30</v>
      </c>
      <c r="D103" s="1" t="s">
        <v>31</v>
      </c>
      <c r="E103" s="1" t="s">
        <v>46</v>
      </c>
      <c r="F103" s="1" t="s">
        <v>39</v>
      </c>
      <c r="G103" s="1" t="s">
        <v>26</v>
      </c>
      <c r="H103" s="1">
        <v>16408</v>
      </c>
      <c r="I103" s="1"/>
      <c r="J103" s="1"/>
      <c r="K103" s="1">
        <v>17000</v>
      </c>
      <c r="L103" s="2">
        <v>45339</v>
      </c>
    </row>
    <row r="104" spans="1:12" x14ac:dyDescent="0.35">
      <c r="A104" s="1" t="s">
        <v>216</v>
      </c>
      <c r="B104" s="1" t="s">
        <v>217</v>
      </c>
      <c r="C104" s="1" t="s">
        <v>30</v>
      </c>
      <c r="D104" s="1" t="s">
        <v>31</v>
      </c>
      <c r="E104" s="1" t="s">
        <v>16</v>
      </c>
      <c r="F104" s="1" t="s">
        <v>17</v>
      </c>
      <c r="G104" s="1" t="s">
        <v>36</v>
      </c>
      <c r="H104" s="1">
        <v>16255</v>
      </c>
      <c r="I104" s="1" t="s">
        <v>33</v>
      </c>
      <c r="J104" s="1">
        <v>0.3</v>
      </c>
      <c r="K104" s="1">
        <v>17000</v>
      </c>
      <c r="L104" s="2">
        <v>45306</v>
      </c>
    </row>
    <row r="105" spans="1:12" x14ac:dyDescent="0.35">
      <c r="A105" s="1" t="s">
        <v>218</v>
      </c>
      <c r="B105" s="1" t="s">
        <v>173</v>
      </c>
      <c r="C105" s="1" t="s">
        <v>44</v>
      </c>
      <c r="D105" s="1" t="s">
        <v>45</v>
      </c>
      <c r="E105" s="1" t="s">
        <v>46</v>
      </c>
      <c r="F105" s="1" t="s">
        <v>25</v>
      </c>
      <c r="G105" s="1" t="s">
        <v>26</v>
      </c>
      <c r="H105" s="1">
        <v>13194</v>
      </c>
      <c r="I105" s="1" t="s">
        <v>19</v>
      </c>
      <c r="J105" s="1">
        <v>0.2</v>
      </c>
      <c r="K105" s="1">
        <v>13000</v>
      </c>
      <c r="L105" s="2">
        <v>45304</v>
      </c>
    </row>
    <row r="106" spans="1:12" x14ac:dyDescent="0.35">
      <c r="A106" s="1" t="s">
        <v>219</v>
      </c>
      <c r="B106" s="1" t="s">
        <v>220</v>
      </c>
      <c r="C106" s="1" t="s">
        <v>61</v>
      </c>
      <c r="D106" s="1" t="s">
        <v>62</v>
      </c>
      <c r="E106" s="1" t="s">
        <v>46</v>
      </c>
      <c r="F106" s="1" t="s">
        <v>39</v>
      </c>
      <c r="G106" s="1" t="s">
        <v>26</v>
      </c>
      <c r="H106" s="1">
        <v>11000</v>
      </c>
      <c r="I106" s="1" t="s">
        <v>27</v>
      </c>
      <c r="J106" s="1"/>
      <c r="K106" s="1">
        <v>9000</v>
      </c>
      <c r="L106" s="2">
        <v>45330</v>
      </c>
    </row>
    <row r="107" spans="1:12" x14ac:dyDescent="0.35">
      <c r="A107" s="1" t="s">
        <v>221</v>
      </c>
      <c r="B107" s="1" t="s">
        <v>222</v>
      </c>
      <c r="C107" s="1" t="s">
        <v>44</v>
      </c>
      <c r="D107" s="1" t="s">
        <v>45</v>
      </c>
      <c r="E107" s="1" t="s">
        <v>46</v>
      </c>
      <c r="F107" s="1" t="s">
        <v>25</v>
      </c>
      <c r="G107" s="1" t="s">
        <v>36</v>
      </c>
      <c r="H107" s="1">
        <v>11734</v>
      </c>
      <c r="I107" s="1" t="s">
        <v>33</v>
      </c>
      <c r="J107" s="1">
        <v>0.3</v>
      </c>
      <c r="K107" s="1">
        <v>13000</v>
      </c>
      <c r="L107" s="2">
        <v>45292</v>
      </c>
    </row>
    <row r="108" spans="1:12" x14ac:dyDescent="0.35">
      <c r="A108" s="1" t="s">
        <v>223</v>
      </c>
      <c r="B108" s="1" t="s">
        <v>103</v>
      </c>
      <c r="C108" s="1" t="s">
        <v>44</v>
      </c>
      <c r="D108" s="1" t="s">
        <v>45</v>
      </c>
      <c r="E108" s="1" t="s">
        <v>46</v>
      </c>
      <c r="F108" s="1" t="s">
        <v>25</v>
      </c>
      <c r="G108" s="1" t="s">
        <v>18</v>
      </c>
      <c r="H108" s="1">
        <v>13266</v>
      </c>
      <c r="I108" s="1" t="s">
        <v>33</v>
      </c>
      <c r="J108" s="1">
        <v>0.3</v>
      </c>
      <c r="K108" s="1">
        <v>13000</v>
      </c>
      <c r="L108" s="2">
        <v>45336</v>
      </c>
    </row>
    <row r="109" spans="1:12" x14ac:dyDescent="0.35">
      <c r="A109" s="1" t="s">
        <v>224</v>
      </c>
      <c r="B109" s="1" t="s">
        <v>113</v>
      </c>
      <c r="C109" s="1" t="s">
        <v>61</v>
      </c>
      <c r="D109" s="1" t="s">
        <v>62</v>
      </c>
      <c r="E109" s="1" t="s">
        <v>32</v>
      </c>
      <c r="F109" s="1" t="s">
        <v>25</v>
      </c>
      <c r="G109" s="1" t="s">
        <v>26</v>
      </c>
      <c r="H109" s="1">
        <v>8164</v>
      </c>
      <c r="I109" s="1"/>
      <c r="J109" s="1"/>
      <c r="K109" s="1">
        <v>9000</v>
      </c>
      <c r="L109" s="2">
        <v>45322</v>
      </c>
    </row>
    <row r="110" spans="1:12" x14ac:dyDescent="0.35">
      <c r="A110" s="1" t="s">
        <v>225</v>
      </c>
      <c r="B110" s="1" t="s">
        <v>188</v>
      </c>
      <c r="C110" s="1" t="s">
        <v>44</v>
      </c>
      <c r="D110" s="1" t="s">
        <v>45</v>
      </c>
      <c r="E110" s="1" t="s">
        <v>32</v>
      </c>
      <c r="F110" s="1" t="s">
        <v>17</v>
      </c>
      <c r="G110" s="1" t="s">
        <v>36</v>
      </c>
      <c r="H110" s="1">
        <v>11467</v>
      </c>
      <c r="I110" s="1" t="s">
        <v>22</v>
      </c>
      <c r="J110" s="1">
        <v>0.1</v>
      </c>
      <c r="K110" s="1">
        <v>13000</v>
      </c>
      <c r="L110" s="2">
        <v>45317</v>
      </c>
    </row>
    <row r="111" spans="1:12" x14ac:dyDescent="0.35">
      <c r="A111" s="1" t="s">
        <v>226</v>
      </c>
      <c r="B111" s="1" t="s">
        <v>227</v>
      </c>
      <c r="C111" s="1" t="s">
        <v>14</v>
      </c>
      <c r="D111" s="1" t="s">
        <v>15</v>
      </c>
      <c r="E111" s="1" t="s">
        <v>32</v>
      </c>
      <c r="F111" s="1" t="s">
        <v>25</v>
      </c>
      <c r="G111" s="1" t="s">
        <v>26</v>
      </c>
      <c r="H111" s="1">
        <v>15887</v>
      </c>
      <c r="I111" s="1" t="s">
        <v>33</v>
      </c>
      <c r="J111" s="1">
        <v>0.3</v>
      </c>
      <c r="K111" s="1">
        <v>14000</v>
      </c>
      <c r="L111" s="2">
        <v>45297</v>
      </c>
    </row>
    <row r="112" spans="1:12" x14ac:dyDescent="0.35">
      <c r="A112" s="1" t="s">
        <v>228</v>
      </c>
      <c r="B112" s="1" t="s">
        <v>229</v>
      </c>
      <c r="C112" s="1" t="s">
        <v>61</v>
      </c>
      <c r="D112" s="1" t="s">
        <v>62</v>
      </c>
      <c r="E112" s="1" t="s">
        <v>16</v>
      </c>
      <c r="F112" s="1" t="s">
        <v>39</v>
      </c>
      <c r="G112" s="1" t="s">
        <v>26</v>
      </c>
      <c r="H112" s="1">
        <v>7924</v>
      </c>
      <c r="I112" s="1" t="s">
        <v>27</v>
      </c>
      <c r="J112" s="1"/>
      <c r="K112" s="1">
        <v>9000</v>
      </c>
      <c r="L112" s="2">
        <v>45316</v>
      </c>
    </row>
    <row r="113" spans="1:12" x14ac:dyDescent="0.35">
      <c r="A113" s="1" t="s">
        <v>230</v>
      </c>
      <c r="B113" s="1" t="s">
        <v>231</v>
      </c>
      <c r="C113" s="1" t="s">
        <v>30</v>
      </c>
      <c r="D113" s="1" t="s">
        <v>31</v>
      </c>
      <c r="E113" s="1" t="s">
        <v>16</v>
      </c>
      <c r="F113" s="1" t="s">
        <v>17</v>
      </c>
      <c r="G113" s="1" t="s">
        <v>36</v>
      </c>
      <c r="H113" s="1">
        <v>17329</v>
      </c>
      <c r="I113" s="1" t="s">
        <v>27</v>
      </c>
      <c r="J113" s="1"/>
      <c r="K113" s="1">
        <v>17000</v>
      </c>
      <c r="L113" s="2">
        <v>45295</v>
      </c>
    </row>
    <row r="114" spans="1:12" x14ac:dyDescent="0.35">
      <c r="A114" s="1" t="s">
        <v>232</v>
      </c>
      <c r="B114" s="1" t="s">
        <v>233</v>
      </c>
      <c r="C114" s="1" t="s">
        <v>14</v>
      </c>
      <c r="D114" s="1" t="s">
        <v>15</v>
      </c>
      <c r="E114" s="1" t="s">
        <v>32</v>
      </c>
      <c r="F114" s="1" t="s">
        <v>39</v>
      </c>
      <c r="G114" s="1" t="s">
        <v>18</v>
      </c>
      <c r="H114" s="1">
        <v>13083</v>
      </c>
      <c r="I114" s="1" t="s">
        <v>22</v>
      </c>
      <c r="J114" s="1">
        <v>0.1</v>
      </c>
      <c r="K114" s="1">
        <v>14000</v>
      </c>
      <c r="L114" s="2">
        <v>45302</v>
      </c>
    </row>
    <row r="115" spans="1:12" x14ac:dyDescent="0.35">
      <c r="A115" s="1" t="s">
        <v>234</v>
      </c>
      <c r="B115" s="1" t="s">
        <v>235</v>
      </c>
      <c r="C115" s="1" t="s">
        <v>14</v>
      </c>
      <c r="D115" s="1" t="s">
        <v>15</v>
      </c>
      <c r="E115" s="1" t="s">
        <v>32</v>
      </c>
      <c r="F115" s="1" t="s">
        <v>25</v>
      </c>
      <c r="G115" s="1" t="s">
        <v>36</v>
      </c>
      <c r="H115" s="1">
        <v>13845</v>
      </c>
      <c r="I115" s="1" t="s">
        <v>27</v>
      </c>
      <c r="J115" s="1"/>
      <c r="K115" s="1">
        <v>14000</v>
      </c>
      <c r="L115" s="2">
        <v>45322</v>
      </c>
    </row>
    <row r="116" spans="1:12" x14ac:dyDescent="0.35">
      <c r="A116" s="1" t="s">
        <v>236</v>
      </c>
      <c r="B116" s="1" t="s">
        <v>237</v>
      </c>
      <c r="C116" s="1" t="s">
        <v>44</v>
      </c>
      <c r="D116" s="1" t="s">
        <v>45</v>
      </c>
      <c r="E116" s="1" t="s">
        <v>46</v>
      </c>
      <c r="F116" s="1" t="s">
        <v>39</v>
      </c>
      <c r="G116" s="1" t="s">
        <v>36</v>
      </c>
      <c r="H116" s="1">
        <v>13879</v>
      </c>
      <c r="I116" s="1"/>
      <c r="J116" s="1"/>
      <c r="K116" s="1">
        <v>13000</v>
      </c>
      <c r="L116" s="2">
        <v>45296</v>
      </c>
    </row>
    <row r="117" spans="1:12" x14ac:dyDescent="0.35">
      <c r="A117" s="1" t="s">
        <v>238</v>
      </c>
      <c r="B117" s="1" t="s">
        <v>239</v>
      </c>
      <c r="C117" s="1" t="s">
        <v>30</v>
      </c>
      <c r="D117" s="1" t="s">
        <v>31</v>
      </c>
      <c r="E117" s="1" t="s">
        <v>16</v>
      </c>
      <c r="F117" s="1" t="s">
        <v>39</v>
      </c>
      <c r="G117" s="1" t="s">
        <v>26</v>
      </c>
      <c r="H117" s="1">
        <v>18292</v>
      </c>
      <c r="I117" s="1" t="s">
        <v>19</v>
      </c>
      <c r="J117" s="1">
        <v>0.2</v>
      </c>
      <c r="K117" s="1">
        <v>17000</v>
      </c>
      <c r="L117" s="2">
        <v>45319</v>
      </c>
    </row>
    <row r="118" spans="1:12" x14ac:dyDescent="0.35">
      <c r="A118" s="1" t="s">
        <v>240</v>
      </c>
      <c r="B118" s="1" t="s">
        <v>241</v>
      </c>
      <c r="C118" s="1" t="s">
        <v>44</v>
      </c>
      <c r="D118" s="1" t="s">
        <v>45</v>
      </c>
      <c r="E118" s="1" t="s">
        <v>16</v>
      </c>
      <c r="F118" s="1" t="s">
        <v>25</v>
      </c>
      <c r="G118" s="1" t="s">
        <v>36</v>
      </c>
      <c r="H118" s="1">
        <v>14385</v>
      </c>
      <c r="I118" s="1" t="s">
        <v>19</v>
      </c>
      <c r="J118" s="1">
        <v>0.2</v>
      </c>
      <c r="K118" s="1">
        <v>13000</v>
      </c>
      <c r="L118" s="2">
        <v>45296</v>
      </c>
    </row>
    <row r="119" spans="1:12" x14ac:dyDescent="0.35">
      <c r="A119" s="1" t="s">
        <v>242</v>
      </c>
      <c r="B119" s="1" t="s">
        <v>243</v>
      </c>
      <c r="C119" s="1" t="s">
        <v>30</v>
      </c>
      <c r="D119" s="1" t="s">
        <v>31</v>
      </c>
      <c r="E119" s="1" t="s">
        <v>16</v>
      </c>
      <c r="F119" s="1" t="s">
        <v>39</v>
      </c>
      <c r="G119" s="1" t="s">
        <v>26</v>
      </c>
      <c r="H119" s="1">
        <v>18773</v>
      </c>
      <c r="I119" s="1" t="s">
        <v>33</v>
      </c>
      <c r="J119" s="1">
        <v>0.3</v>
      </c>
      <c r="K119" s="1">
        <v>17000</v>
      </c>
      <c r="L119" s="2">
        <v>45320</v>
      </c>
    </row>
    <row r="120" spans="1:12" x14ac:dyDescent="0.35">
      <c r="A120" s="1" t="s">
        <v>244</v>
      </c>
      <c r="B120" s="1" t="s">
        <v>245</v>
      </c>
      <c r="C120" s="1" t="s">
        <v>30</v>
      </c>
      <c r="D120" s="1" t="s">
        <v>31</v>
      </c>
      <c r="E120" s="1" t="s">
        <v>16</v>
      </c>
      <c r="F120" s="1" t="s">
        <v>17</v>
      </c>
      <c r="G120" s="1" t="s">
        <v>36</v>
      </c>
      <c r="H120" s="1">
        <v>17049</v>
      </c>
      <c r="I120" s="1" t="s">
        <v>27</v>
      </c>
      <c r="J120" s="1"/>
      <c r="K120" s="1">
        <v>17000</v>
      </c>
      <c r="L120" s="2">
        <v>45323</v>
      </c>
    </row>
    <row r="121" spans="1:12" x14ac:dyDescent="0.35">
      <c r="A121" s="1" t="s">
        <v>246</v>
      </c>
      <c r="B121" s="1" t="s">
        <v>227</v>
      </c>
      <c r="C121" s="1" t="s">
        <v>14</v>
      </c>
      <c r="D121" s="1" t="s">
        <v>15</v>
      </c>
      <c r="E121" s="1" t="s">
        <v>46</v>
      </c>
      <c r="F121" s="1" t="s">
        <v>39</v>
      </c>
      <c r="G121" s="1" t="s">
        <v>36</v>
      </c>
      <c r="H121" s="1">
        <v>14472</v>
      </c>
      <c r="I121" s="1" t="s">
        <v>33</v>
      </c>
      <c r="J121" s="1">
        <v>0.3</v>
      </c>
      <c r="K121" s="1">
        <v>14000</v>
      </c>
      <c r="L121" s="2">
        <v>45293</v>
      </c>
    </row>
    <row r="122" spans="1:12" x14ac:dyDescent="0.35">
      <c r="A122" s="1" t="s">
        <v>247</v>
      </c>
      <c r="B122" s="1" t="s">
        <v>248</v>
      </c>
      <c r="C122" s="1" t="s">
        <v>14</v>
      </c>
      <c r="D122" s="1" t="s">
        <v>15</v>
      </c>
      <c r="E122" s="1" t="s">
        <v>16</v>
      </c>
      <c r="F122" s="1" t="s">
        <v>17</v>
      </c>
      <c r="G122" s="1" t="s">
        <v>26</v>
      </c>
      <c r="H122" s="1">
        <v>12164</v>
      </c>
      <c r="I122" s="1" t="s">
        <v>19</v>
      </c>
      <c r="J122" s="1">
        <v>0.2</v>
      </c>
      <c r="K122" s="1">
        <v>14000</v>
      </c>
      <c r="L122" s="2">
        <v>45322</v>
      </c>
    </row>
    <row r="123" spans="1:12" x14ac:dyDescent="0.35">
      <c r="A123" s="1" t="s">
        <v>249</v>
      </c>
      <c r="B123" s="1" t="s">
        <v>202</v>
      </c>
      <c r="C123" s="1" t="s">
        <v>61</v>
      </c>
      <c r="D123" s="1" t="s">
        <v>62</v>
      </c>
      <c r="E123" s="1" t="s">
        <v>46</v>
      </c>
      <c r="F123" s="1" t="s">
        <v>25</v>
      </c>
      <c r="G123" s="1" t="s">
        <v>26</v>
      </c>
      <c r="H123" s="1">
        <v>8785</v>
      </c>
      <c r="I123" s="1"/>
      <c r="J123" s="1"/>
      <c r="K123" s="1">
        <v>9000</v>
      </c>
      <c r="L123" s="2">
        <v>45297</v>
      </c>
    </row>
    <row r="124" spans="1:12" x14ac:dyDescent="0.35">
      <c r="A124" s="1" t="s">
        <v>250</v>
      </c>
      <c r="B124" s="1" t="s">
        <v>188</v>
      </c>
      <c r="C124" s="1" t="s">
        <v>61</v>
      </c>
      <c r="D124" s="1" t="s">
        <v>62</v>
      </c>
      <c r="E124" s="1" t="s">
        <v>46</v>
      </c>
      <c r="F124" s="1" t="s">
        <v>17</v>
      </c>
      <c r="G124" s="1" t="s">
        <v>26</v>
      </c>
      <c r="H124" s="1">
        <v>7428</v>
      </c>
      <c r="I124" s="1" t="s">
        <v>19</v>
      </c>
      <c r="J124" s="1">
        <v>0.2</v>
      </c>
      <c r="K124" s="1">
        <v>9000</v>
      </c>
      <c r="L124" s="2">
        <v>45313</v>
      </c>
    </row>
    <row r="125" spans="1:12" x14ac:dyDescent="0.35">
      <c r="A125" s="1" t="s">
        <v>251</v>
      </c>
      <c r="B125" s="1" t="s">
        <v>101</v>
      </c>
      <c r="C125" s="1" t="s">
        <v>61</v>
      </c>
      <c r="D125" s="1" t="s">
        <v>62</v>
      </c>
      <c r="E125" s="1" t="s">
        <v>46</v>
      </c>
      <c r="F125" s="1" t="s">
        <v>39</v>
      </c>
      <c r="G125" s="1" t="s">
        <v>36</v>
      </c>
      <c r="H125" s="1">
        <v>10332</v>
      </c>
      <c r="I125" s="1" t="s">
        <v>27</v>
      </c>
      <c r="J125" s="1"/>
      <c r="K125" s="1">
        <v>9000</v>
      </c>
      <c r="L125" s="2">
        <v>45294</v>
      </c>
    </row>
    <row r="126" spans="1:12" x14ac:dyDescent="0.35">
      <c r="A126" s="1" t="s">
        <v>252</v>
      </c>
      <c r="B126" s="1" t="s">
        <v>227</v>
      </c>
      <c r="C126" s="1" t="s">
        <v>30</v>
      </c>
      <c r="D126" s="1" t="s">
        <v>31</v>
      </c>
      <c r="E126" s="1" t="s">
        <v>46</v>
      </c>
      <c r="F126" s="1" t="s">
        <v>17</v>
      </c>
      <c r="G126" s="1" t="s">
        <v>18</v>
      </c>
      <c r="H126" s="1">
        <v>18973</v>
      </c>
      <c r="I126" s="1"/>
      <c r="J126" s="1"/>
      <c r="K126" s="1">
        <v>17000</v>
      </c>
      <c r="L126" s="2">
        <v>45347</v>
      </c>
    </row>
    <row r="127" spans="1:12" x14ac:dyDescent="0.35">
      <c r="A127" s="1" t="s">
        <v>253</v>
      </c>
      <c r="B127" s="1" t="s">
        <v>105</v>
      </c>
      <c r="C127" s="1" t="s">
        <v>14</v>
      </c>
      <c r="D127" s="1" t="s">
        <v>15</v>
      </c>
      <c r="E127" s="1" t="s">
        <v>16</v>
      </c>
      <c r="F127" s="1" t="s">
        <v>39</v>
      </c>
      <c r="G127" s="1" t="s">
        <v>36</v>
      </c>
      <c r="H127" s="1">
        <v>13692</v>
      </c>
      <c r="I127" s="1" t="s">
        <v>22</v>
      </c>
      <c r="J127" s="1">
        <v>0.1</v>
      </c>
      <c r="K127" s="1">
        <v>14000</v>
      </c>
      <c r="L127" s="2">
        <v>45304</v>
      </c>
    </row>
    <row r="128" spans="1:12" x14ac:dyDescent="0.35">
      <c r="A128" s="1" t="s">
        <v>254</v>
      </c>
      <c r="B128" s="1" t="s">
        <v>217</v>
      </c>
      <c r="C128" s="1" t="s">
        <v>61</v>
      </c>
      <c r="D128" s="1" t="s">
        <v>62</v>
      </c>
      <c r="E128" s="1" t="s">
        <v>16</v>
      </c>
      <c r="F128" s="1" t="s">
        <v>17</v>
      </c>
      <c r="G128" s="1" t="s">
        <v>18</v>
      </c>
      <c r="H128" s="1">
        <v>7833</v>
      </c>
      <c r="I128" s="1" t="s">
        <v>33</v>
      </c>
      <c r="J128" s="1">
        <v>0.3</v>
      </c>
      <c r="K128" s="1">
        <v>9000</v>
      </c>
      <c r="L128" s="2">
        <v>45327</v>
      </c>
    </row>
    <row r="129" spans="1:12" x14ac:dyDescent="0.35">
      <c r="A129" s="1" t="s">
        <v>255</v>
      </c>
      <c r="B129" s="1" t="s">
        <v>256</v>
      </c>
      <c r="C129" s="1" t="s">
        <v>61</v>
      </c>
      <c r="D129" s="1" t="s">
        <v>62</v>
      </c>
      <c r="E129" s="1" t="s">
        <v>16</v>
      </c>
      <c r="F129" s="1" t="s">
        <v>17</v>
      </c>
      <c r="G129" s="1" t="s">
        <v>18</v>
      </c>
      <c r="H129" s="1">
        <v>7118</v>
      </c>
      <c r="I129" s="1" t="s">
        <v>27</v>
      </c>
      <c r="J129" s="1"/>
      <c r="K129" s="1">
        <v>9000</v>
      </c>
      <c r="L129" s="2">
        <v>45343</v>
      </c>
    </row>
    <row r="130" spans="1:12" x14ac:dyDescent="0.35">
      <c r="A130" s="1" t="s">
        <v>257</v>
      </c>
      <c r="B130" s="1" t="s">
        <v>220</v>
      </c>
      <c r="C130" s="1" t="s">
        <v>44</v>
      </c>
      <c r="D130" s="1" t="s">
        <v>45</v>
      </c>
      <c r="E130" s="1" t="s">
        <v>46</v>
      </c>
      <c r="F130" s="1" t="s">
        <v>39</v>
      </c>
      <c r="G130" s="1" t="s">
        <v>18</v>
      </c>
      <c r="H130" s="1">
        <v>13262</v>
      </c>
      <c r="I130" s="1"/>
      <c r="J130" s="1"/>
      <c r="K130" s="1">
        <v>13000</v>
      </c>
      <c r="L130" s="2">
        <v>45297</v>
      </c>
    </row>
    <row r="131" spans="1:12" x14ac:dyDescent="0.35">
      <c r="A131" s="1" t="s">
        <v>258</v>
      </c>
      <c r="B131" s="1" t="s">
        <v>171</v>
      </c>
      <c r="C131" s="1" t="s">
        <v>14</v>
      </c>
      <c r="D131" s="1" t="s">
        <v>15</v>
      </c>
      <c r="E131" s="1" t="s">
        <v>46</v>
      </c>
      <c r="F131" s="1" t="s">
        <v>25</v>
      </c>
      <c r="G131" s="1" t="s">
        <v>26</v>
      </c>
      <c r="H131" s="1">
        <v>15408</v>
      </c>
      <c r="I131" s="1" t="s">
        <v>19</v>
      </c>
      <c r="J131" s="1">
        <v>0.2</v>
      </c>
      <c r="K131" s="1">
        <v>14000</v>
      </c>
      <c r="L131" s="2">
        <v>45323</v>
      </c>
    </row>
    <row r="132" spans="1:12" x14ac:dyDescent="0.35">
      <c r="A132" s="1" t="s">
        <v>259</v>
      </c>
      <c r="B132" s="1" t="s">
        <v>260</v>
      </c>
      <c r="C132" s="1" t="s">
        <v>30</v>
      </c>
      <c r="D132" s="1" t="s">
        <v>31</v>
      </c>
      <c r="E132" s="1" t="s">
        <v>16</v>
      </c>
      <c r="F132" s="1" t="s">
        <v>39</v>
      </c>
      <c r="G132" s="1" t="s">
        <v>36</v>
      </c>
      <c r="H132" s="1">
        <v>16701</v>
      </c>
      <c r="I132" s="1"/>
      <c r="J132" s="1"/>
      <c r="K132" s="1">
        <v>17000</v>
      </c>
      <c r="L132" s="2">
        <v>45322</v>
      </c>
    </row>
    <row r="133" spans="1:12" x14ac:dyDescent="0.35">
      <c r="A133" s="1" t="s">
        <v>261</v>
      </c>
      <c r="B133" s="1" t="s">
        <v>29</v>
      </c>
      <c r="C133" s="1" t="s">
        <v>44</v>
      </c>
      <c r="D133" s="1" t="s">
        <v>45</v>
      </c>
      <c r="E133" s="1" t="s">
        <v>46</v>
      </c>
      <c r="F133" s="1" t="s">
        <v>25</v>
      </c>
      <c r="G133" s="1" t="s">
        <v>26</v>
      </c>
      <c r="H133" s="1">
        <v>13081</v>
      </c>
      <c r="I133" s="1" t="s">
        <v>19</v>
      </c>
      <c r="J133" s="1">
        <v>0.2</v>
      </c>
      <c r="K133" s="1">
        <v>13000</v>
      </c>
      <c r="L133" s="2">
        <v>45347</v>
      </c>
    </row>
    <row r="134" spans="1:12" x14ac:dyDescent="0.35">
      <c r="A134" s="1" t="s">
        <v>262</v>
      </c>
      <c r="B134" s="1" t="s">
        <v>263</v>
      </c>
      <c r="C134" s="1" t="s">
        <v>61</v>
      </c>
      <c r="D134" s="1" t="s">
        <v>62</v>
      </c>
      <c r="E134" s="1" t="s">
        <v>46</v>
      </c>
      <c r="F134" s="1" t="s">
        <v>39</v>
      </c>
      <c r="G134" s="1" t="s">
        <v>36</v>
      </c>
      <c r="H134" s="1">
        <v>10360</v>
      </c>
      <c r="I134" s="1" t="s">
        <v>22</v>
      </c>
      <c r="J134" s="1">
        <v>0.1</v>
      </c>
      <c r="K134" s="1">
        <v>9000</v>
      </c>
      <c r="L134" s="2">
        <v>45310</v>
      </c>
    </row>
    <row r="135" spans="1:12" x14ac:dyDescent="0.35">
      <c r="A135" s="1" t="s">
        <v>264</v>
      </c>
      <c r="B135" s="1" t="s">
        <v>265</v>
      </c>
      <c r="C135" s="1" t="s">
        <v>61</v>
      </c>
      <c r="D135" s="1" t="s">
        <v>62</v>
      </c>
      <c r="E135" s="1" t="s">
        <v>32</v>
      </c>
      <c r="F135" s="1" t="s">
        <v>17</v>
      </c>
      <c r="G135" s="1" t="s">
        <v>26</v>
      </c>
      <c r="H135" s="1">
        <v>8983</v>
      </c>
      <c r="I135" s="1" t="s">
        <v>33</v>
      </c>
      <c r="J135" s="1">
        <v>0.3</v>
      </c>
      <c r="K135" s="1">
        <v>9000</v>
      </c>
      <c r="L135" s="2">
        <v>45313</v>
      </c>
    </row>
    <row r="136" spans="1:12" x14ac:dyDescent="0.35">
      <c r="A136" s="1" t="s">
        <v>266</v>
      </c>
      <c r="B136" s="1" t="s">
        <v>82</v>
      </c>
      <c r="C136" s="1" t="s">
        <v>61</v>
      </c>
      <c r="D136" s="1" t="s">
        <v>62</v>
      </c>
      <c r="E136" s="1" t="s">
        <v>46</v>
      </c>
      <c r="F136" s="1" t="s">
        <v>17</v>
      </c>
      <c r="G136" s="1" t="s">
        <v>18</v>
      </c>
      <c r="H136" s="1">
        <v>9856</v>
      </c>
      <c r="I136" s="1" t="s">
        <v>19</v>
      </c>
      <c r="J136" s="1">
        <v>0.2</v>
      </c>
      <c r="K136" s="1">
        <v>9000</v>
      </c>
      <c r="L136" s="2">
        <v>45328</v>
      </c>
    </row>
    <row r="137" spans="1:12" x14ac:dyDescent="0.35">
      <c r="A137" s="1" t="s">
        <v>267</v>
      </c>
      <c r="B137" s="1" t="s">
        <v>268</v>
      </c>
      <c r="C137" s="1" t="s">
        <v>61</v>
      </c>
      <c r="D137" s="1" t="s">
        <v>62</v>
      </c>
      <c r="E137" s="1" t="s">
        <v>32</v>
      </c>
      <c r="F137" s="1" t="s">
        <v>17</v>
      </c>
      <c r="G137" s="1" t="s">
        <v>26</v>
      </c>
      <c r="H137" s="1">
        <v>8937</v>
      </c>
      <c r="I137" s="1"/>
      <c r="J137" s="1"/>
      <c r="K137" s="1">
        <v>9000</v>
      </c>
      <c r="L137" s="2">
        <v>45316</v>
      </c>
    </row>
    <row r="138" spans="1:12" x14ac:dyDescent="0.35">
      <c r="A138" s="1" t="s">
        <v>269</v>
      </c>
      <c r="B138" s="1" t="s">
        <v>270</v>
      </c>
      <c r="C138" s="1" t="s">
        <v>44</v>
      </c>
      <c r="D138" s="1" t="s">
        <v>45</v>
      </c>
      <c r="E138" s="1" t="s">
        <v>46</v>
      </c>
      <c r="F138" s="1" t="s">
        <v>25</v>
      </c>
      <c r="G138" s="1" t="s">
        <v>18</v>
      </c>
      <c r="H138" s="1">
        <v>13057</v>
      </c>
      <c r="I138" s="1" t="s">
        <v>27</v>
      </c>
      <c r="J138" s="1"/>
      <c r="K138" s="1">
        <v>13000</v>
      </c>
      <c r="L138" s="2">
        <v>45313</v>
      </c>
    </row>
    <row r="139" spans="1:12" x14ac:dyDescent="0.35">
      <c r="A139" s="1" t="s">
        <v>271</v>
      </c>
      <c r="B139" s="1" t="s">
        <v>96</v>
      </c>
      <c r="C139" s="1" t="s">
        <v>61</v>
      </c>
      <c r="D139" s="1" t="s">
        <v>62</v>
      </c>
      <c r="E139" s="1" t="s">
        <v>32</v>
      </c>
      <c r="F139" s="1" t="s">
        <v>39</v>
      </c>
      <c r="G139" s="1" t="s">
        <v>36</v>
      </c>
      <c r="H139" s="1">
        <v>7062</v>
      </c>
      <c r="I139" s="1" t="s">
        <v>19</v>
      </c>
      <c r="J139" s="1">
        <v>0.2</v>
      </c>
      <c r="K139" s="1">
        <v>9000</v>
      </c>
      <c r="L139" s="2">
        <v>45318</v>
      </c>
    </row>
    <row r="140" spans="1:12" x14ac:dyDescent="0.35">
      <c r="A140" s="1" t="s">
        <v>272</v>
      </c>
      <c r="B140" s="1" t="s">
        <v>198</v>
      </c>
      <c r="C140" s="1" t="s">
        <v>44</v>
      </c>
      <c r="D140" s="1" t="s">
        <v>45</v>
      </c>
      <c r="E140" s="1" t="s">
        <v>32</v>
      </c>
      <c r="F140" s="1" t="s">
        <v>17</v>
      </c>
      <c r="G140" s="1" t="s">
        <v>36</v>
      </c>
      <c r="H140" s="1">
        <v>12386</v>
      </c>
      <c r="I140" s="1" t="s">
        <v>27</v>
      </c>
      <c r="J140" s="1"/>
      <c r="K140" s="1">
        <v>13000</v>
      </c>
      <c r="L140" s="2">
        <v>45336</v>
      </c>
    </row>
    <row r="141" spans="1:12" x14ac:dyDescent="0.35">
      <c r="A141" s="1" t="s">
        <v>273</v>
      </c>
      <c r="B141" s="1" t="s">
        <v>274</v>
      </c>
      <c r="C141" s="1" t="s">
        <v>14</v>
      </c>
      <c r="D141" s="1" t="s">
        <v>15</v>
      </c>
      <c r="E141" s="1" t="s">
        <v>46</v>
      </c>
      <c r="F141" s="1" t="s">
        <v>39</v>
      </c>
      <c r="G141" s="1" t="s">
        <v>26</v>
      </c>
      <c r="H141" s="1">
        <v>13556</v>
      </c>
      <c r="I141" s="1" t="s">
        <v>33</v>
      </c>
      <c r="J141" s="1">
        <v>0.3</v>
      </c>
      <c r="K141" s="1">
        <v>14000</v>
      </c>
      <c r="L141" s="2">
        <v>45332</v>
      </c>
    </row>
    <row r="142" spans="1:12" x14ac:dyDescent="0.35">
      <c r="A142" s="1" t="s">
        <v>275</v>
      </c>
      <c r="B142" s="1" t="s">
        <v>276</v>
      </c>
      <c r="C142" s="1" t="s">
        <v>61</v>
      </c>
      <c r="D142" s="1" t="s">
        <v>62</v>
      </c>
      <c r="E142" s="1" t="s">
        <v>16</v>
      </c>
      <c r="F142" s="1" t="s">
        <v>25</v>
      </c>
      <c r="G142" s="1" t="s">
        <v>26</v>
      </c>
      <c r="H142" s="1">
        <v>7280</v>
      </c>
      <c r="I142" s="1" t="s">
        <v>19</v>
      </c>
      <c r="J142" s="1">
        <v>0.2</v>
      </c>
      <c r="K142" s="1">
        <v>9000</v>
      </c>
      <c r="L142" s="2">
        <v>45332</v>
      </c>
    </row>
    <row r="143" spans="1:12" x14ac:dyDescent="0.35">
      <c r="A143" s="1" t="s">
        <v>277</v>
      </c>
      <c r="B143" s="1" t="s">
        <v>278</v>
      </c>
      <c r="C143" s="1" t="s">
        <v>44</v>
      </c>
      <c r="D143" s="1" t="s">
        <v>45</v>
      </c>
      <c r="E143" s="1" t="s">
        <v>16</v>
      </c>
      <c r="F143" s="1" t="s">
        <v>25</v>
      </c>
      <c r="G143" s="1" t="s">
        <v>36</v>
      </c>
      <c r="H143" s="1">
        <v>11403</v>
      </c>
      <c r="I143" s="1" t="s">
        <v>22</v>
      </c>
      <c r="J143" s="1">
        <v>0.1</v>
      </c>
      <c r="K143" s="1">
        <v>13000</v>
      </c>
      <c r="L143" s="2">
        <v>45320</v>
      </c>
    </row>
    <row r="144" spans="1:12" x14ac:dyDescent="0.35">
      <c r="A144" s="1" t="s">
        <v>279</v>
      </c>
      <c r="B144" s="1" t="s">
        <v>280</v>
      </c>
      <c r="C144" s="1" t="s">
        <v>30</v>
      </c>
      <c r="D144" s="1" t="s">
        <v>31</v>
      </c>
      <c r="E144" s="1" t="s">
        <v>32</v>
      </c>
      <c r="F144" s="1" t="s">
        <v>25</v>
      </c>
      <c r="G144" s="1" t="s">
        <v>36</v>
      </c>
      <c r="H144" s="1">
        <v>18261</v>
      </c>
      <c r="I144" s="1" t="s">
        <v>22</v>
      </c>
      <c r="J144" s="1">
        <v>0.1</v>
      </c>
      <c r="K144" s="1">
        <v>17000</v>
      </c>
      <c r="L144" s="2">
        <v>45310</v>
      </c>
    </row>
    <row r="145" spans="1:12" x14ac:dyDescent="0.35">
      <c r="A145" s="1" t="s">
        <v>281</v>
      </c>
      <c r="B145" s="1" t="s">
        <v>282</v>
      </c>
      <c r="C145" s="1" t="s">
        <v>61</v>
      </c>
      <c r="D145" s="1" t="s">
        <v>62</v>
      </c>
      <c r="E145" s="1" t="s">
        <v>32</v>
      </c>
      <c r="F145" s="1" t="s">
        <v>25</v>
      </c>
      <c r="G145" s="1" t="s">
        <v>26</v>
      </c>
      <c r="H145" s="1">
        <v>8687</v>
      </c>
      <c r="I145" s="1" t="s">
        <v>27</v>
      </c>
      <c r="J145" s="1"/>
      <c r="K145" s="1">
        <v>9000</v>
      </c>
      <c r="L145" s="2">
        <v>45335</v>
      </c>
    </row>
    <row r="146" spans="1:12" x14ac:dyDescent="0.35">
      <c r="A146" s="1" t="s">
        <v>283</v>
      </c>
      <c r="B146" s="1" t="s">
        <v>72</v>
      </c>
      <c r="C146" s="1" t="s">
        <v>44</v>
      </c>
      <c r="D146" s="1" t="s">
        <v>45</v>
      </c>
      <c r="E146" s="1" t="s">
        <v>32</v>
      </c>
      <c r="F146" s="1" t="s">
        <v>25</v>
      </c>
      <c r="G146" s="1" t="s">
        <v>26</v>
      </c>
      <c r="H146" s="1">
        <v>14566</v>
      </c>
      <c r="I146" s="1"/>
      <c r="J146" s="1"/>
      <c r="K146" s="1">
        <v>13000</v>
      </c>
      <c r="L146" s="2">
        <v>45331</v>
      </c>
    </row>
    <row r="147" spans="1:12" x14ac:dyDescent="0.35">
      <c r="A147" s="1" t="s">
        <v>284</v>
      </c>
      <c r="B147" s="1" t="s">
        <v>239</v>
      </c>
      <c r="C147" s="1" t="s">
        <v>61</v>
      </c>
      <c r="D147" s="1" t="s">
        <v>62</v>
      </c>
      <c r="E147" s="1" t="s">
        <v>16</v>
      </c>
      <c r="F147" s="1" t="s">
        <v>25</v>
      </c>
      <c r="G147" s="1" t="s">
        <v>18</v>
      </c>
      <c r="H147" s="1">
        <v>8888</v>
      </c>
      <c r="I147" s="1" t="s">
        <v>33</v>
      </c>
      <c r="J147" s="1">
        <v>0.3</v>
      </c>
      <c r="K147" s="1">
        <v>9000</v>
      </c>
      <c r="L147" s="2">
        <v>45321</v>
      </c>
    </row>
    <row r="148" spans="1:12" x14ac:dyDescent="0.35">
      <c r="A148" s="1" t="s">
        <v>285</v>
      </c>
      <c r="B148" s="1" t="s">
        <v>286</v>
      </c>
      <c r="C148" s="1" t="s">
        <v>14</v>
      </c>
      <c r="D148" s="1" t="s">
        <v>15</v>
      </c>
      <c r="E148" s="1" t="s">
        <v>46</v>
      </c>
      <c r="F148" s="1" t="s">
        <v>17</v>
      </c>
      <c r="G148" s="1" t="s">
        <v>26</v>
      </c>
      <c r="H148" s="1">
        <v>14238</v>
      </c>
      <c r="I148" s="1" t="s">
        <v>19</v>
      </c>
      <c r="J148" s="1">
        <v>0.2</v>
      </c>
      <c r="K148" s="1">
        <v>14000</v>
      </c>
      <c r="L148" s="2">
        <v>45296</v>
      </c>
    </row>
    <row r="149" spans="1:12" x14ac:dyDescent="0.35">
      <c r="A149" s="1" t="s">
        <v>287</v>
      </c>
      <c r="B149" s="1" t="s">
        <v>188</v>
      </c>
      <c r="C149" s="1" t="s">
        <v>30</v>
      </c>
      <c r="D149" s="1" t="s">
        <v>31</v>
      </c>
      <c r="E149" s="1" t="s">
        <v>16</v>
      </c>
      <c r="F149" s="1" t="s">
        <v>17</v>
      </c>
      <c r="G149" s="1" t="s">
        <v>26</v>
      </c>
      <c r="H149" s="1">
        <v>16024</v>
      </c>
      <c r="I149" s="1"/>
      <c r="J149" s="1"/>
      <c r="K149" s="1">
        <v>17000</v>
      </c>
      <c r="L149" s="2">
        <v>45346</v>
      </c>
    </row>
    <row r="150" spans="1:12" x14ac:dyDescent="0.35">
      <c r="A150" s="1" t="s">
        <v>288</v>
      </c>
      <c r="B150" s="1" t="s">
        <v>289</v>
      </c>
      <c r="C150" s="1" t="s">
        <v>61</v>
      </c>
      <c r="D150" s="1" t="s">
        <v>62</v>
      </c>
      <c r="E150" s="1" t="s">
        <v>46</v>
      </c>
      <c r="F150" s="1" t="s">
        <v>25</v>
      </c>
      <c r="G150" s="1" t="s">
        <v>18</v>
      </c>
      <c r="H150" s="1">
        <v>8562</v>
      </c>
      <c r="I150" s="1" t="s">
        <v>27</v>
      </c>
      <c r="J150" s="1"/>
      <c r="K150" s="1">
        <v>9000</v>
      </c>
      <c r="L150" s="2">
        <v>45314</v>
      </c>
    </row>
    <row r="151" spans="1:12" x14ac:dyDescent="0.35">
      <c r="A151" s="1" t="s">
        <v>290</v>
      </c>
      <c r="B151" s="1" t="s">
        <v>291</v>
      </c>
      <c r="C151" s="1" t="s">
        <v>30</v>
      </c>
      <c r="D151" s="1" t="s">
        <v>31</v>
      </c>
      <c r="E151" s="1" t="s">
        <v>32</v>
      </c>
      <c r="F151" s="1" t="s">
        <v>39</v>
      </c>
      <c r="G151" s="1" t="s">
        <v>36</v>
      </c>
      <c r="H151" s="1">
        <v>16124</v>
      </c>
      <c r="I151" s="1" t="s">
        <v>22</v>
      </c>
      <c r="J151" s="1">
        <v>0.1</v>
      </c>
      <c r="K151" s="1">
        <v>17000</v>
      </c>
      <c r="L151" s="2">
        <v>45328</v>
      </c>
    </row>
    <row r="152" spans="1:12" x14ac:dyDescent="0.35">
      <c r="A152" s="1" t="s">
        <v>292</v>
      </c>
      <c r="B152" s="1" t="s">
        <v>198</v>
      </c>
      <c r="C152" s="1" t="s">
        <v>14</v>
      </c>
      <c r="D152" s="1" t="s">
        <v>15</v>
      </c>
      <c r="E152" s="1" t="s">
        <v>16</v>
      </c>
      <c r="F152" s="1" t="s">
        <v>39</v>
      </c>
      <c r="G152" s="1" t="s">
        <v>36</v>
      </c>
      <c r="H152" s="1">
        <v>15411</v>
      </c>
      <c r="I152" s="1" t="s">
        <v>33</v>
      </c>
      <c r="J152" s="1">
        <v>0.3</v>
      </c>
      <c r="K152" s="1">
        <v>14000</v>
      </c>
      <c r="L152" s="2">
        <v>45341</v>
      </c>
    </row>
    <row r="153" spans="1:12" x14ac:dyDescent="0.35">
      <c r="A153" s="1" t="s">
        <v>293</v>
      </c>
      <c r="B153" s="1" t="s">
        <v>294</v>
      </c>
      <c r="C153" s="1" t="s">
        <v>30</v>
      </c>
      <c r="D153" s="1" t="s">
        <v>31</v>
      </c>
      <c r="E153" s="1" t="s">
        <v>32</v>
      </c>
      <c r="F153" s="1" t="s">
        <v>39</v>
      </c>
      <c r="G153" s="1" t="s">
        <v>18</v>
      </c>
      <c r="H153" s="1">
        <v>17543</v>
      </c>
      <c r="I153" s="1" t="s">
        <v>33</v>
      </c>
      <c r="J153" s="1">
        <v>0.3</v>
      </c>
      <c r="K153" s="1">
        <v>17000</v>
      </c>
      <c r="L153" s="2">
        <v>45335</v>
      </c>
    </row>
    <row r="154" spans="1:12" x14ac:dyDescent="0.35">
      <c r="A154" s="1" t="s">
        <v>295</v>
      </c>
      <c r="B154" s="1" t="s">
        <v>296</v>
      </c>
      <c r="C154" s="1" t="s">
        <v>44</v>
      </c>
      <c r="D154" s="1" t="s">
        <v>45</v>
      </c>
      <c r="E154" s="1" t="s">
        <v>16</v>
      </c>
      <c r="F154" s="1" t="s">
        <v>25</v>
      </c>
      <c r="G154" s="1" t="s">
        <v>26</v>
      </c>
      <c r="H154" s="1">
        <v>13647</v>
      </c>
      <c r="I154" s="1" t="s">
        <v>22</v>
      </c>
      <c r="J154" s="1">
        <v>0.1</v>
      </c>
      <c r="K154" s="1">
        <v>13000</v>
      </c>
      <c r="L154" s="2">
        <v>45311</v>
      </c>
    </row>
    <row r="155" spans="1:12" x14ac:dyDescent="0.35">
      <c r="A155" s="1" t="s">
        <v>297</v>
      </c>
      <c r="B155" s="1" t="s">
        <v>298</v>
      </c>
      <c r="C155" s="1" t="s">
        <v>14</v>
      </c>
      <c r="D155" s="1" t="s">
        <v>15</v>
      </c>
      <c r="E155" s="1" t="s">
        <v>16</v>
      </c>
      <c r="F155" s="1" t="s">
        <v>17</v>
      </c>
      <c r="G155" s="1" t="s">
        <v>26</v>
      </c>
      <c r="H155" s="1">
        <v>12538</v>
      </c>
      <c r="I155" s="1" t="s">
        <v>22</v>
      </c>
      <c r="J155" s="1">
        <v>0.1</v>
      </c>
      <c r="K155" s="1">
        <v>14000</v>
      </c>
      <c r="L155" s="2">
        <v>45350</v>
      </c>
    </row>
    <row r="156" spans="1:12" x14ac:dyDescent="0.35">
      <c r="A156" s="1" t="s">
        <v>299</v>
      </c>
      <c r="B156" s="1" t="s">
        <v>131</v>
      </c>
      <c r="C156" s="1" t="s">
        <v>61</v>
      </c>
      <c r="D156" s="1" t="s">
        <v>62</v>
      </c>
      <c r="E156" s="1" t="s">
        <v>32</v>
      </c>
      <c r="F156" s="1" t="s">
        <v>25</v>
      </c>
      <c r="G156" s="1" t="s">
        <v>18</v>
      </c>
      <c r="H156" s="1">
        <v>10221</v>
      </c>
      <c r="I156" s="1" t="s">
        <v>27</v>
      </c>
      <c r="J156" s="1"/>
      <c r="K156" s="1">
        <v>9000</v>
      </c>
      <c r="L156" s="2">
        <v>45348</v>
      </c>
    </row>
    <row r="157" spans="1:12" x14ac:dyDescent="0.35">
      <c r="A157" s="1" t="s">
        <v>300</v>
      </c>
      <c r="B157" s="1" t="s">
        <v>301</v>
      </c>
      <c r="C157" s="1" t="s">
        <v>30</v>
      </c>
      <c r="D157" s="1" t="s">
        <v>31</v>
      </c>
      <c r="E157" s="1" t="s">
        <v>32</v>
      </c>
      <c r="F157" s="1" t="s">
        <v>17</v>
      </c>
      <c r="G157" s="1" t="s">
        <v>36</v>
      </c>
      <c r="H157" s="1">
        <v>18962</v>
      </c>
      <c r="I157" s="1" t="s">
        <v>33</v>
      </c>
      <c r="J157" s="1">
        <v>0.3</v>
      </c>
      <c r="K157" s="1">
        <v>17000</v>
      </c>
      <c r="L157" s="2">
        <v>45339</v>
      </c>
    </row>
    <row r="158" spans="1:12" x14ac:dyDescent="0.35">
      <c r="A158" s="1" t="s">
        <v>302</v>
      </c>
      <c r="B158" s="1" t="s">
        <v>303</v>
      </c>
      <c r="C158" s="1" t="s">
        <v>14</v>
      </c>
      <c r="D158" s="1" t="s">
        <v>15</v>
      </c>
      <c r="E158" s="1" t="s">
        <v>46</v>
      </c>
      <c r="F158" s="1" t="s">
        <v>25</v>
      </c>
      <c r="G158" s="1" t="s">
        <v>18</v>
      </c>
      <c r="H158" s="1">
        <v>15089</v>
      </c>
      <c r="I158" s="1" t="s">
        <v>19</v>
      </c>
      <c r="J158" s="1">
        <v>0.2</v>
      </c>
      <c r="K158" s="1">
        <v>14000</v>
      </c>
      <c r="L158" s="2">
        <v>45347</v>
      </c>
    </row>
    <row r="159" spans="1:12" x14ac:dyDescent="0.35">
      <c r="A159" s="1" t="s">
        <v>304</v>
      </c>
      <c r="B159" s="1" t="s">
        <v>305</v>
      </c>
      <c r="C159" s="1" t="s">
        <v>61</v>
      </c>
      <c r="D159" s="1" t="s">
        <v>62</v>
      </c>
      <c r="E159" s="1" t="s">
        <v>16</v>
      </c>
      <c r="F159" s="1" t="s">
        <v>17</v>
      </c>
      <c r="G159" s="1" t="s">
        <v>18</v>
      </c>
      <c r="H159" s="1">
        <v>10238</v>
      </c>
      <c r="I159" s="1"/>
      <c r="J159" s="1"/>
      <c r="K159" s="1">
        <v>9000</v>
      </c>
      <c r="L159" s="2">
        <v>45292</v>
      </c>
    </row>
    <row r="160" spans="1:12" x14ac:dyDescent="0.35">
      <c r="A160" s="1" t="s">
        <v>306</v>
      </c>
      <c r="B160" s="1" t="s">
        <v>307</v>
      </c>
      <c r="C160" s="1" t="s">
        <v>14</v>
      </c>
      <c r="D160" s="1" t="s">
        <v>15</v>
      </c>
      <c r="E160" s="1" t="s">
        <v>46</v>
      </c>
      <c r="F160" s="1" t="s">
        <v>17</v>
      </c>
      <c r="G160" s="1" t="s">
        <v>26</v>
      </c>
      <c r="H160" s="1">
        <v>15067</v>
      </c>
      <c r="I160" s="1" t="s">
        <v>33</v>
      </c>
      <c r="J160" s="1">
        <v>0.3</v>
      </c>
      <c r="K160" s="1">
        <v>14000</v>
      </c>
      <c r="L160" s="2">
        <v>45329</v>
      </c>
    </row>
    <row r="161" spans="1:12" x14ac:dyDescent="0.35">
      <c r="A161" s="1" t="s">
        <v>308</v>
      </c>
      <c r="B161" s="1" t="s">
        <v>309</v>
      </c>
      <c r="C161" s="1" t="s">
        <v>30</v>
      </c>
      <c r="D161" s="1" t="s">
        <v>31</v>
      </c>
      <c r="E161" s="1" t="s">
        <v>32</v>
      </c>
      <c r="F161" s="1" t="s">
        <v>39</v>
      </c>
      <c r="G161" s="1" t="s">
        <v>18</v>
      </c>
      <c r="H161" s="1">
        <v>16931</v>
      </c>
      <c r="I161" s="1" t="s">
        <v>22</v>
      </c>
      <c r="J161" s="1">
        <v>0.1</v>
      </c>
      <c r="K161" s="1">
        <v>17000</v>
      </c>
      <c r="L161" s="2">
        <v>45331</v>
      </c>
    </row>
    <row r="162" spans="1:12" x14ac:dyDescent="0.35">
      <c r="A162" s="1" t="s">
        <v>310</v>
      </c>
      <c r="B162" s="1" t="s">
        <v>84</v>
      </c>
      <c r="C162" s="1" t="s">
        <v>30</v>
      </c>
      <c r="D162" s="1" t="s">
        <v>31</v>
      </c>
      <c r="E162" s="1" t="s">
        <v>16</v>
      </c>
      <c r="F162" s="1" t="s">
        <v>25</v>
      </c>
      <c r="G162" s="1" t="s">
        <v>26</v>
      </c>
      <c r="H162" s="1">
        <v>15258</v>
      </c>
      <c r="I162" s="1"/>
      <c r="J162" s="1"/>
      <c r="K162" s="1">
        <v>17000</v>
      </c>
      <c r="L162" s="2">
        <v>45350</v>
      </c>
    </row>
    <row r="163" spans="1:12" x14ac:dyDescent="0.35">
      <c r="A163" s="1" t="s">
        <v>311</v>
      </c>
      <c r="B163" s="1" t="s">
        <v>265</v>
      </c>
      <c r="C163" s="1" t="s">
        <v>61</v>
      </c>
      <c r="D163" s="1" t="s">
        <v>62</v>
      </c>
      <c r="E163" s="1" t="s">
        <v>32</v>
      </c>
      <c r="F163" s="1" t="s">
        <v>25</v>
      </c>
      <c r="G163" s="1" t="s">
        <v>18</v>
      </c>
      <c r="H163" s="1">
        <v>10875</v>
      </c>
      <c r="I163" s="1" t="s">
        <v>22</v>
      </c>
      <c r="J163" s="1">
        <v>0.1</v>
      </c>
      <c r="K163" s="1">
        <v>9000</v>
      </c>
      <c r="L163" s="2">
        <v>45311</v>
      </c>
    </row>
    <row r="164" spans="1:12" x14ac:dyDescent="0.35">
      <c r="A164" s="1" t="s">
        <v>312</v>
      </c>
      <c r="B164" s="1" t="s">
        <v>227</v>
      </c>
      <c r="C164" s="1" t="s">
        <v>14</v>
      </c>
      <c r="D164" s="1" t="s">
        <v>15</v>
      </c>
      <c r="E164" s="1" t="s">
        <v>32</v>
      </c>
      <c r="F164" s="1" t="s">
        <v>39</v>
      </c>
      <c r="G164" s="1" t="s">
        <v>18</v>
      </c>
      <c r="H164" s="1">
        <v>13591</v>
      </c>
      <c r="I164" s="1"/>
      <c r="J164" s="1"/>
      <c r="K164" s="1">
        <v>14000</v>
      </c>
      <c r="L164" s="2">
        <v>45315</v>
      </c>
    </row>
    <row r="165" spans="1:12" x14ac:dyDescent="0.35">
      <c r="A165" s="1" t="s">
        <v>313</v>
      </c>
      <c r="B165" s="1" t="s">
        <v>305</v>
      </c>
      <c r="C165" s="1" t="s">
        <v>61</v>
      </c>
      <c r="D165" s="1" t="s">
        <v>62</v>
      </c>
      <c r="E165" s="1" t="s">
        <v>16</v>
      </c>
      <c r="F165" s="1" t="s">
        <v>39</v>
      </c>
      <c r="G165" s="1" t="s">
        <v>26</v>
      </c>
      <c r="H165" s="1">
        <v>7632</v>
      </c>
      <c r="I165" s="1"/>
      <c r="J165" s="1"/>
      <c r="K165" s="1">
        <v>9000</v>
      </c>
      <c r="L165" s="2">
        <v>45333</v>
      </c>
    </row>
    <row r="166" spans="1:12" x14ac:dyDescent="0.35">
      <c r="A166" s="1" t="s">
        <v>314</v>
      </c>
      <c r="B166" s="1" t="s">
        <v>159</v>
      </c>
      <c r="C166" s="1" t="s">
        <v>61</v>
      </c>
      <c r="D166" s="1" t="s">
        <v>62</v>
      </c>
      <c r="E166" s="1" t="s">
        <v>16</v>
      </c>
      <c r="F166" s="1" t="s">
        <v>17</v>
      </c>
      <c r="G166" s="1" t="s">
        <v>36</v>
      </c>
      <c r="H166" s="1">
        <v>7134</v>
      </c>
      <c r="I166" s="1" t="s">
        <v>33</v>
      </c>
      <c r="J166" s="1">
        <v>0.3</v>
      </c>
      <c r="K166" s="1">
        <v>9000</v>
      </c>
      <c r="L166" s="2">
        <v>45305</v>
      </c>
    </row>
    <row r="167" spans="1:12" x14ac:dyDescent="0.35">
      <c r="A167" s="1" t="s">
        <v>315</v>
      </c>
      <c r="B167" s="1" t="s">
        <v>231</v>
      </c>
      <c r="C167" s="1" t="s">
        <v>44</v>
      </c>
      <c r="D167" s="1" t="s">
        <v>45</v>
      </c>
      <c r="E167" s="1" t="s">
        <v>46</v>
      </c>
      <c r="F167" s="1" t="s">
        <v>25</v>
      </c>
      <c r="G167" s="1" t="s">
        <v>26</v>
      </c>
      <c r="H167" s="1">
        <v>12504</v>
      </c>
      <c r="I167" s="1" t="s">
        <v>27</v>
      </c>
      <c r="J167" s="1"/>
      <c r="K167" s="1">
        <v>13000</v>
      </c>
      <c r="L167" s="2">
        <v>45349</v>
      </c>
    </row>
    <row r="168" spans="1:12" x14ac:dyDescent="0.35">
      <c r="A168" s="1" t="s">
        <v>316</v>
      </c>
      <c r="B168" s="1" t="s">
        <v>317</v>
      </c>
      <c r="C168" s="1" t="s">
        <v>14</v>
      </c>
      <c r="D168" s="1" t="s">
        <v>15</v>
      </c>
      <c r="E168" s="1" t="s">
        <v>46</v>
      </c>
      <c r="F168" s="1" t="s">
        <v>17</v>
      </c>
      <c r="G168" s="1" t="s">
        <v>18</v>
      </c>
      <c r="H168" s="1">
        <v>15965</v>
      </c>
      <c r="I168" s="1" t="s">
        <v>22</v>
      </c>
      <c r="J168" s="1">
        <v>0.1</v>
      </c>
      <c r="K168" s="1">
        <v>14000</v>
      </c>
      <c r="L168" s="2">
        <v>45352</v>
      </c>
    </row>
    <row r="169" spans="1:12" x14ac:dyDescent="0.35">
      <c r="A169" s="1" t="s">
        <v>318</v>
      </c>
      <c r="B169" s="1" t="s">
        <v>319</v>
      </c>
      <c r="C169" s="1" t="s">
        <v>61</v>
      </c>
      <c r="D169" s="1" t="s">
        <v>62</v>
      </c>
      <c r="E169" s="1" t="s">
        <v>32</v>
      </c>
      <c r="F169" s="1" t="s">
        <v>39</v>
      </c>
      <c r="G169" s="1" t="s">
        <v>18</v>
      </c>
      <c r="H169" s="1">
        <v>9628</v>
      </c>
      <c r="I169" s="1" t="s">
        <v>27</v>
      </c>
      <c r="J169" s="1"/>
      <c r="K169" s="1">
        <v>9000</v>
      </c>
      <c r="L169" s="2">
        <v>45293</v>
      </c>
    </row>
    <row r="170" spans="1:12" x14ac:dyDescent="0.35">
      <c r="A170" s="1" t="s">
        <v>320</v>
      </c>
      <c r="B170" s="1" t="s">
        <v>321</v>
      </c>
      <c r="C170" s="1" t="s">
        <v>30</v>
      </c>
      <c r="D170" s="1" t="s">
        <v>31</v>
      </c>
      <c r="E170" s="1" t="s">
        <v>32</v>
      </c>
      <c r="F170" s="1" t="s">
        <v>25</v>
      </c>
      <c r="G170" s="1" t="s">
        <v>26</v>
      </c>
      <c r="H170" s="1">
        <v>15840</v>
      </c>
      <c r="I170" s="1" t="s">
        <v>22</v>
      </c>
      <c r="J170" s="1">
        <v>0.1</v>
      </c>
      <c r="K170" s="1">
        <v>17000</v>
      </c>
      <c r="L170" s="2">
        <v>45345</v>
      </c>
    </row>
    <row r="171" spans="1:12" x14ac:dyDescent="0.35">
      <c r="A171" s="1" t="s">
        <v>322</v>
      </c>
      <c r="B171" s="1" t="s">
        <v>133</v>
      </c>
      <c r="C171" s="1" t="s">
        <v>44</v>
      </c>
      <c r="D171" s="1" t="s">
        <v>45</v>
      </c>
      <c r="E171" s="1" t="s">
        <v>16</v>
      </c>
      <c r="F171" s="1" t="s">
        <v>25</v>
      </c>
      <c r="G171" s="1" t="s">
        <v>18</v>
      </c>
      <c r="H171" s="1">
        <v>12345</v>
      </c>
      <c r="I171" s="1" t="s">
        <v>19</v>
      </c>
      <c r="J171" s="1">
        <v>0.2</v>
      </c>
      <c r="K171" s="1">
        <v>13000</v>
      </c>
      <c r="L171" s="2">
        <v>45342</v>
      </c>
    </row>
    <row r="172" spans="1:12" x14ac:dyDescent="0.35">
      <c r="A172" s="1" t="s">
        <v>323</v>
      </c>
      <c r="B172" s="1" t="s">
        <v>60</v>
      </c>
      <c r="C172" s="1" t="s">
        <v>14</v>
      </c>
      <c r="D172" s="1" t="s">
        <v>15</v>
      </c>
      <c r="E172" s="1" t="s">
        <v>46</v>
      </c>
      <c r="F172" s="1" t="s">
        <v>25</v>
      </c>
      <c r="G172" s="1" t="s">
        <v>18</v>
      </c>
      <c r="H172" s="1">
        <v>14212</v>
      </c>
      <c r="I172" s="1" t="s">
        <v>33</v>
      </c>
      <c r="J172" s="1">
        <v>0.3</v>
      </c>
      <c r="K172" s="1">
        <v>14000</v>
      </c>
      <c r="L172" s="2">
        <v>45343</v>
      </c>
    </row>
    <row r="173" spans="1:12" x14ac:dyDescent="0.35">
      <c r="A173" s="1" t="s">
        <v>324</v>
      </c>
      <c r="B173" s="1" t="s">
        <v>325</v>
      </c>
      <c r="C173" s="1" t="s">
        <v>14</v>
      </c>
      <c r="D173" s="1" t="s">
        <v>15</v>
      </c>
      <c r="E173" s="1" t="s">
        <v>32</v>
      </c>
      <c r="F173" s="1" t="s">
        <v>25</v>
      </c>
      <c r="G173" s="1" t="s">
        <v>36</v>
      </c>
      <c r="H173" s="1">
        <v>15235</v>
      </c>
      <c r="I173" s="1" t="s">
        <v>19</v>
      </c>
      <c r="J173" s="1">
        <v>0.2</v>
      </c>
      <c r="K173" s="1">
        <v>14000</v>
      </c>
      <c r="L173" s="2">
        <v>45329</v>
      </c>
    </row>
    <row r="174" spans="1:12" x14ac:dyDescent="0.35">
      <c r="A174" s="1" t="s">
        <v>326</v>
      </c>
      <c r="B174" s="1" t="s">
        <v>327</v>
      </c>
      <c r="C174" s="1" t="s">
        <v>44</v>
      </c>
      <c r="D174" s="1" t="s">
        <v>45</v>
      </c>
      <c r="E174" s="1" t="s">
        <v>46</v>
      </c>
      <c r="F174" s="1" t="s">
        <v>25</v>
      </c>
      <c r="G174" s="1" t="s">
        <v>18</v>
      </c>
      <c r="H174" s="1">
        <v>14038</v>
      </c>
      <c r="I174" s="1"/>
      <c r="J174" s="1"/>
      <c r="K174" s="1">
        <v>13000</v>
      </c>
      <c r="L174" s="2">
        <v>45325</v>
      </c>
    </row>
    <row r="175" spans="1:12" x14ac:dyDescent="0.35">
      <c r="A175" s="1" t="s">
        <v>328</v>
      </c>
      <c r="B175" s="1" t="s">
        <v>173</v>
      </c>
      <c r="C175" s="1" t="s">
        <v>14</v>
      </c>
      <c r="D175" s="1" t="s">
        <v>15</v>
      </c>
      <c r="E175" s="1" t="s">
        <v>46</v>
      </c>
      <c r="F175" s="1" t="s">
        <v>17</v>
      </c>
      <c r="G175" s="1" t="s">
        <v>36</v>
      </c>
      <c r="H175" s="1">
        <v>14102</v>
      </c>
      <c r="I175" s="1" t="s">
        <v>27</v>
      </c>
      <c r="J175" s="1"/>
      <c r="K175" s="1">
        <v>14000</v>
      </c>
      <c r="L175" s="2">
        <v>45298</v>
      </c>
    </row>
    <row r="176" spans="1:12" x14ac:dyDescent="0.35">
      <c r="A176" s="1" t="s">
        <v>329</v>
      </c>
      <c r="B176" s="1" t="s">
        <v>330</v>
      </c>
      <c r="C176" s="1" t="s">
        <v>44</v>
      </c>
      <c r="D176" s="1" t="s">
        <v>45</v>
      </c>
      <c r="E176" s="1" t="s">
        <v>16</v>
      </c>
      <c r="F176" s="1" t="s">
        <v>25</v>
      </c>
      <c r="G176" s="1" t="s">
        <v>26</v>
      </c>
      <c r="H176" s="1">
        <v>14208</v>
      </c>
      <c r="I176" s="1" t="s">
        <v>27</v>
      </c>
      <c r="J176" s="1"/>
      <c r="K176" s="1">
        <v>13000</v>
      </c>
      <c r="L176" s="2">
        <v>45311</v>
      </c>
    </row>
    <row r="177" spans="1:12" x14ac:dyDescent="0.35">
      <c r="A177" s="1" t="s">
        <v>331</v>
      </c>
      <c r="B177" s="1" t="s">
        <v>332</v>
      </c>
      <c r="C177" s="1" t="s">
        <v>14</v>
      </c>
      <c r="D177" s="1" t="s">
        <v>15</v>
      </c>
      <c r="E177" s="1" t="s">
        <v>32</v>
      </c>
      <c r="F177" s="1" t="s">
        <v>17</v>
      </c>
      <c r="G177" s="1" t="s">
        <v>36</v>
      </c>
      <c r="H177" s="1">
        <v>13746</v>
      </c>
      <c r="I177" s="1" t="s">
        <v>22</v>
      </c>
      <c r="J177" s="1">
        <v>0.1</v>
      </c>
      <c r="K177" s="1">
        <v>14000</v>
      </c>
      <c r="L177" s="2">
        <v>45323</v>
      </c>
    </row>
    <row r="178" spans="1:12" x14ac:dyDescent="0.35">
      <c r="A178" s="1" t="s">
        <v>333</v>
      </c>
      <c r="B178" s="1" t="s">
        <v>334</v>
      </c>
      <c r="C178" s="1" t="s">
        <v>14</v>
      </c>
      <c r="D178" s="1" t="s">
        <v>15</v>
      </c>
      <c r="E178" s="1" t="s">
        <v>32</v>
      </c>
      <c r="F178" s="1" t="s">
        <v>17</v>
      </c>
      <c r="G178" s="1" t="s">
        <v>26</v>
      </c>
      <c r="H178" s="1">
        <v>12607</v>
      </c>
      <c r="I178" s="1" t="s">
        <v>22</v>
      </c>
      <c r="J178" s="1">
        <v>0.1</v>
      </c>
      <c r="K178" s="1">
        <v>14000</v>
      </c>
      <c r="L178" s="2">
        <v>45300</v>
      </c>
    </row>
    <row r="179" spans="1:12" x14ac:dyDescent="0.35">
      <c r="A179" s="1" t="s">
        <v>335</v>
      </c>
      <c r="B179" s="1" t="s">
        <v>118</v>
      </c>
      <c r="C179" s="1" t="s">
        <v>30</v>
      </c>
      <c r="D179" s="1" t="s">
        <v>31</v>
      </c>
      <c r="E179" s="1" t="s">
        <v>46</v>
      </c>
      <c r="F179" s="1" t="s">
        <v>39</v>
      </c>
      <c r="G179" s="1" t="s">
        <v>26</v>
      </c>
      <c r="H179" s="1">
        <v>16207</v>
      </c>
      <c r="I179" s="1"/>
      <c r="J179" s="1"/>
      <c r="K179" s="1">
        <v>17000</v>
      </c>
      <c r="L179" s="2">
        <v>45324</v>
      </c>
    </row>
    <row r="180" spans="1:12" x14ac:dyDescent="0.35">
      <c r="A180" s="1" t="s">
        <v>336</v>
      </c>
      <c r="B180" s="1" t="s">
        <v>337</v>
      </c>
      <c r="C180" s="1" t="s">
        <v>14</v>
      </c>
      <c r="D180" s="1" t="s">
        <v>15</v>
      </c>
      <c r="E180" s="1" t="s">
        <v>16</v>
      </c>
      <c r="F180" s="1" t="s">
        <v>25</v>
      </c>
      <c r="G180" s="1" t="s">
        <v>26</v>
      </c>
      <c r="H180" s="1">
        <v>14666</v>
      </c>
      <c r="I180" s="1" t="s">
        <v>27</v>
      </c>
      <c r="J180" s="1"/>
      <c r="K180" s="1">
        <v>14000</v>
      </c>
      <c r="L180" s="2">
        <v>45338</v>
      </c>
    </row>
    <row r="181" spans="1:12" x14ac:dyDescent="0.35">
      <c r="A181" s="1" t="s">
        <v>338</v>
      </c>
      <c r="B181" s="1" t="s">
        <v>207</v>
      </c>
      <c r="C181" s="1" t="s">
        <v>61</v>
      </c>
      <c r="D181" s="1" t="s">
        <v>62</v>
      </c>
      <c r="E181" s="1" t="s">
        <v>46</v>
      </c>
      <c r="F181" s="1" t="s">
        <v>25</v>
      </c>
      <c r="G181" s="1" t="s">
        <v>36</v>
      </c>
      <c r="H181" s="1">
        <v>8388</v>
      </c>
      <c r="I181" s="1"/>
      <c r="J181" s="1"/>
      <c r="K181" s="1">
        <v>9000</v>
      </c>
      <c r="L181" s="2">
        <v>45317</v>
      </c>
    </row>
    <row r="182" spans="1:12" x14ac:dyDescent="0.35">
      <c r="A182" s="1" t="s">
        <v>339</v>
      </c>
      <c r="B182" s="1" t="s">
        <v>101</v>
      </c>
      <c r="C182" s="1" t="s">
        <v>14</v>
      </c>
      <c r="D182" s="1" t="s">
        <v>15</v>
      </c>
      <c r="E182" s="1" t="s">
        <v>46</v>
      </c>
      <c r="F182" s="1" t="s">
        <v>17</v>
      </c>
      <c r="G182" s="1" t="s">
        <v>36</v>
      </c>
      <c r="H182" s="1">
        <v>14724</v>
      </c>
      <c r="I182" s="1" t="s">
        <v>33</v>
      </c>
      <c r="J182" s="1">
        <v>0.3</v>
      </c>
      <c r="K182" s="1">
        <v>14000</v>
      </c>
      <c r="L182" s="2">
        <v>45315</v>
      </c>
    </row>
    <row r="183" spans="1:12" x14ac:dyDescent="0.35">
      <c r="A183" s="1" t="s">
        <v>340</v>
      </c>
      <c r="B183" s="1" t="s">
        <v>113</v>
      </c>
      <c r="C183" s="1" t="s">
        <v>61</v>
      </c>
      <c r="D183" s="1" t="s">
        <v>62</v>
      </c>
      <c r="E183" s="1" t="s">
        <v>32</v>
      </c>
      <c r="F183" s="1" t="s">
        <v>25</v>
      </c>
      <c r="G183" s="1" t="s">
        <v>18</v>
      </c>
      <c r="H183" s="1">
        <v>7381</v>
      </c>
      <c r="I183" s="1"/>
      <c r="J183" s="1"/>
      <c r="K183" s="1">
        <v>9000</v>
      </c>
      <c r="L183" s="2">
        <v>45298</v>
      </c>
    </row>
    <row r="184" spans="1:12" x14ac:dyDescent="0.35">
      <c r="A184" s="1" t="s">
        <v>341</v>
      </c>
      <c r="B184" s="1" t="s">
        <v>342</v>
      </c>
      <c r="C184" s="1" t="s">
        <v>30</v>
      </c>
      <c r="D184" s="1" t="s">
        <v>31</v>
      </c>
      <c r="E184" s="1" t="s">
        <v>32</v>
      </c>
      <c r="F184" s="1" t="s">
        <v>39</v>
      </c>
      <c r="G184" s="1" t="s">
        <v>18</v>
      </c>
      <c r="H184" s="1">
        <v>17402</v>
      </c>
      <c r="I184" s="1" t="s">
        <v>27</v>
      </c>
      <c r="J184" s="1"/>
      <c r="K184" s="1">
        <v>17000</v>
      </c>
      <c r="L184" s="2">
        <v>45327</v>
      </c>
    </row>
    <row r="185" spans="1:12" x14ac:dyDescent="0.35">
      <c r="A185" s="1" t="s">
        <v>343</v>
      </c>
      <c r="B185" s="1" t="s">
        <v>150</v>
      </c>
      <c r="C185" s="1" t="s">
        <v>14</v>
      </c>
      <c r="D185" s="1" t="s">
        <v>15</v>
      </c>
      <c r="E185" s="1" t="s">
        <v>46</v>
      </c>
      <c r="F185" s="1" t="s">
        <v>17</v>
      </c>
      <c r="G185" s="1" t="s">
        <v>26</v>
      </c>
      <c r="H185" s="1">
        <v>15854</v>
      </c>
      <c r="I185" s="1"/>
      <c r="J185" s="1"/>
      <c r="K185" s="1">
        <v>14000</v>
      </c>
      <c r="L185" s="2">
        <v>45347</v>
      </c>
    </row>
    <row r="186" spans="1:12" x14ac:dyDescent="0.35">
      <c r="A186" s="1" t="s">
        <v>344</v>
      </c>
      <c r="B186" s="1" t="s">
        <v>260</v>
      </c>
      <c r="C186" s="1" t="s">
        <v>14</v>
      </c>
      <c r="D186" s="1" t="s">
        <v>15</v>
      </c>
      <c r="E186" s="1" t="s">
        <v>46</v>
      </c>
      <c r="F186" s="1" t="s">
        <v>39</v>
      </c>
      <c r="G186" s="1" t="s">
        <v>36</v>
      </c>
      <c r="H186" s="1">
        <v>13440</v>
      </c>
      <c r="I186" s="1" t="s">
        <v>22</v>
      </c>
      <c r="J186" s="1">
        <v>0.1</v>
      </c>
      <c r="K186" s="1">
        <v>14000</v>
      </c>
      <c r="L186" s="2">
        <v>45328</v>
      </c>
    </row>
    <row r="187" spans="1:12" x14ac:dyDescent="0.35">
      <c r="A187" s="1" t="s">
        <v>345</v>
      </c>
      <c r="B187" s="1" t="s">
        <v>346</v>
      </c>
      <c r="C187" s="1" t="s">
        <v>44</v>
      </c>
      <c r="D187" s="1" t="s">
        <v>45</v>
      </c>
      <c r="E187" s="1" t="s">
        <v>16</v>
      </c>
      <c r="F187" s="1" t="s">
        <v>17</v>
      </c>
      <c r="G187" s="1" t="s">
        <v>18</v>
      </c>
      <c r="H187" s="1">
        <v>14470</v>
      </c>
      <c r="I187" s="1" t="s">
        <v>22</v>
      </c>
      <c r="J187" s="1">
        <v>0.1</v>
      </c>
      <c r="K187" s="1">
        <v>13000</v>
      </c>
      <c r="L187" s="2">
        <v>45314</v>
      </c>
    </row>
    <row r="188" spans="1:12" x14ac:dyDescent="0.35">
      <c r="A188" s="1" t="s">
        <v>347</v>
      </c>
      <c r="B188" s="1" t="s">
        <v>144</v>
      </c>
      <c r="C188" s="1" t="s">
        <v>30</v>
      </c>
      <c r="D188" s="1" t="s">
        <v>31</v>
      </c>
      <c r="E188" s="1" t="s">
        <v>32</v>
      </c>
      <c r="F188" s="1" t="s">
        <v>17</v>
      </c>
      <c r="G188" s="1" t="s">
        <v>26</v>
      </c>
      <c r="H188" s="1">
        <v>15926</v>
      </c>
      <c r="I188" s="1"/>
      <c r="J188" s="1"/>
      <c r="K188" s="1">
        <v>17000</v>
      </c>
      <c r="L188" s="2">
        <v>45346</v>
      </c>
    </row>
    <row r="189" spans="1:12" x14ac:dyDescent="0.35">
      <c r="A189" s="1" t="s">
        <v>348</v>
      </c>
      <c r="B189" s="1" t="s">
        <v>82</v>
      </c>
      <c r="C189" s="1" t="s">
        <v>14</v>
      </c>
      <c r="D189" s="1" t="s">
        <v>15</v>
      </c>
      <c r="E189" s="1" t="s">
        <v>16</v>
      </c>
      <c r="F189" s="1" t="s">
        <v>39</v>
      </c>
      <c r="G189" s="1" t="s">
        <v>26</v>
      </c>
      <c r="H189" s="1">
        <v>13095</v>
      </c>
      <c r="I189" s="1" t="s">
        <v>22</v>
      </c>
      <c r="J189" s="1">
        <v>0.1</v>
      </c>
      <c r="K189" s="1">
        <v>14000</v>
      </c>
      <c r="L189" s="2">
        <v>45303</v>
      </c>
    </row>
    <row r="190" spans="1:12" x14ac:dyDescent="0.35">
      <c r="A190" s="1" t="s">
        <v>349</v>
      </c>
      <c r="B190" s="1" t="s">
        <v>350</v>
      </c>
      <c r="C190" s="1" t="s">
        <v>30</v>
      </c>
      <c r="D190" s="1" t="s">
        <v>31</v>
      </c>
      <c r="E190" s="1" t="s">
        <v>46</v>
      </c>
      <c r="F190" s="1" t="s">
        <v>17</v>
      </c>
      <c r="G190" s="1" t="s">
        <v>18</v>
      </c>
      <c r="H190" s="1">
        <v>15743</v>
      </c>
      <c r="I190" s="1" t="s">
        <v>19</v>
      </c>
      <c r="J190" s="1">
        <v>0.2</v>
      </c>
      <c r="K190" s="1">
        <v>17000</v>
      </c>
      <c r="L190" s="2">
        <v>45328</v>
      </c>
    </row>
    <row r="191" spans="1:12" x14ac:dyDescent="0.35">
      <c r="A191" s="1" t="s">
        <v>351</v>
      </c>
      <c r="B191" s="1" t="s">
        <v>90</v>
      </c>
      <c r="C191" s="1" t="s">
        <v>14</v>
      </c>
      <c r="D191" s="1" t="s">
        <v>15</v>
      </c>
      <c r="E191" s="1" t="s">
        <v>32</v>
      </c>
      <c r="F191" s="1" t="s">
        <v>39</v>
      </c>
      <c r="G191" s="1" t="s">
        <v>26</v>
      </c>
      <c r="H191" s="1">
        <v>15980</v>
      </c>
      <c r="I191" s="1" t="s">
        <v>22</v>
      </c>
      <c r="J191" s="1">
        <v>0.1</v>
      </c>
      <c r="K191" s="1">
        <v>14000</v>
      </c>
      <c r="L191" s="2">
        <v>45297</v>
      </c>
    </row>
    <row r="192" spans="1:12" x14ac:dyDescent="0.35">
      <c r="A192" s="1" t="s">
        <v>352</v>
      </c>
      <c r="B192" s="1" t="s">
        <v>103</v>
      </c>
      <c r="C192" s="1" t="s">
        <v>44</v>
      </c>
      <c r="D192" s="1" t="s">
        <v>45</v>
      </c>
      <c r="E192" s="1" t="s">
        <v>46</v>
      </c>
      <c r="F192" s="1" t="s">
        <v>17</v>
      </c>
      <c r="G192" s="1" t="s">
        <v>36</v>
      </c>
      <c r="H192" s="1">
        <v>12396</v>
      </c>
      <c r="I192" s="1" t="s">
        <v>19</v>
      </c>
      <c r="J192" s="1">
        <v>0.2</v>
      </c>
      <c r="K192" s="1">
        <v>13000</v>
      </c>
      <c r="L192" s="2">
        <v>45315</v>
      </c>
    </row>
    <row r="193" spans="1:12" x14ac:dyDescent="0.35">
      <c r="A193" s="1" t="s">
        <v>353</v>
      </c>
      <c r="B193" s="1" t="s">
        <v>350</v>
      </c>
      <c r="C193" s="1" t="s">
        <v>30</v>
      </c>
      <c r="D193" s="1" t="s">
        <v>31</v>
      </c>
      <c r="E193" s="1" t="s">
        <v>16</v>
      </c>
      <c r="F193" s="1" t="s">
        <v>39</v>
      </c>
      <c r="G193" s="1" t="s">
        <v>18</v>
      </c>
      <c r="H193" s="1">
        <v>18618</v>
      </c>
      <c r="I193" s="1" t="s">
        <v>22</v>
      </c>
      <c r="J193" s="1">
        <v>0.1</v>
      </c>
      <c r="K193" s="1">
        <v>17000</v>
      </c>
      <c r="L193" s="2">
        <v>45301</v>
      </c>
    </row>
    <row r="194" spans="1:12" x14ac:dyDescent="0.35">
      <c r="A194" s="1" t="s">
        <v>354</v>
      </c>
      <c r="B194" s="1" t="s">
        <v>135</v>
      </c>
      <c r="C194" s="1" t="s">
        <v>14</v>
      </c>
      <c r="D194" s="1" t="s">
        <v>15</v>
      </c>
      <c r="E194" s="1" t="s">
        <v>16</v>
      </c>
      <c r="F194" s="1" t="s">
        <v>25</v>
      </c>
      <c r="G194" s="1" t="s">
        <v>36</v>
      </c>
      <c r="H194" s="1">
        <v>13814</v>
      </c>
      <c r="I194" s="1"/>
      <c r="J194" s="1"/>
      <c r="K194" s="1">
        <v>14000</v>
      </c>
      <c r="L194" s="2">
        <v>45323</v>
      </c>
    </row>
    <row r="195" spans="1:12" x14ac:dyDescent="0.35">
      <c r="A195" s="1" t="s">
        <v>355</v>
      </c>
      <c r="B195" s="1" t="s">
        <v>356</v>
      </c>
      <c r="C195" s="1" t="s">
        <v>61</v>
      </c>
      <c r="D195" s="1" t="s">
        <v>62</v>
      </c>
      <c r="E195" s="1" t="s">
        <v>46</v>
      </c>
      <c r="F195" s="1" t="s">
        <v>25</v>
      </c>
      <c r="G195" s="1" t="s">
        <v>26</v>
      </c>
      <c r="H195" s="1">
        <v>7466</v>
      </c>
      <c r="I195" s="1" t="s">
        <v>33</v>
      </c>
      <c r="J195" s="1">
        <v>0.3</v>
      </c>
      <c r="K195" s="1">
        <v>9000</v>
      </c>
      <c r="L195" s="2">
        <v>45319</v>
      </c>
    </row>
    <row r="196" spans="1:12" x14ac:dyDescent="0.35">
      <c r="A196" s="1" t="s">
        <v>357</v>
      </c>
      <c r="B196" s="1" t="s">
        <v>263</v>
      </c>
      <c r="C196" s="1" t="s">
        <v>61</v>
      </c>
      <c r="D196" s="1" t="s">
        <v>62</v>
      </c>
      <c r="E196" s="1" t="s">
        <v>16</v>
      </c>
      <c r="F196" s="1" t="s">
        <v>39</v>
      </c>
      <c r="G196" s="1" t="s">
        <v>36</v>
      </c>
      <c r="H196" s="1">
        <v>7186</v>
      </c>
      <c r="I196" s="1" t="s">
        <v>19</v>
      </c>
      <c r="J196" s="1">
        <v>0.2</v>
      </c>
      <c r="K196" s="1">
        <v>9000</v>
      </c>
      <c r="L196" s="2">
        <v>45317</v>
      </c>
    </row>
    <row r="197" spans="1:12" x14ac:dyDescent="0.35">
      <c r="A197" s="1" t="s">
        <v>358</v>
      </c>
      <c r="B197" s="1" t="s">
        <v>359</v>
      </c>
      <c r="C197" s="1" t="s">
        <v>14</v>
      </c>
      <c r="D197" s="1" t="s">
        <v>15</v>
      </c>
      <c r="E197" s="1" t="s">
        <v>32</v>
      </c>
      <c r="F197" s="1" t="s">
        <v>17</v>
      </c>
      <c r="G197" s="1" t="s">
        <v>18</v>
      </c>
      <c r="H197" s="1">
        <v>15143</v>
      </c>
      <c r="I197" s="1" t="s">
        <v>19</v>
      </c>
      <c r="J197" s="1">
        <v>0.2</v>
      </c>
      <c r="K197" s="1">
        <v>14000</v>
      </c>
      <c r="L197" s="2">
        <v>45340</v>
      </c>
    </row>
    <row r="198" spans="1:12" x14ac:dyDescent="0.35">
      <c r="A198" s="1" t="s">
        <v>360</v>
      </c>
      <c r="B198" s="1" t="s">
        <v>361</v>
      </c>
      <c r="C198" s="1" t="s">
        <v>30</v>
      </c>
      <c r="D198" s="1" t="s">
        <v>31</v>
      </c>
      <c r="E198" s="1" t="s">
        <v>32</v>
      </c>
      <c r="F198" s="1" t="s">
        <v>25</v>
      </c>
      <c r="G198" s="1" t="s">
        <v>36</v>
      </c>
      <c r="H198" s="1">
        <v>18059</v>
      </c>
      <c r="I198" s="1"/>
      <c r="J198" s="1"/>
      <c r="K198" s="1">
        <v>17000</v>
      </c>
      <c r="L198" s="2">
        <v>45303</v>
      </c>
    </row>
    <row r="199" spans="1:12" x14ac:dyDescent="0.35">
      <c r="A199" s="1" t="s">
        <v>362</v>
      </c>
      <c r="B199" s="1" t="s">
        <v>363</v>
      </c>
      <c r="C199" s="1" t="s">
        <v>44</v>
      </c>
      <c r="D199" s="1" t="s">
        <v>45</v>
      </c>
      <c r="E199" s="1" t="s">
        <v>16</v>
      </c>
      <c r="F199" s="1" t="s">
        <v>39</v>
      </c>
      <c r="G199" s="1" t="s">
        <v>26</v>
      </c>
      <c r="H199" s="1">
        <v>14302</v>
      </c>
      <c r="I199" s="1" t="s">
        <v>33</v>
      </c>
      <c r="J199" s="1">
        <v>0.3</v>
      </c>
      <c r="K199" s="1">
        <v>13000</v>
      </c>
      <c r="L199" s="2">
        <v>45296</v>
      </c>
    </row>
    <row r="200" spans="1:12" x14ac:dyDescent="0.35">
      <c r="A200" s="1" t="s">
        <v>364</v>
      </c>
      <c r="B200" s="1" t="s">
        <v>309</v>
      </c>
      <c r="C200" s="1" t="s">
        <v>14</v>
      </c>
      <c r="D200" s="1" t="s">
        <v>15</v>
      </c>
      <c r="E200" s="1" t="s">
        <v>46</v>
      </c>
      <c r="F200" s="1" t="s">
        <v>25</v>
      </c>
      <c r="G200" s="1" t="s">
        <v>36</v>
      </c>
      <c r="H200" s="1">
        <v>15773</v>
      </c>
      <c r="I200" s="1" t="s">
        <v>22</v>
      </c>
      <c r="J200" s="1">
        <v>0.1</v>
      </c>
      <c r="K200" s="1">
        <v>14000</v>
      </c>
      <c r="L200" s="2">
        <v>45347</v>
      </c>
    </row>
    <row r="201" spans="1:12" x14ac:dyDescent="0.35">
      <c r="A201" s="1" t="s">
        <v>365</v>
      </c>
      <c r="B201" s="1" t="s">
        <v>38</v>
      </c>
      <c r="C201" s="1" t="s">
        <v>61</v>
      </c>
      <c r="D201" s="1" t="s">
        <v>62</v>
      </c>
      <c r="E201" s="1" t="s">
        <v>16</v>
      </c>
      <c r="F201" s="1" t="s">
        <v>17</v>
      </c>
      <c r="G201" s="1" t="s">
        <v>26</v>
      </c>
      <c r="H201" s="1">
        <v>9622</v>
      </c>
      <c r="I201" s="1"/>
      <c r="J201" s="1"/>
      <c r="K201" s="1">
        <v>9000</v>
      </c>
      <c r="L201" s="2">
        <v>45310</v>
      </c>
    </row>
    <row r="202" spans="1:12" x14ac:dyDescent="0.35">
      <c r="A202" s="1" t="s">
        <v>366</v>
      </c>
      <c r="B202" s="1" t="s">
        <v>66</v>
      </c>
      <c r="C202" s="1" t="s">
        <v>14</v>
      </c>
      <c r="D202" s="1" t="s">
        <v>15</v>
      </c>
      <c r="E202" s="1" t="s">
        <v>46</v>
      </c>
      <c r="F202" s="1" t="s">
        <v>25</v>
      </c>
      <c r="G202" s="1" t="s">
        <v>26</v>
      </c>
      <c r="H202" s="1">
        <v>13884</v>
      </c>
      <c r="I202" s="1" t="s">
        <v>33</v>
      </c>
      <c r="J202" s="1">
        <v>0.3</v>
      </c>
      <c r="K202" s="1">
        <v>14000</v>
      </c>
      <c r="L202" s="2">
        <v>45297</v>
      </c>
    </row>
    <row r="203" spans="1:12" x14ac:dyDescent="0.35">
      <c r="A203" s="1" t="s">
        <v>367</v>
      </c>
      <c r="B203" s="1" t="s">
        <v>309</v>
      </c>
      <c r="C203" s="1" t="s">
        <v>14</v>
      </c>
      <c r="D203" s="1" t="s">
        <v>15</v>
      </c>
      <c r="E203" s="1" t="s">
        <v>32</v>
      </c>
      <c r="F203" s="1" t="s">
        <v>17</v>
      </c>
      <c r="G203" s="1" t="s">
        <v>26</v>
      </c>
      <c r="H203" s="1">
        <v>13640</v>
      </c>
      <c r="I203" s="1" t="s">
        <v>27</v>
      </c>
      <c r="J203" s="1"/>
      <c r="K203" s="1">
        <v>14000</v>
      </c>
      <c r="L203" s="2">
        <v>45297</v>
      </c>
    </row>
    <row r="204" spans="1:12" x14ac:dyDescent="0.35">
      <c r="A204" s="1" t="s">
        <v>368</v>
      </c>
      <c r="B204" s="1" t="s">
        <v>309</v>
      </c>
      <c r="C204" s="1" t="s">
        <v>30</v>
      </c>
      <c r="D204" s="1" t="s">
        <v>31</v>
      </c>
      <c r="E204" s="1" t="s">
        <v>16</v>
      </c>
      <c r="F204" s="1" t="s">
        <v>17</v>
      </c>
      <c r="G204" s="1" t="s">
        <v>18</v>
      </c>
      <c r="H204" s="1">
        <v>16364</v>
      </c>
      <c r="I204" s="1" t="s">
        <v>19</v>
      </c>
      <c r="J204" s="1">
        <v>0.2</v>
      </c>
      <c r="K204" s="1">
        <v>17000</v>
      </c>
      <c r="L204" s="2">
        <v>45296</v>
      </c>
    </row>
    <row r="205" spans="1:12" x14ac:dyDescent="0.35">
      <c r="A205" s="1" t="s">
        <v>369</v>
      </c>
      <c r="B205" s="1" t="s">
        <v>202</v>
      </c>
      <c r="C205" s="1" t="s">
        <v>14</v>
      </c>
      <c r="D205" s="1" t="s">
        <v>15</v>
      </c>
      <c r="E205" s="1" t="s">
        <v>16</v>
      </c>
      <c r="F205" s="1" t="s">
        <v>39</v>
      </c>
      <c r="G205" s="1" t="s">
        <v>18</v>
      </c>
      <c r="H205" s="1">
        <v>15710</v>
      </c>
      <c r="I205" s="1" t="s">
        <v>33</v>
      </c>
      <c r="J205" s="1">
        <v>0.3</v>
      </c>
      <c r="K205" s="1">
        <v>14000</v>
      </c>
      <c r="L205" s="2">
        <v>45314</v>
      </c>
    </row>
    <row r="206" spans="1:12" x14ac:dyDescent="0.35">
      <c r="A206" s="1" t="s">
        <v>370</v>
      </c>
      <c r="B206" s="1" t="s">
        <v>371</v>
      </c>
      <c r="C206" s="1" t="s">
        <v>44</v>
      </c>
      <c r="D206" s="1" t="s">
        <v>45</v>
      </c>
      <c r="E206" s="1" t="s">
        <v>32</v>
      </c>
      <c r="F206" s="1" t="s">
        <v>25</v>
      </c>
      <c r="G206" s="1" t="s">
        <v>18</v>
      </c>
      <c r="H206" s="1">
        <v>12048</v>
      </c>
      <c r="I206" s="1" t="s">
        <v>19</v>
      </c>
      <c r="J206" s="1">
        <v>0.2</v>
      </c>
      <c r="K206" s="1">
        <v>13000</v>
      </c>
      <c r="L206" s="2">
        <v>45303</v>
      </c>
    </row>
    <row r="207" spans="1:12" x14ac:dyDescent="0.35">
      <c r="A207" s="1" t="s">
        <v>372</v>
      </c>
      <c r="B207" s="1" t="s">
        <v>373</v>
      </c>
      <c r="C207" s="1" t="s">
        <v>14</v>
      </c>
      <c r="D207" s="1" t="s">
        <v>15</v>
      </c>
      <c r="E207" s="1" t="s">
        <v>32</v>
      </c>
      <c r="F207" s="1" t="s">
        <v>39</v>
      </c>
      <c r="G207" s="1" t="s">
        <v>36</v>
      </c>
      <c r="H207" s="1">
        <v>13900</v>
      </c>
      <c r="I207" s="1" t="s">
        <v>27</v>
      </c>
      <c r="J207" s="1"/>
      <c r="K207" s="1">
        <v>14000</v>
      </c>
      <c r="L207" s="2">
        <v>45340</v>
      </c>
    </row>
    <row r="208" spans="1:12" x14ac:dyDescent="0.35">
      <c r="A208" s="1" t="s">
        <v>374</v>
      </c>
      <c r="B208" s="1" t="s">
        <v>356</v>
      </c>
      <c r="C208" s="1" t="s">
        <v>30</v>
      </c>
      <c r="D208" s="1" t="s">
        <v>31</v>
      </c>
      <c r="E208" s="1" t="s">
        <v>16</v>
      </c>
      <c r="F208" s="1" t="s">
        <v>17</v>
      </c>
      <c r="G208" s="1" t="s">
        <v>18</v>
      </c>
      <c r="H208" s="1">
        <v>16801</v>
      </c>
      <c r="I208" s="1" t="s">
        <v>22</v>
      </c>
      <c r="J208" s="1">
        <v>0.1</v>
      </c>
      <c r="K208" s="1">
        <v>17000</v>
      </c>
      <c r="L208" s="2">
        <v>45322</v>
      </c>
    </row>
    <row r="209" spans="1:12" x14ac:dyDescent="0.35">
      <c r="A209" s="1" t="s">
        <v>375</v>
      </c>
      <c r="B209" s="1" t="s">
        <v>332</v>
      </c>
      <c r="C209" s="1" t="s">
        <v>30</v>
      </c>
      <c r="D209" s="1" t="s">
        <v>31</v>
      </c>
      <c r="E209" s="1" t="s">
        <v>46</v>
      </c>
      <c r="F209" s="1" t="s">
        <v>39</v>
      </c>
      <c r="G209" s="1" t="s">
        <v>18</v>
      </c>
      <c r="H209" s="1">
        <v>16441</v>
      </c>
      <c r="I209" s="1" t="s">
        <v>27</v>
      </c>
      <c r="J209" s="1"/>
      <c r="K209" s="1">
        <v>17000</v>
      </c>
      <c r="L209" s="2">
        <v>45296</v>
      </c>
    </row>
    <row r="210" spans="1:12" x14ac:dyDescent="0.35">
      <c r="A210" s="1" t="s">
        <v>376</v>
      </c>
      <c r="B210" s="1" t="s">
        <v>48</v>
      </c>
      <c r="C210" s="1" t="s">
        <v>61</v>
      </c>
      <c r="D210" s="1" t="s">
        <v>62</v>
      </c>
      <c r="E210" s="1" t="s">
        <v>32</v>
      </c>
      <c r="F210" s="1" t="s">
        <v>25</v>
      </c>
      <c r="G210" s="1" t="s">
        <v>36</v>
      </c>
      <c r="H210" s="1">
        <v>10406</v>
      </c>
      <c r="I210" s="1" t="s">
        <v>33</v>
      </c>
      <c r="J210" s="1">
        <v>0.3</v>
      </c>
      <c r="K210" s="1">
        <v>9000</v>
      </c>
      <c r="L210" s="2">
        <v>45296</v>
      </c>
    </row>
    <row r="211" spans="1:12" x14ac:dyDescent="0.35">
      <c r="A211" s="1" t="s">
        <v>377</v>
      </c>
      <c r="B211" s="1" t="s">
        <v>204</v>
      </c>
      <c r="C211" s="1" t="s">
        <v>14</v>
      </c>
      <c r="D211" s="1" t="s">
        <v>15</v>
      </c>
      <c r="E211" s="1" t="s">
        <v>16</v>
      </c>
      <c r="F211" s="1" t="s">
        <v>39</v>
      </c>
      <c r="G211" s="1" t="s">
        <v>26</v>
      </c>
      <c r="H211" s="1">
        <v>13574</v>
      </c>
      <c r="I211" s="1"/>
      <c r="J211" s="1"/>
      <c r="K211" s="1">
        <v>14000</v>
      </c>
      <c r="L211" s="2">
        <v>45329</v>
      </c>
    </row>
    <row r="212" spans="1:12" x14ac:dyDescent="0.35">
      <c r="A212" s="1" t="s">
        <v>378</v>
      </c>
      <c r="B212" s="1" t="s">
        <v>82</v>
      </c>
      <c r="C212" s="1" t="s">
        <v>14</v>
      </c>
      <c r="D212" s="1" t="s">
        <v>15</v>
      </c>
      <c r="E212" s="1" t="s">
        <v>46</v>
      </c>
      <c r="F212" s="1" t="s">
        <v>39</v>
      </c>
      <c r="G212" s="1" t="s">
        <v>26</v>
      </c>
      <c r="H212" s="1">
        <v>12771</v>
      </c>
      <c r="I212" s="1" t="s">
        <v>33</v>
      </c>
      <c r="J212" s="1">
        <v>0.3</v>
      </c>
      <c r="K212" s="1">
        <v>14000</v>
      </c>
      <c r="L212" s="2">
        <v>45330</v>
      </c>
    </row>
    <row r="213" spans="1:12" x14ac:dyDescent="0.35">
      <c r="A213" s="1" t="s">
        <v>379</v>
      </c>
      <c r="B213" s="1" t="s">
        <v>330</v>
      </c>
      <c r="C213" s="1" t="s">
        <v>44</v>
      </c>
      <c r="D213" s="1" t="s">
        <v>45</v>
      </c>
      <c r="E213" s="1" t="s">
        <v>32</v>
      </c>
      <c r="F213" s="1" t="s">
        <v>17</v>
      </c>
      <c r="G213" s="1" t="s">
        <v>18</v>
      </c>
      <c r="H213" s="1">
        <v>14321</v>
      </c>
      <c r="I213" s="1" t="s">
        <v>33</v>
      </c>
      <c r="J213" s="1">
        <v>0.3</v>
      </c>
      <c r="K213" s="1">
        <v>13000</v>
      </c>
      <c r="L213" s="2">
        <v>45337</v>
      </c>
    </row>
    <row r="214" spans="1:12" x14ac:dyDescent="0.35">
      <c r="A214" s="1" t="s">
        <v>380</v>
      </c>
      <c r="B214" s="1" t="s">
        <v>241</v>
      </c>
      <c r="C214" s="1" t="s">
        <v>44</v>
      </c>
      <c r="D214" s="1" t="s">
        <v>45</v>
      </c>
      <c r="E214" s="1" t="s">
        <v>32</v>
      </c>
      <c r="F214" s="1" t="s">
        <v>25</v>
      </c>
      <c r="G214" s="1" t="s">
        <v>26</v>
      </c>
      <c r="H214" s="1">
        <v>12793</v>
      </c>
      <c r="I214" s="1"/>
      <c r="J214" s="1"/>
      <c r="K214" s="1">
        <v>13000</v>
      </c>
      <c r="L214" s="2">
        <v>45325</v>
      </c>
    </row>
    <row r="215" spans="1:12" x14ac:dyDescent="0.35">
      <c r="A215" s="1" t="s">
        <v>381</v>
      </c>
      <c r="B215" s="1" t="s">
        <v>382</v>
      </c>
      <c r="C215" s="1" t="s">
        <v>44</v>
      </c>
      <c r="D215" s="1" t="s">
        <v>45</v>
      </c>
      <c r="E215" s="1" t="s">
        <v>46</v>
      </c>
      <c r="F215" s="1" t="s">
        <v>17</v>
      </c>
      <c r="G215" s="1" t="s">
        <v>36</v>
      </c>
      <c r="H215" s="1">
        <v>12586</v>
      </c>
      <c r="I215" s="1"/>
      <c r="J215" s="1"/>
      <c r="K215" s="1">
        <v>13000</v>
      </c>
      <c r="L215" s="2">
        <v>45341</v>
      </c>
    </row>
    <row r="216" spans="1:12" x14ac:dyDescent="0.35">
      <c r="A216" s="1" t="s">
        <v>383</v>
      </c>
      <c r="B216" s="1" t="s">
        <v>150</v>
      </c>
      <c r="C216" s="1" t="s">
        <v>14</v>
      </c>
      <c r="D216" s="1" t="s">
        <v>15</v>
      </c>
      <c r="E216" s="1" t="s">
        <v>16</v>
      </c>
      <c r="F216" s="1" t="s">
        <v>39</v>
      </c>
      <c r="G216" s="1" t="s">
        <v>36</v>
      </c>
      <c r="H216" s="1">
        <v>12269</v>
      </c>
      <c r="I216" s="1" t="s">
        <v>33</v>
      </c>
      <c r="J216" s="1">
        <v>0.3</v>
      </c>
      <c r="K216" s="1">
        <v>14000</v>
      </c>
      <c r="L216" s="2">
        <v>45298</v>
      </c>
    </row>
    <row r="217" spans="1:12" x14ac:dyDescent="0.35">
      <c r="A217" s="1" t="s">
        <v>384</v>
      </c>
      <c r="B217" s="1" t="s">
        <v>202</v>
      </c>
      <c r="C217" s="1" t="s">
        <v>61</v>
      </c>
      <c r="D217" s="1" t="s">
        <v>62</v>
      </c>
      <c r="E217" s="1" t="s">
        <v>46</v>
      </c>
      <c r="F217" s="1" t="s">
        <v>17</v>
      </c>
      <c r="G217" s="1" t="s">
        <v>26</v>
      </c>
      <c r="H217" s="1">
        <v>10488</v>
      </c>
      <c r="I217" s="1" t="s">
        <v>27</v>
      </c>
      <c r="J217" s="1"/>
      <c r="K217" s="1">
        <v>9000</v>
      </c>
      <c r="L217" s="2">
        <v>45347</v>
      </c>
    </row>
    <row r="218" spans="1:12" x14ac:dyDescent="0.35">
      <c r="A218" s="1" t="s">
        <v>385</v>
      </c>
      <c r="B218" s="1" t="s">
        <v>74</v>
      </c>
      <c r="C218" s="1" t="s">
        <v>14</v>
      </c>
      <c r="D218" s="1" t="s">
        <v>15</v>
      </c>
      <c r="E218" s="1" t="s">
        <v>16</v>
      </c>
      <c r="F218" s="1" t="s">
        <v>39</v>
      </c>
      <c r="G218" s="1" t="s">
        <v>18</v>
      </c>
      <c r="H218" s="1">
        <v>15754</v>
      </c>
      <c r="I218" s="1" t="s">
        <v>33</v>
      </c>
      <c r="J218" s="1">
        <v>0.3</v>
      </c>
      <c r="K218" s="1">
        <v>14000</v>
      </c>
      <c r="L218" s="2">
        <v>45311</v>
      </c>
    </row>
    <row r="219" spans="1:12" x14ac:dyDescent="0.35">
      <c r="A219" s="1" t="s">
        <v>386</v>
      </c>
      <c r="B219" s="1" t="s">
        <v>305</v>
      </c>
      <c r="C219" s="1" t="s">
        <v>61</v>
      </c>
      <c r="D219" s="1" t="s">
        <v>62</v>
      </c>
      <c r="E219" s="1" t="s">
        <v>32</v>
      </c>
      <c r="F219" s="1" t="s">
        <v>39</v>
      </c>
      <c r="G219" s="1" t="s">
        <v>26</v>
      </c>
      <c r="H219" s="1">
        <v>10842</v>
      </c>
      <c r="I219" s="1" t="s">
        <v>22</v>
      </c>
      <c r="J219" s="1">
        <v>0.1</v>
      </c>
      <c r="K219" s="1">
        <v>9000</v>
      </c>
      <c r="L219" s="2">
        <v>45311</v>
      </c>
    </row>
    <row r="220" spans="1:12" x14ac:dyDescent="0.35">
      <c r="A220" s="1" t="s">
        <v>387</v>
      </c>
      <c r="B220" s="1" t="s">
        <v>388</v>
      </c>
      <c r="C220" s="1" t="s">
        <v>30</v>
      </c>
      <c r="D220" s="1" t="s">
        <v>31</v>
      </c>
      <c r="E220" s="1" t="s">
        <v>32</v>
      </c>
      <c r="F220" s="1" t="s">
        <v>39</v>
      </c>
      <c r="G220" s="1" t="s">
        <v>26</v>
      </c>
      <c r="H220" s="1">
        <v>18395</v>
      </c>
      <c r="I220" s="1" t="s">
        <v>27</v>
      </c>
      <c r="J220" s="1"/>
      <c r="K220" s="1">
        <v>17000</v>
      </c>
      <c r="L220" s="2">
        <v>45297</v>
      </c>
    </row>
    <row r="221" spans="1:12" x14ac:dyDescent="0.35">
      <c r="A221" s="1" t="s">
        <v>389</v>
      </c>
      <c r="B221" s="1" t="s">
        <v>92</v>
      </c>
      <c r="C221" s="1" t="s">
        <v>61</v>
      </c>
      <c r="D221" s="1" t="s">
        <v>62</v>
      </c>
      <c r="E221" s="1" t="s">
        <v>16</v>
      </c>
      <c r="F221" s="1" t="s">
        <v>17</v>
      </c>
      <c r="G221" s="1" t="s">
        <v>18</v>
      </c>
      <c r="H221" s="1">
        <v>8485</v>
      </c>
      <c r="I221" s="1" t="s">
        <v>33</v>
      </c>
      <c r="J221" s="1">
        <v>0.3</v>
      </c>
      <c r="K221" s="1">
        <v>9000</v>
      </c>
      <c r="L221" s="2">
        <v>45303</v>
      </c>
    </row>
    <row r="222" spans="1:12" x14ac:dyDescent="0.35">
      <c r="A222" s="1" t="s">
        <v>390</v>
      </c>
      <c r="B222" s="1" t="s">
        <v>391</v>
      </c>
      <c r="C222" s="1" t="s">
        <v>61</v>
      </c>
      <c r="D222" s="1" t="s">
        <v>62</v>
      </c>
      <c r="E222" s="1" t="s">
        <v>32</v>
      </c>
      <c r="F222" s="1" t="s">
        <v>25</v>
      </c>
      <c r="G222" s="1" t="s">
        <v>18</v>
      </c>
      <c r="H222" s="1">
        <v>7634</v>
      </c>
      <c r="I222" s="1" t="s">
        <v>22</v>
      </c>
      <c r="J222" s="1">
        <v>0.1</v>
      </c>
      <c r="K222" s="1">
        <v>9000</v>
      </c>
      <c r="L222" s="2">
        <v>45310</v>
      </c>
    </row>
    <row r="223" spans="1:12" x14ac:dyDescent="0.35">
      <c r="A223" s="1" t="s">
        <v>392</v>
      </c>
      <c r="B223" s="1" t="s">
        <v>393</v>
      </c>
      <c r="C223" s="1" t="s">
        <v>14</v>
      </c>
      <c r="D223" s="1" t="s">
        <v>15</v>
      </c>
      <c r="E223" s="1" t="s">
        <v>16</v>
      </c>
      <c r="F223" s="1" t="s">
        <v>39</v>
      </c>
      <c r="G223" s="1" t="s">
        <v>26</v>
      </c>
      <c r="H223" s="1">
        <v>15619</v>
      </c>
      <c r="I223" s="1" t="s">
        <v>27</v>
      </c>
      <c r="J223" s="1"/>
      <c r="K223" s="1">
        <v>14000</v>
      </c>
      <c r="L223" s="2">
        <v>45294</v>
      </c>
    </row>
    <row r="224" spans="1:12" x14ac:dyDescent="0.35">
      <c r="A224" s="1" t="s">
        <v>394</v>
      </c>
      <c r="B224" s="1" t="s">
        <v>317</v>
      </c>
      <c r="C224" s="1" t="s">
        <v>44</v>
      </c>
      <c r="D224" s="1" t="s">
        <v>45</v>
      </c>
      <c r="E224" s="1" t="s">
        <v>16</v>
      </c>
      <c r="F224" s="1" t="s">
        <v>17</v>
      </c>
      <c r="G224" s="1" t="s">
        <v>18</v>
      </c>
      <c r="H224" s="1">
        <v>11664</v>
      </c>
      <c r="I224" s="1" t="s">
        <v>19</v>
      </c>
      <c r="J224" s="1">
        <v>0.2</v>
      </c>
      <c r="K224" s="1">
        <v>13000</v>
      </c>
      <c r="L224" s="2">
        <v>45345</v>
      </c>
    </row>
    <row r="225" spans="1:12" x14ac:dyDescent="0.35">
      <c r="A225" s="1" t="s">
        <v>395</v>
      </c>
      <c r="B225" s="1" t="s">
        <v>276</v>
      </c>
      <c r="C225" s="1" t="s">
        <v>44</v>
      </c>
      <c r="D225" s="1" t="s">
        <v>45</v>
      </c>
      <c r="E225" s="1" t="s">
        <v>16</v>
      </c>
      <c r="F225" s="1" t="s">
        <v>17</v>
      </c>
      <c r="G225" s="1" t="s">
        <v>18</v>
      </c>
      <c r="H225" s="1">
        <v>12682</v>
      </c>
      <c r="I225" s="1" t="s">
        <v>33</v>
      </c>
      <c r="J225" s="1">
        <v>0.3</v>
      </c>
      <c r="K225" s="1">
        <v>13000</v>
      </c>
      <c r="L225" s="2">
        <v>45335</v>
      </c>
    </row>
    <row r="226" spans="1:12" x14ac:dyDescent="0.35">
      <c r="A226" s="1" t="s">
        <v>396</v>
      </c>
      <c r="B226" s="1" t="s">
        <v>397</v>
      </c>
      <c r="C226" s="1" t="s">
        <v>61</v>
      </c>
      <c r="D226" s="1" t="s">
        <v>62</v>
      </c>
      <c r="E226" s="1" t="s">
        <v>16</v>
      </c>
      <c r="F226" s="1" t="s">
        <v>17</v>
      </c>
      <c r="G226" s="1" t="s">
        <v>26</v>
      </c>
      <c r="H226" s="1">
        <v>10210</v>
      </c>
      <c r="I226" s="1"/>
      <c r="J226" s="1"/>
      <c r="K226" s="1">
        <v>9000</v>
      </c>
      <c r="L226" s="2">
        <v>45306</v>
      </c>
    </row>
    <row r="227" spans="1:12" x14ac:dyDescent="0.35">
      <c r="A227" s="1" t="s">
        <v>398</v>
      </c>
      <c r="B227" s="1" t="s">
        <v>346</v>
      </c>
      <c r="C227" s="1" t="s">
        <v>30</v>
      </c>
      <c r="D227" s="1" t="s">
        <v>31</v>
      </c>
      <c r="E227" s="1" t="s">
        <v>46</v>
      </c>
      <c r="F227" s="1" t="s">
        <v>25</v>
      </c>
      <c r="G227" s="1" t="s">
        <v>36</v>
      </c>
      <c r="H227" s="1">
        <v>17778</v>
      </c>
      <c r="I227" s="1" t="s">
        <v>27</v>
      </c>
      <c r="J227" s="1"/>
      <c r="K227" s="1">
        <v>17000</v>
      </c>
      <c r="L227" s="2">
        <v>45320</v>
      </c>
    </row>
    <row r="228" spans="1:12" x14ac:dyDescent="0.35">
      <c r="A228" s="1" t="s">
        <v>399</v>
      </c>
      <c r="B228" s="1" t="s">
        <v>157</v>
      </c>
      <c r="C228" s="1" t="s">
        <v>30</v>
      </c>
      <c r="D228" s="1" t="s">
        <v>31</v>
      </c>
      <c r="E228" s="1" t="s">
        <v>46</v>
      </c>
      <c r="F228" s="1" t="s">
        <v>39</v>
      </c>
      <c r="G228" s="1" t="s">
        <v>26</v>
      </c>
      <c r="H228" s="1">
        <v>16714</v>
      </c>
      <c r="I228" s="1" t="s">
        <v>19</v>
      </c>
      <c r="J228" s="1">
        <v>0.2</v>
      </c>
      <c r="K228" s="1">
        <v>17000</v>
      </c>
      <c r="L228" s="2">
        <v>45344</v>
      </c>
    </row>
    <row r="229" spans="1:12" x14ac:dyDescent="0.35">
      <c r="A229" s="1" t="s">
        <v>400</v>
      </c>
      <c r="B229" s="1" t="s">
        <v>401</v>
      </c>
      <c r="C229" s="1" t="s">
        <v>44</v>
      </c>
      <c r="D229" s="1" t="s">
        <v>45</v>
      </c>
      <c r="E229" s="1" t="s">
        <v>46</v>
      </c>
      <c r="F229" s="1" t="s">
        <v>25</v>
      </c>
      <c r="G229" s="1" t="s">
        <v>26</v>
      </c>
      <c r="H229" s="1">
        <v>12968</v>
      </c>
      <c r="I229" s="1" t="s">
        <v>33</v>
      </c>
      <c r="J229" s="1">
        <v>0.3</v>
      </c>
      <c r="K229" s="1">
        <v>13000</v>
      </c>
      <c r="L229" s="2">
        <v>45327</v>
      </c>
    </row>
    <row r="230" spans="1:12" x14ac:dyDescent="0.35">
      <c r="A230" s="1" t="s">
        <v>402</v>
      </c>
      <c r="B230" s="1" t="s">
        <v>403</v>
      </c>
      <c r="C230" s="1" t="s">
        <v>14</v>
      </c>
      <c r="D230" s="1" t="s">
        <v>15</v>
      </c>
      <c r="E230" s="1" t="s">
        <v>46</v>
      </c>
      <c r="F230" s="1" t="s">
        <v>25</v>
      </c>
      <c r="G230" s="1" t="s">
        <v>18</v>
      </c>
      <c r="H230" s="1">
        <v>13117</v>
      </c>
      <c r="I230" s="1"/>
      <c r="J230" s="1"/>
      <c r="K230" s="1">
        <v>14000</v>
      </c>
      <c r="L230" s="2">
        <v>45349</v>
      </c>
    </row>
    <row r="231" spans="1:12" x14ac:dyDescent="0.35">
      <c r="A231" s="1" t="s">
        <v>404</v>
      </c>
      <c r="B231" s="1" t="s">
        <v>80</v>
      </c>
      <c r="C231" s="1" t="s">
        <v>61</v>
      </c>
      <c r="D231" s="1" t="s">
        <v>62</v>
      </c>
      <c r="E231" s="1" t="s">
        <v>32</v>
      </c>
      <c r="F231" s="1" t="s">
        <v>25</v>
      </c>
      <c r="G231" s="1" t="s">
        <v>36</v>
      </c>
      <c r="H231" s="1">
        <v>10623</v>
      </c>
      <c r="I231" s="1" t="s">
        <v>33</v>
      </c>
      <c r="J231" s="1">
        <v>0.3</v>
      </c>
      <c r="K231" s="1">
        <v>9000</v>
      </c>
      <c r="L231" s="2">
        <v>45351</v>
      </c>
    </row>
    <row r="232" spans="1:12" x14ac:dyDescent="0.35">
      <c r="A232" s="1" t="s">
        <v>405</v>
      </c>
      <c r="B232" s="1" t="s">
        <v>406</v>
      </c>
      <c r="C232" s="1" t="s">
        <v>14</v>
      </c>
      <c r="D232" s="1" t="s">
        <v>15</v>
      </c>
      <c r="E232" s="1" t="s">
        <v>46</v>
      </c>
      <c r="F232" s="1" t="s">
        <v>39</v>
      </c>
      <c r="G232" s="1" t="s">
        <v>36</v>
      </c>
      <c r="H232" s="1">
        <v>12965</v>
      </c>
      <c r="I232" s="1"/>
      <c r="J232" s="1"/>
      <c r="K232" s="1">
        <v>14000</v>
      </c>
      <c r="L232" s="2">
        <v>45297</v>
      </c>
    </row>
    <row r="233" spans="1:12" x14ac:dyDescent="0.35">
      <c r="A233" s="1" t="s">
        <v>407</v>
      </c>
      <c r="B233" s="1" t="s">
        <v>408</v>
      </c>
      <c r="C233" s="1" t="s">
        <v>14</v>
      </c>
      <c r="D233" s="1" t="s">
        <v>15</v>
      </c>
      <c r="E233" s="1" t="s">
        <v>46</v>
      </c>
      <c r="F233" s="1" t="s">
        <v>25</v>
      </c>
      <c r="G233" s="1" t="s">
        <v>26</v>
      </c>
      <c r="H233" s="1">
        <v>14662</v>
      </c>
      <c r="I233" s="1" t="s">
        <v>33</v>
      </c>
      <c r="J233" s="1">
        <v>0.3</v>
      </c>
      <c r="K233" s="1">
        <v>14000</v>
      </c>
      <c r="L233" s="2">
        <v>45342</v>
      </c>
    </row>
    <row r="234" spans="1:12" x14ac:dyDescent="0.35">
      <c r="A234" s="1" t="s">
        <v>409</v>
      </c>
      <c r="B234" s="1" t="s">
        <v>175</v>
      </c>
      <c r="C234" s="1" t="s">
        <v>14</v>
      </c>
      <c r="D234" s="1" t="s">
        <v>15</v>
      </c>
      <c r="E234" s="1" t="s">
        <v>46</v>
      </c>
      <c r="F234" s="1" t="s">
        <v>17</v>
      </c>
      <c r="G234" s="1" t="s">
        <v>26</v>
      </c>
      <c r="H234" s="1">
        <v>15404</v>
      </c>
      <c r="I234" s="1" t="s">
        <v>19</v>
      </c>
      <c r="J234" s="1">
        <v>0.2</v>
      </c>
      <c r="K234" s="1">
        <v>14000</v>
      </c>
      <c r="L234" s="2">
        <v>45340</v>
      </c>
    </row>
    <row r="235" spans="1:12" x14ac:dyDescent="0.35">
      <c r="A235" s="1" t="s">
        <v>410</v>
      </c>
      <c r="B235" s="1" t="s">
        <v>334</v>
      </c>
      <c r="C235" s="1" t="s">
        <v>61</v>
      </c>
      <c r="D235" s="1" t="s">
        <v>62</v>
      </c>
      <c r="E235" s="1" t="s">
        <v>16</v>
      </c>
      <c r="F235" s="1" t="s">
        <v>25</v>
      </c>
      <c r="G235" s="1" t="s">
        <v>18</v>
      </c>
      <c r="H235" s="1">
        <v>7077</v>
      </c>
      <c r="I235" s="1" t="s">
        <v>33</v>
      </c>
      <c r="J235" s="1">
        <v>0.3</v>
      </c>
      <c r="K235" s="1">
        <v>9000</v>
      </c>
      <c r="L235" s="2">
        <v>45305</v>
      </c>
    </row>
    <row r="236" spans="1:12" x14ac:dyDescent="0.35">
      <c r="A236" s="1" t="s">
        <v>411</v>
      </c>
      <c r="B236" s="1" t="s">
        <v>412</v>
      </c>
      <c r="C236" s="1" t="s">
        <v>61</v>
      </c>
      <c r="D236" s="1" t="s">
        <v>62</v>
      </c>
      <c r="E236" s="1" t="s">
        <v>32</v>
      </c>
      <c r="F236" s="1" t="s">
        <v>17</v>
      </c>
      <c r="G236" s="1" t="s">
        <v>18</v>
      </c>
      <c r="H236" s="1">
        <v>8233</v>
      </c>
      <c r="I236" s="1" t="s">
        <v>22</v>
      </c>
      <c r="J236" s="1">
        <v>0.1</v>
      </c>
      <c r="K236" s="1">
        <v>9000</v>
      </c>
      <c r="L236" s="2">
        <v>45295</v>
      </c>
    </row>
    <row r="237" spans="1:12" x14ac:dyDescent="0.35">
      <c r="A237" s="1" t="s">
        <v>413</v>
      </c>
      <c r="B237" s="1" t="s">
        <v>414</v>
      </c>
      <c r="C237" s="1" t="s">
        <v>61</v>
      </c>
      <c r="D237" s="1" t="s">
        <v>62</v>
      </c>
      <c r="E237" s="1" t="s">
        <v>32</v>
      </c>
      <c r="F237" s="1" t="s">
        <v>25</v>
      </c>
      <c r="G237" s="1" t="s">
        <v>36</v>
      </c>
      <c r="H237" s="1">
        <v>9444</v>
      </c>
      <c r="I237" s="1" t="s">
        <v>27</v>
      </c>
      <c r="J237" s="1"/>
      <c r="K237" s="1">
        <v>9000</v>
      </c>
      <c r="L237" s="2">
        <v>45293</v>
      </c>
    </row>
    <row r="238" spans="1:12" x14ac:dyDescent="0.35">
      <c r="A238" s="1" t="s">
        <v>415</v>
      </c>
      <c r="B238" s="1" t="s">
        <v>416</v>
      </c>
      <c r="C238" s="1" t="s">
        <v>44</v>
      </c>
      <c r="D238" s="1" t="s">
        <v>45</v>
      </c>
      <c r="E238" s="1" t="s">
        <v>16</v>
      </c>
      <c r="F238" s="1" t="s">
        <v>25</v>
      </c>
      <c r="G238" s="1" t="s">
        <v>36</v>
      </c>
      <c r="H238" s="1">
        <v>12758</v>
      </c>
      <c r="I238" s="1" t="s">
        <v>22</v>
      </c>
      <c r="J238" s="1">
        <v>0.1</v>
      </c>
      <c r="K238" s="1">
        <v>13000</v>
      </c>
      <c r="L238" s="2">
        <v>45331</v>
      </c>
    </row>
    <row r="239" spans="1:12" x14ac:dyDescent="0.35">
      <c r="A239" s="1" t="s">
        <v>417</v>
      </c>
      <c r="B239" s="1" t="s">
        <v>408</v>
      </c>
      <c r="C239" s="1" t="s">
        <v>61</v>
      </c>
      <c r="D239" s="1" t="s">
        <v>62</v>
      </c>
      <c r="E239" s="1" t="s">
        <v>32</v>
      </c>
      <c r="F239" s="1" t="s">
        <v>39</v>
      </c>
      <c r="G239" s="1" t="s">
        <v>26</v>
      </c>
      <c r="H239" s="1">
        <v>7350</v>
      </c>
      <c r="I239" s="1" t="s">
        <v>27</v>
      </c>
      <c r="J239" s="1"/>
      <c r="K239" s="1">
        <v>9000</v>
      </c>
      <c r="L239" s="2">
        <v>45315</v>
      </c>
    </row>
    <row r="240" spans="1:12" x14ac:dyDescent="0.35">
      <c r="A240" s="1" t="s">
        <v>418</v>
      </c>
      <c r="B240" s="1" t="s">
        <v>241</v>
      </c>
      <c r="C240" s="1" t="s">
        <v>14</v>
      </c>
      <c r="D240" s="1" t="s">
        <v>15</v>
      </c>
      <c r="E240" s="1" t="s">
        <v>46</v>
      </c>
      <c r="F240" s="1" t="s">
        <v>17</v>
      </c>
      <c r="G240" s="1" t="s">
        <v>18</v>
      </c>
      <c r="H240" s="1">
        <v>14603</v>
      </c>
      <c r="I240" s="1"/>
      <c r="J240" s="1"/>
      <c r="K240" s="1">
        <v>14000</v>
      </c>
      <c r="L240" s="2">
        <v>45315</v>
      </c>
    </row>
    <row r="241" spans="1:12" x14ac:dyDescent="0.35">
      <c r="A241" s="1" t="s">
        <v>419</v>
      </c>
      <c r="B241" s="1" t="s">
        <v>350</v>
      </c>
      <c r="C241" s="1" t="s">
        <v>14</v>
      </c>
      <c r="D241" s="1" t="s">
        <v>15</v>
      </c>
      <c r="E241" s="1" t="s">
        <v>46</v>
      </c>
      <c r="F241" s="1" t="s">
        <v>25</v>
      </c>
      <c r="G241" s="1" t="s">
        <v>36</v>
      </c>
      <c r="H241" s="1">
        <v>12987</v>
      </c>
      <c r="I241" s="1" t="s">
        <v>22</v>
      </c>
      <c r="J241" s="1">
        <v>0.1</v>
      </c>
      <c r="K241" s="1">
        <v>14000</v>
      </c>
      <c r="L241" s="2">
        <v>45341</v>
      </c>
    </row>
    <row r="242" spans="1:12" x14ac:dyDescent="0.35">
      <c r="A242" s="1" t="s">
        <v>420</v>
      </c>
      <c r="B242" s="1" t="s">
        <v>233</v>
      </c>
      <c r="C242" s="1" t="s">
        <v>30</v>
      </c>
      <c r="D242" s="1" t="s">
        <v>31</v>
      </c>
      <c r="E242" s="1" t="s">
        <v>32</v>
      </c>
      <c r="F242" s="1" t="s">
        <v>25</v>
      </c>
      <c r="G242" s="1" t="s">
        <v>36</v>
      </c>
      <c r="H242" s="1">
        <v>17236</v>
      </c>
      <c r="I242" s="1" t="s">
        <v>33</v>
      </c>
      <c r="J242" s="1">
        <v>0.3</v>
      </c>
      <c r="K242" s="1">
        <v>17000</v>
      </c>
      <c r="L242" s="2">
        <v>45344</v>
      </c>
    </row>
    <row r="243" spans="1:12" x14ac:dyDescent="0.35">
      <c r="A243" s="1" t="s">
        <v>421</v>
      </c>
      <c r="B243" s="1" t="s">
        <v>422</v>
      </c>
      <c r="C243" s="1" t="s">
        <v>61</v>
      </c>
      <c r="D243" s="1" t="s">
        <v>62</v>
      </c>
      <c r="E243" s="1" t="s">
        <v>16</v>
      </c>
      <c r="F243" s="1" t="s">
        <v>17</v>
      </c>
      <c r="G243" s="1" t="s">
        <v>26</v>
      </c>
      <c r="H243" s="1">
        <v>7746</v>
      </c>
      <c r="I243" s="1" t="s">
        <v>19</v>
      </c>
      <c r="J243" s="1">
        <v>0.2</v>
      </c>
      <c r="K243" s="1">
        <v>9000</v>
      </c>
      <c r="L243" s="2">
        <v>45296</v>
      </c>
    </row>
    <row r="244" spans="1:12" x14ac:dyDescent="0.35">
      <c r="A244" s="1" t="s">
        <v>423</v>
      </c>
      <c r="B244" s="1" t="s">
        <v>276</v>
      </c>
      <c r="C244" s="1" t="s">
        <v>61</v>
      </c>
      <c r="D244" s="1" t="s">
        <v>62</v>
      </c>
      <c r="E244" s="1" t="s">
        <v>32</v>
      </c>
      <c r="F244" s="1" t="s">
        <v>17</v>
      </c>
      <c r="G244" s="1" t="s">
        <v>18</v>
      </c>
      <c r="H244" s="1">
        <v>7179</v>
      </c>
      <c r="I244" s="1" t="s">
        <v>19</v>
      </c>
      <c r="J244" s="1">
        <v>0.2</v>
      </c>
      <c r="K244" s="1">
        <v>9000</v>
      </c>
      <c r="L244" s="2">
        <v>45348</v>
      </c>
    </row>
    <row r="245" spans="1:12" x14ac:dyDescent="0.35">
      <c r="A245" s="1" t="s">
        <v>424</v>
      </c>
      <c r="B245" s="1" t="s">
        <v>125</v>
      </c>
      <c r="C245" s="1" t="s">
        <v>30</v>
      </c>
      <c r="D245" s="1" t="s">
        <v>31</v>
      </c>
      <c r="E245" s="1" t="s">
        <v>16</v>
      </c>
      <c r="F245" s="1" t="s">
        <v>17</v>
      </c>
      <c r="G245" s="1" t="s">
        <v>26</v>
      </c>
      <c r="H245" s="1">
        <v>16939</v>
      </c>
      <c r="I245" s="1" t="s">
        <v>33</v>
      </c>
      <c r="J245" s="1">
        <v>0.3</v>
      </c>
      <c r="K245" s="1">
        <v>17000</v>
      </c>
      <c r="L245" s="2">
        <v>45294</v>
      </c>
    </row>
    <row r="246" spans="1:12" x14ac:dyDescent="0.35">
      <c r="A246" s="1" t="s">
        <v>425</v>
      </c>
      <c r="B246" s="1" t="s">
        <v>426</v>
      </c>
      <c r="C246" s="1" t="s">
        <v>44</v>
      </c>
      <c r="D246" s="1" t="s">
        <v>45</v>
      </c>
      <c r="E246" s="1" t="s">
        <v>46</v>
      </c>
      <c r="F246" s="1" t="s">
        <v>17</v>
      </c>
      <c r="G246" s="1" t="s">
        <v>18</v>
      </c>
      <c r="H246" s="1">
        <v>14546</v>
      </c>
      <c r="I246" s="1" t="s">
        <v>33</v>
      </c>
      <c r="J246" s="1">
        <v>0.3</v>
      </c>
      <c r="K246" s="1">
        <v>13000</v>
      </c>
      <c r="L246" s="2">
        <v>45309</v>
      </c>
    </row>
    <row r="247" spans="1:12" x14ac:dyDescent="0.35">
      <c r="A247" s="1" t="s">
        <v>427</v>
      </c>
      <c r="B247" s="1" t="s">
        <v>200</v>
      </c>
      <c r="C247" s="1" t="s">
        <v>30</v>
      </c>
      <c r="D247" s="1" t="s">
        <v>31</v>
      </c>
      <c r="E247" s="1" t="s">
        <v>46</v>
      </c>
      <c r="F247" s="1" t="s">
        <v>17</v>
      </c>
      <c r="G247" s="1" t="s">
        <v>26</v>
      </c>
      <c r="H247" s="1">
        <v>16801</v>
      </c>
      <c r="I247" s="1"/>
      <c r="J247" s="1"/>
      <c r="K247" s="1">
        <v>17000</v>
      </c>
      <c r="L247" s="2">
        <v>45313</v>
      </c>
    </row>
    <row r="248" spans="1:12" x14ac:dyDescent="0.35">
      <c r="A248" s="1" t="s">
        <v>428</v>
      </c>
      <c r="B248" s="1" t="s">
        <v>429</v>
      </c>
      <c r="C248" s="1" t="s">
        <v>61</v>
      </c>
      <c r="D248" s="1" t="s">
        <v>62</v>
      </c>
      <c r="E248" s="1" t="s">
        <v>46</v>
      </c>
      <c r="F248" s="1" t="s">
        <v>39</v>
      </c>
      <c r="G248" s="1" t="s">
        <v>36</v>
      </c>
      <c r="H248" s="1">
        <v>10281</v>
      </c>
      <c r="I248" s="1" t="s">
        <v>22</v>
      </c>
      <c r="J248" s="1">
        <v>0.1</v>
      </c>
      <c r="K248" s="1">
        <v>9000</v>
      </c>
      <c r="L248" s="2">
        <v>45338</v>
      </c>
    </row>
    <row r="249" spans="1:12" x14ac:dyDescent="0.35">
      <c r="A249" s="1" t="s">
        <v>430</v>
      </c>
      <c r="B249" s="1" t="s">
        <v>41</v>
      </c>
      <c r="C249" s="1" t="s">
        <v>61</v>
      </c>
      <c r="D249" s="1" t="s">
        <v>62</v>
      </c>
      <c r="E249" s="1" t="s">
        <v>16</v>
      </c>
      <c r="F249" s="1" t="s">
        <v>25</v>
      </c>
      <c r="G249" s="1" t="s">
        <v>26</v>
      </c>
      <c r="H249" s="1">
        <v>8203</v>
      </c>
      <c r="I249" s="1" t="s">
        <v>33</v>
      </c>
      <c r="J249" s="1">
        <v>0.3</v>
      </c>
      <c r="K249" s="1">
        <v>9000</v>
      </c>
      <c r="L249" s="2">
        <v>45298</v>
      </c>
    </row>
    <row r="250" spans="1:12" x14ac:dyDescent="0.35">
      <c r="A250" s="1" t="s">
        <v>431</v>
      </c>
      <c r="B250" s="1" t="s">
        <v>432</v>
      </c>
      <c r="C250" s="1" t="s">
        <v>30</v>
      </c>
      <c r="D250" s="1" t="s">
        <v>31</v>
      </c>
      <c r="E250" s="1" t="s">
        <v>46</v>
      </c>
      <c r="F250" s="1" t="s">
        <v>17</v>
      </c>
      <c r="G250" s="1" t="s">
        <v>26</v>
      </c>
      <c r="H250" s="1">
        <v>17939</v>
      </c>
      <c r="I250" s="1"/>
      <c r="J250" s="1"/>
      <c r="K250" s="1">
        <v>17000</v>
      </c>
      <c r="L250" s="2">
        <v>45302</v>
      </c>
    </row>
    <row r="251" spans="1:12" x14ac:dyDescent="0.35">
      <c r="A251" s="1" t="s">
        <v>433</v>
      </c>
      <c r="B251" s="1" t="s">
        <v>334</v>
      </c>
      <c r="C251" s="1" t="s">
        <v>30</v>
      </c>
      <c r="D251" s="1" t="s">
        <v>31</v>
      </c>
      <c r="E251" s="1" t="s">
        <v>46</v>
      </c>
      <c r="F251" s="1" t="s">
        <v>25</v>
      </c>
      <c r="G251" s="1" t="s">
        <v>26</v>
      </c>
      <c r="H251" s="1">
        <v>18563</v>
      </c>
      <c r="I251" s="1" t="s">
        <v>33</v>
      </c>
      <c r="J251" s="1">
        <v>0.3</v>
      </c>
      <c r="K251" s="1">
        <v>17000</v>
      </c>
      <c r="L251" s="2">
        <v>45331</v>
      </c>
    </row>
    <row r="252" spans="1:12" x14ac:dyDescent="0.35">
      <c r="A252" s="1" t="s">
        <v>434</v>
      </c>
      <c r="B252" s="1" t="s">
        <v>435</v>
      </c>
      <c r="C252" s="1" t="s">
        <v>14</v>
      </c>
      <c r="D252" s="1" t="s">
        <v>15</v>
      </c>
      <c r="E252" s="1" t="s">
        <v>32</v>
      </c>
      <c r="F252" s="1" t="s">
        <v>39</v>
      </c>
      <c r="G252" s="1" t="s">
        <v>26</v>
      </c>
      <c r="H252" s="1">
        <v>13663</v>
      </c>
      <c r="I252" s="1" t="s">
        <v>33</v>
      </c>
      <c r="J252" s="1">
        <v>0.3</v>
      </c>
      <c r="K252" s="1">
        <v>14000</v>
      </c>
      <c r="L252" s="2">
        <v>45324</v>
      </c>
    </row>
    <row r="253" spans="1:12" x14ac:dyDescent="0.35">
      <c r="A253" s="1" t="s">
        <v>436</v>
      </c>
      <c r="B253" s="1" t="s">
        <v>296</v>
      </c>
      <c r="C253" s="1" t="s">
        <v>44</v>
      </c>
      <c r="D253" s="1" t="s">
        <v>45</v>
      </c>
      <c r="E253" s="1" t="s">
        <v>32</v>
      </c>
      <c r="F253" s="1" t="s">
        <v>25</v>
      </c>
      <c r="G253" s="1" t="s">
        <v>26</v>
      </c>
      <c r="H253" s="1">
        <v>13777</v>
      </c>
      <c r="I253" s="1"/>
      <c r="J253" s="1"/>
      <c r="K253" s="1">
        <v>13000</v>
      </c>
      <c r="L253" s="2">
        <v>45294</v>
      </c>
    </row>
    <row r="254" spans="1:12" x14ac:dyDescent="0.35">
      <c r="A254" s="1" t="s">
        <v>437</v>
      </c>
      <c r="B254" s="1" t="s">
        <v>325</v>
      </c>
      <c r="C254" s="1" t="s">
        <v>44</v>
      </c>
      <c r="D254" s="1" t="s">
        <v>45</v>
      </c>
      <c r="E254" s="1" t="s">
        <v>16</v>
      </c>
      <c r="F254" s="1" t="s">
        <v>17</v>
      </c>
      <c r="G254" s="1" t="s">
        <v>36</v>
      </c>
      <c r="H254" s="1">
        <v>12568</v>
      </c>
      <c r="I254" s="1" t="s">
        <v>27</v>
      </c>
      <c r="J254" s="1"/>
      <c r="K254" s="1">
        <v>13000</v>
      </c>
      <c r="L254" s="2">
        <v>45294</v>
      </c>
    </row>
    <row r="255" spans="1:12" x14ac:dyDescent="0.35">
      <c r="A255" s="1" t="s">
        <v>438</v>
      </c>
      <c r="B255" s="1" t="s">
        <v>373</v>
      </c>
      <c r="C255" s="1" t="s">
        <v>61</v>
      </c>
      <c r="D255" s="1" t="s">
        <v>62</v>
      </c>
      <c r="E255" s="1" t="s">
        <v>46</v>
      </c>
      <c r="F255" s="1" t="s">
        <v>17</v>
      </c>
      <c r="G255" s="1" t="s">
        <v>36</v>
      </c>
      <c r="H255" s="1">
        <v>10125</v>
      </c>
      <c r="I255" s="1" t="s">
        <v>22</v>
      </c>
      <c r="J255" s="1">
        <v>0.1</v>
      </c>
      <c r="K255" s="1">
        <v>9000</v>
      </c>
      <c r="L255" s="2">
        <v>45328</v>
      </c>
    </row>
    <row r="256" spans="1:12" x14ac:dyDescent="0.35">
      <c r="A256" s="1" t="s">
        <v>439</v>
      </c>
      <c r="B256" s="1" t="s">
        <v>440</v>
      </c>
      <c r="C256" s="1" t="s">
        <v>30</v>
      </c>
      <c r="D256" s="1" t="s">
        <v>31</v>
      </c>
      <c r="E256" s="1" t="s">
        <v>46</v>
      </c>
      <c r="F256" s="1" t="s">
        <v>17</v>
      </c>
      <c r="G256" s="1" t="s">
        <v>26</v>
      </c>
      <c r="H256" s="1">
        <v>16141</v>
      </c>
      <c r="I256" s="1" t="s">
        <v>19</v>
      </c>
      <c r="J256" s="1">
        <v>0.2</v>
      </c>
      <c r="K256" s="1">
        <v>17000</v>
      </c>
      <c r="L256" s="2">
        <v>45299</v>
      </c>
    </row>
    <row r="257" spans="1:12" x14ac:dyDescent="0.35">
      <c r="A257" s="1" t="s">
        <v>441</v>
      </c>
      <c r="B257" s="1" t="s">
        <v>190</v>
      </c>
      <c r="C257" s="1" t="s">
        <v>44</v>
      </c>
      <c r="D257" s="1" t="s">
        <v>45</v>
      </c>
      <c r="E257" s="1" t="s">
        <v>46</v>
      </c>
      <c r="F257" s="1" t="s">
        <v>39</v>
      </c>
      <c r="G257" s="1" t="s">
        <v>36</v>
      </c>
      <c r="H257" s="1">
        <v>14741</v>
      </c>
      <c r="I257" s="1" t="s">
        <v>27</v>
      </c>
      <c r="J257" s="1"/>
      <c r="K257" s="1">
        <v>13000</v>
      </c>
      <c r="L257" s="2">
        <v>45299</v>
      </c>
    </row>
    <row r="258" spans="1:12" x14ac:dyDescent="0.35">
      <c r="A258" s="1" t="s">
        <v>442</v>
      </c>
      <c r="B258" s="1" t="s">
        <v>443</v>
      </c>
      <c r="C258" s="1" t="s">
        <v>30</v>
      </c>
      <c r="D258" s="1" t="s">
        <v>31</v>
      </c>
      <c r="E258" s="1" t="s">
        <v>16</v>
      </c>
      <c r="F258" s="1" t="s">
        <v>17</v>
      </c>
      <c r="G258" s="1" t="s">
        <v>18</v>
      </c>
      <c r="H258" s="1">
        <v>17506</v>
      </c>
      <c r="I258" s="1" t="s">
        <v>33</v>
      </c>
      <c r="J258" s="1">
        <v>0.3</v>
      </c>
      <c r="K258" s="1">
        <v>17000</v>
      </c>
      <c r="L258" s="2">
        <v>45336</v>
      </c>
    </row>
    <row r="259" spans="1:12" x14ac:dyDescent="0.35">
      <c r="A259" s="1" t="s">
        <v>444</v>
      </c>
      <c r="B259" s="1" t="s">
        <v>445</v>
      </c>
      <c r="C259" s="1" t="s">
        <v>44</v>
      </c>
      <c r="D259" s="1" t="s">
        <v>45</v>
      </c>
      <c r="E259" s="1" t="s">
        <v>32</v>
      </c>
      <c r="F259" s="1" t="s">
        <v>25</v>
      </c>
      <c r="G259" s="1" t="s">
        <v>18</v>
      </c>
      <c r="H259" s="1">
        <v>12851</v>
      </c>
      <c r="I259" s="1" t="s">
        <v>19</v>
      </c>
      <c r="J259" s="1">
        <v>0.2</v>
      </c>
      <c r="K259" s="1">
        <v>13000</v>
      </c>
      <c r="L259" s="2">
        <v>45349</v>
      </c>
    </row>
    <row r="260" spans="1:12" x14ac:dyDescent="0.35">
      <c r="A260" s="1" t="s">
        <v>446</v>
      </c>
      <c r="B260" s="1" t="s">
        <v>334</v>
      </c>
      <c r="C260" s="1" t="s">
        <v>14</v>
      </c>
      <c r="D260" s="1" t="s">
        <v>15</v>
      </c>
      <c r="E260" s="1" t="s">
        <v>16</v>
      </c>
      <c r="F260" s="1" t="s">
        <v>17</v>
      </c>
      <c r="G260" s="1" t="s">
        <v>26</v>
      </c>
      <c r="H260" s="1">
        <v>13423</v>
      </c>
      <c r="I260" s="1" t="s">
        <v>22</v>
      </c>
      <c r="J260" s="1">
        <v>0.1</v>
      </c>
      <c r="K260" s="1">
        <v>14000</v>
      </c>
      <c r="L260" s="2">
        <v>45327</v>
      </c>
    </row>
    <row r="261" spans="1:12" x14ac:dyDescent="0.35">
      <c r="A261" s="1" t="s">
        <v>447</v>
      </c>
      <c r="B261" s="1" t="s">
        <v>448</v>
      </c>
      <c r="C261" s="1" t="s">
        <v>30</v>
      </c>
      <c r="D261" s="1" t="s">
        <v>31</v>
      </c>
      <c r="E261" s="1" t="s">
        <v>32</v>
      </c>
      <c r="F261" s="1" t="s">
        <v>39</v>
      </c>
      <c r="G261" s="1" t="s">
        <v>26</v>
      </c>
      <c r="H261" s="1">
        <v>18798</v>
      </c>
      <c r="I261" s="1" t="s">
        <v>19</v>
      </c>
      <c r="J261" s="1">
        <v>0.2</v>
      </c>
      <c r="K261" s="1">
        <v>17000</v>
      </c>
      <c r="L261" s="2">
        <v>45342</v>
      </c>
    </row>
    <row r="262" spans="1:12" x14ac:dyDescent="0.35">
      <c r="A262" s="1" t="s">
        <v>449</v>
      </c>
      <c r="B262" s="1" t="s">
        <v>301</v>
      </c>
      <c r="C262" s="1" t="s">
        <v>44</v>
      </c>
      <c r="D262" s="1" t="s">
        <v>45</v>
      </c>
      <c r="E262" s="1" t="s">
        <v>32</v>
      </c>
      <c r="F262" s="1" t="s">
        <v>25</v>
      </c>
      <c r="G262" s="1" t="s">
        <v>18</v>
      </c>
      <c r="H262" s="1">
        <v>11969</v>
      </c>
      <c r="I262" s="1"/>
      <c r="J262" s="1"/>
      <c r="K262" s="1">
        <v>13000</v>
      </c>
      <c r="L262" s="2">
        <v>45293</v>
      </c>
    </row>
    <row r="263" spans="1:12" x14ac:dyDescent="0.35">
      <c r="A263" s="1" t="s">
        <v>450</v>
      </c>
      <c r="B263" s="1" t="s">
        <v>301</v>
      </c>
      <c r="C263" s="1" t="s">
        <v>30</v>
      </c>
      <c r="D263" s="1" t="s">
        <v>31</v>
      </c>
      <c r="E263" s="1" t="s">
        <v>46</v>
      </c>
      <c r="F263" s="1" t="s">
        <v>39</v>
      </c>
      <c r="G263" s="1" t="s">
        <v>18</v>
      </c>
      <c r="H263" s="1">
        <v>17506</v>
      </c>
      <c r="I263" s="1" t="s">
        <v>22</v>
      </c>
      <c r="J263" s="1">
        <v>0.1</v>
      </c>
      <c r="K263" s="1">
        <v>17000</v>
      </c>
      <c r="L263" s="2">
        <v>45296</v>
      </c>
    </row>
    <row r="264" spans="1:12" x14ac:dyDescent="0.35">
      <c r="A264" s="1" t="s">
        <v>451</v>
      </c>
      <c r="B264" s="1" t="s">
        <v>70</v>
      </c>
      <c r="C264" s="1" t="s">
        <v>61</v>
      </c>
      <c r="D264" s="1" t="s">
        <v>62</v>
      </c>
      <c r="E264" s="1" t="s">
        <v>16</v>
      </c>
      <c r="F264" s="1" t="s">
        <v>17</v>
      </c>
      <c r="G264" s="1" t="s">
        <v>36</v>
      </c>
      <c r="H264" s="1">
        <v>10372</v>
      </c>
      <c r="I264" s="1" t="s">
        <v>27</v>
      </c>
      <c r="J264" s="1"/>
      <c r="K264" s="1">
        <v>9000</v>
      </c>
      <c r="L264" s="2">
        <v>45296</v>
      </c>
    </row>
    <row r="265" spans="1:12" x14ac:dyDescent="0.35">
      <c r="A265" s="1" t="s">
        <v>452</v>
      </c>
      <c r="B265" s="1" t="s">
        <v>74</v>
      </c>
      <c r="C265" s="1" t="s">
        <v>14</v>
      </c>
      <c r="D265" s="1" t="s">
        <v>15</v>
      </c>
      <c r="E265" s="1" t="s">
        <v>46</v>
      </c>
      <c r="F265" s="1" t="s">
        <v>17</v>
      </c>
      <c r="G265" s="1" t="s">
        <v>26</v>
      </c>
      <c r="H265" s="1">
        <v>14119</v>
      </c>
      <c r="I265" s="1" t="s">
        <v>33</v>
      </c>
      <c r="J265" s="1">
        <v>0.3</v>
      </c>
      <c r="K265" s="1">
        <v>14000</v>
      </c>
      <c r="L265" s="2">
        <v>45300</v>
      </c>
    </row>
    <row r="266" spans="1:12" x14ac:dyDescent="0.35">
      <c r="A266" s="1" t="s">
        <v>453</v>
      </c>
      <c r="B266" s="1" t="s">
        <v>454</v>
      </c>
      <c r="C266" s="1" t="s">
        <v>44</v>
      </c>
      <c r="D266" s="1" t="s">
        <v>45</v>
      </c>
      <c r="E266" s="1" t="s">
        <v>32</v>
      </c>
      <c r="F266" s="1" t="s">
        <v>17</v>
      </c>
      <c r="G266" s="1" t="s">
        <v>26</v>
      </c>
      <c r="H266" s="1">
        <v>14730</v>
      </c>
      <c r="I266" s="1" t="s">
        <v>22</v>
      </c>
      <c r="J266" s="1">
        <v>0.1</v>
      </c>
      <c r="K266" s="1">
        <v>13000</v>
      </c>
      <c r="L266" s="2">
        <v>45345</v>
      </c>
    </row>
    <row r="267" spans="1:12" x14ac:dyDescent="0.35">
      <c r="A267" s="1" t="s">
        <v>455</v>
      </c>
      <c r="B267" s="1" t="s">
        <v>241</v>
      </c>
      <c r="C267" s="1" t="s">
        <v>44</v>
      </c>
      <c r="D267" s="1" t="s">
        <v>45</v>
      </c>
      <c r="E267" s="1" t="s">
        <v>46</v>
      </c>
      <c r="F267" s="1" t="s">
        <v>25</v>
      </c>
      <c r="G267" s="1" t="s">
        <v>18</v>
      </c>
      <c r="H267" s="1">
        <v>12321</v>
      </c>
      <c r="I267" s="1" t="s">
        <v>19</v>
      </c>
      <c r="J267" s="1">
        <v>0.2</v>
      </c>
      <c r="K267" s="1">
        <v>13000</v>
      </c>
      <c r="L267" s="2">
        <v>45314</v>
      </c>
    </row>
    <row r="268" spans="1:12" x14ac:dyDescent="0.35">
      <c r="A268" s="1" t="s">
        <v>456</v>
      </c>
      <c r="B268" s="1" t="s">
        <v>448</v>
      </c>
      <c r="C268" s="1" t="s">
        <v>14</v>
      </c>
      <c r="D268" s="1" t="s">
        <v>15</v>
      </c>
      <c r="E268" s="1" t="s">
        <v>46</v>
      </c>
      <c r="F268" s="1" t="s">
        <v>25</v>
      </c>
      <c r="G268" s="1" t="s">
        <v>26</v>
      </c>
      <c r="H268" s="1">
        <v>15917</v>
      </c>
      <c r="I268" s="1" t="s">
        <v>27</v>
      </c>
      <c r="J268" s="1"/>
      <c r="K268" s="1">
        <v>14000</v>
      </c>
      <c r="L268" s="2">
        <v>45309</v>
      </c>
    </row>
    <row r="269" spans="1:12" x14ac:dyDescent="0.35">
      <c r="A269" s="1" t="s">
        <v>457</v>
      </c>
      <c r="B269" s="1" t="s">
        <v>113</v>
      </c>
      <c r="C269" s="1" t="s">
        <v>30</v>
      </c>
      <c r="D269" s="1" t="s">
        <v>31</v>
      </c>
      <c r="E269" s="1" t="s">
        <v>16</v>
      </c>
      <c r="F269" s="1" t="s">
        <v>39</v>
      </c>
      <c r="G269" s="1" t="s">
        <v>18</v>
      </c>
      <c r="H269" s="1">
        <v>17058</v>
      </c>
      <c r="I269" s="1" t="s">
        <v>19</v>
      </c>
      <c r="J269" s="1">
        <v>0.2</v>
      </c>
      <c r="K269" s="1">
        <v>17000</v>
      </c>
      <c r="L269" s="2">
        <v>45329</v>
      </c>
    </row>
    <row r="270" spans="1:12" x14ac:dyDescent="0.35">
      <c r="A270" s="1" t="s">
        <v>458</v>
      </c>
      <c r="B270" s="1" t="s">
        <v>373</v>
      </c>
      <c r="C270" s="1" t="s">
        <v>44</v>
      </c>
      <c r="D270" s="1" t="s">
        <v>45</v>
      </c>
      <c r="E270" s="1" t="s">
        <v>16</v>
      </c>
      <c r="F270" s="1" t="s">
        <v>39</v>
      </c>
      <c r="G270" s="1" t="s">
        <v>26</v>
      </c>
      <c r="H270" s="1">
        <v>14694</v>
      </c>
      <c r="I270" s="1" t="s">
        <v>27</v>
      </c>
      <c r="J270" s="1"/>
      <c r="K270" s="1">
        <v>13000</v>
      </c>
      <c r="L270" s="2">
        <v>45313</v>
      </c>
    </row>
    <row r="271" spans="1:12" x14ac:dyDescent="0.35">
      <c r="A271" s="1" t="s">
        <v>459</v>
      </c>
      <c r="B271" s="1" t="s">
        <v>460</v>
      </c>
      <c r="C271" s="1" t="s">
        <v>14</v>
      </c>
      <c r="D271" s="1" t="s">
        <v>15</v>
      </c>
      <c r="E271" s="1" t="s">
        <v>32</v>
      </c>
      <c r="F271" s="1" t="s">
        <v>25</v>
      </c>
      <c r="G271" s="1" t="s">
        <v>18</v>
      </c>
      <c r="H271" s="1">
        <v>15885</v>
      </c>
      <c r="I271" s="1" t="s">
        <v>27</v>
      </c>
      <c r="J271" s="1"/>
      <c r="K271" s="1">
        <v>14000</v>
      </c>
      <c r="L271" s="2">
        <v>45308</v>
      </c>
    </row>
    <row r="272" spans="1:12" x14ac:dyDescent="0.35">
      <c r="A272" s="1" t="s">
        <v>461</v>
      </c>
      <c r="B272" s="1" t="s">
        <v>239</v>
      </c>
      <c r="C272" s="1" t="s">
        <v>61</v>
      </c>
      <c r="D272" s="1" t="s">
        <v>62</v>
      </c>
      <c r="E272" s="1" t="s">
        <v>16</v>
      </c>
      <c r="F272" s="1" t="s">
        <v>39</v>
      </c>
      <c r="G272" s="1" t="s">
        <v>18</v>
      </c>
      <c r="H272" s="1">
        <v>9039</v>
      </c>
      <c r="I272" s="1" t="s">
        <v>27</v>
      </c>
      <c r="J272" s="1"/>
      <c r="K272" s="1">
        <v>9000</v>
      </c>
      <c r="L272" s="2">
        <v>45310</v>
      </c>
    </row>
    <row r="273" spans="1:12" x14ac:dyDescent="0.35">
      <c r="A273" s="1" t="s">
        <v>462</v>
      </c>
      <c r="B273" s="1" t="s">
        <v>278</v>
      </c>
      <c r="C273" s="1" t="s">
        <v>61</v>
      </c>
      <c r="D273" s="1" t="s">
        <v>62</v>
      </c>
      <c r="E273" s="1" t="s">
        <v>32</v>
      </c>
      <c r="F273" s="1" t="s">
        <v>39</v>
      </c>
      <c r="G273" s="1" t="s">
        <v>36</v>
      </c>
      <c r="H273" s="1">
        <v>8218</v>
      </c>
      <c r="I273" s="1"/>
      <c r="J273" s="1"/>
      <c r="K273" s="1">
        <v>9000</v>
      </c>
      <c r="L273" s="2">
        <v>45296</v>
      </c>
    </row>
    <row r="274" spans="1:12" x14ac:dyDescent="0.35">
      <c r="A274" s="1" t="s">
        <v>463</v>
      </c>
      <c r="B274" s="1" t="s">
        <v>464</v>
      </c>
      <c r="C274" s="1" t="s">
        <v>44</v>
      </c>
      <c r="D274" s="1" t="s">
        <v>45</v>
      </c>
      <c r="E274" s="1" t="s">
        <v>46</v>
      </c>
      <c r="F274" s="1" t="s">
        <v>17</v>
      </c>
      <c r="G274" s="1" t="s">
        <v>36</v>
      </c>
      <c r="H274" s="1">
        <v>12902</v>
      </c>
      <c r="I274" s="1" t="s">
        <v>19</v>
      </c>
      <c r="J274" s="1">
        <v>0.2</v>
      </c>
      <c r="K274" s="1">
        <v>13000</v>
      </c>
      <c r="L274" s="2">
        <v>45313</v>
      </c>
    </row>
    <row r="275" spans="1:12" x14ac:dyDescent="0.35">
      <c r="A275" s="1" t="s">
        <v>465</v>
      </c>
      <c r="B275" s="1" t="s">
        <v>373</v>
      </c>
      <c r="C275" s="1" t="s">
        <v>30</v>
      </c>
      <c r="D275" s="1" t="s">
        <v>31</v>
      </c>
      <c r="E275" s="1" t="s">
        <v>16</v>
      </c>
      <c r="F275" s="1" t="s">
        <v>17</v>
      </c>
      <c r="G275" s="1" t="s">
        <v>26</v>
      </c>
      <c r="H275" s="1">
        <v>18525</v>
      </c>
      <c r="I275" s="1" t="s">
        <v>33</v>
      </c>
      <c r="J275" s="1">
        <v>0.3</v>
      </c>
      <c r="K275" s="1">
        <v>17000</v>
      </c>
      <c r="L275" s="2">
        <v>45317</v>
      </c>
    </row>
    <row r="276" spans="1:12" x14ac:dyDescent="0.35">
      <c r="A276" s="1" t="s">
        <v>466</v>
      </c>
      <c r="B276" s="1" t="s">
        <v>135</v>
      </c>
      <c r="C276" s="1" t="s">
        <v>30</v>
      </c>
      <c r="D276" s="1" t="s">
        <v>31</v>
      </c>
      <c r="E276" s="1" t="s">
        <v>16</v>
      </c>
      <c r="F276" s="1" t="s">
        <v>39</v>
      </c>
      <c r="G276" s="1" t="s">
        <v>18</v>
      </c>
      <c r="H276" s="1">
        <v>16307</v>
      </c>
      <c r="I276" s="1" t="s">
        <v>19</v>
      </c>
      <c r="J276" s="1">
        <v>0.2</v>
      </c>
      <c r="K276" s="1">
        <v>17000</v>
      </c>
      <c r="L276" s="2">
        <v>45321</v>
      </c>
    </row>
    <row r="277" spans="1:12" x14ac:dyDescent="0.35">
      <c r="A277" s="1" t="s">
        <v>467</v>
      </c>
      <c r="B277" s="1" t="s">
        <v>263</v>
      </c>
      <c r="C277" s="1" t="s">
        <v>61</v>
      </c>
      <c r="D277" s="1" t="s">
        <v>62</v>
      </c>
      <c r="E277" s="1" t="s">
        <v>32</v>
      </c>
      <c r="F277" s="1" t="s">
        <v>25</v>
      </c>
      <c r="G277" s="1" t="s">
        <v>18</v>
      </c>
      <c r="H277" s="1">
        <v>7207</v>
      </c>
      <c r="I277" s="1" t="s">
        <v>33</v>
      </c>
      <c r="J277" s="1">
        <v>0.3</v>
      </c>
      <c r="K277" s="1">
        <v>9000</v>
      </c>
      <c r="L277" s="2">
        <v>45352</v>
      </c>
    </row>
    <row r="278" spans="1:12" x14ac:dyDescent="0.35">
      <c r="A278" s="1" t="s">
        <v>468</v>
      </c>
      <c r="B278" s="1" t="s">
        <v>309</v>
      </c>
      <c r="C278" s="1" t="s">
        <v>61</v>
      </c>
      <c r="D278" s="1" t="s">
        <v>62</v>
      </c>
      <c r="E278" s="1" t="s">
        <v>32</v>
      </c>
      <c r="F278" s="1" t="s">
        <v>25</v>
      </c>
      <c r="G278" s="1" t="s">
        <v>36</v>
      </c>
      <c r="H278" s="1">
        <v>10824</v>
      </c>
      <c r="I278" s="1" t="s">
        <v>27</v>
      </c>
      <c r="J278" s="1"/>
      <c r="K278" s="1">
        <v>9000</v>
      </c>
      <c r="L278" s="2">
        <v>45338</v>
      </c>
    </row>
    <row r="279" spans="1:12" x14ac:dyDescent="0.35">
      <c r="A279" s="1" t="s">
        <v>469</v>
      </c>
      <c r="B279" s="1" t="s">
        <v>408</v>
      </c>
      <c r="C279" s="1" t="s">
        <v>44</v>
      </c>
      <c r="D279" s="1" t="s">
        <v>45</v>
      </c>
      <c r="E279" s="1" t="s">
        <v>46</v>
      </c>
      <c r="F279" s="1" t="s">
        <v>39</v>
      </c>
      <c r="G279" s="1" t="s">
        <v>36</v>
      </c>
      <c r="H279" s="1">
        <v>13042</v>
      </c>
      <c r="I279" s="1" t="s">
        <v>33</v>
      </c>
      <c r="J279" s="1">
        <v>0.3</v>
      </c>
      <c r="K279" s="1">
        <v>13000</v>
      </c>
      <c r="L279" s="2">
        <v>45323</v>
      </c>
    </row>
    <row r="280" spans="1:12" x14ac:dyDescent="0.35">
      <c r="A280" s="1" t="s">
        <v>470</v>
      </c>
      <c r="B280" s="1" t="s">
        <v>76</v>
      </c>
      <c r="C280" s="1" t="s">
        <v>61</v>
      </c>
      <c r="D280" s="1" t="s">
        <v>62</v>
      </c>
      <c r="E280" s="1" t="s">
        <v>16</v>
      </c>
      <c r="F280" s="1" t="s">
        <v>17</v>
      </c>
      <c r="G280" s="1" t="s">
        <v>18</v>
      </c>
      <c r="H280" s="1">
        <v>7881</v>
      </c>
      <c r="I280" s="1" t="s">
        <v>27</v>
      </c>
      <c r="J280" s="1"/>
      <c r="K280" s="1">
        <v>9000</v>
      </c>
      <c r="L280" s="2">
        <v>45314</v>
      </c>
    </row>
    <row r="281" spans="1:12" x14ac:dyDescent="0.35">
      <c r="A281" s="1" t="s">
        <v>471</v>
      </c>
      <c r="B281" s="1" t="s">
        <v>161</v>
      </c>
      <c r="C281" s="1" t="s">
        <v>30</v>
      </c>
      <c r="D281" s="1" t="s">
        <v>31</v>
      </c>
      <c r="E281" s="1" t="s">
        <v>46</v>
      </c>
      <c r="F281" s="1" t="s">
        <v>39</v>
      </c>
      <c r="G281" s="1" t="s">
        <v>26</v>
      </c>
      <c r="H281" s="1">
        <v>17754</v>
      </c>
      <c r="I281" s="1"/>
      <c r="J281" s="1"/>
      <c r="K281" s="1">
        <v>17000</v>
      </c>
      <c r="L281" s="2">
        <v>45310</v>
      </c>
    </row>
    <row r="282" spans="1:12" x14ac:dyDescent="0.35">
      <c r="A282" s="1" t="s">
        <v>472</v>
      </c>
      <c r="B282" s="1" t="s">
        <v>184</v>
      </c>
      <c r="C282" s="1" t="s">
        <v>14</v>
      </c>
      <c r="D282" s="1" t="s">
        <v>15</v>
      </c>
      <c r="E282" s="1" t="s">
        <v>46</v>
      </c>
      <c r="F282" s="1" t="s">
        <v>25</v>
      </c>
      <c r="G282" s="1" t="s">
        <v>36</v>
      </c>
      <c r="H282" s="1">
        <v>14979</v>
      </c>
      <c r="I282" s="1" t="s">
        <v>33</v>
      </c>
      <c r="J282" s="1">
        <v>0.3</v>
      </c>
      <c r="K282" s="1">
        <v>14000</v>
      </c>
      <c r="L282" s="2">
        <v>45340</v>
      </c>
    </row>
    <row r="283" spans="1:12" x14ac:dyDescent="0.35">
      <c r="A283" s="1" t="s">
        <v>473</v>
      </c>
      <c r="B283" s="1" t="s">
        <v>474</v>
      </c>
      <c r="C283" s="1" t="s">
        <v>14</v>
      </c>
      <c r="D283" s="1" t="s">
        <v>15</v>
      </c>
      <c r="E283" s="1" t="s">
        <v>46</v>
      </c>
      <c r="F283" s="1" t="s">
        <v>25</v>
      </c>
      <c r="G283" s="1" t="s">
        <v>26</v>
      </c>
      <c r="H283" s="1">
        <v>14301</v>
      </c>
      <c r="I283" s="1" t="s">
        <v>19</v>
      </c>
      <c r="J283" s="1">
        <v>0.2</v>
      </c>
      <c r="K283" s="1">
        <v>14000</v>
      </c>
      <c r="L283" s="2">
        <v>45315</v>
      </c>
    </row>
    <row r="284" spans="1:12" x14ac:dyDescent="0.35">
      <c r="A284" s="1" t="s">
        <v>475</v>
      </c>
      <c r="B284" s="1" t="s">
        <v>448</v>
      </c>
      <c r="C284" s="1" t="s">
        <v>14</v>
      </c>
      <c r="D284" s="1" t="s">
        <v>15</v>
      </c>
      <c r="E284" s="1" t="s">
        <v>46</v>
      </c>
      <c r="F284" s="1" t="s">
        <v>39</v>
      </c>
      <c r="G284" s="1" t="s">
        <v>36</v>
      </c>
      <c r="H284" s="1">
        <v>15130</v>
      </c>
      <c r="I284" s="1" t="s">
        <v>27</v>
      </c>
      <c r="J284" s="1"/>
      <c r="K284" s="1">
        <v>14000</v>
      </c>
      <c r="L284" s="2">
        <v>45309</v>
      </c>
    </row>
    <row r="285" spans="1:12" x14ac:dyDescent="0.35">
      <c r="A285" s="1" t="s">
        <v>476</v>
      </c>
      <c r="B285" s="1" t="s">
        <v>460</v>
      </c>
      <c r="C285" s="1" t="s">
        <v>14</v>
      </c>
      <c r="D285" s="1" t="s">
        <v>15</v>
      </c>
      <c r="E285" s="1" t="s">
        <v>32</v>
      </c>
      <c r="F285" s="1" t="s">
        <v>25</v>
      </c>
      <c r="G285" s="1" t="s">
        <v>36</v>
      </c>
      <c r="H285" s="1">
        <v>13528</v>
      </c>
      <c r="I285" s="1" t="s">
        <v>33</v>
      </c>
      <c r="J285" s="1">
        <v>0.3</v>
      </c>
      <c r="K285" s="1">
        <v>14000</v>
      </c>
      <c r="L285" s="2">
        <v>45327</v>
      </c>
    </row>
    <row r="286" spans="1:12" x14ac:dyDescent="0.35">
      <c r="A286" s="1" t="s">
        <v>477</v>
      </c>
      <c r="B286" s="1" t="s">
        <v>478</v>
      </c>
      <c r="C286" s="1" t="s">
        <v>44</v>
      </c>
      <c r="D286" s="1" t="s">
        <v>45</v>
      </c>
      <c r="E286" s="1" t="s">
        <v>32</v>
      </c>
      <c r="F286" s="1" t="s">
        <v>39</v>
      </c>
      <c r="G286" s="1" t="s">
        <v>26</v>
      </c>
      <c r="H286" s="1">
        <v>12644</v>
      </c>
      <c r="I286" s="1" t="s">
        <v>27</v>
      </c>
      <c r="J286" s="1"/>
      <c r="K286" s="1">
        <v>13000</v>
      </c>
      <c r="L286" s="2">
        <v>45294</v>
      </c>
    </row>
    <row r="287" spans="1:12" x14ac:dyDescent="0.35">
      <c r="A287" s="1" t="s">
        <v>479</v>
      </c>
      <c r="B287" s="1" t="s">
        <v>161</v>
      </c>
      <c r="C287" s="1" t="s">
        <v>44</v>
      </c>
      <c r="D287" s="1" t="s">
        <v>45</v>
      </c>
      <c r="E287" s="1" t="s">
        <v>16</v>
      </c>
      <c r="F287" s="1" t="s">
        <v>17</v>
      </c>
      <c r="G287" s="1" t="s">
        <v>36</v>
      </c>
      <c r="H287" s="1">
        <v>13127</v>
      </c>
      <c r="I287" s="1"/>
      <c r="J287" s="1"/>
      <c r="K287" s="1">
        <v>13000</v>
      </c>
      <c r="L287" s="2">
        <v>45301</v>
      </c>
    </row>
    <row r="288" spans="1:12" x14ac:dyDescent="0.35">
      <c r="A288" s="1" t="s">
        <v>480</v>
      </c>
      <c r="B288" s="1" t="s">
        <v>86</v>
      </c>
      <c r="C288" s="1" t="s">
        <v>44</v>
      </c>
      <c r="D288" s="1" t="s">
        <v>45</v>
      </c>
      <c r="E288" s="1" t="s">
        <v>46</v>
      </c>
      <c r="F288" s="1" t="s">
        <v>39</v>
      </c>
      <c r="G288" s="1" t="s">
        <v>36</v>
      </c>
      <c r="H288" s="1">
        <v>11665</v>
      </c>
      <c r="I288" s="1"/>
      <c r="J288" s="1"/>
      <c r="K288" s="1">
        <v>13000</v>
      </c>
      <c r="L288" s="2">
        <v>45331</v>
      </c>
    </row>
    <row r="289" spans="1:12" x14ac:dyDescent="0.35">
      <c r="A289" s="1" t="s">
        <v>481</v>
      </c>
      <c r="B289" s="1" t="s">
        <v>371</v>
      </c>
      <c r="C289" s="1" t="s">
        <v>30</v>
      </c>
      <c r="D289" s="1" t="s">
        <v>31</v>
      </c>
      <c r="E289" s="1" t="s">
        <v>16</v>
      </c>
      <c r="F289" s="1" t="s">
        <v>17</v>
      </c>
      <c r="G289" s="1" t="s">
        <v>26</v>
      </c>
      <c r="H289" s="1">
        <v>18392</v>
      </c>
      <c r="I289" s="1" t="s">
        <v>27</v>
      </c>
      <c r="J289" s="1"/>
      <c r="K289" s="1">
        <v>17000</v>
      </c>
      <c r="L289" s="2">
        <v>45326</v>
      </c>
    </row>
    <row r="290" spans="1:12" x14ac:dyDescent="0.35">
      <c r="A290" s="1" t="s">
        <v>482</v>
      </c>
      <c r="B290" s="1" t="s">
        <v>483</v>
      </c>
      <c r="C290" s="1" t="s">
        <v>30</v>
      </c>
      <c r="D290" s="1" t="s">
        <v>31</v>
      </c>
      <c r="E290" s="1" t="s">
        <v>46</v>
      </c>
      <c r="F290" s="1" t="s">
        <v>25</v>
      </c>
      <c r="G290" s="1" t="s">
        <v>36</v>
      </c>
      <c r="H290" s="1">
        <v>16356</v>
      </c>
      <c r="I290" s="1" t="s">
        <v>22</v>
      </c>
      <c r="J290" s="1">
        <v>0.1</v>
      </c>
      <c r="K290" s="1">
        <v>17000</v>
      </c>
      <c r="L290" s="2">
        <v>45318</v>
      </c>
    </row>
    <row r="291" spans="1:12" x14ac:dyDescent="0.35">
      <c r="A291" s="1" t="s">
        <v>484</v>
      </c>
      <c r="B291" s="1" t="s">
        <v>291</v>
      </c>
      <c r="C291" s="1" t="s">
        <v>14</v>
      </c>
      <c r="D291" s="1" t="s">
        <v>15</v>
      </c>
      <c r="E291" s="1" t="s">
        <v>16</v>
      </c>
      <c r="F291" s="1" t="s">
        <v>17</v>
      </c>
      <c r="G291" s="1" t="s">
        <v>36</v>
      </c>
      <c r="H291" s="1">
        <v>15961</v>
      </c>
      <c r="I291" s="1" t="s">
        <v>27</v>
      </c>
      <c r="J291" s="1"/>
      <c r="K291" s="1">
        <v>14000</v>
      </c>
      <c r="L291" s="2">
        <v>45328</v>
      </c>
    </row>
    <row r="292" spans="1:12" x14ac:dyDescent="0.35">
      <c r="A292" s="1" t="s">
        <v>485</v>
      </c>
      <c r="B292" s="1" t="s">
        <v>220</v>
      </c>
      <c r="C292" s="1" t="s">
        <v>14</v>
      </c>
      <c r="D292" s="1" t="s">
        <v>15</v>
      </c>
      <c r="E292" s="1" t="s">
        <v>16</v>
      </c>
      <c r="F292" s="1" t="s">
        <v>17</v>
      </c>
      <c r="G292" s="1" t="s">
        <v>18</v>
      </c>
      <c r="H292" s="1">
        <v>14147</v>
      </c>
      <c r="I292" s="1" t="s">
        <v>27</v>
      </c>
      <c r="J292" s="1"/>
      <c r="K292" s="1">
        <v>14000</v>
      </c>
      <c r="L292" s="2">
        <v>45341</v>
      </c>
    </row>
    <row r="293" spans="1:12" x14ac:dyDescent="0.35">
      <c r="A293" s="1" t="s">
        <v>486</v>
      </c>
      <c r="B293" s="1" t="s">
        <v>487</v>
      </c>
      <c r="C293" s="1" t="s">
        <v>44</v>
      </c>
      <c r="D293" s="1" t="s">
        <v>45</v>
      </c>
      <c r="E293" s="1" t="s">
        <v>16</v>
      </c>
      <c r="F293" s="1" t="s">
        <v>25</v>
      </c>
      <c r="G293" s="1" t="s">
        <v>18</v>
      </c>
      <c r="H293" s="1">
        <v>13345</v>
      </c>
      <c r="I293" s="1" t="s">
        <v>22</v>
      </c>
      <c r="J293" s="1">
        <v>0.1</v>
      </c>
      <c r="K293" s="1">
        <v>13000</v>
      </c>
      <c r="L293" s="2">
        <v>45304</v>
      </c>
    </row>
    <row r="294" spans="1:12" x14ac:dyDescent="0.35">
      <c r="A294" s="1" t="s">
        <v>488</v>
      </c>
      <c r="B294" s="1" t="s">
        <v>489</v>
      </c>
      <c r="C294" s="1" t="s">
        <v>30</v>
      </c>
      <c r="D294" s="1" t="s">
        <v>31</v>
      </c>
      <c r="E294" s="1" t="s">
        <v>46</v>
      </c>
      <c r="F294" s="1" t="s">
        <v>25</v>
      </c>
      <c r="G294" s="1" t="s">
        <v>36</v>
      </c>
      <c r="H294" s="1">
        <v>17828</v>
      </c>
      <c r="I294" s="1" t="s">
        <v>19</v>
      </c>
      <c r="J294" s="1">
        <v>0.2</v>
      </c>
      <c r="K294" s="1">
        <v>17000</v>
      </c>
      <c r="L294" s="2">
        <v>45318</v>
      </c>
    </row>
    <row r="295" spans="1:12" x14ac:dyDescent="0.35">
      <c r="A295" s="1" t="s">
        <v>490</v>
      </c>
      <c r="B295" s="1" t="s">
        <v>82</v>
      </c>
      <c r="C295" s="1" t="s">
        <v>61</v>
      </c>
      <c r="D295" s="1" t="s">
        <v>62</v>
      </c>
      <c r="E295" s="1" t="s">
        <v>16</v>
      </c>
      <c r="F295" s="1" t="s">
        <v>39</v>
      </c>
      <c r="G295" s="1" t="s">
        <v>18</v>
      </c>
      <c r="H295" s="1">
        <v>9890</v>
      </c>
      <c r="I295" s="1" t="s">
        <v>19</v>
      </c>
      <c r="J295" s="1">
        <v>0.2</v>
      </c>
      <c r="K295" s="1">
        <v>9000</v>
      </c>
      <c r="L295" s="2">
        <v>45325</v>
      </c>
    </row>
    <row r="296" spans="1:12" x14ac:dyDescent="0.35">
      <c r="A296" s="1" t="s">
        <v>491</v>
      </c>
      <c r="B296" s="1" t="s">
        <v>24</v>
      </c>
      <c r="C296" s="1" t="s">
        <v>30</v>
      </c>
      <c r="D296" s="1" t="s">
        <v>31</v>
      </c>
      <c r="E296" s="1" t="s">
        <v>16</v>
      </c>
      <c r="F296" s="1" t="s">
        <v>17</v>
      </c>
      <c r="G296" s="1" t="s">
        <v>26</v>
      </c>
      <c r="H296" s="1">
        <v>16543</v>
      </c>
      <c r="I296" s="1" t="s">
        <v>33</v>
      </c>
      <c r="J296" s="1">
        <v>0.3</v>
      </c>
      <c r="K296" s="1">
        <v>17000</v>
      </c>
      <c r="L296" s="2">
        <v>45303</v>
      </c>
    </row>
    <row r="297" spans="1:12" x14ac:dyDescent="0.35">
      <c r="A297" s="1" t="s">
        <v>492</v>
      </c>
      <c r="B297" s="1" t="s">
        <v>330</v>
      </c>
      <c r="C297" s="1" t="s">
        <v>30</v>
      </c>
      <c r="D297" s="1" t="s">
        <v>31</v>
      </c>
      <c r="E297" s="1" t="s">
        <v>16</v>
      </c>
      <c r="F297" s="1" t="s">
        <v>17</v>
      </c>
      <c r="G297" s="1" t="s">
        <v>26</v>
      </c>
      <c r="H297" s="1">
        <v>18162</v>
      </c>
      <c r="I297" s="1" t="s">
        <v>33</v>
      </c>
      <c r="J297" s="1">
        <v>0.3</v>
      </c>
      <c r="K297" s="1">
        <v>17000</v>
      </c>
      <c r="L297" s="2">
        <v>45331</v>
      </c>
    </row>
    <row r="298" spans="1:12" x14ac:dyDescent="0.35">
      <c r="A298" s="1" t="s">
        <v>493</v>
      </c>
      <c r="B298" s="1" t="s">
        <v>211</v>
      </c>
      <c r="C298" s="1" t="s">
        <v>44</v>
      </c>
      <c r="D298" s="1" t="s">
        <v>45</v>
      </c>
      <c r="E298" s="1" t="s">
        <v>46</v>
      </c>
      <c r="F298" s="1" t="s">
        <v>39</v>
      </c>
      <c r="G298" s="1" t="s">
        <v>36</v>
      </c>
      <c r="H298" s="1">
        <v>11921</v>
      </c>
      <c r="I298" s="1" t="s">
        <v>33</v>
      </c>
      <c r="J298" s="1">
        <v>0.3</v>
      </c>
      <c r="K298" s="1">
        <v>13000</v>
      </c>
      <c r="L298" s="2">
        <v>45341</v>
      </c>
    </row>
    <row r="299" spans="1:12" x14ac:dyDescent="0.35">
      <c r="A299" s="1" t="s">
        <v>494</v>
      </c>
      <c r="B299" s="1" t="s">
        <v>350</v>
      </c>
      <c r="C299" s="1" t="s">
        <v>44</v>
      </c>
      <c r="D299" s="1" t="s">
        <v>45</v>
      </c>
      <c r="E299" s="1" t="s">
        <v>16</v>
      </c>
      <c r="F299" s="1" t="s">
        <v>39</v>
      </c>
      <c r="G299" s="1" t="s">
        <v>36</v>
      </c>
      <c r="H299" s="1">
        <v>12298</v>
      </c>
      <c r="I299" s="1"/>
      <c r="J299" s="1"/>
      <c r="K299" s="1">
        <v>13000</v>
      </c>
      <c r="L299" s="2">
        <v>45314</v>
      </c>
    </row>
    <row r="300" spans="1:12" x14ac:dyDescent="0.35">
      <c r="A300" s="1" t="s">
        <v>495</v>
      </c>
      <c r="B300" s="1" t="s">
        <v>82</v>
      </c>
      <c r="C300" s="1" t="s">
        <v>30</v>
      </c>
      <c r="D300" s="1" t="s">
        <v>31</v>
      </c>
      <c r="E300" s="1" t="s">
        <v>46</v>
      </c>
      <c r="F300" s="1" t="s">
        <v>25</v>
      </c>
      <c r="G300" s="1" t="s">
        <v>26</v>
      </c>
      <c r="H300" s="1">
        <v>17771</v>
      </c>
      <c r="I300" s="1" t="s">
        <v>27</v>
      </c>
      <c r="J300" s="1"/>
      <c r="K300" s="1">
        <v>17000</v>
      </c>
      <c r="L300" s="2">
        <v>45316</v>
      </c>
    </row>
    <row r="301" spans="1:12" x14ac:dyDescent="0.35">
      <c r="A301" s="1" t="s">
        <v>496</v>
      </c>
      <c r="B301" s="1" t="s">
        <v>137</v>
      </c>
      <c r="C301" s="1" t="s">
        <v>30</v>
      </c>
      <c r="D301" s="1" t="s">
        <v>31</v>
      </c>
      <c r="E301" s="1" t="s">
        <v>32</v>
      </c>
      <c r="F301" s="1" t="s">
        <v>17</v>
      </c>
      <c r="G301" s="1" t="s">
        <v>18</v>
      </c>
      <c r="H301" s="1">
        <v>16178</v>
      </c>
      <c r="I301" s="1" t="s">
        <v>22</v>
      </c>
      <c r="J301" s="1">
        <v>0.1</v>
      </c>
      <c r="K301" s="1">
        <v>17000</v>
      </c>
      <c r="L301" s="2">
        <v>45314</v>
      </c>
    </row>
    <row r="302" spans="1:12" x14ac:dyDescent="0.35">
      <c r="A302" s="1" t="s">
        <v>497</v>
      </c>
      <c r="B302" s="1" t="s">
        <v>445</v>
      </c>
      <c r="C302" s="1" t="s">
        <v>30</v>
      </c>
      <c r="D302" s="1" t="s">
        <v>31</v>
      </c>
      <c r="E302" s="1" t="s">
        <v>16</v>
      </c>
      <c r="F302" s="1" t="s">
        <v>17</v>
      </c>
      <c r="G302" s="1" t="s">
        <v>18</v>
      </c>
      <c r="H302" s="1">
        <v>15827</v>
      </c>
      <c r="I302" s="1" t="s">
        <v>27</v>
      </c>
      <c r="J302" s="1"/>
      <c r="K302" s="1">
        <v>17000</v>
      </c>
      <c r="L302" s="2">
        <v>45309</v>
      </c>
    </row>
    <row r="303" spans="1:12" x14ac:dyDescent="0.35">
      <c r="A303" s="1" t="s">
        <v>498</v>
      </c>
      <c r="B303" s="1" t="s">
        <v>84</v>
      </c>
      <c r="C303" s="1" t="s">
        <v>30</v>
      </c>
      <c r="D303" s="1" t="s">
        <v>31</v>
      </c>
      <c r="E303" s="1" t="s">
        <v>32</v>
      </c>
      <c r="F303" s="1" t="s">
        <v>25</v>
      </c>
      <c r="G303" s="1" t="s">
        <v>26</v>
      </c>
      <c r="H303" s="1">
        <v>18034</v>
      </c>
      <c r="I303" s="1" t="s">
        <v>27</v>
      </c>
      <c r="J303" s="1"/>
      <c r="K303" s="1">
        <v>17000</v>
      </c>
      <c r="L303" s="2">
        <v>45307</v>
      </c>
    </row>
    <row r="304" spans="1:12" x14ac:dyDescent="0.35">
      <c r="A304" s="1" t="s">
        <v>499</v>
      </c>
      <c r="B304" s="1" t="s">
        <v>500</v>
      </c>
      <c r="C304" s="1" t="s">
        <v>44</v>
      </c>
      <c r="D304" s="1" t="s">
        <v>45</v>
      </c>
      <c r="E304" s="1" t="s">
        <v>16</v>
      </c>
      <c r="F304" s="1" t="s">
        <v>25</v>
      </c>
      <c r="G304" s="1" t="s">
        <v>18</v>
      </c>
      <c r="H304" s="1">
        <v>11410</v>
      </c>
      <c r="I304" s="1"/>
      <c r="J304" s="1"/>
      <c r="K304" s="1">
        <v>13000</v>
      </c>
      <c r="L304" s="2">
        <v>45313</v>
      </c>
    </row>
    <row r="305" spans="1:12" x14ac:dyDescent="0.35">
      <c r="A305" s="1" t="s">
        <v>501</v>
      </c>
      <c r="B305" s="1" t="s">
        <v>334</v>
      </c>
      <c r="C305" s="1" t="s">
        <v>14</v>
      </c>
      <c r="D305" s="1" t="s">
        <v>15</v>
      </c>
      <c r="E305" s="1" t="s">
        <v>16</v>
      </c>
      <c r="F305" s="1" t="s">
        <v>25</v>
      </c>
      <c r="G305" s="1" t="s">
        <v>18</v>
      </c>
      <c r="H305" s="1">
        <v>15950</v>
      </c>
      <c r="I305" s="1" t="s">
        <v>27</v>
      </c>
      <c r="J305" s="1"/>
      <c r="K305" s="1">
        <v>14000</v>
      </c>
      <c r="L305" s="2">
        <v>45351</v>
      </c>
    </row>
    <row r="306" spans="1:12" x14ac:dyDescent="0.35">
      <c r="A306" s="1" t="s">
        <v>502</v>
      </c>
      <c r="B306" s="1" t="s">
        <v>363</v>
      </c>
      <c r="C306" s="1" t="s">
        <v>61</v>
      </c>
      <c r="D306" s="1" t="s">
        <v>62</v>
      </c>
      <c r="E306" s="1" t="s">
        <v>46</v>
      </c>
      <c r="F306" s="1" t="s">
        <v>39</v>
      </c>
      <c r="G306" s="1" t="s">
        <v>18</v>
      </c>
      <c r="H306" s="1">
        <v>10096</v>
      </c>
      <c r="I306" s="1" t="s">
        <v>33</v>
      </c>
      <c r="J306" s="1">
        <v>0.3</v>
      </c>
      <c r="K306" s="1">
        <v>9000</v>
      </c>
      <c r="L306" s="2">
        <v>45312</v>
      </c>
    </row>
    <row r="307" spans="1:12" x14ac:dyDescent="0.35">
      <c r="A307" s="1" t="s">
        <v>503</v>
      </c>
      <c r="B307" s="1" t="s">
        <v>286</v>
      </c>
      <c r="C307" s="1" t="s">
        <v>14</v>
      </c>
      <c r="D307" s="1" t="s">
        <v>15</v>
      </c>
      <c r="E307" s="1" t="s">
        <v>32</v>
      </c>
      <c r="F307" s="1" t="s">
        <v>39</v>
      </c>
      <c r="G307" s="1" t="s">
        <v>26</v>
      </c>
      <c r="H307" s="1">
        <v>12951</v>
      </c>
      <c r="I307" s="1" t="s">
        <v>27</v>
      </c>
      <c r="J307" s="1"/>
      <c r="K307" s="1">
        <v>14000</v>
      </c>
      <c r="L307" s="2">
        <v>45339</v>
      </c>
    </row>
    <row r="308" spans="1:12" x14ac:dyDescent="0.35">
      <c r="A308" s="1" t="s">
        <v>504</v>
      </c>
      <c r="B308" s="1" t="s">
        <v>371</v>
      </c>
      <c r="C308" s="1" t="s">
        <v>14</v>
      </c>
      <c r="D308" s="1" t="s">
        <v>15</v>
      </c>
      <c r="E308" s="1" t="s">
        <v>32</v>
      </c>
      <c r="F308" s="1" t="s">
        <v>17</v>
      </c>
      <c r="G308" s="1" t="s">
        <v>18</v>
      </c>
      <c r="H308" s="1">
        <v>15825</v>
      </c>
      <c r="I308" s="1" t="s">
        <v>22</v>
      </c>
      <c r="J308" s="1">
        <v>0.1</v>
      </c>
      <c r="K308" s="1">
        <v>14000</v>
      </c>
      <c r="L308" s="2">
        <v>45345</v>
      </c>
    </row>
    <row r="309" spans="1:12" x14ac:dyDescent="0.35">
      <c r="A309" s="1" t="s">
        <v>505</v>
      </c>
      <c r="B309" s="1" t="s">
        <v>155</v>
      </c>
      <c r="C309" s="1" t="s">
        <v>61</v>
      </c>
      <c r="D309" s="1" t="s">
        <v>62</v>
      </c>
      <c r="E309" s="1" t="s">
        <v>32</v>
      </c>
      <c r="F309" s="1" t="s">
        <v>39</v>
      </c>
      <c r="G309" s="1" t="s">
        <v>36</v>
      </c>
      <c r="H309" s="1">
        <v>10591</v>
      </c>
      <c r="I309" s="1" t="s">
        <v>22</v>
      </c>
      <c r="J309" s="1">
        <v>0.1</v>
      </c>
      <c r="K309" s="1">
        <v>9000</v>
      </c>
      <c r="L309" s="2">
        <v>45292</v>
      </c>
    </row>
    <row r="310" spans="1:12" x14ac:dyDescent="0.35">
      <c r="A310" s="1" t="s">
        <v>506</v>
      </c>
      <c r="B310" s="1" t="s">
        <v>118</v>
      </c>
      <c r="C310" s="1" t="s">
        <v>14</v>
      </c>
      <c r="D310" s="1" t="s">
        <v>15</v>
      </c>
      <c r="E310" s="1" t="s">
        <v>46</v>
      </c>
      <c r="F310" s="1" t="s">
        <v>17</v>
      </c>
      <c r="G310" s="1" t="s">
        <v>36</v>
      </c>
      <c r="H310" s="1">
        <v>14626</v>
      </c>
      <c r="I310" s="1" t="s">
        <v>27</v>
      </c>
      <c r="J310" s="1"/>
      <c r="K310" s="1">
        <v>14000</v>
      </c>
      <c r="L310" s="2">
        <v>45325</v>
      </c>
    </row>
    <row r="311" spans="1:12" x14ac:dyDescent="0.35">
      <c r="A311" s="1" t="s">
        <v>507</v>
      </c>
      <c r="B311" s="1" t="s">
        <v>508</v>
      </c>
      <c r="C311" s="1" t="s">
        <v>61</v>
      </c>
      <c r="D311" s="1" t="s">
        <v>62</v>
      </c>
      <c r="E311" s="1" t="s">
        <v>46</v>
      </c>
      <c r="F311" s="1" t="s">
        <v>25</v>
      </c>
      <c r="G311" s="1" t="s">
        <v>18</v>
      </c>
      <c r="H311" s="1">
        <v>8354</v>
      </c>
      <c r="I311" s="1" t="s">
        <v>19</v>
      </c>
      <c r="J311" s="1">
        <v>0.2</v>
      </c>
      <c r="K311" s="1">
        <v>9000</v>
      </c>
      <c r="L311" s="2">
        <v>45338</v>
      </c>
    </row>
    <row r="312" spans="1:12" x14ac:dyDescent="0.35">
      <c r="A312" s="1" t="s">
        <v>509</v>
      </c>
      <c r="B312" s="1" t="s">
        <v>332</v>
      </c>
      <c r="C312" s="1" t="s">
        <v>30</v>
      </c>
      <c r="D312" s="1" t="s">
        <v>31</v>
      </c>
      <c r="E312" s="1" t="s">
        <v>16</v>
      </c>
      <c r="F312" s="1" t="s">
        <v>25</v>
      </c>
      <c r="G312" s="1" t="s">
        <v>18</v>
      </c>
      <c r="H312" s="1">
        <v>18017</v>
      </c>
      <c r="I312" s="1" t="s">
        <v>33</v>
      </c>
      <c r="J312" s="1">
        <v>0.3</v>
      </c>
      <c r="K312" s="1">
        <v>17000</v>
      </c>
      <c r="L312" s="2">
        <v>45342</v>
      </c>
    </row>
    <row r="313" spans="1:12" x14ac:dyDescent="0.35">
      <c r="A313" s="1" t="s">
        <v>510</v>
      </c>
      <c r="B313" s="1" t="s">
        <v>118</v>
      </c>
      <c r="C313" s="1" t="s">
        <v>44</v>
      </c>
      <c r="D313" s="1" t="s">
        <v>45</v>
      </c>
      <c r="E313" s="1" t="s">
        <v>32</v>
      </c>
      <c r="F313" s="1" t="s">
        <v>39</v>
      </c>
      <c r="G313" s="1" t="s">
        <v>26</v>
      </c>
      <c r="H313" s="1">
        <v>14674</v>
      </c>
      <c r="I313" s="1"/>
      <c r="J313" s="1"/>
      <c r="K313" s="1">
        <v>13000</v>
      </c>
      <c r="L313" s="2">
        <v>45344</v>
      </c>
    </row>
    <row r="314" spans="1:12" x14ac:dyDescent="0.35">
      <c r="A314" s="1" t="s">
        <v>511</v>
      </c>
      <c r="B314" s="1" t="s">
        <v>512</v>
      </c>
      <c r="C314" s="1" t="s">
        <v>30</v>
      </c>
      <c r="D314" s="1" t="s">
        <v>31</v>
      </c>
      <c r="E314" s="1" t="s">
        <v>32</v>
      </c>
      <c r="F314" s="1" t="s">
        <v>17</v>
      </c>
      <c r="G314" s="1" t="s">
        <v>26</v>
      </c>
      <c r="H314" s="1">
        <v>15390</v>
      </c>
      <c r="I314" s="1" t="s">
        <v>19</v>
      </c>
      <c r="J314" s="1">
        <v>0.2</v>
      </c>
      <c r="K314" s="1">
        <v>17000</v>
      </c>
      <c r="L314" s="2">
        <v>45300</v>
      </c>
    </row>
    <row r="315" spans="1:12" x14ac:dyDescent="0.35">
      <c r="A315" s="1" t="s">
        <v>513</v>
      </c>
      <c r="B315" s="1" t="s">
        <v>188</v>
      </c>
      <c r="C315" s="1" t="s">
        <v>44</v>
      </c>
      <c r="D315" s="1" t="s">
        <v>45</v>
      </c>
      <c r="E315" s="1" t="s">
        <v>32</v>
      </c>
      <c r="F315" s="1" t="s">
        <v>17</v>
      </c>
      <c r="G315" s="1" t="s">
        <v>36</v>
      </c>
      <c r="H315" s="1">
        <v>11964</v>
      </c>
      <c r="I315" s="1"/>
      <c r="J315" s="1"/>
      <c r="K315" s="1">
        <v>13000</v>
      </c>
      <c r="L315" s="2">
        <v>45340</v>
      </c>
    </row>
    <row r="316" spans="1:12" x14ac:dyDescent="0.35">
      <c r="A316" s="1" t="s">
        <v>514</v>
      </c>
      <c r="B316" s="1" t="s">
        <v>131</v>
      </c>
      <c r="C316" s="1" t="s">
        <v>30</v>
      </c>
      <c r="D316" s="1" t="s">
        <v>31</v>
      </c>
      <c r="E316" s="1" t="s">
        <v>16</v>
      </c>
      <c r="F316" s="1" t="s">
        <v>39</v>
      </c>
      <c r="G316" s="1" t="s">
        <v>26</v>
      </c>
      <c r="H316" s="1">
        <v>15046</v>
      </c>
      <c r="I316" s="1" t="s">
        <v>33</v>
      </c>
      <c r="J316" s="1">
        <v>0.3</v>
      </c>
      <c r="K316" s="1">
        <v>17000</v>
      </c>
      <c r="L316" s="2">
        <v>45333</v>
      </c>
    </row>
    <row r="317" spans="1:12" x14ac:dyDescent="0.35">
      <c r="A317" s="1" t="s">
        <v>515</v>
      </c>
      <c r="B317" s="1" t="s">
        <v>516</v>
      </c>
      <c r="C317" s="1" t="s">
        <v>44</v>
      </c>
      <c r="D317" s="1" t="s">
        <v>45</v>
      </c>
      <c r="E317" s="1" t="s">
        <v>32</v>
      </c>
      <c r="F317" s="1" t="s">
        <v>39</v>
      </c>
      <c r="G317" s="1" t="s">
        <v>18</v>
      </c>
      <c r="H317" s="1">
        <v>12906</v>
      </c>
      <c r="I317" s="1" t="s">
        <v>33</v>
      </c>
      <c r="J317" s="1">
        <v>0.3</v>
      </c>
      <c r="K317" s="1">
        <v>13000</v>
      </c>
      <c r="L317" s="2">
        <v>45302</v>
      </c>
    </row>
    <row r="318" spans="1:12" x14ac:dyDescent="0.35">
      <c r="A318" s="1" t="s">
        <v>517</v>
      </c>
      <c r="B318" s="1" t="s">
        <v>274</v>
      </c>
      <c r="C318" s="1" t="s">
        <v>30</v>
      </c>
      <c r="D318" s="1" t="s">
        <v>31</v>
      </c>
      <c r="E318" s="1" t="s">
        <v>16</v>
      </c>
      <c r="F318" s="1" t="s">
        <v>25</v>
      </c>
      <c r="G318" s="1" t="s">
        <v>26</v>
      </c>
      <c r="H318" s="1">
        <v>18752</v>
      </c>
      <c r="I318" s="1" t="s">
        <v>33</v>
      </c>
      <c r="J318" s="1">
        <v>0.3</v>
      </c>
      <c r="K318" s="1">
        <v>17000</v>
      </c>
      <c r="L318" s="2">
        <v>45315</v>
      </c>
    </row>
    <row r="319" spans="1:12" x14ac:dyDescent="0.35">
      <c r="A319" s="1" t="s">
        <v>518</v>
      </c>
      <c r="B319" s="1" t="s">
        <v>519</v>
      </c>
      <c r="C319" s="1" t="s">
        <v>44</v>
      </c>
      <c r="D319" s="1" t="s">
        <v>45</v>
      </c>
      <c r="E319" s="1" t="s">
        <v>32</v>
      </c>
      <c r="F319" s="1" t="s">
        <v>17</v>
      </c>
      <c r="G319" s="1" t="s">
        <v>18</v>
      </c>
      <c r="H319" s="1">
        <v>12863</v>
      </c>
      <c r="I319" s="1" t="s">
        <v>27</v>
      </c>
      <c r="J319" s="1"/>
      <c r="K319" s="1">
        <v>13000</v>
      </c>
      <c r="L319" s="2">
        <v>45315</v>
      </c>
    </row>
    <row r="320" spans="1:12" x14ac:dyDescent="0.35">
      <c r="A320" s="1" t="s">
        <v>520</v>
      </c>
      <c r="B320" s="1" t="s">
        <v>101</v>
      </c>
      <c r="C320" s="1" t="s">
        <v>61</v>
      </c>
      <c r="D320" s="1" t="s">
        <v>62</v>
      </c>
      <c r="E320" s="1" t="s">
        <v>16</v>
      </c>
      <c r="F320" s="1" t="s">
        <v>39</v>
      </c>
      <c r="G320" s="1" t="s">
        <v>18</v>
      </c>
      <c r="H320" s="1">
        <v>10120</v>
      </c>
      <c r="I320" s="1" t="s">
        <v>19</v>
      </c>
      <c r="J320" s="1">
        <v>0.2</v>
      </c>
      <c r="K320" s="1">
        <v>9000</v>
      </c>
      <c r="L320" s="2">
        <v>45335</v>
      </c>
    </row>
    <row r="321" spans="1:12" x14ac:dyDescent="0.35">
      <c r="A321" s="1" t="s">
        <v>521</v>
      </c>
      <c r="B321" s="1" t="s">
        <v>522</v>
      </c>
      <c r="C321" s="1" t="s">
        <v>14</v>
      </c>
      <c r="D321" s="1" t="s">
        <v>15</v>
      </c>
      <c r="E321" s="1" t="s">
        <v>16</v>
      </c>
      <c r="F321" s="1" t="s">
        <v>17</v>
      </c>
      <c r="G321" s="1" t="s">
        <v>26</v>
      </c>
      <c r="H321" s="1">
        <v>14882</v>
      </c>
      <c r="I321" s="1" t="s">
        <v>33</v>
      </c>
      <c r="J321" s="1">
        <v>0.3</v>
      </c>
      <c r="K321" s="1">
        <v>14000</v>
      </c>
      <c r="L321" s="2">
        <v>45296</v>
      </c>
    </row>
    <row r="322" spans="1:12" x14ac:dyDescent="0.35">
      <c r="A322" s="1" t="s">
        <v>523</v>
      </c>
      <c r="B322" s="1" t="s">
        <v>60</v>
      </c>
      <c r="C322" s="1" t="s">
        <v>14</v>
      </c>
      <c r="D322" s="1" t="s">
        <v>15</v>
      </c>
      <c r="E322" s="1" t="s">
        <v>32</v>
      </c>
      <c r="F322" s="1" t="s">
        <v>39</v>
      </c>
      <c r="G322" s="1" t="s">
        <v>26</v>
      </c>
      <c r="H322" s="1">
        <v>12828</v>
      </c>
      <c r="I322" s="1" t="s">
        <v>27</v>
      </c>
      <c r="J322" s="1"/>
      <c r="K322" s="1">
        <v>14000</v>
      </c>
      <c r="L322" s="2">
        <v>45326</v>
      </c>
    </row>
    <row r="323" spans="1:12" x14ac:dyDescent="0.35">
      <c r="A323" s="1" t="s">
        <v>524</v>
      </c>
      <c r="B323" s="1" t="s">
        <v>175</v>
      </c>
      <c r="C323" s="1" t="s">
        <v>30</v>
      </c>
      <c r="D323" s="1" t="s">
        <v>31</v>
      </c>
      <c r="E323" s="1" t="s">
        <v>16</v>
      </c>
      <c r="F323" s="1" t="s">
        <v>17</v>
      </c>
      <c r="G323" s="1" t="s">
        <v>18</v>
      </c>
      <c r="H323" s="1">
        <v>17786</v>
      </c>
      <c r="I323" s="1" t="s">
        <v>19</v>
      </c>
      <c r="J323" s="1">
        <v>0.2</v>
      </c>
      <c r="K323" s="1">
        <v>17000</v>
      </c>
      <c r="L323" s="2">
        <v>45337</v>
      </c>
    </row>
    <row r="324" spans="1:12" x14ac:dyDescent="0.35">
      <c r="A324" s="1" t="s">
        <v>525</v>
      </c>
      <c r="B324" s="1" t="s">
        <v>356</v>
      </c>
      <c r="C324" s="1" t="s">
        <v>14</v>
      </c>
      <c r="D324" s="1" t="s">
        <v>15</v>
      </c>
      <c r="E324" s="1" t="s">
        <v>16</v>
      </c>
      <c r="F324" s="1" t="s">
        <v>17</v>
      </c>
      <c r="G324" s="1" t="s">
        <v>18</v>
      </c>
      <c r="H324" s="1">
        <v>13857</v>
      </c>
      <c r="I324" s="1" t="s">
        <v>19</v>
      </c>
      <c r="J324" s="1">
        <v>0.2</v>
      </c>
      <c r="K324" s="1">
        <v>14000</v>
      </c>
      <c r="L324" s="2">
        <v>45324</v>
      </c>
    </row>
    <row r="325" spans="1:12" x14ac:dyDescent="0.35">
      <c r="A325" s="1" t="s">
        <v>526</v>
      </c>
      <c r="B325" s="1" t="s">
        <v>527</v>
      </c>
      <c r="C325" s="1" t="s">
        <v>14</v>
      </c>
      <c r="D325" s="1" t="s">
        <v>15</v>
      </c>
      <c r="E325" s="1" t="s">
        <v>16</v>
      </c>
      <c r="F325" s="1" t="s">
        <v>17</v>
      </c>
      <c r="G325" s="1" t="s">
        <v>26</v>
      </c>
      <c r="H325" s="1">
        <v>15305</v>
      </c>
      <c r="I325" s="1" t="s">
        <v>33</v>
      </c>
      <c r="J325" s="1">
        <v>0.3</v>
      </c>
      <c r="K325" s="1">
        <v>14000</v>
      </c>
      <c r="L325" s="2">
        <v>45338</v>
      </c>
    </row>
    <row r="326" spans="1:12" x14ac:dyDescent="0.35">
      <c r="A326" s="1" t="s">
        <v>528</v>
      </c>
      <c r="B326" s="1" t="s">
        <v>406</v>
      </c>
      <c r="C326" s="1" t="s">
        <v>30</v>
      </c>
      <c r="D326" s="1" t="s">
        <v>31</v>
      </c>
      <c r="E326" s="1" t="s">
        <v>32</v>
      </c>
      <c r="F326" s="1" t="s">
        <v>39</v>
      </c>
      <c r="G326" s="1" t="s">
        <v>18</v>
      </c>
      <c r="H326" s="1">
        <v>17368</v>
      </c>
      <c r="I326" s="1" t="s">
        <v>22</v>
      </c>
      <c r="J326" s="1">
        <v>0.1</v>
      </c>
      <c r="K326" s="1">
        <v>17000</v>
      </c>
      <c r="L326" s="2">
        <v>45294</v>
      </c>
    </row>
    <row r="327" spans="1:12" x14ac:dyDescent="0.35">
      <c r="A327" s="1" t="s">
        <v>529</v>
      </c>
      <c r="B327" s="1" t="s">
        <v>474</v>
      </c>
      <c r="C327" s="1" t="s">
        <v>14</v>
      </c>
      <c r="D327" s="1" t="s">
        <v>15</v>
      </c>
      <c r="E327" s="1" t="s">
        <v>16</v>
      </c>
      <c r="F327" s="1" t="s">
        <v>25</v>
      </c>
      <c r="G327" s="1" t="s">
        <v>18</v>
      </c>
      <c r="H327" s="1">
        <v>15824</v>
      </c>
      <c r="I327" s="1"/>
      <c r="J327" s="1"/>
      <c r="K327" s="1">
        <v>14000</v>
      </c>
      <c r="L327" s="2">
        <v>45294</v>
      </c>
    </row>
    <row r="328" spans="1:12" x14ac:dyDescent="0.35">
      <c r="A328" s="1" t="s">
        <v>530</v>
      </c>
      <c r="B328" s="1" t="s">
        <v>70</v>
      </c>
      <c r="C328" s="1" t="s">
        <v>44</v>
      </c>
      <c r="D328" s="1" t="s">
        <v>45</v>
      </c>
      <c r="E328" s="1" t="s">
        <v>32</v>
      </c>
      <c r="F328" s="1" t="s">
        <v>39</v>
      </c>
      <c r="G328" s="1" t="s">
        <v>26</v>
      </c>
      <c r="H328" s="1">
        <v>13645</v>
      </c>
      <c r="I328" s="1"/>
      <c r="J328" s="1"/>
      <c r="K328" s="1">
        <v>13000</v>
      </c>
      <c r="L328" s="2">
        <v>45315</v>
      </c>
    </row>
    <row r="329" spans="1:12" x14ac:dyDescent="0.35">
      <c r="A329" s="1" t="s">
        <v>531</v>
      </c>
      <c r="B329" s="1" t="s">
        <v>137</v>
      </c>
      <c r="C329" s="1" t="s">
        <v>61</v>
      </c>
      <c r="D329" s="1" t="s">
        <v>62</v>
      </c>
      <c r="E329" s="1" t="s">
        <v>46</v>
      </c>
      <c r="F329" s="1" t="s">
        <v>17</v>
      </c>
      <c r="G329" s="1" t="s">
        <v>18</v>
      </c>
      <c r="H329" s="1">
        <v>9796</v>
      </c>
      <c r="I329" s="1" t="s">
        <v>27</v>
      </c>
      <c r="J329" s="1"/>
      <c r="K329" s="1">
        <v>9000</v>
      </c>
      <c r="L329" s="2">
        <v>45300</v>
      </c>
    </row>
    <row r="330" spans="1:12" x14ac:dyDescent="0.35">
      <c r="A330" s="1" t="s">
        <v>532</v>
      </c>
      <c r="B330" s="1" t="s">
        <v>204</v>
      </c>
      <c r="C330" s="1" t="s">
        <v>30</v>
      </c>
      <c r="D330" s="1" t="s">
        <v>31</v>
      </c>
      <c r="E330" s="1" t="s">
        <v>32</v>
      </c>
      <c r="F330" s="1" t="s">
        <v>25</v>
      </c>
      <c r="G330" s="1" t="s">
        <v>26</v>
      </c>
      <c r="H330" s="1">
        <v>16609</v>
      </c>
      <c r="I330" s="1" t="s">
        <v>27</v>
      </c>
      <c r="J330" s="1"/>
      <c r="K330" s="1">
        <v>17000</v>
      </c>
      <c r="L330" s="2">
        <v>45300</v>
      </c>
    </row>
    <row r="331" spans="1:12" x14ac:dyDescent="0.35">
      <c r="A331" s="1" t="s">
        <v>533</v>
      </c>
      <c r="B331" s="1" t="s">
        <v>397</v>
      </c>
      <c r="C331" s="1" t="s">
        <v>14</v>
      </c>
      <c r="D331" s="1" t="s">
        <v>15</v>
      </c>
      <c r="E331" s="1" t="s">
        <v>32</v>
      </c>
      <c r="F331" s="1" t="s">
        <v>17</v>
      </c>
      <c r="G331" s="1" t="s">
        <v>36</v>
      </c>
      <c r="H331" s="1">
        <v>14758</v>
      </c>
      <c r="I331" s="1" t="s">
        <v>27</v>
      </c>
      <c r="J331" s="1"/>
      <c r="K331" s="1">
        <v>14000</v>
      </c>
      <c r="L331" s="2">
        <v>45319</v>
      </c>
    </row>
    <row r="332" spans="1:12" x14ac:dyDescent="0.35">
      <c r="A332" s="1" t="s">
        <v>534</v>
      </c>
      <c r="B332" s="1" t="s">
        <v>388</v>
      </c>
      <c r="C332" s="1" t="s">
        <v>44</v>
      </c>
      <c r="D332" s="1" t="s">
        <v>45</v>
      </c>
      <c r="E332" s="1" t="s">
        <v>32</v>
      </c>
      <c r="F332" s="1" t="s">
        <v>17</v>
      </c>
      <c r="G332" s="1" t="s">
        <v>36</v>
      </c>
      <c r="H332" s="1">
        <v>11635</v>
      </c>
      <c r="I332" s="1" t="s">
        <v>33</v>
      </c>
      <c r="J332" s="1">
        <v>0.3</v>
      </c>
      <c r="K332" s="1">
        <v>13000</v>
      </c>
      <c r="L332" s="2">
        <v>45304</v>
      </c>
    </row>
    <row r="333" spans="1:12" x14ac:dyDescent="0.35">
      <c r="A333" s="1" t="s">
        <v>535</v>
      </c>
      <c r="B333" s="1" t="s">
        <v>260</v>
      </c>
      <c r="C333" s="1" t="s">
        <v>14</v>
      </c>
      <c r="D333" s="1" t="s">
        <v>15</v>
      </c>
      <c r="E333" s="1" t="s">
        <v>32</v>
      </c>
      <c r="F333" s="1" t="s">
        <v>39</v>
      </c>
      <c r="G333" s="1" t="s">
        <v>36</v>
      </c>
      <c r="H333" s="1">
        <v>14518</v>
      </c>
      <c r="I333" s="1" t="s">
        <v>22</v>
      </c>
      <c r="J333" s="1">
        <v>0.1</v>
      </c>
      <c r="K333" s="1">
        <v>14000</v>
      </c>
      <c r="L333" s="2">
        <v>45307</v>
      </c>
    </row>
    <row r="334" spans="1:12" x14ac:dyDescent="0.35">
      <c r="A334" s="1" t="s">
        <v>536</v>
      </c>
      <c r="B334" s="1" t="s">
        <v>229</v>
      </c>
      <c r="C334" s="1" t="s">
        <v>14</v>
      </c>
      <c r="D334" s="1" t="s">
        <v>15</v>
      </c>
      <c r="E334" s="1" t="s">
        <v>16</v>
      </c>
      <c r="F334" s="1" t="s">
        <v>25</v>
      </c>
      <c r="G334" s="1" t="s">
        <v>36</v>
      </c>
      <c r="H334" s="1">
        <v>14448</v>
      </c>
      <c r="I334" s="1" t="s">
        <v>22</v>
      </c>
      <c r="J334" s="1">
        <v>0.1</v>
      </c>
      <c r="K334" s="1">
        <v>14000</v>
      </c>
      <c r="L334" s="2">
        <v>45307</v>
      </c>
    </row>
    <row r="335" spans="1:12" x14ac:dyDescent="0.35">
      <c r="A335" s="1" t="s">
        <v>537</v>
      </c>
      <c r="B335" s="1" t="s">
        <v>464</v>
      </c>
      <c r="C335" s="1" t="s">
        <v>61</v>
      </c>
      <c r="D335" s="1" t="s">
        <v>62</v>
      </c>
      <c r="E335" s="1" t="s">
        <v>46</v>
      </c>
      <c r="F335" s="1" t="s">
        <v>25</v>
      </c>
      <c r="G335" s="1" t="s">
        <v>26</v>
      </c>
      <c r="H335" s="1">
        <v>7889</v>
      </c>
      <c r="I335" s="1" t="s">
        <v>22</v>
      </c>
      <c r="J335" s="1">
        <v>0.1</v>
      </c>
      <c r="K335" s="1">
        <v>9000</v>
      </c>
      <c r="L335" s="2">
        <v>45300</v>
      </c>
    </row>
    <row r="336" spans="1:12" x14ac:dyDescent="0.35">
      <c r="A336" s="1" t="s">
        <v>538</v>
      </c>
      <c r="B336" s="1" t="s">
        <v>448</v>
      </c>
      <c r="C336" s="1" t="s">
        <v>44</v>
      </c>
      <c r="D336" s="1" t="s">
        <v>45</v>
      </c>
      <c r="E336" s="1" t="s">
        <v>16</v>
      </c>
      <c r="F336" s="1" t="s">
        <v>39</v>
      </c>
      <c r="G336" s="1" t="s">
        <v>36</v>
      </c>
      <c r="H336" s="1">
        <v>13365</v>
      </c>
      <c r="I336" s="1" t="s">
        <v>27</v>
      </c>
      <c r="J336" s="1"/>
      <c r="K336" s="1">
        <v>13000</v>
      </c>
      <c r="L336" s="2">
        <v>45341</v>
      </c>
    </row>
    <row r="337" spans="1:12" x14ac:dyDescent="0.35">
      <c r="A337" s="1" t="s">
        <v>539</v>
      </c>
      <c r="B337" s="1" t="s">
        <v>204</v>
      </c>
      <c r="C337" s="1" t="s">
        <v>30</v>
      </c>
      <c r="D337" s="1" t="s">
        <v>31</v>
      </c>
      <c r="E337" s="1" t="s">
        <v>32</v>
      </c>
      <c r="F337" s="1" t="s">
        <v>17</v>
      </c>
      <c r="G337" s="1" t="s">
        <v>18</v>
      </c>
      <c r="H337" s="1">
        <v>17704</v>
      </c>
      <c r="I337" s="1" t="s">
        <v>27</v>
      </c>
      <c r="J337" s="1"/>
      <c r="K337" s="1">
        <v>17000</v>
      </c>
      <c r="L337" s="2">
        <v>45306</v>
      </c>
    </row>
    <row r="338" spans="1:12" x14ac:dyDescent="0.35">
      <c r="A338" s="1" t="s">
        <v>540</v>
      </c>
      <c r="B338" s="1" t="s">
        <v>435</v>
      </c>
      <c r="C338" s="1" t="s">
        <v>30</v>
      </c>
      <c r="D338" s="1" t="s">
        <v>31</v>
      </c>
      <c r="E338" s="1" t="s">
        <v>32</v>
      </c>
      <c r="F338" s="1" t="s">
        <v>39</v>
      </c>
      <c r="G338" s="1" t="s">
        <v>26</v>
      </c>
      <c r="H338" s="1">
        <v>18603</v>
      </c>
      <c r="I338" s="1" t="s">
        <v>19</v>
      </c>
      <c r="J338" s="1">
        <v>0.2</v>
      </c>
      <c r="K338" s="1">
        <v>17000</v>
      </c>
      <c r="L338" s="2">
        <v>45332</v>
      </c>
    </row>
    <row r="339" spans="1:12" x14ac:dyDescent="0.35">
      <c r="A339" s="1" t="s">
        <v>541</v>
      </c>
      <c r="B339" s="1" t="s">
        <v>90</v>
      </c>
      <c r="C339" s="1" t="s">
        <v>61</v>
      </c>
      <c r="D339" s="1" t="s">
        <v>62</v>
      </c>
      <c r="E339" s="1" t="s">
        <v>32</v>
      </c>
      <c r="F339" s="1" t="s">
        <v>17</v>
      </c>
      <c r="G339" s="1" t="s">
        <v>26</v>
      </c>
      <c r="H339" s="1">
        <v>9749</v>
      </c>
      <c r="I339" s="1"/>
      <c r="J339" s="1"/>
      <c r="K339" s="1">
        <v>9000</v>
      </c>
      <c r="L339" s="2">
        <v>45342</v>
      </c>
    </row>
    <row r="340" spans="1:12" x14ac:dyDescent="0.35">
      <c r="A340" s="1" t="s">
        <v>542</v>
      </c>
      <c r="B340" s="1" t="s">
        <v>217</v>
      </c>
      <c r="C340" s="1" t="s">
        <v>61</v>
      </c>
      <c r="D340" s="1" t="s">
        <v>62</v>
      </c>
      <c r="E340" s="1" t="s">
        <v>46</v>
      </c>
      <c r="F340" s="1" t="s">
        <v>25</v>
      </c>
      <c r="G340" s="1" t="s">
        <v>36</v>
      </c>
      <c r="H340" s="1">
        <v>8541</v>
      </c>
      <c r="I340" s="1" t="s">
        <v>19</v>
      </c>
      <c r="J340" s="1">
        <v>0.2</v>
      </c>
      <c r="K340" s="1">
        <v>9000</v>
      </c>
      <c r="L340" s="2">
        <v>45340</v>
      </c>
    </row>
    <row r="341" spans="1:12" x14ac:dyDescent="0.35">
      <c r="A341" s="1" t="s">
        <v>543</v>
      </c>
      <c r="B341" s="1" t="s">
        <v>544</v>
      </c>
      <c r="C341" s="1" t="s">
        <v>44</v>
      </c>
      <c r="D341" s="1" t="s">
        <v>45</v>
      </c>
      <c r="E341" s="1" t="s">
        <v>32</v>
      </c>
      <c r="F341" s="1" t="s">
        <v>17</v>
      </c>
      <c r="G341" s="1" t="s">
        <v>26</v>
      </c>
      <c r="H341" s="1">
        <v>11591</v>
      </c>
      <c r="I341" s="1"/>
      <c r="J341" s="1"/>
      <c r="K341" s="1">
        <v>13000</v>
      </c>
      <c r="L341" s="2">
        <v>45350</v>
      </c>
    </row>
    <row r="342" spans="1:12" x14ac:dyDescent="0.35">
      <c r="A342" s="1" t="s">
        <v>545</v>
      </c>
      <c r="B342" s="1" t="s">
        <v>166</v>
      </c>
      <c r="C342" s="1" t="s">
        <v>61</v>
      </c>
      <c r="D342" s="1" t="s">
        <v>62</v>
      </c>
      <c r="E342" s="1" t="s">
        <v>46</v>
      </c>
      <c r="F342" s="1" t="s">
        <v>39</v>
      </c>
      <c r="G342" s="1" t="s">
        <v>26</v>
      </c>
      <c r="H342" s="1">
        <v>7549</v>
      </c>
      <c r="I342" s="1"/>
      <c r="J342" s="1"/>
      <c r="K342" s="1">
        <v>9000</v>
      </c>
      <c r="L342" s="2">
        <v>45307</v>
      </c>
    </row>
    <row r="343" spans="1:12" x14ac:dyDescent="0.35">
      <c r="A343" s="1" t="s">
        <v>546</v>
      </c>
      <c r="B343" s="1" t="s">
        <v>289</v>
      </c>
      <c r="C343" s="1" t="s">
        <v>30</v>
      </c>
      <c r="D343" s="1" t="s">
        <v>31</v>
      </c>
      <c r="E343" s="1" t="s">
        <v>16</v>
      </c>
      <c r="F343" s="1" t="s">
        <v>25</v>
      </c>
      <c r="G343" s="1" t="s">
        <v>36</v>
      </c>
      <c r="H343" s="1">
        <v>18469</v>
      </c>
      <c r="I343" s="1" t="s">
        <v>33</v>
      </c>
      <c r="J343" s="1">
        <v>0.3</v>
      </c>
      <c r="K343" s="1">
        <v>17000</v>
      </c>
      <c r="L343" s="2">
        <v>45297</v>
      </c>
    </row>
    <row r="344" spans="1:12" x14ac:dyDescent="0.35">
      <c r="A344" s="1" t="s">
        <v>547</v>
      </c>
      <c r="B344" s="1" t="s">
        <v>548</v>
      </c>
      <c r="C344" s="1" t="s">
        <v>44</v>
      </c>
      <c r="D344" s="1" t="s">
        <v>45</v>
      </c>
      <c r="E344" s="1" t="s">
        <v>32</v>
      </c>
      <c r="F344" s="1" t="s">
        <v>17</v>
      </c>
      <c r="G344" s="1" t="s">
        <v>36</v>
      </c>
      <c r="H344" s="1">
        <v>13759</v>
      </c>
      <c r="I344" s="1" t="s">
        <v>27</v>
      </c>
      <c r="J344" s="1"/>
      <c r="K344" s="1">
        <v>13000</v>
      </c>
      <c r="L344" s="2">
        <v>45330</v>
      </c>
    </row>
    <row r="345" spans="1:12" x14ac:dyDescent="0.35">
      <c r="A345" s="1" t="s">
        <v>549</v>
      </c>
      <c r="B345" s="1" t="s">
        <v>129</v>
      </c>
      <c r="C345" s="1" t="s">
        <v>14</v>
      </c>
      <c r="D345" s="1" t="s">
        <v>15</v>
      </c>
      <c r="E345" s="1" t="s">
        <v>32</v>
      </c>
      <c r="F345" s="1" t="s">
        <v>39</v>
      </c>
      <c r="G345" s="1" t="s">
        <v>26</v>
      </c>
      <c r="H345" s="1">
        <v>14750</v>
      </c>
      <c r="I345" s="1" t="s">
        <v>27</v>
      </c>
      <c r="J345" s="1"/>
      <c r="K345" s="1">
        <v>14000</v>
      </c>
      <c r="L345" s="2">
        <v>45305</v>
      </c>
    </row>
    <row r="346" spans="1:12" x14ac:dyDescent="0.35">
      <c r="A346" s="1" t="s">
        <v>550</v>
      </c>
      <c r="B346" s="1" t="s">
        <v>211</v>
      </c>
      <c r="C346" s="1" t="s">
        <v>30</v>
      </c>
      <c r="D346" s="1" t="s">
        <v>31</v>
      </c>
      <c r="E346" s="1" t="s">
        <v>46</v>
      </c>
      <c r="F346" s="1" t="s">
        <v>25</v>
      </c>
      <c r="G346" s="1" t="s">
        <v>18</v>
      </c>
      <c r="H346" s="1">
        <v>18838</v>
      </c>
      <c r="I346" s="1" t="s">
        <v>19</v>
      </c>
      <c r="J346" s="1">
        <v>0.2</v>
      </c>
      <c r="K346" s="1">
        <v>17000</v>
      </c>
      <c r="L346" s="2">
        <v>45339</v>
      </c>
    </row>
    <row r="347" spans="1:12" x14ac:dyDescent="0.35">
      <c r="A347" s="1" t="s">
        <v>551</v>
      </c>
      <c r="B347" s="1" t="s">
        <v>173</v>
      </c>
      <c r="C347" s="1" t="s">
        <v>61</v>
      </c>
      <c r="D347" s="1" t="s">
        <v>62</v>
      </c>
      <c r="E347" s="1" t="s">
        <v>32</v>
      </c>
      <c r="F347" s="1" t="s">
        <v>39</v>
      </c>
      <c r="G347" s="1" t="s">
        <v>26</v>
      </c>
      <c r="H347" s="1">
        <v>9882</v>
      </c>
      <c r="I347" s="1" t="s">
        <v>19</v>
      </c>
      <c r="J347" s="1">
        <v>0.2</v>
      </c>
      <c r="K347" s="1">
        <v>9000</v>
      </c>
      <c r="L347" s="2">
        <v>45317</v>
      </c>
    </row>
    <row r="348" spans="1:12" x14ac:dyDescent="0.35">
      <c r="A348" s="1" t="s">
        <v>552</v>
      </c>
      <c r="B348" s="1" t="s">
        <v>553</v>
      </c>
      <c r="C348" s="1" t="s">
        <v>30</v>
      </c>
      <c r="D348" s="1" t="s">
        <v>31</v>
      </c>
      <c r="E348" s="1" t="s">
        <v>46</v>
      </c>
      <c r="F348" s="1" t="s">
        <v>17</v>
      </c>
      <c r="G348" s="1" t="s">
        <v>36</v>
      </c>
      <c r="H348" s="1">
        <v>17185</v>
      </c>
      <c r="I348" s="1" t="s">
        <v>33</v>
      </c>
      <c r="J348" s="1">
        <v>0.3</v>
      </c>
      <c r="K348" s="1">
        <v>17000</v>
      </c>
      <c r="L348" s="2">
        <v>45311</v>
      </c>
    </row>
    <row r="349" spans="1:12" x14ac:dyDescent="0.35">
      <c r="A349" s="1" t="s">
        <v>554</v>
      </c>
      <c r="B349" s="1" t="s">
        <v>131</v>
      </c>
      <c r="C349" s="1" t="s">
        <v>61</v>
      </c>
      <c r="D349" s="1" t="s">
        <v>62</v>
      </c>
      <c r="E349" s="1" t="s">
        <v>46</v>
      </c>
      <c r="F349" s="1" t="s">
        <v>25</v>
      </c>
      <c r="G349" s="1" t="s">
        <v>26</v>
      </c>
      <c r="H349" s="1">
        <v>8923</v>
      </c>
      <c r="I349" s="1" t="s">
        <v>33</v>
      </c>
      <c r="J349" s="1">
        <v>0.3</v>
      </c>
      <c r="K349" s="1">
        <v>9000</v>
      </c>
      <c r="L349" s="2">
        <v>45350</v>
      </c>
    </row>
    <row r="350" spans="1:12" x14ac:dyDescent="0.35">
      <c r="A350" s="1" t="s">
        <v>555</v>
      </c>
      <c r="B350" s="1" t="s">
        <v>391</v>
      </c>
      <c r="C350" s="1" t="s">
        <v>30</v>
      </c>
      <c r="D350" s="1" t="s">
        <v>31</v>
      </c>
      <c r="E350" s="1" t="s">
        <v>46</v>
      </c>
      <c r="F350" s="1" t="s">
        <v>25</v>
      </c>
      <c r="G350" s="1" t="s">
        <v>26</v>
      </c>
      <c r="H350" s="1">
        <v>18539</v>
      </c>
      <c r="I350" s="1" t="s">
        <v>19</v>
      </c>
      <c r="J350" s="1">
        <v>0.2</v>
      </c>
      <c r="K350" s="1">
        <v>17000</v>
      </c>
      <c r="L350" s="2">
        <v>45339</v>
      </c>
    </row>
    <row r="351" spans="1:12" x14ac:dyDescent="0.35">
      <c r="A351" s="1" t="s">
        <v>556</v>
      </c>
      <c r="B351" s="1" t="s">
        <v>557</v>
      </c>
      <c r="C351" s="1" t="s">
        <v>30</v>
      </c>
      <c r="D351" s="1" t="s">
        <v>31</v>
      </c>
      <c r="E351" s="1" t="s">
        <v>16</v>
      </c>
      <c r="F351" s="1" t="s">
        <v>39</v>
      </c>
      <c r="G351" s="1" t="s">
        <v>26</v>
      </c>
      <c r="H351" s="1">
        <v>17949</v>
      </c>
      <c r="I351" s="1"/>
      <c r="J351" s="1"/>
      <c r="K351" s="1">
        <v>17000</v>
      </c>
      <c r="L351" s="2">
        <v>45310</v>
      </c>
    </row>
    <row r="352" spans="1:12" x14ac:dyDescent="0.35">
      <c r="A352" s="1" t="s">
        <v>558</v>
      </c>
      <c r="B352" s="1" t="s">
        <v>35</v>
      </c>
      <c r="C352" s="1" t="s">
        <v>30</v>
      </c>
      <c r="D352" s="1" t="s">
        <v>31</v>
      </c>
      <c r="E352" s="1" t="s">
        <v>32</v>
      </c>
      <c r="F352" s="1" t="s">
        <v>17</v>
      </c>
      <c r="G352" s="1" t="s">
        <v>26</v>
      </c>
      <c r="H352" s="1">
        <v>18413</v>
      </c>
      <c r="I352" s="1" t="s">
        <v>19</v>
      </c>
      <c r="J352" s="1">
        <v>0.2</v>
      </c>
      <c r="K352" s="1">
        <v>17000</v>
      </c>
      <c r="L352" s="2">
        <v>45323</v>
      </c>
    </row>
    <row r="353" spans="1:12" x14ac:dyDescent="0.35">
      <c r="A353" s="1" t="s">
        <v>559</v>
      </c>
      <c r="B353" s="1" t="s">
        <v>202</v>
      </c>
      <c r="C353" s="1" t="s">
        <v>30</v>
      </c>
      <c r="D353" s="1" t="s">
        <v>31</v>
      </c>
      <c r="E353" s="1" t="s">
        <v>46</v>
      </c>
      <c r="F353" s="1" t="s">
        <v>17</v>
      </c>
      <c r="G353" s="1" t="s">
        <v>26</v>
      </c>
      <c r="H353" s="1">
        <v>17628</v>
      </c>
      <c r="I353" s="1"/>
      <c r="J353" s="1"/>
      <c r="K353" s="1">
        <v>17000</v>
      </c>
      <c r="L353" s="2">
        <v>45321</v>
      </c>
    </row>
    <row r="354" spans="1:12" x14ac:dyDescent="0.35">
      <c r="A354" s="1" t="s">
        <v>560</v>
      </c>
      <c r="B354" s="1" t="s">
        <v>280</v>
      </c>
      <c r="C354" s="1" t="s">
        <v>30</v>
      </c>
      <c r="D354" s="1" t="s">
        <v>31</v>
      </c>
      <c r="E354" s="1" t="s">
        <v>32</v>
      </c>
      <c r="F354" s="1" t="s">
        <v>25</v>
      </c>
      <c r="G354" s="1" t="s">
        <v>26</v>
      </c>
      <c r="H354" s="1">
        <v>17238</v>
      </c>
      <c r="I354" s="1"/>
      <c r="J354" s="1"/>
      <c r="K354" s="1">
        <v>17000</v>
      </c>
      <c r="L354" s="2">
        <v>45303</v>
      </c>
    </row>
    <row r="355" spans="1:12" x14ac:dyDescent="0.35">
      <c r="A355" s="1" t="s">
        <v>561</v>
      </c>
      <c r="B355" s="1" t="s">
        <v>84</v>
      </c>
      <c r="C355" s="1" t="s">
        <v>14</v>
      </c>
      <c r="D355" s="1" t="s">
        <v>15</v>
      </c>
      <c r="E355" s="1" t="s">
        <v>16</v>
      </c>
      <c r="F355" s="1" t="s">
        <v>25</v>
      </c>
      <c r="G355" s="1" t="s">
        <v>18</v>
      </c>
      <c r="H355" s="1">
        <v>15871</v>
      </c>
      <c r="I355" s="1" t="s">
        <v>22</v>
      </c>
      <c r="J355" s="1">
        <v>0.1</v>
      </c>
      <c r="K355" s="1">
        <v>14000</v>
      </c>
      <c r="L355" s="2">
        <v>45340</v>
      </c>
    </row>
    <row r="356" spans="1:12" x14ac:dyDescent="0.35">
      <c r="A356" s="1" t="s">
        <v>562</v>
      </c>
      <c r="B356" s="1" t="s">
        <v>406</v>
      </c>
      <c r="C356" s="1" t="s">
        <v>44</v>
      </c>
      <c r="D356" s="1" t="s">
        <v>45</v>
      </c>
      <c r="E356" s="1" t="s">
        <v>16</v>
      </c>
      <c r="F356" s="1" t="s">
        <v>25</v>
      </c>
      <c r="G356" s="1" t="s">
        <v>18</v>
      </c>
      <c r="H356" s="1">
        <v>13896</v>
      </c>
      <c r="I356" s="1" t="s">
        <v>19</v>
      </c>
      <c r="J356" s="1">
        <v>0.2</v>
      </c>
      <c r="K356" s="1">
        <v>13000</v>
      </c>
      <c r="L356" s="2">
        <v>45292</v>
      </c>
    </row>
    <row r="357" spans="1:12" x14ac:dyDescent="0.35">
      <c r="A357" s="1" t="s">
        <v>563</v>
      </c>
      <c r="B357" s="1" t="s">
        <v>24</v>
      </c>
      <c r="C357" s="1" t="s">
        <v>61</v>
      </c>
      <c r="D357" s="1" t="s">
        <v>62</v>
      </c>
      <c r="E357" s="1" t="s">
        <v>46</v>
      </c>
      <c r="F357" s="1" t="s">
        <v>25</v>
      </c>
      <c r="G357" s="1" t="s">
        <v>26</v>
      </c>
      <c r="H357" s="1">
        <v>9612</v>
      </c>
      <c r="I357" s="1" t="s">
        <v>27</v>
      </c>
      <c r="J357" s="1"/>
      <c r="K357" s="1">
        <v>9000</v>
      </c>
      <c r="L357" s="2">
        <v>45350</v>
      </c>
    </row>
    <row r="358" spans="1:12" x14ac:dyDescent="0.35">
      <c r="A358" s="1" t="s">
        <v>564</v>
      </c>
      <c r="B358" s="1" t="s">
        <v>332</v>
      </c>
      <c r="C358" s="1" t="s">
        <v>61</v>
      </c>
      <c r="D358" s="1" t="s">
        <v>62</v>
      </c>
      <c r="E358" s="1" t="s">
        <v>32</v>
      </c>
      <c r="F358" s="1" t="s">
        <v>25</v>
      </c>
      <c r="G358" s="1" t="s">
        <v>26</v>
      </c>
      <c r="H358" s="1">
        <v>9259</v>
      </c>
      <c r="I358" s="1"/>
      <c r="J358" s="1"/>
      <c r="K358" s="1">
        <v>9000</v>
      </c>
      <c r="L358" s="2">
        <v>45292</v>
      </c>
    </row>
    <row r="359" spans="1:12" x14ac:dyDescent="0.35">
      <c r="A359" s="1" t="s">
        <v>565</v>
      </c>
      <c r="B359" s="1" t="s">
        <v>166</v>
      </c>
      <c r="C359" s="1" t="s">
        <v>30</v>
      </c>
      <c r="D359" s="1" t="s">
        <v>31</v>
      </c>
      <c r="E359" s="1" t="s">
        <v>16</v>
      </c>
      <c r="F359" s="1" t="s">
        <v>17</v>
      </c>
      <c r="G359" s="1" t="s">
        <v>18</v>
      </c>
      <c r="H359" s="1">
        <v>17057</v>
      </c>
      <c r="I359" s="1"/>
      <c r="J359" s="1"/>
      <c r="K359" s="1">
        <v>17000</v>
      </c>
      <c r="L359" s="2">
        <v>45343</v>
      </c>
    </row>
    <row r="360" spans="1:12" x14ac:dyDescent="0.35">
      <c r="A360" s="1" t="s">
        <v>566</v>
      </c>
      <c r="B360" s="1" t="s">
        <v>120</v>
      </c>
      <c r="C360" s="1" t="s">
        <v>14</v>
      </c>
      <c r="D360" s="1" t="s">
        <v>15</v>
      </c>
      <c r="E360" s="1" t="s">
        <v>32</v>
      </c>
      <c r="F360" s="1" t="s">
        <v>39</v>
      </c>
      <c r="G360" s="1" t="s">
        <v>18</v>
      </c>
      <c r="H360" s="1">
        <v>12987</v>
      </c>
      <c r="I360" s="1" t="s">
        <v>19</v>
      </c>
      <c r="J360" s="1">
        <v>0.2</v>
      </c>
      <c r="K360" s="1">
        <v>14000</v>
      </c>
      <c r="L360" s="2">
        <v>45331</v>
      </c>
    </row>
    <row r="361" spans="1:12" x14ac:dyDescent="0.35">
      <c r="A361" s="1" t="s">
        <v>567</v>
      </c>
      <c r="B361" s="1" t="s">
        <v>448</v>
      </c>
      <c r="C361" s="1" t="s">
        <v>30</v>
      </c>
      <c r="D361" s="1" t="s">
        <v>31</v>
      </c>
      <c r="E361" s="1" t="s">
        <v>46</v>
      </c>
      <c r="F361" s="1" t="s">
        <v>17</v>
      </c>
      <c r="G361" s="1" t="s">
        <v>18</v>
      </c>
      <c r="H361" s="1">
        <v>16528</v>
      </c>
      <c r="I361" s="1"/>
      <c r="J361" s="1"/>
      <c r="K361" s="1">
        <v>17000</v>
      </c>
      <c r="L361" s="2">
        <v>45321</v>
      </c>
    </row>
    <row r="362" spans="1:12" x14ac:dyDescent="0.35">
      <c r="A362" s="1" t="s">
        <v>568</v>
      </c>
      <c r="B362" s="1" t="s">
        <v>519</v>
      </c>
      <c r="C362" s="1" t="s">
        <v>44</v>
      </c>
      <c r="D362" s="1" t="s">
        <v>45</v>
      </c>
      <c r="E362" s="1" t="s">
        <v>46</v>
      </c>
      <c r="F362" s="1" t="s">
        <v>39</v>
      </c>
      <c r="G362" s="1" t="s">
        <v>18</v>
      </c>
      <c r="H362" s="1">
        <v>13677</v>
      </c>
      <c r="I362" s="1" t="s">
        <v>22</v>
      </c>
      <c r="J362" s="1">
        <v>0.1</v>
      </c>
      <c r="K362" s="1">
        <v>13000</v>
      </c>
      <c r="L362" s="2">
        <v>45297</v>
      </c>
    </row>
    <row r="363" spans="1:12" x14ac:dyDescent="0.35">
      <c r="A363" s="1" t="s">
        <v>569</v>
      </c>
      <c r="B363" s="1" t="s">
        <v>177</v>
      </c>
      <c r="C363" s="1" t="s">
        <v>61</v>
      </c>
      <c r="D363" s="1" t="s">
        <v>62</v>
      </c>
      <c r="E363" s="1" t="s">
        <v>16</v>
      </c>
      <c r="F363" s="1" t="s">
        <v>17</v>
      </c>
      <c r="G363" s="1" t="s">
        <v>18</v>
      </c>
      <c r="H363" s="1">
        <v>9608</v>
      </c>
      <c r="I363" s="1" t="s">
        <v>22</v>
      </c>
      <c r="J363" s="1">
        <v>0.1</v>
      </c>
      <c r="K363" s="1">
        <v>9000</v>
      </c>
      <c r="L363" s="2">
        <v>45336</v>
      </c>
    </row>
    <row r="364" spans="1:12" x14ac:dyDescent="0.35">
      <c r="A364" s="1" t="s">
        <v>570</v>
      </c>
      <c r="B364" s="1" t="s">
        <v>325</v>
      </c>
      <c r="C364" s="1" t="s">
        <v>61</v>
      </c>
      <c r="D364" s="1" t="s">
        <v>62</v>
      </c>
      <c r="E364" s="1" t="s">
        <v>46</v>
      </c>
      <c r="F364" s="1" t="s">
        <v>39</v>
      </c>
      <c r="G364" s="1" t="s">
        <v>36</v>
      </c>
      <c r="H364" s="1">
        <v>9317</v>
      </c>
      <c r="I364" s="1" t="s">
        <v>22</v>
      </c>
      <c r="J364" s="1">
        <v>0.1</v>
      </c>
      <c r="K364" s="1">
        <v>9000</v>
      </c>
      <c r="L364" s="2">
        <v>45349</v>
      </c>
    </row>
    <row r="365" spans="1:12" x14ac:dyDescent="0.35">
      <c r="A365" s="1" t="s">
        <v>571</v>
      </c>
      <c r="B365" s="1" t="s">
        <v>184</v>
      </c>
      <c r="C365" s="1" t="s">
        <v>44</v>
      </c>
      <c r="D365" s="1" t="s">
        <v>45</v>
      </c>
      <c r="E365" s="1" t="s">
        <v>32</v>
      </c>
      <c r="F365" s="1" t="s">
        <v>39</v>
      </c>
      <c r="G365" s="1" t="s">
        <v>26</v>
      </c>
      <c r="H365" s="1">
        <v>12947</v>
      </c>
      <c r="I365" s="1" t="s">
        <v>33</v>
      </c>
      <c r="J365" s="1">
        <v>0.3</v>
      </c>
      <c r="K365" s="1">
        <v>13000</v>
      </c>
      <c r="L365" s="2">
        <v>45294</v>
      </c>
    </row>
    <row r="366" spans="1:12" x14ac:dyDescent="0.35">
      <c r="A366" s="1" t="s">
        <v>572</v>
      </c>
      <c r="B366" s="1" t="s">
        <v>403</v>
      </c>
      <c r="C366" s="1" t="s">
        <v>30</v>
      </c>
      <c r="D366" s="1" t="s">
        <v>31</v>
      </c>
      <c r="E366" s="1" t="s">
        <v>16</v>
      </c>
      <c r="F366" s="1" t="s">
        <v>39</v>
      </c>
      <c r="G366" s="1" t="s">
        <v>26</v>
      </c>
      <c r="H366" s="1">
        <v>15134</v>
      </c>
      <c r="I366" s="1" t="s">
        <v>19</v>
      </c>
      <c r="J366" s="1">
        <v>0.2</v>
      </c>
      <c r="K366" s="1">
        <v>17000</v>
      </c>
      <c r="L366" s="2">
        <v>45351</v>
      </c>
    </row>
    <row r="367" spans="1:12" x14ac:dyDescent="0.35">
      <c r="A367" s="1" t="s">
        <v>573</v>
      </c>
      <c r="B367" s="1" t="s">
        <v>303</v>
      </c>
      <c r="C367" s="1" t="s">
        <v>14</v>
      </c>
      <c r="D367" s="1" t="s">
        <v>15</v>
      </c>
      <c r="E367" s="1" t="s">
        <v>32</v>
      </c>
      <c r="F367" s="1" t="s">
        <v>39</v>
      </c>
      <c r="G367" s="1" t="s">
        <v>18</v>
      </c>
      <c r="H367" s="1">
        <v>15081</v>
      </c>
      <c r="I367" s="1"/>
      <c r="J367" s="1"/>
      <c r="K367" s="1">
        <v>14000</v>
      </c>
      <c r="L367" s="2">
        <v>45351</v>
      </c>
    </row>
    <row r="368" spans="1:12" x14ac:dyDescent="0.35">
      <c r="A368" s="1" t="s">
        <v>574</v>
      </c>
      <c r="B368" s="1" t="s">
        <v>263</v>
      </c>
      <c r="C368" s="1" t="s">
        <v>44</v>
      </c>
      <c r="D368" s="1" t="s">
        <v>45</v>
      </c>
      <c r="E368" s="1" t="s">
        <v>16</v>
      </c>
      <c r="F368" s="1" t="s">
        <v>25</v>
      </c>
      <c r="G368" s="1" t="s">
        <v>26</v>
      </c>
      <c r="H368" s="1">
        <v>14418</v>
      </c>
      <c r="I368" s="1"/>
      <c r="J368" s="1"/>
      <c r="K368" s="1">
        <v>13000</v>
      </c>
      <c r="L368" s="2">
        <v>45335</v>
      </c>
    </row>
    <row r="369" spans="1:12" x14ac:dyDescent="0.35">
      <c r="A369" s="1" t="s">
        <v>575</v>
      </c>
      <c r="B369" s="1" t="s">
        <v>84</v>
      </c>
      <c r="C369" s="1" t="s">
        <v>30</v>
      </c>
      <c r="D369" s="1" t="s">
        <v>31</v>
      </c>
      <c r="E369" s="1" t="s">
        <v>46</v>
      </c>
      <c r="F369" s="1" t="s">
        <v>39</v>
      </c>
      <c r="G369" s="1" t="s">
        <v>18</v>
      </c>
      <c r="H369" s="1">
        <v>18237</v>
      </c>
      <c r="I369" s="1" t="s">
        <v>22</v>
      </c>
      <c r="J369" s="1">
        <v>0.1</v>
      </c>
      <c r="K369" s="1">
        <v>17000</v>
      </c>
      <c r="L369" s="2">
        <v>45324</v>
      </c>
    </row>
    <row r="370" spans="1:12" x14ac:dyDescent="0.35">
      <c r="A370" s="1" t="s">
        <v>576</v>
      </c>
      <c r="B370" s="1" t="s">
        <v>577</v>
      </c>
      <c r="C370" s="1" t="s">
        <v>14</v>
      </c>
      <c r="D370" s="1" t="s">
        <v>15</v>
      </c>
      <c r="E370" s="1" t="s">
        <v>32</v>
      </c>
      <c r="F370" s="1" t="s">
        <v>17</v>
      </c>
      <c r="G370" s="1" t="s">
        <v>18</v>
      </c>
      <c r="H370" s="1">
        <v>15435</v>
      </c>
      <c r="I370" s="1" t="s">
        <v>22</v>
      </c>
      <c r="J370" s="1">
        <v>0.1</v>
      </c>
      <c r="K370" s="1">
        <v>14000</v>
      </c>
      <c r="L370" s="2">
        <v>45313</v>
      </c>
    </row>
    <row r="371" spans="1:12" x14ac:dyDescent="0.35">
      <c r="A371" s="1" t="s">
        <v>578</v>
      </c>
      <c r="B371" s="1" t="s">
        <v>579</v>
      </c>
      <c r="C371" s="1" t="s">
        <v>61</v>
      </c>
      <c r="D371" s="1" t="s">
        <v>62</v>
      </c>
      <c r="E371" s="1" t="s">
        <v>46</v>
      </c>
      <c r="F371" s="1" t="s">
        <v>25</v>
      </c>
      <c r="G371" s="1" t="s">
        <v>26</v>
      </c>
      <c r="H371" s="1">
        <v>8119</v>
      </c>
      <c r="I371" s="1"/>
      <c r="J371" s="1"/>
      <c r="K371" s="1">
        <v>9000</v>
      </c>
      <c r="L371" s="2">
        <v>45323</v>
      </c>
    </row>
    <row r="372" spans="1:12" x14ac:dyDescent="0.35">
      <c r="A372" s="1" t="s">
        <v>580</v>
      </c>
      <c r="B372" s="1" t="s">
        <v>391</v>
      </c>
      <c r="C372" s="1" t="s">
        <v>61</v>
      </c>
      <c r="D372" s="1" t="s">
        <v>62</v>
      </c>
      <c r="E372" s="1" t="s">
        <v>46</v>
      </c>
      <c r="F372" s="1" t="s">
        <v>25</v>
      </c>
      <c r="G372" s="1" t="s">
        <v>26</v>
      </c>
      <c r="H372" s="1">
        <v>9399</v>
      </c>
      <c r="I372" s="1"/>
      <c r="J372" s="1"/>
      <c r="K372" s="1">
        <v>9000</v>
      </c>
      <c r="L372" s="2">
        <v>45297</v>
      </c>
    </row>
    <row r="373" spans="1:12" x14ac:dyDescent="0.35">
      <c r="A373" s="1" t="s">
        <v>581</v>
      </c>
      <c r="B373" s="1" t="s">
        <v>522</v>
      </c>
      <c r="C373" s="1" t="s">
        <v>30</v>
      </c>
      <c r="D373" s="1" t="s">
        <v>31</v>
      </c>
      <c r="E373" s="1" t="s">
        <v>32</v>
      </c>
      <c r="F373" s="1" t="s">
        <v>39</v>
      </c>
      <c r="G373" s="1" t="s">
        <v>18</v>
      </c>
      <c r="H373" s="1">
        <v>15336</v>
      </c>
      <c r="I373" s="1" t="s">
        <v>33</v>
      </c>
      <c r="J373" s="1">
        <v>0.3</v>
      </c>
      <c r="K373" s="1">
        <v>17000</v>
      </c>
      <c r="L373" s="2">
        <v>45301</v>
      </c>
    </row>
    <row r="374" spans="1:12" x14ac:dyDescent="0.35">
      <c r="A374" s="1" t="s">
        <v>582</v>
      </c>
      <c r="B374" s="1" t="s">
        <v>101</v>
      </c>
      <c r="C374" s="1" t="s">
        <v>44</v>
      </c>
      <c r="D374" s="1" t="s">
        <v>45</v>
      </c>
      <c r="E374" s="1" t="s">
        <v>16</v>
      </c>
      <c r="F374" s="1" t="s">
        <v>17</v>
      </c>
      <c r="G374" s="1" t="s">
        <v>36</v>
      </c>
      <c r="H374" s="1">
        <v>12477</v>
      </c>
      <c r="I374" s="1" t="s">
        <v>22</v>
      </c>
      <c r="J374" s="1">
        <v>0.1</v>
      </c>
      <c r="K374" s="1">
        <v>13000</v>
      </c>
      <c r="L374" s="2">
        <v>45297</v>
      </c>
    </row>
    <row r="375" spans="1:12" x14ac:dyDescent="0.35">
      <c r="A375" s="1" t="s">
        <v>583</v>
      </c>
      <c r="B375" s="1" t="s">
        <v>584</v>
      </c>
      <c r="C375" s="1" t="s">
        <v>61</v>
      </c>
      <c r="D375" s="1" t="s">
        <v>62</v>
      </c>
      <c r="E375" s="1" t="s">
        <v>46</v>
      </c>
      <c r="F375" s="1" t="s">
        <v>17</v>
      </c>
      <c r="G375" s="1" t="s">
        <v>18</v>
      </c>
      <c r="H375" s="1">
        <v>7542</v>
      </c>
      <c r="I375" s="1" t="s">
        <v>22</v>
      </c>
      <c r="J375" s="1">
        <v>0.1</v>
      </c>
      <c r="K375" s="1">
        <v>9000</v>
      </c>
      <c r="L375" s="2">
        <v>45303</v>
      </c>
    </row>
    <row r="376" spans="1:12" x14ac:dyDescent="0.35">
      <c r="A376" s="1" t="s">
        <v>585</v>
      </c>
      <c r="B376" s="1" t="s">
        <v>527</v>
      </c>
      <c r="C376" s="1" t="s">
        <v>61</v>
      </c>
      <c r="D376" s="1" t="s">
        <v>62</v>
      </c>
      <c r="E376" s="1" t="s">
        <v>32</v>
      </c>
      <c r="F376" s="1" t="s">
        <v>25</v>
      </c>
      <c r="G376" s="1" t="s">
        <v>18</v>
      </c>
      <c r="H376" s="1">
        <v>8449</v>
      </c>
      <c r="I376" s="1" t="s">
        <v>27</v>
      </c>
      <c r="J376" s="1"/>
      <c r="K376" s="1">
        <v>9000</v>
      </c>
      <c r="L376" s="2">
        <v>45297</v>
      </c>
    </row>
    <row r="377" spans="1:12" x14ac:dyDescent="0.35">
      <c r="A377" s="1" t="s">
        <v>586</v>
      </c>
      <c r="B377" s="1" t="s">
        <v>195</v>
      </c>
      <c r="C377" s="1" t="s">
        <v>30</v>
      </c>
      <c r="D377" s="1" t="s">
        <v>31</v>
      </c>
      <c r="E377" s="1" t="s">
        <v>46</v>
      </c>
      <c r="F377" s="1" t="s">
        <v>25</v>
      </c>
      <c r="G377" s="1" t="s">
        <v>36</v>
      </c>
      <c r="H377" s="1">
        <v>16694</v>
      </c>
      <c r="I377" s="1"/>
      <c r="J377" s="1"/>
      <c r="K377" s="1">
        <v>17000</v>
      </c>
      <c r="L377" s="2">
        <v>45341</v>
      </c>
    </row>
    <row r="378" spans="1:12" x14ac:dyDescent="0.35">
      <c r="A378" s="1" t="s">
        <v>587</v>
      </c>
      <c r="B378" s="1" t="s">
        <v>173</v>
      </c>
      <c r="C378" s="1" t="s">
        <v>44</v>
      </c>
      <c r="D378" s="1" t="s">
        <v>45</v>
      </c>
      <c r="E378" s="1" t="s">
        <v>16</v>
      </c>
      <c r="F378" s="1" t="s">
        <v>39</v>
      </c>
      <c r="G378" s="1" t="s">
        <v>18</v>
      </c>
      <c r="H378" s="1">
        <v>13807</v>
      </c>
      <c r="I378" s="1"/>
      <c r="J378" s="1"/>
      <c r="K378" s="1">
        <v>13000</v>
      </c>
      <c r="L378" s="2">
        <v>45302</v>
      </c>
    </row>
    <row r="379" spans="1:12" x14ac:dyDescent="0.35">
      <c r="A379" s="1" t="s">
        <v>588</v>
      </c>
      <c r="B379" s="1" t="s">
        <v>256</v>
      </c>
      <c r="C379" s="1" t="s">
        <v>30</v>
      </c>
      <c r="D379" s="1" t="s">
        <v>31</v>
      </c>
      <c r="E379" s="1" t="s">
        <v>46</v>
      </c>
      <c r="F379" s="1" t="s">
        <v>17</v>
      </c>
      <c r="G379" s="1" t="s">
        <v>18</v>
      </c>
      <c r="H379" s="1">
        <v>15259</v>
      </c>
      <c r="I379" s="1" t="s">
        <v>19</v>
      </c>
      <c r="J379" s="1">
        <v>0.2</v>
      </c>
      <c r="K379" s="1">
        <v>17000</v>
      </c>
      <c r="L379" s="2">
        <v>45319</v>
      </c>
    </row>
    <row r="380" spans="1:12" x14ac:dyDescent="0.35">
      <c r="A380" s="1" t="s">
        <v>589</v>
      </c>
      <c r="B380" s="1" t="s">
        <v>70</v>
      </c>
      <c r="C380" s="1" t="s">
        <v>30</v>
      </c>
      <c r="D380" s="1" t="s">
        <v>31</v>
      </c>
      <c r="E380" s="1" t="s">
        <v>46</v>
      </c>
      <c r="F380" s="1" t="s">
        <v>25</v>
      </c>
      <c r="G380" s="1" t="s">
        <v>36</v>
      </c>
      <c r="H380" s="1">
        <v>16030</v>
      </c>
      <c r="I380" s="1" t="s">
        <v>19</v>
      </c>
      <c r="J380" s="1">
        <v>0.2</v>
      </c>
      <c r="K380" s="1">
        <v>17000</v>
      </c>
      <c r="L380" s="2">
        <v>45338</v>
      </c>
    </row>
    <row r="381" spans="1:12" x14ac:dyDescent="0.35">
      <c r="A381" s="1" t="s">
        <v>590</v>
      </c>
      <c r="B381" s="1" t="s">
        <v>591</v>
      </c>
      <c r="C381" s="1" t="s">
        <v>44</v>
      </c>
      <c r="D381" s="1" t="s">
        <v>45</v>
      </c>
      <c r="E381" s="1" t="s">
        <v>46</v>
      </c>
      <c r="F381" s="1" t="s">
        <v>25</v>
      </c>
      <c r="G381" s="1" t="s">
        <v>18</v>
      </c>
      <c r="H381" s="1">
        <v>12247</v>
      </c>
      <c r="I381" s="1" t="s">
        <v>22</v>
      </c>
      <c r="J381" s="1">
        <v>0.1</v>
      </c>
      <c r="K381" s="1">
        <v>13000</v>
      </c>
      <c r="L381" s="2">
        <v>45352</v>
      </c>
    </row>
    <row r="382" spans="1:12" x14ac:dyDescent="0.35">
      <c r="A382" s="1" t="s">
        <v>592</v>
      </c>
      <c r="B382" s="1" t="s">
        <v>474</v>
      </c>
      <c r="C382" s="1" t="s">
        <v>61</v>
      </c>
      <c r="D382" s="1" t="s">
        <v>62</v>
      </c>
      <c r="E382" s="1" t="s">
        <v>46</v>
      </c>
      <c r="F382" s="1" t="s">
        <v>17</v>
      </c>
      <c r="G382" s="1" t="s">
        <v>36</v>
      </c>
      <c r="H382" s="1">
        <v>8763</v>
      </c>
      <c r="I382" s="1" t="s">
        <v>27</v>
      </c>
      <c r="J382" s="1"/>
      <c r="K382" s="1">
        <v>9000</v>
      </c>
      <c r="L382" s="2">
        <v>45300</v>
      </c>
    </row>
    <row r="383" spans="1:12" x14ac:dyDescent="0.35">
      <c r="A383" s="1" t="s">
        <v>593</v>
      </c>
      <c r="B383" s="1" t="s">
        <v>131</v>
      </c>
      <c r="C383" s="1" t="s">
        <v>44</v>
      </c>
      <c r="D383" s="1" t="s">
        <v>45</v>
      </c>
      <c r="E383" s="1" t="s">
        <v>46</v>
      </c>
      <c r="F383" s="1" t="s">
        <v>17</v>
      </c>
      <c r="G383" s="1" t="s">
        <v>18</v>
      </c>
      <c r="H383" s="1">
        <v>14950</v>
      </c>
      <c r="I383" s="1"/>
      <c r="J383" s="1"/>
      <c r="K383" s="1">
        <v>13000</v>
      </c>
      <c r="L383" s="2">
        <v>45312</v>
      </c>
    </row>
    <row r="384" spans="1:12" x14ac:dyDescent="0.35">
      <c r="A384" s="1" t="s">
        <v>594</v>
      </c>
      <c r="B384" s="1" t="s">
        <v>350</v>
      </c>
      <c r="C384" s="1" t="s">
        <v>61</v>
      </c>
      <c r="D384" s="1" t="s">
        <v>62</v>
      </c>
      <c r="E384" s="1" t="s">
        <v>16</v>
      </c>
      <c r="F384" s="1" t="s">
        <v>25</v>
      </c>
      <c r="G384" s="1" t="s">
        <v>36</v>
      </c>
      <c r="H384" s="1">
        <v>8540</v>
      </c>
      <c r="I384" s="1" t="s">
        <v>33</v>
      </c>
      <c r="J384" s="1">
        <v>0.3</v>
      </c>
      <c r="K384" s="1">
        <v>9000</v>
      </c>
      <c r="L384" s="2">
        <v>45344</v>
      </c>
    </row>
    <row r="385" spans="1:12" x14ac:dyDescent="0.35">
      <c r="A385" s="1" t="s">
        <v>595</v>
      </c>
      <c r="B385" s="1" t="s">
        <v>180</v>
      </c>
      <c r="C385" s="1" t="s">
        <v>30</v>
      </c>
      <c r="D385" s="1" t="s">
        <v>31</v>
      </c>
      <c r="E385" s="1" t="s">
        <v>32</v>
      </c>
      <c r="F385" s="1" t="s">
        <v>39</v>
      </c>
      <c r="G385" s="1" t="s">
        <v>18</v>
      </c>
      <c r="H385" s="1">
        <v>17425</v>
      </c>
      <c r="I385" s="1" t="s">
        <v>27</v>
      </c>
      <c r="J385" s="1"/>
      <c r="K385" s="1">
        <v>17000</v>
      </c>
      <c r="L385" s="2">
        <v>45303</v>
      </c>
    </row>
    <row r="386" spans="1:12" x14ac:dyDescent="0.35">
      <c r="A386" s="1" t="s">
        <v>596</v>
      </c>
      <c r="B386" s="1" t="s">
        <v>270</v>
      </c>
      <c r="C386" s="1" t="s">
        <v>14</v>
      </c>
      <c r="D386" s="1" t="s">
        <v>15</v>
      </c>
      <c r="E386" s="1" t="s">
        <v>16</v>
      </c>
      <c r="F386" s="1" t="s">
        <v>17</v>
      </c>
      <c r="G386" s="1" t="s">
        <v>26</v>
      </c>
      <c r="H386" s="1">
        <v>12858</v>
      </c>
      <c r="I386" s="1"/>
      <c r="J386" s="1"/>
      <c r="K386" s="1">
        <v>14000</v>
      </c>
      <c r="L386" s="2">
        <v>45343</v>
      </c>
    </row>
    <row r="387" spans="1:12" x14ac:dyDescent="0.35">
      <c r="A387" s="1" t="s">
        <v>597</v>
      </c>
      <c r="B387" s="1" t="s">
        <v>142</v>
      </c>
      <c r="C387" s="1" t="s">
        <v>14</v>
      </c>
      <c r="D387" s="1" t="s">
        <v>15</v>
      </c>
      <c r="E387" s="1" t="s">
        <v>46</v>
      </c>
      <c r="F387" s="1" t="s">
        <v>39</v>
      </c>
      <c r="G387" s="1" t="s">
        <v>36</v>
      </c>
      <c r="H387" s="1">
        <v>12570</v>
      </c>
      <c r="I387" s="1" t="s">
        <v>33</v>
      </c>
      <c r="J387" s="1">
        <v>0.3</v>
      </c>
      <c r="K387" s="1">
        <v>14000</v>
      </c>
      <c r="L387" s="2">
        <v>45307</v>
      </c>
    </row>
    <row r="388" spans="1:12" x14ac:dyDescent="0.35">
      <c r="A388" s="1" t="s">
        <v>598</v>
      </c>
      <c r="B388" s="1" t="s">
        <v>286</v>
      </c>
      <c r="C388" s="1" t="s">
        <v>44</v>
      </c>
      <c r="D388" s="1" t="s">
        <v>45</v>
      </c>
      <c r="E388" s="1" t="s">
        <v>16</v>
      </c>
      <c r="F388" s="1" t="s">
        <v>17</v>
      </c>
      <c r="G388" s="1" t="s">
        <v>36</v>
      </c>
      <c r="H388" s="1">
        <v>11302</v>
      </c>
      <c r="I388" s="1"/>
      <c r="J388" s="1"/>
      <c r="K388" s="1">
        <v>13000</v>
      </c>
      <c r="L388" s="2">
        <v>45330</v>
      </c>
    </row>
    <row r="389" spans="1:12" x14ac:dyDescent="0.35">
      <c r="A389" s="1" t="s">
        <v>599</v>
      </c>
      <c r="B389" s="1" t="s">
        <v>600</v>
      </c>
      <c r="C389" s="1" t="s">
        <v>61</v>
      </c>
      <c r="D389" s="1" t="s">
        <v>62</v>
      </c>
      <c r="E389" s="1" t="s">
        <v>16</v>
      </c>
      <c r="F389" s="1" t="s">
        <v>39</v>
      </c>
      <c r="G389" s="1" t="s">
        <v>26</v>
      </c>
      <c r="H389" s="1">
        <v>8713</v>
      </c>
      <c r="I389" s="1" t="s">
        <v>27</v>
      </c>
      <c r="J389" s="1"/>
      <c r="K389" s="1">
        <v>9000</v>
      </c>
      <c r="L389" s="2">
        <v>45294</v>
      </c>
    </row>
    <row r="390" spans="1:12" x14ac:dyDescent="0.35">
      <c r="A390" s="1" t="s">
        <v>601</v>
      </c>
      <c r="B390" s="1" t="s">
        <v>602</v>
      </c>
      <c r="C390" s="1" t="s">
        <v>14</v>
      </c>
      <c r="D390" s="1" t="s">
        <v>15</v>
      </c>
      <c r="E390" s="1" t="s">
        <v>32</v>
      </c>
      <c r="F390" s="1" t="s">
        <v>25</v>
      </c>
      <c r="G390" s="1" t="s">
        <v>26</v>
      </c>
      <c r="H390" s="1">
        <v>14722</v>
      </c>
      <c r="I390" s="1" t="s">
        <v>33</v>
      </c>
      <c r="J390" s="1">
        <v>0.3</v>
      </c>
      <c r="K390" s="1">
        <v>14000</v>
      </c>
      <c r="L390" s="2">
        <v>45302</v>
      </c>
    </row>
    <row r="391" spans="1:12" x14ac:dyDescent="0.35">
      <c r="A391" s="1" t="s">
        <v>603</v>
      </c>
      <c r="B391" s="1" t="s">
        <v>163</v>
      </c>
      <c r="C391" s="1" t="s">
        <v>14</v>
      </c>
      <c r="D391" s="1" t="s">
        <v>15</v>
      </c>
      <c r="E391" s="1" t="s">
        <v>16</v>
      </c>
      <c r="F391" s="1" t="s">
        <v>39</v>
      </c>
      <c r="G391" s="1" t="s">
        <v>26</v>
      </c>
      <c r="H391" s="1">
        <v>14649</v>
      </c>
      <c r="I391" s="1"/>
      <c r="J391" s="1"/>
      <c r="K391" s="1">
        <v>14000</v>
      </c>
      <c r="L391" s="2">
        <v>45340</v>
      </c>
    </row>
    <row r="392" spans="1:12" x14ac:dyDescent="0.35">
      <c r="A392" s="1" t="s">
        <v>604</v>
      </c>
      <c r="B392" s="1" t="s">
        <v>478</v>
      </c>
      <c r="C392" s="1" t="s">
        <v>61</v>
      </c>
      <c r="D392" s="1" t="s">
        <v>62</v>
      </c>
      <c r="E392" s="1" t="s">
        <v>32</v>
      </c>
      <c r="F392" s="1" t="s">
        <v>25</v>
      </c>
      <c r="G392" s="1" t="s">
        <v>18</v>
      </c>
      <c r="H392" s="1">
        <v>8059</v>
      </c>
      <c r="I392" s="1" t="s">
        <v>19</v>
      </c>
      <c r="J392" s="1">
        <v>0.2</v>
      </c>
      <c r="K392" s="1">
        <v>9000</v>
      </c>
      <c r="L392" s="2">
        <v>45324</v>
      </c>
    </row>
    <row r="393" spans="1:12" x14ac:dyDescent="0.35">
      <c r="A393" s="1" t="s">
        <v>605</v>
      </c>
      <c r="B393" s="1" t="s">
        <v>103</v>
      </c>
      <c r="C393" s="1" t="s">
        <v>44</v>
      </c>
      <c r="D393" s="1" t="s">
        <v>45</v>
      </c>
      <c r="E393" s="1" t="s">
        <v>46</v>
      </c>
      <c r="F393" s="1" t="s">
        <v>17</v>
      </c>
      <c r="G393" s="1" t="s">
        <v>36</v>
      </c>
      <c r="H393" s="1">
        <v>12896</v>
      </c>
      <c r="I393" s="1" t="s">
        <v>27</v>
      </c>
      <c r="J393" s="1"/>
      <c r="K393" s="1">
        <v>13000</v>
      </c>
      <c r="L393" s="2">
        <v>45336</v>
      </c>
    </row>
    <row r="394" spans="1:12" x14ac:dyDescent="0.35">
      <c r="A394" s="1" t="s">
        <v>606</v>
      </c>
      <c r="B394" s="1" t="s">
        <v>80</v>
      </c>
      <c r="C394" s="1" t="s">
        <v>30</v>
      </c>
      <c r="D394" s="1" t="s">
        <v>31</v>
      </c>
      <c r="E394" s="1" t="s">
        <v>32</v>
      </c>
      <c r="F394" s="1" t="s">
        <v>17</v>
      </c>
      <c r="G394" s="1" t="s">
        <v>18</v>
      </c>
      <c r="H394" s="1">
        <v>16210</v>
      </c>
      <c r="I394" s="1"/>
      <c r="J394" s="1"/>
      <c r="K394" s="1">
        <v>17000</v>
      </c>
      <c r="L394" s="2">
        <v>45350</v>
      </c>
    </row>
    <row r="395" spans="1:12" x14ac:dyDescent="0.35">
      <c r="A395" s="1" t="s">
        <v>607</v>
      </c>
      <c r="B395" s="1" t="s">
        <v>78</v>
      </c>
      <c r="C395" s="1" t="s">
        <v>44</v>
      </c>
      <c r="D395" s="1" t="s">
        <v>45</v>
      </c>
      <c r="E395" s="1" t="s">
        <v>46</v>
      </c>
      <c r="F395" s="1" t="s">
        <v>17</v>
      </c>
      <c r="G395" s="1" t="s">
        <v>36</v>
      </c>
      <c r="H395" s="1">
        <v>12865</v>
      </c>
      <c r="I395" s="1" t="s">
        <v>19</v>
      </c>
      <c r="J395" s="1">
        <v>0.2</v>
      </c>
      <c r="K395" s="1">
        <v>13000</v>
      </c>
      <c r="L395" s="2">
        <v>45325</v>
      </c>
    </row>
    <row r="396" spans="1:12" x14ac:dyDescent="0.35">
      <c r="A396" s="1" t="s">
        <v>608</v>
      </c>
      <c r="B396" s="1" t="s">
        <v>188</v>
      </c>
      <c r="C396" s="1" t="s">
        <v>61</v>
      </c>
      <c r="D396" s="1" t="s">
        <v>62</v>
      </c>
      <c r="E396" s="1" t="s">
        <v>32</v>
      </c>
      <c r="F396" s="1" t="s">
        <v>17</v>
      </c>
      <c r="G396" s="1" t="s">
        <v>26</v>
      </c>
      <c r="H396" s="1">
        <v>9853</v>
      </c>
      <c r="I396" s="1"/>
      <c r="J396" s="1"/>
      <c r="K396" s="1">
        <v>9000</v>
      </c>
      <c r="L396" s="2">
        <v>45312</v>
      </c>
    </row>
    <row r="397" spans="1:12" x14ac:dyDescent="0.35">
      <c r="A397" s="1" t="s">
        <v>609</v>
      </c>
      <c r="B397" s="1" t="s">
        <v>263</v>
      </c>
      <c r="C397" s="1" t="s">
        <v>14</v>
      </c>
      <c r="D397" s="1" t="s">
        <v>15</v>
      </c>
      <c r="E397" s="1" t="s">
        <v>16</v>
      </c>
      <c r="F397" s="1" t="s">
        <v>25</v>
      </c>
      <c r="G397" s="1" t="s">
        <v>18</v>
      </c>
      <c r="H397" s="1">
        <v>15478</v>
      </c>
      <c r="I397" s="1" t="s">
        <v>33</v>
      </c>
      <c r="J397" s="1">
        <v>0.3</v>
      </c>
      <c r="K397" s="1">
        <v>14000</v>
      </c>
      <c r="L397" s="2">
        <v>45333</v>
      </c>
    </row>
    <row r="398" spans="1:12" x14ac:dyDescent="0.35">
      <c r="A398" s="1" t="s">
        <v>610</v>
      </c>
      <c r="B398" s="1" t="s">
        <v>21</v>
      </c>
      <c r="C398" s="1" t="s">
        <v>44</v>
      </c>
      <c r="D398" s="1" t="s">
        <v>45</v>
      </c>
      <c r="E398" s="1" t="s">
        <v>16</v>
      </c>
      <c r="F398" s="1" t="s">
        <v>25</v>
      </c>
      <c r="G398" s="1" t="s">
        <v>26</v>
      </c>
      <c r="H398" s="1">
        <v>11714</v>
      </c>
      <c r="I398" s="1" t="s">
        <v>27</v>
      </c>
      <c r="J398" s="1"/>
      <c r="K398" s="1">
        <v>13000</v>
      </c>
      <c r="L398" s="2">
        <v>45302</v>
      </c>
    </row>
    <row r="399" spans="1:12" x14ac:dyDescent="0.35">
      <c r="A399" s="1" t="s">
        <v>611</v>
      </c>
      <c r="B399" s="1" t="s">
        <v>301</v>
      </c>
      <c r="C399" s="1" t="s">
        <v>61</v>
      </c>
      <c r="D399" s="1" t="s">
        <v>62</v>
      </c>
      <c r="E399" s="1" t="s">
        <v>46</v>
      </c>
      <c r="F399" s="1" t="s">
        <v>25</v>
      </c>
      <c r="G399" s="1" t="s">
        <v>36</v>
      </c>
      <c r="H399" s="1">
        <v>9579</v>
      </c>
      <c r="I399" s="1" t="s">
        <v>19</v>
      </c>
      <c r="J399" s="1">
        <v>0.2</v>
      </c>
      <c r="K399" s="1">
        <v>9000</v>
      </c>
      <c r="L399" s="2">
        <v>45303</v>
      </c>
    </row>
    <row r="400" spans="1:12" x14ac:dyDescent="0.35">
      <c r="A400" s="1" t="s">
        <v>612</v>
      </c>
      <c r="B400" s="1" t="s">
        <v>92</v>
      </c>
      <c r="C400" s="1" t="s">
        <v>61</v>
      </c>
      <c r="D400" s="1" t="s">
        <v>62</v>
      </c>
      <c r="E400" s="1" t="s">
        <v>46</v>
      </c>
      <c r="F400" s="1" t="s">
        <v>25</v>
      </c>
      <c r="G400" s="1" t="s">
        <v>26</v>
      </c>
      <c r="H400" s="1">
        <v>9515</v>
      </c>
      <c r="I400" s="1" t="s">
        <v>19</v>
      </c>
      <c r="J400" s="1">
        <v>0.2</v>
      </c>
      <c r="K400" s="1">
        <v>9000</v>
      </c>
      <c r="L400" s="2">
        <v>45320</v>
      </c>
    </row>
    <row r="401" spans="1:12" x14ac:dyDescent="0.35">
      <c r="A401" s="1" t="s">
        <v>613</v>
      </c>
      <c r="B401" s="1" t="s">
        <v>337</v>
      </c>
      <c r="C401" s="1" t="s">
        <v>61</v>
      </c>
      <c r="D401" s="1" t="s">
        <v>62</v>
      </c>
      <c r="E401" s="1" t="s">
        <v>32</v>
      </c>
      <c r="F401" s="1" t="s">
        <v>39</v>
      </c>
      <c r="G401" s="1" t="s">
        <v>18</v>
      </c>
      <c r="H401" s="1">
        <v>7842</v>
      </c>
      <c r="I401" s="1" t="s">
        <v>33</v>
      </c>
      <c r="J401" s="1">
        <v>0.3</v>
      </c>
      <c r="K401" s="1">
        <v>9000</v>
      </c>
      <c r="L401" s="2">
        <v>45340</v>
      </c>
    </row>
    <row r="402" spans="1:12" x14ac:dyDescent="0.35">
      <c r="A402" s="1" t="s">
        <v>614</v>
      </c>
      <c r="B402" s="1" t="s">
        <v>276</v>
      </c>
      <c r="C402" s="1" t="s">
        <v>14</v>
      </c>
      <c r="D402" s="1" t="s">
        <v>15</v>
      </c>
      <c r="E402" s="1" t="s">
        <v>16</v>
      </c>
      <c r="F402" s="1" t="s">
        <v>25</v>
      </c>
      <c r="G402" s="1" t="s">
        <v>26</v>
      </c>
      <c r="H402" s="1">
        <v>12765</v>
      </c>
      <c r="I402" s="1" t="s">
        <v>33</v>
      </c>
      <c r="J402" s="1">
        <v>0.3</v>
      </c>
      <c r="K402" s="1">
        <v>14000</v>
      </c>
      <c r="L402" s="2">
        <v>45312</v>
      </c>
    </row>
    <row r="403" spans="1:12" x14ac:dyDescent="0.35">
      <c r="A403" s="1" t="s">
        <v>615</v>
      </c>
      <c r="B403" s="1" t="s">
        <v>29</v>
      </c>
      <c r="C403" s="1" t="s">
        <v>14</v>
      </c>
      <c r="D403" s="1" t="s">
        <v>15</v>
      </c>
      <c r="E403" s="1" t="s">
        <v>46</v>
      </c>
      <c r="F403" s="1" t="s">
        <v>39</v>
      </c>
      <c r="G403" s="1" t="s">
        <v>36</v>
      </c>
      <c r="H403" s="1">
        <v>14161</v>
      </c>
      <c r="I403" s="1" t="s">
        <v>33</v>
      </c>
      <c r="J403" s="1">
        <v>0.3</v>
      </c>
      <c r="K403" s="1">
        <v>14000</v>
      </c>
      <c r="L403" s="2">
        <v>45330</v>
      </c>
    </row>
    <row r="404" spans="1:12" x14ac:dyDescent="0.35">
      <c r="A404" s="1" t="s">
        <v>616</v>
      </c>
      <c r="B404" s="1" t="s">
        <v>617</v>
      </c>
      <c r="C404" s="1" t="s">
        <v>61</v>
      </c>
      <c r="D404" s="1" t="s">
        <v>62</v>
      </c>
      <c r="E404" s="1" t="s">
        <v>16</v>
      </c>
      <c r="F404" s="1" t="s">
        <v>25</v>
      </c>
      <c r="G404" s="1" t="s">
        <v>36</v>
      </c>
      <c r="H404" s="1">
        <v>8441</v>
      </c>
      <c r="I404" s="1"/>
      <c r="J404" s="1"/>
      <c r="K404" s="1">
        <v>9000</v>
      </c>
      <c r="L404" s="2">
        <v>45331</v>
      </c>
    </row>
    <row r="405" spans="1:12" x14ac:dyDescent="0.35">
      <c r="A405" s="1" t="s">
        <v>618</v>
      </c>
      <c r="B405" s="1" t="s">
        <v>619</v>
      </c>
      <c r="C405" s="1" t="s">
        <v>30</v>
      </c>
      <c r="D405" s="1" t="s">
        <v>31</v>
      </c>
      <c r="E405" s="1" t="s">
        <v>16</v>
      </c>
      <c r="F405" s="1" t="s">
        <v>39</v>
      </c>
      <c r="G405" s="1" t="s">
        <v>18</v>
      </c>
      <c r="H405" s="1">
        <v>17752</v>
      </c>
      <c r="I405" s="1" t="s">
        <v>19</v>
      </c>
      <c r="J405" s="1">
        <v>0.2</v>
      </c>
      <c r="K405" s="1">
        <v>17000</v>
      </c>
      <c r="L405" s="2">
        <v>45312</v>
      </c>
    </row>
    <row r="406" spans="1:12" x14ac:dyDescent="0.35">
      <c r="A406" s="1" t="s">
        <v>620</v>
      </c>
      <c r="B406" s="1" t="s">
        <v>248</v>
      </c>
      <c r="C406" s="1" t="s">
        <v>30</v>
      </c>
      <c r="D406" s="1" t="s">
        <v>31</v>
      </c>
      <c r="E406" s="1" t="s">
        <v>32</v>
      </c>
      <c r="F406" s="1" t="s">
        <v>25</v>
      </c>
      <c r="G406" s="1" t="s">
        <v>36</v>
      </c>
      <c r="H406" s="1">
        <v>17840</v>
      </c>
      <c r="I406" s="1" t="s">
        <v>19</v>
      </c>
      <c r="J406" s="1">
        <v>0.2</v>
      </c>
      <c r="K406" s="1">
        <v>17000</v>
      </c>
      <c r="L406" s="2">
        <v>45324</v>
      </c>
    </row>
    <row r="407" spans="1:12" x14ac:dyDescent="0.35">
      <c r="A407" s="1" t="s">
        <v>621</v>
      </c>
      <c r="B407" s="1" t="s">
        <v>177</v>
      </c>
      <c r="C407" s="1" t="s">
        <v>44</v>
      </c>
      <c r="D407" s="1" t="s">
        <v>45</v>
      </c>
      <c r="E407" s="1" t="s">
        <v>16</v>
      </c>
      <c r="F407" s="1" t="s">
        <v>17</v>
      </c>
      <c r="G407" s="1" t="s">
        <v>36</v>
      </c>
      <c r="H407" s="1">
        <v>11760</v>
      </c>
      <c r="I407" s="1"/>
      <c r="J407" s="1"/>
      <c r="K407" s="1">
        <v>13000</v>
      </c>
      <c r="L407" s="2">
        <v>45332</v>
      </c>
    </row>
    <row r="408" spans="1:12" x14ac:dyDescent="0.35">
      <c r="A408" s="1" t="s">
        <v>622</v>
      </c>
      <c r="B408" s="1" t="s">
        <v>548</v>
      </c>
      <c r="C408" s="1" t="s">
        <v>44</v>
      </c>
      <c r="D408" s="1" t="s">
        <v>45</v>
      </c>
      <c r="E408" s="1" t="s">
        <v>16</v>
      </c>
      <c r="F408" s="1" t="s">
        <v>25</v>
      </c>
      <c r="G408" s="1" t="s">
        <v>36</v>
      </c>
      <c r="H408" s="1">
        <v>12183</v>
      </c>
      <c r="I408" s="1" t="s">
        <v>19</v>
      </c>
      <c r="J408" s="1">
        <v>0.2</v>
      </c>
      <c r="K408" s="1">
        <v>13000</v>
      </c>
      <c r="L408" s="2">
        <v>45303</v>
      </c>
    </row>
    <row r="409" spans="1:12" x14ac:dyDescent="0.35">
      <c r="A409" s="1" t="s">
        <v>623</v>
      </c>
      <c r="B409" s="1" t="s">
        <v>624</v>
      </c>
      <c r="C409" s="1" t="s">
        <v>61</v>
      </c>
      <c r="D409" s="1" t="s">
        <v>62</v>
      </c>
      <c r="E409" s="1" t="s">
        <v>16</v>
      </c>
      <c r="F409" s="1" t="s">
        <v>25</v>
      </c>
      <c r="G409" s="1" t="s">
        <v>36</v>
      </c>
      <c r="H409" s="1">
        <v>10898</v>
      </c>
      <c r="I409" s="1" t="s">
        <v>22</v>
      </c>
      <c r="J409" s="1">
        <v>0.1</v>
      </c>
      <c r="K409" s="1">
        <v>9000</v>
      </c>
      <c r="L409" s="2">
        <v>45323</v>
      </c>
    </row>
    <row r="410" spans="1:12" x14ac:dyDescent="0.35">
      <c r="A410" s="1" t="s">
        <v>625</v>
      </c>
      <c r="B410" s="1" t="s">
        <v>35</v>
      </c>
      <c r="C410" s="1" t="s">
        <v>61</v>
      </c>
      <c r="D410" s="1" t="s">
        <v>62</v>
      </c>
      <c r="E410" s="1" t="s">
        <v>16</v>
      </c>
      <c r="F410" s="1" t="s">
        <v>39</v>
      </c>
      <c r="G410" s="1" t="s">
        <v>26</v>
      </c>
      <c r="H410" s="1">
        <v>9027</v>
      </c>
      <c r="I410" s="1"/>
      <c r="J410" s="1"/>
      <c r="K410" s="1">
        <v>9000</v>
      </c>
      <c r="L410" s="2">
        <v>45335</v>
      </c>
    </row>
    <row r="411" spans="1:12" x14ac:dyDescent="0.35">
      <c r="A411" s="1" t="s">
        <v>626</v>
      </c>
      <c r="B411" s="1" t="s">
        <v>52</v>
      </c>
      <c r="C411" s="1" t="s">
        <v>61</v>
      </c>
      <c r="D411" s="1" t="s">
        <v>62</v>
      </c>
      <c r="E411" s="1" t="s">
        <v>46</v>
      </c>
      <c r="F411" s="1" t="s">
        <v>25</v>
      </c>
      <c r="G411" s="1" t="s">
        <v>18</v>
      </c>
      <c r="H411" s="1">
        <v>9315</v>
      </c>
      <c r="I411" s="1" t="s">
        <v>22</v>
      </c>
      <c r="J411" s="1">
        <v>0.1</v>
      </c>
      <c r="K411" s="1">
        <v>9000</v>
      </c>
      <c r="L411" s="2">
        <v>45342</v>
      </c>
    </row>
    <row r="412" spans="1:12" x14ac:dyDescent="0.35">
      <c r="A412" s="1" t="s">
        <v>627</v>
      </c>
      <c r="B412" s="1" t="s">
        <v>294</v>
      </c>
      <c r="C412" s="1" t="s">
        <v>30</v>
      </c>
      <c r="D412" s="1" t="s">
        <v>31</v>
      </c>
      <c r="E412" s="1" t="s">
        <v>32</v>
      </c>
      <c r="F412" s="1" t="s">
        <v>17</v>
      </c>
      <c r="G412" s="1" t="s">
        <v>18</v>
      </c>
      <c r="H412" s="1">
        <v>17202</v>
      </c>
      <c r="I412" s="1" t="s">
        <v>33</v>
      </c>
      <c r="J412" s="1">
        <v>0.3</v>
      </c>
      <c r="K412" s="1">
        <v>17000</v>
      </c>
      <c r="L412" s="2">
        <v>45302</v>
      </c>
    </row>
    <row r="413" spans="1:12" x14ac:dyDescent="0.35">
      <c r="A413" s="1" t="s">
        <v>628</v>
      </c>
      <c r="B413" s="1" t="s">
        <v>298</v>
      </c>
      <c r="C413" s="1" t="s">
        <v>61</v>
      </c>
      <c r="D413" s="1" t="s">
        <v>62</v>
      </c>
      <c r="E413" s="1" t="s">
        <v>16</v>
      </c>
      <c r="F413" s="1" t="s">
        <v>39</v>
      </c>
      <c r="G413" s="1" t="s">
        <v>18</v>
      </c>
      <c r="H413" s="1">
        <v>9345</v>
      </c>
      <c r="I413" s="1" t="s">
        <v>22</v>
      </c>
      <c r="J413" s="1">
        <v>0.1</v>
      </c>
      <c r="K413" s="1">
        <v>9000</v>
      </c>
      <c r="L413" s="2">
        <v>45309</v>
      </c>
    </row>
    <row r="414" spans="1:12" x14ac:dyDescent="0.35">
      <c r="A414" s="1" t="s">
        <v>629</v>
      </c>
      <c r="B414" s="1" t="s">
        <v>133</v>
      </c>
      <c r="C414" s="1" t="s">
        <v>30</v>
      </c>
      <c r="D414" s="1" t="s">
        <v>31</v>
      </c>
      <c r="E414" s="1" t="s">
        <v>16</v>
      </c>
      <c r="F414" s="1" t="s">
        <v>25</v>
      </c>
      <c r="G414" s="1" t="s">
        <v>26</v>
      </c>
      <c r="H414" s="1">
        <v>16807</v>
      </c>
      <c r="I414" s="1" t="s">
        <v>27</v>
      </c>
      <c r="J414" s="1"/>
      <c r="K414" s="1">
        <v>17000</v>
      </c>
      <c r="L414" s="2">
        <v>45305</v>
      </c>
    </row>
    <row r="415" spans="1:12" x14ac:dyDescent="0.35">
      <c r="A415" s="1" t="s">
        <v>630</v>
      </c>
      <c r="B415" s="1" t="s">
        <v>41</v>
      </c>
      <c r="C415" s="1" t="s">
        <v>44</v>
      </c>
      <c r="D415" s="1" t="s">
        <v>45</v>
      </c>
      <c r="E415" s="1" t="s">
        <v>46</v>
      </c>
      <c r="F415" s="1" t="s">
        <v>25</v>
      </c>
      <c r="G415" s="1" t="s">
        <v>36</v>
      </c>
      <c r="H415" s="1">
        <v>12076</v>
      </c>
      <c r="I415" s="1" t="s">
        <v>33</v>
      </c>
      <c r="J415" s="1">
        <v>0.3</v>
      </c>
      <c r="K415" s="1">
        <v>13000</v>
      </c>
      <c r="L415" s="2">
        <v>45347</v>
      </c>
    </row>
    <row r="416" spans="1:12" x14ac:dyDescent="0.35">
      <c r="A416" s="1" t="s">
        <v>631</v>
      </c>
      <c r="B416" s="1" t="s">
        <v>96</v>
      </c>
      <c r="C416" s="1" t="s">
        <v>61</v>
      </c>
      <c r="D416" s="1" t="s">
        <v>62</v>
      </c>
      <c r="E416" s="1" t="s">
        <v>32</v>
      </c>
      <c r="F416" s="1" t="s">
        <v>25</v>
      </c>
      <c r="G416" s="1" t="s">
        <v>18</v>
      </c>
      <c r="H416" s="1">
        <v>10320</v>
      </c>
      <c r="I416" s="1" t="s">
        <v>27</v>
      </c>
      <c r="J416" s="1"/>
      <c r="K416" s="1">
        <v>9000</v>
      </c>
      <c r="L416" s="2">
        <v>45336</v>
      </c>
    </row>
    <row r="417" spans="1:12" x14ac:dyDescent="0.35">
      <c r="A417" s="1" t="s">
        <v>632</v>
      </c>
      <c r="B417" s="1" t="s">
        <v>624</v>
      </c>
      <c r="C417" s="1" t="s">
        <v>61</v>
      </c>
      <c r="D417" s="1" t="s">
        <v>62</v>
      </c>
      <c r="E417" s="1" t="s">
        <v>32</v>
      </c>
      <c r="F417" s="1" t="s">
        <v>39</v>
      </c>
      <c r="G417" s="1" t="s">
        <v>18</v>
      </c>
      <c r="H417" s="1">
        <v>10214</v>
      </c>
      <c r="I417" s="1" t="s">
        <v>19</v>
      </c>
      <c r="J417" s="1">
        <v>0.2</v>
      </c>
      <c r="K417" s="1">
        <v>9000</v>
      </c>
      <c r="L417" s="2">
        <v>45344</v>
      </c>
    </row>
    <row r="418" spans="1:12" x14ac:dyDescent="0.35">
      <c r="A418" s="1" t="s">
        <v>633</v>
      </c>
      <c r="B418" s="1" t="s">
        <v>401</v>
      </c>
      <c r="C418" s="1" t="s">
        <v>14</v>
      </c>
      <c r="D418" s="1" t="s">
        <v>15</v>
      </c>
      <c r="E418" s="1" t="s">
        <v>16</v>
      </c>
      <c r="F418" s="1" t="s">
        <v>17</v>
      </c>
      <c r="G418" s="1" t="s">
        <v>26</v>
      </c>
      <c r="H418" s="1">
        <v>13151</v>
      </c>
      <c r="I418" s="1" t="s">
        <v>27</v>
      </c>
      <c r="J418" s="1"/>
      <c r="K418" s="1">
        <v>14000</v>
      </c>
      <c r="L418" s="2">
        <v>45326</v>
      </c>
    </row>
    <row r="419" spans="1:12" x14ac:dyDescent="0.35">
      <c r="A419" s="1" t="s">
        <v>634</v>
      </c>
      <c r="B419" s="1" t="s">
        <v>74</v>
      </c>
      <c r="C419" s="1" t="s">
        <v>30</v>
      </c>
      <c r="D419" s="1" t="s">
        <v>31</v>
      </c>
      <c r="E419" s="1" t="s">
        <v>46</v>
      </c>
      <c r="F419" s="1" t="s">
        <v>39</v>
      </c>
      <c r="G419" s="1" t="s">
        <v>36</v>
      </c>
      <c r="H419" s="1">
        <v>18901</v>
      </c>
      <c r="I419" s="1" t="s">
        <v>27</v>
      </c>
      <c r="J419" s="1"/>
      <c r="K419" s="1">
        <v>17000</v>
      </c>
      <c r="L419" s="2">
        <v>45349</v>
      </c>
    </row>
    <row r="420" spans="1:12" x14ac:dyDescent="0.35">
      <c r="A420" s="1" t="s">
        <v>635</v>
      </c>
      <c r="B420" s="1" t="s">
        <v>204</v>
      </c>
      <c r="C420" s="1" t="s">
        <v>14</v>
      </c>
      <c r="D420" s="1" t="s">
        <v>15</v>
      </c>
      <c r="E420" s="1" t="s">
        <v>32</v>
      </c>
      <c r="F420" s="1" t="s">
        <v>17</v>
      </c>
      <c r="G420" s="1" t="s">
        <v>18</v>
      </c>
      <c r="H420" s="1">
        <v>13135</v>
      </c>
      <c r="I420" s="1" t="s">
        <v>19</v>
      </c>
      <c r="J420" s="1">
        <v>0.2</v>
      </c>
      <c r="K420" s="1">
        <v>14000</v>
      </c>
      <c r="L420" s="2">
        <v>45336</v>
      </c>
    </row>
    <row r="421" spans="1:12" x14ac:dyDescent="0.35">
      <c r="A421" s="1" t="s">
        <v>636</v>
      </c>
      <c r="B421" s="1" t="s">
        <v>412</v>
      </c>
      <c r="C421" s="1" t="s">
        <v>44</v>
      </c>
      <c r="D421" s="1" t="s">
        <v>45</v>
      </c>
      <c r="E421" s="1" t="s">
        <v>32</v>
      </c>
      <c r="F421" s="1" t="s">
        <v>39</v>
      </c>
      <c r="G421" s="1" t="s">
        <v>36</v>
      </c>
      <c r="H421" s="1">
        <v>14393</v>
      </c>
      <c r="I421" s="1" t="s">
        <v>19</v>
      </c>
      <c r="J421" s="1">
        <v>0.2</v>
      </c>
      <c r="K421" s="1">
        <v>13000</v>
      </c>
      <c r="L421" s="2">
        <v>45340</v>
      </c>
    </row>
    <row r="422" spans="1:12" x14ac:dyDescent="0.35">
      <c r="A422" s="1" t="s">
        <v>637</v>
      </c>
      <c r="B422" s="1" t="s">
        <v>198</v>
      </c>
      <c r="C422" s="1" t="s">
        <v>61</v>
      </c>
      <c r="D422" s="1" t="s">
        <v>62</v>
      </c>
      <c r="E422" s="1" t="s">
        <v>46</v>
      </c>
      <c r="F422" s="1" t="s">
        <v>25</v>
      </c>
      <c r="G422" s="1" t="s">
        <v>26</v>
      </c>
      <c r="H422" s="1">
        <v>9590</v>
      </c>
      <c r="I422" s="1" t="s">
        <v>33</v>
      </c>
      <c r="J422" s="1">
        <v>0.3</v>
      </c>
      <c r="K422" s="1">
        <v>9000</v>
      </c>
      <c r="L422" s="2">
        <v>45332</v>
      </c>
    </row>
    <row r="423" spans="1:12" x14ac:dyDescent="0.35">
      <c r="A423" s="1" t="s">
        <v>638</v>
      </c>
      <c r="B423" s="1" t="s">
        <v>177</v>
      </c>
      <c r="C423" s="1" t="s">
        <v>61</v>
      </c>
      <c r="D423" s="1" t="s">
        <v>62</v>
      </c>
      <c r="E423" s="1" t="s">
        <v>32</v>
      </c>
      <c r="F423" s="1" t="s">
        <v>39</v>
      </c>
      <c r="G423" s="1" t="s">
        <v>18</v>
      </c>
      <c r="H423" s="1">
        <v>8650</v>
      </c>
      <c r="I423" s="1" t="s">
        <v>27</v>
      </c>
      <c r="J423" s="1"/>
      <c r="K423" s="1">
        <v>9000</v>
      </c>
      <c r="L423" s="2">
        <v>45339</v>
      </c>
    </row>
    <row r="424" spans="1:12" x14ac:dyDescent="0.35">
      <c r="A424" s="1" t="s">
        <v>639</v>
      </c>
      <c r="B424" s="1" t="s">
        <v>350</v>
      </c>
      <c r="C424" s="1" t="s">
        <v>30</v>
      </c>
      <c r="D424" s="1" t="s">
        <v>31</v>
      </c>
      <c r="E424" s="1" t="s">
        <v>46</v>
      </c>
      <c r="F424" s="1" t="s">
        <v>17</v>
      </c>
      <c r="G424" s="1" t="s">
        <v>36</v>
      </c>
      <c r="H424" s="1">
        <v>17383</v>
      </c>
      <c r="I424" s="1" t="s">
        <v>22</v>
      </c>
      <c r="J424" s="1">
        <v>0.1</v>
      </c>
      <c r="K424" s="1">
        <v>17000</v>
      </c>
      <c r="L424" s="2">
        <v>45347</v>
      </c>
    </row>
    <row r="425" spans="1:12" x14ac:dyDescent="0.35">
      <c r="A425" s="1" t="s">
        <v>640</v>
      </c>
      <c r="B425" s="1" t="s">
        <v>140</v>
      </c>
      <c r="C425" s="1" t="s">
        <v>14</v>
      </c>
      <c r="D425" s="1" t="s">
        <v>15</v>
      </c>
      <c r="E425" s="1" t="s">
        <v>16</v>
      </c>
      <c r="F425" s="1" t="s">
        <v>17</v>
      </c>
      <c r="G425" s="1" t="s">
        <v>26</v>
      </c>
      <c r="H425" s="1">
        <v>14720</v>
      </c>
      <c r="I425" s="1" t="s">
        <v>33</v>
      </c>
      <c r="J425" s="1">
        <v>0.3</v>
      </c>
      <c r="K425" s="1">
        <v>14000</v>
      </c>
      <c r="L425" s="2">
        <v>45346</v>
      </c>
    </row>
    <row r="426" spans="1:12" x14ac:dyDescent="0.35">
      <c r="A426" s="1" t="s">
        <v>641</v>
      </c>
      <c r="B426" s="1" t="s">
        <v>200</v>
      </c>
      <c r="C426" s="1" t="s">
        <v>61</v>
      </c>
      <c r="D426" s="1" t="s">
        <v>62</v>
      </c>
      <c r="E426" s="1" t="s">
        <v>32</v>
      </c>
      <c r="F426" s="1" t="s">
        <v>17</v>
      </c>
      <c r="G426" s="1" t="s">
        <v>18</v>
      </c>
      <c r="H426" s="1">
        <v>9026</v>
      </c>
      <c r="I426" s="1" t="s">
        <v>33</v>
      </c>
      <c r="J426" s="1">
        <v>0.3</v>
      </c>
      <c r="K426" s="1">
        <v>9000</v>
      </c>
      <c r="L426" s="2">
        <v>45312</v>
      </c>
    </row>
    <row r="427" spans="1:12" x14ac:dyDescent="0.35">
      <c r="A427" s="1" t="s">
        <v>642</v>
      </c>
      <c r="B427" s="1" t="s">
        <v>643</v>
      </c>
      <c r="C427" s="1" t="s">
        <v>30</v>
      </c>
      <c r="D427" s="1" t="s">
        <v>31</v>
      </c>
      <c r="E427" s="1" t="s">
        <v>16</v>
      </c>
      <c r="F427" s="1" t="s">
        <v>39</v>
      </c>
      <c r="G427" s="1" t="s">
        <v>18</v>
      </c>
      <c r="H427" s="1">
        <v>17318</v>
      </c>
      <c r="I427" s="1"/>
      <c r="J427" s="1"/>
      <c r="K427" s="1">
        <v>17000</v>
      </c>
      <c r="L427" s="2">
        <v>45342</v>
      </c>
    </row>
    <row r="428" spans="1:12" x14ac:dyDescent="0.35">
      <c r="A428" s="1" t="s">
        <v>644</v>
      </c>
      <c r="B428" s="1" t="s">
        <v>150</v>
      </c>
      <c r="C428" s="1" t="s">
        <v>14</v>
      </c>
      <c r="D428" s="1" t="s">
        <v>15</v>
      </c>
      <c r="E428" s="1" t="s">
        <v>32</v>
      </c>
      <c r="F428" s="1" t="s">
        <v>25</v>
      </c>
      <c r="G428" s="1" t="s">
        <v>26</v>
      </c>
      <c r="H428" s="1">
        <v>15210</v>
      </c>
      <c r="I428" s="1"/>
      <c r="J428" s="1"/>
      <c r="K428" s="1">
        <v>14000</v>
      </c>
      <c r="L428" s="2">
        <v>45293</v>
      </c>
    </row>
    <row r="429" spans="1:12" x14ac:dyDescent="0.35">
      <c r="A429" s="1" t="s">
        <v>645</v>
      </c>
      <c r="B429" s="1" t="s">
        <v>159</v>
      </c>
      <c r="C429" s="1" t="s">
        <v>44</v>
      </c>
      <c r="D429" s="1" t="s">
        <v>45</v>
      </c>
      <c r="E429" s="1" t="s">
        <v>46</v>
      </c>
      <c r="F429" s="1" t="s">
        <v>17</v>
      </c>
      <c r="G429" s="1" t="s">
        <v>18</v>
      </c>
      <c r="H429" s="1">
        <v>14924</v>
      </c>
      <c r="I429" s="1"/>
      <c r="J429" s="1"/>
      <c r="K429" s="1">
        <v>13000</v>
      </c>
      <c r="L429" s="2">
        <v>45304</v>
      </c>
    </row>
    <row r="430" spans="1:12" x14ac:dyDescent="0.35">
      <c r="A430" s="1" t="s">
        <v>646</v>
      </c>
      <c r="B430" s="1" t="s">
        <v>153</v>
      </c>
      <c r="C430" s="1" t="s">
        <v>30</v>
      </c>
      <c r="D430" s="1" t="s">
        <v>31</v>
      </c>
      <c r="E430" s="1" t="s">
        <v>32</v>
      </c>
      <c r="F430" s="1" t="s">
        <v>17</v>
      </c>
      <c r="G430" s="1" t="s">
        <v>18</v>
      </c>
      <c r="H430" s="1">
        <v>17681</v>
      </c>
      <c r="I430" s="1" t="s">
        <v>33</v>
      </c>
      <c r="J430" s="1">
        <v>0.3</v>
      </c>
      <c r="K430" s="1">
        <v>17000</v>
      </c>
      <c r="L430" s="2">
        <v>45308</v>
      </c>
    </row>
    <row r="431" spans="1:12" x14ac:dyDescent="0.35">
      <c r="A431" s="1" t="s">
        <v>647</v>
      </c>
      <c r="B431" s="1" t="s">
        <v>432</v>
      </c>
      <c r="C431" s="1" t="s">
        <v>44</v>
      </c>
      <c r="D431" s="1" t="s">
        <v>45</v>
      </c>
      <c r="E431" s="1" t="s">
        <v>32</v>
      </c>
      <c r="F431" s="1" t="s">
        <v>17</v>
      </c>
      <c r="G431" s="1" t="s">
        <v>26</v>
      </c>
      <c r="H431" s="1">
        <v>12251</v>
      </c>
      <c r="I431" s="1" t="s">
        <v>19</v>
      </c>
      <c r="J431" s="1">
        <v>0.2</v>
      </c>
      <c r="K431" s="1">
        <v>13000</v>
      </c>
      <c r="L431" s="2">
        <v>45319</v>
      </c>
    </row>
    <row r="432" spans="1:12" x14ac:dyDescent="0.35">
      <c r="A432" s="1" t="s">
        <v>648</v>
      </c>
      <c r="B432" s="1" t="s">
        <v>13</v>
      </c>
      <c r="C432" s="1" t="s">
        <v>14</v>
      </c>
      <c r="D432" s="1" t="s">
        <v>15</v>
      </c>
      <c r="E432" s="1" t="s">
        <v>32</v>
      </c>
      <c r="F432" s="1" t="s">
        <v>25</v>
      </c>
      <c r="G432" s="1" t="s">
        <v>36</v>
      </c>
      <c r="H432" s="1">
        <v>12319</v>
      </c>
      <c r="I432" s="1" t="s">
        <v>19</v>
      </c>
      <c r="J432" s="1">
        <v>0.2</v>
      </c>
      <c r="K432" s="1">
        <v>14000</v>
      </c>
      <c r="L432" s="2">
        <v>45329</v>
      </c>
    </row>
    <row r="433" spans="1:12" x14ac:dyDescent="0.35">
      <c r="A433" s="1" t="s">
        <v>649</v>
      </c>
      <c r="B433" s="1" t="s">
        <v>24</v>
      </c>
      <c r="C433" s="1" t="s">
        <v>61</v>
      </c>
      <c r="D433" s="1" t="s">
        <v>62</v>
      </c>
      <c r="E433" s="1" t="s">
        <v>32</v>
      </c>
      <c r="F433" s="1" t="s">
        <v>25</v>
      </c>
      <c r="G433" s="1" t="s">
        <v>26</v>
      </c>
      <c r="H433" s="1">
        <v>8407</v>
      </c>
      <c r="I433" s="1" t="s">
        <v>22</v>
      </c>
      <c r="J433" s="1">
        <v>0.1</v>
      </c>
      <c r="K433" s="1">
        <v>9000</v>
      </c>
      <c r="L433" s="2">
        <v>45347</v>
      </c>
    </row>
    <row r="434" spans="1:12" x14ac:dyDescent="0.35">
      <c r="A434" s="1" t="s">
        <v>650</v>
      </c>
      <c r="B434" s="1" t="s">
        <v>101</v>
      </c>
      <c r="C434" s="1" t="s">
        <v>44</v>
      </c>
      <c r="D434" s="1" t="s">
        <v>45</v>
      </c>
      <c r="E434" s="1" t="s">
        <v>46</v>
      </c>
      <c r="F434" s="1" t="s">
        <v>25</v>
      </c>
      <c r="G434" s="1" t="s">
        <v>18</v>
      </c>
      <c r="H434" s="1">
        <v>12569</v>
      </c>
      <c r="I434" s="1" t="s">
        <v>22</v>
      </c>
      <c r="J434" s="1">
        <v>0.1</v>
      </c>
      <c r="K434" s="1">
        <v>13000</v>
      </c>
      <c r="L434" s="2">
        <v>45338</v>
      </c>
    </row>
    <row r="435" spans="1:12" x14ac:dyDescent="0.35">
      <c r="A435" s="1" t="s">
        <v>651</v>
      </c>
      <c r="B435" s="1" t="s">
        <v>652</v>
      </c>
      <c r="C435" s="1" t="s">
        <v>14</v>
      </c>
      <c r="D435" s="1" t="s">
        <v>15</v>
      </c>
      <c r="E435" s="1" t="s">
        <v>46</v>
      </c>
      <c r="F435" s="1" t="s">
        <v>17</v>
      </c>
      <c r="G435" s="1" t="s">
        <v>36</v>
      </c>
      <c r="H435" s="1">
        <v>12561</v>
      </c>
      <c r="I435" s="1"/>
      <c r="J435" s="1"/>
      <c r="K435" s="1">
        <v>14000</v>
      </c>
      <c r="L435" s="2">
        <v>45341</v>
      </c>
    </row>
    <row r="436" spans="1:12" x14ac:dyDescent="0.35">
      <c r="A436" s="1" t="s">
        <v>653</v>
      </c>
      <c r="B436" s="1" t="s">
        <v>393</v>
      </c>
      <c r="C436" s="1" t="s">
        <v>44</v>
      </c>
      <c r="D436" s="1" t="s">
        <v>45</v>
      </c>
      <c r="E436" s="1" t="s">
        <v>16</v>
      </c>
      <c r="F436" s="1" t="s">
        <v>39</v>
      </c>
      <c r="G436" s="1" t="s">
        <v>18</v>
      </c>
      <c r="H436" s="1">
        <v>11280</v>
      </c>
      <c r="I436" s="1" t="s">
        <v>27</v>
      </c>
      <c r="J436" s="1"/>
      <c r="K436" s="1">
        <v>13000</v>
      </c>
      <c r="L436" s="2">
        <v>45328</v>
      </c>
    </row>
    <row r="437" spans="1:12" x14ac:dyDescent="0.35">
      <c r="A437" s="1" t="s">
        <v>654</v>
      </c>
      <c r="B437" s="1" t="s">
        <v>109</v>
      </c>
      <c r="C437" s="1" t="s">
        <v>44</v>
      </c>
      <c r="D437" s="1" t="s">
        <v>45</v>
      </c>
      <c r="E437" s="1" t="s">
        <v>46</v>
      </c>
      <c r="F437" s="1" t="s">
        <v>17</v>
      </c>
      <c r="G437" s="1" t="s">
        <v>26</v>
      </c>
      <c r="H437" s="1">
        <v>11872</v>
      </c>
      <c r="I437" s="1" t="s">
        <v>19</v>
      </c>
      <c r="J437" s="1">
        <v>0.2</v>
      </c>
      <c r="K437" s="1">
        <v>13000</v>
      </c>
      <c r="L437" s="2">
        <v>45350</v>
      </c>
    </row>
    <row r="438" spans="1:12" x14ac:dyDescent="0.35">
      <c r="A438" s="1" t="s">
        <v>655</v>
      </c>
      <c r="B438" s="1" t="s">
        <v>617</v>
      </c>
      <c r="C438" s="1" t="s">
        <v>61</v>
      </c>
      <c r="D438" s="1" t="s">
        <v>62</v>
      </c>
      <c r="E438" s="1" t="s">
        <v>32</v>
      </c>
      <c r="F438" s="1" t="s">
        <v>25</v>
      </c>
      <c r="G438" s="1" t="s">
        <v>18</v>
      </c>
      <c r="H438" s="1">
        <v>7573</v>
      </c>
      <c r="I438" s="1" t="s">
        <v>22</v>
      </c>
      <c r="J438" s="1">
        <v>0.1</v>
      </c>
      <c r="K438" s="1">
        <v>9000</v>
      </c>
      <c r="L438" s="2">
        <v>45329</v>
      </c>
    </row>
    <row r="439" spans="1:12" x14ac:dyDescent="0.35">
      <c r="A439" s="1" t="s">
        <v>656</v>
      </c>
      <c r="B439" s="1" t="s">
        <v>127</v>
      </c>
      <c r="C439" s="1" t="s">
        <v>30</v>
      </c>
      <c r="D439" s="1" t="s">
        <v>31</v>
      </c>
      <c r="E439" s="1" t="s">
        <v>46</v>
      </c>
      <c r="F439" s="1" t="s">
        <v>17</v>
      </c>
      <c r="G439" s="1" t="s">
        <v>18</v>
      </c>
      <c r="H439" s="1">
        <v>16014</v>
      </c>
      <c r="I439" s="1" t="s">
        <v>33</v>
      </c>
      <c r="J439" s="1">
        <v>0.3</v>
      </c>
      <c r="K439" s="1">
        <v>17000</v>
      </c>
      <c r="L439" s="2">
        <v>45333</v>
      </c>
    </row>
    <row r="440" spans="1:12" x14ac:dyDescent="0.35">
      <c r="A440" s="1" t="s">
        <v>657</v>
      </c>
      <c r="B440" s="1" t="s">
        <v>248</v>
      </c>
      <c r="C440" s="1" t="s">
        <v>30</v>
      </c>
      <c r="D440" s="1" t="s">
        <v>31</v>
      </c>
      <c r="E440" s="1" t="s">
        <v>16</v>
      </c>
      <c r="F440" s="1" t="s">
        <v>25</v>
      </c>
      <c r="G440" s="1" t="s">
        <v>26</v>
      </c>
      <c r="H440" s="1">
        <v>18587</v>
      </c>
      <c r="I440" s="1" t="s">
        <v>33</v>
      </c>
      <c r="J440" s="1">
        <v>0.3</v>
      </c>
      <c r="K440" s="1">
        <v>17000</v>
      </c>
      <c r="L440" s="2">
        <v>45305</v>
      </c>
    </row>
    <row r="441" spans="1:12" x14ac:dyDescent="0.35">
      <c r="A441" s="1" t="s">
        <v>658</v>
      </c>
      <c r="B441" s="1" t="s">
        <v>382</v>
      </c>
      <c r="C441" s="1" t="s">
        <v>44</v>
      </c>
      <c r="D441" s="1" t="s">
        <v>45</v>
      </c>
      <c r="E441" s="1" t="s">
        <v>16</v>
      </c>
      <c r="F441" s="1" t="s">
        <v>17</v>
      </c>
      <c r="G441" s="1" t="s">
        <v>36</v>
      </c>
      <c r="H441" s="1">
        <v>13646</v>
      </c>
      <c r="I441" s="1" t="s">
        <v>22</v>
      </c>
      <c r="J441" s="1">
        <v>0.1</v>
      </c>
      <c r="K441" s="1">
        <v>13000</v>
      </c>
      <c r="L441" s="2">
        <v>45342</v>
      </c>
    </row>
    <row r="442" spans="1:12" x14ac:dyDescent="0.35">
      <c r="A442" s="1" t="s">
        <v>659</v>
      </c>
      <c r="B442" s="1" t="s">
        <v>148</v>
      </c>
      <c r="C442" s="1" t="s">
        <v>44</v>
      </c>
      <c r="D442" s="1" t="s">
        <v>45</v>
      </c>
      <c r="E442" s="1" t="s">
        <v>46</v>
      </c>
      <c r="F442" s="1" t="s">
        <v>17</v>
      </c>
      <c r="G442" s="1" t="s">
        <v>18</v>
      </c>
      <c r="H442" s="1">
        <v>11987</v>
      </c>
      <c r="I442" s="1"/>
      <c r="J442" s="1"/>
      <c r="K442" s="1">
        <v>13000</v>
      </c>
      <c r="L442" s="2">
        <v>45332</v>
      </c>
    </row>
    <row r="443" spans="1:12" x14ac:dyDescent="0.35">
      <c r="A443" s="1" t="s">
        <v>660</v>
      </c>
      <c r="B443" s="1" t="s">
        <v>107</v>
      </c>
      <c r="C443" s="1" t="s">
        <v>14</v>
      </c>
      <c r="D443" s="1" t="s">
        <v>15</v>
      </c>
      <c r="E443" s="1" t="s">
        <v>46</v>
      </c>
      <c r="F443" s="1" t="s">
        <v>17</v>
      </c>
      <c r="G443" s="1" t="s">
        <v>18</v>
      </c>
      <c r="H443" s="1">
        <v>13584</v>
      </c>
      <c r="I443" s="1" t="s">
        <v>27</v>
      </c>
      <c r="J443" s="1"/>
      <c r="K443" s="1">
        <v>14000</v>
      </c>
      <c r="L443" s="2">
        <v>45318</v>
      </c>
    </row>
    <row r="444" spans="1:12" x14ac:dyDescent="0.35">
      <c r="A444" s="1" t="s">
        <v>661</v>
      </c>
      <c r="B444" s="1" t="s">
        <v>301</v>
      </c>
      <c r="C444" s="1" t="s">
        <v>44</v>
      </c>
      <c r="D444" s="1" t="s">
        <v>45</v>
      </c>
      <c r="E444" s="1" t="s">
        <v>46</v>
      </c>
      <c r="F444" s="1" t="s">
        <v>25</v>
      </c>
      <c r="G444" s="1" t="s">
        <v>18</v>
      </c>
      <c r="H444" s="1">
        <v>13405</v>
      </c>
      <c r="I444" s="1" t="s">
        <v>22</v>
      </c>
      <c r="J444" s="1">
        <v>0.1</v>
      </c>
      <c r="K444" s="1">
        <v>13000</v>
      </c>
      <c r="L444" s="2">
        <v>45292</v>
      </c>
    </row>
    <row r="445" spans="1:12" x14ac:dyDescent="0.35">
      <c r="A445" s="1" t="s">
        <v>662</v>
      </c>
      <c r="B445" s="1" t="s">
        <v>289</v>
      </c>
      <c r="C445" s="1" t="s">
        <v>14</v>
      </c>
      <c r="D445" s="1" t="s">
        <v>15</v>
      </c>
      <c r="E445" s="1" t="s">
        <v>32</v>
      </c>
      <c r="F445" s="1" t="s">
        <v>17</v>
      </c>
      <c r="G445" s="1" t="s">
        <v>26</v>
      </c>
      <c r="H445" s="1">
        <v>13173</v>
      </c>
      <c r="I445" s="1" t="s">
        <v>27</v>
      </c>
      <c r="J445" s="1"/>
      <c r="K445" s="1">
        <v>14000</v>
      </c>
      <c r="L445" s="2">
        <v>45341</v>
      </c>
    </row>
    <row r="446" spans="1:12" x14ac:dyDescent="0.35">
      <c r="A446" s="1" t="s">
        <v>663</v>
      </c>
      <c r="B446" s="1" t="s">
        <v>177</v>
      </c>
      <c r="C446" s="1" t="s">
        <v>61</v>
      </c>
      <c r="D446" s="1" t="s">
        <v>62</v>
      </c>
      <c r="E446" s="1" t="s">
        <v>32</v>
      </c>
      <c r="F446" s="1" t="s">
        <v>39</v>
      </c>
      <c r="G446" s="1" t="s">
        <v>26</v>
      </c>
      <c r="H446" s="1">
        <v>9202</v>
      </c>
      <c r="I446" s="1" t="s">
        <v>27</v>
      </c>
      <c r="J446" s="1"/>
      <c r="K446" s="1">
        <v>9000</v>
      </c>
      <c r="L446" s="2">
        <v>45301</v>
      </c>
    </row>
    <row r="447" spans="1:12" x14ac:dyDescent="0.35">
      <c r="A447" s="1" t="s">
        <v>664</v>
      </c>
      <c r="B447" s="1" t="s">
        <v>222</v>
      </c>
      <c r="C447" s="1" t="s">
        <v>30</v>
      </c>
      <c r="D447" s="1" t="s">
        <v>31</v>
      </c>
      <c r="E447" s="1" t="s">
        <v>32</v>
      </c>
      <c r="F447" s="1" t="s">
        <v>39</v>
      </c>
      <c r="G447" s="1" t="s">
        <v>18</v>
      </c>
      <c r="H447" s="1">
        <v>18990</v>
      </c>
      <c r="I447" s="1" t="s">
        <v>19</v>
      </c>
      <c r="J447" s="1">
        <v>0.2</v>
      </c>
      <c r="K447" s="1">
        <v>17000</v>
      </c>
      <c r="L447" s="2">
        <v>45326</v>
      </c>
    </row>
    <row r="448" spans="1:12" x14ac:dyDescent="0.35">
      <c r="A448" s="1" t="s">
        <v>665</v>
      </c>
      <c r="B448" s="1" t="s">
        <v>666</v>
      </c>
      <c r="C448" s="1" t="s">
        <v>14</v>
      </c>
      <c r="D448" s="1" t="s">
        <v>15</v>
      </c>
      <c r="E448" s="1" t="s">
        <v>46</v>
      </c>
      <c r="F448" s="1" t="s">
        <v>39</v>
      </c>
      <c r="G448" s="1" t="s">
        <v>36</v>
      </c>
      <c r="H448" s="1">
        <v>14989</v>
      </c>
      <c r="I448" s="1" t="s">
        <v>19</v>
      </c>
      <c r="J448" s="1">
        <v>0.2</v>
      </c>
      <c r="K448" s="1">
        <v>14000</v>
      </c>
      <c r="L448" s="2">
        <v>45295</v>
      </c>
    </row>
    <row r="449" spans="1:12" x14ac:dyDescent="0.35">
      <c r="A449" s="1" t="s">
        <v>667</v>
      </c>
      <c r="B449" s="1" t="s">
        <v>229</v>
      </c>
      <c r="C449" s="1" t="s">
        <v>61</v>
      </c>
      <c r="D449" s="1" t="s">
        <v>62</v>
      </c>
      <c r="E449" s="1" t="s">
        <v>32</v>
      </c>
      <c r="F449" s="1" t="s">
        <v>17</v>
      </c>
      <c r="G449" s="1" t="s">
        <v>26</v>
      </c>
      <c r="H449" s="1">
        <v>9493</v>
      </c>
      <c r="I449" s="1" t="s">
        <v>22</v>
      </c>
      <c r="J449" s="1">
        <v>0.1</v>
      </c>
      <c r="K449" s="1">
        <v>9000</v>
      </c>
      <c r="L449" s="2">
        <v>45311</v>
      </c>
    </row>
    <row r="450" spans="1:12" x14ac:dyDescent="0.35">
      <c r="A450" s="1" t="s">
        <v>668</v>
      </c>
      <c r="B450" s="1" t="s">
        <v>305</v>
      </c>
      <c r="C450" s="1" t="s">
        <v>44</v>
      </c>
      <c r="D450" s="1" t="s">
        <v>45</v>
      </c>
      <c r="E450" s="1" t="s">
        <v>32</v>
      </c>
      <c r="F450" s="1" t="s">
        <v>25</v>
      </c>
      <c r="G450" s="1" t="s">
        <v>26</v>
      </c>
      <c r="H450" s="1">
        <v>11562</v>
      </c>
      <c r="I450" s="1" t="s">
        <v>22</v>
      </c>
      <c r="J450" s="1">
        <v>0.1</v>
      </c>
      <c r="K450" s="1">
        <v>13000</v>
      </c>
      <c r="L450" s="2">
        <v>45302</v>
      </c>
    </row>
    <row r="451" spans="1:12" x14ac:dyDescent="0.35">
      <c r="A451" s="1" t="s">
        <v>669</v>
      </c>
      <c r="B451" s="1" t="s">
        <v>188</v>
      </c>
      <c r="C451" s="1" t="s">
        <v>30</v>
      </c>
      <c r="D451" s="1" t="s">
        <v>31</v>
      </c>
      <c r="E451" s="1" t="s">
        <v>32</v>
      </c>
      <c r="F451" s="1" t="s">
        <v>17</v>
      </c>
      <c r="G451" s="1" t="s">
        <v>18</v>
      </c>
      <c r="H451" s="1">
        <v>18071</v>
      </c>
      <c r="I451" s="1" t="s">
        <v>33</v>
      </c>
      <c r="J451" s="1">
        <v>0.3</v>
      </c>
      <c r="K451" s="1">
        <v>17000</v>
      </c>
      <c r="L451" s="2">
        <v>45338</v>
      </c>
    </row>
    <row r="452" spans="1:12" x14ac:dyDescent="0.35">
      <c r="A452" s="1" t="s">
        <v>670</v>
      </c>
      <c r="B452" s="1" t="s">
        <v>403</v>
      </c>
      <c r="C452" s="1" t="s">
        <v>14</v>
      </c>
      <c r="D452" s="1" t="s">
        <v>15</v>
      </c>
      <c r="E452" s="1" t="s">
        <v>46</v>
      </c>
      <c r="F452" s="1" t="s">
        <v>17</v>
      </c>
      <c r="G452" s="1" t="s">
        <v>36</v>
      </c>
      <c r="H452" s="1">
        <v>14145</v>
      </c>
      <c r="I452" s="1" t="s">
        <v>22</v>
      </c>
      <c r="J452" s="1">
        <v>0.1</v>
      </c>
      <c r="K452" s="1">
        <v>14000</v>
      </c>
      <c r="L452" s="2">
        <v>45308</v>
      </c>
    </row>
    <row r="453" spans="1:12" x14ac:dyDescent="0.35">
      <c r="A453" s="1" t="s">
        <v>671</v>
      </c>
      <c r="B453" s="1" t="s">
        <v>672</v>
      </c>
      <c r="C453" s="1" t="s">
        <v>14</v>
      </c>
      <c r="D453" s="1" t="s">
        <v>15</v>
      </c>
      <c r="E453" s="1" t="s">
        <v>46</v>
      </c>
      <c r="F453" s="1" t="s">
        <v>17</v>
      </c>
      <c r="G453" s="1" t="s">
        <v>26</v>
      </c>
      <c r="H453" s="1">
        <v>13475</v>
      </c>
      <c r="I453" s="1" t="s">
        <v>22</v>
      </c>
      <c r="J453" s="1">
        <v>0.1</v>
      </c>
      <c r="K453" s="1">
        <v>14000</v>
      </c>
      <c r="L453" s="2">
        <v>45323</v>
      </c>
    </row>
    <row r="454" spans="1:12" x14ac:dyDescent="0.35">
      <c r="A454" s="1" t="s">
        <v>673</v>
      </c>
      <c r="B454" s="1" t="s">
        <v>460</v>
      </c>
      <c r="C454" s="1" t="s">
        <v>44</v>
      </c>
      <c r="D454" s="1" t="s">
        <v>45</v>
      </c>
      <c r="E454" s="1" t="s">
        <v>46</v>
      </c>
      <c r="F454" s="1" t="s">
        <v>25</v>
      </c>
      <c r="G454" s="1" t="s">
        <v>36</v>
      </c>
      <c r="H454" s="1">
        <v>14167</v>
      </c>
      <c r="I454" s="1" t="s">
        <v>22</v>
      </c>
      <c r="J454" s="1">
        <v>0.1</v>
      </c>
      <c r="K454" s="1">
        <v>13000</v>
      </c>
      <c r="L454" s="2">
        <v>45349</v>
      </c>
    </row>
    <row r="455" spans="1:12" x14ac:dyDescent="0.35">
      <c r="A455" s="1" t="s">
        <v>674</v>
      </c>
      <c r="B455" s="1" t="s">
        <v>209</v>
      </c>
      <c r="C455" s="1" t="s">
        <v>14</v>
      </c>
      <c r="D455" s="1" t="s">
        <v>15</v>
      </c>
      <c r="E455" s="1" t="s">
        <v>32</v>
      </c>
      <c r="F455" s="1" t="s">
        <v>39</v>
      </c>
      <c r="G455" s="1" t="s">
        <v>26</v>
      </c>
      <c r="H455" s="1">
        <v>12010</v>
      </c>
      <c r="I455" s="1" t="s">
        <v>22</v>
      </c>
      <c r="J455" s="1">
        <v>0.1</v>
      </c>
      <c r="K455" s="1">
        <v>14000</v>
      </c>
      <c r="L455" s="2">
        <v>45346</v>
      </c>
    </row>
    <row r="456" spans="1:12" x14ac:dyDescent="0.35">
      <c r="A456" s="1" t="s">
        <v>675</v>
      </c>
      <c r="B456" s="1" t="s">
        <v>676</v>
      </c>
      <c r="C456" s="1" t="s">
        <v>44</v>
      </c>
      <c r="D456" s="1" t="s">
        <v>45</v>
      </c>
      <c r="E456" s="1" t="s">
        <v>32</v>
      </c>
      <c r="F456" s="1" t="s">
        <v>17</v>
      </c>
      <c r="G456" s="1" t="s">
        <v>36</v>
      </c>
      <c r="H456" s="1">
        <v>12568</v>
      </c>
      <c r="I456" s="1" t="s">
        <v>19</v>
      </c>
      <c r="J456" s="1">
        <v>0.2</v>
      </c>
      <c r="K456" s="1">
        <v>13000</v>
      </c>
      <c r="L456" s="2">
        <v>45303</v>
      </c>
    </row>
    <row r="457" spans="1:12" x14ac:dyDescent="0.35">
      <c r="A457" s="1" t="s">
        <v>677</v>
      </c>
      <c r="B457" s="1" t="s">
        <v>454</v>
      </c>
      <c r="C457" s="1" t="s">
        <v>14</v>
      </c>
      <c r="D457" s="1" t="s">
        <v>15</v>
      </c>
      <c r="E457" s="1" t="s">
        <v>16</v>
      </c>
      <c r="F457" s="1" t="s">
        <v>39</v>
      </c>
      <c r="G457" s="1" t="s">
        <v>26</v>
      </c>
      <c r="H457" s="1">
        <v>14685</v>
      </c>
      <c r="I457" s="1"/>
      <c r="J457" s="1"/>
      <c r="K457" s="1">
        <v>14000</v>
      </c>
      <c r="L457" s="2">
        <v>45306</v>
      </c>
    </row>
    <row r="458" spans="1:12" x14ac:dyDescent="0.35">
      <c r="A458" s="1" t="s">
        <v>678</v>
      </c>
      <c r="B458" s="1" t="s">
        <v>408</v>
      </c>
      <c r="C458" s="1" t="s">
        <v>61</v>
      </c>
      <c r="D458" s="1" t="s">
        <v>62</v>
      </c>
      <c r="E458" s="1" t="s">
        <v>16</v>
      </c>
      <c r="F458" s="1" t="s">
        <v>17</v>
      </c>
      <c r="G458" s="1" t="s">
        <v>36</v>
      </c>
      <c r="H458" s="1">
        <v>10383</v>
      </c>
      <c r="I458" s="1" t="s">
        <v>22</v>
      </c>
      <c r="J458" s="1">
        <v>0.1</v>
      </c>
      <c r="K458" s="1">
        <v>9000</v>
      </c>
      <c r="L458" s="2">
        <v>45328</v>
      </c>
    </row>
    <row r="459" spans="1:12" x14ac:dyDescent="0.35">
      <c r="A459" s="1" t="s">
        <v>679</v>
      </c>
      <c r="B459" s="1" t="s">
        <v>116</v>
      </c>
      <c r="C459" s="1" t="s">
        <v>14</v>
      </c>
      <c r="D459" s="1" t="s">
        <v>15</v>
      </c>
      <c r="E459" s="1" t="s">
        <v>32</v>
      </c>
      <c r="F459" s="1" t="s">
        <v>25</v>
      </c>
      <c r="G459" s="1" t="s">
        <v>26</v>
      </c>
      <c r="H459" s="1">
        <v>12188</v>
      </c>
      <c r="I459" s="1"/>
      <c r="J459" s="1"/>
      <c r="K459" s="1">
        <v>14000</v>
      </c>
      <c r="L459" s="2">
        <v>45296</v>
      </c>
    </row>
    <row r="460" spans="1:12" x14ac:dyDescent="0.35">
      <c r="A460" s="1" t="s">
        <v>680</v>
      </c>
      <c r="B460" s="1" t="s">
        <v>445</v>
      </c>
      <c r="C460" s="1" t="s">
        <v>30</v>
      </c>
      <c r="D460" s="1" t="s">
        <v>31</v>
      </c>
      <c r="E460" s="1" t="s">
        <v>46</v>
      </c>
      <c r="F460" s="1" t="s">
        <v>17</v>
      </c>
      <c r="G460" s="1" t="s">
        <v>18</v>
      </c>
      <c r="H460" s="1">
        <v>17265</v>
      </c>
      <c r="I460" s="1"/>
      <c r="J460" s="1"/>
      <c r="K460" s="1">
        <v>17000</v>
      </c>
      <c r="L460" s="2">
        <v>45292</v>
      </c>
    </row>
    <row r="461" spans="1:12" x14ac:dyDescent="0.35">
      <c r="A461" s="1" t="s">
        <v>681</v>
      </c>
      <c r="B461" s="1" t="s">
        <v>408</v>
      </c>
      <c r="C461" s="1" t="s">
        <v>30</v>
      </c>
      <c r="D461" s="1" t="s">
        <v>31</v>
      </c>
      <c r="E461" s="1" t="s">
        <v>16</v>
      </c>
      <c r="F461" s="1" t="s">
        <v>17</v>
      </c>
      <c r="G461" s="1" t="s">
        <v>26</v>
      </c>
      <c r="H461" s="1">
        <v>17550</v>
      </c>
      <c r="I461" s="1" t="s">
        <v>19</v>
      </c>
      <c r="J461" s="1">
        <v>0.2</v>
      </c>
      <c r="K461" s="1">
        <v>17000</v>
      </c>
      <c r="L461" s="2">
        <v>45321</v>
      </c>
    </row>
    <row r="462" spans="1:12" x14ac:dyDescent="0.35">
      <c r="A462" s="1" t="s">
        <v>682</v>
      </c>
      <c r="B462" s="1" t="s">
        <v>38</v>
      </c>
      <c r="C462" s="1" t="s">
        <v>61</v>
      </c>
      <c r="D462" s="1" t="s">
        <v>62</v>
      </c>
      <c r="E462" s="1" t="s">
        <v>32</v>
      </c>
      <c r="F462" s="1" t="s">
        <v>39</v>
      </c>
      <c r="G462" s="1" t="s">
        <v>26</v>
      </c>
      <c r="H462" s="1">
        <v>10114</v>
      </c>
      <c r="I462" s="1" t="s">
        <v>19</v>
      </c>
      <c r="J462" s="1">
        <v>0.2</v>
      </c>
      <c r="K462" s="1">
        <v>9000</v>
      </c>
      <c r="L462" s="2">
        <v>45301</v>
      </c>
    </row>
    <row r="463" spans="1:12" x14ac:dyDescent="0.35">
      <c r="A463" s="1" t="s">
        <v>683</v>
      </c>
      <c r="B463" s="1" t="s">
        <v>406</v>
      </c>
      <c r="C463" s="1" t="s">
        <v>14</v>
      </c>
      <c r="D463" s="1" t="s">
        <v>15</v>
      </c>
      <c r="E463" s="1" t="s">
        <v>32</v>
      </c>
      <c r="F463" s="1" t="s">
        <v>39</v>
      </c>
      <c r="G463" s="1" t="s">
        <v>36</v>
      </c>
      <c r="H463" s="1">
        <v>14604</v>
      </c>
      <c r="I463" s="1" t="s">
        <v>22</v>
      </c>
      <c r="J463" s="1">
        <v>0.1</v>
      </c>
      <c r="K463" s="1">
        <v>14000</v>
      </c>
      <c r="L463" s="2">
        <v>45352</v>
      </c>
    </row>
    <row r="464" spans="1:12" x14ac:dyDescent="0.35">
      <c r="A464" s="1" t="s">
        <v>684</v>
      </c>
      <c r="B464" s="1" t="s">
        <v>327</v>
      </c>
      <c r="C464" s="1" t="s">
        <v>61</v>
      </c>
      <c r="D464" s="1" t="s">
        <v>62</v>
      </c>
      <c r="E464" s="1" t="s">
        <v>16</v>
      </c>
      <c r="F464" s="1" t="s">
        <v>39</v>
      </c>
      <c r="G464" s="1" t="s">
        <v>36</v>
      </c>
      <c r="H464" s="1">
        <v>7425</v>
      </c>
      <c r="I464" s="1" t="s">
        <v>19</v>
      </c>
      <c r="J464" s="1">
        <v>0.2</v>
      </c>
      <c r="K464" s="1">
        <v>9000</v>
      </c>
      <c r="L464" s="2">
        <v>45325</v>
      </c>
    </row>
    <row r="465" spans="1:12" x14ac:dyDescent="0.35">
      <c r="A465" s="1" t="s">
        <v>685</v>
      </c>
      <c r="B465" s="1" t="s">
        <v>414</v>
      </c>
      <c r="C465" s="1" t="s">
        <v>61</v>
      </c>
      <c r="D465" s="1" t="s">
        <v>62</v>
      </c>
      <c r="E465" s="1" t="s">
        <v>32</v>
      </c>
      <c r="F465" s="1" t="s">
        <v>25</v>
      </c>
      <c r="G465" s="1" t="s">
        <v>26</v>
      </c>
      <c r="H465" s="1">
        <v>8146</v>
      </c>
      <c r="I465" s="1" t="s">
        <v>22</v>
      </c>
      <c r="J465" s="1">
        <v>0.1</v>
      </c>
      <c r="K465" s="1">
        <v>9000</v>
      </c>
      <c r="L465" s="2">
        <v>45294</v>
      </c>
    </row>
    <row r="466" spans="1:12" x14ac:dyDescent="0.35">
      <c r="A466" s="1" t="s">
        <v>686</v>
      </c>
      <c r="B466" s="1" t="s">
        <v>553</v>
      </c>
      <c r="C466" s="1" t="s">
        <v>61</v>
      </c>
      <c r="D466" s="1" t="s">
        <v>62</v>
      </c>
      <c r="E466" s="1" t="s">
        <v>16</v>
      </c>
      <c r="F466" s="1" t="s">
        <v>17</v>
      </c>
      <c r="G466" s="1" t="s">
        <v>36</v>
      </c>
      <c r="H466" s="1">
        <v>10991</v>
      </c>
      <c r="I466" s="1" t="s">
        <v>22</v>
      </c>
      <c r="J466" s="1">
        <v>0.1</v>
      </c>
      <c r="K466" s="1">
        <v>9000</v>
      </c>
      <c r="L466" s="2">
        <v>45329</v>
      </c>
    </row>
    <row r="467" spans="1:12" x14ac:dyDescent="0.35">
      <c r="A467" s="1" t="s">
        <v>687</v>
      </c>
      <c r="B467" s="1" t="s">
        <v>241</v>
      </c>
      <c r="C467" s="1" t="s">
        <v>44</v>
      </c>
      <c r="D467" s="1" t="s">
        <v>45</v>
      </c>
      <c r="E467" s="1" t="s">
        <v>16</v>
      </c>
      <c r="F467" s="1" t="s">
        <v>17</v>
      </c>
      <c r="G467" s="1" t="s">
        <v>18</v>
      </c>
      <c r="H467" s="1">
        <v>13424</v>
      </c>
      <c r="I467" s="1" t="s">
        <v>27</v>
      </c>
      <c r="J467" s="1"/>
      <c r="K467" s="1">
        <v>13000</v>
      </c>
      <c r="L467" s="2">
        <v>45295</v>
      </c>
    </row>
    <row r="468" spans="1:12" x14ac:dyDescent="0.35">
      <c r="A468" s="1" t="s">
        <v>688</v>
      </c>
      <c r="B468" s="1" t="s">
        <v>274</v>
      </c>
      <c r="C468" s="1" t="s">
        <v>44</v>
      </c>
      <c r="D468" s="1" t="s">
        <v>45</v>
      </c>
      <c r="E468" s="1" t="s">
        <v>32</v>
      </c>
      <c r="F468" s="1" t="s">
        <v>17</v>
      </c>
      <c r="G468" s="1" t="s">
        <v>36</v>
      </c>
      <c r="H468" s="1">
        <v>14485</v>
      </c>
      <c r="I468" s="1" t="s">
        <v>33</v>
      </c>
      <c r="J468" s="1">
        <v>0.3</v>
      </c>
      <c r="K468" s="1">
        <v>13000</v>
      </c>
      <c r="L468" s="2">
        <v>45351</v>
      </c>
    </row>
    <row r="469" spans="1:12" x14ac:dyDescent="0.35">
      <c r="A469" s="1" t="s">
        <v>689</v>
      </c>
      <c r="B469" s="1" t="s">
        <v>180</v>
      </c>
      <c r="C469" s="1" t="s">
        <v>30</v>
      </c>
      <c r="D469" s="1" t="s">
        <v>31</v>
      </c>
      <c r="E469" s="1" t="s">
        <v>46</v>
      </c>
      <c r="F469" s="1" t="s">
        <v>17</v>
      </c>
      <c r="G469" s="1" t="s">
        <v>36</v>
      </c>
      <c r="H469" s="1">
        <v>15956</v>
      </c>
      <c r="I469" s="1" t="s">
        <v>22</v>
      </c>
      <c r="J469" s="1">
        <v>0.1</v>
      </c>
      <c r="K469" s="1">
        <v>17000</v>
      </c>
      <c r="L469" s="2">
        <v>45352</v>
      </c>
    </row>
    <row r="470" spans="1:12" x14ac:dyDescent="0.35">
      <c r="A470" s="1" t="s">
        <v>690</v>
      </c>
      <c r="B470" s="1" t="s">
        <v>235</v>
      </c>
      <c r="C470" s="1" t="s">
        <v>14</v>
      </c>
      <c r="D470" s="1" t="s">
        <v>15</v>
      </c>
      <c r="E470" s="1" t="s">
        <v>32</v>
      </c>
      <c r="F470" s="1" t="s">
        <v>25</v>
      </c>
      <c r="G470" s="1" t="s">
        <v>18</v>
      </c>
      <c r="H470" s="1">
        <v>13841</v>
      </c>
      <c r="I470" s="1"/>
      <c r="J470" s="1"/>
      <c r="K470" s="1">
        <v>14000</v>
      </c>
      <c r="L470" s="2">
        <v>45312</v>
      </c>
    </row>
    <row r="471" spans="1:12" x14ac:dyDescent="0.35">
      <c r="A471" s="1" t="s">
        <v>691</v>
      </c>
      <c r="B471" s="1" t="s">
        <v>41</v>
      </c>
      <c r="C471" s="1" t="s">
        <v>30</v>
      </c>
      <c r="D471" s="1" t="s">
        <v>31</v>
      </c>
      <c r="E471" s="1" t="s">
        <v>32</v>
      </c>
      <c r="F471" s="1" t="s">
        <v>17</v>
      </c>
      <c r="G471" s="1" t="s">
        <v>36</v>
      </c>
      <c r="H471" s="1">
        <v>16897</v>
      </c>
      <c r="I471" s="1" t="s">
        <v>33</v>
      </c>
      <c r="J471" s="1">
        <v>0.3</v>
      </c>
      <c r="K471" s="1">
        <v>17000</v>
      </c>
      <c r="L471" s="2">
        <v>45346</v>
      </c>
    </row>
    <row r="472" spans="1:12" x14ac:dyDescent="0.35">
      <c r="A472" s="1" t="s">
        <v>692</v>
      </c>
      <c r="B472" s="1" t="s">
        <v>78</v>
      </c>
      <c r="C472" s="1" t="s">
        <v>44</v>
      </c>
      <c r="D472" s="1" t="s">
        <v>45</v>
      </c>
      <c r="E472" s="1" t="s">
        <v>16</v>
      </c>
      <c r="F472" s="1" t="s">
        <v>17</v>
      </c>
      <c r="G472" s="1" t="s">
        <v>26</v>
      </c>
      <c r="H472" s="1">
        <v>13854</v>
      </c>
      <c r="I472" s="1" t="s">
        <v>27</v>
      </c>
      <c r="J472" s="1"/>
      <c r="K472" s="1">
        <v>13000</v>
      </c>
      <c r="L472" s="2">
        <v>45294</v>
      </c>
    </row>
    <row r="473" spans="1:12" x14ac:dyDescent="0.35">
      <c r="A473" s="1" t="s">
        <v>693</v>
      </c>
      <c r="B473" s="1" t="s">
        <v>171</v>
      </c>
      <c r="C473" s="1" t="s">
        <v>30</v>
      </c>
      <c r="D473" s="1" t="s">
        <v>31</v>
      </c>
      <c r="E473" s="1" t="s">
        <v>32</v>
      </c>
      <c r="F473" s="1" t="s">
        <v>25</v>
      </c>
      <c r="G473" s="1" t="s">
        <v>26</v>
      </c>
      <c r="H473" s="1">
        <v>16016</v>
      </c>
      <c r="I473" s="1" t="s">
        <v>33</v>
      </c>
      <c r="J473" s="1">
        <v>0.3</v>
      </c>
      <c r="K473" s="1">
        <v>17000</v>
      </c>
      <c r="L473" s="2">
        <v>45317</v>
      </c>
    </row>
    <row r="474" spans="1:12" x14ac:dyDescent="0.35">
      <c r="A474" s="1" t="s">
        <v>694</v>
      </c>
      <c r="B474" s="1" t="s">
        <v>184</v>
      </c>
      <c r="C474" s="1" t="s">
        <v>30</v>
      </c>
      <c r="D474" s="1" t="s">
        <v>31</v>
      </c>
      <c r="E474" s="1" t="s">
        <v>46</v>
      </c>
      <c r="F474" s="1" t="s">
        <v>25</v>
      </c>
      <c r="G474" s="1" t="s">
        <v>18</v>
      </c>
      <c r="H474" s="1">
        <v>18899</v>
      </c>
      <c r="I474" s="1"/>
      <c r="J474" s="1"/>
      <c r="K474" s="1">
        <v>17000</v>
      </c>
      <c r="L474" s="2">
        <v>45346</v>
      </c>
    </row>
    <row r="475" spans="1:12" x14ac:dyDescent="0.35">
      <c r="A475" s="1" t="s">
        <v>695</v>
      </c>
      <c r="B475" s="1" t="s">
        <v>330</v>
      </c>
      <c r="C475" s="1" t="s">
        <v>44</v>
      </c>
      <c r="D475" s="1" t="s">
        <v>45</v>
      </c>
      <c r="E475" s="1" t="s">
        <v>32</v>
      </c>
      <c r="F475" s="1" t="s">
        <v>17</v>
      </c>
      <c r="G475" s="1" t="s">
        <v>18</v>
      </c>
      <c r="H475" s="1">
        <v>14292</v>
      </c>
      <c r="I475" s="1" t="s">
        <v>19</v>
      </c>
      <c r="J475" s="1">
        <v>0.2</v>
      </c>
      <c r="K475" s="1">
        <v>13000</v>
      </c>
      <c r="L475" s="2">
        <v>45299</v>
      </c>
    </row>
    <row r="476" spans="1:12" x14ac:dyDescent="0.35">
      <c r="A476" s="1" t="s">
        <v>696</v>
      </c>
      <c r="B476" s="1" t="s">
        <v>161</v>
      </c>
      <c r="C476" s="1" t="s">
        <v>44</v>
      </c>
      <c r="D476" s="1" t="s">
        <v>45</v>
      </c>
      <c r="E476" s="1" t="s">
        <v>32</v>
      </c>
      <c r="F476" s="1" t="s">
        <v>25</v>
      </c>
      <c r="G476" s="1" t="s">
        <v>36</v>
      </c>
      <c r="H476" s="1">
        <v>12524</v>
      </c>
      <c r="I476" s="1" t="s">
        <v>22</v>
      </c>
      <c r="J476" s="1">
        <v>0.1</v>
      </c>
      <c r="K476" s="1">
        <v>13000</v>
      </c>
      <c r="L476" s="2">
        <v>45329</v>
      </c>
    </row>
    <row r="477" spans="1:12" x14ac:dyDescent="0.35">
      <c r="A477" s="1" t="s">
        <v>697</v>
      </c>
      <c r="B477" s="1" t="s">
        <v>291</v>
      </c>
      <c r="C477" s="1" t="s">
        <v>14</v>
      </c>
      <c r="D477" s="1" t="s">
        <v>15</v>
      </c>
      <c r="E477" s="1" t="s">
        <v>32</v>
      </c>
      <c r="F477" s="1" t="s">
        <v>25</v>
      </c>
      <c r="G477" s="1" t="s">
        <v>18</v>
      </c>
      <c r="H477" s="1">
        <v>15696</v>
      </c>
      <c r="I477" s="1"/>
      <c r="J477" s="1"/>
      <c r="K477" s="1">
        <v>14000</v>
      </c>
      <c r="L477" s="2">
        <v>45343</v>
      </c>
    </row>
    <row r="478" spans="1:12" x14ac:dyDescent="0.35">
      <c r="A478" s="1" t="s">
        <v>698</v>
      </c>
      <c r="B478" s="1" t="s">
        <v>325</v>
      </c>
      <c r="C478" s="1" t="s">
        <v>30</v>
      </c>
      <c r="D478" s="1" t="s">
        <v>31</v>
      </c>
      <c r="E478" s="1" t="s">
        <v>32</v>
      </c>
      <c r="F478" s="1" t="s">
        <v>25</v>
      </c>
      <c r="G478" s="1" t="s">
        <v>36</v>
      </c>
      <c r="H478" s="1">
        <v>15207</v>
      </c>
      <c r="I478" s="1" t="s">
        <v>19</v>
      </c>
      <c r="J478" s="1">
        <v>0.2</v>
      </c>
      <c r="K478" s="1">
        <v>17000</v>
      </c>
      <c r="L478" s="2">
        <v>45351</v>
      </c>
    </row>
    <row r="479" spans="1:12" x14ac:dyDescent="0.35">
      <c r="A479" s="1" t="s">
        <v>699</v>
      </c>
      <c r="B479" s="1" t="s">
        <v>337</v>
      </c>
      <c r="C479" s="1" t="s">
        <v>61</v>
      </c>
      <c r="D479" s="1" t="s">
        <v>62</v>
      </c>
      <c r="E479" s="1" t="s">
        <v>46</v>
      </c>
      <c r="F479" s="1" t="s">
        <v>25</v>
      </c>
      <c r="G479" s="1" t="s">
        <v>36</v>
      </c>
      <c r="H479" s="1">
        <v>9798</v>
      </c>
      <c r="I479" s="1"/>
      <c r="J479" s="1"/>
      <c r="K479" s="1">
        <v>9000</v>
      </c>
      <c r="L479" s="2">
        <v>45303</v>
      </c>
    </row>
    <row r="480" spans="1:12" x14ac:dyDescent="0.35">
      <c r="A480" s="1" t="s">
        <v>700</v>
      </c>
      <c r="B480" s="1" t="s">
        <v>408</v>
      </c>
      <c r="C480" s="1" t="s">
        <v>44</v>
      </c>
      <c r="D480" s="1" t="s">
        <v>45</v>
      </c>
      <c r="E480" s="1" t="s">
        <v>46</v>
      </c>
      <c r="F480" s="1" t="s">
        <v>17</v>
      </c>
      <c r="G480" s="1" t="s">
        <v>36</v>
      </c>
      <c r="H480" s="1">
        <v>14618</v>
      </c>
      <c r="I480" s="1" t="s">
        <v>19</v>
      </c>
      <c r="J480" s="1">
        <v>0.2</v>
      </c>
      <c r="K480" s="1">
        <v>13000</v>
      </c>
      <c r="L480" s="2">
        <v>45294</v>
      </c>
    </row>
    <row r="481" spans="1:12" x14ac:dyDescent="0.35">
      <c r="A481" s="1" t="s">
        <v>701</v>
      </c>
      <c r="B481" s="1" t="s">
        <v>195</v>
      </c>
      <c r="C481" s="1" t="s">
        <v>44</v>
      </c>
      <c r="D481" s="1" t="s">
        <v>45</v>
      </c>
      <c r="E481" s="1" t="s">
        <v>16</v>
      </c>
      <c r="F481" s="1" t="s">
        <v>17</v>
      </c>
      <c r="G481" s="1" t="s">
        <v>36</v>
      </c>
      <c r="H481" s="1">
        <v>12687</v>
      </c>
      <c r="I481" s="1" t="s">
        <v>27</v>
      </c>
      <c r="J481" s="1"/>
      <c r="K481" s="1">
        <v>13000</v>
      </c>
      <c r="L481" s="2">
        <v>45322</v>
      </c>
    </row>
    <row r="482" spans="1:12" x14ac:dyDescent="0.35">
      <c r="A482" s="1" t="s">
        <v>702</v>
      </c>
      <c r="B482" s="1" t="s">
        <v>76</v>
      </c>
      <c r="C482" s="1" t="s">
        <v>30</v>
      </c>
      <c r="D482" s="1" t="s">
        <v>31</v>
      </c>
      <c r="E482" s="1" t="s">
        <v>46</v>
      </c>
      <c r="F482" s="1" t="s">
        <v>25</v>
      </c>
      <c r="G482" s="1" t="s">
        <v>36</v>
      </c>
      <c r="H482" s="1">
        <v>15816</v>
      </c>
      <c r="I482" s="1" t="s">
        <v>27</v>
      </c>
      <c r="J482" s="1"/>
      <c r="K482" s="1">
        <v>17000</v>
      </c>
      <c r="L482" s="2">
        <v>45307</v>
      </c>
    </row>
    <row r="483" spans="1:12" x14ac:dyDescent="0.35">
      <c r="A483" s="1" t="s">
        <v>703</v>
      </c>
      <c r="B483" s="1" t="s">
        <v>270</v>
      </c>
      <c r="C483" s="1" t="s">
        <v>14</v>
      </c>
      <c r="D483" s="1" t="s">
        <v>15</v>
      </c>
      <c r="E483" s="1" t="s">
        <v>46</v>
      </c>
      <c r="F483" s="1" t="s">
        <v>39</v>
      </c>
      <c r="G483" s="1" t="s">
        <v>36</v>
      </c>
      <c r="H483" s="1">
        <v>13964</v>
      </c>
      <c r="I483" s="1" t="s">
        <v>27</v>
      </c>
      <c r="J483" s="1"/>
      <c r="K483" s="1">
        <v>14000</v>
      </c>
      <c r="L483" s="2">
        <v>45342</v>
      </c>
    </row>
    <row r="484" spans="1:12" x14ac:dyDescent="0.35">
      <c r="A484" s="1" t="s">
        <v>704</v>
      </c>
      <c r="B484" s="1" t="s">
        <v>188</v>
      </c>
      <c r="C484" s="1" t="s">
        <v>30</v>
      </c>
      <c r="D484" s="1" t="s">
        <v>31</v>
      </c>
      <c r="E484" s="1" t="s">
        <v>46</v>
      </c>
      <c r="F484" s="1" t="s">
        <v>17</v>
      </c>
      <c r="G484" s="1" t="s">
        <v>18</v>
      </c>
      <c r="H484" s="1">
        <v>15106</v>
      </c>
      <c r="I484" s="1" t="s">
        <v>33</v>
      </c>
      <c r="J484" s="1">
        <v>0.3</v>
      </c>
      <c r="K484" s="1">
        <v>17000</v>
      </c>
      <c r="L484" s="2">
        <v>45330</v>
      </c>
    </row>
    <row r="485" spans="1:12" x14ac:dyDescent="0.35">
      <c r="A485" s="1" t="s">
        <v>705</v>
      </c>
      <c r="B485" s="1" t="s">
        <v>500</v>
      </c>
      <c r="C485" s="1" t="s">
        <v>30</v>
      </c>
      <c r="D485" s="1" t="s">
        <v>31</v>
      </c>
      <c r="E485" s="1" t="s">
        <v>32</v>
      </c>
      <c r="F485" s="1" t="s">
        <v>17</v>
      </c>
      <c r="G485" s="1" t="s">
        <v>26</v>
      </c>
      <c r="H485" s="1">
        <v>16464</v>
      </c>
      <c r="I485" s="1" t="s">
        <v>27</v>
      </c>
      <c r="J485" s="1"/>
      <c r="K485" s="1">
        <v>17000</v>
      </c>
      <c r="L485" s="2">
        <v>45306</v>
      </c>
    </row>
    <row r="486" spans="1:12" x14ac:dyDescent="0.35">
      <c r="A486" s="1" t="s">
        <v>706</v>
      </c>
      <c r="B486" s="1" t="s">
        <v>325</v>
      </c>
      <c r="C486" s="1" t="s">
        <v>44</v>
      </c>
      <c r="D486" s="1" t="s">
        <v>45</v>
      </c>
      <c r="E486" s="1" t="s">
        <v>16</v>
      </c>
      <c r="F486" s="1" t="s">
        <v>25</v>
      </c>
      <c r="G486" s="1" t="s">
        <v>36</v>
      </c>
      <c r="H486" s="1">
        <v>13185</v>
      </c>
      <c r="I486" s="1" t="s">
        <v>22</v>
      </c>
      <c r="J486" s="1">
        <v>0.1</v>
      </c>
      <c r="K486" s="1">
        <v>13000</v>
      </c>
      <c r="L486" s="2">
        <v>45340</v>
      </c>
    </row>
    <row r="487" spans="1:12" x14ac:dyDescent="0.35">
      <c r="A487" s="1" t="s">
        <v>707</v>
      </c>
      <c r="B487" s="1" t="s">
        <v>56</v>
      </c>
      <c r="C487" s="1" t="s">
        <v>61</v>
      </c>
      <c r="D487" s="1" t="s">
        <v>62</v>
      </c>
      <c r="E487" s="1" t="s">
        <v>46</v>
      </c>
      <c r="F487" s="1" t="s">
        <v>25</v>
      </c>
      <c r="G487" s="1" t="s">
        <v>18</v>
      </c>
      <c r="H487" s="1">
        <v>7968</v>
      </c>
      <c r="I487" s="1" t="s">
        <v>27</v>
      </c>
      <c r="J487" s="1"/>
      <c r="K487" s="1">
        <v>9000</v>
      </c>
      <c r="L487" s="2">
        <v>45312</v>
      </c>
    </row>
    <row r="488" spans="1:12" x14ac:dyDescent="0.35">
      <c r="A488" s="1" t="s">
        <v>708</v>
      </c>
      <c r="B488" s="1" t="s">
        <v>296</v>
      </c>
      <c r="C488" s="1" t="s">
        <v>30</v>
      </c>
      <c r="D488" s="1" t="s">
        <v>31</v>
      </c>
      <c r="E488" s="1" t="s">
        <v>16</v>
      </c>
      <c r="F488" s="1" t="s">
        <v>25</v>
      </c>
      <c r="G488" s="1" t="s">
        <v>26</v>
      </c>
      <c r="H488" s="1">
        <v>17869</v>
      </c>
      <c r="I488" s="1" t="s">
        <v>33</v>
      </c>
      <c r="J488" s="1">
        <v>0.3</v>
      </c>
      <c r="K488" s="1">
        <v>17000</v>
      </c>
      <c r="L488" s="2">
        <v>45352</v>
      </c>
    </row>
    <row r="489" spans="1:12" x14ac:dyDescent="0.35">
      <c r="A489" s="1" t="s">
        <v>709</v>
      </c>
      <c r="B489" s="1" t="s">
        <v>195</v>
      </c>
      <c r="C489" s="1" t="s">
        <v>44</v>
      </c>
      <c r="D489" s="1" t="s">
        <v>45</v>
      </c>
      <c r="E489" s="1" t="s">
        <v>16</v>
      </c>
      <c r="F489" s="1" t="s">
        <v>25</v>
      </c>
      <c r="G489" s="1" t="s">
        <v>36</v>
      </c>
      <c r="H489" s="1">
        <v>13220</v>
      </c>
      <c r="I489" s="1" t="s">
        <v>33</v>
      </c>
      <c r="J489" s="1">
        <v>0.3</v>
      </c>
      <c r="K489" s="1">
        <v>13000</v>
      </c>
      <c r="L489" s="2">
        <v>45303</v>
      </c>
    </row>
    <row r="490" spans="1:12" x14ac:dyDescent="0.35">
      <c r="A490" s="1" t="s">
        <v>710</v>
      </c>
      <c r="B490" s="1" t="s">
        <v>711</v>
      </c>
      <c r="C490" s="1" t="s">
        <v>14</v>
      </c>
      <c r="D490" s="1" t="s">
        <v>15</v>
      </c>
      <c r="E490" s="1" t="s">
        <v>32</v>
      </c>
      <c r="F490" s="1" t="s">
        <v>25</v>
      </c>
      <c r="G490" s="1" t="s">
        <v>26</v>
      </c>
      <c r="H490" s="1">
        <v>12896</v>
      </c>
      <c r="I490" s="1" t="s">
        <v>22</v>
      </c>
      <c r="J490" s="1">
        <v>0.1</v>
      </c>
      <c r="K490" s="1">
        <v>14000</v>
      </c>
      <c r="L490" s="2">
        <v>45325</v>
      </c>
    </row>
    <row r="491" spans="1:12" x14ac:dyDescent="0.35">
      <c r="A491" s="1" t="s">
        <v>712</v>
      </c>
      <c r="B491" s="1" t="s">
        <v>711</v>
      </c>
      <c r="C491" s="1" t="s">
        <v>30</v>
      </c>
      <c r="D491" s="1" t="s">
        <v>31</v>
      </c>
      <c r="E491" s="1" t="s">
        <v>16</v>
      </c>
      <c r="F491" s="1" t="s">
        <v>25</v>
      </c>
      <c r="G491" s="1" t="s">
        <v>18</v>
      </c>
      <c r="H491" s="1">
        <v>16395</v>
      </c>
      <c r="I491" s="1" t="s">
        <v>19</v>
      </c>
      <c r="J491" s="1">
        <v>0.2</v>
      </c>
      <c r="K491" s="1">
        <v>17000</v>
      </c>
      <c r="L491" s="2">
        <v>45350</v>
      </c>
    </row>
    <row r="492" spans="1:12" x14ac:dyDescent="0.35">
      <c r="A492" s="1" t="s">
        <v>713</v>
      </c>
      <c r="B492" s="1" t="s">
        <v>140</v>
      </c>
      <c r="C492" s="1" t="s">
        <v>30</v>
      </c>
      <c r="D492" s="1" t="s">
        <v>31</v>
      </c>
      <c r="E492" s="1" t="s">
        <v>32</v>
      </c>
      <c r="F492" s="1" t="s">
        <v>25</v>
      </c>
      <c r="G492" s="1" t="s">
        <v>18</v>
      </c>
      <c r="H492" s="1">
        <v>17402</v>
      </c>
      <c r="I492" s="1" t="s">
        <v>19</v>
      </c>
      <c r="J492" s="1">
        <v>0.2</v>
      </c>
      <c r="K492" s="1">
        <v>17000</v>
      </c>
      <c r="L492" s="2">
        <v>45341</v>
      </c>
    </row>
    <row r="493" spans="1:12" x14ac:dyDescent="0.35">
      <c r="A493" s="1" t="s">
        <v>714</v>
      </c>
      <c r="B493" s="1" t="s">
        <v>159</v>
      </c>
      <c r="C493" s="1" t="s">
        <v>30</v>
      </c>
      <c r="D493" s="1" t="s">
        <v>31</v>
      </c>
      <c r="E493" s="1" t="s">
        <v>32</v>
      </c>
      <c r="F493" s="1" t="s">
        <v>17</v>
      </c>
      <c r="G493" s="1" t="s">
        <v>26</v>
      </c>
      <c r="H493" s="1">
        <v>18858</v>
      </c>
      <c r="I493" s="1"/>
      <c r="J493" s="1"/>
      <c r="K493" s="1">
        <v>17000</v>
      </c>
      <c r="L493" s="2">
        <v>45329</v>
      </c>
    </row>
    <row r="494" spans="1:12" x14ac:dyDescent="0.35">
      <c r="A494" s="1" t="s">
        <v>715</v>
      </c>
      <c r="B494" s="1" t="s">
        <v>432</v>
      </c>
      <c r="C494" s="1" t="s">
        <v>30</v>
      </c>
      <c r="D494" s="1" t="s">
        <v>31</v>
      </c>
      <c r="E494" s="1" t="s">
        <v>46</v>
      </c>
      <c r="F494" s="1" t="s">
        <v>25</v>
      </c>
      <c r="G494" s="1" t="s">
        <v>18</v>
      </c>
      <c r="H494" s="1">
        <v>17999</v>
      </c>
      <c r="I494" s="1"/>
      <c r="J494" s="1"/>
      <c r="K494" s="1">
        <v>17000</v>
      </c>
      <c r="L494" s="2">
        <v>45342</v>
      </c>
    </row>
    <row r="495" spans="1:12" x14ac:dyDescent="0.35">
      <c r="A495" s="1" t="s">
        <v>716</v>
      </c>
      <c r="B495" s="1" t="s">
        <v>591</v>
      </c>
      <c r="C495" s="1" t="s">
        <v>30</v>
      </c>
      <c r="D495" s="1" t="s">
        <v>31</v>
      </c>
      <c r="E495" s="1" t="s">
        <v>32</v>
      </c>
      <c r="F495" s="1" t="s">
        <v>39</v>
      </c>
      <c r="G495" s="1" t="s">
        <v>26</v>
      </c>
      <c r="H495" s="1">
        <v>17840</v>
      </c>
      <c r="I495" s="1" t="s">
        <v>27</v>
      </c>
      <c r="J495" s="1"/>
      <c r="K495" s="1">
        <v>17000</v>
      </c>
      <c r="L495" s="2">
        <v>45342</v>
      </c>
    </row>
    <row r="496" spans="1:12" x14ac:dyDescent="0.35">
      <c r="A496" s="1" t="s">
        <v>717</v>
      </c>
      <c r="B496" s="1" t="s">
        <v>408</v>
      </c>
      <c r="C496" s="1" t="s">
        <v>44</v>
      </c>
      <c r="D496" s="1" t="s">
        <v>45</v>
      </c>
      <c r="E496" s="1" t="s">
        <v>46</v>
      </c>
      <c r="F496" s="1" t="s">
        <v>17</v>
      </c>
      <c r="G496" s="1" t="s">
        <v>26</v>
      </c>
      <c r="H496" s="1">
        <v>13820</v>
      </c>
      <c r="I496" s="1" t="s">
        <v>33</v>
      </c>
      <c r="J496" s="1">
        <v>0.3</v>
      </c>
      <c r="K496" s="1">
        <v>13000</v>
      </c>
      <c r="L496" s="2">
        <v>45300</v>
      </c>
    </row>
    <row r="497" spans="1:12" x14ac:dyDescent="0.35">
      <c r="A497" s="1" t="s">
        <v>718</v>
      </c>
      <c r="B497" s="1" t="s">
        <v>280</v>
      </c>
      <c r="C497" s="1" t="s">
        <v>14</v>
      </c>
      <c r="D497" s="1" t="s">
        <v>15</v>
      </c>
      <c r="E497" s="1" t="s">
        <v>16</v>
      </c>
      <c r="F497" s="1" t="s">
        <v>39</v>
      </c>
      <c r="G497" s="1" t="s">
        <v>36</v>
      </c>
      <c r="H497" s="1">
        <v>15484</v>
      </c>
      <c r="I497" s="1" t="s">
        <v>27</v>
      </c>
      <c r="J497" s="1"/>
      <c r="K497" s="1">
        <v>14000</v>
      </c>
      <c r="L497" s="2">
        <v>45294</v>
      </c>
    </row>
    <row r="498" spans="1:12" x14ac:dyDescent="0.35">
      <c r="A498" s="1" t="s">
        <v>719</v>
      </c>
      <c r="B498" s="1" t="s">
        <v>720</v>
      </c>
      <c r="C498" s="1" t="s">
        <v>30</v>
      </c>
      <c r="D498" s="1" t="s">
        <v>31</v>
      </c>
      <c r="E498" s="1" t="s">
        <v>16</v>
      </c>
      <c r="F498" s="1" t="s">
        <v>25</v>
      </c>
      <c r="G498" s="1" t="s">
        <v>26</v>
      </c>
      <c r="H498" s="1">
        <v>17316</v>
      </c>
      <c r="I498" s="1" t="s">
        <v>22</v>
      </c>
      <c r="J498" s="1">
        <v>0.1</v>
      </c>
      <c r="K498" s="1">
        <v>17000</v>
      </c>
      <c r="L498" s="2">
        <v>45351</v>
      </c>
    </row>
    <row r="499" spans="1:12" x14ac:dyDescent="0.35">
      <c r="A499" s="1" t="s">
        <v>721</v>
      </c>
      <c r="B499" s="1" t="s">
        <v>508</v>
      </c>
      <c r="C499" s="1" t="s">
        <v>30</v>
      </c>
      <c r="D499" s="1" t="s">
        <v>31</v>
      </c>
      <c r="E499" s="1" t="s">
        <v>16</v>
      </c>
      <c r="F499" s="1" t="s">
        <v>25</v>
      </c>
      <c r="G499" s="1" t="s">
        <v>18</v>
      </c>
      <c r="H499" s="1">
        <v>16420</v>
      </c>
      <c r="I499" s="1" t="s">
        <v>33</v>
      </c>
      <c r="J499" s="1">
        <v>0.3</v>
      </c>
      <c r="K499" s="1">
        <v>17000</v>
      </c>
      <c r="L499" s="2">
        <v>45302</v>
      </c>
    </row>
    <row r="500" spans="1:12" x14ac:dyDescent="0.35">
      <c r="A500" s="1" t="s">
        <v>722</v>
      </c>
      <c r="B500" s="1" t="s">
        <v>13</v>
      </c>
      <c r="C500" s="1" t="s">
        <v>30</v>
      </c>
      <c r="D500" s="1" t="s">
        <v>31</v>
      </c>
      <c r="E500" s="1" t="s">
        <v>46</v>
      </c>
      <c r="F500" s="1" t="s">
        <v>25</v>
      </c>
      <c r="G500" s="1" t="s">
        <v>36</v>
      </c>
      <c r="H500" s="1">
        <v>15858</v>
      </c>
      <c r="I500" s="1" t="s">
        <v>19</v>
      </c>
      <c r="J500" s="1">
        <v>0.2</v>
      </c>
      <c r="K500" s="1">
        <v>17000</v>
      </c>
      <c r="L500" s="2">
        <v>45336</v>
      </c>
    </row>
    <row r="501" spans="1:12" x14ac:dyDescent="0.35">
      <c r="A501" s="1" t="s">
        <v>723</v>
      </c>
      <c r="B501" s="1" t="s">
        <v>432</v>
      </c>
      <c r="C501" s="1" t="s">
        <v>30</v>
      </c>
      <c r="D501" s="1" t="s">
        <v>31</v>
      </c>
      <c r="E501" s="1" t="s">
        <v>32</v>
      </c>
      <c r="F501" s="1" t="s">
        <v>39</v>
      </c>
      <c r="G501" s="1" t="s">
        <v>18</v>
      </c>
      <c r="H501" s="1">
        <v>15197</v>
      </c>
      <c r="I501" s="1"/>
      <c r="J501" s="1"/>
      <c r="K501" s="1">
        <v>17000</v>
      </c>
      <c r="L501" s="2">
        <v>45320</v>
      </c>
    </row>
    <row r="502" spans="1:12" x14ac:dyDescent="0.35">
      <c r="A502" s="1" t="s">
        <v>724</v>
      </c>
      <c r="B502" s="1" t="s">
        <v>127</v>
      </c>
      <c r="C502" s="1" t="s">
        <v>44</v>
      </c>
      <c r="D502" s="1" t="s">
        <v>45</v>
      </c>
      <c r="E502" s="1" t="s">
        <v>46</v>
      </c>
      <c r="F502" s="1" t="s">
        <v>17</v>
      </c>
      <c r="G502" s="1" t="s">
        <v>36</v>
      </c>
      <c r="H502" s="1">
        <v>12438</v>
      </c>
      <c r="I502" s="1" t="s">
        <v>27</v>
      </c>
      <c r="J502" s="1"/>
      <c r="K502" s="1">
        <v>13000</v>
      </c>
      <c r="L502" s="2">
        <v>45316</v>
      </c>
    </row>
    <row r="503" spans="1:12" x14ac:dyDescent="0.35">
      <c r="A503" s="1" t="s">
        <v>725</v>
      </c>
      <c r="B503" s="1" t="s">
        <v>159</v>
      </c>
      <c r="C503" s="1" t="s">
        <v>61</v>
      </c>
      <c r="D503" s="1" t="s">
        <v>62</v>
      </c>
      <c r="E503" s="1" t="s">
        <v>16</v>
      </c>
      <c r="F503" s="1" t="s">
        <v>39</v>
      </c>
      <c r="G503" s="1" t="s">
        <v>26</v>
      </c>
      <c r="H503" s="1">
        <v>7923</v>
      </c>
      <c r="I503" s="1" t="s">
        <v>19</v>
      </c>
      <c r="J503" s="1">
        <v>0.2</v>
      </c>
      <c r="K503" s="1">
        <v>9000</v>
      </c>
      <c r="L503" s="2">
        <v>45320</v>
      </c>
    </row>
    <row r="504" spans="1:12" x14ac:dyDescent="0.35">
      <c r="A504" s="1" t="s">
        <v>726</v>
      </c>
      <c r="B504" s="1" t="s">
        <v>200</v>
      </c>
      <c r="C504" s="1" t="s">
        <v>14</v>
      </c>
      <c r="D504" s="1" t="s">
        <v>15</v>
      </c>
      <c r="E504" s="1" t="s">
        <v>46</v>
      </c>
      <c r="F504" s="1" t="s">
        <v>25</v>
      </c>
      <c r="G504" s="1" t="s">
        <v>36</v>
      </c>
      <c r="H504" s="1">
        <v>13069</v>
      </c>
      <c r="I504" s="1" t="s">
        <v>22</v>
      </c>
      <c r="J504" s="1">
        <v>0.1</v>
      </c>
      <c r="K504" s="1">
        <v>14000</v>
      </c>
      <c r="L504" s="2">
        <v>45296</v>
      </c>
    </row>
    <row r="505" spans="1:12" x14ac:dyDescent="0.35">
      <c r="A505" s="1" t="s">
        <v>727</v>
      </c>
      <c r="B505" s="1" t="s">
        <v>728</v>
      </c>
      <c r="C505" s="1" t="s">
        <v>61</v>
      </c>
      <c r="D505" s="1" t="s">
        <v>62</v>
      </c>
      <c r="E505" s="1" t="s">
        <v>32</v>
      </c>
      <c r="F505" s="1" t="s">
        <v>39</v>
      </c>
      <c r="G505" s="1" t="s">
        <v>18</v>
      </c>
      <c r="H505" s="1">
        <v>9240</v>
      </c>
      <c r="I505" s="1" t="s">
        <v>22</v>
      </c>
      <c r="J505" s="1">
        <v>0.1</v>
      </c>
      <c r="K505" s="1">
        <v>9000</v>
      </c>
      <c r="L505" s="2">
        <v>45313</v>
      </c>
    </row>
    <row r="506" spans="1:12" x14ac:dyDescent="0.35">
      <c r="A506" s="1" t="s">
        <v>729</v>
      </c>
      <c r="B506" s="1" t="s">
        <v>195</v>
      </c>
      <c r="C506" s="1" t="s">
        <v>61</v>
      </c>
      <c r="D506" s="1" t="s">
        <v>62</v>
      </c>
      <c r="E506" s="1" t="s">
        <v>16</v>
      </c>
      <c r="F506" s="1" t="s">
        <v>25</v>
      </c>
      <c r="G506" s="1" t="s">
        <v>36</v>
      </c>
      <c r="H506" s="1">
        <v>10860</v>
      </c>
      <c r="I506" s="1" t="s">
        <v>19</v>
      </c>
      <c r="J506" s="1">
        <v>0.2</v>
      </c>
      <c r="K506" s="1">
        <v>9000</v>
      </c>
      <c r="L506" s="2">
        <v>45330</v>
      </c>
    </row>
    <row r="507" spans="1:12" x14ac:dyDescent="0.35">
      <c r="A507" s="1" t="s">
        <v>730</v>
      </c>
      <c r="B507" s="1" t="s">
        <v>137</v>
      </c>
      <c r="C507" s="1" t="s">
        <v>44</v>
      </c>
      <c r="D507" s="1" t="s">
        <v>45</v>
      </c>
      <c r="E507" s="1" t="s">
        <v>32</v>
      </c>
      <c r="F507" s="1" t="s">
        <v>25</v>
      </c>
      <c r="G507" s="1" t="s">
        <v>36</v>
      </c>
      <c r="H507" s="1">
        <v>11841</v>
      </c>
      <c r="I507" s="1" t="s">
        <v>19</v>
      </c>
      <c r="J507" s="1">
        <v>0.2</v>
      </c>
      <c r="K507" s="1">
        <v>13000</v>
      </c>
      <c r="L507" s="2">
        <v>45318</v>
      </c>
    </row>
    <row r="508" spans="1:12" x14ac:dyDescent="0.35">
      <c r="A508" s="1" t="s">
        <v>731</v>
      </c>
      <c r="B508" s="1" t="s">
        <v>103</v>
      </c>
      <c r="C508" s="1" t="s">
        <v>30</v>
      </c>
      <c r="D508" s="1" t="s">
        <v>31</v>
      </c>
      <c r="E508" s="1" t="s">
        <v>16</v>
      </c>
      <c r="F508" s="1" t="s">
        <v>17</v>
      </c>
      <c r="G508" s="1" t="s">
        <v>36</v>
      </c>
      <c r="H508" s="1">
        <v>15972</v>
      </c>
      <c r="I508" s="1" t="s">
        <v>22</v>
      </c>
      <c r="J508" s="1">
        <v>0.1</v>
      </c>
      <c r="K508" s="1">
        <v>17000</v>
      </c>
      <c r="L508" s="2">
        <v>45295</v>
      </c>
    </row>
    <row r="509" spans="1:12" x14ac:dyDescent="0.35">
      <c r="A509" s="1" t="s">
        <v>732</v>
      </c>
      <c r="B509" s="1" t="s">
        <v>617</v>
      </c>
      <c r="C509" s="1" t="s">
        <v>61</v>
      </c>
      <c r="D509" s="1" t="s">
        <v>62</v>
      </c>
      <c r="E509" s="1" t="s">
        <v>32</v>
      </c>
      <c r="F509" s="1" t="s">
        <v>25</v>
      </c>
      <c r="G509" s="1" t="s">
        <v>36</v>
      </c>
      <c r="H509" s="1">
        <v>7015</v>
      </c>
      <c r="I509" s="1"/>
      <c r="J509" s="1"/>
      <c r="K509" s="1">
        <v>9000</v>
      </c>
      <c r="L509" s="2">
        <v>45297</v>
      </c>
    </row>
    <row r="510" spans="1:12" x14ac:dyDescent="0.35">
      <c r="A510" s="1" t="s">
        <v>733</v>
      </c>
      <c r="B510" s="1" t="s">
        <v>142</v>
      </c>
      <c r="C510" s="1" t="s">
        <v>61</v>
      </c>
      <c r="D510" s="1" t="s">
        <v>62</v>
      </c>
      <c r="E510" s="1" t="s">
        <v>32</v>
      </c>
      <c r="F510" s="1" t="s">
        <v>25</v>
      </c>
      <c r="G510" s="1" t="s">
        <v>18</v>
      </c>
      <c r="H510" s="1">
        <v>7847</v>
      </c>
      <c r="I510" s="1" t="s">
        <v>19</v>
      </c>
      <c r="J510" s="1">
        <v>0.2</v>
      </c>
      <c r="K510" s="1">
        <v>9000</v>
      </c>
      <c r="L510" s="2">
        <v>45332</v>
      </c>
    </row>
    <row r="511" spans="1:12" x14ac:dyDescent="0.35">
      <c r="A511" s="1" t="s">
        <v>734</v>
      </c>
      <c r="B511" s="1" t="s">
        <v>222</v>
      </c>
      <c r="C511" s="1" t="s">
        <v>61</v>
      </c>
      <c r="D511" s="1" t="s">
        <v>62</v>
      </c>
      <c r="E511" s="1" t="s">
        <v>32</v>
      </c>
      <c r="F511" s="1" t="s">
        <v>17</v>
      </c>
      <c r="G511" s="1" t="s">
        <v>36</v>
      </c>
      <c r="H511" s="1">
        <v>8928</v>
      </c>
      <c r="I511" s="1"/>
      <c r="J511" s="1"/>
      <c r="K511" s="1">
        <v>9000</v>
      </c>
      <c r="L511" s="2">
        <v>45349</v>
      </c>
    </row>
    <row r="512" spans="1:12" x14ac:dyDescent="0.35">
      <c r="A512" s="1" t="s">
        <v>735</v>
      </c>
      <c r="B512" s="1" t="s">
        <v>278</v>
      </c>
      <c r="C512" s="1" t="s">
        <v>14</v>
      </c>
      <c r="D512" s="1" t="s">
        <v>15</v>
      </c>
      <c r="E512" s="1" t="s">
        <v>16</v>
      </c>
      <c r="F512" s="1" t="s">
        <v>39</v>
      </c>
      <c r="G512" s="1" t="s">
        <v>36</v>
      </c>
      <c r="H512" s="1">
        <v>12757</v>
      </c>
      <c r="I512" s="1" t="s">
        <v>33</v>
      </c>
      <c r="J512" s="1">
        <v>0.3</v>
      </c>
      <c r="K512" s="1">
        <v>14000</v>
      </c>
      <c r="L512" s="2">
        <v>45348</v>
      </c>
    </row>
    <row r="513" spans="1:12" x14ac:dyDescent="0.35">
      <c r="A513" s="1" t="s">
        <v>736</v>
      </c>
      <c r="B513" s="1" t="s">
        <v>474</v>
      </c>
      <c r="C513" s="1" t="s">
        <v>44</v>
      </c>
      <c r="D513" s="1" t="s">
        <v>45</v>
      </c>
      <c r="E513" s="1" t="s">
        <v>46</v>
      </c>
      <c r="F513" s="1" t="s">
        <v>25</v>
      </c>
      <c r="G513" s="1" t="s">
        <v>36</v>
      </c>
      <c r="H513" s="1">
        <v>12801</v>
      </c>
      <c r="I513" s="1"/>
      <c r="J513" s="1"/>
      <c r="K513" s="1">
        <v>13000</v>
      </c>
      <c r="L513" s="2">
        <v>45308</v>
      </c>
    </row>
    <row r="514" spans="1:12" x14ac:dyDescent="0.35">
      <c r="A514" s="1" t="s">
        <v>737</v>
      </c>
      <c r="B514" s="1" t="s">
        <v>171</v>
      </c>
      <c r="C514" s="1" t="s">
        <v>30</v>
      </c>
      <c r="D514" s="1" t="s">
        <v>31</v>
      </c>
      <c r="E514" s="1" t="s">
        <v>16</v>
      </c>
      <c r="F514" s="1" t="s">
        <v>25</v>
      </c>
      <c r="G514" s="1" t="s">
        <v>18</v>
      </c>
      <c r="H514" s="1">
        <v>18081</v>
      </c>
      <c r="I514" s="1" t="s">
        <v>22</v>
      </c>
      <c r="J514" s="1">
        <v>0.1</v>
      </c>
      <c r="K514" s="1">
        <v>17000</v>
      </c>
      <c r="L514" s="2">
        <v>45297</v>
      </c>
    </row>
    <row r="515" spans="1:12" x14ac:dyDescent="0.35">
      <c r="A515" s="1" t="s">
        <v>738</v>
      </c>
      <c r="B515" s="1" t="s">
        <v>317</v>
      </c>
      <c r="C515" s="1" t="s">
        <v>61</v>
      </c>
      <c r="D515" s="1" t="s">
        <v>62</v>
      </c>
      <c r="E515" s="1" t="s">
        <v>16</v>
      </c>
      <c r="F515" s="1" t="s">
        <v>25</v>
      </c>
      <c r="G515" s="1" t="s">
        <v>26</v>
      </c>
      <c r="H515" s="1">
        <v>7249</v>
      </c>
      <c r="I515" s="1"/>
      <c r="J515" s="1"/>
      <c r="K515" s="1">
        <v>9000</v>
      </c>
      <c r="L515" s="2">
        <v>45344</v>
      </c>
    </row>
    <row r="516" spans="1:12" x14ac:dyDescent="0.35">
      <c r="A516" s="1" t="s">
        <v>739</v>
      </c>
      <c r="B516" s="1" t="s">
        <v>388</v>
      </c>
      <c r="C516" s="1" t="s">
        <v>61</v>
      </c>
      <c r="D516" s="1" t="s">
        <v>62</v>
      </c>
      <c r="E516" s="1" t="s">
        <v>16</v>
      </c>
      <c r="F516" s="1" t="s">
        <v>25</v>
      </c>
      <c r="G516" s="1" t="s">
        <v>36</v>
      </c>
      <c r="H516" s="1">
        <v>8224</v>
      </c>
      <c r="I516" s="1" t="s">
        <v>22</v>
      </c>
      <c r="J516" s="1">
        <v>0.1</v>
      </c>
      <c r="K516" s="1">
        <v>9000</v>
      </c>
      <c r="L516" s="2">
        <v>45317</v>
      </c>
    </row>
    <row r="517" spans="1:12" x14ac:dyDescent="0.35">
      <c r="A517" s="1" t="s">
        <v>740</v>
      </c>
      <c r="B517" s="1" t="s">
        <v>454</v>
      </c>
      <c r="C517" s="1" t="s">
        <v>14</v>
      </c>
      <c r="D517" s="1" t="s">
        <v>15</v>
      </c>
      <c r="E517" s="1" t="s">
        <v>16</v>
      </c>
      <c r="F517" s="1" t="s">
        <v>39</v>
      </c>
      <c r="G517" s="1" t="s">
        <v>26</v>
      </c>
      <c r="H517" s="1">
        <v>15278</v>
      </c>
      <c r="I517" s="1" t="s">
        <v>27</v>
      </c>
      <c r="J517" s="1"/>
      <c r="K517" s="1">
        <v>14000</v>
      </c>
      <c r="L517" s="2">
        <v>45335</v>
      </c>
    </row>
    <row r="518" spans="1:12" x14ac:dyDescent="0.35">
      <c r="A518" s="1" t="s">
        <v>741</v>
      </c>
      <c r="B518" s="1" t="s">
        <v>373</v>
      </c>
      <c r="C518" s="1" t="s">
        <v>14</v>
      </c>
      <c r="D518" s="1" t="s">
        <v>15</v>
      </c>
      <c r="E518" s="1" t="s">
        <v>46</v>
      </c>
      <c r="F518" s="1" t="s">
        <v>25</v>
      </c>
      <c r="G518" s="1" t="s">
        <v>18</v>
      </c>
      <c r="H518" s="1">
        <v>15981</v>
      </c>
      <c r="I518" s="1" t="s">
        <v>19</v>
      </c>
      <c r="J518" s="1">
        <v>0.2</v>
      </c>
      <c r="K518" s="1">
        <v>14000</v>
      </c>
      <c r="L518" s="2">
        <v>45343</v>
      </c>
    </row>
    <row r="519" spans="1:12" x14ac:dyDescent="0.35">
      <c r="A519" s="1" t="s">
        <v>742</v>
      </c>
      <c r="B519" s="1" t="s">
        <v>235</v>
      </c>
      <c r="C519" s="1" t="s">
        <v>14</v>
      </c>
      <c r="D519" s="1" t="s">
        <v>15</v>
      </c>
      <c r="E519" s="1" t="s">
        <v>46</v>
      </c>
      <c r="F519" s="1" t="s">
        <v>25</v>
      </c>
      <c r="G519" s="1" t="s">
        <v>26</v>
      </c>
      <c r="H519" s="1">
        <v>13783</v>
      </c>
      <c r="I519" s="1" t="s">
        <v>19</v>
      </c>
      <c r="J519" s="1">
        <v>0.2</v>
      </c>
      <c r="K519" s="1">
        <v>14000</v>
      </c>
      <c r="L519" s="2">
        <v>45344</v>
      </c>
    </row>
    <row r="520" spans="1:12" x14ac:dyDescent="0.35">
      <c r="A520" s="1" t="s">
        <v>743</v>
      </c>
      <c r="B520" s="1" t="s">
        <v>422</v>
      </c>
      <c r="C520" s="1" t="s">
        <v>30</v>
      </c>
      <c r="D520" s="1" t="s">
        <v>31</v>
      </c>
      <c r="E520" s="1" t="s">
        <v>46</v>
      </c>
      <c r="F520" s="1" t="s">
        <v>39</v>
      </c>
      <c r="G520" s="1" t="s">
        <v>18</v>
      </c>
      <c r="H520" s="1">
        <v>15356</v>
      </c>
      <c r="I520" s="1"/>
      <c r="J520" s="1"/>
      <c r="K520" s="1">
        <v>17000</v>
      </c>
      <c r="L520" s="2">
        <v>45327</v>
      </c>
    </row>
    <row r="521" spans="1:12" x14ac:dyDescent="0.35">
      <c r="A521" s="1" t="s">
        <v>744</v>
      </c>
      <c r="B521" s="1" t="s">
        <v>512</v>
      </c>
      <c r="C521" s="1" t="s">
        <v>30</v>
      </c>
      <c r="D521" s="1" t="s">
        <v>31</v>
      </c>
      <c r="E521" s="1" t="s">
        <v>46</v>
      </c>
      <c r="F521" s="1" t="s">
        <v>39</v>
      </c>
      <c r="G521" s="1" t="s">
        <v>36</v>
      </c>
      <c r="H521" s="1">
        <v>18756</v>
      </c>
      <c r="I521" s="1" t="s">
        <v>22</v>
      </c>
      <c r="J521" s="1">
        <v>0.1</v>
      </c>
      <c r="K521" s="1">
        <v>17000</v>
      </c>
      <c r="L521" s="2">
        <v>45342</v>
      </c>
    </row>
    <row r="522" spans="1:12" x14ac:dyDescent="0.35">
      <c r="A522" s="1" t="s">
        <v>745</v>
      </c>
      <c r="B522" s="1" t="s">
        <v>672</v>
      </c>
      <c r="C522" s="1" t="s">
        <v>61</v>
      </c>
      <c r="D522" s="1" t="s">
        <v>62</v>
      </c>
      <c r="E522" s="1" t="s">
        <v>32</v>
      </c>
      <c r="F522" s="1" t="s">
        <v>17</v>
      </c>
      <c r="G522" s="1" t="s">
        <v>18</v>
      </c>
      <c r="H522" s="1">
        <v>7607</v>
      </c>
      <c r="I522" s="1" t="s">
        <v>27</v>
      </c>
      <c r="J522" s="1"/>
      <c r="K522" s="1">
        <v>9000</v>
      </c>
      <c r="L522" s="2">
        <v>45329</v>
      </c>
    </row>
    <row r="523" spans="1:12" x14ac:dyDescent="0.35">
      <c r="A523" s="1" t="s">
        <v>746</v>
      </c>
      <c r="B523" s="1" t="s">
        <v>579</v>
      </c>
      <c r="C523" s="1" t="s">
        <v>14</v>
      </c>
      <c r="D523" s="1" t="s">
        <v>15</v>
      </c>
      <c r="E523" s="1" t="s">
        <v>32</v>
      </c>
      <c r="F523" s="1" t="s">
        <v>39</v>
      </c>
      <c r="G523" s="1" t="s">
        <v>18</v>
      </c>
      <c r="H523" s="1">
        <v>15218</v>
      </c>
      <c r="I523" s="1" t="s">
        <v>33</v>
      </c>
      <c r="J523" s="1">
        <v>0.3</v>
      </c>
      <c r="K523" s="1">
        <v>14000</v>
      </c>
      <c r="L523" s="2">
        <v>45347</v>
      </c>
    </row>
    <row r="524" spans="1:12" x14ac:dyDescent="0.35">
      <c r="A524" s="1" t="s">
        <v>747</v>
      </c>
      <c r="B524" s="1" t="s">
        <v>217</v>
      </c>
      <c r="C524" s="1" t="s">
        <v>61</v>
      </c>
      <c r="D524" s="1" t="s">
        <v>62</v>
      </c>
      <c r="E524" s="1" t="s">
        <v>46</v>
      </c>
      <c r="F524" s="1" t="s">
        <v>17</v>
      </c>
      <c r="G524" s="1" t="s">
        <v>26</v>
      </c>
      <c r="H524" s="1">
        <v>8988</v>
      </c>
      <c r="I524" s="1" t="s">
        <v>27</v>
      </c>
      <c r="J524" s="1"/>
      <c r="K524" s="1">
        <v>9000</v>
      </c>
      <c r="L524" s="2">
        <v>45330</v>
      </c>
    </row>
    <row r="525" spans="1:12" x14ac:dyDescent="0.35">
      <c r="A525" s="1" t="s">
        <v>748</v>
      </c>
      <c r="B525" s="1" t="s">
        <v>711</v>
      </c>
      <c r="C525" s="1" t="s">
        <v>44</v>
      </c>
      <c r="D525" s="1" t="s">
        <v>45</v>
      </c>
      <c r="E525" s="1" t="s">
        <v>46</v>
      </c>
      <c r="F525" s="1" t="s">
        <v>17</v>
      </c>
      <c r="G525" s="1" t="s">
        <v>18</v>
      </c>
      <c r="H525" s="1">
        <v>13532</v>
      </c>
      <c r="I525" s="1" t="s">
        <v>27</v>
      </c>
      <c r="J525" s="1"/>
      <c r="K525" s="1">
        <v>13000</v>
      </c>
      <c r="L525" s="2">
        <v>45335</v>
      </c>
    </row>
    <row r="526" spans="1:12" x14ac:dyDescent="0.35">
      <c r="A526" s="1" t="s">
        <v>749</v>
      </c>
      <c r="B526" s="1" t="s">
        <v>127</v>
      </c>
      <c r="C526" s="1" t="s">
        <v>14</v>
      </c>
      <c r="D526" s="1" t="s">
        <v>15</v>
      </c>
      <c r="E526" s="1" t="s">
        <v>46</v>
      </c>
      <c r="F526" s="1" t="s">
        <v>17</v>
      </c>
      <c r="G526" s="1" t="s">
        <v>26</v>
      </c>
      <c r="H526" s="1">
        <v>12973</v>
      </c>
      <c r="I526" s="1" t="s">
        <v>22</v>
      </c>
      <c r="J526" s="1">
        <v>0.1</v>
      </c>
      <c r="K526" s="1">
        <v>14000</v>
      </c>
      <c r="L526" s="2">
        <v>45339</v>
      </c>
    </row>
    <row r="527" spans="1:12" x14ac:dyDescent="0.35">
      <c r="A527" s="1" t="s">
        <v>750</v>
      </c>
      <c r="B527" s="1" t="s">
        <v>123</v>
      </c>
      <c r="C527" s="1" t="s">
        <v>30</v>
      </c>
      <c r="D527" s="1" t="s">
        <v>31</v>
      </c>
      <c r="E527" s="1" t="s">
        <v>32</v>
      </c>
      <c r="F527" s="1" t="s">
        <v>17</v>
      </c>
      <c r="G527" s="1" t="s">
        <v>36</v>
      </c>
      <c r="H527" s="1">
        <v>16273</v>
      </c>
      <c r="I527" s="1" t="s">
        <v>33</v>
      </c>
      <c r="J527" s="1">
        <v>0.3</v>
      </c>
      <c r="K527" s="1">
        <v>17000</v>
      </c>
      <c r="L527" s="2">
        <v>45345</v>
      </c>
    </row>
    <row r="528" spans="1:12" x14ac:dyDescent="0.35">
      <c r="A528" s="1" t="s">
        <v>751</v>
      </c>
      <c r="B528" s="1" t="s">
        <v>752</v>
      </c>
      <c r="C528" s="1" t="s">
        <v>14</v>
      </c>
      <c r="D528" s="1" t="s">
        <v>15</v>
      </c>
      <c r="E528" s="1" t="s">
        <v>32</v>
      </c>
      <c r="F528" s="1" t="s">
        <v>25</v>
      </c>
      <c r="G528" s="1" t="s">
        <v>36</v>
      </c>
      <c r="H528" s="1">
        <v>15990</v>
      </c>
      <c r="I528" s="1"/>
      <c r="J528" s="1"/>
      <c r="K528" s="1">
        <v>14000</v>
      </c>
      <c r="L528" s="2">
        <v>45341</v>
      </c>
    </row>
    <row r="529" spans="1:12" x14ac:dyDescent="0.35">
      <c r="A529" s="1" t="s">
        <v>753</v>
      </c>
      <c r="B529" s="1" t="s">
        <v>303</v>
      </c>
      <c r="C529" s="1" t="s">
        <v>30</v>
      </c>
      <c r="D529" s="1" t="s">
        <v>31</v>
      </c>
      <c r="E529" s="1" t="s">
        <v>16</v>
      </c>
      <c r="F529" s="1" t="s">
        <v>17</v>
      </c>
      <c r="G529" s="1" t="s">
        <v>26</v>
      </c>
      <c r="H529" s="1">
        <v>17644</v>
      </c>
      <c r="I529" s="1" t="s">
        <v>22</v>
      </c>
      <c r="J529" s="1">
        <v>0.1</v>
      </c>
      <c r="K529" s="1">
        <v>17000</v>
      </c>
      <c r="L529" s="2">
        <v>45304</v>
      </c>
    </row>
    <row r="530" spans="1:12" x14ac:dyDescent="0.35">
      <c r="A530" s="1" t="s">
        <v>754</v>
      </c>
      <c r="B530" s="1" t="s">
        <v>211</v>
      </c>
      <c r="C530" s="1" t="s">
        <v>61</v>
      </c>
      <c r="D530" s="1" t="s">
        <v>62</v>
      </c>
      <c r="E530" s="1" t="s">
        <v>16</v>
      </c>
      <c r="F530" s="1" t="s">
        <v>17</v>
      </c>
      <c r="G530" s="1" t="s">
        <v>26</v>
      </c>
      <c r="H530" s="1">
        <v>10552</v>
      </c>
      <c r="I530" s="1" t="s">
        <v>33</v>
      </c>
      <c r="J530" s="1">
        <v>0.3</v>
      </c>
      <c r="K530" s="1">
        <v>9000</v>
      </c>
      <c r="L530" s="2">
        <v>45344</v>
      </c>
    </row>
    <row r="531" spans="1:12" x14ac:dyDescent="0.35">
      <c r="A531" s="1" t="s">
        <v>755</v>
      </c>
      <c r="B531" s="1" t="s">
        <v>166</v>
      </c>
      <c r="C531" s="1" t="s">
        <v>44</v>
      </c>
      <c r="D531" s="1" t="s">
        <v>45</v>
      </c>
      <c r="E531" s="1" t="s">
        <v>32</v>
      </c>
      <c r="F531" s="1" t="s">
        <v>17</v>
      </c>
      <c r="G531" s="1" t="s">
        <v>26</v>
      </c>
      <c r="H531" s="1">
        <v>13075</v>
      </c>
      <c r="I531" s="1"/>
      <c r="J531" s="1"/>
      <c r="K531" s="1">
        <v>13000</v>
      </c>
      <c r="L531" s="2">
        <v>45300</v>
      </c>
    </row>
    <row r="532" spans="1:12" x14ac:dyDescent="0.35">
      <c r="A532" s="1" t="s">
        <v>756</v>
      </c>
      <c r="B532" s="1" t="s">
        <v>140</v>
      </c>
      <c r="C532" s="1" t="s">
        <v>14</v>
      </c>
      <c r="D532" s="1" t="s">
        <v>15</v>
      </c>
      <c r="E532" s="1" t="s">
        <v>32</v>
      </c>
      <c r="F532" s="1" t="s">
        <v>25</v>
      </c>
      <c r="G532" s="1" t="s">
        <v>18</v>
      </c>
      <c r="H532" s="1">
        <v>15428</v>
      </c>
      <c r="I532" s="1" t="s">
        <v>22</v>
      </c>
      <c r="J532" s="1">
        <v>0.1</v>
      </c>
      <c r="K532" s="1">
        <v>14000</v>
      </c>
      <c r="L532" s="2">
        <v>45307</v>
      </c>
    </row>
    <row r="533" spans="1:12" x14ac:dyDescent="0.35">
      <c r="A533" s="1" t="s">
        <v>757</v>
      </c>
      <c r="B533" s="1" t="s">
        <v>489</v>
      </c>
      <c r="C533" s="1" t="s">
        <v>14</v>
      </c>
      <c r="D533" s="1" t="s">
        <v>15</v>
      </c>
      <c r="E533" s="1" t="s">
        <v>46</v>
      </c>
      <c r="F533" s="1" t="s">
        <v>39</v>
      </c>
      <c r="G533" s="1" t="s">
        <v>18</v>
      </c>
      <c r="H533" s="1">
        <v>13122</v>
      </c>
      <c r="I533" s="1" t="s">
        <v>33</v>
      </c>
      <c r="J533" s="1">
        <v>0.3</v>
      </c>
      <c r="K533" s="1">
        <v>14000</v>
      </c>
      <c r="L533" s="2">
        <v>45344</v>
      </c>
    </row>
    <row r="534" spans="1:12" x14ac:dyDescent="0.35">
      <c r="A534" s="1" t="s">
        <v>758</v>
      </c>
      <c r="B534" s="1" t="s">
        <v>330</v>
      </c>
      <c r="C534" s="1" t="s">
        <v>61</v>
      </c>
      <c r="D534" s="1" t="s">
        <v>62</v>
      </c>
      <c r="E534" s="1" t="s">
        <v>16</v>
      </c>
      <c r="F534" s="1" t="s">
        <v>25</v>
      </c>
      <c r="G534" s="1" t="s">
        <v>26</v>
      </c>
      <c r="H534" s="1">
        <v>7125</v>
      </c>
      <c r="I534" s="1" t="s">
        <v>19</v>
      </c>
      <c r="J534" s="1">
        <v>0.2</v>
      </c>
      <c r="K534" s="1">
        <v>9000</v>
      </c>
      <c r="L534" s="2">
        <v>45315</v>
      </c>
    </row>
    <row r="535" spans="1:12" x14ac:dyDescent="0.35">
      <c r="A535" s="1" t="s">
        <v>759</v>
      </c>
      <c r="B535" s="1" t="s">
        <v>600</v>
      </c>
      <c r="C535" s="1" t="s">
        <v>61</v>
      </c>
      <c r="D535" s="1" t="s">
        <v>62</v>
      </c>
      <c r="E535" s="1" t="s">
        <v>32</v>
      </c>
      <c r="F535" s="1" t="s">
        <v>17</v>
      </c>
      <c r="G535" s="1" t="s">
        <v>26</v>
      </c>
      <c r="H535" s="1">
        <v>9258</v>
      </c>
      <c r="I535" s="1" t="s">
        <v>33</v>
      </c>
      <c r="J535" s="1">
        <v>0.3</v>
      </c>
      <c r="K535" s="1">
        <v>9000</v>
      </c>
      <c r="L535" s="2">
        <v>45314</v>
      </c>
    </row>
    <row r="536" spans="1:12" x14ac:dyDescent="0.35">
      <c r="A536" s="1" t="s">
        <v>760</v>
      </c>
      <c r="B536" s="1" t="s">
        <v>619</v>
      </c>
      <c r="C536" s="1" t="s">
        <v>30</v>
      </c>
      <c r="D536" s="1" t="s">
        <v>31</v>
      </c>
      <c r="E536" s="1" t="s">
        <v>16</v>
      </c>
      <c r="F536" s="1" t="s">
        <v>39</v>
      </c>
      <c r="G536" s="1" t="s">
        <v>18</v>
      </c>
      <c r="H536" s="1">
        <v>16167</v>
      </c>
      <c r="I536" s="1" t="s">
        <v>22</v>
      </c>
      <c r="J536" s="1">
        <v>0.1</v>
      </c>
      <c r="K536" s="1">
        <v>17000</v>
      </c>
      <c r="L536" s="2">
        <v>45316</v>
      </c>
    </row>
    <row r="537" spans="1:12" x14ac:dyDescent="0.35">
      <c r="A537" s="1" t="s">
        <v>761</v>
      </c>
      <c r="B537" s="1" t="s">
        <v>243</v>
      </c>
      <c r="C537" s="1" t="s">
        <v>44</v>
      </c>
      <c r="D537" s="1" t="s">
        <v>45</v>
      </c>
      <c r="E537" s="1" t="s">
        <v>32</v>
      </c>
      <c r="F537" s="1" t="s">
        <v>39</v>
      </c>
      <c r="G537" s="1" t="s">
        <v>18</v>
      </c>
      <c r="H537" s="1">
        <v>13775</v>
      </c>
      <c r="I537" s="1" t="s">
        <v>19</v>
      </c>
      <c r="J537" s="1">
        <v>0.2</v>
      </c>
      <c r="K537" s="1">
        <v>13000</v>
      </c>
      <c r="L537" s="2">
        <v>45309</v>
      </c>
    </row>
    <row r="538" spans="1:12" x14ac:dyDescent="0.35">
      <c r="A538" s="1" t="s">
        <v>762</v>
      </c>
      <c r="B538" s="1" t="s">
        <v>90</v>
      </c>
      <c r="C538" s="1" t="s">
        <v>14</v>
      </c>
      <c r="D538" s="1" t="s">
        <v>15</v>
      </c>
      <c r="E538" s="1" t="s">
        <v>16</v>
      </c>
      <c r="F538" s="1" t="s">
        <v>25</v>
      </c>
      <c r="G538" s="1" t="s">
        <v>36</v>
      </c>
      <c r="H538" s="1">
        <v>15733</v>
      </c>
      <c r="I538" s="1" t="s">
        <v>19</v>
      </c>
      <c r="J538" s="1">
        <v>0.2</v>
      </c>
      <c r="K538" s="1">
        <v>14000</v>
      </c>
      <c r="L538" s="2">
        <v>45333</v>
      </c>
    </row>
    <row r="539" spans="1:12" x14ac:dyDescent="0.35">
      <c r="A539" s="1" t="s">
        <v>763</v>
      </c>
      <c r="B539" s="1" t="s">
        <v>720</v>
      </c>
      <c r="C539" s="1" t="s">
        <v>14</v>
      </c>
      <c r="D539" s="1" t="s">
        <v>15</v>
      </c>
      <c r="E539" s="1" t="s">
        <v>32</v>
      </c>
      <c r="F539" s="1" t="s">
        <v>17</v>
      </c>
      <c r="G539" s="1" t="s">
        <v>26</v>
      </c>
      <c r="H539" s="1">
        <v>15297</v>
      </c>
      <c r="I539" s="1" t="s">
        <v>33</v>
      </c>
      <c r="J539" s="1">
        <v>0.3</v>
      </c>
      <c r="K539" s="1">
        <v>14000</v>
      </c>
      <c r="L539" s="2">
        <v>45337</v>
      </c>
    </row>
    <row r="540" spans="1:12" x14ac:dyDescent="0.35">
      <c r="A540" s="1" t="s">
        <v>764</v>
      </c>
      <c r="B540" s="1" t="s">
        <v>765</v>
      </c>
      <c r="C540" s="1" t="s">
        <v>30</v>
      </c>
      <c r="D540" s="1" t="s">
        <v>31</v>
      </c>
      <c r="E540" s="1" t="s">
        <v>46</v>
      </c>
      <c r="F540" s="1" t="s">
        <v>17</v>
      </c>
      <c r="G540" s="1" t="s">
        <v>36</v>
      </c>
      <c r="H540" s="1">
        <v>16880</v>
      </c>
      <c r="I540" s="1" t="s">
        <v>33</v>
      </c>
      <c r="J540" s="1">
        <v>0.3</v>
      </c>
      <c r="K540" s="1">
        <v>17000</v>
      </c>
      <c r="L540" s="2">
        <v>45305</v>
      </c>
    </row>
    <row r="541" spans="1:12" x14ac:dyDescent="0.35">
      <c r="A541" s="1" t="s">
        <v>766</v>
      </c>
      <c r="B541" s="1" t="s">
        <v>123</v>
      </c>
      <c r="C541" s="1" t="s">
        <v>61</v>
      </c>
      <c r="D541" s="1" t="s">
        <v>62</v>
      </c>
      <c r="E541" s="1" t="s">
        <v>16</v>
      </c>
      <c r="F541" s="1" t="s">
        <v>25</v>
      </c>
      <c r="G541" s="1" t="s">
        <v>18</v>
      </c>
      <c r="H541" s="1">
        <v>9095</v>
      </c>
      <c r="I541" s="1" t="s">
        <v>33</v>
      </c>
      <c r="J541" s="1">
        <v>0.3</v>
      </c>
      <c r="K541" s="1">
        <v>9000</v>
      </c>
      <c r="L541" s="2">
        <v>45327</v>
      </c>
    </row>
    <row r="542" spans="1:12" x14ac:dyDescent="0.35">
      <c r="A542" s="1" t="s">
        <v>767</v>
      </c>
      <c r="B542" s="1" t="s">
        <v>163</v>
      </c>
      <c r="C542" s="1" t="s">
        <v>30</v>
      </c>
      <c r="D542" s="1" t="s">
        <v>31</v>
      </c>
      <c r="E542" s="1" t="s">
        <v>46</v>
      </c>
      <c r="F542" s="1" t="s">
        <v>39</v>
      </c>
      <c r="G542" s="1" t="s">
        <v>18</v>
      </c>
      <c r="H542" s="1">
        <v>16973</v>
      </c>
      <c r="I542" s="1" t="s">
        <v>22</v>
      </c>
      <c r="J542" s="1">
        <v>0.1</v>
      </c>
      <c r="K542" s="1">
        <v>17000</v>
      </c>
      <c r="L542" s="2">
        <v>45313</v>
      </c>
    </row>
    <row r="543" spans="1:12" x14ac:dyDescent="0.35">
      <c r="A543" s="1" t="s">
        <v>768</v>
      </c>
      <c r="B543" s="1" t="s">
        <v>286</v>
      </c>
      <c r="C543" s="1" t="s">
        <v>30</v>
      </c>
      <c r="D543" s="1" t="s">
        <v>31</v>
      </c>
      <c r="E543" s="1" t="s">
        <v>46</v>
      </c>
      <c r="F543" s="1" t="s">
        <v>17</v>
      </c>
      <c r="G543" s="1" t="s">
        <v>26</v>
      </c>
      <c r="H543" s="1">
        <v>17912</v>
      </c>
      <c r="I543" s="1" t="s">
        <v>33</v>
      </c>
      <c r="J543" s="1">
        <v>0.3</v>
      </c>
      <c r="K543" s="1">
        <v>17000</v>
      </c>
      <c r="L543" s="2">
        <v>45304</v>
      </c>
    </row>
    <row r="544" spans="1:12" x14ac:dyDescent="0.35">
      <c r="A544" s="1" t="s">
        <v>769</v>
      </c>
      <c r="B544" s="1" t="s">
        <v>440</v>
      </c>
      <c r="C544" s="1" t="s">
        <v>44</v>
      </c>
      <c r="D544" s="1" t="s">
        <v>45</v>
      </c>
      <c r="E544" s="1" t="s">
        <v>32</v>
      </c>
      <c r="F544" s="1" t="s">
        <v>39</v>
      </c>
      <c r="G544" s="1" t="s">
        <v>36</v>
      </c>
      <c r="H544" s="1">
        <v>13705</v>
      </c>
      <c r="I544" s="1" t="s">
        <v>33</v>
      </c>
      <c r="J544" s="1">
        <v>0.3</v>
      </c>
      <c r="K544" s="1">
        <v>13000</v>
      </c>
      <c r="L544" s="2">
        <v>45335</v>
      </c>
    </row>
    <row r="545" spans="1:12" x14ac:dyDescent="0.35">
      <c r="A545" s="1" t="s">
        <v>770</v>
      </c>
      <c r="B545" s="1" t="s">
        <v>280</v>
      </c>
      <c r="C545" s="1" t="s">
        <v>14</v>
      </c>
      <c r="D545" s="1" t="s">
        <v>15</v>
      </c>
      <c r="E545" s="1" t="s">
        <v>16</v>
      </c>
      <c r="F545" s="1" t="s">
        <v>17</v>
      </c>
      <c r="G545" s="1" t="s">
        <v>36</v>
      </c>
      <c r="H545" s="1">
        <v>13062</v>
      </c>
      <c r="I545" s="1"/>
      <c r="J545" s="1"/>
      <c r="K545" s="1">
        <v>14000</v>
      </c>
      <c r="L545" s="2">
        <v>45317</v>
      </c>
    </row>
    <row r="546" spans="1:12" x14ac:dyDescent="0.35">
      <c r="A546" s="1" t="s">
        <v>771</v>
      </c>
      <c r="B546" s="1" t="s">
        <v>101</v>
      </c>
      <c r="C546" s="1" t="s">
        <v>14</v>
      </c>
      <c r="D546" s="1" t="s">
        <v>15</v>
      </c>
      <c r="E546" s="1" t="s">
        <v>16</v>
      </c>
      <c r="F546" s="1" t="s">
        <v>39</v>
      </c>
      <c r="G546" s="1" t="s">
        <v>26</v>
      </c>
      <c r="H546" s="1">
        <v>15342</v>
      </c>
      <c r="I546" s="1" t="s">
        <v>19</v>
      </c>
      <c r="J546" s="1">
        <v>0.2</v>
      </c>
      <c r="K546" s="1">
        <v>14000</v>
      </c>
      <c r="L546" s="2">
        <v>45313</v>
      </c>
    </row>
    <row r="547" spans="1:12" x14ac:dyDescent="0.35">
      <c r="A547" s="1" t="s">
        <v>772</v>
      </c>
      <c r="B547" s="1" t="s">
        <v>342</v>
      </c>
      <c r="C547" s="1" t="s">
        <v>44</v>
      </c>
      <c r="D547" s="1" t="s">
        <v>45</v>
      </c>
      <c r="E547" s="1" t="s">
        <v>16</v>
      </c>
      <c r="F547" s="1" t="s">
        <v>39</v>
      </c>
      <c r="G547" s="1" t="s">
        <v>26</v>
      </c>
      <c r="H547" s="1">
        <v>14214</v>
      </c>
      <c r="I547" s="1"/>
      <c r="J547" s="1"/>
      <c r="K547" s="1">
        <v>13000</v>
      </c>
      <c r="L547" s="2">
        <v>45350</v>
      </c>
    </row>
    <row r="548" spans="1:12" x14ac:dyDescent="0.35">
      <c r="A548" s="1" t="s">
        <v>773</v>
      </c>
      <c r="B548" s="1" t="s">
        <v>317</v>
      </c>
      <c r="C548" s="1" t="s">
        <v>30</v>
      </c>
      <c r="D548" s="1" t="s">
        <v>31</v>
      </c>
      <c r="E548" s="1" t="s">
        <v>32</v>
      </c>
      <c r="F548" s="1" t="s">
        <v>39</v>
      </c>
      <c r="G548" s="1" t="s">
        <v>26</v>
      </c>
      <c r="H548" s="1">
        <v>15741</v>
      </c>
      <c r="I548" s="1" t="s">
        <v>33</v>
      </c>
      <c r="J548" s="1">
        <v>0.3</v>
      </c>
      <c r="K548" s="1">
        <v>17000</v>
      </c>
      <c r="L548" s="2">
        <v>45298</v>
      </c>
    </row>
    <row r="549" spans="1:12" x14ac:dyDescent="0.35">
      <c r="A549" s="1" t="s">
        <v>774</v>
      </c>
      <c r="B549" s="1" t="s">
        <v>508</v>
      </c>
      <c r="C549" s="1" t="s">
        <v>30</v>
      </c>
      <c r="D549" s="1" t="s">
        <v>31</v>
      </c>
      <c r="E549" s="1" t="s">
        <v>16</v>
      </c>
      <c r="F549" s="1" t="s">
        <v>39</v>
      </c>
      <c r="G549" s="1" t="s">
        <v>18</v>
      </c>
      <c r="H549" s="1">
        <v>18878</v>
      </c>
      <c r="I549" s="1" t="s">
        <v>33</v>
      </c>
      <c r="J549" s="1">
        <v>0.3</v>
      </c>
      <c r="K549" s="1">
        <v>17000</v>
      </c>
      <c r="L549" s="2">
        <v>45333</v>
      </c>
    </row>
    <row r="550" spans="1:12" x14ac:dyDescent="0.35">
      <c r="A550" s="1" t="s">
        <v>775</v>
      </c>
      <c r="B550" s="1" t="s">
        <v>248</v>
      </c>
      <c r="C550" s="1" t="s">
        <v>30</v>
      </c>
      <c r="D550" s="1" t="s">
        <v>31</v>
      </c>
      <c r="E550" s="1" t="s">
        <v>32</v>
      </c>
      <c r="F550" s="1" t="s">
        <v>39</v>
      </c>
      <c r="G550" s="1" t="s">
        <v>36</v>
      </c>
      <c r="H550" s="1">
        <v>16722</v>
      </c>
      <c r="I550" s="1" t="s">
        <v>33</v>
      </c>
      <c r="J550" s="1">
        <v>0.3</v>
      </c>
      <c r="K550" s="1">
        <v>17000</v>
      </c>
      <c r="L550" s="2">
        <v>45315</v>
      </c>
    </row>
    <row r="551" spans="1:12" x14ac:dyDescent="0.35">
      <c r="A551" s="1" t="s">
        <v>776</v>
      </c>
      <c r="B551" s="1" t="s">
        <v>118</v>
      </c>
      <c r="C551" s="1" t="s">
        <v>30</v>
      </c>
      <c r="D551" s="1" t="s">
        <v>31</v>
      </c>
      <c r="E551" s="1" t="s">
        <v>46</v>
      </c>
      <c r="F551" s="1" t="s">
        <v>25</v>
      </c>
      <c r="G551" s="1" t="s">
        <v>36</v>
      </c>
      <c r="H551" s="1">
        <v>15219</v>
      </c>
      <c r="I551" s="1" t="s">
        <v>27</v>
      </c>
      <c r="J551" s="1"/>
      <c r="K551" s="1">
        <v>17000</v>
      </c>
      <c r="L551" s="2">
        <v>45329</v>
      </c>
    </row>
    <row r="552" spans="1:12" x14ac:dyDescent="0.35">
      <c r="A552" s="1" t="s">
        <v>777</v>
      </c>
      <c r="B552" s="1" t="s">
        <v>107</v>
      </c>
      <c r="C552" s="1" t="s">
        <v>61</v>
      </c>
      <c r="D552" s="1" t="s">
        <v>62</v>
      </c>
      <c r="E552" s="1" t="s">
        <v>32</v>
      </c>
      <c r="F552" s="1" t="s">
        <v>39</v>
      </c>
      <c r="G552" s="1" t="s">
        <v>18</v>
      </c>
      <c r="H552" s="1">
        <v>10553</v>
      </c>
      <c r="I552" s="1"/>
      <c r="J552" s="1"/>
      <c r="K552" s="1">
        <v>9000</v>
      </c>
      <c r="L552" s="2">
        <v>45325</v>
      </c>
    </row>
    <row r="553" spans="1:12" x14ac:dyDescent="0.35">
      <c r="A553" s="1" t="s">
        <v>778</v>
      </c>
      <c r="B553" s="1" t="s">
        <v>70</v>
      </c>
      <c r="C553" s="1" t="s">
        <v>14</v>
      </c>
      <c r="D553" s="1" t="s">
        <v>15</v>
      </c>
      <c r="E553" s="1" t="s">
        <v>32</v>
      </c>
      <c r="F553" s="1" t="s">
        <v>25</v>
      </c>
      <c r="G553" s="1" t="s">
        <v>18</v>
      </c>
      <c r="H553" s="1">
        <v>13403</v>
      </c>
      <c r="I553" s="1"/>
      <c r="J553" s="1"/>
      <c r="K553" s="1">
        <v>14000</v>
      </c>
      <c r="L553" s="2">
        <v>45328</v>
      </c>
    </row>
    <row r="554" spans="1:12" x14ac:dyDescent="0.35">
      <c r="A554" s="1" t="s">
        <v>779</v>
      </c>
      <c r="B554" s="1" t="s">
        <v>445</v>
      </c>
      <c r="C554" s="1" t="s">
        <v>44</v>
      </c>
      <c r="D554" s="1" t="s">
        <v>45</v>
      </c>
      <c r="E554" s="1" t="s">
        <v>46</v>
      </c>
      <c r="F554" s="1" t="s">
        <v>39</v>
      </c>
      <c r="G554" s="1" t="s">
        <v>18</v>
      </c>
      <c r="H554" s="1">
        <v>14190</v>
      </c>
      <c r="I554" s="1" t="s">
        <v>22</v>
      </c>
      <c r="J554" s="1">
        <v>0.1</v>
      </c>
      <c r="K554" s="1">
        <v>13000</v>
      </c>
      <c r="L554" s="2">
        <v>45323</v>
      </c>
    </row>
    <row r="555" spans="1:12" x14ac:dyDescent="0.35">
      <c r="A555" s="1" t="s">
        <v>780</v>
      </c>
      <c r="B555" s="1" t="s">
        <v>150</v>
      </c>
      <c r="C555" s="1" t="s">
        <v>44</v>
      </c>
      <c r="D555" s="1" t="s">
        <v>45</v>
      </c>
      <c r="E555" s="1" t="s">
        <v>46</v>
      </c>
      <c r="F555" s="1" t="s">
        <v>39</v>
      </c>
      <c r="G555" s="1" t="s">
        <v>18</v>
      </c>
      <c r="H555" s="1">
        <v>11019</v>
      </c>
      <c r="I555" s="1"/>
      <c r="J555" s="1"/>
      <c r="K555" s="1">
        <v>13000</v>
      </c>
      <c r="L555" s="2">
        <v>45309</v>
      </c>
    </row>
    <row r="556" spans="1:12" x14ac:dyDescent="0.35">
      <c r="A556" s="1" t="s">
        <v>781</v>
      </c>
      <c r="B556" s="1" t="s">
        <v>401</v>
      </c>
      <c r="C556" s="1" t="s">
        <v>44</v>
      </c>
      <c r="D556" s="1" t="s">
        <v>45</v>
      </c>
      <c r="E556" s="1" t="s">
        <v>16</v>
      </c>
      <c r="F556" s="1" t="s">
        <v>25</v>
      </c>
      <c r="G556" s="1" t="s">
        <v>36</v>
      </c>
      <c r="H556" s="1">
        <v>14216</v>
      </c>
      <c r="I556" s="1" t="s">
        <v>22</v>
      </c>
      <c r="J556" s="1">
        <v>0.1</v>
      </c>
      <c r="K556" s="1">
        <v>13000</v>
      </c>
      <c r="L556" s="2">
        <v>45300</v>
      </c>
    </row>
    <row r="557" spans="1:12" x14ac:dyDescent="0.35">
      <c r="A557" s="1" t="s">
        <v>782</v>
      </c>
      <c r="B557" s="1" t="s">
        <v>337</v>
      </c>
      <c r="C557" s="1" t="s">
        <v>61</v>
      </c>
      <c r="D557" s="1" t="s">
        <v>62</v>
      </c>
      <c r="E557" s="1" t="s">
        <v>46</v>
      </c>
      <c r="F557" s="1" t="s">
        <v>17</v>
      </c>
      <c r="G557" s="1" t="s">
        <v>36</v>
      </c>
      <c r="H557" s="1">
        <v>8570</v>
      </c>
      <c r="I557" s="1" t="s">
        <v>22</v>
      </c>
      <c r="J557" s="1">
        <v>0.1</v>
      </c>
      <c r="K557" s="1">
        <v>9000</v>
      </c>
      <c r="L557" s="2">
        <v>45294</v>
      </c>
    </row>
    <row r="558" spans="1:12" x14ac:dyDescent="0.35">
      <c r="A558" s="1" t="s">
        <v>783</v>
      </c>
      <c r="B558" s="1" t="s">
        <v>346</v>
      </c>
      <c r="C558" s="1" t="s">
        <v>30</v>
      </c>
      <c r="D558" s="1" t="s">
        <v>31</v>
      </c>
      <c r="E558" s="1" t="s">
        <v>32</v>
      </c>
      <c r="F558" s="1" t="s">
        <v>17</v>
      </c>
      <c r="G558" s="1" t="s">
        <v>26</v>
      </c>
      <c r="H558" s="1">
        <v>15780</v>
      </c>
      <c r="I558" s="1" t="s">
        <v>22</v>
      </c>
      <c r="J558" s="1">
        <v>0.1</v>
      </c>
      <c r="K558" s="1">
        <v>17000</v>
      </c>
      <c r="L558" s="2">
        <v>45335</v>
      </c>
    </row>
    <row r="559" spans="1:12" x14ac:dyDescent="0.35">
      <c r="A559" s="1" t="s">
        <v>784</v>
      </c>
      <c r="B559" s="1" t="s">
        <v>68</v>
      </c>
      <c r="C559" s="1" t="s">
        <v>44</v>
      </c>
      <c r="D559" s="1" t="s">
        <v>45</v>
      </c>
      <c r="E559" s="1" t="s">
        <v>32</v>
      </c>
      <c r="F559" s="1" t="s">
        <v>39</v>
      </c>
      <c r="G559" s="1" t="s">
        <v>36</v>
      </c>
      <c r="H559" s="1">
        <v>12278</v>
      </c>
      <c r="I559" s="1" t="s">
        <v>19</v>
      </c>
      <c r="J559" s="1">
        <v>0.2</v>
      </c>
      <c r="K559" s="1">
        <v>13000</v>
      </c>
      <c r="L559" s="2">
        <v>45298</v>
      </c>
    </row>
    <row r="560" spans="1:12" x14ac:dyDescent="0.35">
      <c r="A560" s="1" t="s">
        <v>785</v>
      </c>
      <c r="B560" s="1" t="s">
        <v>512</v>
      </c>
      <c r="C560" s="1" t="s">
        <v>30</v>
      </c>
      <c r="D560" s="1" t="s">
        <v>31</v>
      </c>
      <c r="E560" s="1" t="s">
        <v>32</v>
      </c>
      <c r="F560" s="1" t="s">
        <v>25</v>
      </c>
      <c r="G560" s="1" t="s">
        <v>18</v>
      </c>
      <c r="H560" s="1">
        <v>16221</v>
      </c>
      <c r="I560" s="1" t="s">
        <v>33</v>
      </c>
      <c r="J560" s="1">
        <v>0.3</v>
      </c>
      <c r="K560" s="1">
        <v>17000</v>
      </c>
      <c r="L560" s="2">
        <v>45321</v>
      </c>
    </row>
    <row r="561" spans="1:12" x14ac:dyDescent="0.35">
      <c r="A561" s="1" t="s">
        <v>786</v>
      </c>
      <c r="B561" s="1" t="s">
        <v>103</v>
      </c>
      <c r="C561" s="1" t="s">
        <v>30</v>
      </c>
      <c r="D561" s="1" t="s">
        <v>31</v>
      </c>
      <c r="E561" s="1" t="s">
        <v>46</v>
      </c>
      <c r="F561" s="1" t="s">
        <v>39</v>
      </c>
      <c r="G561" s="1" t="s">
        <v>18</v>
      </c>
      <c r="H561" s="1">
        <v>16403</v>
      </c>
      <c r="I561" s="1"/>
      <c r="J561" s="1"/>
      <c r="K561" s="1">
        <v>17000</v>
      </c>
      <c r="L561" s="2">
        <v>45314</v>
      </c>
    </row>
    <row r="562" spans="1:12" x14ac:dyDescent="0.35">
      <c r="A562" s="1" t="s">
        <v>787</v>
      </c>
      <c r="B562" s="1" t="s">
        <v>294</v>
      </c>
      <c r="C562" s="1" t="s">
        <v>44</v>
      </c>
      <c r="D562" s="1" t="s">
        <v>45</v>
      </c>
      <c r="E562" s="1" t="s">
        <v>46</v>
      </c>
      <c r="F562" s="1" t="s">
        <v>25</v>
      </c>
      <c r="G562" s="1" t="s">
        <v>18</v>
      </c>
      <c r="H562" s="1">
        <v>11918</v>
      </c>
      <c r="I562" s="1" t="s">
        <v>19</v>
      </c>
      <c r="J562" s="1">
        <v>0.2</v>
      </c>
      <c r="K562" s="1">
        <v>13000</v>
      </c>
      <c r="L562" s="2">
        <v>45305</v>
      </c>
    </row>
    <row r="563" spans="1:12" x14ac:dyDescent="0.35">
      <c r="A563" s="1" t="s">
        <v>788</v>
      </c>
      <c r="B563" s="1" t="s">
        <v>464</v>
      </c>
      <c r="C563" s="1" t="s">
        <v>44</v>
      </c>
      <c r="D563" s="1" t="s">
        <v>45</v>
      </c>
      <c r="E563" s="1" t="s">
        <v>32</v>
      </c>
      <c r="F563" s="1" t="s">
        <v>17</v>
      </c>
      <c r="G563" s="1" t="s">
        <v>26</v>
      </c>
      <c r="H563" s="1">
        <v>13664</v>
      </c>
      <c r="I563" s="1" t="s">
        <v>22</v>
      </c>
      <c r="J563" s="1">
        <v>0.1</v>
      </c>
      <c r="K563" s="1">
        <v>13000</v>
      </c>
      <c r="L563" s="2">
        <v>45316</v>
      </c>
    </row>
    <row r="564" spans="1:12" x14ac:dyDescent="0.35">
      <c r="A564" s="1" t="s">
        <v>789</v>
      </c>
      <c r="B564" s="1" t="s">
        <v>50</v>
      </c>
      <c r="C564" s="1" t="s">
        <v>30</v>
      </c>
      <c r="D564" s="1" t="s">
        <v>31</v>
      </c>
      <c r="E564" s="1" t="s">
        <v>16</v>
      </c>
      <c r="F564" s="1" t="s">
        <v>39</v>
      </c>
      <c r="G564" s="1" t="s">
        <v>18</v>
      </c>
      <c r="H564" s="1">
        <v>17432</v>
      </c>
      <c r="I564" s="1" t="s">
        <v>22</v>
      </c>
      <c r="J564" s="1">
        <v>0.1</v>
      </c>
      <c r="K564" s="1">
        <v>17000</v>
      </c>
      <c r="L564" s="2">
        <v>45334</v>
      </c>
    </row>
    <row r="565" spans="1:12" x14ac:dyDescent="0.35">
      <c r="A565" s="1" t="s">
        <v>790</v>
      </c>
      <c r="B565" s="1" t="s">
        <v>21</v>
      </c>
      <c r="C565" s="1" t="s">
        <v>14</v>
      </c>
      <c r="D565" s="1" t="s">
        <v>15</v>
      </c>
      <c r="E565" s="1" t="s">
        <v>32</v>
      </c>
      <c r="F565" s="1" t="s">
        <v>39</v>
      </c>
      <c r="G565" s="1" t="s">
        <v>18</v>
      </c>
      <c r="H565" s="1">
        <v>13707</v>
      </c>
      <c r="I565" s="1"/>
      <c r="J565" s="1"/>
      <c r="K565" s="1">
        <v>14000</v>
      </c>
      <c r="L565" s="2">
        <v>45316</v>
      </c>
    </row>
    <row r="566" spans="1:12" x14ac:dyDescent="0.35">
      <c r="A566" s="1" t="s">
        <v>791</v>
      </c>
      <c r="B566" s="1" t="s">
        <v>241</v>
      </c>
      <c r="C566" s="1" t="s">
        <v>30</v>
      </c>
      <c r="D566" s="1" t="s">
        <v>31</v>
      </c>
      <c r="E566" s="1" t="s">
        <v>46</v>
      </c>
      <c r="F566" s="1" t="s">
        <v>39</v>
      </c>
      <c r="G566" s="1" t="s">
        <v>18</v>
      </c>
      <c r="H566" s="1">
        <v>15841</v>
      </c>
      <c r="I566" s="1" t="s">
        <v>22</v>
      </c>
      <c r="J566" s="1">
        <v>0.1</v>
      </c>
      <c r="K566" s="1">
        <v>17000</v>
      </c>
      <c r="L566" s="2">
        <v>45311</v>
      </c>
    </row>
    <row r="567" spans="1:12" x14ac:dyDescent="0.35">
      <c r="A567" s="1" t="s">
        <v>792</v>
      </c>
      <c r="B567" s="1" t="s">
        <v>274</v>
      </c>
      <c r="C567" s="1" t="s">
        <v>14</v>
      </c>
      <c r="D567" s="1" t="s">
        <v>15</v>
      </c>
      <c r="E567" s="1" t="s">
        <v>16</v>
      </c>
      <c r="F567" s="1" t="s">
        <v>39</v>
      </c>
      <c r="G567" s="1" t="s">
        <v>36</v>
      </c>
      <c r="H567" s="1">
        <v>14550</v>
      </c>
      <c r="I567" s="1" t="s">
        <v>27</v>
      </c>
      <c r="J567" s="1"/>
      <c r="K567" s="1">
        <v>14000</v>
      </c>
      <c r="L567" s="2">
        <v>45336</v>
      </c>
    </row>
    <row r="568" spans="1:12" x14ac:dyDescent="0.35">
      <c r="A568" s="1" t="s">
        <v>793</v>
      </c>
      <c r="B568" s="1" t="s">
        <v>363</v>
      </c>
      <c r="C568" s="1" t="s">
        <v>14</v>
      </c>
      <c r="D568" s="1" t="s">
        <v>15</v>
      </c>
      <c r="E568" s="1" t="s">
        <v>16</v>
      </c>
      <c r="F568" s="1" t="s">
        <v>39</v>
      </c>
      <c r="G568" s="1" t="s">
        <v>26</v>
      </c>
      <c r="H568" s="1">
        <v>12482</v>
      </c>
      <c r="I568" s="1" t="s">
        <v>33</v>
      </c>
      <c r="J568" s="1">
        <v>0.3</v>
      </c>
      <c r="K568" s="1">
        <v>14000</v>
      </c>
      <c r="L568" s="2">
        <v>45299</v>
      </c>
    </row>
    <row r="569" spans="1:12" x14ac:dyDescent="0.35">
      <c r="A569" s="1" t="s">
        <v>794</v>
      </c>
      <c r="B569" s="1" t="s">
        <v>652</v>
      </c>
      <c r="C569" s="1" t="s">
        <v>61</v>
      </c>
      <c r="D569" s="1" t="s">
        <v>62</v>
      </c>
      <c r="E569" s="1" t="s">
        <v>32</v>
      </c>
      <c r="F569" s="1" t="s">
        <v>39</v>
      </c>
      <c r="G569" s="1" t="s">
        <v>18</v>
      </c>
      <c r="H569" s="1">
        <v>10186</v>
      </c>
      <c r="I569" s="1" t="s">
        <v>33</v>
      </c>
      <c r="J569" s="1">
        <v>0.3</v>
      </c>
      <c r="K569" s="1">
        <v>9000</v>
      </c>
      <c r="L569" s="2">
        <v>45345</v>
      </c>
    </row>
    <row r="570" spans="1:12" x14ac:dyDescent="0.35">
      <c r="A570" s="1" t="s">
        <v>795</v>
      </c>
      <c r="B570" s="1" t="s">
        <v>346</v>
      </c>
      <c r="C570" s="1" t="s">
        <v>30</v>
      </c>
      <c r="D570" s="1" t="s">
        <v>31</v>
      </c>
      <c r="E570" s="1" t="s">
        <v>16</v>
      </c>
      <c r="F570" s="1" t="s">
        <v>17</v>
      </c>
      <c r="G570" s="1" t="s">
        <v>36</v>
      </c>
      <c r="H570" s="1">
        <v>15656</v>
      </c>
      <c r="I570" s="1" t="s">
        <v>22</v>
      </c>
      <c r="J570" s="1">
        <v>0.1</v>
      </c>
      <c r="K570" s="1">
        <v>17000</v>
      </c>
      <c r="L570" s="2">
        <v>45327</v>
      </c>
    </row>
    <row r="571" spans="1:12" x14ac:dyDescent="0.35">
      <c r="A571" s="1" t="s">
        <v>796</v>
      </c>
      <c r="B571" s="1" t="s">
        <v>211</v>
      </c>
      <c r="C571" s="1" t="s">
        <v>61</v>
      </c>
      <c r="D571" s="1" t="s">
        <v>62</v>
      </c>
      <c r="E571" s="1" t="s">
        <v>46</v>
      </c>
      <c r="F571" s="1" t="s">
        <v>25</v>
      </c>
      <c r="G571" s="1" t="s">
        <v>18</v>
      </c>
      <c r="H571" s="1">
        <v>7052</v>
      </c>
      <c r="I571" s="1" t="s">
        <v>22</v>
      </c>
      <c r="J571" s="1">
        <v>0.1</v>
      </c>
      <c r="K571" s="1">
        <v>9000</v>
      </c>
      <c r="L571" s="2">
        <v>45350</v>
      </c>
    </row>
    <row r="572" spans="1:12" x14ac:dyDescent="0.35">
      <c r="A572" s="1" t="s">
        <v>797</v>
      </c>
      <c r="B572" s="1" t="s">
        <v>159</v>
      </c>
      <c r="C572" s="1" t="s">
        <v>61</v>
      </c>
      <c r="D572" s="1" t="s">
        <v>62</v>
      </c>
      <c r="E572" s="1" t="s">
        <v>32</v>
      </c>
      <c r="F572" s="1" t="s">
        <v>25</v>
      </c>
      <c r="G572" s="1" t="s">
        <v>26</v>
      </c>
      <c r="H572" s="1">
        <v>7307</v>
      </c>
      <c r="I572" s="1" t="s">
        <v>22</v>
      </c>
      <c r="J572" s="1">
        <v>0.1</v>
      </c>
      <c r="K572" s="1">
        <v>9000</v>
      </c>
      <c r="L572" s="2">
        <v>45349</v>
      </c>
    </row>
    <row r="573" spans="1:12" x14ac:dyDescent="0.35">
      <c r="A573" s="1" t="s">
        <v>798</v>
      </c>
      <c r="B573" s="1" t="s">
        <v>286</v>
      </c>
      <c r="C573" s="1" t="s">
        <v>44</v>
      </c>
      <c r="D573" s="1" t="s">
        <v>45</v>
      </c>
      <c r="E573" s="1" t="s">
        <v>46</v>
      </c>
      <c r="F573" s="1" t="s">
        <v>17</v>
      </c>
      <c r="G573" s="1" t="s">
        <v>36</v>
      </c>
      <c r="H573" s="1">
        <v>12901</v>
      </c>
      <c r="I573" s="1" t="s">
        <v>22</v>
      </c>
      <c r="J573" s="1">
        <v>0.1</v>
      </c>
      <c r="K573" s="1">
        <v>13000</v>
      </c>
      <c r="L573" s="2">
        <v>45298</v>
      </c>
    </row>
    <row r="574" spans="1:12" x14ac:dyDescent="0.35">
      <c r="A574" s="1" t="s">
        <v>799</v>
      </c>
      <c r="B574" s="1" t="s">
        <v>412</v>
      </c>
      <c r="C574" s="1" t="s">
        <v>14</v>
      </c>
      <c r="D574" s="1" t="s">
        <v>15</v>
      </c>
      <c r="E574" s="1" t="s">
        <v>46</v>
      </c>
      <c r="F574" s="1" t="s">
        <v>17</v>
      </c>
      <c r="G574" s="1" t="s">
        <v>26</v>
      </c>
      <c r="H574" s="1">
        <v>13280</v>
      </c>
      <c r="I574" s="1"/>
      <c r="J574" s="1"/>
      <c r="K574" s="1">
        <v>14000</v>
      </c>
      <c r="L574" s="2">
        <v>45339</v>
      </c>
    </row>
    <row r="575" spans="1:12" x14ac:dyDescent="0.35">
      <c r="A575" s="1" t="s">
        <v>800</v>
      </c>
      <c r="B575" s="1" t="s">
        <v>78</v>
      </c>
      <c r="C575" s="1" t="s">
        <v>14</v>
      </c>
      <c r="D575" s="1" t="s">
        <v>15</v>
      </c>
      <c r="E575" s="1" t="s">
        <v>32</v>
      </c>
      <c r="F575" s="1" t="s">
        <v>25</v>
      </c>
      <c r="G575" s="1" t="s">
        <v>26</v>
      </c>
      <c r="H575" s="1">
        <v>14650</v>
      </c>
      <c r="I575" s="1" t="s">
        <v>19</v>
      </c>
      <c r="J575" s="1">
        <v>0.2</v>
      </c>
      <c r="K575" s="1">
        <v>14000</v>
      </c>
      <c r="L575" s="2">
        <v>45313</v>
      </c>
    </row>
    <row r="576" spans="1:12" x14ac:dyDescent="0.35">
      <c r="A576" s="1" t="s">
        <v>801</v>
      </c>
      <c r="B576" s="1" t="s">
        <v>802</v>
      </c>
      <c r="C576" s="1" t="s">
        <v>30</v>
      </c>
      <c r="D576" s="1" t="s">
        <v>31</v>
      </c>
      <c r="E576" s="1" t="s">
        <v>16</v>
      </c>
      <c r="F576" s="1" t="s">
        <v>25</v>
      </c>
      <c r="G576" s="1" t="s">
        <v>36</v>
      </c>
      <c r="H576" s="1">
        <v>18338</v>
      </c>
      <c r="I576" s="1" t="s">
        <v>33</v>
      </c>
      <c r="J576" s="1">
        <v>0.3</v>
      </c>
      <c r="K576" s="1">
        <v>17000</v>
      </c>
      <c r="L576" s="2">
        <v>45303</v>
      </c>
    </row>
    <row r="577" spans="1:12" x14ac:dyDescent="0.35">
      <c r="A577" s="1" t="s">
        <v>803</v>
      </c>
      <c r="B577" s="1" t="s">
        <v>66</v>
      </c>
      <c r="C577" s="1" t="s">
        <v>61</v>
      </c>
      <c r="D577" s="1" t="s">
        <v>62</v>
      </c>
      <c r="E577" s="1" t="s">
        <v>46</v>
      </c>
      <c r="F577" s="1" t="s">
        <v>17</v>
      </c>
      <c r="G577" s="1" t="s">
        <v>36</v>
      </c>
      <c r="H577" s="1">
        <v>9825</v>
      </c>
      <c r="I577" s="1"/>
      <c r="J577" s="1"/>
      <c r="K577" s="1">
        <v>9000</v>
      </c>
      <c r="L577" s="2">
        <v>45343</v>
      </c>
    </row>
    <row r="578" spans="1:12" x14ac:dyDescent="0.35">
      <c r="A578" s="1" t="s">
        <v>804</v>
      </c>
      <c r="B578" s="1" t="s">
        <v>274</v>
      </c>
      <c r="C578" s="1" t="s">
        <v>44</v>
      </c>
      <c r="D578" s="1" t="s">
        <v>45</v>
      </c>
      <c r="E578" s="1" t="s">
        <v>32</v>
      </c>
      <c r="F578" s="1" t="s">
        <v>25</v>
      </c>
      <c r="G578" s="1" t="s">
        <v>26</v>
      </c>
      <c r="H578" s="1">
        <v>13975</v>
      </c>
      <c r="I578" s="1" t="s">
        <v>22</v>
      </c>
      <c r="J578" s="1">
        <v>0.1</v>
      </c>
      <c r="K578" s="1">
        <v>13000</v>
      </c>
      <c r="L578" s="2">
        <v>45352</v>
      </c>
    </row>
    <row r="579" spans="1:12" x14ac:dyDescent="0.35">
      <c r="A579" s="1" t="s">
        <v>805</v>
      </c>
      <c r="B579" s="1" t="s">
        <v>412</v>
      </c>
      <c r="C579" s="1" t="s">
        <v>14</v>
      </c>
      <c r="D579" s="1" t="s">
        <v>15</v>
      </c>
      <c r="E579" s="1" t="s">
        <v>46</v>
      </c>
      <c r="F579" s="1" t="s">
        <v>39</v>
      </c>
      <c r="G579" s="1" t="s">
        <v>36</v>
      </c>
      <c r="H579" s="1">
        <v>15286</v>
      </c>
      <c r="I579" s="1" t="s">
        <v>27</v>
      </c>
      <c r="J579" s="1"/>
      <c r="K579" s="1">
        <v>14000</v>
      </c>
      <c r="L579" s="2">
        <v>45335</v>
      </c>
    </row>
    <row r="580" spans="1:12" x14ac:dyDescent="0.35">
      <c r="A580" s="1" t="s">
        <v>806</v>
      </c>
      <c r="B580" s="1" t="s">
        <v>508</v>
      </c>
      <c r="C580" s="1" t="s">
        <v>61</v>
      </c>
      <c r="D580" s="1" t="s">
        <v>62</v>
      </c>
      <c r="E580" s="1" t="s">
        <v>46</v>
      </c>
      <c r="F580" s="1" t="s">
        <v>39</v>
      </c>
      <c r="G580" s="1" t="s">
        <v>18</v>
      </c>
      <c r="H580" s="1">
        <v>10533</v>
      </c>
      <c r="I580" s="1" t="s">
        <v>19</v>
      </c>
      <c r="J580" s="1">
        <v>0.2</v>
      </c>
      <c r="K580" s="1">
        <v>9000</v>
      </c>
      <c r="L580" s="2">
        <v>45322</v>
      </c>
    </row>
    <row r="581" spans="1:12" x14ac:dyDescent="0.35">
      <c r="A581" s="1" t="s">
        <v>807</v>
      </c>
      <c r="B581" s="1" t="s">
        <v>445</v>
      </c>
      <c r="C581" s="1" t="s">
        <v>14</v>
      </c>
      <c r="D581" s="1" t="s">
        <v>15</v>
      </c>
      <c r="E581" s="1" t="s">
        <v>46</v>
      </c>
      <c r="F581" s="1" t="s">
        <v>17</v>
      </c>
      <c r="G581" s="1" t="s">
        <v>18</v>
      </c>
      <c r="H581" s="1">
        <v>12259</v>
      </c>
      <c r="I581" s="1" t="s">
        <v>33</v>
      </c>
      <c r="J581" s="1">
        <v>0.3</v>
      </c>
      <c r="K581" s="1">
        <v>14000</v>
      </c>
      <c r="L581" s="2">
        <v>45333</v>
      </c>
    </row>
    <row r="582" spans="1:12" x14ac:dyDescent="0.35">
      <c r="A582" s="1" t="s">
        <v>808</v>
      </c>
      <c r="B582" s="1" t="s">
        <v>327</v>
      </c>
      <c r="C582" s="1" t="s">
        <v>44</v>
      </c>
      <c r="D582" s="1" t="s">
        <v>45</v>
      </c>
      <c r="E582" s="1" t="s">
        <v>16</v>
      </c>
      <c r="F582" s="1" t="s">
        <v>17</v>
      </c>
      <c r="G582" s="1" t="s">
        <v>26</v>
      </c>
      <c r="H582" s="1">
        <v>13142</v>
      </c>
      <c r="I582" s="1" t="s">
        <v>27</v>
      </c>
      <c r="J582" s="1"/>
      <c r="K582" s="1">
        <v>13000</v>
      </c>
      <c r="L582" s="2">
        <v>45298</v>
      </c>
    </row>
    <row r="583" spans="1:12" x14ac:dyDescent="0.35">
      <c r="A583" s="1" t="s">
        <v>809</v>
      </c>
      <c r="B583" s="1" t="s">
        <v>274</v>
      </c>
      <c r="C583" s="1" t="s">
        <v>44</v>
      </c>
      <c r="D583" s="1" t="s">
        <v>45</v>
      </c>
      <c r="E583" s="1" t="s">
        <v>46</v>
      </c>
      <c r="F583" s="1" t="s">
        <v>17</v>
      </c>
      <c r="G583" s="1" t="s">
        <v>26</v>
      </c>
      <c r="H583" s="1">
        <v>13770</v>
      </c>
      <c r="I583" s="1"/>
      <c r="J583" s="1"/>
      <c r="K583" s="1">
        <v>13000</v>
      </c>
      <c r="L583" s="2">
        <v>45301</v>
      </c>
    </row>
    <row r="584" spans="1:12" x14ac:dyDescent="0.35">
      <c r="A584" s="1" t="s">
        <v>810</v>
      </c>
      <c r="B584" s="1" t="s">
        <v>319</v>
      </c>
      <c r="C584" s="1" t="s">
        <v>14</v>
      </c>
      <c r="D584" s="1" t="s">
        <v>15</v>
      </c>
      <c r="E584" s="1" t="s">
        <v>32</v>
      </c>
      <c r="F584" s="1" t="s">
        <v>39</v>
      </c>
      <c r="G584" s="1" t="s">
        <v>18</v>
      </c>
      <c r="H584" s="1">
        <v>14070</v>
      </c>
      <c r="I584" s="1"/>
      <c r="J584" s="1"/>
      <c r="K584" s="1">
        <v>14000</v>
      </c>
      <c r="L584" s="2">
        <v>45346</v>
      </c>
    </row>
    <row r="585" spans="1:12" x14ac:dyDescent="0.35">
      <c r="A585" s="1" t="s">
        <v>811</v>
      </c>
      <c r="B585" s="1" t="s">
        <v>752</v>
      </c>
      <c r="C585" s="1" t="s">
        <v>44</v>
      </c>
      <c r="D585" s="1" t="s">
        <v>45</v>
      </c>
      <c r="E585" s="1" t="s">
        <v>32</v>
      </c>
      <c r="F585" s="1" t="s">
        <v>17</v>
      </c>
      <c r="G585" s="1" t="s">
        <v>36</v>
      </c>
      <c r="H585" s="1">
        <v>11986</v>
      </c>
      <c r="I585" s="1" t="s">
        <v>33</v>
      </c>
      <c r="J585" s="1">
        <v>0.3</v>
      </c>
      <c r="K585" s="1">
        <v>13000</v>
      </c>
      <c r="L585" s="2">
        <v>45309</v>
      </c>
    </row>
    <row r="586" spans="1:12" x14ac:dyDescent="0.35">
      <c r="A586" s="1" t="s">
        <v>812</v>
      </c>
      <c r="B586" s="1" t="s">
        <v>166</v>
      </c>
      <c r="C586" s="1" t="s">
        <v>44</v>
      </c>
      <c r="D586" s="1" t="s">
        <v>45</v>
      </c>
      <c r="E586" s="1" t="s">
        <v>16</v>
      </c>
      <c r="F586" s="1" t="s">
        <v>39</v>
      </c>
      <c r="G586" s="1" t="s">
        <v>36</v>
      </c>
      <c r="H586" s="1">
        <v>12651</v>
      </c>
      <c r="I586" s="1" t="s">
        <v>19</v>
      </c>
      <c r="J586" s="1">
        <v>0.2</v>
      </c>
      <c r="K586" s="1">
        <v>13000</v>
      </c>
      <c r="L586" s="2">
        <v>45297</v>
      </c>
    </row>
    <row r="587" spans="1:12" x14ac:dyDescent="0.35">
      <c r="A587" s="1" t="s">
        <v>813</v>
      </c>
      <c r="B587" s="1" t="s">
        <v>231</v>
      </c>
      <c r="C587" s="1" t="s">
        <v>61</v>
      </c>
      <c r="D587" s="1" t="s">
        <v>62</v>
      </c>
      <c r="E587" s="1" t="s">
        <v>32</v>
      </c>
      <c r="F587" s="1" t="s">
        <v>17</v>
      </c>
      <c r="G587" s="1" t="s">
        <v>36</v>
      </c>
      <c r="H587" s="1">
        <v>8294</v>
      </c>
      <c r="I587" s="1" t="s">
        <v>22</v>
      </c>
      <c r="J587" s="1">
        <v>0.1</v>
      </c>
      <c r="K587" s="1">
        <v>9000</v>
      </c>
      <c r="L587" s="2">
        <v>45323</v>
      </c>
    </row>
    <row r="588" spans="1:12" x14ac:dyDescent="0.35">
      <c r="A588" s="1" t="s">
        <v>814</v>
      </c>
      <c r="B588" s="1" t="s">
        <v>765</v>
      </c>
      <c r="C588" s="1" t="s">
        <v>14</v>
      </c>
      <c r="D588" s="1" t="s">
        <v>15</v>
      </c>
      <c r="E588" s="1" t="s">
        <v>32</v>
      </c>
      <c r="F588" s="1" t="s">
        <v>17</v>
      </c>
      <c r="G588" s="1" t="s">
        <v>36</v>
      </c>
      <c r="H588" s="1">
        <v>12146</v>
      </c>
      <c r="I588" s="1" t="s">
        <v>27</v>
      </c>
      <c r="J588" s="1"/>
      <c r="K588" s="1">
        <v>14000</v>
      </c>
      <c r="L588" s="2">
        <v>45327</v>
      </c>
    </row>
    <row r="589" spans="1:12" x14ac:dyDescent="0.35">
      <c r="A589" s="1" t="s">
        <v>815</v>
      </c>
      <c r="B589" s="1" t="s">
        <v>129</v>
      </c>
      <c r="C589" s="1" t="s">
        <v>14</v>
      </c>
      <c r="D589" s="1" t="s">
        <v>15</v>
      </c>
      <c r="E589" s="1" t="s">
        <v>16</v>
      </c>
      <c r="F589" s="1" t="s">
        <v>39</v>
      </c>
      <c r="G589" s="1" t="s">
        <v>26</v>
      </c>
      <c r="H589" s="1">
        <v>13247</v>
      </c>
      <c r="I589" s="1" t="s">
        <v>27</v>
      </c>
      <c r="J589" s="1"/>
      <c r="K589" s="1">
        <v>14000</v>
      </c>
      <c r="L589" s="2">
        <v>45327</v>
      </c>
    </row>
    <row r="590" spans="1:12" x14ac:dyDescent="0.35">
      <c r="A590" s="1" t="s">
        <v>816</v>
      </c>
      <c r="B590" s="1" t="s">
        <v>817</v>
      </c>
      <c r="C590" s="1" t="s">
        <v>61</v>
      </c>
      <c r="D590" s="1" t="s">
        <v>62</v>
      </c>
      <c r="E590" s="1" t="s">
        <v>46</v>
      </c>
      <c r="F590" s="1" t="s">
        <v>17</v>
      </c>
      <c r="G590" s="1" t="s">
        <v>18</v>
      </c>
      <c r="H590" s="1">
        <v>10344</v>
      </c>
      <c r="I590" s="1" t="s">
        <v>19</v>
      </c>
      <c r="J590" s="1">
        <v>0.2</v>
      </c>
      <c r="K590" s="1">
        <v>9000</v>
      </c>
      <c r="L590" s="2">
        <v>45346</v>
      </c>
    </row>
    <row r="591" spans="1:12" x14ac:dyDescent="0.35">
      <c r="A591" s="1" t="s">
        <v>818</v>
      </c>
      <c r="B591" s="1" t="s">
        <v>188</v>
      </c>
      <c r="C591" s="1" t="s">
        <v>61</v>
      </c>
      <c r="D591" s="1" t="s">
        <v>62</v>
      </c>
      <c r="E591" s="1" t="s">
        <v>16</v>
      </c>
      <c r="F591" s="1" t="s">
        <v>39</v>
      </c>
      <c r="G591" s="1" t="s">
        <v>36</v>
      </c>
      <c r="H591" s="1">
        <v>9932</v>
      </c>
      <c r="I591" s="1"/>
      <c r="J591" s="1"/>
      <c r="K591" s="1">
        <v>9000</v>
      </c>
      <c r="L591" s="2">
        <v>45299</v>
      </c>
    </row>
    <row r="592" spans="1:12" x14ac:dyDescent="0.35">
      <c r="A592" s="1" t="s">
        <v>819</v>
      </c>
      <c r="B592" s="1" t="s">
        <v>200</v>
      </c>
      <c r="C592" s="1" t="s">
        <v>44</v>
      </c>
      <c r="D592" s="1" t="s">
        <v>45</v>
      </c>
      <c r="E592" s="1" t="s">
        <v>32</v>
      </c>
      <c r="F592" s="1" t="s">
        <v>17</v>
      </c>
      <c r="G592" s="1" t="s">
        <v>36</v>
      </c>
      <c r="H592" s="1">
        <v>14399</v>
      </c>
      <c r="I592" s="1" t="s">
        <v>33</v>
      </c>
      <c r="J592" s="1">
        <v>0.3</v>
      </c>
      <c r="K592" s="1">
        <v>13000</v>
      </c>
      <c r="L592" s="2">
        <v>45327</v>
      </c>
    </row>
    <row r="593" spans="1:12" x14ac:dyDescent="0.35">
      <c r="A593" s="1" t="s">
        <v>820</v>
      </c>
      <c r="B593" s="1" t="s">
        <v>217</v>
      </c>
      <c r="C593" s="1" t="s">
        <v>14</v>
      </c>
      <c r="D593" s="1" t="s">
        <v>15</v>
      </c>
      <c r="E593" s="1" t="s">
        <v>32</v>
      </c>
      <c r="F593" s="1" t="s">
        <v>25</v>
      </c>
      <c r="G593" s="1" t="s">
        <v>36</v>
      </c>
      <c r="H593" s="1">
        <v>12575</v>
      </c>
      <c r="I593" s="1"/>
      <c r="J593" s="1"/>
      <c r="K593" s="1">
        <v>14000</v>
      </c>
      <c r="L593" s="2">
        <v>45298</v>
      </c>
    </row>
    <row r="594" spans="1:12" x14ac:dyDescent="0.35">
      <c r="A594" s="1" t="s">
        <v>821</v>
      </c>
      <c r="B594" s="1" t="s">
        <v>118</v>
      </c>
      <c r="C594" s="1" t="s">
        <v>44</v>
      </c>
      <c r="D594" s="1" t="s">
        <v>45</v>
      </c>
      <c r="E594" s="1" t="s">
        <v>32</v>
      </c>
      <c r="F594" s="1" t="s">
        <v>25</v>
      </c>
      <c r="G594" s="1" t="s">
        <v>36</v>
      </c>
      <c r="H594" s="1">
        <v>11883</v>
      </c>
      <c r="I594" s="1"/>
      <c r="J594" s="1"/>
      <c r="K594" s="1">
        <v>13000</v>
      </c>
      <c r="L594" s="2">
        <v>45344</v>
      </c>
    </row>
    <row r="595" spans="1:12" x14ac:dyDescent="0.35">
      <c r="A595" s="1" t="s">
        <v>822</v>
      </c>
      <c r="B595" s="1" t="s">
        <v>294</v>
      </c>
      <c r="C595" s="1" t="s">
        <v>30</v>
      </c>
      <c r="D595" s="1" t="s">
        <v>31</v>
      </c>
      <c r="E595" s="1" t="s">
        <v>32</v>
      </c>
      <c r="F595" s="1" t="s">
        <v>17</v>
      </c>
      <c r="G595" s="1" t="s">
        <v>18</v>
      </c>
      <c r="H595" s="1">
        <v>18795</v>
      </c>
      <c r="I595" s="1" t="s">
        <v>27</v>
      </c>
      <c r="J595" s="1"/>
      <c r="K595" s="1">
        <v>17000</v>
      </c>
      <c r="L595" s="2">
        <v>45299</v>
      </c>
    </row>
    <row r="596" spans="1:12" x14ac:dyDescent="0.35">
      <c r="A596" s="1" t="s">
        <v>823</v>
      </c>
      <c r="B596" s="1" t="s">
        <v>298</v>
      </c>
      <c r="C596" s="1" t="s">
        <v>61</v>
      </c>
      <c r="D596" s="1" t="s">
        <v>62</v>
      </c>
      <c r="E596" s="1" t="s">
        <v>16</v>
      </c>
      <c r="F596" s="1" t="s">
        <v>39</v>
      </c>
      <c r="G596" s="1" t="s">
        <v>26</v>
      </c>
      <c r="H596" s="1">
        <v>7551</v>
      </c>
      <c r="I596" s="1"/>
      <c r="J596" s="1"/>
      <c r="K596" s="1">
        <v>9000</v>
      </c>
      <c r="L596" s="2">
        <v>45292</v>
      </c>
    </row>
    <row r="597" spans="1:12" x14ac:dyDescent="0.35">
      <c r="A597" s="1" t="s">
        <v>824</v>
      </c>
      <c r="B597" s="1" t="s">
        <v>548</v>
      </c>
      <c r="C597" s="1" t="s">
        <v>14</v>
      </c>
      <c r="D597" s="1" t="s">
        <v>15</v>
      </c>
      <c r="E597" s="1" t="s">
        <v>16</v>
      </c>
      <c r="F597" s="1" t="s">
        <v>17</v>
      </c>
      <c r="G597" s="1" t="s">
        <v>26</v>
      </c>
      <c r="H597" s="1">
        <v>13978</v>
      </c>
      <c r="I597" s="1" t="s">
        <v>27</v>
      </c>
      <c r="J597" s="1"/>
      <c r="K597" s="1">
        <v>14000</v>
      </c>
      <c r="L597" s="2">
        <v>45341</v>
      </c>
    </row>
    <row r="598" spans="1:12" x14ac:dyDescent="0.35">
      <c r="A598" s="1" t="s">
        <v>825</v>
      </c>
      <c r="B598" s="1" t="s">
        <v>120</v>
      </c>
      <c r="C598" s="1" t="s">
        <v>44</v>
      </c>
      <c r="D598" s="1" t="s">
        <v>45</v>
      </c>
      <c r="E598" s="1" t="s">
        <v>16</v>
      </c>
      <c r="F598" s="1" t="s">
        <v>25</v>
      </c>
      <c r="G598" s="1" t="s">
        <v>18</v>
      </c>
      <c r="H598" s="1">
        <v>12586</v>
      </c>
      <c r="I598" s="1" t="s">
        <v>27</v>
      </c>
      <c r="J598" s="1"/>
      <c r="K598" s="1">
        <v>13000</v>
      </c>
      <c r="L598" s="2">
        <v>45330</v>
      </c>
    </row>
    <row r="599" spans="1:12" x14ac:dyDescent="0.35">
      <c r="A599" s="1" t="s">
        <v>826</v>
      </c>
      <c r="B599" s="1" t="s">
        <v>827</v>
      </c>
      <c r="C599" s="1" t="s">
        <v>61</v>
      </c>
      <c r="D599" s="1" t="s">
        <v>62</v>
      </c>
      <c r="E599" s="1" t="s">
        <v>46</v>
      </c>
      <c r="F599" s="1" t="s">
        <v>39</v>
      </c>
      <c r="G599" s="1" t="s">
        <v>26</v>
      </c>
      <c r="H599" s="1">
        <v>10122</v>
      </c>
      <c r="I599" s="1" t="s">
        <v>19</v>
      </c>
      <c r="J599" s="1">
        <v>0.2</v>
      </c>
      <c r="K599" s="1">
        <v>9000</v>
      </c>
      <c r="L599" s="2">
        <v>45309</v>
      </c>
    </row>
    <row r="600" spans="1:12" x14ac:dyDescent="0.35">
      <c r="A600" s="1" t="s">
        <v>828</v>
      </c>
      <c r="B600" s="1" t="s">
        <v>474</v>
      </c>
      <c r="C600" s="1" t="s">
        <v>30</v>
      </c>
      <c r="D600" s="1" t="s">
        <v>31</v>
      </c>
      <c r="E600" s="1" t="s">
        <v>46</v>
      </c>
      <c r="F600" s="1" t="s">
        <v>25</v>
      </c>
      <c r="G600" s="1" t="s">
        <v>18</v>
      </c>
      <c r="H600" s="1">
        <v>16690</v>
      </c>
      <c r="I600" s="1" t="s">
        <v>27</v>
      </c>
      <c r="J600" s="1"/>
      <c r="K600" s="1">
        <v>17000</v>
      </c>
      <c r="L600" s="2">
        <v>45336</v>
      </c>
    </row>
    <row r="601" spans="1:12" x14ac:dyDescent="0.35">
      <c r="A601" s="1" t="s">
        <v>829</v>
      </c>
      <c r="B601" s="1" t="s">
        <v>260</v>
      </c>
      <c r="C601" s="1" t="s">
        <v>30</v>
      </c>
      <c r="D601" s="1" t="s">
        <v>31</v>
      </c>
      <c r="E601" s="1" t="s">
        <v>16</v>
      </c>
      <c r="F601" s="1" t="s">
        <v>39</v>
      </c>
      <c r="G601" s="1" t="s">
        <v>36</v>
      </c>
      <c r="H601" s="1">
        <v>17915</v>
      </c>
      <c r="I601" s="1" t="s">
        <v>27</v>
      </c>
      <c r="J601" s="1"/>
      <c r="K601" s="1">
        <v>17000</v>
      </c>
      <c r="L601" s="2">
        <v>45332</v>
      </c>
    </row>
    <row r="602" spans="1:12" x14ac:dyDescent="0.35">
      <c r="A602" s="1" t="s">
        <v>830</v>
      </c>
      <c r="B602" s="1" t="s">
        <v>94</v>
      </c>
      <c r="C602" s="1" t="s">
        <v>44</v>
      </c>
      <c r="D602" s="1" t="s">
        <v>45</v>
      </c>
      <c r="E602" s="1" t="s">
        <v>16</v>
      </c>
      <c r="F602" s="1" t="s">
        <v>39</v>
      </c>
      <c r="G602" s="1" t="s">
        <v>36</v>
      </c>
      <c r="H602" s="1">
        <v>13812</v>
      </c>
      <c r="I602" s="1" t="s">
        <v>33</v>
      </c>
      <c r="J602" s="1">
        <v>0.3</v>
      </c>
      <c r="K602" s="1">
        <v>13000</v>
      </c>
      <c r="L602" s="2">
        <v>45350</v>
      </c>
    </row>
    <row r="603" spans="1:12" x14ac:dyDescent="0.35">
      <c r="A603" s="1" t="s">
        <v>831</v>
      </c>
      <c r="B603" s="1" t="s">
        <v>422</v>
      </c>
      <c r="C603" s="1" t="s">
        <v>44</v>
      </c>
      <c r="D603" s="1" t="s">
        <v>45</v>
      </c>
      <c r="E603" s="1" t="s">
        <v>16</v>
      </c>
      <c r="F603" s="1" t="s">
        <v>39</v>
      </c>
      <c r="G603" s="1" t="s">
        <v>26</v>
      </c>
      <c r="H603" s="1">
        <v>13608</v>
      </c>
      <c r="I603" s="1" t="s">
        <v>33</v>
      </c>
      <c r="J603" s="1">
        <v>0.3</v>
      </c>
      <c r="K603" s="1">
        <v>13000</v>
      </c>
      <c r="L603" s="2">
        <v>45337</v>
      </c>
    </row>
    <row r="604" spans="1:12" x14ac:dyDescent="0.35">
      <c r="A604" s="1" t="s">
        <v>832</v>
      </c>
      <c r="B604" s="1" t="s">
        <v>200</v>
      </c>
      <c r="C604" s="1" t="s">
        <v>30</v>
      </c>
      <c r="D604" s="1" t="s">
        <v>31</v>
      </c>
      <c r="E604" s="1" t="s">
        <v>16</v>
      </c>
      <c r="F604" s="1" t="s">
        <v>17</v>
      </c>
      <c r="G604" s="1" t="s">
        <v>26</v>
      </c>
      <c r="H604" s="1">
        <v>17337</v>
      </c>
      <c r="I604" s="1"/>
      <c r="J604" s="1"/>
      <c r="K604" s="1">
        <v>17000</v>
      </c>
      <c r="L604" s="2">
        <v>45335</v>
      </c>
    </row>
    <row r="605" spans="1:12" x14ac:dyDescent="0.35">
      <c r="A605" s="1" t="s">
        <v>833</v>
      </c>
      <c r="B605" s="1" t="s">
        <v>371</v>
      </c>
      <c r="C605" s="1" t="s">
        <v>30</v>
      </c>
      <c r="D605" s="1" t="s">
        <v>31</v>
      </c>
      <c r="E605" s="1" t="s">
        <v>46</v>
      </c>
      <c r="F605" s="1" t="s">
        <v>25</v>
      </c>
      <c r="G605" s="1" t="s">
        <v>26</v>
      </c>
      <c r="H605" s="1">
        <v>15436</v>
      </c>
      <c r="I605" s="1" t="s">
        <v>22</v>
      </c>
      <c r="J605" s="1">
        <v>0.1</v>
      </c>
      <c r="K605" s="1">
        <v>17000</v>
      </c>
      <c r="L605" s="2">
        <v>45316</v>
      </c>
    </row>
    <row r="606" spans="1:12" x14ac:dyDescent="0.35">
      <c r="A606" s="1" t="s">
        <v>834</v>
      </c>
      <c r="B606" s="1" t="s">
        <v>557</v>
      </c>
      <c r="C606" s="1" t="s">
        <v>14</v>
      </c>
      <c r="D606" s="1" t="s">
        <v>15</v>
      </c>
      <c r="E606" s="1" t="s">
        <v>32</v>
      </c>
      <c r="F606" s="1" t="s">
        <v>17</v>
      </c>
      <c r="G606" s="1" t="s">
        <v>18</v>
      </c>
      <c r="H606" s="1">
        <v>13173</v>
      </c>
      <c r="I606" s="1" t="s">
        <v>33</v>
      </c>
      <c r="J606" s="1">
        <v>0.3</v>
      </c>
      <c r="K606" s="1">
        <v>14000</v>
      </c>
      <c r="L606" s="2">
        <v>45301</v>
      </c>
    </row>
    <row r="607" spans="1:12" x14ac:dyDescent="0.35">
      <c r="A607" s="1" t="s">
        <v>835</v>
      </c>
      <c r="B607" s="1" t="s">
        <v>676</v>
      </c>
      <c r="C607" s="1" t="s">
        <v>30</v>
      </c>
      <c r="D607" s="1" t="s">
        <v>31</v>
      </c>
      <c r="E607" s="1" t="s">
        <v>32</v>
      </c>
      <c r="F607" s="1" t="s">
        <v>39</v>
      </c>
      <c r="G607" s="1" t="s">
        <v>18</v>
      </c>
      <c r="H607" s="1">
        <v>16469</v>
      </c>
      <c r="I607" s="1"/>
      <c r="J607" s="1"/>
      <c r="K607" s="1">
        <v>17000</v>
      </c>
      <c r="L607" s="2">
        <v>45298</v>
      </c>
    </row>
    <row r="608" spans="1:12" x14ac:dyDescent="0.35">
      <c r="A608" s="1" t="s">
        <v>836</v>
      </c>
      <c r="B608" s="1" t="s">
        <v>837</v>
      </c>
      <c r="C608" s="1" t="s">
        <v>44</v>
      </c>
      <c r="D608" s="1" t="s">
        <v>45</v>
      </c>
      <c r="E608" s="1" t="s">
        <v>16</v>
      </c>
      <c r="F608" s="1" t="s">
        <v>39</v>
      </c>
      <c r="G608" s="1" t="s">
        <v>26</v>
      </c>
      <c r="H608" s="1">
        <v>12592</v>
      </c>
      <c r="I608" s="1" t="s">
        <v>19</v>
      </c>
      <c r="J608" s="1">
        <v>0.2</v>
      </c>
      <c r="K608" s="1">
        <v>13000</v>
      </c>
      <c r="L608" s="2">
        <v>45324</v>
      </c>
    </row>
    <row r="609" spans="1:12" x14ac:dyDescent="0.35">
      <c r="A609" s="1" t="s">
        <v>838</v>
      </c>
      <c r="B609" s="1" t="s">
        <v>54</v>
      </c>
      <c r="C609" s="1" t="s">
        <v>30</v>
      </c>
      <c r="D609" s="1" t="s">
        <v>31</v>
      </c>
      <c r="E609" s="1" t="s">
        <v>16</v>
      </c>
      <c r="F609" s="1" t="s">
        <v>39</v>
      </c>
      <c r="G609" s="1" t="s">
        <v>18</v>
      </c>
      <c r="H609" s="1">
        <v>18794</v>
      </c>
      <c r="I609" s="1"/>
      <c r="J609" s="1"/>
      <c r="K609" s="1">
        <v>17000</v>
      </c>
      <c r="L609" s="2">
        <v>45316</v>
      </c>
    </row>
    <row r="610" spans="1:12" x14ac:dyDescent="0.35">
      <c r="A610" s="1" t="s">
        <v>839</v>
      </c>
      <c r="B610" s="1" t="s">
        <v>155</v>
      </c>
      <c r="C610" s="1" t="s">
        <v>30</v>
      </c>
      <c r="D610" s="1" t="s">
        <v>31</v>
      </c>
      <c r="E610" s="1" t="s">
        <v>16</v>
      </c>
      <c r="F610" s="1" t="s">
        <v>25</v>
      </c>
      <c r="G610" s="1" t="s">
        <v>18</v>
      </c>
      <c r="H610" s="1">
        <v>18046</v>
      </c>
      <c r="I610" s="1" t="s">
        <v>33</v>
      </c>
      <c r="J610" s="1">
        <v>0.3</v>
      </c>
      <c r="K610" s="1">
        <v>17000</v>
      </c>
      <c r="L610" s="2">
        <v>45304</v>
      </c>
    </row>
    <row r="611" spans="1:12" x14ac:dyDescent="0.35">
      <c r="A611" s="1" t="s">
        <v>840</v>
      </c>
      <c r="B611" s="1" t="s">
        <v>837</v>
      </c>
      <c r="C611" s="1" t="s">
        <v>61</v>
      </c>
      <c r="D611" s="1" t="s">
        <v>62</v>
      </c>
      <c r="E611" s="1" t="s">
        <v>32</v>
      </c>
      <c r="F611" s="1" t="s">
        <v>39</v>
      </c>
      <c r="G611" s="1" t="s">
        <v>26</v>
      </c>
      <c r="H611" s="1">
        <v>9906</v>
      </c>
      <c r="I611" s="1" t="s">
        <v>33</v>
      </c>
      <c r="J611" s="1">
        <v>0.3</v>
      </c>
      <c r="K611" s="1">
        <v>9000</v>
      </c>
      <c r="L611" s="2">
        <v>45340</v>
      </c>
    </row>
    <row r="612" spans="1:12" x14ac:dyDescent="0.35">
      <c r="A612" s="1" t="s">
        <v>841</v>
      </c>
      <c r="B612" s="1" t="s">
        <v>86</v>
      </c>
      <c r="C612" s="1" t="s">
        <v>44</v>
      </c>
      <c r="D612" s="1" t="s">
        <v>45</v>
      </c>
      <c r="E612" s="1" t="s">
        <v>16</v>
      </c>
      <c r="F612" s="1" t="s">
        <v>25</v>
      </c>
      <c r="G612" s="1" t="s">
        <v>36</v>
      </c>
      <c r="H612" s="1">
        <v>12838</v>
      </c>
      <c r="I612" s="1" t="s">
        <v>19</v>
      </c>
      <c r="J612" s="1">
        <v>0.2</v>
      </c>
      <c r="K612" s="1">
        <v>13000</v>
      </c>
      <c r="L612" s="2">
        <v>45335</v>
      </c>
    </row>
    <row r="613" spans="1:12" x14ac:dyDescent="0.35">
      <c r="A613" s="1" t="s">
        <v>842</v>
      </c>
      <c r="B613" s="1" t="s">
        <v>843</v>
      </c>
      <c r="C613" s="1" t="s">
        <v>44</v>
      </c>
      <c r="D613" s="1" t="s">
        <v>45</v>
      </c>
      <c r="E613" s="1" t="s">
        <v>16</v>
      </c>
      <c r="F613" s="1" t="s">
        <v>39</v>
      </c>
      <c r="G613" s="1" t="s">
        <v>18</v>
      </c>
      <c r="H613" s="1">
        <v>12545</v>
      </c>
      <c r="I613" s="1" t="s">
        <v>22</v>
      </c>
      <c r="J613" s="1">
        <v>0.1</v>
      </c>
      <c r="K613" s="1">
        <v>13000</v>
      </c>
      <c r="L613" s="2">
        <v>45319</v>
      </c>
    </row>
    <row r="614" spans="1:12" x14ac:dyDescent="0.35">
      <c r="A614" s="1" t="s">
        <v>844</v>
      </c>
      <c r="B614" s="1" t="s">
        <v>307</v>
      </c>
      <c r="C614" s="1" t="s">
        <v>30</v>
      </c>
      <c r="D614" s="1" t="s">
        <v>31</v>
      </c>
      <c r="E614" s="1" t="s">
        <v>32</v>
      </c>
      <c r="F614" s="1" t="s">
        <v>25</v>
      </c>
      <c r="G614" s="1" t="s">
        <v>26</v>
      </c>
      <c r="H614" s="1">
        <v>18465</v>
      </c>
      <c r="I614" s="1" t="s">
        <v>33</v>
      </c>
      <c r="J614" s="1">
        <v>0.3</v>
      </c>
      <c r="K614" s="1">
        <v>17000</v>
      </c>
      <c r="L614" s="2">
        <v>45292</v>
      </c>
    </row>
    <row r="615" spans="1:12" x14ac:dyDescent="0.35">
      <c r="A615" s="1" t="s">
        <v>845</v>
      </c>
      <c r="B615" s="1" t="s">
        <v>802</v>
      </c>
      <c r="C615" s="1" t="s">
        <v>44</v>
      </c>
      <c r="D615" s="1" t="s">
        <v>45</v>
      </c>
      <c r="E615" s="1" t="s">
        <v>32</v>
      </c>
      <c r="F615" s="1" t="s">
        <v>25</v>
      </c>
      <c r="G615" s="1" t="s">
        <v>36</v>
      </c>
      <c r="H615" s="1">
        <v>13444</v>
      </c>
      <c r="I615" s="1" t="s">
        <v>22</v>
      </c>
      <c r="J615" s="1">
        <v>0.1</v>
      </c>
      <c r="K615" s="1">
        <v>13000</v>
      </c>
      <c r="L615" s="2">
        <v>45341</v>
      </c>
    </row>
    <row r="616" spans="1:12" x14ac:dyDescent="0.35">
      <c r="A616" s="1" t="s">
        <v>846</v>
      </c>
      <c r="B616" s="1" t="s">
        <v>50</v>
      </c>
      <c r="C616" s="1" t="s">
        <v>30</v>
      </c>
      <c r="D616" s="1" t="s">
        <v>31</v>
      </c>
      <c r="E616" s="1" t="s">
        <v>46</v>
      </c>
      <c r="F616" s="1" t="s">
        <v>39</v>
      </c>
      <c r="G616" s="1" t="s">
        <v>26</v>
      </c>
      <c r="H616" s="1">
        <v>16466</v>
      </c>
      <c r="I616" s="1" t="s">
        <v>22</v>
      </c>
      <c r="J616" s="1">
        <v>0.1</v>
      </c>
      <c r="K616" s="1">
        <v>17000</v>
      </c>
      <c r="L616" s="2">
        <v>45342</v>
      </c>
    </row>
    <row r="617" spans="1:12" x14ac:dyDescent="0.35">
      <c r="A617" s="1" t="s">
        <v>847</v>
      </c>
      <c r="B617" s="1" t="s">
        <v>577</v>
      </c>
      <c r="C617" s="1" t="s">
        <v>44</v>
      </c>
      <c r="D617" s="1" t="s">
        <v>45</v>
      </c>
      <c r="E617" s="1" t="s">
        <v>32</v>
      </c>
      <c r="F617" s="1" t="s">
        <v>39</v>
      </c>
      <c r="G617" s="1" t="s">
        <v>18</v>
      </c>
      <c r="H617" s="1">
        <v>14220</v>
      </c>
      <c r="I617" s="1" t="s">
        <v>27</v>
      </c>
      <c r="J617" s="1"/>
      <c r="K617" s="1">
        <v>13000</v>
      </c>
      <c r="L617" s="2">
        <v>45302</v>
      </c>
    </row>
    <row r="618" spans="1:12" x14ac:dyDescent="0.35">
      <c r="A618" s="1" t="s">
        <v>848</v>
      </c>
      <c r="B618" s="1" t="s">
        <v>512</v>
      </c>
      <c r="C618" s="1" t="s">
        <v>61</v>
      </c>
      <c r="D618" s="1" t="s">
        <v>62</v>
      </c>
      <c r="E618" s="1" t="s">
        <v>32</v>
      </c>
      <c r="F618" s="1" t="s">
        <v>17</v>
      </c>
      <c r="G618" s="1" t="s">
        <v>18</v>
      </c>
      <c r="H618" s="1">
        <v>10618</v>
      </c>
      <c r="I618" s="1" t="s">
        <v>19</v>
      </c>
      <c r="J618" s="1">
        <v>0.2</v>
      </c>
      <c r="K618" s="1">
        <v>9000</v>
      </c>
      <c r="L618" s="2">
        <v>45334</v>
      </c>
    </row>
    <row r="619" spans="1:12" x14ac:dyDescent="0.35">
      <c r="A619" s="1" t="s">
        <v>849</v>
      </c>
      <c r="B619" s="1" t="s">
        <v>282</v>
      </c>
      <c r="C619" s="1" t="s">
        <v>30</v>
      </c>
      <c r="D619" s="1" t="s">
        <v>31</v>
      </c>
      <c r="E619" s="1" t="s">
        <v>46</v>
      </c>
      <c r="F619" s="1" t="s">
        <v>25</v>
      </c>
      <c r="G619" s="1" t="s">
        <v>26</v>
      </c>
      <c r="H619" s="1">
        <v>17172</v>
      </c>
      <c r="I619" s="1"/>
      <c r="J619" s="1"/>
      <c r="K619" s="1">
        <v>17000</v>
      </c>
      <c r="L619" s="2">
        <v>45327</v>
      </c>
    </row>
    <row r="620" spans="1:12" x14ac:dyDescent="0.35">
      <c r="A620" s="1" t="s">
        <v>850</v>
      </c>
      <c r="B620" s="1" t="s">
        <v>393</v>
      </c>
      <c r="C620" s="1" t="s">
        <v>14</v>
      </c>
      <c r="D620" s="1" t="s">
        <v>15</v>
      </c>
      <c r="E620" s="1" t="s">
        <v>32</v>
      </c>
      <c r="F620" s="1" t="s">
        <v>39</v>
      </c>
      <c r="G620" s="1" t="s">
        <v>36</v>
      </c>
      <c r="H620" s="1">
        <v>13825</v>
      </c>
      <c r="I620" s="1" t="s">
        <v>19</v>
      </c>
      <c r="J620" s="1">
        <v>0.2</v>
      </c>
      <c r="K620" s="1">
        <v>14000</v>
      </c>
      <c r="L620" s="2">
        <v>45349</v>
      </c>
    </row>
    <row r="621" spans="1:12" x14ac:dyDescent="0.35">
      <c r="A621" s="1" t="s">
        <v>851</v>
      </c>
      <c r="B621" s="1" t="s">
        <v>163</v>
      </c>
      <c r="C621" s="1" t="s">
        <v>44</v>
      </c>
      <c r="D621" s="1" t="s">
        <v>45</v>
      </c>
      <c r="E621" s="1" t="s">
        <v>32</v>
      </c>
      <c r="F621" s="1" t="s">
        <v>39</v>
      </c>
      <c r="G621" s="1" t="s">
        <v>36</v>
      </c>
      <c r="H621" s="1">
        <v>12562</v>
      </c>
      <c r="I621" s="1" t="s">
        <v>22</v>
      </c>
      <c r="J621" s="1">
        <v>0.1</v>
      </c>
      <c r="K621" s="1">
        <v>13000</v>
      </c>
      <c r="L621" s="2">
        <v>45316</v>
      </c>
    </row>
    <row r="622" spans="1:12" x14ac:dyDescent="0.35">
      <c r="A622" s="1" t="s">
        <v>852</v>
      </c>
      <c r="B622" s="1" t="s">
        <v>307</v>
      </c>
      <c r="C622" s="1" t="s">
        <v>30</v>
      </c>
      <c r="D622" s="1" t="s">
        <v>31</v>
      </c>
      <c r="E622" s="1" t="s">
        <v>32</v>
      </c>
      <c r="F622" s="1" t="s">
        <v>39</v>
      </c>
      <c r="G622" s="1" t="s">
        <v>36</v>
      </c>
      <c r="H622" s="1">
        <v>17106</v>
      </c>
      <c r="I622" s="1" t="s">
        <v>27</v>
      </c>
      <c r="J622" s="1"/>
      <c r="K622" s="1">
        <v>17000</v>
      </c>
      <c r="L622" s="2">
        <v>45320</v>
      </c>
    </row>
    <row r="623" spans="1:12" x14ac:dyDescent="0.35">
      <c r="A623" s="1" t="s">
        <v>853</v>
      </c>
      <c r="B623" s="1" t="s">
        <v>711</v>
      </c>
      <c r="C623" s="1" t="s">
        <v>30</v>
      </c>
      <c r="D623" s="1" t="s">
        <v>31</v>
      </c>
      <c r="E623" s="1" t="s">
        <v>16</v>
      </c>
      <c r="F623" s="1" t="s">
        <v>25</v>
      </c>
      <c r="G623" s="1" t="s">
        <v>36</v>
      </c>
      <c r="H623" s="1">
        <v>17104</v>
      </c>
      <c r="I623" s="1" t="s">
        <v>22</v>
      </c>
      <c r="J623" s="1">
        <v>0.1</v>
      </c>
      <c r="K623" s="1">
        <v>17000</v>
      </c>
      <c r="L623" s="2">
        <v>45352</v>
      </c>
    </row>
    <row r="624" spans="1:12" x14ac:dyDescent="0.35">
      <c r="A624" s="1" t="s">
        <v>854</v>
      </c>
      <c r="B624" s="1" t="s">
        <v>843</v>
      </c>
      <c r="C624" s="1" t="s">
        <v>14</v>
      </c>
      <c r="D624" s="1" t="s">
        <v>15</v>
      </c>
      <c r="E624" s="1" t="s">
        <v>16</v>
      </c>
      <c r="F624" s="1" t="s">
        <v>25</v>
      </c>
      <c r="G624" s="1" t="s">
        <v>18</v>
      </c>
      <c r="H624" s="1">
        <v>14745</v>
      </c>
      <c r="I624" s="1" t="s">
        <v>19</v>
      </c>
      <c r="J624" s="1">
        <v>0.2</v>
      </c>
      <c r="K624" s="1">
        <v>14000</v>
      </c>
      <c r="L624" s="2">
        <v>45347</v>
      </c>
    </row>
    <row r="625" spans="1:12" x14ac:dyDescent="0.35">
      <c r="A625" s="1" t="s">
        <v>855</v>
      </c>
      <c r="B625" s="1" t="s">
        <v>90</v>
      </c>
      <c r="C625" s="1" t="s">
        <v>14</v>
      </c>
      <c r="D625" s="1" t="s">
        <v>15</v>
      </c>
      <c r="E625" s="1" t="s">
        <v>32</v>
      </c>
      <c r="F625" s="1" t="s">
        <v>39</v>
      </c>
      <c r="G625" s="1" t="s">
        <v>26</v>
      </c>
      <c r="H625" s="1">
        <v>15598</v>
      </c>
      <c r="I625" s="1"/>
      <c r="J625" s="1"/>
      <c r="K625" s="1">
        <v>14000</v>
      </c>
      <c r="L625" s="2">
        <v>45333</v>
      </c>
    </row>
    <row r="626" spans="1:12" x14ac:dyDescent="0.35">
      <c r="A626" s="1" t="s">
        <v>856</v>
      </c>
      <c r="B626" s="1" t="s">
        <v>96</v>
      </c>
      <c r="C626" s="1" t="s">
        <v>44</v>
      </c>
      <c r="D626" s="1" t="s">
        <v>45</v>
      </c>
      <c r="E626" s="1" t="s">
        <v>32</v>
      </c>
      <c r="F626" s="1" t="s">
        <v>17</v>
      </c>
      <c r="G626" s="1" t="s">
        <v>26</v>
      </c>
      <c r="H626" s="1">
        <v>12358</v>
      </c>
      <c r="I626" s="1" t="s">
        <v>22</v>
      </c>
      <c r="J626" s="1">
        <v>0.1</v>
      </c>
      <c r="K626" s="1">
        <v>13000</v>
      </c>
      <c r="L626" s="2">
        <v>45297</v>
      </c>
    </row>
    <row r="627" spans="1:12" x14ac:dyDescent="0.35">
      <c r="A627" s="1" t="s">
        <v>857</v>
      </c>
      <c r="B627" s="1" t="s">
        <v>43</v>
      </c>
      <c r="C627" s="1" t="s">
        <v>44</v>
      </c>
      <c r="D627" s="1" t="s">
        <v>45</v>
      </c>
      <c r="E627" s="1" t="s">
        <v>46</v>
      </c>
      <c r="F627" s="1" t="s">
        <v>39</v>
      </c>
      <c r="G627" s="1" t="s">
        <v>18</v>
      </c>
      <c r="H627" s="1">
        <v>13355</v>
      </c>
      <c r="I627" s="1" t="s">
        <v>19</v>
      </c>
      <c r="J627" s="1">
        <v>0.2</v>
      </c>
      <c r="K627" s="1">
        <v>13000</v>
      </c>
      <c r="L627" s="2">
        <v>45350</v>
      </c>
    </row>
    <row r="628" spans="1:12" x14ac:dyDescent="0.35">
      <c r="A628" s="1" t="s">
        <v>858</v>
      </c>
      <c r="B628" s="1" t="s">
        <v>70</v>
      </c>
      <c r="C628" s="1" t="s">
        <v>61</v>
      </c>
      <c r="D628" s="1" t="s">
        <v>62</v>
      </c>
      <c r="E628" s="1" t="s">
        <v>46</v>
      </c>
      <c r="F628" s="1" t="s">
        <v>39</v>
      </c>
      <c r="G628" s="1" t="s">
        <v>36</v>
      </c>
      <c r="H628" s="1">
        <v>8773</v>
      </c>
      <c r="I628" s="1" t="s">
        <v>33</v>
      </c>
      <c r="J628" s="1">
        <v>0.3</v>
      </c>
      <c r="K628" s="1">
        <v>9000</v>
      </c>
      <c r="L628" s="2">
        <v>45293</v>
      </c>
    </row>
    <row r="629" spans="1:12" x14ac:dyDescent="0.35">
      <c r="A629" s="1" t="s">
        <v>859</v>
      </c>
      <c r="B629" s="1" t="s">
        <v>274</v>
      </c>
      <c r="C629" s="1" t="s">
        <v>14</v>
      </c>
      <c r="D629" s="1" t="s">
        <v>15</v>
      </c>
      <c r="E629" s="1" t="s">
        <v>16</v>
      </c>
      <c r="F629" s="1" t="s">
        <v>25</v>
      </c>
      <c r="G629" s="1" t="s">
        <v>26</v>
      </c>
      <c r="H629" s="1">
        <v>14950</v>
      </c>
      <c r="I629" s="1" t="s">
        <v>27</v>
      </c>
      <c r="J629" s="1"/>
      <c r="K629" s="1">
        <v>14000</v>
      </c>
      <c r="L629" s="2">
        <v>45296</v>
      </c>
    </row>
    <row r="630" spans="1:12" x14ac:dyDescent="0.35">
      <c r="A630" s="1" t="s">
        <v>860</v>
      </c>
      <c r="B630" s="1" t="s">
        <v>296</v>
      </c>
      <c r="C630" s="1" t="s">
        <v>14</v>
      </c>
      <c r="D630" s="1" t="s">
        <v>15</v>
      </c>
      <c r="E630" s="1" t="s">
        <v>16</v>
      </c>
      <c r="F630" s="1" t="s">
        <v>25</v>
      </c>
      <c r="G630" s="1" t="s">
        <v>36</v>
      </c>
      <c r="H630" s="1">
        <v>15801</v>
      </c>
      <c r="I630" s="1" t="s">
        <v>27</v>
      </c>
      <c r="J630" s="1"/>
      <c r="K630" s="1">
        <v>14000</v>
      </c>
      <c r="L630" s="2">
        <v>45298</v>
      </c>
    </row>
    <row r="631" spans="1:12" x14ac:dyDescent="0.35">
      <c r="A631" s="1" t="s">
        <v>861</v>
      </c>
      <c r="B631" s="1" t="s">
        <v>443</v>
      </c>
      <c r="C631" s="1" t="s">
        <v>30</v>
      </c>
      <c r="D631" s="1" t="s">
        <v>31</v>
      </c>
      <c r="E631" s="1" t="s">
        <v>16</v>
      </c>
      <c r="F631" s="1" t="s">
        <v>25</v>
      </c>
      <c r="G631" s="1" t="s">
        <v>36</v>
      </c>
      <c r="H631" s="1">
        <v>18134</v>
      </c>
      <c r="I631" s="1"/>
      <c r="J631" s="1"/>
      <c r="K631" s="1">
        <v>17000</v>
      </c>
      <c r="L631" s="2">
        <v>45316</v>
      </c>
    </row>
    <row r="632" spans="1:12" x14ac:dyDescent="0.35">
      <c r="A632" s="1" t="s">
        <v>862</v>
      </c>
      <c r="B632" s="1" t="s">
        <v>309</v>
      </c>
      <c r="C632" s="1" t="s">
        <v>14</v>
      </c>
      <c r="D632" s="1" t="s">
        <v>15</v>
      </c>
      <c r="E632" s="1" t="s">
        <v>46</v>
      </c>
      <c r="F632" s="1" t="s">
        <v>25</v>
      </c>
      <c r="G632" s="1" t="s">
        <v>26</v>
      </c>
      <c r="H632" s="1">
        <v>12900</v>
      </c>
      <c r="I632" s="1" t="s">
        <v>19</v>
      </c>
      <c r="J632" s="1">
        <v>0.2</v>
      </c>
      <c r="K632" s="1">
        <v>14000</v>
      </c>
      <c r="L632" s="2">
        <v>45339</v>
      </c>
    </row>
    <row r="633" spans="1:12" x14ac:dyDescent="0.35">
      <c r="A633" s="1" t="s">
        <v>863</v>
      </c>
      <c r="B633" s="1" t="s">
        <v>155</v>
      </c>
      <c r="C633" s="1" t="s">
        <v>30</v>
      </c>
      <c r="D633" s="1" t="s">
        <v>31</v>
      </c>
      <c r="E633" s="1" t="s">
        <v>16</v>
      </c>
      <c r="F633" s="1" t="s">
        <v>25</v>
      </c>
      <c r="G633" s="1" t="s">
        <v>36</v>
      </c>
      <c r="H633" s="1">
        <v>17774</v>
      </c>
      <c r="I633" s="1" t="s">
        <v>33</v>
      </c>
      <c r="J633" s="1">
        <v>0.3</v>
      </c>
      <c r="K633" s="1">
        <v>17000</v>
      </c>
      <c r="L633" s="2">
        <v>45352</v>
      </c>
    </row>
    <row r="634" spans="1:12" x14ac:dyDescent="0.35">
      <c r="A634" s="1" t="s">
        <v>864</v>
      </c>
      <c r="B634" s="1" t="s">
        <v>166</v>
      </c>
      <c r="C634" s="1" t="s">
        <v>44</v>
      </c>
      <c r="D634" s="1" t="s">
        <v>45</v>
      </c>
      <c r="E634" s="1" t="s">
        <v>32</v>
      </c>
      <c r="F634" s="1" t="s">
        <v>25</v>
      </c>
      <c r="G634" s="1" t="s">
        <v>18</v>
      </c>
      <c r="H634" s="1">
        <v>13345</v>
      </c>
      <c r="I634" s="1" t="s">
        <v>27</v>
      </c>
      <c r="J634" s="1"/>
      <c r="K634" s="1">
        <v>13000</v>
      </c>
      <c r="L634" s="2">
        <v>45317</v>
      </c>
    </row>
    <row r="635" spans="1:12" x14ac:dyDescent="0.35">
      <c r="A635" s="1" t="s">
        <v>865</v>
      </c>
      <c r="B635" s="1" t="s">
        <v>168</v>
      </c>
      <c r="C635" s="1" t="s">
        <v>14</v>
      </c>
      <c r="D635" s="1" t="s">
        <v>15</v>
      </c>
      <c r="E635" s="1" t="s">
        <v>46</v>
      </c>
      <c r="F635" s="1" t="s">
        <v>25</v>
      </c>
      <c r="G635" s="1" t="s">
        <v>26</v>
      </c>
      <c r="H635" s="1">
        <v>15036</v>
      </c>
      <c r="I635" s="1" t="s">
        <v>33</v>
      </c>
      <c r="J635" s="1">
        <v>0.3</v>
      </c>
      <c r="K635" s="1">
        <v>14000</v>
      </c>
      <c r="L635" s="2">
        <v>45305</v>
      </c>
    </row>
    <row r="636" spans="1:12" x14ac:dyDescent="0.35">
      <c r="A636" s="1" t="s">
        <v>866</v>
      </c>
      <c r="B636" s="1" t="s">
        <v>274</v>
      </c>
      <c r="C636" s="1" t="s">
        <v>44</v>
      </c>
      <c r="D636" s="1" t="s">
        <v>45</v>
      </c>
      <c r="E636" s="1" t="s">
        <v>32</v>
      </c>
      <c r="F636" s="1" t="s">
        <v>25</v>
      </c>
      <c r="G636" s="1" t="s">
        <v>18</v>
      </c>
      <c r="H636" s="1">
        <v>13526</v>
      </c>
      <c r="I636" s="1" t="s">
        <v>33</v>
      </c>
      <c r="J636" s="1">
        <v>0.3</v>
      </c>
      <c r="K636" s="1">
        <v>13000</v>
      </c>
      <c r="L636" s="2">
        <v>45304</v>
      </c>
    </row>
    <row r="637" spans="1:12" x14ac:dyDescent="0.35">
      <c r="A637" s="1" t="s">
        <v>867</v>
      </c>
      <c r="B637" s="1" t="s">
        <v>843</v>
      </c>
      <c r="C637" s="1" t="s">
        <v>14</v>
      </c>
      <c r="D637" s="1" t="s">
        <v>15</v>
      </c>
      <c r="E637" s="1" t="s">
        <v>16</v>
      </c>
      <c r="F637" s="1" t="s">
        <v>17</v>
      </c>
      <c r="G637" s="1" t="s">
        <v>26</v>
      </c>
      <c r="H637" s="1">
        <v>14251</v>
      </c>
      <c r="I637" s="1" t="s">
        <v>22</v>
      </c>
      <c r="J637" s="1">
        <v>0.1</v>
      </c>
      <c r="K637" s="1">
        <v>14000</v>
      </c>
      <c r="L637" s="2">
        <v>45310</v>
      </c>
    </row>
    <row r="638" spans="1:12" x14ac:dyDescent="0.35">
      <c r="A638" s="1" t="s">
        <v>868</v>
      </c>
      <c r="B638" s="1" t="s">
        <v>13</v>
      </c>
      <c r="C638" s="1" t="s">
        <v>30</v>
      </c>
      <c r="D638" s="1" t="s">
        <v>31</v>
      </c>
      <c r="E638" s="1" t="s">
        <v>32</v>
      </c>
      <c r="F638" s="1" t="s">
        <v>25</v>
      </c>
      <c r="G638" s="1" t="s">
        <v>26</v>
      </c>
      <c r="H638" s="1">
        <v>17378</v>
      </c>
      <c r="I638" s="1"/>
      <c r="J638" s="1"/>
      <c r="K638" s="1">
        <v>17000</v>
      </c>
      <c r="L638" s="2">
        <v>45352</v>
      </c>
    </row>
    <row r="639" spans="1:12" x14ac:dyDescent="0.35">
      <c r="A639" s="1" t="s">
        <v>869</v>
      </c>
      <c r="B639" s="1" t="s">
        <v>282</v>
      </c>
      <c r="C639" s="1" t="s">
        <v>44</v>
      </c>
      <c r="D639" s="1" t="s">
        <v>45</v>
      </c>
      <c r="E639" s="1" t="s">
        <v>16</v>
      </c>
      <c r="F639" s="1" t="s">
        <v>39</v>
      </c>
      <c r="G639" s="1" t="s">
        <v>18</v>
      </c>
      <c r="H639" s="1">
        <v>11409</v>
      </c>
      <c r="I639" s="1" t="s">
        <v>33</v>
      </c>
      <c r="J639" s="1">
        <v>0.3</v>
      </c>
      <c r="K639" s="1">
        <v>13000</v>
      </c>
      <c r="L639" s="2">
        <v>45331</v>
      </c>
    </row>
    <row r="640" spans="1:12" x14ac:dyDescent="0.35">
      <c r="A640" s="1" t="s">
        <v>870</v>
      </c>
      <c r="B640" s="1" t="s">
        <v>248</v>
      </c>
      <c r="C640" s="1" t="s">
        <v>30</v>
      </c>
      <c r="D640" s="1" t="s">
        <v>31</v>
      </c>
      <c r="E640" s="1" t="s">
        <v>46</v>
      </c>
      <c r="F640" s="1" t="s">
        <v>17</v>
      </c>
      <c r="G640" s="1" t="s">
        <v>36</v>
      </c>
      <c r="H640" s="1">
        <v>17524</v>
      </c>
      <c r="I640" s="1" t="s">
        <v>33</v>
      </c>
      <c r="J640" s="1">
        <v>0.3</v>
      </c>
      <c r="K640" s="1">
        <v>17000</v>
      </c>
      <c r="L640" s="2">
        <v>45336</v>
      </c>
    </row>
    <row r="641" spans="1:12" x14ac:dyDescent="0.35">
      <c r="A641" s="1" t="s">
        <v>871</v>
      </c>
      <c r="B641" s="1" t="s">
        <v>373</v>
      </c>
      <c r="C641" s="1" t="s">
        <v>30</v>
      </c>
      <c r="D641" s="1" t="s">
        <v>31</v>
      </c>
      <c r="E641" s="1" t="s">
        <v>46</v>
      </c>
      <c r="F641" s="1" t="s">
        <v>17</v>
      </c>
      <c r="G641" s="1" t="s">
        <v>18</v>
      </c>
      <c r="H641" s="1">
        <v>15019</v>
      </c>
      <c r="I641" s="1" t="s">
        <v>33</v>
      </c>
      <c r="J641" s="1">
        <v>0.3</v>
      </c>
      <c r="K641" s="1">
        <v>17000</v>
      </c>
      <c r="L641" s="2">
        <v>45307</v>
      </c>
    </row>
    <row r="642" spans="1:12" x14ac:dyDescent="0.35">
      <c r="A642" s="1" t="s">
        <v>872</v>
      </c>
      <c r="B642" s="1" t="s">
        <v>294</v>
      </c>
      <c r="C642" s="1" t="s">
        <v>61</v>
      </c>
      <c r="D642" s="1" t="s">
        <v>62</v>
      </c>
      <c r="E642" s="1" t="s">
        <v>46</v>
      </c>
      <c r="F642" s="1" t="s">
        <v>17</v>
      </c>
      <c r="G642" s="1" t="s">
        <v>18</v>
      </c>
      <c r="H642" s="1">
        <v>9783</v>
      </c>
      <c r="I642" s="1" t="s">
        <v>33</v>
      </c>
      <c r="J642" s="1">
        <v>0.3</v>
      </c>
      <c r="K642" s="1">
        <v>9000</v>
      </c>
      <c r="L642" s="2">
        <v>45348</v>
      </c>
    </row>
    <row r="643" spans="1:12" x14ac:dyDescent="0.35">
      <c r="A643" s="1" t="s">
        <v>873</v>
      </c>
      <c r="B643" s="1" t="s">
        <v>231</v>
      </c>
      <c r="C643" s="1" t="s">
        <v>61</v>
      </c>
      <c r="D643" s="1" t="s">
        <v>62</v>
      </c>
      <c r="E643" s="1" t="s">
        <v>46</v>
      </c>
      <c r="F643" s="1" t="s">
        <v>17</v>
      </c>
      <c r="G643" s="1" t="s">
        <v>36</v>
      </c>
      <c r="H643" s="1">
        <v>9259</v>
      </c>
      <c r="I643" s="1" t="s">
        <v>22</v>
      </c>
      <c r="J643" s="1">
        <v>0.1</v>
      </c>
      <c r="K643" s="1">
        <v>9000</v>
      </c>
      <c r="L643" s="2">
        <v>45303</v>
      </c>
    </row>
    <row r="644" spans="1:12" x14ac:dyDescent="0.35">
      <c r="A644" s="1" t="s">
        <v>874</v>
      </c>
      <c r="B644" s="1" t="s">
        <v>163</v>
      </c>
      <c r="C644" s="1" t="s">
        <v>14</v>
      </c>
      <c r="D644" s="1" t="s">
        <v>15</v>
      </c>
      <c r="E644" s="1" t="s">
        <v>46</v>
      </c>
      <c r="F644" s="1" t="s">
        <v>25</v>
      </c>
      <c r="G644" s="1" t="s">
        <v>26</v>
      </c>
      <c r="H644" s="1">
        <v>12804</v>
      </c>
      <c r="I644" s="1" t="s">
        <v>33</v>
      </c>
      <c r="J644" s="1">
        <v>0.3</v>
      </c>
      <c r="K644" s="1">
        <v>14000</v>
      </c>
      <c r="L644" s="2">
        <v>45338</v>
      </c>
    </row>
    <row r="645" spans="1:12" x14ac:dyDescent="0.35">
      <c r="A645" s="1" t="s">
        <v>875</v>
      </c>
      <c r="B645" s="1" t="s">
        <v>50</v>
      </c>
      <c r="C645" s="1" t="s">
        <v>14</v>
      </c>
      <c r="D645" s="1" t="s">
        <v>15</v>
      </c>
      <c r="E645" s="1" t="s">
        <v>16</v>
      </c>
      <c r="F645" s="1" t="s">
        <v>25</v>
      </c>
      <c r="G645" s="1" t="s">
        <v>18</v>
      </c>
      <c r="H645" s="1">
        <v>15479</v>
      </c>
      <c r="I645" s="1" t="s">
        <v>27</v>
      </c>
      <c r="J645" s="1"/>
      <c r="K645" s="1">
        <v>14000</v>
      </c>
      <c r="L645" s="2">
        <v>45332</v>
      </c>
    </row>
    <row r="646" spans="1:12" x14ac:dyDescent="0.35">
      <c r="A646" s="1" t="s">
        <v>876</v>
      </c>
      <c r="B646" s="1" t="s">
        <v>129</v>
      </c>
      <c r="C646" s="1" t="s">
        <v>61</v>
      </c>
      <c r="D646" s="1" t="s">
        <v>62</v>
      </c>
      <c r="E646" s="1" t="s">
        <v>16</v>
      </c>
      <c r="F646" s="1" t="s">
        <v>25</v>
      </c>
      <c r="G646" s="1" t="s">
        <v>18</v>
      </c>
      <c r="H646" s="1">
        <v>9259</v>
      </c>
      <c r="I646" s="1" t="s">
        <v>33</v>
      </c>
      <c r="J646" s="1">
        <v>0.3</v>
      </c>
      <c r="K646" s="1">
        <v>9000</v>
      </c>
      <c r="L646" s="2">
        <v>45326</v>
      </c>
    </row>
    <row r="647" spans="1:12" x14ac:dyDescent="0.35">
      <c r="A647" s="1" t="s">
        <v>877</v>
      </c>
      <c r="B647" s="1" t="s">
        <v>84</v>
      </c>
      <c r="C647" s="1" t="s">
        <v>61</v>
      </c>
      <c r="D647" s="1" t="s">
        <v>62</v>
      </c>
      <c r="E647" s="1" t="s">
        <v>16</v>
      </c>
      <c r="F647" s="1" t="s">
        <v>25</v>
      </c>
      <c r="G647" s="1" t="s">
        <v>36</v>
      </c>
      <c r="H647" s="1">
        <v>8607</v>
      </c>
      <c r="I647" s="1" t="s">
        <v>19</v>
      </c>
      <c r="J647" s="1">
        <v>0.2</v>
      </c>
      <c r="K647" s="1">
        <v>9000</v>
      </c>
      <c r="L647" s="2">
        <v>45349</v>
      </c>
    </row>
    <row r="648" spans="1:12" x14ac:dyDescent="0.35">
      <c r="A648" s="1" t="s">
        <v>878</v>
      </c>
      <c r="B648" s="1" t="s">
        <v>522</v>
      </c>
      <c r="C648" s="1" t="s">
        <v>30</v>
      </c>
      <c r="D648" s="1" t="s">
        <v>31</v>
      </c>
      <c r="E648" s="1" t="s">
        <v>32</v>
      </c>
      <c r="F648" s="1" t="s">
        <v>17</v>
      </c>
      <c r="G648" s="1" t="s">
        <v>26</v>
      </c>
      <c r="H648" s="1">
        <v>17090</v>
      </c>
      <c r="I648" s="1" t="s">
        <v>22</v>
      </c>
      <c r="J648" s="1">
        <v>0.1</v>
      </c>
      <c r="K648" s="1">
        <v>17000</v>
      </c>
      <c r="L648" s="2">
        <v>45317</v>
      </c>
    </row>
    <row r="649" spans="1:12" x14ac:dyDescent="0.35">
      <c r="A649" s="1" t="s">
        <v>879</v>
      </c>
      <c r="B649" s="1" t="s">
        <v>301</v>
      </c>
      <c r="C649" s="1" t="s">
        <v>14</v>
      </c>
      <c r="D649" s="1" t="s">
        <v>15</v>
      </c>
      <c r="E649" s="1" t="s">
        <v>16</v>
      </c>
      <c r="F649" s="1" t="s">
        <v>25</v>
      </c>
      <c r="G649" s="1" t="s">
        <v>26</v>
      </c>
      <c r="H649" s="1">
        <v>14802</v>
      </c>
      <c r="I649" s="1" t="s">
        <v>19</v>
      </c>
      <c r="J649" s="1">
        <v>0.2</v>
      </c>
      <c r="K649" s="1">
        <v>14000</v>
      </c>
      <c r="L649" s="2">
        <v>45340</v>
      </c>
    </row>
    <row r="650" spans="1:12" x14ac:dyDescent="0.35">
      <c r="A650" s="1" t="s">
        <v>880</v>
      </c>
      <c r="B650" s="1" t="s">
        <v>80</v>
      </c>
      <c r="C650" s="1" t="s">
        <v>61</v>
      </c>
      <c r="D650" s="1" t="s">
        <v>62</v>
      </c>
      <c r="E650" s="1" t="s">
        <v>32</v>
      </c>
      <c r="F650" s="1" t="s">
        <v>25</v>
      </c>
      <c r="G650" s="1" t="s">
        <v>26</v>
      </c>
      <c r="H650" s="1">
        <v>10885</v>
      </c>
      <c r="I650" s="1" t="s">
        <v>27</v>
      </c>
      <c r="J650" s="1"/>
      <c r="K650" s="1">
        <v>9000</v>
      </c>
      <c r="L650" s="2">
        <v>45334</v>
      </c>
    </row>
    <row r="651" spans="1:12" x14ac:dyDescent="0.35">
      <c r="A651" s="1" t="s">
        <v>881</v>
      </c>
      <c r="B651" s="1" t="s">
        <v>412</v>
      </c>
      <c r="C651" s="1" t="s">
        <v>61</v>
      </c>
      <c r="D651" s="1" t="s">
        <v>62</v>
      </c>
      <c r="E651" s="1" t="s">
        <v>46</v>
      </c>
      <c r="F651" s="1" t="s">
        <v>25</v>
      </c>
      <c r="G651" s="1" t="s">
        <v>18</v>
      </c>
      <c r="H651" s="1">
        <v>10118</v>
      </c>
      <c r="I651" s="1"/>
      <c r="J651" s="1"/>
      <c r="K651" s="1">
        <v>9000</v>
      </c>
      <c r="L651" s="2">
        <v>45306</v>
      </c>
    </row>
    <row r="652" spans="1:12" x14ac:dyDescent="0.35">
      <c r="A652" s="1" t="s">
        <v>882</v>
      </c>
      <c r="B652" s="1" t="s">
        <v>263</v>
      </c>
      <c r="C652" s="1" t="s">
        <v>30</v>
      </c>
      <c r="D652" s="1" t="s">
        <v>31</v>
      </c>
      <c r="E652" s="1" t="s">
        <v>32</v>
      </c>
      <c r="F652" s="1" t="s">
        <v>25</v>
      </c>
      <c r="G652" s="1" t="s">
        <v>26</v>
      </c>
      <c r="H652" s="1">
        <v>15846</v>
      </c>
      <c r="I652" s="1" t="s">
        <v>27</v>
      </c>
      <c r="J652" s="1"/>
      <c r="K652" s="1">
        <v>17000</v>
      </c>
      <c r="L652" s="2">
        <v>45350</v>
      </c>
    </row>
    <row r="653" spans="1:12" x14ac:dyDescent="0.35">
      <c r="A653" s="1" t="s">
        <v>883</v>
      </c>
      <c r="B653" s="1" t="s">
        <v>602</v>
      </c>
      <c r="C653" s="1" t="s">
        <v>61</v>
      </c>
      <c r="D653" s="1" t="s">
        <v>62</v>
      </c>
      <c r="E653" s="1" t="s">
        <v>46</v>
      </c>
      <c r="F653" s="1" t="s">
        <v>17</v>
      </c>
      <c r="G653" s="1" t="s">
        <v>18</v>
      </c>
      <c r="H653" s="1">
        <v>7163</v>
      </c>
      <c r="I653" s="1" t="s">
        <v>33</v>
      </c>
      <c r="J653" s="1">
        <v>0.3</v>
      </c>
      <c r="K653" s="1">
        <v>9000</v>
      </c>
      <c r="L653" s="2">
        <v>45298</v>
      </c>
    </row>
    <row r="654" spans="1:12" x14ac:dyDescent="0.35">
      <c r="A654" s="1" t="s">
        <v>884</v>
      </c>
      <c r="B654" s="1" t="s">
        <v>103</v>
      </c>
      <c r="C654" s="1" t="s">
        <v>30</v>
      </c>
      <c r="D654" s="1" t="s">
        <v>31</v>
      </c>
      <c r="E654" s="1" t="s">
        <v>16</v>
      </c>
      <c r="F654" s="1" t="s">
        <v>17</v>
      </c>
      <c r="G654" s="1" t="s">
        <v>26</v>
      </c>
      <c r="H654" s="1">
        <v>17229</v>
      </c>
      <c r="I654" s="1" t="s">
        <v>27</v>
      </c>
      <c r="J654" s="1"/>
      <c r="K654" s="1">
        <v>17000</v>
      </c>
      <c r="L654" s="2">
        <v>45303</v>
      </c>
    </row>
    <row r="655" spans="1:12" x14ac:dyDescent="0.35">
      <c r="A655" s="1" t="s">
        <v>885</v>
      </c>
      <c r="B655" s="1" t="s">
        <v>274</v>
      </c>
      <c r="C655" s="1" t="s">
        <v>61</v>
      </c>
      <c r="D655" s="1" t="s">
        <v>62</v>
      </c>
      <c r="E655" s="1" t="s">
        <v>46</v>
      </c>
      <c r="F655" s="1" t="s">
        <v>39</v>
      </c>
      <c r="G655" s="1" t="s">
        <v>26</v>
      </c>
      <c r="H655" s="1">
        <v>10679</v>
      </c>
      <c r="I655" s="1" t="s">
        <v>22</v>
      </c>
      <c r="J655" s="1">
        <v>0.1</v>
      </c>
      <c r="K655" s="1">
        <v>9000</v>
      </c>
      <c r="L655" s="2">
        <v>45325</v>
      </c>
    </row>
    <row r="656" spans="1:12" x14ac:dyDescent="0.35">
      <c r="A656" s="1" t="s">
        <v>886</v>
      </c>
      <c r="B656" s="1" t="s">
        <v>70</v>
      </c>
      <c r="C656" s="1" t="s">
        <v>44</v>
      </c>
      <c r="D656" s="1" t="s">
        <v>45</v>
      </c>
      <c r="E656" s="1" t="s">
        <v>16</v>
      </c>
      <c r="F656" s="1" t="s">
        <v>17</v>
      </c>
      <c r="G656" s="1" t="s">
        <v>36</v>
      </c>
      <c r="H656" s="1">
        <v>14347</v>
      </c>
      <c r="I656" s="1" t="s">
        <v>33</v>
      </c>
      <c r="J656" s="1">
        <v>0.3</v>
      </c>
      <c r="K656" s="1">
        <v>13000</v>
      </c>
      <c r="L656" s="2">
        <v>45323</v>
      </c>
    </row>
    <row r="657" spans="1:12" x14ac:dyDescent="0.35">
      <c r="A657" s="1" t="s">
        <v>887</v>
      </c>
      <c r="B657" s="1" t="s">
        <v>298</v>
      </c>
      <c r="C657" s="1" t="s">
        <v>14</v>
      </c>
      <c r="D657" s="1" t="s">
        <v>15</v>
      </c>
      <c r="E657" s="1" t="s">
        <v>16</v>
      </c>
      <c r="F657" s="1" t="s">
        <v>25</v>
      </c>
      <c r="G657" s="1" t="s">
        <v>36</v>
      </c>
      <c r="H657" s="1">
        <v>12678</v>
      </c>
      <c r="I657" s="1" t="s">
        <v>19</v>
      </c>
      <c r="J657" s="1">
        <v>0.2</v>
      </c>
      <c r="K657" s="1">
        <v>14000</v>
      </c>
      <c r="L657" s="2">
        <v>45296</v>
      </c>
    </row>
    <row r="658" spans="1:12" x14ac:dyDescent="0.35">
      <c r="A658" s="1" t="s">
        <v>888</v>
      </c>
      <c r="B658" s="1" t="s">
        <v>202</v>
      </c>
      <c r="C658" s="1" t="s">
        <v>30</v>
      </c>
      <c r="D658" s="1" t="s">
        <v>31</v>
      </c>
      <c r="E658" s="1" t="s">
        <v>32</v>
      </c>
      <c r="F658" s="1" t="s">
        <v>25</v>
      </c>
      <c r="G658" s="1" t="s">
        <v>18</v>
      </c>
      <c r="H658" s="1">
        <v>15644</v>
      </c>
      <c r="I658" s="1" t="s">
        <v>33</v>
      </c>
      <c r="J658" s="1">
        <v>0.3</v>
      </c>
      <c r="K658" s="1">
        <v>17000</v>
      </c>
      <c r="L658" s="2">
        <v>45330</v>
      </c>
    </row>
    <row r="659" spans="1:12" x14ac:dyDescent="0.35">
      <c r="A659" s="1" t="s">
        <v>889</v>
      </c>
      <c r="B659" s="1" t="s">
        <v>371</v>
      </c>
      <c r="C659" s="1" t="s">
        <v>14</v>
      </c>
      <c r="D659" s="1" t="s">
        <v>15</v>
      </c>
      <c r="E659" s="1" t="s">
        <v>16</v>
      </c>
      <c r="F659" s="1" t="s">
        <v>25</v>
      </c>
      <c r="G659" s="1" t="s">
        <v>36</v>
      </c>
      <c r="H659" s="1">
        <v>15322</v>
      </c>
      <c r="I659" s="1" t="s">
        <v>33</v>
      </c>
      <c r="J659" s="1">
        <v>0.3</v>
      </c>
      <c r="K659" s="1">
        <v>14000</v>
      </c>
      <c r="L659" s="2">
        <v>45338</v>
      </c>
    </row>
    <row r="660" spans="1:12" x14ac:dyDescent="0.35">
      <c r="A660" s="1" t="s">
        <v>890</v>
      </c>
      <c r="B660" s="1" t="s">
        <v>245</v>
      </c>
      <c r="C660" s="1" t="s">
        <v>61</v>
      </c>
      <c r="D660" s="1" t="s">
        <v>62</v>
      </c>
      <c r="E660" s="1" t="s">
        <v>46</v>
      </c>
      <c r="F660" s="1" t="s">
        <v>25</v>
      </c>
      <c r="G660" s="1" t="s">
        <v>26</v>
      </c>
      <c r="H660" s="1">
        <v>7660</v>
      </c>
      <c r="I660" s="1"/>
      <c r="J660" s="1"/>
      <c r="K660" s="1">
        <v>9000</v>
      </c>
      <c r="L660" s="2">
        <v>45293</v>
      </c>
    </row>
    <row r="661" spans="1:12" x14ac:dyDescent="0.35">
      <c r="A661" s="1" t="s">
        <v>891</v>
      </c>
      <c r="B661" s="1" t="s">
        <v>500</v>
      </c>
      <c r="C661" s="1" t="s">
        <v>44</v>
      </c>
      <c r="D661" s="1" t="s">
        <v>45</v>
      </c>
      <c r="E661" s="1" t="s">
        <v>16</v>
      </c>
      <c r="F661" s="1" t="s">
        <v>39</v>
      </c>
      <c r="G661" s="1" t="s">
        <v>18</v>
      </c>
      <c r="H661" s="1">
        <v>11551</v>
      </c>
      <c r="I661" s="1" t="s">
        <v>27</v>
      </c>
      <c r="J661" s="1"/>
      <c r="K661" s="1">
        <v>13000</v>
      </c>
      <c r="L661" s="2">
        <v>45294</v>
      </c>
    </row>
    <row r="662" spans="1:12" x14ac:dyDescent="0.35">
      <c r="A662" s="1" t="s">
        <v>892</v>
      </c>
      <c r="B662" s="1" t="s">
        <v>60</v>
      </c>
      <c r="C662" s="1" t="s">
        <v>44</v>
      </c>
      <c r="D662" s="1" t="s">
        <v>45</v>
      </c>
      <c r="E662" s="1" t="s">
        <v>32</v>
      </c>
      <c r="F662" s="1" t="s">
        <v>25</v>
      </c>
      <c r="G662" s="1" t="s">
        <v>36</v>
      </c>
      <c r="H662" s="1">
        <v>14778</v>
      </c>
      <c r="I662" s="1" t="s">
        <v>19</v>
      </c>
      <c r="J662" s="1">
        <v>0.2</v>
      </c>
      <c r="K662" s="1">
        <v>13000</v>
      </c>
      <c r="L662" s="2">
        <v>45325</v>
      </c>
    </row>
    <row r="663" spans="1:12" x14ac:dyDescent="0.35">
      <c r="A663" s="1" t="s">
        <v>893</v>
      </c>
      <c r="B663" s="1" t="s">
        <v>617</v>
      </c>
      <c r="C663" s="1" t="s">
        <v>14</v>
      </c>
      <c r="D663" s="1" t="s">
        <v>15</v>
      </c>
      <c r="E663" s="1" t="s">
        <v>16</v>
      </c>
      <c r="F663" s="1" t="s">
        <v>39</v>
      </c>
      <c r="G663" s="1" t="s">
        <v>26</v>
      </c>
      <c r="H663" s="1">
        <v>15364</v>
      </c>
      <c r="I663" s="1" t="s">
        <v>33</v>
      </c>
      <c r="J663" s="1">
        <v>0.3</v>
      </c>
      <c r="K663" s="1">
        <v>14000</v>
      </c>
      <c r="L663" s="2">
        <v>45352</v>
      </c>
    </row>
    <row r="664" spans="1:12" x14ac:dyDescent="0.35">
      <c r="A664" s="1" t="s">
        <v>894</v>
      </c>
      <c r="B664" s="1" t="s">
        <v>248</v>
      </c>
      <c r="C664" s="1" t="s">
        <v>61</v>
      </c>
      <c r="D664" s="1" t="s">
        <v>62</v>
      </c>
      <c r="E664" s="1" t="s">
        <v>16</v>
      </c>
      <c r="F664" s="1" t="s">
        <v>17</v>
      </c>
      <c r="G664" s="1" t="s">
        <v>36</v>
      </c>
      <c r="H664" s="1">
        <v>7698</v>
      </c>
      <c r="I664" s="1" t="s">
        <v>19</v>
      </c>
      <c r="J664" s="1">
        <v>0.2</v>
      </c>
      <c r="K664" s="1">
        <v>9000</v>
      </c>
      <c r="L664" s="2">
        <v>45345</v>
      </c>
    </row>
    <row r="665" spans="1:12" x14ac:dyDescent="0.35">
      <c r="A665" s="1" t="s">
        <v>895</v>
      </c>
      <c r="B665" s="1" t="s">
        <v>617</v>
      </c>
      <c r="C665" s="1" t="s">
        <v>44</v>
      </c>
      <c r="D665" s="1" t="s">
        <v>45</v>
      </c>
      <c r="E665" s="1" t="s">
        <v>16</v>
      </c>
      <c r="F665" s="1" t="s">
        <v>25</v>
      </c>
      <c r="G665" s="1" t="s">
        <v>26</v>
      </c>
      <c r="H665" s="1">
        <v>13701</v>
      </c>
      <c r="I665" s="1" t="s">
        <v>27</v>
      </c>
      <c r="J665" s="1"/>
      <c r="K665" s="1">
        <v>13000</v>
      </c>
      <c r="L665" s="2">
        <v>45308</v>
      </c>
    </row>
    <row r="666" spans="1:12" x14ac:dyDescent="0.35">
      <c r="A666" s="1" t="s">
        <v>896</v>
      </c>
      <c r="B666" s="1" t="s">
        <v>280</v>
      </c>
      <c r="C666" s="1" t="s">
        <v>30</v>
      </c>
      <c r="D666" s="1" t="s">
        <v>31</v>
      </c>
      <c r="E666" s="1" t="s">
        <v>46</v>
      </c>
      <c r="F666" s="1" t="s">
        <v>39</v>
      </c>
      <c r="G666" s="1" t="s">
        <v>26</v>
      </c>
      <c r="H666" s="1">
        <v>15281</v>
      </c>
      <c r="I666" s="1" t="s">
        <v>19</v>
      </c>
      <c r="J666" s="1">
        <v>0.2</v>
      </c>
      <c r="K666" s="1">
        <v>17000</v>
      </c>
      <c r="L666" s="2">
        <v>45316</v>
      </c>
    </row>
    <row r="667" spans="1:12" x14ac:dyDescent="0.35">
      <c r="A667" s="1" t="s">
        <v>897</v>
      </c>
      <c r="B667" s="1" t="s">
        <v>186</v>
      </c>
      <c r="C667" s="1" t="s">
        <v>14</v>
      </c>
      <c r="D667" s="1" t="s">
        <v>15</v>
      </c>
      <c r="E667" s="1" t="s">
        <v>32</v>
      </c>
      <c r="F667" s="1" t="s">
        <v>25</v>
      </c>
      <c r="G667" s="1" t="s">
        <v>26</v>
      </c>
      <c r="H667" s="1">
        <v>15520</v>
      </c>
      <c r="I667" s="1" t="s">
        <v>27</v>
      </c>
      <c r="J667" s="1"/>
      <c r="K667" s="1">
        <v>14000</v>
      </c>
      <c r="L667" s="2">
        <v>45335</v>
      </c>
    </row>
    <row r="668" spans="1:12" x14ac:dyDescent="0.35">
      <c r="A668" s="1" t="s">
        <v>898</v>
      </c>
      <c r="B668" s="1" t="s">
        <v>309</v>
      </c>
      <c r="C668" s="1" t="s">
        <v>44</v>
      </c>
      <c r="D668" s="1" t="s">
        <v>45</v>
      </c>
      <c r="E668" s="1" t="s">
        <v>16</v>
      </c>
      <c r="F668" s="1" t="s">
        <v>25</v>
      </c>
      <c r="G668" s="1" t="s">
        <v>18</v>
      </c>
      <c r="H668" s="1">
        <v>12949</v>
      </c>
      <c r="I668" s="1" t="s">
        <v>27</v>
      </c>
      <c r="J668" s="1"/>
      <c r="K668" s="1">
        <v>13000</v>
      </c>
      <c r="L668" s="2">
        <v>45330</v>
      </c>
    </row>
    <row r="669" spans="1:12" x14ac:dyDescent="0.35">
      <c r="A669" s="1" t="s">
        <v>899</v>
      </c>
      <c r="B669" s="1" t="s">
        <v>321</v>
      </c>
      <c r="C669" s="1" t="s">
        <v>14</v>
      </c>
      <c r="D669" s="1" t="s">
        <v>15</v>
      </c>
      <c r="E669" s="1" t="s">
        <v>32</v>
      </c>
      <c r="F669" s="1" t="s">
        <v>17</v>
      </c>
      <c r="G669" s="1" t="s">
        <v>26</v>
      </c>
      <c r="H669" s="1">
        <v>12533</v>
      </c>
      <c r="I669" s="1" t="s">
        <v>27</v>
      </c>
      <c r="J669" s="1"/>
      <c r="K669" s="1">
        <v>14000</v>
      </c>
      <c r="L669" s="2">
        <v>45326</v>
      </c>
    </row>
    <row r="670" spans="1:12" x14ac:dyDescent="0.35">
      <c r="A670" s="1" t="s">
        <v>900</v>
      </c>
      <c r="B670" s="1" t="s">
        <v>676</v>
      </c>
      <c r="C670" s="1" t="s">
        <v>61</v>
      </c>
      <c r="D670" s="1" t="s">
        <v>62</v>
      </c>
      <c r="E670" s="1" t="s">
        <v>16</v>
      </c>
      <c r="F670" s="1" t="s">
        <v>17</v>
      </c>
      <c r="G670" s="1" t="s">
        <v>36</v>
      </c>
      <c r="H670" s="1">
        <v>10583</v>
      </c>
      <c r="I670" s="1" t="s">
        <v>22</v>
      </c>
      <c r="J670" s="1">
        <v>0.1</v>
      </c>
      <c r="K670" s="1">
        <v>9000</v>
      </c>
      <c r="L670" s="2">
        <v>45336</v>
      </c>
    </row>
    <row r="671" spans="1:12" x14ac:dyDescent="0.35">
      <c r="A671" s="1" t="s">
        <v>901</v>
      </c>
      <c r="B671" s="1" t="s">
        <v>388</v>
      </c>
      <c r="C671" s="1" t="s">
        <v>44</v>
      </c>
      <c r="D671" s="1" t="s">
        <v>45</v>
      </c>
      <c r="E671" s="1" t="s">
        <v>46</v>
      </c>
      <c r="F671" s="1" t="s">
        <v>17</v>
      </c>
      <c r="G671" s="1" t="s">
        <v>36</v>
      </c>
      <c r="H671" s="1">
        <v>13412</v>
      </c>
      <c r="I671" s="1" t="s">
        <v>27</v>
      </c>
      <c r="J671" s="1"/>
      <c r="K671" s="1">
        <v>13000</v>
      </c>
      <c r="L671" s="2">
        <v>45298</v>
      </c>
    </row>
    <row r="672" spans="1:12" x14ac:dyDescent="0.35">
      <c r="A672" s="1" t="s">
        <v>902</v>
      </c>
      <c r="B672" s="1" t="s">
        <v>186</v>
      </c>
      <c r="C672" s="1" t="s">
        <v>30</v>
      </c>
      <c r="D672" s="1" t="s">
        <v>31</v>
      </c>
      <c r="E672" s="1" t="s">
        <v>46</v>
      </c>
      <c r="F672" s="1" t="s">
        <v>25</v>
      </c>
      <c r="G672" s="1" t="s">
        <v>18</v>
      </c>
      <c r="H672" s="1">
        <v>16160</v>
      </c>
      <c r="I672" s="1" t="s">
        <v>27</v>
      </c>
      <c r="J672" s="1"/>
      <c r="K672" s="1">
        <v>17000</v>
      </c>
      <c r="L672" s="2">
        <v>45348</v>
      </c>
    </row>
    <row r="673" spans="1:12" x14ac:dyDescent="0.35">
      <c r="A673" s="1" t="s">
        <v>903</v>
      </c>
      <c r="B673" s="1" t="s">
        <v>388</v>
      </c>
      <c r="C673" s="1" t="s">
        <v>30</v>
      </c>
      <c r="D673" s="1" t="s">
        <v>31</v>
      </c>
      <c r="E673" s="1" t="s">
        <v>32</v>
      </c>
      <c r="F673" s="1" t="s">
        <v>25</v>
      </c>
      <c r="G673" s="1" t="s">
        <v>26</v>
      </c>
      <c r="H673" s="1">
        <v>18045</v>
      </c>
      <c r="I673" s="1" t="s">
        <v>22</v>
      </c>
      <c r="J673" s="1">
        <v>0.1</v>
      </c>
      <c r="K673" s="1">
        <v>17000</v>
      </c>
      <c r="L673" s="2">
        <v>45328</v>
      </c>
    </row>
    <row r="674" spans="1:12" x14ac:dyDescent="0.35">
      <c r="A674" s="1" t="s">
        <v>904</v>
      </c>
      <c r="B674" s="1" t="s">
        <v>905</v>
      </c>
      <c r="C674" s="1" t="s">
        <v>14</v>
      </c>
      <c r="D674" s="1" t="s">
        <v>15</v>
      </c>
      <c r="E674" s="1" t="s">
        <v>46</v>
      </c>
      <c r="F674" s="1" t="s">
        <v>39</v>
      </c>
      <c r="G674" s="1" t="s">
        <v>18</v>
      </c>
      <c r="H674" s="1">
        <v>14817</v>
      </c>
      <c r="I674" s="1" t="s">
        <v>33</v>
      </c>
      <c r="J674" s="1">
        <v>0.3</v>
      </c>
      <c r="K674" s="1">
        <v>14000</v>
      </c>
      <c r="L674" s="2">
        <v>45318</v>
      </c>
    </row>
    <row r="675" spans="1:12" x14ac:dyDescent="0.35">
      <c r="A675" s="1" t="s">
        <v>906</v>
      </c>
      <c r="B675" s="1" t="s">
        <v>116</v>
      </c>
      <c r="C675" s="1" t="s">
        <v>44</v>
      </c>
      <c r="D675" s="1" t="s">
        <v>45</v>
      </c>
      <c r="E675" s="1" t="s">
        <v>46</v>
      </c>
      <c r="F675" s="1" t="s">
        <v>39</v>
      </c>
      <c r="G675" s="1" t="s">
        <v>26</v>
      </c>
      <c r="H675" s="1">
        <v>12038</v>
      </c>
      <c r="I675" s="1" t="s">
        <v>33</v>
      </c>
      <c r="J675" s="1">
        <v>0.3</v>
      </c>
      <c r="K675" s="1">
        <v>13000</v>
      </c>
      <c r="L675" s="2">
        <v>45346</v>
      </c>
    </row>
    <row r="676" spans="1:12" x14ac:dyDescent="0.35">
      <c r="A676" s="1" t="s">
        <v>907</v>
      </c>
      <c r="B676" s="1" t="s">
        <v>388</v>
      </c>
      <c r="C676" s="1" t="s">
        <v>30</v>
      </c>
      <c r="D676" s="1" t="s">
        <v>31</v>
      </c>
      <c r="E676" s="1" t="s">
        <v>16</v>
      </c>
      <c r="F676" s="1" t="s">
        <v>17</v>
      </c>
      <c r="G676" s="1" t="s">
        <v>26</v>
      </c>
      <c r="H676" s="1">
        <v>16627</v>
      </c>
      <c r="I676" s="1" t="s">
        <v>19</v>
      </c>
      <c r="J676" s="1">
        <v>0.2</v>
      </c>
      <c r="K676" s="1">
        <v>17000</v>
      </c>
      <c r="L676" s="2">
        <v>45318</v>
      </c>
    </row>
    <row r="677" spans="1:12" x14ac:dyDescent="0.35">
      <c r="A677" s="1" t="s">
        <v>908</v>
      </c>
      <c r="B677" s="1" t="s">
        <v>82</v>
      </c>
      <c r="C677" s="1" t="s">
        <v>61</v>
      </c>
      <c r="D677" s="1" t="s">
        <v>62</v>
      </c>
      <c r="E677" s="1" t="s">
        <v>32</v>
      </c>
      <c r="F677" s="1" t="s">
        <v>17</v>
      </c>
      <c r="G677" s="1" t="s">
        <v>26</v>
      </c>
      <c r="H677" s="1">
        <v>9272</v>
      </c>
      <c r="I677" s="1"/>
      <c r="J677" s="1"/>
      <c r="K677" s="1">
        <v>9000</v>
      </c>
      <c r="L677" s="2">
        <v>45308</v>
      </c>
    </row>
    <row r="678" spans="1:12" x14ac:dyDescent="0.35">
      <c r="A678" s="1" t="s">
        <v>909</v>
      </c>
      <c r="B678" s="1" t="s">
        <v>118</v>
      </c>
      <c r="C678" s="1" t="s">
        <v>30</v>
      </c>
      <c r="D678" s="1" t="s">
        <v>31</v>
      </c>
      <c r="E678" s="1" t="s">
        <v>16</v>
      </c>
      <c r="F678" s="1" t="s">
        <v>17</v>
      </c>
      <c r="G678" s="1" t="s">
        <v>26</v>
      </c>
      <c r="H678" s="1">
        <v>15565</v>
      </c>
      <c r="I678" s="1" t="s">
        <v>22</v>
      </c>
      <c r="J678" s="1">
        <v>0.1</v>
      </c>
      <c r="K678" s="1">
        <v>17000</v>
      </c>
      <c r="L678" s="2">
        <v>45339</v>
      </c>
    </row>
    <row r="679" spans="1:12" x14ac:dyDescent="0.35">
      <c r="A679" s="1" t="s">
        <v>910</v>
      </c>
      <c r="B679" s="1" t="s">
        <v>29</v>
      </c>
      <c r="C679" s="1" t="s">
        <v>44</v>
      </c>
      <c r="D679" s="1" t="s">
        <v>45</v>
      </c>
      <c r="E679" s="1" t="s">
        <v>32</v>
      </c>
      <c r="F679" s="1" t="s">
        <v>25</v>
      </c>
      <c r="G679" s="1" t="s">
        <v>26</v>
      </c>
      <c r="H679" s="1">
        <v>12640</v>
      </c>
      <c r="I679" s="1" t="s">
        <v>33</v>
      </c>
      <c r="J679" s="1">
        <v>0.3</v>
      </c>
      <c r="K679" s="1">
        <v>13000</v>
      </c>
      <c r="L679" s="2">
        <v>45343</v>
      </c>
    </row>
    <row r="680" spans="1:12" x14ac:dyDescent="0.35">
      <c r="A680" s="1" t="s">
        <v>911</v>
      </c>
      <c r="B680" s="1" t="s">
        <v>382</v>
      </c>
      <c r="C680" s="1" t="s">
        <v>14</v>
      </c>
      <c r="D680" s="1" t="s">
        <v>15</v>
      </c>
      <c r="E680" s="1" t="s">
        <v>32</v>
      </c>
      <c r="F680" s="1" t="s">
        <v>17</v>
      </c>
      <c r="G680" s="1" t="s">
        <v>26</v>
      </c>
      <c r="H680" s="1">
        <v>12021</v>
      </c>
      <c r="I680" s="1" t="s">
        <v>22</v>
      </c>
      <c r="J680" s="1">
        <v>0.1</v>
      </c>
      <c r="K680" s="1">
        <v>14000</v>
      </c>
      <c r="L680" s="2">
        <v>45344</v>
      </c>
    </row>
    <row r="681" spans="1:12" x14ac:dyDescent="0.35">
      <c r="A681" s="1" t="s">
        <v>912</v>
      </c>
      <c r="B681" s="1" t="s">
        <v>429</v>
      </c>
      <c r="C681" s="1" t="s">
        <v>61</v>
      </c>
      <c r="D681" s="1" t="s">
        <v>62</v>
      </c>
      <c r="E681" s="1" t="s">
        <v>32</v>
      </c>
      <c r="F681" s="1" t="s">
        <v>25</v>
      </c>
      <c r="G681" s="1" t="s">
        <v>36</v>
      </c>
      <c r="H681" s="1">
        <v>7908</v>
      </c>
      <c r="I681" s="1" t="s">
        <v>33</v>
      </c>
      <c r="J681" s="1">
        <v>0.3</v>
      </c>
      <c r="K681" s="1">
        <v>9000</v>
      </c>
      <c r="L681" s="2">
        <v>45297</v>
      </c>
    </row>
    <row r="682" spans="1:12" x14ac:dyDescent="0.35">
      <c r="A682" s="1" t="s">
        <v>913</v>
      </c>
      <c r="B682" s="1" t="s">
        <v>359</v>
      </c>
      <c r="C682" s="1" t="s">
        <v>61</v>
      </c>
      <c r="D682" s="1" t="s">
        <v>62</v>
      </c>
      <c r="E682" s="1" t="s">
        <v>46</v>
      </c>
      <c r="F682" s="1" t="s">
        <v>39</v>
      </c>
      <c r="G682" s="1" t="s">
        <v>26</v>
      </c>
      <c r="H682" s="1">
        <v>9134</v>
      </c>
      <c r="I682" s="1" t="s">
        <v>33</v>
      </c>
      <c r="J682" s="1">
        <v>0.3</v>
      </c>
      <c r="K682" s="1">
        <v>9000</v>
      </c>
      <c r="L682" s="2">
        <v>45337</v>
      </c>
    </row>
    <row r="683" spans="1:12" x14ac:dyDescent="0.35">
      <c r="A683" s="1" t="s">
        <v>914</v>
      </c>
      <c r="B683" s="1" t="s">
        <v>359</v>
      </c>
      <c r="C683" s="1" t="s">
        <v>44</v>
      </c>
      <c r="D683" s="1" t="s">
        <v>45</v>
      </c>
      <c r="E683" s="1" t="s">
        <v>16</v>
      </c>
      <c r="F683" s="1" t="s">
        <v>17</v>
      </c>
      <c r="G683" s="1" t="s">
        <v>36</v>
      </c>
      <c r="H683" s="1">
        <v>11043</v>
      </c>
      <c r="I683" s="1" t="s">
        <v>19</v>
      </c>
      <c r="J683" s="1">
        <v>0.2</v>
      </c>
      <c r="K683" s="1">
        <v>13000</v>
      </c>
      <c r="L683" s="2">
        <v>45346</v>
      </c>
    </row>
    <row r="684" spans="1:12" x14ac:dyDescent="0.35">
      <c r="A684" s="1" t="s">
        <v>915</v>
      </c>
      <c r="B684" s="1" t="s">
        <v>270</v>
      </c>
      <c r="C684" s="1" t="s">
        <v>30</v>
      </c>
      <c r="D684" s="1" t="s">
        <v>31</v>
      </c>
      <c r="E684" s="1" t="s">
        <v>32</v>
      </c>
      <c r="F684" s="1" t="s">
        <v>25</v>
      </c>
      <c r="G684" s="1" t="s">
        <v>26</v>
      </c>
      <c r="H684" s="1">
        <v>17091</v>
      </c>
      <c r="I684" s="1" t="s">
        <v>27</v>
      </c>
      <c r="J684" s="1"/>
      <c r="K684" s="1">
        <v>17000</v>
      </c>
      <c r="L684" s="2">
        <v>45336</v>
      </c>
    </row>
    <row r="685" spans="1:12" x14ac:dyDescent="0.35">
      <c r="A685" s="1" t="s">
        <v>916</v>
      </c>
      <c r="B685" s="1" t="s">
        <v>56</v>
      </c>
      <c r="C685" s="1" t="s">
        <v>44</v>
      </c>
      <c r="D685" s="1" t="s">
        <v>45</v>
      </c>
      <c r="E685" s="1" t="s">
        <v>16</v>
      </c>
      <c r="F685" s="1" t="s">
        <v>25</v>
      </c>
      <c r="G685" s="1" t="s">
        <v>36</v>
      </c>
      <c r="H685" s="1">
        <v>11979</v>
      </c>
      <c r="I685" s="1" t="s">
        <v>22</v>
      </c>
      <c r="J685" s="1">
        <v>0.1</v>
      </c>
      <c r="K685" s="1">
        <v>13000</v>
      </c>
      <c r="L685" s="2">
        <v>45302</v>
      </c>
    </row>
    <row r="686" spans="1:12" x14ac:dyDescent="0.35">
      <c r="A686" s="1" t="s">
        <v>917</v>
      </c>
      <c r="B686" s="1" t="s">
        <v>263</v>
      </c>
      <c r="C686" s="1" t="s">
        <v>61</v>
      </c>
      <c r="D686" s="1" t="s">
        <v>62</v>
      </c>
      <c r="E686" s="1" t="s">
        <v>46</v>
      </c>
      <c r="F686" s="1" t="s">
        <v>39</v>
      </c>
      <c r="G686" s="1" t="s">
        <v>36</v>
      </c>
      <c r="H686" s="1">
        <v>8660</v>
      </c>
      <c r="I686" s="1" t="s">
        <v>27</v>
      </c>
      <c r="J686" s="1"/>
      <c r="K686" s="1">
        <v>9000</v>
      </c>
      <c r="L686" s="2">
        <v>45304</v>
      </c>
    </row>
    <row r="687" spans="1:12" x14ac:dyDescent="0.35">
      <c r="A687" s="1" t="s">
        <v>918</v>
      </c>
      <c r="B687" s="1" t="s">
        <v>184</v>
      </c>
      <c r="C687" s="1" t="s">
        <v>14</v>
      </c>
      <c r="D687" s="1" t="s">
        <v>15</v>
      </c>
      <c r="E687" s="1" t="s">
        <v>32</v>
      </c>
      <c r="F687" s="1" t="s">
        <v>39</v>
      </c>
      <c r="G687" s="1" t="s">
        <v>36</v>
      </c>
      <c r="H687" s="1">
        <v>14974</v>
      </c>
      <c r="I687" s="1" t="s">
        <v>27</v>
      </c>
      <c r="J687" s="1"/>
      <c r="K687" s="1">
        <v>14000</v>
      </c>
      <c r="L687" s="2">
        <v>45350</v>
      </c>
    </row>
    <row r="688" spans="1:12" x14ac:dyDescent="0.35">
      <c r="A688" s="1" t="s">
        <v>919</v>
      </c>
      <c r="B688" s="1" t="s">
        <v>920</v>
      </c>
      <c r="C688" s="1" t="s">
        <v>30</v>
      </c>
      <c r="D688" s="1" t="s">
        <v>31</v>
      </c>
      <c r="E688" s="1" t="s">
        <v>46</v>
      </c>
      <c r="F688" s="1" t="s">
        <v>25</v>
      </c>
      <c r="G688" s="1" t="s">
        <v>26</v>
      </c>
      <c r="H688" s="1">
        <v>18944</v>
      </c>
      <c r="I688" s="1" t="s">
        <v>19</v>
      </c>
      <c r="J688" s="1">
        <v>0.2</v>
      </c>
      <c r="K688" s="1">
        <v>17000</v>
      </c>
      <c r="L688" s="2">
        <v>45321</v>
      </c>
    </row>
    <row r="689" spans="1:12" x14ac:dyDescent="0.35">
      <c r="A689" s="1" t="s">
        <v>921</v>
      </c>
      <c r="B689" s="1" t="s">
        <v>137</v>
      </c>
      <c r="C689" s="1" t="s">
        <v>14</v>
      </c>
      <c r="D689" s="1" t="s">
        <v>15</v>
      </c>
      <c r="E689" s="1" t="s">
        <v>46</v>
      </c>
      <c r="F689" s="1" t="s">
        <v>25</v>
      </c>
      <c r="G689" s="1" t="s">
        <v>36</v>
      </c>
      <c r="H689" s="1">
        <v>14073</v>
      </c>
      <c r="I689" s="1" t="s">
        <v>22</v>
      </c>
      <c r="J689" s="1">
        <v>0.1</v>
      </c>
      <c r="K689" s="1">
        <v>14000</v>
      </c>
      <c r="L689" s="2">
        <v>45327</v>
      </c>
    </row>
    <row r="690" spans="1:12" x14ac:dyDescent="0.35">
      <c r="A690" s="1" t="s">
        <v>922</v>
      </c>
      <c r="B690" s="1" t="s">
        <v>241</v>
      </c>
      <c r="C690" s="1" t="s">
        <v>30</v>
      </c>
      <c r="D690" s="1" t="s">
        <v>31</v>
      </c>
      <c r="E690" s="1" t="s">
        <v>46</v>
      </c>
      <c r="F690" s="1" t="s">
        <v>25</v>
      </c>
      <c r="G690" s="1" t="s">
        <v>26</v>
      </c>
      <c r="H690" s="1">
        <v>18918</v>
      </c>
      <c r="I690" s="1" t="s">
        <v>33</v>
      </c>
      <c r="J690" s="1">
        <v>0.3</v>
      </c>
      <c r="K690" s="1">
        <v>17000</v>
      </c>
      <c r="L690" s="2">
        <v>45348</v>
      </c>
    </row>
    <row r="691" spans="1:12" x14ac:dyDescent="0.35">
      <c r="A691" s="1" t="s">
        <v>923</v>
      </c>
      <c r="B691" s="1" t="s">
        <v>105</v>
      </c>
      <c r="C691" s="1" t="s">
        <v>30</v>
      </c>
      <c r="D691" s="1" t="s">
        <v>31</v>
      </c>
      <c r="E691" s="1" t="s">
        <v>16</v>
      </c>
      <c r="F691" s="1" t="s">
        <v>17</v>
      </c>
      <c r="G691" s="1" t="s">
        <v>36</v>
      </c>
      <c r="H691" s="1">
        <v>17306</v>
      </c>
      <c r="I691" s="1"/>
      <c r="J691" s="1"/>
      <c r="K691" s="1">
        <v>17000</v>
      </c>
      <c r="L691" s="2">
        <v>45341</v>
      </c>
    </row>
    <row r="692" spans="1:12" x14ac:dyDescent="0.35">
      <c r="A692" s="1" t="s">
        <v>924</v>
      </c>
      <c r="B692" s="1" t="s">
        <v>401</v>
      </c>
      <c r="C692" s="1" t="s">
        <v>30</v>
      </c>
      <c r="D692" s="1" t="s">
        <v>31</v>
      </c>
      <c r="E692" s="1" t="s">
        <v>46</v>
      </c>
      <c r="F692" s="1" t="s">
        <v>39</v>
      </c>
      <c r="G692" s="1" t="s">
        <v>36</v>
      </c>
      <c r="H692" s="1">
        <v>18672</v>
      </c>
      <c r="I692" s="1" t="s">
        <v>27</v>
      </c>
      <c r="J692" s="1"/>
      <c r="K692" s="1">
        <v>17000</v>
      </c>
      <c r="L692" s="2">
        <v>45347</v>
      </c>
    </row>
    <row r="693" spans="1:12" x14ac:dyDescent="0.35">
      <c r="A693" s="1" t="s">
        <v>925</v>
      </c>
      <c r="B693" s="1" t="s">
        <v>489</v>
      </c>
      <c r="C693" s="1" t="s">
        <v>14</v>
      </c>
      <c r="D693" s="1" t="s">
        <v>15</v>
      </c>
      <c r="E693" s="1" t="s">
        <v>46</v>
      </c>
      <c r="F693" s="1" t="s">
        <v>25</v>
      </c>
      <c r="G693" s="1" t="s">
        <v>36</v>
      </c>
      <c r="H693" s="1">
        <v>14595</v>
      </c>
      <c r="I693" s="1" t="s">
        <v>19</v>
      </c>
      <c r="J693" s="1">
        <v>0.2</v>
      </c>
      <c r="K693" s="1">
        <v>14000</v>
      </c>
      <c r="L693" s="2">
        <v>45335</v>
      </c>
    </row>
    <row r="694" spans="1:12" x14ac:dyDescent="0.35">
      <c r="A694" s="1" t="s">
        <v>926</v>
      </c>
      <c r="B694" s="1" t="s">
        <v>397</v>
      </c>
      <c r="C694" s="1" t="s">
        <v>30</v>
      </c>
      <c r="D694" s="1" t="s">
        <v>31</v>
      </c>
      <c r="E694" s="1" t="s">
        <v>46</v>
      </c>
      <c r="F694" s="1" t="s">
        <v>17</v>
      </c>
      <c r="G694" s="1" t="s">
        <v>26</v>
      </c>
      <c r="H694" s="1">
        <v>17194</v>
      </c>
      <c r="I694" s="1" t="s">
        <v>22</v>
      </c>
      <c r="J694" s="1">
        <v>0.1</v>
      </c>
      <c r="K694" s="1">
        <v>17000</v>
      </c>
      <c r="L694" s="2">
        <v>45336</v>
      </c>
    </row>
    <row r="695" spans="1:12" x14ac:dyDescent="0.35">
      <c r="A695" s="1" t="s">
        <v>927</v>
      </c>
      <c r="B695" s="1" t="s">
        <v>643</v>
      </c>
      <c r="C695" s="1" t="s">
        <v>44</v>
      </c>
      <c r="D695" s="1" t="s">
        <v>45</v>
      </c>
      <c r="E695" s="1" t="s">
        <v>46</v>
      </c>
      <c r="F695" s="1" t="s">
        <v>25</v>
      </c>
      <c r="G695" s="1" t="s">
        <v>36</v>
      </c>
      <c r="H695" s="1">
        <v>13759</v>
      </c>
      <c r="I695" s="1" t="s">
        <v>33</v>
      </c>
      <c r="J695" s="1">
        <v>0.3</v>
      </c>
      <c r="K695" s="1">
        <v>13000</v>
      </c>
      <c r="L695" s="2">
        <v>45296</v>
      </c>
    </row>
    <row r="696" spans="1:12" x14ac:dyDescent="0.35">
      <c r="A696" s="1" t="s">
        <v>928</v>
      </c>
      <c r="B696" s="1" t="s">
        <v>80</v>
      </c>
      <c r="C696" s="1" t="s">
        <v>61</v>
      </c>
      <c r="D696" s="1" t="s">
        <v>62</v>
      </c>
      <c r="E696" s="1" t="s">
        <v>46</v>
      </c>
      <c r="F696" s="1" t="s">
        <v>17</v>
      </c>
      <c r="G696" s="1" t="s">
        <v>18</v>
      </c>
      <c r="H696" s="1">
        <v>10663</v>
      </c>
      <c r="I696" s="1" t="s">
        <v>27</v>
      </c>
      <c r="J696" s="1"/>
      <c r="K696" s="1">
        <v>9000</v>
      </c>
      <c r="L696" s="2">
        <v>45309</v>
      </c>
    </row>
    <row r="697" spans="1:12" x14ac:dyDescent="0.35">
      <c r="A697" s="1" t="s">
        <v>929</v>
      </c>
      <c r="B697" s="1" t="s">
        <v>280</v>
      </c>
      <c r="C697" s="1" t="s">
        <v>44</v>
      </c>
      <c r="D697" s="1" t="s">
        <v>45</v>
      </c>
      <c r="E697" s="1" t="s">
        <v>46</v>
      </c>
      <c r="F697" s="1" t="s">
        <v>39</v>
      </c>
      <c r="G697" s="1" t="s">
        <v>18</v>
      </c>
      <c r="H697" s="1">
        <v>11961</v>
      </c>
      <c r="I697" s="1" t="s">
        <v>19</v>
      </c>
      <c r="J697" s="1">
        <v>0.2</v>
      </c>
      <c r="K697" s="1">
        <v>13000</v>
      </c>
      <c r="L697" s="2">
        <v>45347</v>
      </c>
    </row>
    <row r="698" spans="1:12" x14ac:dyDescent="0.35">
      <c r="A698" s="1" t="s">
        <v>930</v>
      </c>
      <c r="B698" s="1" t="s">
        <v>289</v>
      </c>
      <c r="C698" s="1" t="s">
        <v>44</v>
      </c>
      <c r="D698" s="1" t="s">
        <v>45</v>
      </c>
      <c r="E698" s="1" t="s">
        <v>32</v>
      </c>
      <c r="F698" s="1" t="s">
        <v>25</v>
      </c>
      <c r="G698" s="1" t="s">
        <v>26</v>
      </c>
      <c r="H698" s="1">
        <v>12458</v>
      </c>
      <c r="I698" s="1" t="s">
        <v>19</v>
      </c>
      <c r="J698" s="1">
        <v>0.2</v>
      </c>
      <c r="K698" s="1">
        <v>13000</v>
      </c>
      <c r="L698" s="2">
        <v>45341</v>
      </c>
    </row>
    <row r="699" spans="1:12" x14ac:dyDescent="0.35">
      <c r="A699" s="1" t="s">
        <v>931</v>
      </c>
      <c r="B699" s="1" t="s">
        <v>78</v>
      </c>
      <c r="C699" s="1" t="s">
        <v>14</v>
      </c>
      <c r="D699" s="1" t="s">
        <v>15</v>
      </c>
      <c r="E699" s="1" t="s">
        <v>16</v>
      </c>
      <c r="F699" s="1" t="s">
        <v>39</v>
      </c>
      <c r="G699" s="1" t="s">
        <v>36</v>
      </c>
      <c r="H699" s="1">
        <v>14514</v>
      </c>
      <c r="I699" s="1" t="s">
        <v>22</v>
      </c>
      <c r="J699" s="1">
        <v>0.1</v>
      </c>
      <c r="K699" s="1">
        <v>14000</v>
      </c>
      <c r="L699" s="2">
        <v>45340</v>
      </c>
    </row>
    <row r="700" spans="1:12" x14ac:dyDescent="0.35">
      <c r="A700" s="1" t="s">
        <v>932</v>
      </c>
      <c r="B700" s="1" t="s">
        <v>144</v>
      </c>
      <c r="C700" s="1" t="s">
        <v>14</v>
      </c>
      <c r="D700" s="1" t="s">
        <v>15</v>
      </c>
      <c r="E700" s="1" t="s">
        <v>46</v>
      </c>
      <c r="F700" s="1" t="s">
        <v>17</v>
      </c>
      <c r="G700" s="1" t="s">
        <v>26</v>
      </c>
      <c r="H700" s="1">
        <v>13291</v>
      </c>
      <c r="I700" s="1"/>
      <c r="J700" s="1"/>
      <c r="K700" s="1">
        <v>14000</v>
      </c>
      <c r="L700" s="2">
        <v>45349</v>
      </c>
    </row>
    <row r="701" spans="1:12" x14ac:dyDescent="0.35">
      <c r="A701" s="1" t="s">
        <v>933</v>
      </c>
      <c r="B701" s="1" t="s">
        <v>60</v>
      </c>
      <c r="C701" s="1" t="s">
        <v>30</v>
      </c>
      <c r="D701" s="1" t="s">
        <v>31</v>
      </c>
      <c r="E701" s="1" t="s">
        <v>46</v>
      </c>
      <c r="F701" s="1" t="s">
        <v>25</v>
      </c>
      <c r="G701" s="1" t="s">
        <v>26</v>
      </c>
      <c r="H701" s="1">
        <v>16147</v>
      </c>
      <c r="I701" s="1"/>
      <c r="J701" s="1"/>
      <c r="K701" s="1">
        <v>17000</v>
      </c>
      <c r="L701" s="2">
        <v>45306</v>
      </c>
    </row>
    <row r="702" spans="1:12" x14ac:dyDescent="0.35">
      <c r="A702" s="1" t="s">
        <v>934</v>
      </c>
      <c r="B702" s="1" t="s">
        <v>522</v>
      </c>
      <c r="C702" s="1" t="s">
        <v>44</v>
      </c>
      <c r="D702" s="1" t="s">
        <v>45</v>
      </c>
      <c r="E702" s="1" t="s">
        <v>32</v>
      </c>
      <c r="F702" s="1" t="s">
        <v>39</v>
      </c>
      <c r="G702" s="1" t="s">
        <v>36</v>
      </c>
      <c r="H702" s="1">
        <v>12959</v>
      </c>
      <c r="I702" s="1" t="s">
        <v>27</v>
      </c>
      <c r="J702" s="1"/>
      <c r="K702" s="1">
        <v>13000</v>
      </c>
      <c r="L702" s="2">
        <v>45294</v>
      </c>
    </row>
    <row r="703" spans="1:12" x14ac:dyDescent="0.35">
      <c r="A703" s="1" t="s">
        <v>935</v>
      </c>
      <c r="B703" s="1" t="s">
        <v>217</v>
      </c>
      <c r="C703" s="1" t="s">
        <v>61</v>
      </c>
      <c r="D703" s="1" t="s">
        <v>62</v>
      </c>
      <c r="E703" s="1" t="s">
        <v>16</v>
      </c>
      <c r="F703" s="1" t="s">
        <v>25</v>
      </c>
      <c r="G703" s="1" t="s">
        <v>36</v>
      </c>
      <c r="H703" s="1">
        <v>10999</v>
      </c>
      <c r="I703" s="1" t="s">
        <v>22</v>
      </c>
      <c r="J703" s="1">
        <v>0.1</v>
      </c>
      <c r="K703" s="1">
        <v>9000</v>
      </c>
      <c r="L703" s="2">
        <v>45336</v>
      </c>
    </row>
    <row r="704" spans="1:12" x14ac:dyDescent="0.35">
      <c r="A704" s="1" t="s">
        <v>936</v>
      </c>
      <c r="B704" s="1" t="s">
        <v>544</v>
      </c>
      <c r="C704" s="1" t="s">
        <v>30</v>
      </c>
      <c r="D704" s="1" t="s">
        <v>31</v>
      </c>
      <c r="E704" s="1" t="s">
        <v>16</v>
      </c>
      <c r="F704" s="1" t="s">
        <v>25</v>
      </c>
      <c r="G704" s="1" t="s">
        <v>18</v>
      </c>
      <c r="H704" s="1">
        <v>17761</v>
      </c>
      <c r="I704" s="1" t="s">
        <v>19</v>
      </c>
      <c r="J704" s="1">
        <v>0.2</v>
      </c>
      <c r="K704" s="1">
        <v>17000</v>
      </c>
      <c r="L704" s="2">
        <v>45316</v>
      </c>
    </row>
    <row r="705" spans="1:12" x14ac:dyDescent="0.35">
      <c r="A705" s="1" t="s">
        <v>937</v>
      </c>
      <c r="B705" s="1" t="s">
        <v>107</v>
      </c>
      <c r="C705" s="1" t="s">
        <v>30</v>
      </c>
      <c r="D705" s="1" t="s">
        <v>31</v>
      </c>
      <c r="E705" s="1" t="s">
        <v>46</v>
      </c>
      <c r="F705" s="1" t="s">
        <v>39</v>
      </c>
      <c r="G705" s="1" t="s">
        <v>36</v>
      </c>
      <c r="H705" s="1">
        <v>15766</v>
      </c>
      <c r="I705" s="1" t="s">
        <v>27</v>
      </c>
      <c r="J705" s="1"/>
      <c r="K705" s="1">
        <v>17000</v>
      </c>
      <c r="L705" s="2">
        <v>45308</v>
      </c>
    </row>
    <row r="706" spans="1:12" x14ac:dyDescent="0.35">
      <c r="A706" s="1" t="s">
        <v>938</v>
      </c>
      <c r="B706" s="1" t="s">
        <v>939</v>
      </c>
      <c r="C706" s="1" t="s">
        <v>61</v>
      </c>
      <c r="D706" s="1" t="s">
        <v>62</v>
      </c>
      <c r="E706" s="1" t="s">
        <v>16</v>
      </c>
      <c r="F706" s="1" t="s">
        <v>17</v>
      </c>
      <c r="G706" s="1" t="s">
        <v>36</v>
      </c>
      <c r="H706" s="1">
        <v>7753</v>
      </c>
      <c r="I706" s="1"/>
      <c r="J706" s="1"/>
      <c r="K706" s="1">
        <v>9000</v>
      </c>
      <c r="L706" s="2">
        <v>45319</v>
      </c>
    </row>
    <row r="707" spans="1:12" x14ac:dyDescent="0.35">
      <c r="A707" s="1" t="s">
        <v>940</v>
      </c>
      <c r="B707" s="1" t="s">
        <v>414</v>
      </c>
      <c r="C707" s="1" t="s">
        <v>30</v>
      </c>
      <c r="D707" s="1" t="s">
        <v>31</v>
      </c>
      <c r="E707" s="1" t="s">
        <v>46</v>
      </c>
      <c r="F707" s="1" t="s">
        <v>17</v>
      </c>
      <c r="G707" s="1" t="s">
        <v>36</v>
      </c>
      <c r="H707" s="1">
        <v>16846</v>
      </c>
      <c r="I707" s="1" t="s">
        <v>19</v>
      </c>
      <c r="J707" s="1">
        <v>0.2</v>
      </c>
      <c r="K707" s="1">
        <v>17000</v>
      </c>
      <c r="L707" s="2">
        <v>45328</v>
      </c>
    </row>
    <row r="708" spans="1:12" x14ac:dyDescent="0.35">
      <c r="A708" s="1" t="s">
        <v>941</v>
      </c>
      <c r="B708" s="1" t="s">
        <v>720</v>
      </c>
      <c r="C708" s="1" t="s">
        <v>44</v>
      </c>
      <c r="D708" s="1" t="s">
        <v>45</v>
      </c>
      <c r="E708" s="1" t="s">
        <v>32</v>
      </c>
      <c r="F708" s="1" t="s">
        <v>39</v>
      </c>
      <c r="G708" s="1" t="s">
        <v>36</v>
      </c>
      <c r="H708" s="1">
        <v>14293</v>
      </c>
      <c r="I708" s="1" t="s">
        <v>19</v>
      </c>
      <c r="J708" s="1">
        <v>0.2</v>
      </c>
      <c r="K708" s="1">
        <v>13000</v>
      </c>
      <c r="L708" s="2">
        <v>45327</v>
      </c>
    </row>
    <row r="709" spans="1:12" x14ac:dyDescent="0.35">
      <c r="A709" s="1" t="s">
        <v>942</v>
      </c>
      <c r="B709" s="1" t="s">
        <v>309</v>
      </c>
      <c r="C709" s="1" t="s">
        <v>61</v>
      </c>
      <c r="D709" s="1" t="s">
        <v>62</v>
      </c>
      <c r="E709" s="1" t="s">
        <v>32</v>
      </c>
      <c r="F709" s="1" t="s">
        <v>25</v>
      </c>
      <c r="G709" s="1" t="s">
        <v>26</v>
      </c>
      <c r="H709" s="1">
        <v>7612</v>
      </c>
      <c r="I709" s="1"/>
      <c r="J709" s="1"/>
      <c r="K709" s="1">
        <v>9000</v>
      </c>
      <c r="L709" s="2">
        <v>45343</v>
      </c>
    </row>
    <row r="710" spans="1:12" x14ac:dyDescent="0.35">
      <c r="A710" s="1" t="s">
        <v>943</v>
      </c>
      <c r="B710" s="1" t="s">
        <v>243</v>
      </c>
      <c r="C710" s="1" t="s">
        <v>61</v>
      </c>
      <c r="D710" s="1" t="s">
        <v>62</v>
      </c>
      <c r="E710" s="1" t="s">
        <v>46</v>
      </c>
      <c r="F710" s="1" t="s">
        <v>25</v>
      </c>
      <c r="G710" s="1" t="s">
        <v>26</v>
      </c>
      <c r="H710" s="1">
        <v>9117</v>
      </c>
      <c r="I710" s="1" t="s">
        <v>27</v>
      </c>
      <c r="J710" s="1"/>
      <c r="K710" s="1">
        <v>9000</v>
      </c>
      <c r="L710" s="2">
        <v>45338</v>
      </c>
    </row>
    <row r="711" spans="1:12" x14ac:dyDescent="0.35">
      <c r="A711" s="1" t="s">
        <v>944</v>
      </c>
      <c r="B711" s="1" t="s">
        <v>478</v>
      </c>
      <c r="C711" s="1" t="s">
        <v>61</v>
      </c>
      <c r="D711" s="1" t="s">
        <v>62</v>
      </c>
      <c r="E711" s="1" t="s">
        <v>46</v>
      </c>
      <c r="F711" s="1" t="s">
        <v>17</v>
      </c>
      <c r="G711" s="1" t="s">
        <v>26</v>
      </c>
      <c r="H711" s="1">
        <v>10516</v>
      </c>
      <c r="I711" s="1" t="s">
        <v>27</v>
      </c>
      <c r="J711" s="1"/>
      <c r="K711" s="1">
        <v>9000</v>
      </c>
      <c r="L711" s="2">
        <v>45295</v>
      </c>
    </row>
    <row r="712" spans="1:12" x14ac:dyDescent="0.35">
      <c r="A712" s="1" t="s">
        <v>945</v>
      </c>
      <c r="B712" s="1" t="s">
        <v>41</v>
      </c>
      <c r="C712" s="1" t="s">
        <v>44</v>
      </c>
      <c r="D712" s="1" t="s">
        <v>45</v>
      </c>
      <c r="E712" s="1" t="s">
        <v>32</v>
      </c>
      <c r="F712" s="1" t="s">
        <v>25</v>
      </c>
      <c r="G712" s="1" t="s">
        <v>36</v>
      </c>
      <c r="H712" s="1">
        <v>12951</v>
      </c>
      <c r="I712" s="1" t="s">
        <v>22</v>
      </c>
      <c r="J712" s="1">
        <v>0.1</v>
      </c>
      <c r="K712" s="1">
        <v>13000</v>
      </c>
      <c r="L712" s="2">
        <v>45320</v>
      </c>
    </row>
    <row r="713" spans="1:12" x14ac:dyDescent="0.35">
      <c r="A713" s="1" t="s">
        <v>946</v>
      </c>
      <c r="B713" s="1" t="s">
        <v>577</v>
      </c>
      <c r="C713" s="1" t="s">
        <v>30</v>
      </c>
      <c r="D713" s="1" t="s">
        <v>31</v>
      </c>
      <c r="E713" s="1" t="s">
        <v>46</v>
      </c>
      <c r="F713" s="1" t="s">
        <v>17</v>
      </c>
      <c r="G713" s="1" t="s">
        <v>26</v>
      </c>
      <c r="H713" s="1">
        <v>17283</v>
      </c>
      <c r="I713" s="1" t="s">
        <v>33</v>
      </c>
      <c r="J713" s="1">
        <v>0.3</v>
      </c>
      <c r="K713" s="1">
        <v>17000</v>
      </c>
      <c r="L713" s="2">
        <v>45314</v>
      </c>
    </row>
    <row r="714" spans="1:12" x14ac:dyDescent="0.35">
      <c r="A714" s="1" t="s">
        <v>947</v>
      </c>
      <c r="B714" s="1" t="s">
        <v>406</v>
      </c>
      <c r="C714" s="1" t="s">
        <v>14</v>
      </c>
      <c r="D714" s="1" t="s">
        <v>15</v>
      </c>
      <c r="E714" s="1" t="s">
        <v>46</v>
      </c>
      <c r="F714" s="1" t="s">
        <v>39</v>
      </c>
      <c r="G714" s="1" t="s">
        <v>26</v>
      </c>
      <c r="H714" s="1">
        <v>12814</v>
      </c>
      <c r="I714" s="1" t="s">
        <v>27</v>
      </c>
      <c r="J714" s="1"/>
      <c r="K714" s="1">
        <v>14000</v>
      </c>
      <c r="L714" s="2">
        <v>45328</v>
      </c>
    </row>
    <row r="715" spans="1:12" x14ac:dyDescent="0.35">
      <c r="A715" s="1" t="s">
        <v>948</v>
      </c>
      <c r="B715" s="1" t="s">
        <v>92</v>
      </c>
      <c r="C715" s="1" t="s">
        <v>44</v>
      </c>
      <c r="D715" s="1" t="s">
        <v>45</v>
      </c>
      <c r="E715" s="1" t="s">
        <v>46</v>
      </c>
      <c r="F715" s="1" t="s">
        <v>17</v>
      </c>
      <c r="G715" s="1" t="s">
        <v>36</v>
      </c>
      <c r="H715" s="1">
        <v>13757</v>
      </c>
      <c r="I715" s="1" t="s">
        <v>27</v>
      </c>
      <c r="J715" s="1"/>
      <c r="K715" s="1">
        <v>13000</v>
      </c>
      <c r="L715" s="2">
        <v>45323</v>
      </c>
    </row>
    <row r="716" spans="1:12" x14ac:dyDescent="0.35">
      <c r="A716" s="1" t="s">
        <v>949</v>
      </c>
      <c r="B716" s="1" t="s">
        <v>296</v>
      </c>
      <c r="C716" s="1" t="s">
        <v>61</v>
      </c>
      <c r="D716" s="1" t="s">
        <v>62</v>
      </c>
      <c r="E716" s="1" t="s">
        <v>32</v>
      </c>
      <c r="F716" s="1" t="s">
        <v>17</v>
      </c>
      <c r="G716" s="1" t="s">
        <v>26</v>
      </c>
      <c r="H716" s="1">
        <v>8173</v>
      </c>
      <c r="I716" s="1"/>
      <c r="J716" s="1"/>
      <c r="K716" s="1">
        <v>9000</v>
      </c>
      <c r="L716" s="2">
        <v>45332</v>
      </c>
    </row>
    <row r="717" spans="1:12" x14ac:dyDescent="0.35">
      <c r="A717" s="1" t="s">
        <v>950</v>
      </c>
      <c r="B717" s="1" t="s">
        <v>619</v>
      </c>
      <c r="C717" s="1" t="s">
        <v>44</v>
      </c>
      <c r="D717" s="1" t="s">
        <v>45</v>
      </c>
      <c r="E717" s="1" t="s">
        <v>16</v>
      </c>
      <c r="F717" s="1" t="s">
        <v>17</v>
      </c>
      <c r="G717" s="1" t="s">
        <v>36</v>
      </c>
      <c r="H717" s="1">
        <v>13585</v>
      </c>
      <c r="I717" s="1" t="s">
        <v>27</v>
      </c>
      <c r="J717" s="1"/>
      <c r="K717" s="1">
        <v>13000</v>
      </c>
      <c r="L717" s="2">
        <v>45328</v>
      </c>
    </row>
    <row r="718" spans="1:12" x14ac:dyDescent="0.35">
      <c r="A718" s="1" t="s">
        <v>951</v>
      </c>
      <c r="B718" s="1" t="s">
        <v>309</v>
      </c>
      <c r="C718" s="1" t="s">
        <v>14</v>
      </c>
      <c r="D718" s="1" t="s">
        <v>15</v>
      </c>
      <c r="E718" s="1" t="s">
        <v>32</v>
      </c>
      <c r="F718" s="1" t="s">
        <v>25</v>
      </c>
      <c r="G718" s="1" t="s">
        <v>36</v>
      </c>
      <c r="H718" s="1">
        <v>12934</v>
      </c>
      <c r="I718" s="1" t="s">
        <v>33</v>
      </c>
      <c r="J718" s="1">
        <v>0.3</v>
      </c>
      <c r="K718" s="1">
        <v>14000</v>
      </c>
      <c r="L718" s="2">
        <v>45312</v>
      </c>
    </row>
    <row r="719" spans="1:12" x14ac:dyDescent="0.35">
      <c r="A719" s="1" t="s">
        <v>952</v>
      </c>
      <c r="B719" s="1" t="s">
        <v>278</v>
      </c>
      <c r="C719" s="1" t="s">
        <v>30</v>
      </c>
      <c r="D719" s="1" t="s">
        <v>31</v>
      </c>
      <c r="E719" s="1" t="s">
        <v>16</v>
      </c>
      <c r="F719" s="1" t="s">
        <v>39</v>
      </c>
      <c r="G719" s="1" t="s">
        <v>36</v>
      </c>
      <c r="H719" s="1">
        <v>16111</v>
      </c>
      <c r="I719" s="1"/>
      <c r="J719" s="1"/>
      <c r="K719" s="1">
        <v>17000</v>
      </c>
      <c r="L719" s="2">
        <v>45341</v>
      </c>
    </row>
    <row r="720" spans="1:12" x14ac:dyDescent="0.35">
      <c r="A720" s="1" t="s">
        <v>953</v>
      </c>
      <c r="B720" s="1" t="s">
        <v>303</v>
      </c>
      <c r="C720" s="1" t="s">
        <v>61</v>
      </c>
      <c r="D720" s="1" t="s">
        <v>62</v>
      </c>
      <c r="E720" s="1" t="s">
        <v>46</v>
      </c>
      <c r="F720" s="1" t="s">
        <v>25</v>
      </c>
      <c r="G720" s="1" t="s">
        <v>18</v>
      </c>
      <c r="H720" s="1">
        <v>10498</v>
      </c>
      <c r="I720" s="1" t="s">
        <v>22</v>
      </c>
      <c r="J720" s="1">
        <v>0.1</v>
      </c>
      <c r="K720" s="1">
        <v>9000</v>
      </c>
      <c r="L720" s="2">
        <v>45300</v>
      </c>
    </row>
    <row r="721" spans="1:12" x14ac:dyDescent="0.35">
      <c r="A721" s="1" t="s">
        <v>954</v>
      </c>
      <c r="B721" s="1" t="s">
        <v>397</v>
      </c>
      <c r="C721" s="1" t="s">
        <v>30</v>
      </c>
      <c r="D721" s="1" t="s">
        <v>31</v>
      </c>
      <c r="E721" s="1" t="s">
        <v>16</v>
      </c>
      <c r="F721" s="1" t="s">
        <v>39</v>
      </c>
      <c r="G721" s="1" t="s">
        <v>26</v>
      </c>
      <c r="H721" s="1">
        <v>15327</v>
      </c>
      <c r="I721" s="1" t="s">
        <v>19</v>
      </c>
      <c r="J721" s="1">
        <v>0.2</v>
      </c>
      <c r="K721" s="1">
        <v>17000</v>
      </c>
      <c r="L721" s="2">
        <v>45302</v>
      </c>
    </row>
    <row r="722" spans="1:12" x14ac:dyDescent="0.35">
      <c r="A722" s="1" t="s">
        <v>955</v>
      </c>
      <c r="B722" s="1" t="s">
        <v>41</v>
      </c>
      <c r="C722" s="1" t="s">
        <v>14</v>
      </c>
      <c r="D722" s="1" t="s">
        <v>15</v>
      </c>
      <c r="E722" s="1" t="s">
        <v>32</v>
      </c>
      <c r="F722" s="1" t="s">
        <v>17</v>
      </c>
      <c r="G722" s="1" t="s">
        <v>26</v>
      </c>
      <c r="H722" s="1">
        <v>12220</v>
      </c>
      <c r="I722" s="1" t="s">
        <v>22</v>
      </c>
      <c r="J722" s="1">
        <v>0.1</v>
      </c>
      <c r="K722" s="1">
        <v>14000</v>
      </c>
      <c r="L722" s="2">
        <v>45341</v>
      </c>
    </row>
    <row r="723" spans="1:12" x14ac:dyDescent="0.35">
      <c r="A723" s="1" t="s">
        <v>956</v>
      </c>
      <c r="B723" s="1" t="s">
        <v>512</v>
      </c>
      <c r="C723" s="1" t="s">
        <v>14</v>
      </c>
      <c r="D723" s="1" t="s">
        <v>15</v>
      </c>
      <c r="E723" s="1" t="s">
        <v>32</v>
      </c>
      <c r="F723" s="1" t="s">
        <v>17</v>
      </c>
      <c r="G723" s="1" t="s">
        <v>26</v>
      </c>
      <c r="H723" s="1">
        <v>12636</v>
      </c>
      <c r="I723" s="1" t="s">
        <v>22</v>
      </c>
      <c r="J723" s="1">
        <v>0.1</v>
      </c>
      <c r="K723" s="1">
        <v>14000</v>
      </c>
      <c r="L723" s="2">
        <v>45333</v>
      </c>
    </row>
    <row r="724" spans="1:12" x14ac:dyDescent="0.35">
      <c r="A724" s="1" t="s">
        <v>957</v>
      </c>
      <c r="B724" s="1" t="s">
        <v>137</v>
      </c>
      <c r="C724" s="1" t="s">
        <v>30</v>
      </c>
      <c r="D724" s="1" t="s">
        <v>31</v>
      </c>
      <c r="E724" s="1" t="s">
        <v>32</v>
      </c>
      <c r="F724" s="1" t="s">
        <v>25</v>
      </c>
      <c r="G724" s="1" t="s">
        <v>26</v>
      </c>
      <c r="H724" s="1">
        <v>16163</v>
      </c>
      <c r="I724" s="1"/>
      <c r="J724" s="1"/>
      <c r="K724" s="1">
        <v>17000</v>
      </c>
      <c r="L724" s="2">
        <v>45332</v>
      </c>
    </row>
    <row r="725" spans="1:12" x14ac:dyDescent="0.35">
      <c r="A725" s="1" t="s">
        <v>958</v>
      </c>
      <c r="B725" s="1" t="s">
        <v>175</v>
      </c>
      <c r="C725" s="1" t="s">
        <v>44</v>
      </c>
      <c r="D725" s="1" t="s">
        <v>45</v>
      </c>
      <c r="E725" s="1" t="s">
        <v>32</v>
      </c>
      <c r="F725" s="1" t="s">
        <v>25</v>
      </c>
      <c r="G725" s="1" t="s">
        <v>26</v>
      </c>
      <c r="H725" s="1">
        <v>12461</v>
      </c>
      <c r="I725" s="1" t="s">
        <v>33</v>
      </c>
      <c r="J725" s="1">
        <v>0.3</v>
      </c>
      <c r="K725" s="1">
        <v>13000</v>
      </c>
      <c r="L725" s="2">
        <v>45347</v>
      </c>
    </row>
    <row r="726" spans="1:12" x14ac:dyDescent="0.35">
      <c r="A726" s="1" t="s">
        <v>959</v>
      </c>
      <c r="B726" s="1" t="s">
        <v>231</v>
      </c>
      <c r="C726" s="1" t="s">
        <v>30</v>
      </c>
      <c r="D726" s="1" t="s">
        <v>31</v>
      </c>
      <c r="E726" s="1" t="s">
        <v>16</v>
      </c>
      <c r="F726" s="1" t="s">
        <v>17</v>
      </c>
      <c r="G726" s="1" t="s">
        <v>18</v>
      </c>
      <c r="H726" s="1">
        <v>18971</v>
      </c>
      <c r="I726" s="1" t="s">
        <v>27</v>
      </c>
      <c r="J726" s="1"/>
      <c r="K726" s="1">
        <v>17000</v>
      </c>
      <c r="L726" s="2">
        <v>45303</v>
      </c>
    </row>
    <row r="727" spans="1:12" x14ac:dyDescent="0.35">
      <c r="A727" s="1" t="s">
        <v>960</v>
      </c>
      <c r="B727" s="1" t="s">
        <v>195</v>
      </c>
      <c r="C727" s="1" t="s">
        <v>61</v>
      </c>
      <c r="D727" s="1" t="s">
        <v>62</v>
      </c>
      <c r="E727" s="1" t="s">
        <v>16</v>
      </c>
      <c r="F727" s="1" t="s">
        <v>39</v>
      </c>
      <c r="G727" s="1" t="s">
        <v>26</v>
      </c>
      <c r="H727" s="1">
        <v>10593</v>
      </c>
      <c r="I727" s="1" t="s">
        <v>27</v>
      </c>
      <c r="J727" s="1"/>
      <c r="K727" s="1">
        <v>9000</v>
      </c>
      <c r="L727" s="2">
        <v>45319</v>
      </c>
    </row>
    <row r="728" spans="1:12" x14ac:dyDescent="0.35">
      <c r="A728" s="1" t="s">
        <v>961</v>
      </c>
      <c r="B728" s="1" t="s">
        <v>202</v>
      </c>
      <c r="C728" s="1" t="s">
        <v>30</v>
      </c>
      <c r="D728" s="1" t="s">
        <v>31</v>
      </c>
      <c r="E728" s="1" t="s">
        <v>46</v>
      </c>
      <c r="F728" s="1" t="s">
        <v>17</v>
      </c>
      <c r="G728" s="1" t="s">
        <v>26</v>
      </c>
      <c r="H728" s="1">
        <v>15930</v>
      </c>
      <c r="I728" s="1" t="s">
        <v>22</v>
      </c>
      <c r="J728" s="1">
        <v>0.1</v>
      </c>
      <c r="K728" s="1">
        <v>17000</v>
      </c>
      <c r="L728" s="2">
        <v>45320</v>
      </c>
    </row>
    <row r="729" spans="1:12" x14ac:dyDescent="0.35">
      <c r="A729" s="1" t="s">
        <v>962</v>
      </c>
      <c r="B729" s="1" t="s">
        <v>131</v>
      </c>
      <c r="C729" s="1" t="s">
        <v>61</v>
      </c>
      <c r="D729" s="1" t="s">
        <v>62</v>
      </c>
      <c r="E729" s="1" t="s">
        <v>46</v>
      </c>
      <c r="F729" s="1" t="s">
        <v>25</v>
      </c>
      <c r="G729" s="1" t="s">
        <v>36</v>
      </c>
      <c r="H729" s="1">
        <v>7043</v>
      </c>
      <c r="I729" s="1" t="s">
        <v>22</v>
      </c>
      <c r="J729" s="1">
        <v>0.1</v>
      </c>
      <c r="K729" s="1">
        <v>9000</v>
      </c>
      <c r="L729" s="2">
        <v>45325</v>
      </c>
    </row>
    <row r="730" spans="1:12" x14ac:dyDescent="0.35">
      <c r="A730" s="1" t="s">
        <v>963</v>
      </c>
      <c r="B730" s="1" t="s">
        <v>393</v>
      </c>
      <c r="C730" s="1" t="s">
        <v>44</v>
      </c>
      <c r="D730" s="1" t="s">
        <v>45</v>
      </c>
      <c r="E730" s="1" t="s">
        <v>46</v>
      </c>
      <c r="F730" s="1" t="s">
        <v>17</v>
      </c>
      <c r="G730" s="1" t="s">
        <v>36</v>
      </c>
      <c r="H730" s="1">
        <v>13191</v>
      </c>
      <c r="I730" s="1" t="s">
        <v>22</v>
      </c>
      <c r="J730" s="1">
        <v>0.1</v>
      </c>
      <c r="K730" s="1">
        <v>13000</v>
      </c>
      <c r="L730" s="2">
        <v>45336</v>
      </c>
    </row>
    <row r="731" spans="1:12" x14ac:dyDescent="0.35">
      <c r="A731" s="1" t="s">
        <v>964</v>
      </c>
      <c r="B731" s="1" t="s">
        <v>445</v>
      </c>
      <c r="C731" s="1" t="s">
        <v>61</v>
      </c>
      <c r="D731" s="1" t="s">
        <v>62</v>
      </c>
      <c r="E731" s="1" t="s">
        <v>46</v>
      </c>
      <c r="F731" s="1" t="s">
        <v>25</v>
      </c>
      <c r="G731" s="1" t="s">
        <v>36</v>
      </c>
      <c r="H731" s="1">
        <v>10268</v>
      </c>
      <c r="I731" s="1" t="s">
        <v>33</v>
      </c>
      <c r="J731" s="1">
        <v>0.3</v>
      </c>
      <c r="K731" s="1">
        <v>9000</v>
      </c>
      <c r="L731" s="2">
        <v>45330</v>
      </c>
    </row>
    <row r="732" spans="1:12" x14ac:dyDescent="0.35">
      <c r="A732" s="1" t="s">
        <v>965</v>
      </c>
      <c r="B732" s="1" t="s">
        <v>401</v>
      </c>
      <c r="C732" s="1" t="s">
        <v>14</v>
      </c>
      <c r="D732" s="1" t="s">
        <v>15</v>
      </c>
      <c r="E732" s="1" t="s">
        <v>16</v>
      </c>
      <c r="F732" s="1" t="s">
        <v>17</v>
      </c>
      <c r="G732" s="1" t="s">
        <v>18</v>
      </c>
      <c r="H732" s="1">
        <v>13686</v>
      </c>
      <c r="I732" s="1" t="s">
        <v>27</v>
      </c>
      <c r="J732" s="1"/>
      <c r="K732" s="1">
        <v>14000</v>
      </c>
      <c r="L732" s="2">
        <v>45319</v>
      </c>
    </row>
    <row r="733" spans="1:12" x14ac:dyDescent="0.35">
      <c r="A733" s="1" t="s">
        <v>966</v>
      </c>
      <c r="B733" s="1" t="s">
        <v>268</v>
      </c>
      <c r="C733" s="1" t="s">
        <v>44</v>
      </c>
      <c r="D733" s="1" t="s">
        <v>45</v>
      </c>
      <c r="E733" s="1" t="s">
        <v>16</v>
      </c>
      <c r="F733" s="1" t="s">
        <v>39</v>
      </c>
      <c r="G733" s="1" t="s">
        <v>26</v>
      </c>
      <c r="H733" s="1">
        <v>12596</v>
      </c>
      <c r="I733" s="1"/>
      <c r="J733" s="1"/>
      <c r="K733" s="1">
        <v>13000</v>
      </c>
      <c r="L733" s="2">
        <v>45306</v>
      </c>
    </row>
    <row r="734" spans="1:12" x14ac:dyDescent="0.35">
      <c r="A734" s="1" t="s">
        <v>967</v>
      </c>
      <c r="B734" s="1" t="s">
        <v>222</v>
      </c>
      <c r="C734" s="1" t="s">
        <v>61</v>
      </c>
      <c r="D734" s="1" t="s">
        <v>62</v>
      </c>
      <c r="E734" s="1" t="s">
        <v>16</v>
      </c>
      <c r="F734" s="1" t="s">
        <v>25</v>
      </c>
      <c r="G734" s="1" t="s">
        <v>26</v>
      </c>
      <c r="H734" s="1">
        <v>10131</v>
      </c>
      <c r="I734" s="1" t="s">
        <v>27</v>
      </c>
      <c r="J734" s="1"/>
      <c r="K734" s="1">
        <v>9000</v>
      </c>
      <c r="L734" s="2">
        <v>45343</v>
      </c>
    </row>
    <row r="735" spans="1:12" x14ac:dyDescent="0.35">
      <c r="A735" s="1" t="s">
        <v>968</v>
      </c>
      <c r="B735" s="1" t="s">
        <v>765</v>
      </c>
      <c r="C735" s="1" t="s">
        <v>30</v>
      </c>
      <c r="D735" s="1" t="s">
        <v>31</v>
      </c>
      <c r="E735" s="1" t="s">
        <v>46</v>
      </c>
      <c r="F735" s="1" t="s">
        <v>39</v>
      </c>
      <c r="G735" s="1" t="s">
        <v>26</v>
      </c>
      <c r="H735" s="1">
        <v>17178</v>
      </c>
      <c r="I735" s="1" t="s">
        <v>33</v>
      </c>
      <c r="J735" s="1">
        <v>0.3</v>
      </c>
      <c r="K735" s="1">
        <v>17000</v>
      </c>
      <c r="L735" s="2">
        <v>45318</v>
      </c>
    </row>
    <row r="736" spans="1:12" x14ac:dyDescent="0.35">
      <c r="A736" s="1" t="s">
        <v>969</v>
      </c>
      <c r="B736" s="1" t="s">
        <v>171</v>
      </c>
      <c r="C736" s="1" t="s">
        <v>14</v>
      </c>
      <c r="D736" s="1" t="s">
        <v>15</v>
      </c>
      <c r="E736" s="1" t="s">
        <v>32</v>
      </c>
      <c r="F736" s="1" t="s">
        <v>25</v>
      </c>
      <c r="G736" s="1" t="s">
        <v>36</v>
      </c>
      <c r="H736" s="1">
        <v>12452</v>
      </c>
      <c r="I736" s="1"/>
      <c r="J736" s="1"/>
      <c r="K736" s="1">
        <v>14000</v>
      </c>
      <c r="L736" s="2">
        <v>45331</v>
      </c>
    </row>
    <row r="737" spans="1:12" x14ac:dyDescent="0.35">
      <c r="A737" s="1" t="s">
        <v>970</v>
      </c>
      <c r="B737" s="1" t="s">
        <v>123</v>
      </c>
      <c r="C737" s="1" t="s">
        <v>61</v>
      </c>
      <c r="D737" s="1" t="s">
        <v>62</v>
      </c>
      <c r="E737" s="1" t="s">
        <v>32</v>
      </c>
      <c r="F737" s="1" t="s">
        <v>17</v>
      </c>
      <c r="G737" s="1" t="s">
        <v>18</v>
      </c>
      <c r="H737" s="1">
        <v>7623</v>
      </c>
      <c r="I737" s="1" t="s">
        <v>22</v>
      </c>
      <c r="J737" s="1">
        <v>0.1</v>
      </c>
      <c r="K737" s="1">
        <v>9000</v>
      </c>
      <c r="L737" s="2">
        <v>45326</v>
      </c>
    </row>
    <row r="738" spans="1:12" x14ac:dyDescent="0.35">
      <c r="A738" s="1" t="s">
        <v>971</v>
      </c>
      <c r="B738" s="1" t="s">
        <v>243</v>
      </c>
      <c r="C738" s="1" t="s">
        <v>14</v>
      </c>
      <c r="D738" s="1" t="s">
        <v>15</v>
      </c>
      <c r="E738" s="1" t="s">
        <v>46</v>
      </c>
      <c r="F738" s="1" t="s">
        <v>17</v>
      </c>
      <c r="G738" s="1" t="s">
        <v>18</v>
      </c>
      <c r="H738" s="1">
        <v>14929</v>
      </c>
      <c r="I738" s="1"/>
      <c r="J738" s="1"/>
      <c r="K738" s="1">
        <v>14000</v>
      </c>
      <c r="L738" s="2">
        <v>45338</v>
      </c>
    </row>
    <row r="739" spans="1:12" x14ac:dyDescent="0.35">
      <c r="A739" s="1" t="s">
        <v>972</v>
      </c>
      <c r="B739" s="1" t="s">
        <v>192</v>
      </c>
      <c r="C739" s="1" t="s">
        <v>14</v>
      </c>
      <c r="D739" s="1" t="s">
        <v>15</v>
      </c>
      <c r="E739" s="1" t="s">
        <v>32</v>
      </c>
      <c r="F739" s="1" t="s">
        <v>25</v>
      </c>
      <c r="G739" s="1" t="s">
        <v>36</v>
      </c>
      <c r="H739" s="1">
        <v>12889</v>
      </c>
      <c r="I739" s="1" t="s">
        <v>33</v>
      </c>
      <c r="J739" s="1">
        <v>0.3</v>
      </c>
      <c r="K739" s="1">
        <v>14000</v>
      </c>
      <c r="L739" s="2">
        <v>45318</v>
      </c>
    </row>
    <row r="740" spans="1:12" x14ac:dyDescent="0.35">
      <c r="A740" s="1" t="s">
        <v>973</v>
      </c>
      <c r="B740" s="1" t="s">
        <v>443</v>
      </c>
      <c r="C740" s="1" t="s">
        <v>61</v>
      </c>
      <c r="D740" s="1" t="s">
        <v>62</v>
      </c>
      <c r="E740" s="1" t="s">
        <v>46</v>
      </c>
      <c r="F740" s="1" t="s">
        <v>17</v>
      </c>
      <c r="G740" s="1" t="s">
        <v>26</v>
      </c>
      <c r="H740" s="1">
        <v>10241</v>
      </c>
      <c r="I740" s="1" t="s">
        <v>22</v>
      </c>
      <c r="J740" s="1">
        <v>0.1</v>
      </c>
      <c r="K740" s="1">
        <v>9000</v>
      </c>
      <c r="L740" s="2">
        <v>45313</v>
      </c>
    </row>
    <row r="741" spans="1:12" x14ac:dyDescent="0.35">
      <c r="A741" s="1" t="s">
        <v>974</v>
      </c>
      <c r="B741" s="1" t="s">
        <v>159</v>
      </c>
      <c r="C741" s="1" t="s">
        <v>44</v>
      </c>
      <c r="D741" s="1" t="s">
        <v>45</v>
      </c>
      <c r="E741" s="1" t="s">
        <v>32</v>
      </c>
      <c r="F741" s="1" t="s">
        <v>17</v>
      </c>
      <c r="G741" s="1" t="s">
        <v>36</v>
      </c>
      <c r="H741" s="1">
        <v>11292</v>
      </c>
      <c r="I741" s="1" t="s">
        <v>27</v>
      </c>
      <c r="J741" s="1"/>
      <c r="K741" s="1">
        <v>13000</v>
      </c>
      <c r="L741" s="2">
        <v>45322</v>
      </c>
    </row>
    <row r="742" spans="1:12" x14ac:dyDescent="0.35">
      <c r="A742" s="1" t="s">
        <v>975</v>
      </c>
      <c r="B742" s="1" t="s">
        <v>35</v>
      </c>
      <c r="C742" s="1" t="s">
        <v>30</v>
      </c>
      <c r="D742" s="1" t="s">
        <v>31</v>
      </c>
      <c r="E742" s="1" t="s">
        <v>46</v>
      </c>
      <c r="F742" s="1" t="s">
        <v>25</v>
      </c>
      <c r="G742" s="1" t="s">
        <v>18</v>
      </c>
      <c r="H742" s="1">
        <v>18991</v>
      </c>
      <c r="I742" s="1" t="s">
        <v>19</v>
      </c>
      <c r="J742" s="1">
        <v>0.2</v>
      </c>
      <c r="K742" s="1">
        <v>17000</v>
      </c>
      <c r="L742" s="2">
        <v>45316</v>
      </c>
    </row>
    <row r="743" spans="1:12" x14ac:dyDescent="0.35">
      <c r="A743" s="1" t="s">
        <v>976</v>
      </c>
      <c r="B743" s="1" t="s">
        <v>298</v>
      </c>
      <c r="C743" s="1" t="s">
        <v>44</v>
      </c>
      <c r="D743" s="1" t="s">
        <v>45</v>
      </c>
      <c r="E743" s="1" t="s">
        <v>16</v>
      </c>
      <c r="F743" s="1" t="s">
        <v>25</v>
      </c>
      <c r="G743" s="1" t="s">
        <v>18</v>
      </c>
      <c r="H743" s="1">
        <v>12887</v>
      </c>
      <c r="I743" s="1" t="s">
        <v>22</v>
      </c>
      <c r="J743" s="1">
        <v>0.1</v>
      </c>
      <c r="K743" s="1">
        <v>13000</v>
      </c>
      <c r="L743" s="2">
        <v>45325</v>
      </c>
    </row>
    <row r="744" spans="1:12" x14ac:dyDescent="0.35">
      <c r="A744" s="1" t="s">
        <v>977</v>
      </c>
      <c r="B744" s="1" t="s">
        <v>239</v>
      </c>
      <c r="C744" s="1" t="s">
        <v>61</v>
      </c>
      <c r="D744" s="1" t="s">
        <v>62</v>
      </c>
      <c r="E744" s="1" t="s">
        <v>46</v>
      </c>
      <c r="F744" s="1" t="s">
        <v>39</v>
      </c>
      <c r="G744" s="1" t="s">
        <v>36</v>
      </c>
      <c r="H744" s="1">
        <v>10834</v>
      </c>
      <c r="I744" s="1" t="s">
        <v>33</v>
      </c>
      <c r="J744" s="1">
        <v>0.3</v>
      </c>
      <c r="K744" s="1">
        <v>9000</v>
      </c>
      <c r="L744" s="2">
        <v>45302</v>
      </c>
    </row>
    <row r="745" spans="1:12" x14ac:dyDescent="0.35">
      <c r="A745" s="1" t="s">
        <v>978</v>
      </c>
      <c r="B745" s="1" t="s">
        <v>305</v>
      </c>
      <c r="C745" s="1" t="s">
        <v>14</v>
      </c>
      <c r="D745" s="1" t="s">
        <v>15</v>
      </c>
      <c r="E745" s="1" t="s">
        <v>16</v>
      </c>
      <c r="F745" s="1" t="s">
        <v>39</v>
      </c>
      <c r="G745" s="1" t="s">
        <v>26</v>
      </c>
      <c r="H745" s="1">
        <v>12500</v>
      </c>
      <c r="I745" s="1" t="s">
        <v>33</v>
      </c>
      <c r="J745" s="1">
        <v>0.3</v>
      </c>
      <c r="K745" s="1">
        <v>14000</v>
      </c>
      <c r="L745" s="2">
        <v>45322</v>
      </c>
    </row>
    <row r="746" spans="1:12" x14ac:dyDescent="0.35">
      <c r="A746" s="1" t="s">
        <v>979</v>
      </c>
      <c r="B746" s="1" t="s">
        <v>278</v>
      </c>
      <c r="C746" s="1" t="s">
        <v>44</v>
      </c>
      <c r="D746" s="1" t="s">
        <v>45</v>
      </c>
      <c r="E746" s="1" t="s">
        <v>46</v>
      </c>
      <c r="F746" s="1" t="s">
        <v>25</v>
      </c>
      <c r="G746" s="1" t="s">
        <v>26</v>
      </c>
      <c r="H746" s="1">
        <v>11892</v>
      </c>
      <c r="I746" s="1" t="s">
        <v>22</v>
      </c>
      <c r="J746" s="1">
        <v>0.1</v>
      </c>
      <c r="K746" s="1">
        <v>13000</v>
      </c>
      <c r="L746" s="2">
        <v>45307</v>
      </c>
    </row>
    <row r="747" spans="1:12" x14ac:dyDescent="0.35">
      <c r="A747" s="1" t="s">
        <v>980</v>
      </c>
      <c r="B747" s="1" t="s">
        <v>90</v>
      </c>
      <c r="C747" s="1" t="s">
        <v>30</v>
      </c>
      <c r="D747" s="1" t="s">
        <v>31</v>
      </c>
      <c r="E747" s="1" t="s">
        <v>32</v>
      </c>
      <c r="F747" s="1" t="s">
        <v>25</v>
      </c>
      <c r="G747" s="1" t="s">
        <v>36</v>
      </c>
      <c r="H747" s="1">
        <v>17394</v>
      </c>
      <c r="I747" s="1" t="s">
        <v>22</v>
      </c>
      <c r="J747" s="1">
        <v>0.1</v>
      </c>
      <c r="K747" s="1">
        <v>17000</v>
      </c>
      <c r="L747" s="2">
        <v>45317</v>
      </c>
    </row>
    <row r="748" spans="1:12" x14ac:dyDescent="0.35">
      <c r="A748" s="1" t="s">
        <v>981</v>
      </c>
      <c r="B748" s="1" t="s">
        <v>294</v>
      </c>
      <c r="C748" s="1" t="s">
        <v>14</v>
      </c>
      <c r="D748" s="1" t="s">
        <v>15</v>
      </c>
      <c r="E748" s="1" t="s">
        <v>32</v>
      </c>
      <c r="F748" s="1" t="s">
        <v>39</v>
      </c>
      <c r="G748" s="1" t="s">
        <v>26</v>
      </c>
      <c r="H748" s="1">
        <v>13946</v>
      </c>
      <c r="I748" s="1" t="s">
        <v>27</v>
      </c>
      <c r="J748" s="1"/>
      <c r="K748" s="1">
        <v>14000</v>
      </c>
      <c r="L748" s="2">
        <v>45301</v>
      </c>
    </row>
    <row r="749" spans="1:12" x14ac:dyDescent="0.35">
      <c r="A749" s="1" t="s">
        <v>982</v>
      </c>
      <c r="B749" s="1" t="s">
        <v>478</v>
      </c>
      <c r="C749" s="1" t="s">
        <v>14</v>
      </c>
      <c r="D749" s="1" t="s">
        <v>15</v>
      </c>
      <c r="E749" s="1" t="s">
        <v>32</v>
      </c>
      <c r="F749" s="1" t="s">
        <v>25</v>
      </c>
      <c r="G749" s="1" t="s">
        <v>36</v>
      </c>
      <c r="H749" s="1">
        <v>12374</v>
      </c>
      <c r="I749" s="1" t="s">
        <v>27</v>
      </c>
      <c r="J749" s="1"/>
      <c r="K749" s="1">
        <v>14000</v>
      </c>
      <c r="L749" s="2">
        <v>45313</v>
      </c>
    </row>
    <row r="750" spans="1:12" x14ac:dyDescent="0.35">
      <c r="A750" s="1" t="s">
        <v>983</v>
      </c>
      <c r="B750" s="1" t="s">
        <v>148</v>
      </c>
      <c r="C750" s="1" t="s">
        <v>14</v>
      </c>
      <c r="D750" s="1" t="s">
        <v>15</v>
      </c>
      <c r="E750" s="1" t="s">
        <v>32</v>
      </c>
      <c r="F750" s="1" t="s">
        <v>17</v>
      </c>
      <c r="G750" s="1" t="s">
        <v>26</v>
      </c>
      <c r="H750" s="1">
        <v>12630</v>
      </c>
      <c r="I750" s="1" t="s">
        <v>27</v>
      </c>
      <c r="J750" s="1"/>
      <c r="K750" s="1">
        <v>14000</v>
      </c>
      <c r="L750" s="2">
        <v>45342</v>
      </c>
    </row>
    <row r="751" spans="1:12" x14ac:dyDescent="0.35">
      <c r="A751" s="1" t="s">
        <v>984</v>
      </c>
      <c r="B751" s="1" t="s">
        <v>843</v>
      </c>
      <c r="C751" s="1" t="s">
        <v>61</v>
      </c>
      <c r="D751" s="1" t="s">
        <v>62</v>
      </c>
      <c r="E751" s="1" t="s">
        <v>32</v>
      </c>
      <c r="F751" s="1" t="s">
        <v>17</v>
      </c>
      <c r="G751" s="1" t="s">
        <v>26</v>
      </c>
      <c r="H751" s="1">
        <v>10229</v>
      </c>
      <c r="I751" s="1" t="s">
        <v>33</v>
      </c>
      <c r="J751" s="1">
        <v>0.3</v>
      </c>
      <c r="K751" s="1">
        <v>9000</v>
      </c>
      <c r="L751" s="2">
        <v>45343</v>
      </c>
    </row>
    <row r="752" spans="1:12" x14ac:dyDescent="0.35">
      <c r="A752" s="1" t="s">
        <v>985</v>
      </c>
      <c r="B752" s="1" t="s">
        <v>445</v>
      </c>
      <c r="C752" s="1" t="s">
        <v>44</v>
      </c>
      <c r="D752" s="1" t="s">
        <v>45</v>
      </c>
      <c r="E752" s="1" t="s">
        <v>32</v>
      </c>
      <c r="F752" s="1" t="s">
        <v>39</v>
      </c>
      <c r="G752" s="1" t="s">
        <v>36</v>
      </c>
      <c r="H752" s="1">
        <v>12467</v>
      </c>
      <c r="I752" s="1" t="s">
        <v>19</v>
      </c>
      <c r="J752" s="1">
        <v>0.2</v>
      </c>
      <c r="K752" s="1">
        <v>13000</v>
      </c>
      <c r="L752" s="2">
        <v>45308</v>
      </c>
    </row>
    <row r="753" spans="1:12" x14ac:dyDescent="0.35">
      <c r="A753" s="1" t="s">
        <v>986</v>
      </c>
      <c r="B753" s="1" t="s">
        <v>987</v>
      </c>
      <c r="C753" s="1" t="s">
        <v>61</v>
      </c>
      <c r="D753" s="1" t="s">
        <v>62</v>
      </c>
      <c r="E753" s="1" t="s">
        <v>16</v>
      </c>
      <c r="F753" s="1" t="s">
        <v>17</v>
      </c>
      <c r="G753" s="1" t="s">
        <v>26</v>
      </c>
      <c r="H753" s="1">
        <v>8207</v>
      </c>
      <c r="I753" s="1" t="s">
        <v>27</v>
      </c>
      <c r="J753" s="1"/>
      <c r="K753" s="1">
        <v>9000</v>
      </c>
      <c r="L753" s="2">
        <v>45336</v>
      </c>
    </row>
    <row r="754" spans="1:12" x14ac:dyDescent="0.35">
      <c r="A754" s="1" t="s">
        <v>988</v>
      </c>
      <c r="B754" s="1" t="s">
        <v>211</v>
      </c>
      <c r="C754" s="1" t="s">
        <v>44</v>
      </c>
      <c r="D754" s="1" t="s">
        <v>45</v>
      </c>
      <c r="E754" s="1" t="s">
        <v>16</v>
      </c>
      <c r="F754" s="1" t="s">
        <v>17</v>
      </c>
      <c r="G754" s="1" t="s">
        <v>36</v>
      </c>
      <c r="H754" s="1">
        <v>13999</v>
      </c>
      <c r="I754" s="1"/>
      <c r="J754" s="1"/>
      <c r="K754" s="1">
        <v>13000</v>
      </c>
      <c r="L754" s="2">
        <v>45309</v>
      </c>
    </row>
    <row r="755" spans="1:12" x14ac:dyDescent="0.35">
      <c r="A755" s="1" t="s">
        <v>989</v>
      </c>
      <c r="B755" s="1" t="s">
        <v>319</v>
      </c>
      <c r="C755" s="1" t="s">
        <v>44</v>
      </c>
      <c r="D755" s="1" t="s">
        <v>45</v>
      </c>
      <c r="E755" s="1" t="s">
        <v>32</v>
      </c>
      <c r="F755" s="1" t="s">
        <v>39</v>
      </c>
      <c r="G755" s="1" t="s">
        <v>18</v>
      </c>
      <c r="H755" s="1">
        <v>12840</v>
      </c>
      <c r="I755" s="1" t="s">
        <v>33</v>
      </c>
      <c r="J755" s="1">
        <v>0.3</v>
      </c>
      <c r="K755" s="1">
        <v>13000</v>
      </c>
      <c r="L755" s="2">
        <v>45344</v>
      </c>
    </row>
    <row r="756" spans="1:12" x14ac:dyDescent="0.35">
      <c r="A756" s="1" t="s">
        <v>990</v>
      </c>
      <c r="B756" s="1" t="s">
        <v>307</v>
      </c>
      <c r="C756" s="1" t="s">
        <v>30</v>
      </c>
      <c r="D756" s="1" t="s">
        <v>31</v>
      </c>
      <c r="E756" s="1" t="s">
        <v>46</v>
      </c>
      <c r="F756" s="1" t="s">
        <v>25</v>
      </c>
      <c r="G756" s="1" t="s">
        <v>26</v>
      </c>
      <c r="H756" s="1">
        <v>17072</v>
      </c>
      <c r="I756" s="1"/>
      <c r="J756" s="1"/>
      <c r="K756" s="1">
        <v>17000</v>
      </c>
      <c r="L756" s="2">
        <v>45338</v>
      </c>
    </row>
    <row r="757" spans="1:12" x14ac:dyDescent="0.35">
      <c r="A757" s="1" t="s">
        <v>991</v>
      </c>
      <c r="B757" s="1" t="s">
        <v>557</v>
      </c>
      <c r="C757" s="1" t="s">
        <v>30</v>
      </c>
      <c r="D757" s="1" t="s">
        <v>31</v>
      </c>
      <c r="E757" s="1" t="s">
        <v>16</v>
      </c>
      <c r="F757" s="1" t="s">
        <v>25</v>
      </c>
      <c r="G757" s="1" t="s">
        <v>36</v>
      </c>
      <c r="H757" s="1">
        <v>17953</v>
      </c>
      <c r="I757" s="1" t="s">
        <v>22</v>
      </c>
      <c r="J757" s="1">
        <v>0.1</v>
      </c>
      <c r="K757" s="1">
        <v>17000</v>
      </c>
      <c r="L757" s="2">
        <v>45334</v>
      </c>
    </row>
    <row r="758" spans="1:12" x14ac:dyDescent="0.35">
      <c r="A758" s="1" t="s">
        <v>992</v>
      </c>
      <c r="B758" s="1" t="s">
        <v>105</v>
      </c>
      <c r="C758" s="1" t="s">
        <v>61</v>
      </c>
      <c r="D758" s="1" t="s">
        <v>62</v>
      </c>
      <c r="E758" s="1" t="s">
        <v>32</v>
      </c>
      <c r="F758" s="1" t="s">
        <v>39</v>
      </c>
      <c r="G758" s="1" t="s">
        <v>26</v>
      </c>
      <c r="H758" s="1">
        <v>9037</v>
      </c>
      <c r="I758" s="1" t="s">
        <v>27</v>
      </c>
      <c r="J758" s="1"/>
      <c r="K758" s="1">
        <v>9000</v>
      </c>
      <c r="L758" s="2">
        <v>45301</v>
      </c>
    </row>
    <row r="759" spans="1:12" x14ac:dyDescent="0.35">
      <c r="A759" s="1" t="s">
        <v>993</v>
      </c>
      <c r="B759" s="1" t="s">
        <v>291</v>
      </c>
      <c r="C759" s="1" t="s">
        <v>30</v>
      </c>
      <c r="D759" s="1" t="s">
        <v>31</v>
      </c>
      <c r="E759" s="1" t="s">
        <v>46</v>
      </c>
      <c r="F759" s="1" t="s">
        <v>39</v>
      </c>
      <c r="G759" s="1" t="s">
        <v>36</v>
      </c>
      <c r="H759" s="1">
        <v>15452</v>
      </c>
      <c r="I759" s="1" t="s">
        <v>22</v>
      </c>
      <c r="J759" s="1">
        <v>0.1</v>
      </c>
      <c r="K759" s="1">
        <v>17000</v>
      </c>
      <c r="L759" s="2">
        <v>45325</v>
      </c>
    </row>
    <row r="760" spans="1:12" x14ac:dyDescent="0.35">
      <c r="A760" s="1" t="s">
        <v>994</v>
      </c>
      <c r="B760" s="1" t="s">
        <v>13</v>
      </c>
      <c r="C760" s="1" t="s">
        <v>14</v>
      </c>
      <c r="D760" s="1" t="s">
        <v>15</v>
      </c>
      <c r="E760" s="1" t="s">
        <v>32</v>
      </c>
      <c r="F760" s="1" t="s">
        <v>25</v>
      </c>
      <c r="G760" s="1" t="s">
        <v>18</v>
      </c>
      <c r="H760" s="1">
        <v>12827</v>
      </c>
      <c r="I760" s="1" t="s">
        <v>22</v>
      </c>
      <c r="J760" s="1">
        <v>0.1</v>
      </c>
      <c r="K760" s="1">
        <v>14000</v>
      </c>
      <c r="L760" s="2">
        <v>45323</v>
      </c>
    </row>
    <row r="761" spans="1:12" x14ac:dyDescent="0.35">
      <c r="A761" s="1" t="s">
        <v>995</v>
      </c>
      <c r="B761" s="1" t="s">
        <v>229</v>
      </c>
      <c r="C761" s="1" t="s">
        <v>14</v>
      </c>
      <c r="D761" s="1" t="s">
        <v>15</v>
      </c>
      <c r="E761" s="1" t="s">
        <v>16</v>
      </c>
      <c r="F761" s="1" t="s">
        <v>39</v>
      </c>
      <c r="G761" s="1" t="s">
        <v>36</v>
      </c>
      <c r="H761" s="1">
        <v>14694</v>
      </c>
      <c r="I761" s="1"/>
      <c r="J761" s="1"/>
      <c r="K761" s="1">
        <v>14000</v>
      </c>
      <c r="L761" s="2">
        <v>45325</v>
      </c>
    </row>
    <row r="762" spans="1:12" x14ac:dyDescent="0.35">
      <c r="A762" s="1" t="s">
        <v>996</v>
      </c>
      <c r="B762" s="1" t="s">
        <v>233</v>
      </c>
      <c r="C762" s="1" t="s">
        <v>30</v>
      </c>
      <c r="D762" s="1" t="s">
        <v>31</v>
      </c>
      <c r="E762" s="1" t="s">
        <v>32</v>
      </c>
      <c r="F762" s="1" t="s">
        <v>17</v>
      </c>
      <c r="G762" s="1" t="s">
        <v>18</v>
      </c>
      <c r="H762" s="1">
        <v>17481</v>
      </c>
      <c r="I762" s="1" t="s">
        <v>22</v>
      </c>
      <c r="J762" s="1">
        <v>0.1</v>
      </c>
      <c r="K762" s="1">
        <v>17000</v>
      </c>
      <c r="L762" s="2">
        <v>45292</v>
      </c>
    </row>
    <row r="763" spans="1:12" x14ac:dyDescent="0.35">
      <c r="A763" s="1" t="s">
        <v>997</v>
      </c>
      <c r="B763" s="1" t="s">
        <v>553</v>
      </c>
      <c r="C763" s="1" t="s">
        <v>61</v>
      </c>
      <c r="D763" s="1" t="s">
        <v>62</v>
      </c>
      <c r="E763" s="1" t="s">
        <v>32</v>
      </c>
      <c r="F763" s="1" t="s">
        <v>17</v>
      </c>
      <c r="G763" s="1" t="s">
        <v>26</v>
      </c>
      <c r="H763" s="1">
        <v>7248</v>
      </c>
      <c r="I763" s="1" t="s">
        <v>33</v>
      </c>
      <c r="J763" s="1">
        <v>0.3</v>
      </c>
      <c r="K763" s="1">
        <v>9000</v>
      </c>
      <c r="L763" s="2">
        <v>45327</v>
      </c>
    </row>
    <row r="764" spans="1:12" x14ac:dyDescent="0.35">
      <c r="A764" s="1" t="s">
        <v>998</v>
      </c>
      <c r="B764" s="1" t="s">
        <v>127</v>
      </c>
      <c r="C764" s="1" t="s">
        <v>30</v>
      </c>
      <c r="D764" s="1" t="s">
        <v>31</v>
      </c>
      <c r="E764" s="1" t="s">
        <v>16</v>
      </c>
      <c r="F764" s="1" t="s">
        <v>25</v>
      </c>
      <c r="G764" s="1" t="s">
        <v>26</v>
      </c>
      <c r="H764" s="1">
        <v>16088</v>
      </c>
      <c r="I764" s="1" t="s">
        <v>27</v>
      </c>
      <c r="J764" s="1"/>
      <c r="K764" s="1">
        <v>17000</v>
      </c>
      <c r="L764" s="2">
        <v>45294</v>
      </c>
    </row>
    <row r="765" spans="1:12" x14ac:dyDescent="0.35">
      <c r="A765" s="1" t="s">
        <v>999</v>
      </c>
      <c r="B765" s="1" t="s">
        <v>1000</v>
      </c>
      <c r="C765" s="1" t="s">
        <v>30</v>
      </c>
      <c r="D765" s="1" t="s">
        <v>31</v>
      </c>
      <c r="E765" s="1" t="s">
        <v>32</v>
      </c>
      <c r="F765" s="1" t="s">
        <v>25</v>
      </c>
      <c r="G765" s="1" t="s">
        <v>26</v>
      </c>
      <c r="H765" s="1">
        <v>15397</v>
      </c>
      <c r="I765" s="1" t="s">
        <v>22</v>
      </c>
      <c r="J765" s="1">
        <v>0.1</v>
      </c>
      <c r="K765" s="1">
        <v>17000</v>
      </c>
      <c r="L765" s="2">
        <v>45338</v>
      </c>
    </row>
    <row r="766" spans="1:12" x14ac:dyDescent="0.35">
      <c r="A766" s="1" t="s">
        <v>1001</v>
      </c>
      <c r="B766" s="1" t="s">
        <v>24</v>
      </c>
      <c r="C766" s="1" t="s">
        <v>61</v>
      </c>
      <c r="D766" s="1" t="s">
        <v>62</v>
      </c>
      <c r="E766" s="1" t="s">
        <v>32</v>
      </c>
      <c r="F766" s="1" t="s">
        <v>25</v>
      </c>
      <c r="G766" s="1" t="s">
        <v>26</v>
      </c>
      <c r="H766" s="1">
        <v>9690</v>
      </c>
      <c r="I766" s="1" t="s">
        <v>19</v>
      </c>
      <c r="J766" s="1">
        <v>0.2</v>
      </c>
      <c r="K766" s="1">
        <v>9000</v>
      </c>
      <c r="L766" s="2">
        <v>45328</v>
      </c>
    </row>
    <row r="767" spans="1:12" x14ac:dyDescent="0.35">
      <c r="A767" s="1" t="s">
        <v>1002</v>
      </c>
      <c r="B767" s="1" t="s">
        <v>422</v>
      </c>
      <c r="C767" s="1" t="s">
        <v>61</v>
      </c>
      <c r="D767" s="1" t="s">
        <v>62</v>
      </c>
      <c r="E767" s="1" t="s">
        <v>16</v>
      </c>
      <c r="F767" s="1" t="s">
        <v>25</v>
      </c>
      <c r="G767" s="1" t="s">
        <v>26</v>
      </c>
      <c r="H767" s="1">
        <v>9361</v>
      </c>
      <c r="I767" s="1" t="s">
        <v>33</v>
      </c>
      <c r="J767" s="1">
        <v>0.3</v>
      </c>
      <c r="K767" s="1">
        <v>9000</v>
      </c>
      <c r="L767" s="2">
        <v>45335</v>
      </c>
    </row>
    <row r="768" spans="1:12" x14ac:dyDescent="0.35">
      <c r="A768" s="1" t="s">
        <v>1003</v>
      </c>
      <c r="B768" s="1" t="s">
        <v>483</v>
      </c>
      <c r="C768" s="1" t="s">
        <v>61</v>
      </c>
      <c r="D768" s="1" t="s">
        <v>62</v>
      </c>
      <c r="E768" s="1" t="s">
        <v>32</v>
      </c>
      <c r="F768" s="1" t="s">
        <v>25</v>
      </c>
      <c r="G768" s="1" t="s">
        <v>18</v>
      </c>
      <c r="H768" s="1">
        <v>9252</v>
      </c>
      <c r="I768" s="1"/>
      <c r="J768" s="1"/>
      <c r="K768" s="1">
        <v>9000</v>
      </c>
      <c r="L768" s="2">
        <v>45324</v>
      </c>
    </row>
    <row r="769" spans="1:12" x14ac:dyDescent="0.35">
      <c r="A769" s="1" t="s">
        <v>1004</v>
      </c>
      <c r="B769" s="1" t="s">
        <v>150</v>
      </c>
      <c r="C769" s="1" t="s">
        <v>44</v>
      </c>
      <c r="D769" s="1" t="s">
        <v>45</v>
      </c>
      <c r="E769" s="1" t="s">
        <v>16</v>
      </c>
      <c r="F769" s="1" t="s">
        <v>39</v>
      </c>
      <c r="G769" s="1" t="s">
        <v>36</v>
      </c>
      <c r="H769" s="1">
        <v>14823</v>
      </c>
      <c r="I769" s="1" t="s">
        <v>33</v>
      </c>
      <c r="J769" s="1">
        <v>0.3</v>
      </c>
      <c r="K769" s="1">
        <v>13000</v>
      </c>
      <c r="L769" s="2">
        <v>45349</v>
      </c>
    </row>
    <row r="770" spans="1:12" x14ac:dyDescent="0.35">
      <c r="A770" s="1" t="s">
        <v>1005</v>
      </c>
      <c r="B770" s="1" t="s">
        <v>301</v>
      </c>
      <c r="C770" s="1" t="s">
        <v>30</v>
      </c>
      <c r="D770" s="1" t="s">
        <v>31</v>
      </c>
      <c r="E770" s="1" t="s">
        <v>46</v>
      </c>
      <c r="F770" s="1" t="s">
        <v>17</v>
      </c>
      <c r="G770" s="1" t="s">
        <v>26</v>
      </c>
      <c r="H770" s="1">
        <v>16763</v>
      </c>
      <c r="I770" s="1" t="s">
        <v>33</v>
      </c>
      <c r="J770" s="1">
        <v>0.3</v>
      </c>
      <c r="K770" s="1">
        <v>17000</v>
      </c>
      <c r="L770" s="2">
        <v>45330</v>
      </c>
    </row>
    <row r="771" spans="1:12" x14ac:dyDescent="0.35">
      <c r="A771" s="1" t="s">
        <v>1006</v>
      </c>
      <c r="B771" s="1" t="s">
        <v>56</v>
      </c>
      <c r="C771" s="1" t="s">
        <v>44</v>
      </c>
      <c r="D771" s="1" t="s">
        <v>45</v>
      </c>
      <c r="E771" s="1" t="s">
        <v>46</v>
      </c>
      <c r="F771" s="1" t="s">
        <v>39</v>
      </c>
      <c r="G771" s="1" t="s">
        <v>26</v>
      </c>
      <c r="H771" s="1">
        <v>12040</v>
      </c>
      <c r="I771" s="1" t="s">
        <v>33</v>
      </c>
      <c r="J771" s="1">
        <v>0.3</v>
      </c>
      <c r="K771" s="1">
        <v>13000</v>
      </c>
      <c r="L771" s="2">
        <v>45320</v>
      </c>
    </row>
    <row r="772" spans="1:12" x14ac:dyDescent="0.35">
      <c r="A772" s="1" t="s">
        <v>1007</v>
      </c>
      <c r="B772" s="1" t="s">
        <v>52</v>
      </c>
      <c r="C772" s="1" t="s">
        <v>14</v>
      </c>
      <c r="D772" s="1" t="s">
        <v>15</v>
      </c>
      <c r="E772" s="1" t="s">
        <v>16</v>
      </c>
      <c r="F772" s="1" t="s">
        <v>25</v>
      </c>
      <c r="G772" s="1" t="s">
        <v>36</v>
      </c>
      <c r="H772" s="1">
        <v>14440</v>
      </c>
      <c r="I772" s="1" t="s">
        <v>22</v>
      </c>
      <c r="J772" s="1">
        <v>0.1</v>
      </c>
      <c r="K772" s="1">
        <v>14000</v>
      </c>
      <c r="L772" s="2">
        <v>45325</v>
      </c>
    </row>
    <row r="773" spans="1:12" x14ac:dyDescent="0.35">
      <c r="A773" s="1" t="s">
        <v>1008</v>
      </c>
      <c r="B773" s="1" t="s">
        <v>256</v>
      </c>
      <c r="C773" s="1" t="s">
        <v>14</v>
      </c>
      <c r="D773" s="1" t="s">
        <v>15</v>
      </c>
      <c r="E773" s="1" t="s">
        <v>46</v>
      </c>
      <c r="F773" s="1" t="s">
        <v>25</v>
      </c>
      <c r="G773" s="1" t="s">
        <v>18</v>
      </c>
      <c r="H773" s="1">
        <v>15505</v>
      </c>
      <c r="I773" s="1" t="s">
        <v>33</v>
      </c>
      <c r="J773" s="1">
        <v>0.3</v>
      </c>
      <c r="K773" s="1">
        <v>14000</v>
      </c>
      <c r="L773" s="2">
        <v>45293</v>
      </c>
    </row>
    <row r="774" spans="1:12" x14ac:dyDescent="0.35">
      <c r="A774" s="1" t="s">
        <v>1009</v>
      </c>
      <c r="B774" s="1" t="s">
        <v>140</v>
      </c>
      <c r="C774" s="1" t="s">
        <v>30</v>
      </c>
      <c r="D774" s="1" t="s">
        <v>31</v>
      </c>
      <c r="E774" s="1" t="s">
        <v>16</v>
      </c>
      <c r="F774" s="1" t="s">
        <v>39</v>
      </c>
      <c r="G774" s="1" t="s">
        <v>26</v>
      </c>
      <c r="H774" s="1">
        <v>17337</v>
      </c>
      <c r="I774" s="1" t="s">
        <v>27</v>
      </c>
      <c r="J774" s="1"/>
      <c r="K774" s="1">
        <v>17000</v>
      </c>
      <c r="L774" s="2">
        <v>45301</v>
      </c>
    </row>
    <row r="775" spans="1:12" x14ac:dyDescent="0.35">
      <c r="A775" s="1" t="s">
        <v>1010</v>
      </c>
      <c r="B775" s="1" t="s">
        <v>43</v>
      </c>
      <c r="C775" s="1" t="s">
        <v>61</v>
      </c>
      <c r="D775" s="1" t="s">
        <v>62</v>
      </c>
      <c r="E775" s="1" t="s">
        <v>46</v>
      </c>
      <c r="F775" s="1" t="s">
        <v>25</v>
      </c>
      <c r="G775" s="1" t="s">
        <v>18</v>
      </c>
      <c r="H775" s="1">
        <v>8085</v>
      </c>
      <c r="I775" s="1" t="s">
        <v>33</v>
      </c>
      <c r="J775" s="1">
        <v>0.3</v>
      </c>
      <c r="K775" s="1">
        <v>9000</v>
      </c>
      <c r="L775" s="2">
        <v>45348</v>
      </c>
    </row>
    <row r="776" spans="1:12" x14ac:dyDescent="0.35">
      <c r="A776" s="1" t="s">
        <v>1011</v>
      </c>
      <c r="B776" s="1" t="s">
        <v>519</v>
      </c>
      <c r="C776" s="1" t="s">
        <v>44</v>
      </c>
      <c r="D776" s="1" t="s">
        <v>45</v>
      </c>
      <c r="E776" s="1" t="s">
        <v>46</v>
      </c>
      <c r="F776" s="1" t="s">
        <v>17</v>
      </c>
      <c r="G776" s="1" t="s">
        <v>18</v>
      </c>
      <c r="H776" s="1">
        <v>13336</v>
      </c>
      <c r="I776" s="1"/>
      <c r="J776" s="1"/>
      <c r="K776" s="1">
        <v>13000</v>
      </c>
      <c r="L776" s="2">
        <v>45328</v>
      </c>
    </row>
    <row r="777" spans="1:12" x14ac:dyDescent="0.35">
      <c r="A777" s="1" t="s">
        <v>1012</v>
      </c>
      <c r="B777" s="1" t="s">
        <v>553</v>
      </c>
      <c r="C777" s="1" t="s">
        <v>14</v>
      </c>
      <c r="D777" s="1" t="s">
        <v>15</v>
      </c>
      <c r="E777" s="1" t="s">
        <v>16</v>
      </c>
      <c r="F777" s="1" t="s">
        <v>17</v>
      </c>
      <c r="G777" s="1" t="s">
        <v>36</v>
      </c>
      <c r="H777" s="1">
        <v>12708</v>
      </c>
      <c r="I777" s="1"/>
      <c r="J777" s="1"/>
      <c r="K777" s="1">
        <v>14000</v>
      </c>
      <c r="L777" s="2">
        <v>45344</v>
      </c>
    </row>
    <row r="778" spans="1:12" x14ac:dyDescent="0.35">
      <c r="A778" s="1" t="s">
        <v>1013</v>
      </c>
      <c r="B778" s="1" t="s">
        <v>260</v>
      </c>
      <c r="C778" s="1" t="s">
        <v>14</v>
      </c>
      <c r="D778" s="1" t="s">
        <v>15</v>
      </c>
      <c r="E778" s="1" t="s">
        <v>16</v>
      </c>
      <c r="F778" s="1" t="s">
        <v>39</v>
      </c>
      <c r="G778" s="1" t="s">
        <v>36</v>
      </c>
      <c r="H778" s="1">
        <v>12153</v>
      </c>
      <c r="I778" s="1" t="s">
        <v>27</v>
      </c>
      <c r="J778" s="1"/>
      <c r="K778" s="1">
        <v>14000</v>
      </c>
      <c r="L778" s="2">
        <v>45316</v>
      </c>
    </row>
    <row r="779" spans="1:12" x14ac:dyDescent="0.35">
      <c r="A779" s="1" t="s">
        <v>1014</v>
      </c>
      <c r="B779" s="1" t="s">
        <v>200</v>
      </c>
      <c r="C779" s="1" t="s">
        <v>14</v>
      </c>
      <c r="D779" s="1" t="s">
        <v>15</v>
      </c>
      <c r="E779" s="1" t="s">
        <v>46</v>
      </c>
      <c r="F779" s="1" t="s">
        <v>17</v>
      </c>
      <c r="G779" s="1" t="s">
        <v>36</v>
      </c>
      <c r="H779" s="1">
        <v>13706</v>
      </c>
      <c r="I779" s="1" t="s">
        <v>22</v>
      </c>
      <c r="J779" s="1">
        <v>0.1</v>
      </c>
      <c r="K779" s="1">
        <v>14000</v>
      </c>
      <c r="L779" s="2">
        <v>45347</v>
      </c>
    </row>
    <row r="780" spans="1:12" x14ac:dyDescent="0.35">
      <c r="A780" s="1" t="s">
        <v>1015</v>
      </c>
      <c r="B780" s="1" t="s">
        <v>294</v>
      </c>
      <c r="C780" s="1" t="s">
        <v>14</v>
      </c>
      <c r="D780" s="1" t="s">
        <v>15</v>
      </c>
      <c r="E780" s="1" t="s">
        <v>16</v>
      </c>
      <c r="F780" s="1" t="s">
        <v>39</v>
      </c>
      <c r="G780" s="1" t="s">
        <v>36</v>
      </c>
      <c r="H780" s="1">
        <v>12221</v>
      </c>
      <c r="I780" s="1" t="s">
        <v>33</v>
      </c>
      <c r="J780" s="1">
        <v>0.3</v>
      </c>
      <c r="K780" s="1">
        <v>14000</v>
      </c>
      <c r="L780" s="2">
        <v>45325</v>
      </c>
    </row>
    <row r="781" spans="1:12" x14ac:dyDescent="0.35">
      <c r="A781" s="1" t="s">
        <v>1016</v>
      </c>
      <c r="B781" s="1" t="s">
        <v>125</v>
      </c>
      <c r="C781" s="1" t="s">
        <v>44</v>
      </c>
      <c r="D781" s="1" t="s">
        <v>45</v>
      </c>
      <c r="E781" s="1" t="s">
        <v>46</v>
      </c>
      <c r="F781" s="1" t="s">
        <v>39</v>
      </c>
      <c r="G781" s="1" t="s">
        <v>26</v>
      </c>
      <c r="H781" s="1">
        <v>11904</v>
      </c>
      <c r="I781" s="1" t="s">
        <v>19</v>
      </c>
      <c r="J781" s="1">
        <v>0.2</v>
      </c>
      <c r="K781" s="1">
        <v>13000</v>
      </c>
      <c r="L781" s="2">
        <v>45295</v>
      </c>
    </row>
    <row r="782" spans="1:12" x14ac:dyDescent="0.35">
      <c r="A782" s="1" t="s">
        <v>1017</v>
      </c>
      <c r="B782" s="1" t="s">
        <v>305</v>
      </c>
      <c r="C782" s="1" t="s">
        <v>61</v>
      </c>
      <c r="D782" s="1" t="s">
        <v>62</v>
      </c>
      <c r="E782" s="1" t="s">
        <v>46</v>
      </c>
      <c r="F782" s="1" t="s">
        <v>39</v>
      </c>
      <c r="G782" s="1" t="s">
        <v>26</v>
      </c>
      <c r="H782" s="1">
        <v>9067</v>
      </c>
      <c r="I782" s="1" t="s">
        <v>22</v>
      </c>
      <c r="J782" s="1">
        <v>0.1</v>
      </c>
      <c r="K782" s="1">
        <v>9000</v>
      </c>
      <c r="L782" s="2">
        <v>45306</v>
      </c>
    </row>
    <row r="783" spans="1:12" x14ac:dyDescent="0.35">
      <c r="A783" s="1" t="s">
        <v>1018</v>
      </c>
      <c r="B783" s="1" t="s">
        <v>435</v>
      </c>
      <c r="C783" s="1" t="s">
        <v>61</v>
      </c>
      <c r="D783" s="1" t="s">
        <v>62</v>
      </c>
      <c r="E783" s="1" t="s">
        <v>32</v>
      </c>
      <c r="F783" s="1" t="s">
        <v>25</v>
      </c>
      <c r="G783" s="1" t="s">
        <v>36</v>
      </c>
      <c r="H783" s="1">
        <v>7338</v>
      </c>
      <c r="I783" s="1"/>
      <c r="J783" s="1"/>
      <c r="K783" s="1">
        <v>9000</v>
      </c>
      <c r="L783" s="2">
        <v>45328</v>
      </c>
    </row>
    <row r="784" spans="1:12" x14ac:dyDescent="0.35">
      <c r="A784" s="1" t="s">
        <v>1019</v>
      </c>
      <c r="B784" s="1" t="s">
        <v>464</v>
      </c>
      <c r="C784" s="1" t="s">
        <v>61</v>
      </c>
      <c r="D784" s="1" t="s">
        <v>62</v>
      </c>
      <c r="E784" s="1" t="s">
        <v>46</v>
      </c>
      <c r="F784" s="1" t="s">
        <v>25</v>
      </c>
      <c r="G784" s="1" t="s">
        <v>36</v>
      </c>
      <c r="H784" s="1">
        <v>9055</v>
      </c>
      <c r="I784" s="1"/>
      <c r="J784" s="1"/>
      <c r="K784" s="1">
        <v>9000</v>
      </c>
      <c r="L784" s="2">
        <v>45341</v>
      </c>
    </row>
    <row r="785" spans="1:12" x14ac:dyDescent="0.35">
      <c r="A785" s="1" t="s">
        <v>1020</v>
      </c>
      <c r="B785" s="1" t="s">
        <v>153</v>
      </c>
      <c r="C785" s="1" t="s">
        <v>44</v>
      </c>
      <c r="D785" s="1" t="s">
        <v>45</v>
      </c>
      <c r="E785" s="1" t="s">
        <v>46</v>
      </c>
      <c r="F785" s="1" t="s">
        <v>39</v>
      </c>
      <c r="G785" s="1" t="s">
        <v>18</v>
      </c>
      <c r="H785" s="1">
        <v>12998</v>
      </c>
      <c r="I785" s="1"/>
      <c r="J785" s="1"/>
      <c r="K785" s="1">
        <v>13000</v>
      </c>
      <c r="L785" s="2">
        <v>45333</v>
      </c>
    </row>
    <row r="786" spans="1:12" x14ac:dyDescent="0.35">
      <c r="A786" s="1" t="s">
        <v>1021</v>
      </c>
      <c r="B786" s="1" t="s">
        <v>519</v>
      </c>
      <c r="C786" s="1" t="s">
        <v>44</v>
      </c>
      <c r="D786" s="1" t="s">
        <v>45</v>
      </c>
      <c r="E786" s="1" t="s">
        <v>32</v>
      </c>
      <c r="F786" s="1" t="s">
        <v>25</v>
      </c>
      <c r="G786" s="1" t="s">
        <v>36</v>
      </c>
      <c r="H786" s="1">
        <v>14181</v>
      </c>
      <c r="I786" s="1"/>
      <c r="J786" s="1"/>
      <c r="K786" s="1">
        <v>13000</v>
      </c>
      <c r="L786" s="2">
        <v>45312</v>
      </c>
    </row>
    <row r="787" spans="1:12" x14ac:dyDescent="0.35">
      <c r="A787" s="1" t="s">
        <v>1022</v>
      </c>
      <c r="B787" s="1" t="s">
        <v>163</v>
      </c>
      <c r="C787" s="1" t="s">
        <v>14</v>
      </c>
      <c r="D787" s="1" t="s">
        <v>15</v>
      </c>
      <c r="E787" s="1" t="s">
        <v>32</v>
      </c>
      <c r="F787" s="1" t="s">
        <v>39</v>
      </c>
      <c r="G787" s="1" t="s">
        <v>36</v>
      </c>
      <c r="H787" s="1">
        <v>13734</v>
      </c>
      <c r="I787" s="1" t="s">
        <v>33</v>
      </c>
      <c r="J787" s="1">
        <v>0.3</v>
      </c>
      <c r="K787" s="1">
        <v>14000</v>
      </c>
      <c r="L787" s="2">
        <v>45314</v>
      </c>
    </row>
    <row r="788" spans="1:12" x14ac:dyDescent="0.35">
      <c r="A788" s="1" t="s">
        <v>1023</v>
      </c>
      <c r="B788" s="1" t="s">
        <v>391</v>
      </c>
      <c r="C788" s="1" t="s">
        <v>30</v>
      </c>
      <c r="D788" s="1" t="s">
        <v>31</v>
      </c>
      <c r="E788" s="1" t="s">
        <v>16</v>
      </c>
      <c r="F788" s="1" t="s">
        <v>39</v>
      </c>
      <c r="G788" s="1" t="s">
        <v>18</v>
      </c>
      <c r="H788" s="1">
        <v>18152</v>
      </c>
      <c r="I788" s="1" t="s">
        <v>33</v>
      </c>
      <c r="J788" s="1">
        <v>0.3</v>
      </c>
      <c r="K788" s="1">
        <v>17000</v>
      </c>
      <c r="L788" s="2">
        <v>45302</v>
      </c>
    </row>
    <row r="789" spans="1:12" x14ac:dyDescent="0.35">
      <c r="A789" s="1" t="s">
        <v>1024</v>
      </c>
      <c r="B789" s="1" t="s">
        <v>38</v>
      </c>
      <c r="C789" s="1" t="s">
        <v>61</v>
      </c>
      <c r="D789" s="1" t="s">
        <v>62</v>
      </c>
      <c r="E789" s="1" t="s">
        <v>16</v>
      </c>
      <c r="F789" s="1" t="s">
        <v>25</v>
      </c>
      <c r="G789" s="1" t="s">
        <v>36</v>
      </c>
      <c r="H789" s="1">
        <v>7183</v>
      </c>
      <c r="I789" s="1" t="s">
        <v>19</v>
      </c>
      <c r="J789" s="1">
        <v>0.2</v>
      </c>
      <c r="K789" s="1">
        <v>9000</v>
      </c>
      <c r="L789" s="2">
        <v>45304</v>
      </c>
    </row>
    <row r="790" spans="1:12" x14ac:dyDescent="0.35">
      <c r="A790" s="1" t="s">
        <v>1025</v>
      </c>
      <c r="B790" s="1" t="s">
        <v>317</v>
      </c>
      <c r="C790" s="1" t="s">
        <v>44</v>
      </c>
      <c r="D790" s="1" t="s">
        <v>45</v>
      </c>
      <c r="E790" s="1" t="s">
        <v>16</v>
      </c>
      <c r="F790" s="1" t="s">
        <v>25</v>
      </c>
      <c r="G790" s="1" t="s">
        <v>18</v>
      </c>
      <c r="H790" s="1">
        <v>14029</v>
      </c>
      <c r="I790" s="1" t="s">
        <v>22</v>
      </c>
      <c r="J790" s="1">
        <v>0.1</v>
      </c>
      <c r="K790" s="1">
        <v>13000</v>
      </c>
      <c r="L790" s="2">
        <v>45307</v>
      </c>
    </row>
    <row r="791" spans="1:12" x14ac:dyDescent="0.35">
      <c r="A791" s="1" t="s">
        <v>1026</v>
      </c>
      <c r="B791" s="1" t="s">
        <v>373</v>
      </c>
      <c r="C791" s="1" t="s">
        <v>30</v>
      </c>
      <c r="D791" s="1" t="s">
        <v>31</v>
      </c>
      <c r="E791" s="1" t="s">
        <v>32</v>
      </c>
      <c r="F791" s="1" t="s">
        <v>17</v>
      </c>
      <c r="G791" s="1" t="s">
        <v>26</v>
      </c>
      <c r="H791" s="1">
        <v>18294</v>
      </c>
      <c r="I791" s="1" t="s">
        <v>22</v>
      </c>
      <c r="J791" s="1">
        <v>0.1</v>
      </c>
      <c r="K791" s="1">
        <v>17000</v>
      </c>
      <c r="L791" s="2">
        <v>45311</v>
      </c>
    </row>
    <row r="792" spans="1:12" x14ac:dyDescent="0.35">
      <c r="A792" s="1" t="s">
        <v>1027</v>
      </c>
      <c r="B792" s="1" t="s">
        <v>231</v>
      </c>
      <c r="C792" s="1" t="s">
        <v>14</v>
      </c>
      <c r="D792" s="1" t="s">
        <v>15</v>
      </c>
      <c r="E792" s="1" t="s">
        <v>46</v>
      </c>
      <c r="F792" s="1" t="s">
        <v>25</v>
      </c>
      <c r="G792" s="1" t="s">
        <v>26</v>
      </c>
      <c r="H792" s="1">
        <v>14203</v>
      </c>
      <c r="I792" s="1" t="s">
        <v>19</v>
      </c>
      <c r="J792" s="1">
        <v>0.2</v>
      </c>
      <c r="K792" s="1">
        <v>14000</v>
      </c>
      <c r="L792" s="2">
        <v>45305</v>
      </c>
    </row>
    <row r="793" spans="1:12" x14ac:dyDescent="0.35">
      <c r="A793" s="1" t="s">
        <v>1028</v>
      </c>
      <c r="B793" s="1" t="s">
        <v>168</v>
      </c>
      <c r="C793" s="1" t="s">
        <v>30</v>
      </c>
      <c r="D793" s="1" t="s">
        <v>31</v>
      </c>
      <c r="E793" s="1" t="s">
        <v>16</v>
      </c>
      <c r="F793" s="1" t="s">
        <v>17</v>
      </c>
      <c r="G793" s="1" t="s">
        <v>26</v>
      </c>
      <c r="H793" s="1">
        <v>17989</v>
      </c>
      <c r="I793" s="1" t="s">
        <v>19</v>
      </c>
      <c r="J793" s="1">
        <v>0.2</v>
      </c>
      <c r="K793" s="1">
        <v>17000</v>
      </c>
      <c r="L793" s="2">
        <v>45336</v>
      </c>
    </row>
    <row r="794" spans="1:12" x14ac:dyDescent="0.35">
      <c r="A794" s="1" t="s">
        <v>1029</v>
      </c>
      <c r="B794" s="1" t="s">
        <v>765</v>
      </c>
      <c r="C794" s="1" t="s">
        <v>14</v>
      </c>
      <c r="D794" s="1" t="s">
        <v>15</v>
      </c>
      <c r="E794" s="1" t="s">
        <v>46</v>
      </c>
      <c r="F794" s="1" t="s">
        <v>39</v>
      </c>
      <c r="G794" s="1" t="s">
        <v>26</v>
      </c>
      <c r="H794" s="1">
        <v>14157</v>
      </c>
      <c r="I794" s="1" t="s">
        <v>22</v>
      </c>
      <c r="J794" s="1">
        <v>0.1</v>
      </c>
      <c r="K794" s="1">
        <v>14000</v>
      </c>
      <c r="L794" s="2">
        <v>45308</v>
      </c>
    </row>
    <row r="795" spans="1:12" x14ac:dyDescent="0.35">
      <c r="A795" s="1" t="s">
        <v>1030</v>
      </c>
      <c r="B795" s="1" t="s">
        <v>557</v>
      </c>
      <c r="C795" s="1" t="s">
        <v>30</v>
      </c>
      <c r="D795" s="1" t="s">
        <v>31</v>
      </c>
      <c r="E795" s="1" t="s">
        <v>32</v>
      </c>
      <c r="F795" s="1" t="s">
        <v>39</v>
      </c>
      <c r="G795" s="1" t="s">
        <v>26</v>
      </c>
      <c r="H795" s="1">
        <v>16111</v>
      </c>
      <c r="I795" s="1" t="s">
        <v>22</v>
      </c>
      <c r="J795" s="1">
        <v>0.1</v>
      </c>
      <c r="K795" s="1">
        <v>17000</v>
      </c>
      <c r="L795" s="2">
        <v>45321</v>
      </c>
    </row>
    <row r="796" spans="1:12" x14ac:dyDescent="0.35">
      <c r="A796" s="1" t="s">
        <v>1031</v>
      </c>
      <c r="B796" s="1" t="s">
        <v>1032</v>
      </c>
      <c r="C796" s="1" t="s">
        <v>14</v>
      </c>
      <c r="D796" s="1" t="s">
        <v>15</v>
      </c>
      <c r="E796" s="1" t="s">
        <v>46</v>
      </c>
      <c r="F796" s="1" t="s">
        <v>39</v>
      </c>
      <c r="G796" s="1" t="s">
        <v>36</v>
      </c>
      <c r="H796" s="1">
        <v>14715</v>
      </c>
      <c r="I796" s="1" t="s">
        <v>33</v>
      </c>
      <c r="J796" s="1">
        <v>0.3</v>
      </c>
      <c r="K796" s="1">
        <v>14000</v>
      </c>
      <c r="L796" s="2">
        <v>45347</v>
      </c>
    </row>
    <row r="797" spans="1:12" x14ac:dyDescent="0.35">
      <c r="A797" s="1" t="s">
        <v>1033</v>
      </c>
      <c r="B797" s="1" t="s">
        <v>43</v>
      </c>
      <c r="C797" s="1" t="s">
        <v>30</v>
      </c>
      <c r="D797" s="1" t="s">
        <v>31</v>
      </c>
      <c r="E797" s="1" t="s">
        <v>16</v>
      </c>
      <c r="F797" s="1" t="s">
        <v>17</v>
      </c>
      <c r="G797" s="1" t="s">
        <v>18</v>
      </c>
      <c r="H797" s="1">
        <v>16559</v>
      </c>
      <c r="I797" s="1" t="s">
        <v>27</v>
      </c>
      <c r="J797" s="1"/>
      <c r="K797" s="1">
        <v>17000</v>
      </c>
      <c r="L797" s="2">
        <v>45337</v>
      </c>
    </row>
    <row r="798" spans="1:12" x14ac:dyDescent="0.35">
      <c r="A798" s="1" t="s">
        <v>1034</v>
      </c>
      <c r="B798" s="1" t="s">
        <v>432</v>
      </c>
      <c r="C798" s="1" t="s">
        <v>61</v>
      </c>
      <c r="D798" s="1" t="s">
        <v>62</v>
      </c>
      <c r="E798" s="1" t="s">
        <v>16</v>
      </c>
      <c r="F798" s="1" t="s">
        <v>39</v>
      </c>
      <c r="G798" s="1" t="s">
        <v>18</v>
      </c>
      <c r="H798" s="1">
        <v>7763</v>
      </c>
      <c r="I798" s="1" t="s">
        <v>19</v>
      </c>
      <c r="J798" s="1">
        <v>0.2</v>
      </c>
      <c r="K798" s="1">
        <v>9000</v>
      </c>
      <c r="L798" s="2">
        <v>45324</v>
      </c>
    </row>
    <row r="799" spans="1:12" x14ac:dyDescent="0.35">
      <c r="A799" s="1" t="s">
        <v>1035</v>
      </c>
      <c r="B799" s="1" t="s">
        <v>330</v>
      </c>
      <c r="C799" s="1" t="s">
        <v>14</v>
      </c>
      <c r="D799" s="1" t="s">
        <v>15</v>
      </c>
      <c r="E799" s="1" t="s">
        <v>32</v>
      </c>
      <c r="F799" s="1" t="s">
        <v>25</v>
      </c>
      <c r="G799" s="1" t="s">
        <v>26</v>
      </c>
      <c r="H799" s="1">
        <v>13248</v>
      </c>
      <c r="I799" s="1" t="s">
        <v>33</v>
      </c>
      <c r="J799" s="1">
        <v>0.3</v>
      </c>
      <c r="K799" s="1">
        <v>14000</v>
      </c>
      <c r="L799" s="2">
        <v>45323</v>
      </c>
    </row>
    <row r="800" spans="1:12" x14ac:dyDescent="0.35">
      <c r="A800" s="1" t="s">
        <v>1036</v>
      </c>
      <c r="B800" s="1" t="s">
        <v>101</v>
      </c>
      <c r="C800" s="1" t="s">
        <v>44</v>
      </c>
      <c r="D800" s="1" t="s">
        <v>45</v>
      </c>
      <c r="E800" s="1" t="s">
        <v>32</v>
      </c>
      <c r="F800" s="1" t="s">
        <v>17</v>
      </c>
      <c r="G800" s="1" t="s">
        <v>26</v>
      </c>
      <c r="H800" s="1">
        <v>12441</v>
      </c>
      <c r="I800" s="1" t="s">
        <v>33</v>
      </c>
      <c r="J800" s="1">
        <v>0.3</v>
      </c>
      <c r="K800" s="1">
        <v>13000</v>
      </c>
      <c r="L800" s="2">
        <v>45332</v>
      </c>
    </row>
    <row r="801" spans="1:12" x14ac:dyDescent="0.35">
      <c r="A801" s="1" t="s">
        <v>1037</v>
      </c>
      <c r="B801" s="1" t="s">
        <v>289</v>
      </c>
      <c r="C801" s="1" t="s">
        <v>30</v>
      </c>
      <c r="D801" s="1" t="s">
        <v>31</v>
      </c>
      <c r="E801" s="1" t="s">
        <v>32</v>
      </c>
      <c r="F801" s="1" t="s">
        <v>39</v>
      </c>
      <c r="G801" s="1" t="s">
        <v>36</v>
      </c>
      <c r="H801" s="1">
        <v>18599</v>
      </c>
      <c r="I801" s="1"/>
      <c r="J801" s="1"/>
      <c r="K801" s="1">
        <v>17000</v>
      </c>
      <c r="L801" s="2">
        <v>45348</v>
      </c>
    </row>
    <row r="802" spans="1:12" x14ac:dyDescent="0.35">
      <c r="A802" s="1" t="s">
        <v>1038</v>
      </c>
      <c r="B802" s="1" t="s">
        <v>676</v>
      </c>
      <c r="C802" s="1" t="s">
        <v>30</v>
      </c>
      <c r="D802" s="1" t="s">
        <v>31</v>
      </c>
      <c r="E802" s="1" t="s">
        <v>32</v>
      </c>
      <c r="F802" s="1" t="s">
        <v>25</v>
      </c>
      <c r="G802" s="1" t="s">
        <v>36</v>
      </c>
      <c r="H802" s="1">
        <v>18674</v>
      </c>
      <c r="I802" s="1"/>
      <c r="J802" s="1"/>
      <c r="K802" s="1">
        <v>17000</v>
      </c>
      <c r="L802" s="2">
        <v>45334</v>
      </c>
    </row>
    <row r="803" spans="1:12" x14ac:dyDescent="0.35">
      <c r="A803" s="1" t="s">
        <v>1039</v>
      </c>
      <c r="B803" s="1" t="s">
        <v>325</v>
      </c>
      <c r="C803" s="1" t="s">
        <v>61</v>
      </c>
      <c r="D803" s="1" t="s">
        <v>62</v>
      </c>
      <c r="E803" s="1" t="s">
        <v>16</v>
      </c>
      <c r="F803" s="1" t="s">
        <v>39</v>
      </c>
      <c r="G803" s="1" t="s">
        <v>26</v>
      </c>
      <c r="H803" s="1">
        <v>10574</v>
      </c>
      <c r="I803" s="1" t="s">
        <v>19</v>
      </c>
      <c r="J803" s="1">
        <v>0.2</v>
      </c>
      <c r="K803" s="1">
        <v>9000</v>
      </c>
      <c r="L803" s="2">
        <v>45318</v>
      </c>
    </row>
    <row r="804" spans="1:12" x14ac:dyDescent="0.35">
      <c r="A804" s="1" t="s">
        <v>1040</v>
      </c>
      <c r="B804" s="1" t="s">
        <v>56</v>
      </c>
      <c r="C804" s="1" t="s">
        <v>44</v>
      </c>
      <c r="D804" s="1" t="s">
        <v>45</v>
      </c>
      <c r="E804" s="1" t="s">
        <v>46</v>
      </c>
      <c r="F804" s="1" t="s">
        <v>17</v>
      </c>
      <c r="G804" s="1" t="s">
        <v>26</v>
      </c>
      <c r="H804" s="1">
        <v>12348</v>
      </c>
      <c r="I804" s="1"/>
      <c r="J804" s="1"/>
      <c r="K804" s="1">
        <v>13000</v>
      </c>
      <c r="L804" s="2">
        <v>45326</v>
      </c>
    </row>
    <row r="805" spans="1:12" x14ac:dyDescent="0.35">
      <c r="A805" s="1" t="s">
        <v>1041</v>
      </c>
      <c r="B805" s="1" t="s">
        <v>35</v>
      </c>
      <c r="C805" s="1" t="s">
        <v>44</v>
      </c>
      <c r="D805" s="1" t="s">
        <v>45</v>
      </c>
      <c r="E805" s="1" t="s">
        <v>16</v>
      </c>
      <c r="F805" s="1" t="s">
        <v>39</v>
      </c>
      <c r="G805" s="1" t="s">
        <v>26</v>
      </c>
      <c r="H805" s="1">
        <v>14277</v>
      </c>
      <c r="I805" s="1" t="s">
        <v>19</v>
      </c>
      <c r="J805" s="1">
        <v>0.2</v>
      </c>
      <c r="K805" s="1">
        <v>13000</v>
      </c>
      <c r="L805" s="2">
        <v>45347</v>
      </c>
    </row>
    <row r="806" spans="1:12" x14ac:dyDescent="0.35">
      <c r="A806" s="1" t="s">
        <v>1042</v>
      </c>
      <c r="B806" s="1" t="s">
        <v>256</v>
      </c>
      <c r="C806" s="1" t="s">
        <v>44</v>
      </c>
      <c r="D806" s="1" t="s">
        <v>45</v>
      </c>
      <c r="E806" s="1" t="s">
        <v>46</v>
      </c>
      <c r="F806" s="1" t="s">
        <v>25</v>
      </c>
      <c r="G806" s="1" t="s">
        <v>26</v>
      </c>
      <c r="H806" s="1">
        <v>14821</v>
      </c>
      <c r="I806" s="1" t="s">
        <v>27</v>
      </c>
      <c r="J806" s="1"/>
      <c r="K806" s="1">
        <v>13000</v>
      </c>
      <c r="L806" s="2">
        <v>45350</v>
      </c>
    </row>
    <row r="807" spans="1:12" x14ac:dyDescent="0.35">
      <c r="A807" s="1" t="s">
        <v>1043</v>
      </c>
      <c r="B807" s="1" t="s">
        <v>74</v>
      </c>
      <c r="C807" s="1" t="s">
        <v>14</v>
      </c>
      <c r="D807" s="1" t="s">
        <v>15</v>
      </c>
      <c r="E807" s="1" t="s">
        <v>16</v>
      </c>
      <c r="F807" s="1" t="s">
        <v>39</v>
      </c>
      <c r="G807" s="1" t="s">
        <v>26</v>
      </c>
      <c r="H807" s="1">
        <v>12484</v>
      </c>
      <c r="I807" s="1" t="s">
        <v>19</v>
      </c>
      <c r="J807" s="1">
        <v>0.2</v>
      </c>
      <c r="K807" s="1">
        <v>14000</v>
      </c>
      <c r="L807" s="2">
        <v>45312</v>
      </c>
    </row>
    <row r="808" spans="1:12" x14ac:dyDescent="0.35">
      <c r="A808" s="1" t="s">
        <v>1044</v>
      </c>
      <c r="B808" s="1" t="s">
        <v>412</v>
      </c>
      <c r="C808" s="1" t="s">
        <v>14</v>
      </c>
      <c r="D808" s="1" t="s">
        <v>15</v>
      </c>
      <c r="E808" s="1" t="s">
        <v>46</v>
      </c>
      <c r="F808" s="1" t="s">
        <v>17</v>
      </c>
      <c r="G808" s="1" t="s">
        <v>36</v>
      </c>
      <c r="H808" s="1">
        <v>13242</v>
      </c>
      <c r="I808" s="1"/>
      <c r="J808" s="1"/>
      <c r="K808" s="1">
        <v>14000</v>
      </c>
      <c r="L808" s="2">
        <v>45339</v>
      </c>
    </row>
    <row r="809" spans="1:12" x14ac:dyDescent="0.35">
      <c r="A809" s="1" t="s">
        <v>1045</v>
      </c>
      <c r="B809" s="1" t="s">
        <v>454</v>
      </c>
      <c r="C809" s="1" t="s">
        <v>30</v>
      </c>
      <c r="D809" s="1" t="s">
        <v>31</v>
      </c>
      <c r="E809" s="1" t="s">
        <v>32</v>
      </c>
      <c r="F809" s="1" t="s">
        <v>25</v>
      </c>
      <c r="G809" s="1" t="s">
        <v>18</v>
      </c>
      <c r="H809" s="1">
        <v>15538</v>
      </c>
      <c r="I809" s="1" t="s">
        <v>19</v>
      </c>
      <c r="J809" s="1">
        <v>0.2</v>
      </c>
      <c r="K809" s="1">
        <v>17000</v>
      </c>
      <c r="L809" s="2">
        <v>45293</v>
      </c>
    </row>
    <row r="810" spans="1:12" x14ac:dyDescent="0.35">
      <c r="A810" s="1" t="s">
        <v>1046</v>
      </c>
      <c r="B810" s="1" t="s">
        <v>522</v>
      </c>
      <c r="C810" s="1" t="s">
        <v>30</v>
      </c>
      <c r="D810" s="1" t="s">
        <v>31</v>
      </c>
      <c r="E810" s="1" t="s">
        <v>16</v>
      </c>
      <c r="F810" s="1" t="s">
        <v>39</v>
      </c>
      <c r="G810" s="1" t="s">
        <v>26</v>
      </c>
      <c r="H810" s="1">
        <v>15945</v>
      </c>
      <c r="I810" s="1" t="s">
        <v>27</v>
      </c>
      <c r="J810" s="1"/>
      <c r="K810" s="1">
        <v>17000</v>
      </c>
      <c r="L810" s="2">
        <v>45306</v>
      </c>
    </row>
    <row r="811" spans="1:12" x14ac:dyDescent="0.35">
      <c r="A811" s="1" t="s">
        <v>1047</v>
      </c>
      <c r="B811" s="1" t="s">
        <v>817</v>
      </c>
      <c r="C811" s="1" t="s">
        <v>14</v>
      </c>
      <c r="D811" s="1" t="s">
        <v>15</v>
      </c>
      <c r="E811" s="1" t="s">
        <v>46</v>
      </c>
      <c r="F811" s="1" t="s">
        <v>25</v>
      </c>
      <c r="G811" s="1" t="s">
        <v>26</v>
      </c>
      <c r="H811" s="1">
        <v>15194</v>
      </c>
      <c r="I811" s="1"/>
      <c r="J811" s="1"/>
      <c r="K811" s="1">
        <v>14000</v>
      </c>
      <c r="L811" s="2">
        <v>45300</v>
      </c>
    </row>
    <row r="812" spans="1:12" x14ac:dyDescent="0.35">
      <c r="A812" s="1" t="s">
        <v>1048</v>
      </c>
      <c r="B812" s="1" t="s">
        <v>105</v>
      </c>
      <c r="C812" s="1" t="s">
        <v>61</v>
      </c>
      <c r="D812" s="1" t="s">
        <v>62</v>
      </c>
      <c r="E812" s="1" t="s">
        <v>16</v>
      </c>
      <c r="F812" s="1" t="s">
        <v>39</v>
      </c>
      <c r="G812" s="1" t="s">
        <v>36</v>
      </c>
      <c r="H812" s="1">
        <v>7753</v>
      </c>
      <c r="I812" s="1"/>
      <c r="J812" s="1"/>
      <c r="K812" s="1">
        <v>9000</v>
      </c>
      <c r="L812" s="2">
        <v>45323</v>
      </c>
    </row>
    <row r="813" spans="1:12" x14ac:dyDescent="0.35">
      <c r="A813" s="1" t="s">
        <v>1049</v>
      </c>
      <c r="B813" s="1" t="s">
        <v>508</v>
      </c>
      <c r="C813" s="1" t="s">
        <v>44</v>
      </c>
      <c r="D813" s="1" t="s">
        <v>45</v>
      </c>
      <c r="E813" s="1" t="s">
        <v>32</v>
      </c>
      <c r="F813" s="1" t="s">
        <v>25</v>
      </c>
      <c r="G813" s="1" t="s">
        <v>18</v>
      </c>
      <c r="H813" s="1">
        <v>12673</v>
      </c>
      <c r="I813" s="1" t="s">
        <v>22</v>
      </c>
      <c r="J813" s="1">
        <v>0.1</v>
      </c>
      <c r="K813" s="1">
        <v>13000</v>
      </c>
      <c r="L813" s="2">
        <v>45351</v>
      </c>
    </row>
    <row r="814" spans="1:12" x14ac:dyDescent="0.35">
      <c r="A814" s="1" t="s">
        <v>1050</v>
      </c>
      <c r="B814" s="1" t="s">
        <v>70</v>
      </c>
      <c r="C814" s="1" t="s">
        <v>44</v>
      </c>
      <c r="D814" s="1" t="s">
        <v>45</v>
      </c>
      <c r="E814" s="1" t="s">
        <v>16</v>
      </c>
      <c r="F814" s="1" t="s">
        <v>39</v>
      </c>
      <c r="G814" s="1" t="s">
        <v>18</v>
      </c>
      <c r="H814" s="1">
        <v>14103</v>
      </c>
      <c r="I814" s="1" t="s">
        <v>19</v>
      </c>
      <c r="J814" s="1">
        <v>0.2</v>
      </c>
      <c r="K814" s="1">
        <v>13000</v>
      </c>
      <c r="L814" s="2">
        <v>45296</v>
      </c>
    </row>
    <row r="815" spans="1:12" x14ac:dyDescent="0.35">
      <c r="A815" s="1" t="s">
        <v>1051</v>
      </c>
      <c r="B815" s="1" t="s">
        <v>429</v>
      </c>
      <c r="C815" s="1" t="s">
        <v>61</v>
      </c>
      <c r="D815" s="1" t="s">
        <v>62</v>
      </c>
      <c r="E815" s="1" t="s">
        <v>16</v>
      </c>
      <c r="F815" s="1" t="s">
        <v>17</v>
      </c>
      <c r="G815" s="1" t="s">
        <v>36</v>
      </c>
      <c r="H815" s="1">
        <v>10635</v>
      </c>
      <c r="I815" s="1" t="s">
        <v>19</v>
      </c>
      <c r="J815" s="1">
        <v>0.2</v>
      </c>
      <c r="K815" s="1">
        <v>9000</v>
      </c>
      <c r="L815" s="2">
        <v>45319</v>
      </c>
    </row>
    <row r="816" spans="1:12" x14ac:dyDescent="0.35">
      <c r="A816" s="1" t="s">
        <v>1052</v>
      </c>
      <c r="B816" s="1" t="s">
        <v>155</v>
      </c>
      <c r="C816" s="1" t="s">
        <v>14</v>
      </c>
      <c r="D816" s="1" t="s">
        <v>15</v>
      </c>
      <c r="E816" s="1" t="s">
        <v>16</v>
      </c>
      <c r="F816" s="1" t="s">
        <v>39</v>
      </c>
      <c r="G816" s="1" t="s">
        <v>36</v>
      </c>
      <c r="H816" s="1">
        <v>14949</v>
      </c>
      <c r="I816" s="1" t="s">
        <v>33</v>
      </c>
      <c r="J816" s="1">
        <v>0.3</v>
      </c>
      <c r="K816" s="1">
        <v>14000</v>
      </c>
      <c r="L816" s="2">
        <v>45317</v>
      </c>
    </row>
    <row r="817" spans="1:12" x14ac:dyDescent="0.35">
      <c r="A817" s="1" t="s">
        <v>1053</v>
      </c>
      <c r="B817" s="1" t="s">
        <v>233</v>
      </c>
      <c r="C817" s="1" t="s">
        <v>14</v>
      </c>
      <c r="D817" s="1" t="s">
        <v>15</v>
      </c>
      <c r="E817" s="1" t="s">
        <v>16</v>
      </c>
      <c r="F817" s="1" t="s">
        <v>25</v>
      </c>
      <c r="G817" s="1" t="s">
        <v>36</v>
      </c>
      <c r="H817" s="1">
        <v>13871</v>
      </c>
      <c r="I817" s="1" t="s">
        <v>22</v>
      </c>
      <c r="J817" s="1">
        <v>0.1</v>
      </c>
      <c r="K817" s="1">
        <v>14000</v>
      </c>
      <c r="L817" s="2">
        <v>45348</v>
      </c>
    </row>
    <row r="818" spans="1:12" x14ac:dyDescent="0.35">
      <c r="A818" s="1" t="s">
        <v>1054</v>
      </c>
      <c r="B818" s="1" t="s">
        <v>24</v>
      </c>
      <c r="C818" s="1" t="s">
        <v>61</v>
      </c>
      <c r="D818" s="1" t="s">
        <v>62</v>
      </c>
      <c r="E818" s="1" t="s">
        <v>16</v>
      </c>
      <c r="F818" s="1" t="s">
        <v>25</v>
      </c>
      <c r="G818" s="1" t="s">
        <v>26</v>
      </c>
      <c r="H818" s="1">
        <v>8586</v>
      </c>
      <c r="I818" s="1" t="s">
        <v>27</v>
      </c>
      <c r="J818" s="1"/>
      <c r="K818" s="1">
        <v>9000</v>
      </c>
      <c r="L818" s="2">
        <v>45340</v>
      </c>
    </row>
    <row r="819" spans="1:12" x14ac:dyDescent="0.35">
      <c r="A819" s="1" t="s">
        <v>1055</v>
      </c>
      <c r="B819" s="1" t="s">
        <v>1032</v>
      </c>
      <c r="C819" s="1" t="s">
        <v>44</v>
      </c>
      <c r="D819" s="1" t="s">
        <v>45</v>
      </c>
      <c r="E819" s="1" t="s">
        <v>46</v>
      </c>
      <c r="F819" s="1" t="s">
        <v>17</v>
      </c>
      <c r="G819" s="1" t="s">
        <v>36</v>
      </c>
      <c r="H819" s="1">
        <v>14622</v>
      </c>
      <c r="I819" s="1" t="s">
        <v>33</v>
      </c>
      <c r="J819" s="1">
        <v>0.3</v>
      </c>
      <c r="K819" s="1">
        <v>13000</v>
      </c>
      <c r="L819" s="2">
        <v>45341</v>
      </c>
    </row>
    <row r="820" spans="1:12" x14ac:dyDescent="0.35">
      <c r="A820" s="1" t="s">
        <v>1056</v>
      </c>
      <c r="B820" s="1" t="s">
        <v>643</v>
      </c>
      <c r="C820" s="1" t="s">
        <v>61</v>
      </c>
      <c r="D820" s="1" t="s">
        <v>62</v>
      </c>
      <c r="E820" s="1" t="s">
        <v>32</v>
      </c>
      <c r="F820" s="1" t="s">
        <v>17</v>
      </c>
      <c r="G820" s="1" t="s">
        <v>36</v>
      </c>
      <c r="H820" s="1">
        <v>9511</v>
      </c>
      <c r="I820" s="1" t="s">
        <v>22</v>
      </c>
      <c r="J820" s="1">
        <v>0.1</v>
      </c>
      <c r="K820" s="1">
        <v>9000</v>
      </c>
      <c r="L820" s="2">
        <v>45336</v>
      </c>
    </row>
    <row r="821" spans="1:12" x14ac:dyDescent="0.35">
      <c r="A821" s="1" t="s">
        <v>1057</v>
      </c>
      <c r="B821" s="1" t="s">
        <v>80</v>
      </c>
      <c r="C821" s="1" t="s">
        <v>61</v>
      </c>
      <c r="D821" s="1" t="s">
        <v>62</v>
      </c>
      <c r="E821" s="1" t="s">
        <v>16</v>
      </c>
      <c r="F821" s="1" t="s">
        <v>17</v>
      </c>
      <c r="G821" s="1" t="s">
        <v>18</v>
      </c>
      <c r="H821" s="1">
        <v>9959</v>
      </c>
      <c r="I821" s="1" t="s">
        <v>27</v>
      </c>
      <c r="J821" s="1"/>
      <c r="K821" s="1">
        <v>9000</v>
      </c>
      <c r="L821" s="2">
        <v>45299</v>
      </c>
    </row>
    <row r="822" spans="1:12" x14ac:dyDescent="0.35">
      <c r="A822" s="1" t="s">
        <v>1058</v>
      </c>
      <c r="B822" s="1" t="s">
        <v>135</v>
      </c>
      <c r="C822" s="1" t="s">
        <v>44</v>
      </c>
      <c r="D822" s="1" t="s">
        <v>45</v>
      </c>
      <c r="E822" s="1" t="s">
        <v>46</v>
      </c>
      <c r="F822" s="1" t="s">
        <v>17</v>
      </c>
      <c r="G822" s="1" t="s">
        <v>36</v>
      </c>
      <c r="H822" s="1">
        <v>12846</v>
      </c>
      <c r="I822" s="1" t="s">
        <v>22</v>
      </c>
      <c r="J822" s="1">
        <v>0.1</v>
      </c>
      <c r="K822" s="1">
        <v>13000</v>
      </c>
      <c r="L822" s="2">
        <v>45303</v>
      </c>
    </row>
    <row r="823" spans="1:12" x14ac:dyDescent="0.35">
      <c r="A823" s="1" t="s">
        <v>1059</v>
      </c>
      <c r="B823" s="1" t="s">
        <v>600</v>
      </c>
      <c r="C823" s="1" t="s">
        <v>44</v>
      </c>
      <c r="D823" s="1" t="s">
        <v>45</v>
      </c>
      <c r="E823" s="1" t="s">
        <v>46</v>
      </c>
      <c r="F823" s="1" t="s">
        <v>25</v>
      </c>
      <c r="G823" s="1" t="s">
        <v>36</v>
      </c>
      <c r="H823" s="1">
        <v>12327</v>
      </c>
      <c r="I823" s="1" t="s">
        <v>19</v>
      </c>
      <c r="J823" s="1">
        <v>0.2</v>
      </c>
      <c r="K823" s="1">
        <v>13000</v>
      </c>
      <c r="L823" s="2">
        <v>45337</v>
      </c>
    </row>
    <row r="824" spans="1:12" x14ac:dyDescent="0.35">
      <c r="A824" s="1" t="s">
        <v>1060</v>
      </c>
      <c r="B824" s="1" t="s">
        <v>1000</v>
      </c>
      <c r="C824" s="1" t="s">
        <v>14</v>
      </c>
      <c r="D824" s="1" t="s">
        <v>15</v>
      </c>
      <c r="E824" s="1" t="s">
        <v>32</v>
      </c>
      <c r="F824" s="1" t="s">
        <v>39</v>
      </c>
      <c r="G824" s="1" t="s">
        <v>36</v>
      </c>
      <c r="H824" s="1">
        <v>14597</v>
      </c>
      <c r="I824" s="1" t="s">
        <v>33</v>
      </c>
      <c r="J824" s="1">
        <v>0.3</v>
      </c>
      <c r="K824" s="1">
        <v>14000</v>
      </c>
      <c r="L824" s="2">
        <v>45297</v>
      </c>
    </row>
    <row r="825" spans="1:12" x14ac:dyDescent="0.35">
      <c r="A825" s="1" t="s">
        <v>1061</v>
      </c>
      <c r="B825" s="1" t="s">
        <v>548</v>
      </c>
      <c r="C825" s="1" t="s">
        <v>61</v>
      </c>
      <c r="D825" s="1" t="s">
        <v>62</v>
      </c>
      <c r="E825" s="1" t="s">
        <v>16</v>
      </c>
      <c r="F825" s="1" t="s">
        <v>39</v>
      </c>
      <c r="G825" s="1" t="s">
        <v>26</v>
      </c>
      <c r="H825" s="1">
        <v>10890</v>
      </c>
      <c r="I825" s="1" t="s">
        <v>19</v>
      </c>
      <c r="J825" s="1">
        <v>0.2</v>
      </c>
      <c r="K825" s="1">
        <v>9000</v>
      </c>
      <c r="L825" s="2">
        <v>45316</v>
      </c>
    </row>
    <row r="826" spans="1:12" x14ac:dyDescent="0.35">
      <c r="A826" s="1" t="s">
        <v>1062</v>
      </c>
      <c r="B826" s="1" t="s">
        <v>388</v>
      </c>
      <c r="C826" s="1" t="s">
        <v>14</v>
      </c>
      <c r="D826" s="1" t="s">
        <v>15</v>
      </c>
      <c r="E826" s="1" t="s">
        <v>32</v>
      </c>
      <c r="F826" s="1" t="s">
        <v>17</v>
      </c>
      <c r="G826" s="1" t="s">
        <v>26</v>
      </c>
      <c r="H826" s="1">
        <v>15568</v>
      </c>
      <c r="I826" s="1" t="s">
        <v>19</v>
      </c>
      <c r="J826" s="1">
        <v>0.2</v>
      </c>
      <c r="K826" s="1">
        <v>14000</v>
      </c>
      <c r="L826" s="2">
        <v>45302</v>
      </c>
    </row>
    <row r="827" spans="1:12" x14ac:dyDescent="0.35">
      <c r="A827" s="1" t="s">
        <v>1063</v>
      </c>
      <c r="B827" s="1" t="s">
        <v>412</v>
      </c>
      <c r="C827" s="1" t="s">
        <v>44</v>
      </c>
      <c r="D827" s="1" t="s">
        <v>45</v>
      </c>
      <c r="E827" s="1" t="s">
        <v>16</v>
      </c>
      <c r="F827" s="1" t="s">
        <v>25</v>
      </c>
      <c r="G827" s="1" t="s">
        <v>36</v>
      </c>
      <c r="H827" s="1">
        <v>12261</v>
      </c>
      <c r="I827" s="1" t="s">
        <v>33</v>
      </c>
      <c r="J827" s="1">
        <v>0.3</v>
      </c>
      <c r="K827" s="1">
        <v>13000</v>
      </c>
      <c r="L827" s="2">
        <v>45338</v>
      </c>
    </row>
    <row r="828" spans="1:12" x14ac:dyDescent="0.35">
      <c r="A828" s="1" t="s">
        <v>1064</v>
      </c>
      <c r="B828" s="1" t="s">
        <v>298</v>
      </c>
      <c r="C828" s="1" t="s">
        <v>30</v>
      </c>
      <c r="D828" s="1" t="s">
        <v>31</v>
      </c>
      <c r="E828" s="1" t="s">
        <v>16</v>
      </c>
      <c r="F828" s="1" t="s">
        <v>25</v>
      </c>
      <c r="G828" s="1" t="s">
        <v>18</v>
      </c>
      <c r="H828" s="1">
        <v>18680</v>
      </c>
      <c r="I828" s="1" t="s">
        <v>19</v>
      </c>
      <c r="J828" s="1">
        <v>0.2</v>
      </c>
      <c r="K828" s="1">
        <v>17000</v>
      </c>
      <c r="L828" s="2">
        <v>45304</v>
      </c>
    </row>
    <row r="829" spans="1:12" x14ac:dyDescent="0.35">
      <c r="A829" s="1" t="s">
        <v>1065</v>
      </c>
      <c r="B829" s="1" t="s">
        <v>109</v>
      </c>
      <c r="C829" s="1" t="s">
        <v>30</v>
      </c>
      <c r="D829" s="1" t="s">
        <v>31</v>
      </c>
      <c r="E829" s="1" t="s">
        <v>32</v>
      </c>
      <c r="F829" s="1" t="s">
        <v>17</v>
      </c>
      <c r="G829" s="1" t="s">
        <v>36</v>
      </c>
      <c r="H829" s="1">
        <v>18503</v>
      </c>
      <c r="I829" s="1"/>
      <c r="J829" s="1"/>
      <c r="K829" s="1">
        <v>17000</v>
      </c>
      <c r="L829" s="2">
        <v>45326</v>
      </c>
    </row>
    <row r="830" spans="1:12" x14ac:dyDescent="0.35">
      <c r="A830" s="1" t="s">
        <v>1066</v>
      </c>
      <c r="B830" s="1" t="s">
        <v>64</v>
      </c>
      <c r="C830" s="1" t="s">
        <v>61</v>
      </c>
      <c r="D830" s="1" t="s">
        <v>62</v>
      </c>
      <c r="E830" s="1" t="s">
        <v>32</v>
      </c>
      <c r="F830" s="1" t="s">
        <v>25</v>
      </c>
      <c r="G830" s="1" t="s">
        <v>26</v>
      </c>
      <c r="H830" s="1">
        <v>9701</v>
      </c>
      <c r="I830" s="1"/>
      <c r="J830" s="1"/>
      <c r="K830" s="1">
        <v>9000</v>
      </c>
      <c r="L830" s="2">
        <v>45321</v>
      </c>
    </row>
    <row r="831" spans="1:12" x14ac:dyDescent="0.35">
      <c r="A831" s="1" t="s">
        <v>1067</v>
      </c>
      <c r="B831" s="1" t="s">
        <v>527</v>
      </c>
      <c r="C831" s="1" t="s">
        <v>14</v>
      </c>
      <c r="D831" s="1" t="s">
        <v>15</v>
      </c>
      <c r="E831" s="1" t="s">
        <v>16</v>
      </c>
      <c r="F831" s="1" t="s">
        <v>39</v>
      </c>
      <c r="G831" s="1" t="s">
        <v>18</v>
      </c>
      <c r="H831" s="1">
        <v>13002</v>
      </c>
      <c r="I831" s="1" t="s">
        <v>27</v>
      </c>
      <c r="J831" s="1"/>
      <c r="K831" s="1">
        <v>14000</v>
      </c>
      <c r="L831" s="2">
        <v>45309</v>
      </c>
    </row>
    <row r="832" spans="1:12" x14ac:dyDescent="0.35">
      <c r="A832" s="1" t="s">
        <v>1068</v>
      </c>
      <c r="B832" s="1" t="s">
        <v>209</v>
      </c>
      <c r="C832" s="1" t="s">
        <v>44</v>
      </c>
      <c r="D832" s="1" t="s">
        <v>45</v>
      </c>
      <c r="E832" s="1" t="s">
        <v>32</v>
      </c>
      <c r="F832" s="1" t="s">
        <v>25</v>
      </c>
      <c r="G832" s="1" t="s">
        <v>18</v>
      </c>
      <c r="H832" s="1">
        <v>11225</v>
      </c>
      <c r="I832" s="1" t="s">
        <v>33</v>
      </c>
      <c r="J832" s="1">
        <v>0.3</v>
      </c>
      <c r="K832" s="1">
        <v>13000</v>
      </c>
      <c r="L832" s="2">
        <v>45294</v>
      </c>
    </row>
    <row r="833" spans="1:12" x14ac:dyDescent="0.35">
      <c r="A833" s="1" t="s">
        <v>1069</v>
      </c>
      <c r="B833" s="1" t="s">
        <v>619</v>
      </c>
      <c r="C833" s="1" t="s">
        <v>14</v>
      </c>
      <c r="D833" s="1" t="s">
        <v>15</v>
      </c>
      <c r="E833" s="1" t="s">
        <v>16</v>
      </c>
      <c r="F833" s="1" t="s">
        <v>39</v>
      </c>
      <c r="G833" s="1" t="s">
        <v>26</v>
      </c>
      <c r="H833" s="1">
        <v>13222</v>
      </c>
      <c r="I833" s="1" t="s">
        <v>33</v>
      </c>
      <c r="J833" s="1">
        <v>0.3</v>
      </c>
      <c r="K833" s="1">
        <v>14000</v>
      </c>
      <c r="L833" s="2">
        <v>45350</v>
      </c>
    </row>
    <row r="834" spans="1:12" x14ac:dyDescent="0.35">
      <c r="A834" s="1" t="s">
        <v>1070</v>
      </c>
      <c r="B834" s="1" t="s">
        <v>43</v>
      </c>
      <c r="C834" s="1" t="s">
        <v>14</v>
      </c>
      <c r="D834" s="1" t="s">
        <v>15</v>
      </c>
      <c r="E834" s="1" t="s">
        <v>46</v>
      </c>
      <c r="F834" s="1" t="s">
        <v>25</v>
      </c>
      <c r="G834" s="1" t="s">
        <v>18</v>
      </c>
      <c r="H834" s="1">
        <v>14752</v>
      </c>
      <c r="I834" s="1" t="s">
        <v>33</v>
      </c>
      <c r="J834" s="1">
        <v>0.3</v>
      </c>
      <c r="K834" s="1">
        <v>14000</v>
      </c>
      <c r="L834" s="2">
        <v>45331</v>
      </c>
    </row>
    <row r="835" spans="1:12" x14ac:dyDescent="0.35">
      <c r="A835" s="1" t="s">
        <v>1071</v>
      </c>
      <c r="B835" s="1" t="s">
        <v>305</v>
      </c>
      <c r="C835" s="1" t="s">
        <v>44</v>
      </c>
      <c r="D835" s="1" t="s">
        <v>45</v>
      </c>
      <c r="E835" s="1" t="s">
        <v>46</v>
      </c>
      <c r="F835" s="1" t="s">
        <v>39</v>
      </c>
      <c r="G835" s="1" t="s">
        <v>26</v>
      </c>
      <c r="H835" s="1">
        <v>12475</v>
      </c>
      <c r="I835" s="1" t="s">
        <v>22</v>
      </c>
      <c r="J835" s="1">
        <v>0.1</v>
      </c>
      <c r="K835" s="1">
        <v>13000</v>
      </c>
      <c r="L835" s="2">
        <v>45297</v>
      </c>
    </row>
    <row r="836" spans="1:12" x14ac:dyDescent="0.35">
      <c r="A836" s="1" t="s">
        <v>1072</v>
      </c>
      <c r="B836" s="1" t="s">
        <v>1073</v>
      </c>
      <c r="C836" s="1" t="s">
        <v>30</v>
      </c>
      <c r="D836" s="1" t="s">
        <v>31</v>
      </c>
      <c r="E836" s="1" t="s">
        <v>46</v>
      </c>
      <c r="F836" s="1" t="s">
        <v>17</v>
      </c>
      <c r="G836" s="1" t="s">
        <v>18</v>
      </c>
      <c r="H836" s="1">
        <v>18106</v>
      </c>
      <c r="I836" s="1"/>
      <c r="J836" s="1"/>
      <c r="K836" s="1">
        <v>17000</v>
      </c>
      <c r="L836" s="2">
        <v>45345</v>
      </c>
    </row>
    <row r="837" spans="1:12" x14ac:dyDescent="0.35">
      <c r="A837" s="1" t="s">
        <v>1074</v>
      </c>
      <c r="B837" s="1" t="s">
        <v>905</v>
      </c>
      <c r="C837" s="1" t="s">
        <v>30</v>
      </c>
      <c r="D837" s="1" t="s">
        <v>31</v>
      </c>
      <c r="E837" s="1" t="s">
        <v>46</v>
      </c>
      <c r="F837" s="1" t="s">
        <v>25</v>
      </c>
      <c r="G837" s="1" t="s">
        <v>18</v>
      </c>
      <c r="H837" s="1">
        <v>17845</v>
      </c>
      <c r="I837" s="1" t="s">
        <v>33</v>
      </c>
      <c r="J837" s="1">
        <v>0.3</v>
      </c>
      <c r="K837" s="1">
        <v>17000</v>
      </c>
      <c r="L837" s="2">
        <v>45313</v>
      </c>
    </row>
    <row r="838" spans="1:12" x14ac:dyDescent="0.35">
      <c r="A838" s="1" t="s">
        <v>1075</v>
      </c>
      <c r="B838" s="1" t="s">
        <v>388</v>
      </c>
      <c r="C838" s="1" t="s">
        <v>44</v>
      </c>
      <c r="D838" s="1" t="s">
        <v>45</v>
      </c>
      <c r="E838" s="1" t="s">
        <v>16</v>
      </c>
      <c r="F838" s="1" t="s">
        <v>25</v>
      </c>
      <c r="G838" s="1" t="s">
        <v>26</v>
      </c>
      <c r="H838" s="1">
        <v>11238</v>
      </c>
      <c r="I838" s="1" t="s">
        <v>22</v>
      </c>
      <c r="J838" s="1">
        <v>0.1</v>
      </c>
      <c r="K838" s="1">
        <v>13000</v>
      </c>
      <c r="L838" s="2">
        <v>45328</v>
      </c>
    </row>
    <row r="839" spans="1:12" x14ac:dyDescent="0.35">
      <c r="A839" s="1" t="s">
        <v>1076</v>
      </c>
      <c r="B839" s="1" t="s">
        <v>765</v>
      </c>
      <c r="C839" s="1" t="s">
        <v>14</v>
      </c>
      <c r="D839" s="1" t="s">
        <v>15</v>
      </c>
      <c r="E839" s="1" t="s">
        <v>46</v>
      </c>
      <c r="F839" s="1" t="s">
        <v>39</v>
      </c>
      <c r="G839" s="1" t="s">
        <v>26</v>
      </c>
      <c r="H839" s="1">
        <v>14477</v>
      </c>
      <c r="I839" s="1" t="s">
        <v>33</v>
      </c>
      <c r="J839" s="1">
        <v>0.3</v>
      </c>
      <c r="K839" s="1">
        <v>14000</v>
      </c>
      <c r="L839" s="2">
        <v>45319</v>
      </c>
    </row>
    <row r="840" spans="1:12" x14ac:dyDescent="0.35">
      <c r="A840" s="1" t="s">
        <v>1077</v>
      </c>
      <c r="B840" s="1" t="s">
        <v>837</v>
      </c>
      <c r="C840" s="1" t="s">
        <v>30</v>
      </c>
      <c r="D840" s="1" t="s">
        <v>31</v>
      </c>
      <c r="E840" s="1" t="s">
        <v>46</v>
      </c>
      <c r="F840" s="1" t="s">
        <v>39</v>
      </c>
      <c r="G840" s="1" t="s">
        <v>26</v>
      </c>
      <c r="H840" s="1">
        <v>17552</v>
      </c>
      <c r="I840" s="1" t="s">
        <v>33</v>
      </c>
      <c r="J840" s="1">
        <v>0.3</v>
      </c>
      <c r="K840" s="1">
        <v>17000</v>
      </c>
      <c r="L840" s="2">
        <v>45351</v>
      </c>
    </row>
    <row r="841" spans="1:12" x14ac:dyDescent="0.35">
      <c r="A841" s="1" t="s">
        <v>1078</v>
      </c>
      <c r="B841" s="1" t="s">
        <v>720</v>
      </c>
      <c r="C841" s="1" t="s">
        <v>61</v>
      </c>
      <c r="D841" s="1" t="s">
        <v>62</v>
      </c>
      <c r="E841" s="1" t="s">
        <v>16</v>
      </c>
      <c r="F841" s="1" t="s">
        <v>39</v>
      </c>
      <c r="G841" s="1" t="s">
        <v>26</v>
      </c>
      <c r="H841" s="1">
        <v>9038</v>
      </c>
      <c r="I841" s="1"/>
      <c r="J841" s="1"/>
      <c r="K841" s="1">
        <v>9000</v>
      </c>
      <c r="L841" s="2">
        <v>45343</v>
      </c>
    </row>
    <row r="842" spans="1:12" x14ac:dyDescent="0.35">
      <c r="A842" s="1" t="s">
        <v>1079</v>
      </c>
      <c r="B842" s="1" t="s">
        <v>720</v>
      </c>
      <c r="C842" s="1" t="s">
        <v>44</v>
      </c>
      <c r="D842" s="1" t="s">
        <v>45</v>
      </c>
      <c r="E842" s="1" t="s">
        <v>16</v>
      </c>
      <c r="F842" s="1" t="s">
        <v>17</v>
      </c>
      <c r="G842" s="1" t="s">
        <v>18</v>
      </c>
      <c r="H842" s="1">
        <v>11006</v>
      </c>
      <c r="I842" s="1" t="s">
        <v>22</v>
      </c>
      <c r="J842" s="1">
        <v>0.1</v>
      </c>
      <c r="K842" s="1">
        <v>13000</v>
      </c>
      <c r="L842" s="2">
        <v>45293</v>
      </c>
    </row>
    <row r="843" spans="1:12" x14ac:dyDescent="0.35">
      <c r="A843" s="1" t="s">
        <v>1080</v>
      </c>
      <c r="B843" s="1" t="s">
        <v>332</v>
      </c>
      <c r="C843" s="1" t="s">
        <v>14</v>
      </c>
      <c r="D843" s="1" t="s">
        <v>15</v>
      </c>
      <c r="E843" s="1" t="s">
        <v>16</v>
      </c>
      <c r="F843" s="1" t="s">
        <v>25</v>
      </c>
      <c r="G843" s="1" t="s">
        <v>26</v>
      </c>
      <c r="H843" s="1">
        <v>13698</v>
      </c>
      <c r="I843" s="1"/>
      <c r="J843" s="1"/>
      <c r="K843" s="1">
        <v>14000</v>
      </c>
      <c r="L843" s="2">
        <v>45294</v>
      </c>
    </row>
    <row r="844" spans="1:12" x14ac:dyDescent="0.35">
      <c r="A844" s="1" t="s">
        <v>1081</v>
      </c>
      <c r="B844" s="1" t="s">
        <v>282</v>
      </c>
      <c r="C844" s="1" t="s">
        <v>44</v>
      </c>
      <c r="D844" s="1" t="s">
        <v>45</v>
      </c>
      <c r="E844" s="1" t="s">
        <v>32</v>
      </c>
      <c r="F844" s="1" t="s">
        <v>39</v>
      </c>
      <c r="G844" s="1" t="s">
        <v>18</v>
      </c>
      <c r="H844" s="1">
        <v>13826</v>
      </c>
      <c r="I844" s="1" t="s">
        <v>33</v>
      </c>
      <c r="J844" s="1">
        <v>0.3</v>
      </c>
      <c r="K844" s="1">
        <v>13000</v>
      </c>
      <c r="L844" s="2">
        <v>45308</v>
      </c>
    </row>
    <row r="845" spans="1:12" x14ac:dyDescent="0.35">
      <c r="A845" s="1" t="s">
        <v>1082</v>
      </c>
      <c r="B845" s="1" t="s">
        <v>652</v>
      </c>
      <c r="C845" s="1" t="s">
        <v>30</v>
      </c>
      <c r="D845" s="1" t="s">
        <v>31</v>
      </c>
      <c r="E845" s="1" t="s">
        <v>46</v>
      </c>
      <c r="F845" s="1" t="s">
        <v>39</v>
      </c>
      <c r="G845" s="1" t="s">
        <v>26</v>
      </c>
      <c r="H845" s="1">
        <v>16326</v>
      </c>
      <c r="I845" s="1" t="s">
        <v>22</v>
      </c>
      <c r="J845" s="1">
        <v>0.1</v>
      </c>
      <c r="K845" s="1">
        <v>17000</v>
      </c>
      <c r="L845" s="2">
        <v>45299</v>
      </c>
    </row>
    <row r="846" spans="1:12" x14ac:dyDescent="0.35">
      <c r="A846" s="1" t="s">
        <v>1083</v>
      </c>
      <c r="B846" s="1" t="s">
        <v>317</v>
      </c>
      <c r="C846" s="1" t="s">
        <v>30</v>
      </c>
      <c r="D846" s="1" t="s">
        <v>31</v>
      </c>
      <c r="E846" s="1" t="s">
        <v>46</v>
      </c>
      <c r="F846" s="1" t="s">
        <v>39</v>
      </c>
      <c r="G846" s="1" t="s">
        <v>26</v>
      </c>
      <c r="H846" s="1">
        <v>17523</v>
      </c>
      <c r="I846" s="1" t="s">
        <v>22</v>
      </c>
      <c r="J846" s="1">
        <v>0.1</v>
      </c>
      <c r="K846" s="1">
        <v>17000</v>
      </c>
      <c r="L846" s="2">
        <v>45345</v>
      </c>
    </row>
    <row r="847" spans="1:12" x14ac:dyDescent="0.35">
      <c r="A847" s="1" t="s">
        <v>1084</v>
      </c>
      <c r="B847" s="1" t="s">
        <v>35</v>
      </c>
      <c r="C847" s="1" t="s">
        <v>30</v>
      </c>
      <c r="D847" s="1" t="s">
        <v>31</v>
      </c>
      <c r="E847" s="1" t="s">
        <v>46</v>
      </c>
      <c r="F847" s="1" t="s">
        <v>39</v>
      </c>
      <c r="G847" s="1" t="s">
        <v>36</v>
      </c>
      <c r="H847" s="1">
        <v>18752</v>
      </c>
      <c r="I847" s="1"/>
      <c r="J847" s="1"/>
      <c r="K847" s="1">
        <v>17000</v>
      </c>
      <c r="L847" s="2">
        <v>45343</v>
      </c>
    </row>
    <row r="848" spans="1:12" x14ac:dyDescent="0.35">
      <c r="A848" s="1" t="s">
        <v>1085</v>
      </c>
      <c r="B848" s="1" t="s">
        <v>68</v>
      </c>
      <c r="C848" s="1" t="s">
        <v>44</v>
      </c>
      <c r="D848" s="1" t="s">
        <v>45</v>
      </c>
      <c r="E848" s="1" t="s">
        <v>46</v>
      </c>
      <c r="F848" s="1" t="s">
        <v>25</v>
      </c>
      <c r="G848" s="1" t="s">
        <v>26</v>
      </c>
      <c r="H848" s="1">
        <v>12886</v>
      </c>
      <c r="I848" s="1" t="s">
        <v>27</v>
      </c>
      <c r="J848" s="1"/>
      <c r="K848" s="1">
        <v>13000</v>
      </c>
      <c r="L848" s="2">
        <v>45349</v>
      </c>
    </row>
    <row r="849" spans="1:12" x14ac:dyDescent="0.35">
      <c r="A849" s="1" t="s">
        <v>1086</v>
      </c>
      <c r="B849" s="1" t="s">
        <v>802</v>
      </c>
      <c r="C849" s="1" t="s">
        <v>61</v>
      </c>
      <c r="D849" s="1" t="s">
        <v>62</v>
      </c>
      <c r="E849" s="1" t="s">
        <v>16</v>
      </c>
      <c r="F849" s="1" t="s">
        <v>25</v>
      </c>
      <c r="G849" s="1" t="s">
        <v>26</v>
      </c>
      <c r="H849" s="1">
        <v>8226</v>
      </c>
      <c r="I849" s="1" t="s">
        <v>27</v>
      </c>
      <c r="J849" s="1"/>
      <c r="K849" s="1">
        <v>9000</v>
      </c>
      <c r="L849" s="2">
        <v>45338</v>
      </c>
    </row>
    <row r="850" spans="1:12" x14ac:dyDescent="0.35">
      <c r="A850" s="1" t="s">
        <v>1087</v>
      </c>
      <c r="B850" s="1" t="s">
        <v>317</v>
      </c>
      <c r="C850" s="1" t="s">
        <v>14</v>
      </c>
      <c r="D850" s="1" t="s">
        <v>15</v>
      </c>
      <c r="E850" s="1" t="s">
        <v>32</v>
      </c>
      <c r="F850" s="1" t="s">
        <v>39</v>
      </c>
      <c r="G850" s="1" t="s">
        <v>26</v>
      </c>
      <c r="H850" s="1">
        <v>13358</v>
      </c>
      <c r="I850" s="1" t="s">
        <v>33</v>
      </c>
      <c r="J850" s="1">
        <v>0.3</v>
      </c>
      <c r="K850" s="1">
        <v>14000</v>
      </c>
      <c r="L850" s="2">
        <v>45296</v>
      </c>
    </row>
    <row r="851" spans="1:12" x14ac:dyDescent="0.35">
      <c r="A851" s="1" t="s">
        <v>1088</v>
      </c>
      <c r="B851" s="1" t="s">
        <v>256</v>
      </c>
      <c r="C851" s="1" t="s">
        <v>14</v>
      </c>
      <c r="D851" s="1" t="s">
        <v>15</v>
      </c>
      <c r="E851" s="1" t="s">
        <v>46</v>
      </c>
      <c r="F851" s="1" t="s">
        <v>17</v>
      </c>
      <c r="G851" s="1" t="s">
        <v>26</v>
      </c>
      <c r="H851" s="1">
        <v>14188</v>
      </c>
      <c r="I851" s="1" t="s">
        <v>19</v>
      </c>
      <c r="J851" s="1">
        <v>0.2</v>
      </c>
      <c r="K851" s="1">
        <v>14000</v>
      </c>
      <c r="L851" s="2">
        <v>45328</v>
      </c>
    </row>
    <row r="852" spans="1:12" x14ac:dyDescent="0.35">
      <c r="A852" s="1" t="s">
        <v>1089</v>
      </c>
      <c r="B852" s="1" t="s">
        <v>337</v>
      </c>
      <c r="C852" s="1" t="s">
        <v>44</v>
      </c>
      <c r="D852" s="1" t="s">
        <v>45</v>
      </c>
      <c r="E852" s="1" t="s">
        <v>16</v>
      </c>
      <c r="F852" s="1" t="s">
        <v>25</v>
      </c>
      <c r="G852" s="1" t="s">
        <v>36</v>
      </c>
      <c r="H852" s="1">
        <v>13888</v>
      </c>
      <c r="I852" s="1" t="s">
        <v>33</v>
      </c>
      <c r="J852" s="1">
        <v>0.3</v>
      </c>
      <c r="K852" s="1">
        <v>13000</v>
      </c>
      <c r="L852" s="2">
        <v>45337</v>
      </c>
    </row>
    <row r="853" spans="1:12" x14ac:dyDescent="0.35">
      <c r="A853" s="1" t="s">
        <v>1090</v>
      </c>
      <c r="B853" s="1" t="s">
        <v>584</v>
      </c>
      <c r="C853" s="1" t="s">
        <v>61</v>
      </c>
      <c r="D853" s="1" t="s">
        <v>62</v>
      </c>
      <c r="E853" s="1" t="s">
        <v>32</v>
      </c>
      <c r="F853" s="1" t="s">
        <v>17</v>
      </c>
      <c r="G853" s="1" t="s">
        <v>18</v>
      </c>
      <c r="H853" s="1">
        <v>8522</v>
      </c>
      <c r="I853" s="1"/>
      <c r="J853" s="1"/>
      <c r="K853" s="1">
        <v>9000</v>
      </c>
      <c r="L853" s="2">
        <v>45345</v>
      </c>
    </row>
    <row r="854" spans="1:12" x14ac:dyDescent="0.35">
      <c r="A854" s="1" t="s">
        <v>1091</v>
      </c>
      <c r="B854" s="1" t="s">
        <v>289</v>
      </c>
      <c r="C854" s="1" t="s">
        <v>30</v>
      </c>
      <c r="D854" s="1" t="s">
        <v>31</v>
      </c>
      <c r="E854" s="1" t="s">
        <v>32</v>
      </c>
      <c r="F854" s="1" t="s">
        <v>25</v>
      </c>
      <c r="G854" s="1" t="s">
        <v>36</v>
      </c>
      <c r="H854" s="1">
        <v>18215</v>
      </c>
      <c r="I854" s="1" t="s">
        <v>22</v>
      </c>
      <c r="J854" s="1">
        <v>0.1</v>
      </c>
      <c r="K854" s="1">
        <v>17000</v>
      </c>
      <c r="L854" s="2">
        <v>45341</v>
      </c>
    </row>
    <row r="855" spans="1:12" x14ac:dyDescent="0.35">
      <c r="A855" s="1" t="s">
        <v>1092</v>
      </c>
      <c r="B855" s="1" t="s">
        <v>229</v>
      </c>
      <c r="C855" s="1" t="s">
        <v>61</v>
      </c>
      <c r="D855" s="1" t="s">
        <v>62</v>
      </c>
      <c r="E855" s="1" t="s">
        <v>16</v>
      </c>
      <c r="F855" s="1" t="s">
        <v>25</v>
      </c>
      <c r="G855" s="1" t="s">
        <v>36</v>
      </c>
      <c r="H855" s="1">
        <v>10706</v>
      </c>
      <c r="I855" s="1" t="s">
        <v>27</v>
      </c>
      <c r="J855" s="1"/>
      <c r="K855" s="1">
        <v>9000</v>
      </c>
      <c r="L855" s="2">
        <v>45301</v>
      </c>
    </row>
    <row r="856" spans="1:12" x14ac:dyDescent="0.35">
      <c r="A856" s="1" t="s">
        <v>1093</v>
      </c>
      <c r="B856" s="1" t="s">
        <v>391</v>
      </c>
      <c r="C856" s="1" t="s">
        <v>61</v>
      </c>
      <c r="D856" s="1" t="s">
        <v>62</v>
      </c>
      <c r="E856" s="1" t="s">
        <v>16</v>
      </c>
      <c r="F856" s="1" t="s">
        <v>39</v>
      </c>
      <c r="G856" s="1" t="s">
        <v>36</v>
      </c>
      <c r="H856" s="1">
        <v>10176</v>
      </c>
      <c r="I856" s="1" t="s">
        <v>33</v>
      </c>
      <c r="J856" s="1">
        <v>0.3</v>
      </c>
      <c r="K856" s="1">
        <v>9000</v>
      </c>
      <c r="L856" s="2">
        <v>45301</v>
      </c>
    </row>
    <row r="857" spans="1:12" x14ac:dyDescent="0.35">
      <c r="A857" s="1" t="s">
        <v>1094</v>
      </c>
      <c r="B857" s="1" t="s">
        <v>140</v>
      </c>
      <c r="C857" s="1" t="s">
        <v>14</v>
      </c>
      <c r="D857" s="1" t="s">
        <v>15</v>
      </c>
      <c r="E857" s="1" t="s">
        <v>16</v>
      </c>
      <c r="F857" s="1" t="s">
        <v>39</v>
      </c>
      <c r="G857" s="1" t="s">
        <v>18</v>
      </c>
      <c r="H857" s="1">
        <v>12840</v>
      </c>
      <c r="I857" s="1" t="s">
        <v>22</v>
      </c>
      <c r="J857" s="1">
        <v>0.1</v>
      </c>
      <c r="K857" s="1">
        <v>14000</v>
      </c>
      <c r="L857" s="2">
        <v>45321</v>
      </c>
    </row>
    <row r="858" spans="1:12" x14ac:dyDescent="0.35">
      <c r="A858" s="1" t="s">
        <v>1095</v>
      </c>
      <c r="B858" s="1" t="s">
        <v>101</v>
      </c>
      <c r="C858" s="1" t="s">
        <v>14</v>
      </c>
      <c r="D858" s="1" t="s">
        <v>15</v>
      </c>
      <c r="E858" s="1" t="s">
        <v>32</v>
      </c>
      <c r="F858" s="1" t="s">
        <v>17</v>
      </c>
      <c r="G858" s="1" t="s">
        <v>18</v>
      </c>
      <c r="H858" s="1">
        <v>14814</v>
      </c>
      <c r="I858" s="1" t="s">
        <v>27</v>
      </c>
      <c r="J858" s="1"/>
      <c r="K858" s="1">
        <v>14000</v>
      </c>
      <c r="L858" s="2">
        <v>45347</v>
      </c>
    </row>
    <row r="859" spans="1:12" x14ac:dyDescent="0.35">
      <c r="A859" s="1" t="s">
        <v>1096</v>
      </c>
      <c r="B859" s="1" t="s">
        <v>432</v>
      </c>
      <c r="C859" s="1" t="s">
        <v>61</v>
      </c>
      <c r="D859" s="1" t="s">
        <v>62</v>
      </c>
      <c r="E859" s="1" t="s">
        <v>32</v>
      </c>
      <c r="F859" s="1" t="s">
        <v>25</v>
      </c>
      <c r="G859" s="1" t="s">
        <v>26</v>
      </c>
      <c r="H859" s="1">
        <v>10138</v>
      </c>
      <c r="I859" s="1" t="s">
        <v>33</v>
      </c>
      <c r="J859" s="1">
        <v>0.3</v>
      </c>
      <c r="K859" s="1">
        <v>9000</v>
      </c>
      <c r="L859" s="2">
        <v>45293</v>
      </c>
    </row>
    <row r="860" spans="1:12" x14ac:dyDescent="0.35">
      <c r="A860" s="1" t="s">
        <v>1097</v>
      </c>
      <c r="B860" s="1" t="s">
        <v>579</v>
      </c>
      <c r="C860" s="1" t="s">
        <v>30</v>
      </c>
      <c r="D860" s="1" t="s">
        <v>31</v>
      </c>
      <c r="E860" s="1" t="s">
        <v>16</v>
      </c>
      <c r="F860" s="1" t="s">
        <v>25</v>
      </c>
      <c r="G860" s="1" t="s">
        <v>36</v>
      </c>
      <c r="H860" s="1">
        <v>15821</v>
      </c>
      <c r="I860" s="1" t="s">
        <v>19</v>
      </c>
      <c r="J860" s="1">
        <v>0.2</v>
      </c>
      <c r="K860" s="1">
        <v>17000</v>
      </c>
      <c r="L860" s="2">
        <v>45310</v>
      </c>
    </row>
    <row r="861" spans="1:12" x14ac:dyDescent="0.35">
      <c r="A861" s="1" t="s">
        <v>1098</v>
      </c>
      <c r="B861" s="1" t="s">
        <v>307</v>
      </c>
      <c r="C861" s="1" t="s">
        <v>30</v>
      </c>
      <c r="D861" s="1" t="s">
        <v>31</v>
      </c>
      <c r="E861" s="1" t="s">
        <v>46</v>
      </c>
      <c r="F861" s="1" t="s">
        <v>39</v>
      </c>
      <c r="G861" s="1" t="s">
        <v>18</v>
      </c>
      <c r="H861" s="1">
        <v>16116</v>
      </c>
      <c r="I861" s="1" t="s">
        <v>19</v>
      </c>
      <c r="J861" s="1">
        <v>0.2</v>
      </c>
      <c r="K861" s="1">
        <v>17000</v>
      </c>
      <c r="L861" s="2">
        <v>45302</v>
      </c>
    </row>
    <row r="862" spans="1:12" x14ac:dyDescent="0.35">
      <c r="A862" s="1" t="s">
        <v>1099</v>
      </c>
      <c r="B862" s="1" t="s">
        <v>222</v>
      </c>
      <c r="C862" s="1" t="s">
        <v>14</v>
      </c>
      <c r="D862" s="1" t="s">
        <v>15</v>
      </c>
      <c r="E862" s="1" t="s">
        <v>16</v>
      </c>
      <c r="F862" s="1" t="s">
        <v>39</v>
      </c>
      <c r="G862" s="1" t="s">
        <v>26</v>
      </c>
      <c r="H862" s="1">
        <v>12419</v>
      </c>
      <c r="I862" s="1" t="s">
        <v>19</v>
      </c>
      <c r="J862" s="1">
        <v>0.2</v>
      </c>
      <c r="K862" s="1">
        <v>14000</v>
      </c>
      <c r="L862" s="2">
        <v>45326</v>
      </c>
    </row>
    <row r="863" spans="1:12" x14ac:dyDescent="0.35">
      <c r="A863" s="1" t="s">
        <v>1100</v>
      </c>
      <c r="B863" s="1" t="s">
        <v>301</v>
      </c>
      <c r="C863" s="1" t="s">
        <v>30</v>
      </c>
      <c r="D863" s="1" t="s">
        <v>31</v>
      </c>
      <c r="E863" s="1" t="s">
        <v>46</v>
      </c>
      <c r="F863" s="1" t="s">
        <v>25</v>
      </c>
      <c r="G863" s="1" t="s">
        <v>26</v>
      </c>
      <c r="H863" s="1">
        <v>18293</v>
      </c>
      <c r="I863" s="1" t="s">
        <v>33</v>
      </c>
      <c r="J863" s="1">
        <v>0.3</v>
      </c>
      <c r="K863" s="1">
        <v>17000</v>
      </c>
      <c r="L863" s="2">
        <v>45328</v>
      </c>
    </row>
    <row r="864" spans="1:12" x14ac:dyDescent="0.35">
      <c r="A864" s="1" t="s">
        <v>1101</v>
      </c>
      <c r="B864" s="1" t="s">
        <v>235</v>
      </c>
      <c r="C864" s="1" t="s">
        <v>14</v>
      </c>
      <c r="D864" s="1" t="s">
        <v>15</v>
      </c>
      <c r="E864" s="1" t="s">
        <v>46</v>
      </c>
      <c r="F864" s="1" t="s">
        <v>39</v>
      </c>
      <c r="G864" s="1" t="s">
        <v>36</v>
      </c>
      <c r="H864" s="1">
        <v>14214</v>
      </c>
      <c r="I864" s="1"/>
      <c r="J864" s="1"/>
      <c r="K864" s="1">
        <v>14000</v>
      </c>
      <c r="L864" s="2">
        <v>45295</v>
      </c>
    </row>
    <row r="865" spans="1:12" x14ac:dyDescent="0.35">
      <c r="A865" s="1" t="s">
        <v>1102</v>
      </c>
      <c r="B865" s="1" t="s">
        <v>557</v>
      </c>
      <c r="C865" s="1" t="s">
        <v>61</v>
      </c>
      <c r="D865" s="1" t="s">
        <v>62</v>
      </c>
      <c r="E865" s="1" t="s">
        <v>16</v>
      </c>
      <c r="F865" s="1" t="s">
        <v>25</v>
      </c>
      <c r="G865" s="1" t="s">
        <v>18</v>
      </c>
      <c r="H865" s="1">
        <v>8571</v>
      </c>
      <c r="I865" s="1" t="s">
        <v>22</v>
      </c>
      <c r="J865" s="1">
        <v>0.1</v>
      </c>
      <c r="K865" s="1">
        <v>9000</v>
      </c>
      <c r="L865" s="2">
        <v>45297</v>
      </c>
    </row>
    <row r="866" spans="1:12" x14ac:dyDescent="0.35">
      <c r="A866" s="1" t="s">
        <v>1103</v>
      </c>
      <c r="B866" s="1" t="s">
        <v>177</v>
      </c>
      <c r="C866" s="1" t="s">
        <v>44</v>
      </c>
      <c r="D866" s="1" t="s">
        <v>45</v>
      </c>
      <c r="E866" s="1" t="s">
        <v>16</v>
      </c>
      <c r="F866" s="1" t="s">
        <v>39</v>
      </c>
      <c r="G866" s="1" t="s">
        <v>26</v>
      </c>
      <c r="H866" s="1">
        <v>13578</v>
      </c>
      <c r="I866" s="1"/>
      <c r="J866" s="1"/>
      <c r="K866" s="1">
        <v>13000</v>
      </c>
      <c r="L866" s="2">
        <v>45331</v>
      </c>
    </row>
    <row r="867" spans="1:12" x14ac:dyDescent="0.35">
      <c r="A867" s="1" t="s">
        <v>1104</v>
      </c>
      <c r="B867" s="1" t="s">
        <v>1105</v>
      </c>
      <c r="C867" s="1" t="s">
        <v>30</v>
      </c>
      <c r="D867" s="1" t="s">
        <v>31</v>
      </c>
      <c r="E867" s="1" t="s">
        <v>32</v>
      </c>
      <c r="F867" s="1" t="s">
        <v>39</v>
      </c>
      <c r="G867" s="1" t="s">
        <v>26</v>
      </c>
      <c r="H867" s="1">
        <v>18314</v>
      </c>
      <c r="I867" s="1" t="s">
        <v>27</v>
      </c>
      <c r="J867" s="1"/>
      <c r="K867" s="1">
        <v>17000</v>
      </c>
      <c r="L867" s="2">
        <v>45297</v>
      </c>
    </row>
    <row r="868" spans="1:12" x14ac:dyDescent="0.35">
      <c r="A868" s="1" t="s">
        <v>1106</v>
      </c>
      <c r="B868" s="1" t="s">
        <v>148</v>
      </c>
      <c r="C868" s="1" t="s">
        <v>61</v>
      </c>
      <c r="D868" s="1" t="s">
        <v>62</v>
      </c>
      <c r="E868" s="1" t="s">
        <v>16</v>
      </c>
      <c r="F868" s="1" t="s">
        <v>25</v>
      </c>
      <c r="G868" s="1" t="s">
        <v>18</v>
      </c>
      <c r="H868" s="1">
        <v>10329</v>
      </c>
      <c r="I868" s="1"/>
      <c r="J868" s="1"/>
      <c r="K868" s="1">
        <v>9000</v>
      </c>
      <c r="L868" s="2">
        <v>45298</v>
      </c>
    </row>
    <row r="869" spans="1:12" x14ac:dyDescent="0.35">
      <c r="A869" s="1" t="s">
        <v>1107</v>
      </c>
      <c r="B869" s="1" t="s">
        <v>123</v>
      </c>
      <c r="C869" s="1" t="s">
        <v>61</v>
      </c>
      <c r="D869" s="1" t="s">
        <v>62</v>
      </c>
      <c r="E869" s="1" t="s">
        <v>46</v>
      </c>
      <c r="F869" s="1" t="s">
        <v>25</v>
      </c>
      <c r="G869" s="1" t="s">
        <v>18</v>
      </c>
      <c r="H869" s="1">
        <v>7588</v>
      </c>
      <c r="I869" s="1" t="s">
        <v>27</v>
      </c>
      <c r="J869" s="1"/>
      <c r="K869" s="1">
        <v>9000</v>
      </c>
      <c r="L869" s="2">
        <v>45308</v>
      </c>
    </row>
    <row r="870" spans="1:12" x14ac:dyDescent="0.35">
      <c r="A870" s="1" t="s">
        <v>1108</v>
      </c>
      <c r="B870" s="1" t="s">
        <v>827</v>
      </c>
      <c r="C870" s="1" t="s">
        <v>61</v>
      </c>
      <c r="D870" s="1" t="s">
        <v>62</v>
      </c>
      <c r="E870" s="1" t="s">
        <v>32</v>
      </c>
      <c r="F870" s="1" t="s">
        <v>39</v>
      </c>
      <c r="G870" s="1" t="s">
        <v>26</v>
      </c>
      <c r="H870" s="1">
        <v>8353</v>
      </c>
      <c r="I870" s="1" t="s">
        <v>33</v>
      </c>
      <c r="J870" s="1">
        <v>0.3</v>
      </c>
      <c r="K870" s="1">
        <v>9000</v>
      </c>
      <c r="L870" s="2">
        <v>45321</v>
      </c>
    </row>
    <row r="871" spans="1:12" x14ac:dyDescent="0.35">
      <c r="A871" s="1" t="s">
        <v>1109</v>
      </c>
      <c r="B871" s="1" t="s">
        <v>711</v>
      </c>
      <c r="C871" s="1" t="s">
        <v>14</v>
      </c>
      <c r="D871" s="1" t="s">
        <v>15</v>
      </c>
      <c r="E871" s="1" t="s">
        <v>46</v>
      </c>
      <c r="F871" s="1" t="s">
        <v>25</v>
      </c>
      <c r="G871" s="1" t="s">
        <v>36</v>
      </c>
      <c r="H871" s="1">
        <v>13960</v>
      </c>
      <c r="I871" s="1"/>
      <c r="J871" s="1"/>
      <c r="K871" s="1">
        <v>14000</v>
      </c>
      <c r="L871" s="2">
        <v>45346</v>
      </c>
    </row>
    <row r="872" spans="1:12" x14ac:dyDescent="0.35">
      <c r="A872" s="1" t="s">
        <v>1110</v>
      </c>
      <c r="B872" s="1" t="s">
        <v>256</v>
      </c>
      <c r="C872" s="1" t="s">
        <v>30</v>
      </c>
      <c r="D872" s="1" t="s">
        <v>31</v>
      </c>
      <c r="E872" s="1" t="s">
        <v>16</v>
      </c>
      <c r="F872" s="1" t="s">
        <v>39</v>
      </c>
      <c r="G872" s="1" t="s">
        <v>18</v>
      </c>
      <c r="H872" s="1">
        <v>17080</v>
      </c>
      <c r="I872" s="1" t="s">
        <v>22</v>
      </c>
      <c r="J872" s="1">
        <v>0.1</v>
      </c>
      <c r="K872" s="1">
        <v>17000</v>
      </c>
      <c r="L872" s="2">
        <v>45317</v>
      </c>
    </row>
    <row r="873" spans="1:12" x14ac:dyDescent="0.35">
      <c r="A873" s="1" t="s">
        <v>1111</v>
      </c>
      <c r="B873" s="1" t="s">
        <v>1112</v>
      </c>
      <c r="C873" s="1" t="s">
        <v>14</v>
      </c>
      <c r="D873" s="1" t="s">
        <v>15</v>
      </c>
      <c r="E873" s="1" t="s">
        <v>46</v>
      </c>
      <c r="F873" s="1" t="s">
        <v>39</v>
      </c>
      <c r="G873" s="1" t="s">
        <v>26</v>
      </c>
      <c r="H873" s="1">
        <v>12290</v>
      </c>
      <c r="I873" s="1" t="s">
        <v>33</v>
      </c>
      <c r="J873" s="1">
        <v>0.3</v>
      </c>
      <c r="K873" s="1">
        <v>14000</v>
      </c>
      <c r="L873" s="2">
        <v>45326</v>
      </c>
    </row>
    <row r="874" spans="1:12" x14ac:dyDescent="0.35">
      <c r="A874" s="1" t="s">
        <v>1113</v>
      </c>
      <c r="B874" s="1" t="s">
        <v>52</v>
      </c>
      <c r="C874" s="1" t="s">
        <v>61</v>
      </c>
      <c r="D874" s="1" t="s">
        <v>62</v>
      </c>
      <c r="E874" s="1" t="s">
        <v>32</v>
      </c>
      <c r="F874" s="1" t="s">
        <v>39</v>
      </c>
      <c r="G874" s="1" t="s">
        <v>18</v>
      </c>
      <c r="H874" s="1">
        <v>9244</v>
      </c>
      <c r="I874" s="1" t="s">
        <v>19</v>
      </c>
      <c r="J874" s="1">
        <v>0.2</v>
      </c>
      <c r="K874" s="1">
        <v>9000</v>
      </c>
      <c r="L874" s="2">
        <v>45322</v>
      </c>
    </row>
    <row r="875" spans="1:12" x14ac:dyDescent="0.35">
      <c r="A875" s="1" t="s">
        <v>1114</v>
      </c>
      <c r="B875" s="1" t="s">
        <v>41</v>
      </c>
      <c r="C875" s="1" t="s">
        <v>30</v>
      </c>
      <c r="D875" s="1" t="s">
        <v>31</v>
      </c>
      <c r="E875" s="1" t="s">
        <v>32</v>
      </c>
      <c r="F875" s="1" t="s">
        <v>39</v>
      </c>
      <c r="G875" s="1" t="s">
        <v>26</v>
      </c>
      <c r="H875" s="1">
        <v>16765</v>
      </c>
      <c r="I875" s="1"/>
      <c r="J875" s="1"/>
      <c r="K875" s="1">
        <v>17000</v>
      </c>
      <c r="L875" s="2">
        <v>45328</v>
      </c>
    </row>
    <row r="876" spans="1:12" x14ac:dyDescent="0.35">
      <c r="A876" s="1" t="s">
        <v>1115</v>
      </c>
      <c r="B876" s="1" t="s">
        <v>602</v>
      </c>
      <c r="C876" s="1" t="s">
        <v>44</v>
      </c>
      <c r="D876" s="1" t="s">
        <v>45</v>
      </c>
      <c r="E876" s="1" t="s">
        <v>32</v>
      </c>
      <c r="F876" s="1" t="s">
        <v>39</v>
      </c>
      <c r="G876" s="1" t="s">
        <v>26</v>
      </c>
      <c r="H876" s="1">
        <v>11319</v>
      </c>
      <c r="I876" s="1" t="s">
        <v>27</v>
      </c>
      <c r="J876" s="1"/>
      <c r="K876" s="1">
        <v>13000</v>
      </c>
      <c r="L876" s="2">
        <v>45345</v>
      </c>
    </row>
    <row r="877" spans="1:12" x14ac:dyDescent="0.35">
      <c r="A877" s="1" t="s">
        <v>1116</v>
      </c>
      <c r="B877" s="1" t="s">
        <v>227</v>
      </c>
      <c r="C877" s="1" t="s">
        <v>61</v>
      </c>
      <c r="D877" s="1" t="s">
        <v>62</v>
      </c>
      <c r="E877" s="1" t="s">
        <v>46</v>
      </c>
      <c r="F877" s="1" t="s">
        <v>39</v>
      </c>
      <c r="G877" s="1" t="s">
        <v>18</v>
      </c>
      <c r="H877" s="1">
        <v>10367</v>
      </c>
      <c r="I877" s="1"/>
      <c r="J877" s="1"/>
      <c r="K877" s="1">
        <v>9000</v>
      </c>
      <c r="L877" s="2">
        <v>45303</v>
      </c>
    </row>
    <row r="878" spans="1:12" x14ac:dyDescent="0.35">
      <c r="A878" s="1" t="s">
        <v>1117</v>
      </c>
      <c r="B878" s="1" t="s">
        <v>70</v>
      </c>
      <c r="C878" s="1" t="s">
        <v>14</v>
      </c>
      <c r="D878" s="1" t="s">
        <v>15</v>
      </c>
      <c r="E878" s="1" t="s">
        <v>16</v>
      </c>
      <c r="F878" s="1" t="s">
        <v>25</v>
      </c>
      <c r="G878" s="1" t="s">
        <v>26</v>
      </c>
      <c r="H878" s="1">
        <v>15334</v>
      </c>
      <c r="I878" s="1" t="s">
        <v>27</v>
      </c>
      <c r="J878" s="1"/>
      <c r="K878" s="1">
        <v>14000</v>
      </c>
      <c r="L878" s="2">
        <v>45341</v>
      </c>
    </row>
    <row r="879" spans="1:12" x14ac:dyDescent="0.35">
      <c r="A879" s="1" t="s">
        <v>1118</v>
      </c>
      <c r="B879" s="1" t="s">
        <v>487</v>
      </c>
      <c r="C879" s="1" t="s">
        <v>30</v>
      </c>
      <c r="D879" s="1" t="s">
        <v>31</v>
      </c>
      <c r="E879" s="1" t="s">
        <v>46</v>
      </c>
      <c r="F879" s="1" t="s">
        <v>39</v>
      </c>
      <c r="G879" s="1" t="s">
        <v>26</v>
      </c>
      <c r="H879" s="1">
        <v>15251</v>
      </c>
      <c r="I879" s="1" t="s">
        <v>22</v>
      </c>
      <c r="J879" s="1">
        <v>0.1</v>
      </c>
      <c r="K879" s="1">
        <v>17000</v>
      </c>
      <c r="L879" s="2">
        <v>45305</v>
      </c>
    </row>
    <row r="880" spans="1:12" x14ac:dyDescent="0.35">
      <c r="A880" s="1" t="s">
        <v>1119</v>
      </c>
      <c r="B880" s="1" t="s">
        <v>412</v>
      </c>
      <c r="C880" s="1" t="s">
        <v>14</v>
      </c>
      <c r="D880" s="1" t="s">
        <v>15</v>
      </c>
      <c r="E880" s="1" t="s">
        <v>32</v>
      </c>
      <c r="F880" s="1" t="s">
        <v>39</v>
      </c>
      <c r="G880" s="1" t="s">
        <v>18</v>
      </c>
      <c r="H880" s="1">
        <v>13855</v>
      </c>
      <c r="I880" s="1" t="s">
        <v>27</v>
      </c>
      <c r="J880" s="1"/>
      <c r="K880" s="1">
        <v>14000</v>
      </c>
      <c r="L880" s="2">
        <v>45310</v>
      </c>
    </row>
    <row r="881" spans="1:12" x14ac:dyDescent="0.35">
      <c r="A881" s="1" t="s">
        <v>1120</v>
      </c>
      <c r="B881" s="1" t="s">
        <v>617</v>
      </c>
      <c r="C881" s="1" t="s">
        <v>61</v>
      </c>
      <c r="D881" s="1" t="s">
        <v>62</v>
      </c>
      <c r="E881" s="1" t="s">
        <v>32</v>
      </c>
      <c r="F881" s="1" t="s">
        <v>25</v>
      </c>
      <c r="G881" s="1" t="s">
        <v>26</v>
      </c>
      <c r="H881" s="1">
        <v>10593</v>
      </c>
      <c r="I881" s="1" t="s">
        <v>33</v>
      </c>
      <c r="J881" s="1">
        <v>0.3</v>
      </c>
      <c r="K881" s="1">
        <v>9000</v>
      </c>
      <c r="L881" s="2">
        <v>45311</v>
      </c>
    </row>
    <row r="882" spans="1:12" x14ac:dyDescent="0.35">
      <c r="A882" s="1" t="s">
        <v>1121</v>
      </c>
      <c r="B882" s="1" t="s">
        <v>579</v>
      </c>
      <c r="C882" s="1" t="s">
        <v>30</v>
      </c>
      <c r="D882" s="1" t="s">
        <v>31</v>
      </c>
      <c r="E882" s="1" t="s">
        <v>46</v>
      </c>
      <c r="F882" s="1" t="s">
        <v>39</v>
      </c>
      <c r="G882" s="1" t="s">
        <v>36</v>
      </c>
      <c r="H882" s="1">
        <v>15365</v>
      </c>
      <c r="I882" s="1" t="s">
        <v>27</v>
      </c>
      <c r="J882" s="1"/>
      <c r="K882" s="1">
        <v>17000</v>
      </c>
      <c r="L882" s="2">
        <v>45292</v>
      </c>
    </row>
    <row r="883" spans="1:12" x14ac:dyDescent="0.35">
      <c r="A883" s="1" t="s">
        <v>1122</v>
      </c>
      <c r="B883" s="1" t="s">
        <v>86</v>
      </c>
      <c r="C883" s="1" t="s">
        <v>61</v>
      </c>
      <c r="D883" s="1" t="s">
        <v>62</v>
      </c>
      <c r="E883" s="1" t="s">
        <v>32</v>
      </c>
      <c r="F883" s="1" t="s">
        <v>17</v>
      </c>
      <c r="G883" s="1" t="s">
        <v>18</v>
      </c>
      <c r="H883" s="1">
        <v>8512</v>
      </c>
      <c r="I883" s="1" t="s">
        <v>27</v>
      </c>
      <c r="J883" s="1"/>
      <c r="K883" s="1">
        <v>9000</v>
      </c>
      <c r="L883" s="2">
        <v>45295</v>
      </c>
    </row>
    <row r="884" spans="1:12" x14ac:dyDescent="0.35">
      <c r="A884" s="1" t="s">
        <v>1123</v>
      </c>
      <c r="B884" s="1" t="s">
        <v>190</v>
      </c>
      <c r="C884" s="1" t="s">
        <v>30</v>
      </c>
      <c r="D884" s="1" t="s">
        <v>31</v>
      </c>
      <c r="E884" s="1" t="s">
        <v>32</v>
      </c>
      <c r="F884" s="1" t="s">
        <v>17</v>
      </c>
      <c r="G884" s="1" t="s">
        <v>18</v>
      </c>
      <c r="H884" s="1">
        <v>15963</v>
      </c>
      <c r="I884" s="1"/>
      <c r="J884" s="1"/>
      <c r="K884" s="1">
        <v>17000</v>
      </c>
      <c r="L884" s="2">
        <v>45336</v>
      </c>
    </row>
    <row r="885" spans="1:12" x14ac:dyDescent="0.35">
      <c r="A885" s="1" t="s">
        <v>1124</v>
      </c>
      <c r="B885" s="1" t="s">
        <v>337</v>
      </c>
      <c r="C885" s="1" t="s">
        <v>30</v>
      </c>
      <c r="D885" s="1" t="s">
        <v>31</v>
      </c>
      <c r="E885" s="1" t="s">
        <v>16</v>
      </c>
      <c r="F885" s="1" t="s">
        <v>17</v>
      </c>
      <c r="G885" s="1" t="s">
        <v>36</v>
      </c>
      <c r="H885" s="1">
        <v>16562</v>
      </c>
      <c r="I885" s="1"/>
      <c r="J885" s="1"/>
      <c r="K885" s="1">
        <v>17000</v>
      </c>
      <c r="L885" s="2">
        <v>45326</v>
      </c>
    </row>
    <row r="886" spans="1:12" x14ac:dyDescent="0.35">
      <c r="A886" s="1" t="s">
        <v>1125</v>
      </c>
      <c r="B886" s="1" t="s">
        <v>817</v>
      </c>
      <c r="C886" s="1" t="s">
        <v>44</v>
      </c>
      <c r="D886" s="1" t="s">
        <v>45</v>
      </c>
      <c r="E886" s="1" t="s">
        <v>46</v>
      </c>
      <c r="F886" s="1" t="s">
        <v>25</v>
      </c>
      <c r="G886" s="1" t="s">
        <v>18</v>
      </c>
      <c r="H886" s="1">
        <v>13275</v>
      </c>
      <c r="I886" s="1"/>
      <c r="J886" s="1"/>
      <c r="K886" s="1">
        <v>13000</v>
      </c>
      <c r="L886" s="2">
        <v>45345</v>
      </c>
    </row>
    <row r="887" spans="1:12" x14ac:dyDescent="0.35">
      <c r="A887" s="1" t="s">
        <v>1126</v>
      </c>
      <c r="B887" s="1" t="s">
        <v>827</v>
      </c>
      <c r="C887" s="1" t="s">
        <v>61</v>
      </c>
      <c r="D887" s="1" t="s">
        <v>62</v>
      </c>
      <c r="E887" s="1" t="s">
        <v>32</v>
      </c>
      <c r="F887" s="1" t="s">
        <v>17</v>
      </c>
      <c r="G887" s="1" t="s">
        <v>26</v>
      </c>
      <c r="H887" s="1">
        <v>7514</v>
      </c>
      <c r="I887" s="1" t="s">
        <v>19</v>
      </c>
      <c r="J887" s="1">
        <v>0.2</v>
      </c>
      <c r="K887" s="1">
        <v>9000</v>
      </c>
      <c r="L887" s="2">
        <v>45292</v>
      </c>
    </row>
    <row r="888" spans="1:12" x14ac:dyDescent="0.35">
      <c r="A888" s="1" t="s">
        <v>1127</v>
      </c>
      <c r="B888" s="1" t="s">
        <v>21</v>
      </c>
      <c r="C888" s="1" t="s">
        <v>14</v>
      </c>
      <c r="D888" s="1" t="s">
        <v>15</v>
      </c>
      <c r="E888" s="1" t="s">
        <v>32</v>
      </c>
      <c r="F888" s="1" t="s">
        <v>39</v>
      </c>
      <c r="G888" s="1" t="s">
        <v>36</v>
      </c>
      <c r="H888" s="1">
        <v>14694</v>
      </c>
      <c r="I888" s="1"/>
      <c r="J888" s="1"/>
      <c r="K888" s="1">
        <v>14000</v>
      </c>
      <c r="L888" s="2">
        <v>45300</v>
      </c>
    </row>
    <row r="889" spans="1:12" x14ac:dyDescent="0.35">
      <c r="A889" s="1" t="s">
        <v>1128</v>
      </c>
      <c r="B889" s="1" t="s">
        <v>843</v>
      </c>
      <c r="C889" s="1" t="s">
        <v>61</v>
      </c>
      <c r="D889" s="1" t="s">
        <v>62</v>
      </c>
      <c r="E889" s="1" t="s">
        <v>46</v>
      </c>
      <c r="F889" s="1" t="s">
        <v>39</v>
      </c>
      <c r="G889" s="1" t="s">
        <v>26</v>
      </c>
      <c r="H889" s="1">
        <v>10810</v>
      </c>
      <c r="I889" s="1"/>
      <c r="J889" s="1"/>
      <c r="K889" s="1">
        <v>9000</v>
      </c>
      <c r="L889" s="2">
        <v>45331</v>
      </c>
    </row>
    <row r="890" spans="1:12" x14ac:dyDescent="0.35">
      <c r="A890" s="1" t="s">
        <v>1129</v>
      </c>
      <c r="B890" s="1" t="s">
        <v>429</v>
      </c>
      <c r="C890" s="1" t="s">
        <v>61</v>
      </c>
      <c r="D890" s="1" t="s">
        <v>62</v>
      </c>
      <c r="E890" s="1" t="s">
        <v>16</v>
      </c>
      <c r="F890" s="1" t="s">
        <v>17</v>
      </c>
      <c r="G890" s="1" t="s">
        <v>36</v>
      </c>
      <c r="H890" s="1">
        <v>8455</v>
      </c>
      <c r="I890" s="1" t="s">
        <v>19</v>
      </c>
      <c r="J890" s="1">
        <v>0.2</v>
      </c>
      <c r="K890" s="1">
        <v>9000</v>
      </c>
      <c r="L890" s="2">
        <v>45303</v>
      </c>
    </row>
    <row r="891" spans="1:12" x14ac:dyDescent="0.35">
      <c r="A891" s="1" t="s">
        <v>1130</v>
      </c>
      <c r="B891" s="1" t="s">
        <v>617</v>
      </c>
      <c r="C891" s="1" t="s">
        <v>14</v>
      </c>
      <c r="D891" s="1" t="s">
        <v>15</v>
      </c>
      <c r="E891" s="1" t="s">
        <v>16</v>
      </c>
      <c r="F891" s="1" t="s">
        <v>17</v>
      </c>
      <c r="G891" s="1" t="s">
        <v>26</v>
      </c>
      <c r="H891" s="1">
        <v>12969</v>
      </c>
      <c r="I891" s="1" t="s">
        <v>27</v>
      </c>
      <c r="J891" s="1"/>
      <c r="K891" s="1">
        <v>14000</v>
      </c>
      <c r="L891" s="2">
        <v>45309</v>
      </c>
    </row>
    <row r="892" spans="1:12" x14ac:dyDescent="0.35">
      <c r="A892" s="1" t="s">
        <v>1131</v>
      </c>
      <c r="B892" s="1" t="s">
        <v>512</v>
      </c>
      <c r="C892" s="1" t="s">
        <v>30</v>
      </c>
      <c r="D892" s="1" t="s">
        <v>31</v>
      </c>
      <c r="E892" s="1" t="s">
        <v>32</v>
      </c>
      <c r="F892" s="1" t="s">
        <v>25</v>
      </c>
      <c r="G892" s="1" t="s">
        <v>26</v>
      </c>
      <c r="H892" s="1">
        <v>16979</v>
      </c>
      <c r="I892" s="1" t="s">
        <v>33</v>
      </c>
      <c r="J892" s="1">
        <v>0.3</v>
      </c>
      <c r="K892" s="1">
        <v>17000</v>
      </c>
      <c r="L892" s="2">
        <v>45299</v>
      </c>
    </row>
    <row r="893" spans="1:12" x14ac:dyDescent="0.35">
      <c r="A893" s="1" t="s">
        <v>1132</v>
      </c>
      <c r="B893" s="1" t="s">
        <v>356</v>
      </c>
      <c r="C893" s="1" t="s">
        <v>14</v>
      </c>
      <c r="D893" s="1" t="s">
        <v>15</v>
      </c>
      <c r="E893" s="1" t="s">
        <v>32</v>
      </c>
      <c r="F893" s="1" t="s">
        <v>39</v>
      </c>
      <c r="G893" s="1" t="s">
        <v>26</v>
      </c>
      <c r="H893" s="1">
        <v>14156</v>
      </c>
      <c r="I893" s="1" t="s">
        <v>33</v>
      </c>
      <c r="J893" s="1">
        <v>0.3</v>
      </c>
      <c r="K893" s="1">
        <v>14000</v>
      </c>
      <c r="L893" s="2">
        <v>45321</v>
      </c>
    </row>
    <row r="894" spans="1:12" x14ac:dyDescent="0.35">
      <c r="A894" s="1" t="s">
        <v>1133</v>
      </c>
      <c r="B894" s="1" t="s">
        <v>905</v>
      </c>
      <c r="C894" s="1" t="s">
        <v>14</v>
      </c>
      <c r="D894" s="1" t="s">
        <v>15</v>
      </c>
      <c r="E894" s="1" t="s">
        <v>32</v>
      </c>
      <c r="F894" s="1" t="s">
        <v>17</v>
      </c>
      <c r="G894" s="1" t="s">
        <v>26</v>
      </c>
      <c r="H894" s="1">
        <v>15037</v>
      </c>
      <c r="I894" s="1" t="s">
        <v>22</v>
      </c>
      <c r="J894" s="1">
        <v>0.1</v>
      </c>
      <c r="K894" s="1">
        <v>14000</v>
      </c>
      <c r="L894" s="2">
        <v>45335</v>
      </c>
    </row>
    <row r="895" spans="1:12" x14ac:dyDescent="0.35">
      <c r="A895" s="1" t="s">
        <v>1134</v>
      </c>
      <c r="B895" s="1" t="s">
        <v>416</v>
      </c>
      <c r="C895" s="1" t="s">
        <v>30</v>
      </c>
      <c r="D895" s="1" t="s">
        <v>31</v>
      </c>
      <c r="E895" s="1" t="s">
        <v>16</v>
      </c>
      <c r="F895" s="1" t="s">
        <v>25</v>
      </c>
      <c r="G895" s="1" t="s">
        <v>36</v>
      </c>
      <c r="H895" s="1">
        <v>17191</v>
      </c>
      <c r="I895" s="1" t="s">
        <v>22</v>
      </c>
      <c r="J895" s="1">
        <v>0.1</v>
      </c>
      <c r="K895" s="1">
        <v>17000</v>
      </c>
      <c r="L895" s="2">
        <v>45322</v>
      </c>
    </row>
    <row r="896" spans="1:12" x14ac:dyDescent="0.35">
      <c r="A896" s="1" t="s">
        <v>1135</v>
      </c>
      <c r="B896" s="1" t="s">
        <v>330</v>
      </c>
      <c r="C896" s="1" t="s">
        <v>61</v>
      </c>
      <c r="D896" s="1" t="s">
        <v>62</v>
      </c>
      <c r="E896" s="1" t="s">
        <v>16</v>
      </c>
      <c r="F896" s="1" t="s">
        <v>39</v>
      </c>
      <c r="G896" s="1" t="s">
        <v>36</v>
      </c>
      <c r="H896" s="1">
        <v>8724</v>
      </c>
      <c r="I896" s="1" t="s">
        <v>33</v>
      </c>
      <c r="J896" s="1">
        <v>0.3</v>
      </c>
      <c r="K896" s="1">
        <v>9000</v>
      </c>
      <c r="L896" s="2">
        <v>45343</v>
      </c>
    </row>
    <row r="897" spans="1:12" x14ac:dyDescent="0.35">
      <c r="A897" s="1" t="s">
        <v>1136</v>
      </c>
      <c r="B897" s="1" t="s">
        <v>361</v>
      </c>
      <c r="C897" s="1" t="s">
        <v>44</v>
      </c>
      <c r="D897" s="1" t="s">
        <v>45</v>
      </c>
      <c r="E897" s="1" t="s">
        <v>32</v>
      </c>
      <c r="F897" s="1" t="s">
        <v>39</v>
      </c>
      <c r="G897" s="1" t="s">
        <v>26</v>
      </c>
      <c r="H897" s="1">
        <v>14069</v>
      </c>
      <c r="I897" s="1" t="s">
        <v>33</v>
      </c>
      <c r="J897" s="1">
        <v>0.3</v>
      </c>
      <c r="K897" s="1">
        <v>13000</v>
      </c>
      <c r="L897" s="2">
        <v>45338</v>
      </c>
    </row>
    <row r="898" spans="1:12" x14ac:dyDescent="0.35">
      <c r="A898" s="1" t="s">
        <v>1137</v>
      </c>
      <c r="B898" s="1" t="s">
        <v>522</v>
      </c>
      <c r="C898" s="1" t="s">
        <v>30</v>
      </c>
      <c r="D898" s="1" t="s">
        <v>31</v>
      </c>
      <c r="E898" s="1" t="s">
        <v>32</v>
      </c>
      <c r="F898" s="1" t="s">
        <v>39</v>
      </c>
      <c r="G898" s="1" t="s">
        <v>36</v>
      </c>
      <c r="H898" s="1">
        <v>17368</v>
      </c>
      <c r="I898" s="1" t="s">
        <v>19</v>
      </c>
      <c r="J898" s="1">
        <v>0.2</v>
      </c>
      <c r="K898" s="1">
        <v>17000</v>
      </c>
      <c r="L898" s="2">
        <v>45328</v>
      </c>
    </row>
    <row r="899" spans="1:12" x14ac:dyDescent="0.35">
      <c r="A899" s="1" t="s">
        <v>1138</v>
      </c>
      <c r="B899" s="1" t="s">
        <v>68</v>
      </c>
      <c r="C899" s="1" t="s">
        <v>30</v>
      </c>
      <c r="D899" s="1" t="s">
        <v>31</v>
      </c>
      <c r="E899" s="1" t="s">
        <v>16</v>
      </c>
      <c r="F899" s="1" t="s">
        <v>39</v>
      </c>
      <c r="G899" s="1" t="s">
        <v>18</v>
      </c>
      <c r="H899" s="1">
        <v>16174</v>
      </c>
      <c r="I899" s="1"/>
      <c r="J899" s="1"/>
      <c r="K899" s="1">
        <v>17000</v>
      </c>
      <c r="L899" s="2">
        <v>45297</v>
      </c>
    </row>
    <row r="900" spans="1:12" x14ac:dyDescent="0.35">
      <c r="A900" s="1" t="s">
        <v>1139</v>
      </c>
      <c r="B900" s="1" t="s">
        <v>440</v>
      </c>
      <c r="C900" s="1" t="s">
        <v>14</v>
      </c>
      <c r="D900" s="1" t="s">
        <v>15</v>
      </c>
      <c r="E900" s="1" t="s">
        <v>46</v>
      </c>
      <c r="F900" s="1" t="s">
        <v>17</v>
      </c>
      <c r="G900" s="1" t="s">
        <v>18</v>
      </c>
      <c r="H900" s="1">
        <v>14522</v>
      </c>
      <c r="I900" s="1" t="s">
        <v>33</v>
      </c>
      <c r="J900" s="1">
        <v>0.3</v>
      </c>
      <c r="K900" s="1">
        <v>14000</v>
      </c>
      <c r="L900" s="2">
        <v>45309</v>
      </c>
    </row>
    <row r="901" spans="1:12" x14ac:dyDescent="0.35">
      <c r="A901" s="1" t="s">
        <v>1140</v>
      </c>
      <c r="B901" s="1" t="s">
        <v>643</v>
      </c>
      <c r="C901" s="1" t="s">
        <v>14</v>
      </c>
      <c r="D901" s="1" t="s">
        <v>15</v>
      </c>
      <c r="E901" s="1" t="s">
        <v>16</v>
      </c>
      <c r="F901" s="1" t="s">
        <v>25</v>
      </c>
      <c r="G901" s="1" t="s">
        <v>26</v>
      </c>
      <c r="H901" s="1">
        <v>12715</v>
      </c>
      <c r="I901" s="1" t="s">
        <v>27</v>
      </c>
      <c r="J901" s="1"/>
      <c r="K901" s="1">
        <v>14000</v>
      </c>
      <c r="L901" s="2">
        <v>45339</v>
      </c>
    </row>
    <row r="902" spans="1:12" x14ac:dyDescent="0.35">
      <c r="A902" s="1" t="s">
        <v>1141</v>
      </c>
      <c r="B902" s="1" t="s">
        <v>113</v>
      </c>
      <c r="C902" s="1" t="s">
        <v>61</v>
      </c>
      <c r="D902" s="1" t="s">
        <v>62</v>
      </c>
      <c r="E902" s="1" t="s">
        <v>46</v>
      </c>
      <c r="F902" s="1" t="s">
        <v>25</v>
      </c>
      <c r="G902" s="1" t="s">
        <v>36</v>
      </c>
      <c r="H902" s="1">
        <v>10205</v>
      </c>
      <c r="I902" s="1" t="s">
        <v>19</v>
      </c>
      <c r="J902" s="1">
        <v>0.2</v>
      </c>
      <c r="K902" s="1">
        <v>9000</v>
      </c>
      <c r="L902" s="2">
        <v>45323</v>
      </c>
    </row>
    <row r="903" spans="1:12" x14ac:dyDescent="0.35">
      <c r="A903" s="1" t="s">
        <v>1142</v>
      </c>
      <c r="B903" s="1" t="s">
        <v>135</v>
      </c>
      <c r="C903" s="1" t="s">
        <v>14</v>
      </c>
      <c r="D903" s="1" t="s">
        <v>15</v>
      </c>
      <c r="E903" s="1" t="s">
        <v>46</v>
      </c>
      <c r="F903" s="1" t="s">
        <v>25</v>
      </c>
      <c r="G903" s="1" t="s">
        <v>18</v>
      </c>
      <c r="H903" s="1">
        <v>14439</v>
      </c>
      <c r="I903" s="1" t="s">
        <v>19</v>
      </c>
      <c r="J903" s="1">
        <v>0.2</v>
      </c>
      <c r="K903" s="1">
        <v>14000</v>
      </c>
      <c r="L903" s="2">
        <v>45345</v>
      </c>
    </row>
    <row r="904" spans="1:12" x14ac:dyDescent="0.35">
      <c r="A904" s="1" t="s">
        <v>1143</v>
      </c>
      <c r="B904" s="1" t="s">
        <v>157</v>
      </c>
      <c r="C904" s="1" t="s">
        <v>61</v>
      </c>
      <c r="D904" s="1" t="s">
        <v>62</v>
      </c>
      <c r="E904" s="1" t="s">
        <v>46</v>
      </c>
      <c r="F904" s="1" t="s">
        <v>25</v>
      </c>
      <c r="G904" s="1" t="s">
        <v>26</v>
      </c>
      <c r="H904" s="1">
        <v>8802</v>
      </c>
      <c r="I904" s="1" t="s">
        <v>19</v>
      </c>
      <c r="J904" s="1">
        <v>0.2</v>
      </c>
      <c r="K904" s="1">
        <v>9000</v>
      </c>
      <c r="L904" s="2">
        <v>45305</v>
      </c>
    </row>
    <row r="905" spans="1:12" x14ac:dyDescent="0.35">
      <c r="A905" s="1" t="s">
        <v>1144</v>
      </c>
      <c r="B905" s="1" t="s">
        <v>233</v>
      </c>
      <c r="C905" s="1" t="s">
        <v>30</v>
      </c>
      <c r="D905" s="1" t="s">
        <v>31</v>
      </c>
      <c r="E905" s="1" t="s">
        <v>32</v>
      </c>
      <c r="F905" s="1" t="s">
        <v>39</v>
      </c>
      <c r="G905" s="1" t="s">
        <v>36</v>
      </c>
      <c r="H905" s="1">
        <v>18094</v>
      </c>
      <c r="I905" s="1" t="s">
        <v>22</v>
      </c>
      <c r="J905" s="1">
        <v>0.1</v>
      </c>
      <c r="K905" s="1">
        <v>17000</v>
      </c>
      <c r="L905" s="2">
        <v>45295</v>
      </c>
    </row>
    <row r="906" spans="1:12" x14ac:dyDescent="0.35">
      <c r="A906" s="1" t="s">
        <v>1145</v>
      </c>
      <c r="B906" s="1" t="s">
        <v>429</v>
      </c>
      <c r="C906" s="1" t="s">
        <v>61</v>
      </c>
      <c r="D906" s="1" t="s">
        <v>62</v>
      </c>
      <c r="E906" s="1" t="s">
        <v>46</v>
      </c>
      <c r="F906" s="1" t="s">
        <v>17</v>
      </c>
      <c r="G906" s="1" t="s">
        <v>36</v>
      </c>
      <c r="H906" s="1">
        <v>10056</v>
      </c>
      <c r="I906" s="1" t="s">
        <v>27</v>
      </c>
      <c r="J906" s="1"/>
      <c r="K906" s="1">
        <v>9000</v>
      </c>
      <c r="L906" s="2">
        <v>45306</v>
      </c>
    </row>
    <row r="907" spans="1:12" x14ac:dyDescent="0.35">
      <c r="A907" s="1" t="s">
        <v>1146</v>
      </c>
      <c r="B907" s="1" t="s">
        <v>274</v>
      </c>
      <c r="C907" s="1" t="s">
        <v>61</v>
      </c>
      <c r="D907" s="1" t="s">
        <v>62</v>
      </c>
      <c r="E907" s="1" t="s">
        <v>46</v>
      </c>
      <c r="F907" s="1" t="s">
        <v>17</v>
      </c>
      <c r="G907" s="1" t="s">
        <v>18</v>
      </c>
      <c r="H907" s="1">
        <v>9172</v>
      </c>
      <c r="I907" s="1"/>
      <c r="J907" s="1"/>
      <c r="K907" s="1">
        <v>9000</v>
      </c>
      <c r="L907" s="2">
        <v>45292</v>
      </c>
    </row>
    <row r="908" spans="1:12" x14ac:dyDescent="0.35">
      <c r="A908" s="1" t="s">
        <v>1147</v>
      </c>
      <c r="B908" s="1" t="s">
        <v>443</v>
      </c>
      <c r="C908" s="1" t="s">
        <v>61</v>
      </c>
      <c r="D908" s="1" t="s">
        <v>62</v>
      </c>
      <c r="E908" s="1" t="s">
        <v>46</v>
      </c>
      <c r="F908" s="1" t="s">
        <v>39</v>
      </c>
      <c r="G908" s="1" t="s">
        <v>36</v>
      </c>
      <c r="H908" s="1">
        <v>10939</v>
      </c>
      <c r="I908" s="1" t="s">
        <v>27</v>
      </c>
      <c r="J908" s="1"/>
      <c r="K908" s="1">
        <v>9000</v>
      </c>
      <c r="L908" s="2">
        <v>45335</v>
      </c>
    </row>
    <row r="909" spans="1:12" x14ac:dyDescent="0.35">
      <c r="A909" s="1" t="s">
        <v>1148</v>
      </c>
      <c r="B909" s="1" t="s">
        <v>76</v>
      </c>
      <c r="C909" s="1" t="s">
        <v>30</v>
      </c>
      <c r="D909" s="1" t="s">
        <v>31</v>
      </c>
      <c r="E909" s="1" t="s">
        <v>46</v>
      </c>
      <c r="F909" s="1" t="s">
        <v>39</v>
      </c>
      <c r="G909" s="1" t="s">
        <v>26</v>
      </c>
      <c r="H909" s="1">
        <v>18515</v>
      </c>
      <c r="I909" s="1" t="s">
        <v>33</v>
      </c>
      <c r="J909" s="1">
        <v>0.3</v>
      </c>
      <c r="K909" s="1">
        <v>17000</v>
      </c>
      <c r="L909" s="2">
        <v>45313</v>
      </c>
    </row>
    <row r="910" spans="1:12" x14ac:dyDescent="0.35">
      <c r="A910" s="1" t="s">
        <v>1149</v>
      </c>
      <c r="B910" s="1" t="s">
        <v>361</v>
      </c>
      <c r="C910" s="1" t="s">
        <v>14</v>
      </c>
      <c r="D910" s="1" t="s">
        <v>15</v>
      </c>
      <c r="E910" s="1" t="s">
        <v>46</v>
      </c>
      <c r="F910" s="1" t="s">
        <v>39</v>
      </c>
      <c r="G910" s="1" t="s">
        <v>26</v>
      </c>
      <c r="H910" s="1">
        <v>13602</v>
      </c>
      <c r="I910" s="1"/>
      <c r="J910" s="1"/>
      <c r="K910" s="1">
        <v>14000</v>
      </c>
      <c r="L910" s="2">
        <v>45341</v>
      </c>
    </row>
    <row r="911" spans="1:12" x14ac:dyDescent="0.35">
      <c r="A911" s="1" t="s">
        <v>1150</v>
      </c>
      <c r="B911" s="1" t="s">
        <v>305</v>
      </c>
      <c r="C911" s="1" t="s">
        <v>44</v>
      </c>
      <c r="D911" s="1" t="s">
        <v>45</v>
      </c>
      <c r="E911" s="1" t="s">
        <v>16</v>
      </c>
      <c r="F911" s="1" t="s">
        <v>39</v>
      </c>
      <c r="G911" s="1" t="s">
        <v>26</v>
      </c>
      <c r="H911" s="1">
        <v>14155</v>
      </c>
      <c r="I911" s="1" t="s">
        <v>19</v>
      </c>
      <c r="J911" s="1">
        <v>0.2</v>
      </c>
      <c r="K911" s="1">
        <v>13000</v>
      </c>
      <c r="L911" s="2">
        <v>45325</v>
      </c>
    </row>
    <row r="912" spans="1:12" x14ac:dyDescent="0.35">
      <c r="A912" s="1" t="s">
        <v>1151</v>
      </c>
      <c r="B912" s="1" t="s">
        <v>150</v>
      </c>
      <c r="C912" s="1" t="s">
        <v>44</v>
      </c>
      <c r="D912" s="1" t="s">
        <v>45</v>
      </c>
      <c r="E912" s="1" t="s">
        <v>46</v>
      </c>
      <c r="F912" s="1" t="s">
        <v>39</v>
      </c>
      <c r="G912" s="1" t="s">
        <v>18</v>
      </c>
      <c r="H912" s="1">
        <v>13755</v>
      </c>
      <c r="I912" s="1" t="s">
        <v>22</v>
      </c>
      <c r="J912" s="1">
        <v>0.1</v>
      </c>
      <c r="K912" s="1">
        <v>13000</v>
      </c>
      <c r="L912" s="2">
        <v>45345</v>
      </c>
    </row>
    <row r="913" spans="1:12" x14ac:dyDescent="0.35">
      <c r="A913" s="1" t="s">
        <v>1152</v>
      </c>
      <c r="B913" s="1" t="s">
        <v>43</v>
      </c>
      <c r="C913" s="1" t="s">
        <v>61</v>
      </c>
      <c r="D913" s="1" t="s">
        <v>62</v>
      </c>
      <c r="E913" s="1" t="s">
        <v>32</v>
      </c>
      <c r="F913" s="1" t="s">
        <v>39</v>
      </c>
      <c r="G913" s="1" t="s">
        <v>18</v>
      </c>
      <c r="H913" s="1">
        <v>9807</v>
      </c>
      <c r="I913" s="1"/>
      <c r="J913" s="1"/>
      <c r="K913" s="1">
        <v>9000</v>
      </c>
      <c r="L913" s="2">
        <v>45314</v>
      </c>
    </row>
    <row r="914" spans="1:12" x14ac:dyDescent="0.35">
      <c r="A914" s="1" t="s">
        <v>1153</v>
      </c>
      <c r="B914" s="1" t="s">
        <v>220</v>
      </c>
      <c r="C914" s="1" t="s">
        <v>30</v>
      </c>
      <c r="D914" s="1" t="s">
        <v>31</v>
      </c>
      <c r="E914" s="1" t="s">
        <v>46</v>
      </c>
      <c r="F914" s="1" t="s">
        <v>25</v>
      </c>
      <c r="G914" s="1" t="s">
        <v>18</v>
      </c>
      <c r="H914" s="1">
        <v>15097</v>
      </c>
      <c r="I914" s="1" t="s">
        <v>27</v>
      </c>
      <c r="J914" s="1"/>
      <c r="K914" s="1">
        <v>17000</v>
      </c>
      <c r="L914" s="2">
        <v>45297</v>
      </c>
    </row>
    <row r="915" spans="1:12" x14ac:dyDescent="0.35">
      <c r="A915" s="1" t="s">
        <v>1154</v>
      </c>
      <c r="B915" s="1" t="s">
        <v>109</v>
      </c>
      <c r="C915" s="1" t="s">
        <v>44</v>
      </c>
      <c r="D915" s="1" t="s">
        <v>45</v>
      </c>
      <c r="E915" s="1" t="s">
        <v>16</v>
      </c>
      <c r="F915" s="1" t="s">
        <v>39</v>
      </c>
      <c r="G915" s="1" t="s">
        <v>18</v>
      </c>
      <c r="H915" s="1">
        <v>13900</v>
      </c>
      <c r="I915" s="1" t="s">
        <v>22</v>
      </c>
      <c r="J915" s="1">
        <v>0.1</v>
      </c>
      <c r="K915" s="1">
        <v>13000</v>
      </c>
      <c r="L915" s="2">
        <v>45297</v>
      </c>
    </row>
    <row r="916" spans="1:12" x14ac:dyDescent="0.35">
      <c r="A916" s="1" t="s">
        <v>1155</v>
      </c>
      <c r="B916" s="1" t="s">
        <v>460</v>
      </c>
      <c r="C916" s="1" t="s">
        <v>44</v>
      </c>
      <c r="D916" s="1" t="s">
        <v>45</v>
      </c>
      <c r="E916" s="1" t="s">
        <v>46</v>
      </c>
      <c r="F916" s="1" t="s">
        <v>39</v>
      </c>
      <c r="G916" s="1" t="s">
        <v>26</v>
      </c>
      <c r="H916" s="1">
        <v>13318</v>
      </c>
      <c r="I916" s="1" t="s">
        <v>19</v>
      </c>
      <c r="J916" s="1">
        <v>0.2</v>
      </c>
      <c r="K916" s="1">
        <v>13000</v>
      </c>
      <c r="L916" s="2">
        <v>45349</v>
      </c>
    </row>
    <row r="917" spans="1:12" x14ac:dyDescent="0.35">
      <c r="A917" s="1" t="s">
        <v>1156</v>
      </c>
      <c r="B917" s="1" t="s">
        <v>173</v>
      </c>
      <c r="C917" s="1" t="s">
        <v>44</v>
      </c>
      <c r="D917" s="1" t="s">
        <v>45</v>
      </c>
      <c r="E917" s="1" t="s">
        <v>46</v>
      </c>
      <c r="F917" s="1" t="s">
        <v>17</v>
      </c>
      <c r="G917" s="1" t="s">
        <v>36</v>
      </c>
      <c r="H917" s="1">
        <v>13705</v>
      </c>
      <c r="I917" s="1" t="s">
        <v>22</v>
      </c>
      <c r="J917" s="1">
        <v>0.1</v>
      </c>
      <c r="K917" s="1">
        <v>13000</v>
      </c>
      <c r="L917" s="2">
        <v>45332</v>
      </c>
    </row>
    <row r="918" spans="1:12" x14ac:dyDescent="0.35">
      <c r="A918" s="1" t="s">
        <v>1157</v>
      </c>
      <c r="B918" s="1" t="s">
        <v>123</v>
      </c>
      <c r="C918" s="1" t="s">
        <v>61</v>
      </c>
      <c r="D918" s="1" t="s">
        <v>62</v>
      </c>
      <c r="E918" s="1" t="s">
        <v>16</v>
      </c>
      <c r="F918" s="1" t="s">
        <v>39</v>
      </c>
      <c r="G918" s="1" t="s">
        <v>36</v>
      </c>
      <c r="H918" s="1">
        <v>8054</v>
      </c>
      <c r="I918" s="1" t="s">
        <v>19</v>
      </c>
      <c r="J918" s="1">
        <v>0.2</v>
      </c>
      <c r="K918" s="1">
        <v>9000</v>
      </c>
      <c r="L918" s="2">
        <v>45341</v>
      </c>
    </row>
    <row r="919" spans="1:12" x14ac:dyDescent="0.35">
      <c r="A919" s="1" t="s">
        <v>1158</v>
      </c>
      <c r="B919" s="1" t="s">
        <v>263</v>
      </c>
      <c r="C919" s="1" t="s">
        <v>14</v>
      </c>
      <c r="D919" s="1" t="s">
        <v>15</v>
      </c>
      <c r="E919" s="1" t="s">
        <v>46</v>
      </c>
      <c r="F919" s="1" t="s">
        <v>17</v>
      </c>
      <c r="G919" s="1" t="s">
        <v>36</v>
      </c>
      <c r="H919" s="1">
        <v>12246</v>
      </c>
      <c r="I919" s="1" t="s">
        <v>33</v>
      </c>
      <c r="J919" s="1">
        <v>0.3</v>
      </c>
      <c r="K919" s="1">
        <v>14000</v>
      </c>
      <c r="L919" s="2">
        <v>45344</v>
      </c>
    </row>
    <row r="920" spans="1:12" x14ac:dyDescent="0.35">
      <c r="A920" s="1" t="s">
        <v>1159</v>
      </c>
      <c r="B920" s="1" t="s">
        <v>58</v>
      </c>
      <c r="C920" s="1" t="s">
        <v>61</v>
      </c>
      <c r="D920" s="1" t="s">
        <v>62</v>
      </c>
      <c r="E920" s="1" t="s">
        <v>32</v>
      </c>
      <c r="F920" s="1" t="s">
        <v>17</v>
      </c>
      <c r="G920" s="1" t="s">
        <v>18</v>
      </c>
      <c r="H920" s="1">
        <v>9499</v>
      </c>
      <c r="I920" s="1"/>
      <c r="J920" s="1"/>
      <c r="K920" s="1">
        <v>9000</v>
      </c>
      <c r="L920" s="2">
        <v>45303</v>
      </c>
    </row>
    <row r="921" spans="1:12" x14ac:dyDescent="0.35">
      <c r="A921" s="1" t="s">
        <v>1160</v>
      </c>
      <c r="B921" s="1" t="s">
        <v>591</v>
      </c>
      <c r="C921" s="1" t="s">
        <v>14</v>
      </c>
      <c r="D921" s="1" t="s">
        <v>15</v>
      </c>
      <c r="E921" s="1" t="s">
        <v>32</v>
      </c>
      <c r="F921" s="1" t="s">
        <v>39</v>
      </c>
      <c r="G921" s="1" t="s">
        <v>36</v>
      </c>
      <c r="H921" s="1">
        <v>12894</v>
      </c>
      <c r="I921" s="1" t="s">
        <v>27</v>
      </c>
      <c r="J921" s="1"/>
      <c r="K921" s="1">
        <v>14000</v>
      </c>
      <c r="L921" s="2">
        <v>45333</v>
      </c>
    </row>
    <row r="922" spans="1:12" x14ac:dyDescent="0.35">
      <c r="A922" s="1" t="s">
        <v>1161</v>
      </c>
      <c r="B922" s="1" t="s">
        <v>245</v>
      </c>
      <c r="C922" s="1" t="s">
        <v>30</v>
      </c>
      <c r="D922" s="1" t="s">
        <v>31</v>
      </c>
      <c r="E922" s="1" t="s">
        <v>32</v>
      </c>
      <c r="F922" s="1" t="s">
        <v>25</v>
      </c>
      <c r="G922" s="1" t="s">
        <v>18</v>
      </c>
      <c r="H922" s="1">
        <v>15288</v>
      </c>
      <c r="I922" s="1" t="s">
        <v>27</v>
      </c>
      <c r="J922" s="1"/>
      <c r="K922" s="1">
        <v>17000</v>
      </c>
      <c r="L922" s="2">
        <v>45338</v>
      </c>
    </row>
    <row r="923" spans="1:12" x14ac:dyDescent="0.35">
      <c r="A923" s="1" t="s">
        <v>1162</v>
      </c>
      <c r="B923" s="1" t="s">
        <v>443</v>
      </c>
      <c r="C923" s="1" t="s">
        <v>61</v>
      </c>
      <c r="D923" s="1" t="s">
        <v>62</v>
      </c>
      <c r="E923" s="1" t="s">
        <v>32</v>
      </c>
      <c r="F923" s="1" t="s">
        <v>17</v>
      </c>
      <c r="G923" s="1" t="s">
        <v>18</v>
      </c>
      <c r="H923" s="1">
        <v>9674</v>
      </c>
      <c r="I923" s="1" t="s">
        <v>22</v>
      </c>
      <c r="J923" s="1">
        <v>0.1</v>
      </c>
      <c r="K923" s="1">
        <v>9000</v>
      </c>
      <c r="L923" s="2">
        <v>45351</v>
      </c>
    </row>
    <row r="924" spans="1:12" x14ac:dyDescent="0.35">
      <c r="A924" s="1" t="s">
        <v>1163</v>
      </c>
      <c r="B924" s="1" t="s">
        <v>68</v>
      </c>
      <c r="C924" s="1" t="s">
        <v>61</v>
      </c>
      <c r="D924" s="1" t="s">
        <v>62</v>
      </c>
      <c r="E924" s="1" t="s">
        <v>46</v>
      </c>
      <c r="F924" s="1" t="s">
        <v>25</v>
      </c>
      <c r="G924" s="1" t="s">
        <v>26</v>
      </c>
      <c r="H924" s="1">
        <v>8350</v>
      </c>
      <c r="I924" s="1"/>
      <c r="J924" s="1"/>
      <c r="K924" s="1">
        <v>9000</v>
      </c>
      <c r="L924" s="2">
        <v>45328</v>
      </c>
    </row>
    <row r="925" spans="1:12" x14ac:dyDescent="0.35">
      <c r="A925" s="1" t="s">
        <v>1164</v>
      </c>
      <c r="B925" s="1" t="s">
        <v>166</v>
      </c>
      <c r="C925" s="1" t="s">
        <v>61</v>
      </c>
      <c r="D925" s="1" t="s">
        <v>62</v>
      </c>
      <c r="E925" s="1" t="s">
        <v>46</v>
      </c>
      <c r="F925" s="1" t="s">
        <v>17</v>
      </c>
      <c r="G925" s="1" t="s">
        <v>36</v>
      </c>
      <c r="H925" s="1">
        <v>10457</v>
      </c>
      <c r="I925" s="1" t="s">
        <v>22</v>
      </c>
      <c r="J925" s="1">
        <v>0.1</v>
      </c>
      <c r="K925" s="1">
        <v>9000</v>
      </c>
      <c r="L925" s="2">
        <v>45326</v>
      </c>
    </row>
    <row r="926" spans="1:12" x14ac:dyDescent="0.35">
      <c r="A926" s="1" t="s">
        <v>1165</v>
      </c>
      <c r="B926" s="1" t="s">
        <v>500</v>
      </c>
      <c r="C926" s="1" t="s">
        <v>61</v>
      </c>
      <c r="D926" s="1" t="s">
        <v>62</v>
      </c>
      <c r="E926" s="1" t="s">
        <v>16</v>
      </c>
      <c r="F926" s="1" t="s">
        <v>17</v>
      </c>
      <c r="G926" s="1" t="s">
        <v>18</v>
      </c>
      <c r="H926" s="1">
        <v>9323</v>
      </c>
      <c r="I926" s="1" t="s">
        <v>27</v>
      </c>
      <c r="J926" s="1"/>
      <c r="K926" s="1">
        <v>9000</v>
      </c>
      <c r="L926" s="2">
        <v>45351</v>
      </c>
    </row>
    <row r="927" spans="1:12" x14ac:dyDescent="0.35">
      <c r="A927" s="1" t="s">
        <v>1166</v>
      </c>
      <c r="B927" s="1" t="s">
        <v>282</v>
      </c>
      <c r="C927" s="1" t="s">
        <v>30</v>
      </c>
      <c r="D927" s="1" t="s">
        <v>31</v>
      </c>
      <c r="E927" s="1" t="s">
        <v>46</v>
      </c>
      <c r="F927" s="1" t="s">
        <v>25</v>
      </c>
      <c r="G927" s="1" t="s">
        <v>26</v>
      </c>
      <c r="H927" s="1">
        <v>18927</v>
      </c>
      <c r="I927" s="1" t="s">
        <v>22</v>
      </c>
      <c r="J927" s="1">
        <v>0.1</v>
      </c>
      <c r="K927" s="1">
        <v>17000</v>
      </c>
      <c r="L927" s="2">
        <v>45315</v>
      </c>
    </row>
    <row r="928" spans="1:12" x14ac:dyDescent="0.35">
      <c r="A928" s="1" t="s">
        <v>1167</v>
      </c>
      <c r="B928" s="1" t="s">
        <v>105</v>
      </c>
      <c r="C928" s="1" t="s">
        <v>30</v>
      </c>
      <c r="D928" s="1" t="s">
        <v>31</v>
      </c>
      <c r="E928" s="1" t="s">
        <v>32</v>
      </c>
      <c r="F928" s="1" t="s">
        <v>17</v>
      </c>
      <c r="G928" s="1" t="s">
        <v>36</v>
      </c>
      <c r="H928" s="1">
        <v>17653</v>
      </c>
      <c r="I928" s="1" t="s">
        <v>19</v>
      </c>
      <c r="J928" s="1">
        <v>0.2</v>
      </c>
      <c r="K928" s="1">
        <v>17000</v>
      </c>
      <c r="L928" s="2">
        <v>45303</v>
      </c>
    </row>
    <row r="929" spans="1:12" x14ac:dyDescent="0.35">
      <c r="A929" s="1" t="s">
        <v>1168</v>
      </c>
      <c r="B929" s="1" t="s">
        <v>184</v>
      </c>
      <c r="C929" s="1" t="s">
        <v>61</v>
      </c>
      <c r="D929" s="1" t="s">
        <v>62</v>
      </c>
      <c r="E929" s="1" t="s">
        <v>16</v>
      </c>
      <c r="F929" s="1" t="s">
        <v>25</v>
      </c>
      <c r="G929" s="1" t="s">
        <v>36</v>
      </c>
      <c r="H929" s="1">
        <v>9850</v>
      </c>
      <c r="I929" s="1"/>
      <c r="J929" s="1"/>
      <c r="K929" s="1">
        <v>9000</v>
      </c>
      <c r="L929" s="2">
        <v>45349</v>
      </c>
    </row>
    <row r="930" spans="1:12" x14ac:dyDescent="0.35">
      <c r="A930" s="1" t="s">
        <v>1169</v>
      </c>
      <c r="B930" s="1" t="s">
        <v>21</v>
      </c>
      <c r="C930" s="1" t="s">
        <v>30</v>
      </c>
      <c r="D930" s="1" t="s">
        <v>31</v>
      </c>
      <c r="E930" s="1" t="s">
        <v>46</v>
      </c>
      <c r="F930" s="1" t="s">
        <v>25</v>
      </c>
      <c r="G930" s="1" t="s">
        <v>26</v>
      </c>
      <c r="H930" s="1">
        <v>16793</v>
      </c>
      <c r="I930" s="1" t="s">
        <v>19</v>
      </c>
      <c r="J930" s="1">
        <v>0.2</v>
      </c>
      <c r="K930" s="1">
        <v>17000</v>
      </c>
      <c r="L930" s="2">
        <v>45300</v>
      </c>
    </row>
    <row r="931" spans="1:12" x14ac:dyDescent="0.35">
      <c r="A931" s="1" t="s">
        <v>1170</v>
      </c>
      <c r="B931" s="1" t="s">
        <v>192</v>
      </c>
      <c r="C931" s="1" t="s">
        <v>14</v>
      </c>
      <c r="D931" s="1" t="s">
        <v>15</v>
      </c>
      <c r="E931" s="1" t="s">
        <v>16</v>
      </c>
      <c r="F931" s="1" t="s">
        <v>39</v>
      </c>
      <c r="G931" s="1" t="s">
        <v>18</v>
      </c>
      <c r="H931" s="1">
        <v>14003</v>
      </c>
      <c r="I931" s="1"/>
      <c r="J931" s="1"/>
      <c r="K931" s="1">
        <v>14000</v>
      </c>
      <c r="L931" s="2">
        <v>45296</v>
      </c>
    </row>
    <row r="932" spans="1:12" x14ac:dyDescent="0.35">
      <c r="A932" s="1" t="s">
        <v>1171</v>
      </c>
      <c r="B932" s="1" t="s">
        <v>133</v>
      </c>
      <c r="C932" s="1" t="s">
        <v>30</v>
      </c>
      <c r="D932" s="1" t="s">
        <v>31</v>
      </c>
      <c r="E932" s="1" t="s">
        <v>46</v>
      </c>
      <c r="F932" s="1" t="s">
        <v>39</v>
      </c>
      <c r="G932" s="1" t="s">
        <v>36</v>
      </c>
      <c r="H932" s="1">
        <v>18959</v>
      </c>
      <c r="I932" s="1" t="s">
        <v>22</v>
      </c>
      <c r="J932" s="1">
        <v>0.1</v>
      </c>
      <c r="K932" s="1">
        <v>17000</v>
      </c>
      <c r="L932" s="2">
        <v>45294</v>
      </c>
    </row>
    <row r="933" spans="1:12" x14ac:dyDescent="0.35">
      <c r="A933" s="1" t="s">
        <v>1172</v>
      </c>
      <c r="B933" s="1" t="s">
        <v>327</v>
      </c>
      <c r="C933" s="1" t="s">
        <v>30</v>
      </c>
      <c r="D933" s="1" t="s">
        <v>31</v>
      </c>
      <c r="E933" s="1" t="s">
        <v>16</v>
      </c>
      <c r="F933" s="1" t="s">
        <v>25</v>
      </c>
      <c r="G933" s="1" t="s">
        <v>36</v>
      </c>
      <c r="H933" s="1">
        <v>15484</v>
      </c>
      <c r="I933" s="1" t="s">
        <v>19</v>
      </c>
      <c r="J933" s="1">
        <v>0.2</v>
      </c>
      <c r="K933" s="1">
        <v>17000</v>
      </c>
      <c r="L933" s="2">
        <v>45343</v>
      </c>
    </row>
    <row r="934" spans="1:12" x14ac:dyDescent="0.35">
      <c r="A934" s="1" t="s">
        <v>1173</v>
      </c>
      <c r="B934" s="1" t="s">
        <v>92</v>
      </c>
      <c r="C934" s="1" t="s">
        <v>61</v>
      </c>
      <c r="D934" s="1" t="s">
        <v>62</v>
      </c>
      <c r="E934" s="1" t="s">
        <v>16</v>
      </c>
      <c r="F934" s="1" t="s">
        <v>39</v>
      </c>
      <c r="G934" s="1" t="s">
        <v>18</v>
      </c>
      <c r="H934" s="1">
        <v>10035</v>
      </c>
      <c r="I934" s="1" t="s">
        <v>27</v>
      </c>
      <c r="J934" s="1"/>
      <c r="K934" s="1">
        <v>9000</v>
      </c>
      <c r="L934" s="2">
        <v>45306</v>
      </c>
    </row>
    <row r="935" spans="1:12" x14ac:dyDescent="0.35">
      <c r="A935" s="1" t="s">
        <v>1174</v>
      </c>
      <c r="B935" s="1" t="s">
        <v>403</v>
      </c>
      <c r="C935" s="1" t="s">
        <v>14</v>
      </c>
      <c r="D935" s="1" t="s">
        <v>15</v>
      </c>
      <c r="E935" s="1" t="s">
        <v>16</v>
      </c>
      <c r="F935" s="1" t="s">
        <v>25</v>
      </c>
      <c r="G935" s="1" t="s">
        <v>36</v>
      </c>
      <c r="H935" s="1">
        <v>14678</v>
      </c>
      <c r="I935" s="1" t="s">
        <v>22</v>
      </c>
      <c r="J935" s="1">
        <v>0.1</v>
      </c>
      <c r="K935" s="1">
        <v>14000</v>
      </c>
      <c r="L935" s="2">
        <v>45322</v>
      </c>
    </row>
    <row r="936" spans="1:12" x14ac:dyDescent="0.35">
      <c r="A936" s="1" t="s">
        <v>1175</v>
      </c>
      <c r="B936" s="1" t="s">
        <v>60</v>
      </c>
      <c r="C936" s="1" t="s">
        <v>14</v>
      </c>
      <c r="D936" s="1" t="s">
        <v>15</v>
      </c>
      <c r="E936" s="1" t="s">
        <v>32</v>
      </c>
      <c r="F936" s="1" t="s">
        <v>39</v>
      </c>
      <c r="G936" s="1" t="s">
        <v>26</v>
      </c>
      <c r="H936" s="1">
        <v>12534</v>
      </c>
      <c r="I936" s="1" t="s">
        <v>22</v>
      </c>
      <c r="J936" s="1">
        <v>0.1</v>
      </c>
      <c r="K936" s="1">
        <v>14000</v>
      </c>
      <c r="L936" s="2">
        <v>45303</v>
      </c>
    </row>
    <row r="937" spans="1:12" x14ac:dyDescent="0.35">
      <c r="A937" s="1" t="s">
        <v>1176</v>
      </c>
      <c r="B937" s="1" t="s">
        <v>1032</v>
      </c>
      <c r="C937" s="1" t="s">
        <v>30</v>
      </c>
      <c r="D937" s="1" t="s">
        <v>31</v>
      </c>
      <c r="E937" s="1" t="s">
        <v>32</v>
      </c>
      <c r="F937" s="1" t="s">
        <v>17</v>
      </c>
      <c r="G937" s="1" t="s">
        <v>26</v>
      </c>
      <c r="H937" s="1">
        <v>15699</v>
      </c>
      <c r="I937" s="1" t="s">
        <v>27</v>
      </c>
      <c r="J937" s="1"/>
      <c r="K937" s="1">
        <v>17000</v>
      </c>
      <c r="L937" s="2">
        <v>45296</v>
      </c>
    </row>
    <row r="938" spans="1:12" x14ac:dyDescent="0.35">
      <c r="A938" s="1" t="s">
        <v>1177</v>
      </c>
      <c r="B938" s="1" t="s">
        <v>319</v>
      </c>
      <c r="C938" s="1" t="s">
        <v>14</v>
      </c>
      <c r="D938" s="1" t="s">
        <v>15</v>
      </c>
      <c r="E938" s="1" t="s">
        <v>32</v>
      </c>
      <c r="F938" s="1" t="s">
        <v>17</v>
      </c>
      <c r="G938" s="1" t="s">
        <v>26</v>
      </c>
      <c r="H938" s="1">
        <v>15273</v>
      </c>
      <c r="I938" s="1" t="s">
        <v>27</v>
      </c>
      <c r="J938" s="1"/>
      <c r="K938" s="1">
        <v>14000</v>
      </c>
      <c r="L938" s="2">
        <v>45306</v>
      </c>
    </row>
    <row r="939" spans="1:12" x14ac:dyDescent="0.35">
      <c r="A939" s="1" t="s">
        <v>1178</v>
      </c>
      <c r="B939" s="1" t="s">
        <v>200</v>
      </c>
      <c r="C939" s="1" t="s">
        <v>44</v>
      </c>
      <c r="D939" s="1" t="s">
        <v>45</v>
      </c>
      <c r="E939" s="1" t="s">
        <v>46</v>
      </c>
      <c r="F939" s="1" t="s">
        <v>17</v>
      </c>
      <c r="G939" s="1" t="s">
        <v>26</v>
      </c>
      <c r="H939" s="1">
        <v>13778</v>
      </c>
      <c r="I939" s="1"/>
      <c r="J939" s="1"/>
      <c r="K939" s="1">
        <v>13000</v>
      </c>
      <c r="L939" s="2">
        <v>45312</v>
      </c>
    </row>
    <row r="940" spans="1:12" x14ac:dyDescent="0.35">
      <c r="A940" s="1" t="s">
        <v>1179</v>
      </c>
      <c r="B940" s="1" t="s">
        <v>21</v>
      </c>
      <c r="C940" s="1" t="s">
        <v>44</v>
      </c>
      <c r="D940" s="1" t="s">
        <v>45</v>
      </c>
      <c r="E940" s="1" t="s">
        <v>46</v>
      </c>
      <c r="F940" s="1" t="s">
        <v>25</v>
      </c>
      <c r="G940" s="1" t="s">
        <v>18</v>
      </c>
      <c r="H940" s="1">
        <v>13429</v>
      </c>
      <c r="I940" s="1" t="s">
        <v>19</v>
      </c>
      <c r="J940" s="1">
        <v>0.2</v>
      </c>
      <c r="K940" s="1">
        <v>13000</v>
      </c>
      <c r="L940" s="2">
        <v>45313</v>
      </c>
    </row>
    <row r="941" spans="1:12" x14ac:dyDescent="0.35">
      <c r="A941" s="1" t="s">
        <v>1180</v>
      </c>
      <c r="B941" s="1" t="s">
        <v>78</v>
      </c>
      <c r="C941" s="1" t="s">
        <v>30</v>
      </c>
      <c r="D941" s="1" t="s">
        <v>31</v>
      </c>
      <c r="E941" s="1" t="s">
        <v>32</v>
      </c>
      <c r="F941" s="1" t="s">
        <v>17</v>
      </c>
      <c r="G941" s="1" t="s">
        <v>18</v>
      </c>
      <c r="H941" s="1">
        <v>17852</v>
      </c>
      <c r="I941" s="1" t="s">
        <v>33</v>
      </c>
      <c r="J941" s="1">
        <v>0.3</v>
      </c>
      <c r="K941" s="1">
        <v>17000</v>
      </c>
      <c r="L941" s="2">
        <v>45327</v>
      </c>
    </row>
    <row r="942" spans="1:12" x14ac:dyDescent="0.35">
      <c r="A942" s="1" t="s">
        <v>1181</v>
      </c>
      <c r="B942" s="1" t="s">
        <v>429</v>
      </c>
      <c r="C942" s="1" t="s">
        <v>44</v>
      </c>
      <c r="D942" s="1" t="s">
        <v>45</v>
      </c>
      <c r="E942" s="1" t="s">
        <v>16</v>
      </c>
      <c r="F942" s="1" t="s">
        <v>25</v>
      </c>
      <c r="G942" s="1" t="s">
        <v>18</v>
      </c>
      <c r="H942" s="1">
        <v>11409</v>
      </c>
      <c r="I942" s="1" t="s">
        <v>27</v>
      </c>
      <c r="J942" s="1"/>
      <c r="K942" s="1">
        <v>13000</v>
      </c>
      <c r="L942" s="2">
        <v>45316</v>
      </c>
    </row>
    <row r="943" spans="1:12" x14ac:dyDescent="0.35">
      <c r="A943" s="1" t="s">
        <v>1182</v>
      </c>
      <c r="B943" s="1" t="s">
        <v>72</v>
      </c>
      <c r="C943" s="1" t="s">
        <v>14</v>
      </c>
      <c r="D943" s="1" t="s">
        <v>15</v>
      </c>
      <c r="E943" s="1" t="s">
        <v>46</v>
      </c>
      <c r="F943" s="1" t="s">
        <v>25</v>
      </c>
      <c r="G943" s="1" t="s">
        <v>18</v>
      </c>
      <c r="H943" s="1">
        <v>12029</v>
      </c>
      <c r="I943" s="1" t="s">
        <v>19</v>
      </c>
      <c r="J943" s="1">
        <v>0.2</v>
      </c>
      <c r="K943" s="1">
        <v>14000</v>
      </c>
      <c r="L943" s="2">
        <v>45351</v>
      </c>
    </row>
    <row r="944" spans="1:12" x14ac:dyDescent="0.35">
      <c r="A944" s="1" t="s">
        <v>1183</v>
      </c>
      <c r="B944" s="1" t="s">
        <v>173</v>
      </c>
      <c r="C944" s="1" t="s">
        <v>30</v>
      </c>
      <c r="D944" s="1" t="s">
        <v>31</v>
      </c>
      <c r="E944" s="1" t="s">
        <v>46</v>
      </c>
      <c r="F944" s="1" t="s">
        <v>39</v>
      </c>
      <c r="G944" s="1" t="s">
        <v>36</v>
      </c>
      <c r="H944" s="1">
        <v>17835</v>
      </c>
      <c r="I944" s="1" t="s">
        <v>19</v>
      </c>
      <c r="J944" s="1">
        <v>0.2</v>
      </c>
      <c r="K944" s="1">
        <v>17000</v>
      </c>
      <c r="L944" s="2">
        <v>45305</v>
      </c>
    </row>
    <row r="945" spans="1:12" x14ac:dyDescent="0.35">
      <c r="A945" s="1" t="s">
        <v>1184</v>
      </c>
      <c r="B945" s="1" t="s">
        <v>113</v>
      </c>
      <c r="C945" s="1" t="s">
        <v>30</v>
      </c>
      <c r="D945" s="1" t="s">
        <v>31</v>
      </c>
      <c r="E945" s="1" t="s">
        <v>16</v>
      </c>
      <c r="F945" s="1" t="s">
        <v>17</v>
      </c>
      <c r="G945" s="1" t="s">
        <v>36</v>
      </c>
      <c r="H945" s="1">
        <v>15979</v>
      </c>
      <c r="I945" s="1" t="s">
        <v>19</v>
      </c>
      <c r="J945" s="1">
        <v>0.2</v>
      </c>
      <c r="K945" s="1">
        <v>17000</v>
      </c>
      <c r="L945" s="2">
        <v>45331</v>
      </c>
    </row>
    <row r="946" spans="1:12" x14ac:dyDescent="0.35">
      <c r="A946" s="1" t="s">
        <v>1185</v>
      </c>
      <c r="B946" s="1" t="s">
        <v>464</v>
      </c>
      <c r="C946" s="1" t="s">
        <v>44</v>
      </c>
      <c r="D946" s="1" t="s">
        <v>45</v>
      </c>
      <c r="E946" s="1" t="s">
        <v>16</v>
      </c>
      <c r="F946" s="1" t="s">
        <v>17</v>
      </c>
      <c r="G946" s="1" t="s">
        <v>26</v>
      </c>
      <c r="H946" s="1">
        <v>14892</v>
      </c>
      <c r="I946" s="1" t="s">
        <v>22</v>
      </c>
      <c r="J946" s="1">
        <v>0.1</v>
      </c>
      <c r="K946" s="1">
        <v>13000</v>
      </c>
      <c r="L946" s="2">
        <v>45332</v>
      </c>
    </row>
    <row r="947" spans="1:12" x14ac:dyDescent="0.35">
      <c r="A947" s="1" t="s">
        <v>1186</v>
      </c>
      <c r="B947" s="1" t="s">
        <v>393</v>
      </c>
      <c r="C947" s="1" t="s">
        <v>30</v>
      </c>
      <c r="D947" s="1" t="s">
        <v>31</v>
      </c>
      <c r="E947" s="1" t="s">
        <v>46</v>
      </c>
      <c r="F947" s="1" t="s">
        <v>17</v>
      </c>
      <c r="G947" s="1" t="s">
        <v>18</v>
      </c>
      <c r="H947" s="1">
        <v>17284</v>
      </c>
      <c r="I947" s="1" t="s">
        <v>19</v>
      </c>
      <c r="J947" s="1">
        <v>0.2</v>
      </c>
      <c r="K947" s="1">
        <v>17000</v>
      </c>
      <c r="L947" s="2">
        <v>45304</v>
      </c>
    </row>
    <row r="948" spans="1:12" x14ac:dyDescent="0.35">
      <c r="A948" s="1" t="s">
        <v>1187</v>
      </c>
      <c r="B948" s="1" t="s">
        <v>241</v>
      </c>
      <c r="C948" s="1" t="s">
        <v>14</v>
      </c>
      <c r="D948" s="1" t="s">
        <v>15</v>
      </c>
      <c r="E948" s="1" t="s">
        <v>16</v>
      </c>
      <c r="F948" s="1" t="s">
        <v>17</v>
      </c>
      <c r="G948" s="1" t="s">
        <v>26</v>
      </c>
      <c r="H948" s="1">
        <v>14078</v>
      </c>
      <c r="I948" s="1" t="s">
        <v>19</v>
      </c>
      <c r="J948" s="1">
        <v>0.2</v>
      </c>
      <c r="K948" s="1">
        <v>14000</v>
      </c>
      <c r="L948" s="2">
        <v>45321</v>
      </c>
    </row>
    <row r="949" spans="1:12" x14ac:dyDescent="0.35">
      <c r="A949" s="1" t="s">
        <v>1188</v>
      </c>
      <c r="B949" s="1" t="s">
        <v>426</v>
      </c>
      <c r="C949" s="1" t="s">
        <v>44</v>
      </c>
      <c r="D949" s="1" t="s">
        <v>45</v>
      </c>
      <c r="E949" s="1" t="s">
        <v>46</v>
      </c>
      <c r="F949" s="1" t="s">
        <v>25</v>
      </c>
      <c r="G949" s="1" t="s">
        <v>18</v>
      </c>
      <c r="H949" s="1">
        <v>11461</v>
      </c>
      <c r="I949" s="1" t="s">
        <v>19</v>
      </c>
      <c r="J949" s="1">
        <v>0.2</v>
      </c>
      <c r="K949" s="1">
        <v>13000</v>
      </c>
      <c r="L949" s="2">
        <v>45335</v>
      </c>
    </row>
    <row r="950" spans="1:12" x14ac:dyDescent="0.35">
      <c r="A950" s="1" t="s">
        <v>1189</v>
      </c>
      <c r="B950" s="1" t="s">
        <v>1190</v>
      </c>
      <c r="C950" s="1" t="s">
        <v>61</v>
      </c>
      <c r="D950" s="1" t="s">
        <v>62</v>
      </c>
      <c r="E950" s="1" t="s">
        <v>32</v>
      </c>
      <c r="F950" s="1" t="s">
        <v>25</v>
      </c>
      <c r="G950" s="1" t="s">
        <v>26</v>
      </c>
      <c r="H950" s="1">
        <v>10779</v>
      </c>
      <c r="I950" s="1" t="s">
        <v>22</v>
      </c>
      <c r="J950" s="1">
        <v>0.1</v>
      </c>
      <c r="K950" s="1">
        <v>9000</v>
      </c>
      <c r="L950" s="2">
        <v>45295</v>
      </c>
    </row>
    <row r="951" spans="1:12" x14ac:dyDescent="0.35">
      <c r="A951" s="1" t="s">
        <v>1191</v>
      </c>
      <c r="B951" s="1" t="s">
        <v>317</v>
      </c>
      <c r="C951" s="1" t="s">
        <v>30</v>
      </c>
      <c r="D951" s="1" t="s">
        <v>31</v>
      </c>
      <c r="E951" s="1" t="s">
        <v>32</v>
      </c>
      <c r="F951" s="1" t="s">
        <v>17</v>
      </c>
      <c r="G951" s="1" t="s">
        <v>36</v>
      </c>
      <c r="H951" s="1">
        <v>16369</v>
      </c>
      <c r="I951" s="1" t="s">
        <v>27</v>
      </c>
      <c r="J951" s="1"/>
      <c r="K951" s="1">
        <v>17000</v>
      </c>
      <c r="L951" s="2">
        <v>45343</v>
      </c>
    </row>
    <row r="952" spans="1:12" x14ac:dyDescent="0.35">
      <c r="A952" s="1" t="s">
        <v>1192</v>
      </c>
      <c r="B952" s="1" t="s">
        <v>148</v>
      </c>
      <c r="C952" s="1" t="s">
        <v>61</v>
      </c>
      <c r="D952" s="1" t="s">
        <v>62</v>
      </c>
      <c r="E952" s="1" t="s">
        <v>32</v>
      </c>
      <c r="F952" s="1" t="s">
        <v>25</v>
      </c>
      <c r="G952" s="1" t="s">
        <v>26</v>
      </c>
      <c r="H952" s="1">
        <v>7214</v>
      </c>
      <c r="I952" s="1" t="s">
        <v>27</v>
      </c>
      <c r="J952" s="1"/>
      <c r="K952" s="1">
        <v>9000</v>
      </c>
      <c r="L952" s="2">
        <v>45303</v>
      </c>
    </row>
    <row r="953" spans="1:12" x14ac:dyDescent="0.35">
      <c r="A953" s="1" t="s">
        <v>1193</v>
      </c>
      <c r="B953" s="1" t="s">
        <v>135</v>
      </c>
      <c r="C953" s="1" t="s">
        <v>14</v>
      </c>
      <c r="D953" s="1" t="s">
        <v>15</v>
      </c>
      <c r="E953" s="1" t="s">
        <v>46</v>
      </c>
      <c r="F953" s="1" t="s">
        <v>39</v>
      </c>
      <c r="G953" s="1" t="s">
        <v>18</v>
      </c>
      <c r="H953" s="1">
        <v>12290</v>
      </c>
      <c r="I953" s="1" t="s">
        <v>19</v>
      </c>
      <c r="J953" s="1">
        <v>0.2</v>
      </c>
      <c r="K953" s="1">
        <v>14000</v>
      </c>
      <c r="L953" s="2">
        <v>45338</v>
      </c>
    </row>
    <row r="954" spans="1:12" x14ac:dyDescent="0.35">
      <c r="A954" s="1" t="s">
        <v>1194</v>
      </c>
      <c r="B954" s="1" t="s">
        <v>600</v>
      </c>
      <c r="C954" s="1" t="s">
        <v>30</v>
      </c>
      <c r="D954" s="1" t="s">
        <v>31</v>
      </c>
      <c r="E954" s="1" t="s">
        <v>46</v>
      </c>
      <c r="F954" s="1" t="s">
        <v>25</v>
      </c>
      <c r="G954" s="1" t="s">
        <v>26</v>
      </c>
      <c r="H954" s="1">
        <v>17772</v>
      </c>
      <c r="I954" s="1" t="s">
        <v>33</v>
      </c>
      <c r="J954" s="1">
        <v>0.3</v>
      </c>
      <c r="K954" s="1">
        <v>17000</v>
      </c>
      <c r="L954" s="2">
        <v>45306</v>
      </c>
    </row>
    <row r="955" spans="1:12" x14ac:dyDescent="0.35">
      <c r="A955" s="1" t="s">
        <v>1195</v>
      </c>
      <c r="B955" s="1" t="s">
        <v>652</v>
      </c>
      <c r="C955" s="1" t="s">
        <v>30</v>
      </c>
      <c r="D955" s="1" t="s">
        <v>31</v>
      </c>
      <c r="E955" s="1" t="s">
        <v>32</v>
      </c>
      <c r="F955" s="1" t="s">
        <v>25</v>
      </c>
      <c r="G955" s="1" t="s">
        <v>18</v>
      </c>
      <c r="H955" s="1">
        <v>18021</v>
      </c>
      <c r="I955" s="1"/>
      <c r="J955" s="1"/>
      <c r="K955" s="1">
        <v>17000</v>
      </c>
      <c r="L955" s="2">
        <v>45347</v>
      </c>
    </row>
    <row r="956" spans="1:12" x14ac:dyDescent="0.35">
      <c r="A956" s="1" t="s">
        <v>1196</v>
      </c>
      <c r="B956" s="1" t="s">
        <v>414</v>
      </c>
      <c r="C956" s="1" t="s">
        <v>44</v>
      </c>
      <c r="D956" s="1" t="s">
        <v>45</v>
      </c>
      <c r="E956" s="1" t="s">
        <v>32</v>
      </c>
      <c r="F956" s="1" t="s">
        <v>17</v>
      </c>
      <c r="G956" s="1" t="s">
        <v>26</v>
      </c>
      <c r="H956" s="1">
        <v>12984</v>
      </c>
      <c r="I956" s="1" t="s">
        <v>22</v>
      </c>
      <c r="J956" s="1">
        <v>0.1</v>
      </c>
      <c r="K956" s="1">
        <v>13000</v>
      </c>
      <c r="L956" s="2">
        <v>45348</v>
      </c>
    </row>
    <row r="957" spans="1:12" x14ac:dyDescent="0.35">
      <c r="A957" s="1" t="s">
        <v>1197</v>
      </c>
      <c r="B957" s="1" t="s">
        <v>186</v>
      </c>
      <c r="C957" s="1" t="s">
        <v>44</v>
      </c>
      <c r="D957" s="1" t="s">
        <v>45</v>
      </c>
      <c r="E957" s="1" t="s">
        <v>16</v>
      </c>
      <c r="F957" s="1" t="s">
        <v>17</v>
      </c>
      <c r="G957" s="1" t="s">
        <v>18</v>
      </c>
      <c r="H957" s="1">
        <v>12586</v>
      </c>
      <c r="I957" s="1" t="s">
        <v>33</v>
      </c>
      <c r="J957" s="1">
        <v>0.3</v>
      </c>
      <c r="K957" s="1">
        <v>13000</v>
      </c>
      <c r="L957" s="2">
        <v>45300</v>
      </c>
    </row>
    <row r="958" spans="1:12" x14ac:dyDescent="0.35">
      <c r="A958" s="1" t="s">
        <v>1198</v>
      </c>
      <c r="B958" s="1" t="s">
        <v>483</v>
      </c>
      <c r="C958" s="1" t="s">
        <v>44</v>
      </c>
      <c r="D958" s="1" t="s">
        <v>45</v>
      </c>
      <c r="E958" s="1" t="s">
        <v>16</v>
      </c>
      <c r="F958" s="1" t="s">
        <v>17</v>
      </c>
      <c r="G958" s="1" t="s">
        <v>36</v>
      </c>
      <c r="H958" s="1">
        <v>11828</v>
      </c>
      <c r="I958" s="1" t="s">
        <v>33</v>
      </c>
      <c r="J958" s="1">
        <v>0.3</v>
      </c>
      <c r="K958" s="1">
        <v>13000</v>
      </c>
      <c r="L958" s="2">
        <v>45300</v>
      </c>
    </row>
    <row r="959" spans="1:12" x14ac:dyDescent="0.35">
      <c r="A959" s="1" t="s">
        <v>1199</v>
      </c>
      <c r="B959" s="1" t="s">
        <v>190</v>
      </c>
      <c r="C959" s="1" t="s">
        <v>14</v>
      </c>
      <c r="D959" s="1" t="s">
        <v>15</v>
      </c>
      <c r="E959" s="1" t="s">
        <v>46</v>
      </c>
      <c r="F959" s="1" t="s">
        <v>25</v>
      </c>
      <c r="G959" s="1" t="s">
        <v>18</v>
      </c>
      <c r="H959" s="1">
        <v>15488</v>
      </c>
      <c r="I959" s="1"/>
      <c r="J959" s="1"/>
      <c r="K959" s="1">
        <v>14000</v>
      </c>
      <c r="L959" s="2">
        <v>45321</v>
      </c>
    </row>
    <row r="960" spans="1:12" x14ac:dyDescent="0.35">
      <c r="A960" s="1" t="s">
        <v>1200</v>
      </c>
      <c r="B960" s="1" t="s">
        <v>186</v>
      </c>
      <c r="C960" s="1" t="s">
        <v>30</v>
      </c>
      <c r="D960" s="1" t="s">
        <v>31</v>
      </c>
      <c r="E960" s="1" t="s">
        <v>32</v>
      </c>
      <c r="F960" s="1" t="s">
        <v>17</v>
      </c>
      <c r="G960" s="1" t="s">
        <v>26</v>
      </c>
      <c r="H960" s="1">
        <v>15642</v>
      </c>
      <c r="I960" s="1" t="s">
        <v>27</v>
      </c>
      <c r="J960" s="1"/>
      <c r="K960" s="1">
        <v>17000</v>
      </c>
      <c r="L960" s="2">
        <v>45349</v>
      </c>
    </row>
    <row r="961" spans="1:12" x14ac:dyDescent="0.35">
      <c r="A961" s="1" t="s">
        <v>1201</v>
      </c>
      <c r="B961" s="1" t="s">
        <v>720</v>
      </c>
      <c r="C961" s="1" t="s">
        <v>44</v>
      </c>
      <c r="D961" s="1" t="s">
        <v>45</v>
      </c>
      <c r="E961" s="1" t="s">
        <v>32</v>
      </c>
      <c r="F961" s="1" t="s">
        <v>17</v>
      </c>
      <c r="G961" s="1" t="s">
        <v>26</v>
      </c>
      <c r="H961" s="1">
        <v>13003</v>
      </c>
      <c r="I961" s="1" t="s">
        <v>19</v>
      </c>
      <c r="J961" s="1">
        <v>0.2</v>
      </c>
      <c r="K961" s="1">
        <v>13000</v>
      </c>
      <c r="L961" s="2">
        <v>45329</v>
      </c>
    </row>
    <row r="962" spans="1:12" x14ac:dyDescent="0.35">
      <c r="A962" s="1" t="s">
        <v>1202</v>
      </c>
      <c r="B962" s="1" t="s">
        <v>752</v>
      </c>
      <c r="C962" s="1" t="s">
        <v>61</v>
      </c>
      <c r="D962" s="1" t="s">
        <v>62</v>
      </c>
      <c r="E962" s="1" t="s">
        <v>46</v>
      </c>
      <c r="F962" s="1" t="s">
        <v>25</v>
      </c>
      <c r="G962" s="1" t="s">
        <v>26</v>
      </c>
      <c r="H962" s="1">
        <v>8753</v>
      </c>
      <c r="I962" s="1" t="s">
        <v>19</v>
      </c>
      <c r="J962" s="1">
        <v>0.2</v>
      </c>
      <c r="K962" s="1">
        <v>9000</v>
      </c>
      <c r="L962" s="2">
        <v>45307</v>
      </c>
    </row>
    <row r="963" spans="1:12" x14ac:dyDescent="0.35">
      <c r="A963" s="1" t="s">
        <v>1203</v>
      </c>
      <c r="B963" s="1" t="s">
        <v>666</v>
      </c>
      <c r="C963" s="1" t="s">
        <v>44</v>
      </c>
      <c r="D963" s="1" t="s">
        <v>45</v>
      </c>
      <c r="E963" s="1" t="s">
        <v>16</v>
      </c>
      <c r="F963" s="1" t="s">
        <v>25</v>
      </c>
      <c r="G963" s="1" t="s">
        <v>26</v>
      </c>
      <c r="H963" s="1">
        <v>14679</v>
      </c>
      <c r="I963" s="1" t="s">
        <v>22</v>
      </c>
      <c r="J963" s="1">
        <v>0.1</v>
      </c>
      <c r="K963" s="1">
        <v>13000</v>
      </c>
      <c r="L963" s="2">
        <v>45318</v>
      </c>
    </row>
    <row r="964" spans="1:12" x14ac:dyDescent="0.35">
      <c r="A964" s="1" t="s">
        <v>1204</v>
      </c>
      <c r="B964" s="1" t="s">
        <v>161</v>
      </c>
      <c r="C964" s="1" t="s">
        <v>61</v>
      </c>
      <c r="D964" s="1" t="s">
        <v>62</v>
      </c>
      <c r="E964" s="1" t="s">
        <v>16</v>
      </c>
      <c r="F964" s="1" t="s">
        <v>39</v>
      </c>
      <c r="G964" s="1" t="s">
        <v>18</v>
      </c>
      <c r="H964" s="1">
        <v>8743</v>
      </c>
      <c r="I964" s="1" t="s">
        <v>27</v>
      </c>
      <c r="J964" s="1"/>
      <c r="K964" s="1">
        <v>9000</v>
      </c>
      <c r="L964" s="2">
        <v>45317</v>
      </c>
    </row>
    <row r="965" spans="1:12" x14ac:dyDescent="0.35">
      <c r="A965" s="1" t="s">
        <v>1205</v>
      </c>
      <c r="B965" s="1" t="s">
        <v>157</v>
      </c>
      <c r="C965" s="1" t="s">
        <v>14</v>
      </c>
      <c r="D965" s="1" t="s">
        <v>15</v>
      </c>
      <c r="E965" s="1" t="s">
        <v>46</v>
      </c>
      <c r="F965" s="1" t="s">
        <v>17</v>
      </c>
      <c r="G965" s="1" t="s">
        <v>18</v>
      </c>
      <c r="H965" s="1">
        <v>12340</v>
      </c>
      <c r="I965" s="1" t="s">
        <v>27</v>
      </c>
      <c r="J965" s="1"/>
      <c r="K965" s="1">
        <v>14000</v>
      </c>
      <c r="L965" s="2">
        <v>45340</v>
      </c>
    </row>
    <row r="966" spans="1:12" x14ac:dyDescent="0.35">
      <c r="A966" s="1" t="s">
        <v>1206</v>
      </c>
      <c r="B966" s="1" t="s">
        <v>190</v>
      </c>
      <c r="C966" s="1" t="s">
        <v>61</v>
      </c>
      <c r="D966" s="1" t="s">
        <v>62</v>
      </c>
      <c r="E966" s="1" t="s">
        <v>32</v>
      </c>
      <c r="F966" s="1" t="s">
        <v>25</v>
      </c>
      <c r="G966" s="1" t="s">
        <v>36</v>
      </c>
      <c r="H966" s="1">
        <v>8211</v>
      </c>
      <c r="I966" s="1" t="s">
        <v>19</v>
      </c>
      <c r="J966" s="1">
        <v>0.2</v>
      </c>
      <c r="K966" s="1">
        <v>9000</v>
      </c>
      <c r="L966" s="2">
        <v>45333</v>
      </c>
    </row>
    <row r="967" spans="1:12" x14ac:dyDescent="0.35">
      <c r="A967" s="1" t="s">
        <v>1207</v>
      </c>
      <c r="B967" s="1" t="s">
        <v>43</v>
      </c>
      <c r="C967" s="1" t="s">
        <v>61</v>
      </c>
      <c r="D967" s="1" t="s">
        <v>62</v>
      </c>
      <c r="E967" s="1" t="s">
        <v>16</v>
      </c>
      <c r="F967" s="1" t="s">
        <v>17</v>
      </c>
      <c r="G967" s="1" t="s">
        <v>18</v>
      </c>
      <c r="H967" s="1">
        <v>9880</v>
      </c>
      <c r="I967" s="1"/>
      <c r="J967" s="1"/>
      <c r="K967" s="1">
        <v>9000</v>
      </c>
      <c r="L967" s="2">
        <v>45346</v>
      </c>
    </row>
    <row r="968" spans="1:12" x14ac:dyDescent="0.35">
      <c r="A968" s="1" t="s">
        <v>1208</v>
      </c>
      <c r="B968" s="1" t="s">
        <v>233</v>
      </c>
      <c r="C968" s="1" t="s">
        <v>14</v>
      </c>
      <c r="D968" s="1" t="s">
        <v>15</v>
      </c>
      <c r="E968" s="1" t="s">
        <v>46</v>
      </c>
      <c r="F968" s="1" t="s">
        <v>17</v>
      </c>
      <c r="G968" s="1" t="s">
        <v>18</v>
      </c>
      <c r="H968" s="1">
        <v>15580</v>
      </c>
      <c r="I968" s="1"/>
      <c r="J968" s="1"/>
      <c r="K968" s="1">
        <v>14000</v>
      </c>
      <c r="L968" s="2">
        <v>45303</v>
      </c>
    </row>
    <row r="969" spans="1:12" x14ac:dyDescent="0.35">
      <c r="A969" s="1" t="s">
        <v>1209</v>
      </c>
      <c r="B969" s="1" t="s">
        <v>140</v>
      </c>
      <c r="C969" s="1" t="s">
        <v>30</v>
      </c>
      <c r="D969" s="1" t="s">
        <v>31</v>
      </c>
      <c r="E969" s="1" t="s">
        <v>16</v>
      </c>
      <c r="F969" s="1" t="s">
        <v>17</v>
      </c>
      <c r="G969" s="1" t="s">
        <v>26</v>
      </c>
      <c r="H969" s="1">
        <v>17594</v>
      </c>
      <c r="I969" s="1" t="s">
        <v>22</v>
      </c>
      <c r="J969" s="1">
        <v>0.1</v>
      </c>
      <c r="K969" s="1">
        <v>17000</v>
      </c>
      <c r="L969" s="2">
        <v>45347</v>
      </c>
    </row>
    <row r="970" spans="1:12" x14ac:dyDescent="0.35">
      <c r="A970" s="1" t="s">
        <v>1210</v>
      </c>
      <c r="B970" s="1" t="s">
        <v>13</v>
      </c>
      <c r="C970" s="1" t="s">
        <v>61</v>
      </c>
      <c r="D970" s="1" t="s">
        <v>62</v>
      </c>
      <c r="E970" s="1" t="s">
        <v>16</v>
      </c>
      <c r="F970" s="1" t="s">
        <v>17</v>
      </c>
      <c r="G970" s="1" t="s">
        <v>26</v>
      </c>
      <c r="H970" s="1">
        <v>7133</v>
      </c>
      <c r="I970" s="1" t="s">
        <v>33</v>
      </c>
      <c r="J970" s="1">
        <v>0.3</v>
      </c>
      <c r="K970" s="1">
        <v>9000</v>
      </c>
      <c r="L970" s="2">
        <v>45319</v>
      </c>
    </row>
    <row r="971" spans="1:12" x14ac:dyDescent="0.35">
      <c r="A971" s="1" t="s">
        <v>1211</v>
      </c>
      <c r="B971" s="1" t="s">
        <v>1073</v>
      </c>
      <c r="C971" s="1" t="s">
        <v>44</v>
      </c>
      <c r="D971" s="1" t="s">
        <v>45</v>
      </c>
      <c r="E971" s="1" t="s">
        <v>16</v>
      </c>
      <c r="F971" s="1" t="s">
        <v>25</v>
      </c>
      <c r="G971" s="1" t="s">
        <v>26</v>
      </c>
      <c r="H971" s="1">
        <v>14607</v>
      </c>
      <c r="I971" s="1" t="s">
        <v>33</v>
      </c>
      <c r="J971" s="1">
        <v>0.3</v>
      </c>
      <c r="K971" s="1">
        <v>13000</v>
      </c>
      <c r="L971" s="2">
        <v>45339</v>
      </c>
    </row>
    <row r="972" spans="1:12" x14ac:dyDescent="0.35">
      <c r="A972" s="1" t="s">
        <v>1212</v>
      </c>
      <c r="B972" s="1" t="s">
        <v>987</v>
      </c>
      <c r="C972" s="1" t="s">
        <v>30</v>
      </c>
      <c r="D972" s="1" t="s">
        <v>31</v>
      </c>
      <c r="E972" s="1" t="s">
        <v>32</v>
      </c>
      <c r="F972" s="1" t="s">
        <v>25</v>
      </c>
      <c r="G972" s="1" t="s">
        <v>36</v>
      </c>
      <c r="H972" s="1">
        <v>16497</v>
      </c>
      <c r="I972" s="1"/>
      <c r="J972" s="1"/>
      <c r="K972" s="1">
        <v>17000</v>
      </c>
      <c r="L972" s="2">
        <v>45331</v>
      </c>
    </row>
    <row r="973" spans="1:12" x14ac:dyDescent="0.35">
      <c r="A973" s="1" t="s">
        <v>1213</v>
      </c>
      <c r="B973" s="1" t="s">
        <v>125</v>
      </c>
      <c r="C973" s="1" t="s">
        <v>30</v>
      </c>
      <c r="D973" s="1" t="s">
        <v>31</v>
      </c>
      <c r="E973" s="1" t="s">
        <v>32</v>
      </c>
      <c r="F973" s="1" t="s">
        <v>39</v>
      </c>
      <c r="G973" s="1" t="s">
        <v>26</v>
      </c>
      <c r="H973" s="1">
        <v>17887</v>
      </c>
      <c r="I973" s="1" t="s">
        <v>22</v>
      </c>
      <c r="J973" s="1">
        <v>0.1</v>
      </c>
      <c r="K973" s="1">
        <v>17000</v>
      </c>
      <c r="L973" s="2">
        <v>45327</v>
      </c>
    </row>
    <row r="974" spans="1:12" x14ac:dyDescent="0.35">
      <c r="A974" s="1" t="s">
        <v>1214</v>
      </c>
      <c r="B974" s="1" t="s">
        <v>276</v>
      </c>
      <c r="C974" s="1" t="s">
        <v>44</v>
      </c>
      <c r="D974" s="1" t="s">
        <v>45</v>
      </c>
      <c r="E974" s="1" t="s">
        <v>32</v>
      </c>
      <c r="F974" s="1" t="s">
        <v>17</v>
      </c>
      <c r="G974" s="1" t="s">
        <v>18</v>
      </c>
      <c r="H974" s="1">
        <v>13210</v>
      </c>
      <c r="I974" s="1" t="s">
        <v>22</v>
      </c>
      <c r="J974" s="1">
        <v>0.1</v>
      </c>
      <c r="K974" s="1">
        <v>13000</v>
      </c>
      <c r="L974" s="2">
        <v>45333</v>
      </c>
    </row>
    <row r="975" spans="1:12" x14ac:dyDescent="0.35">
      <c r="A975" s="1" t="s">
        <v>1215</v>
      </c>
      <c r="B975" s="1" t="s">
        <v>483</v>
      </c>
      <c r="C975" s="1" t="s">
        <v>44</v>
      </c>
      <c r="D975" s="1" t="s">
        <v>45</v>
      </c>
      <c r="E975" s="1" t="s">
        <v>16</v>
      </c>
      <c r="F975" s="1" t="s">
        <v>25</v>
      </c>
      <c r="G975" s="1" t="s">
        <v>36</v>
      </c>
      <c r="H975" s="1">
        <v>12444</v>
      </c>
      <c r="I975" s="1" t="s">
        <v>33</v>
      </c>
      <c r="J975" s="1">
        <v>0.3</v>
      </c>
      <c r="K975" s="1">
        <v>13000</v>
      </c>
      <c r="L975" s="2">
        <v>45324</v>
      </c>
    </row>
    <row r="976" spans="1:12" x14ac:dyDescent="0.35">
      <c r="A976" s="1" t="s">
        <v>1216</v>
      </c>
      <c r="B976" s="1" t="s">
        <v>90</v>
      </c>
      <c r="C976" s="1" t="s">
        <v>30</v>
      </c>
      <c r="D976" s="1" t="s">
        <v>31</v>
      </c>
      <c r="E976" s="1" t="s">
        <v>32</v>
      </c>
      <c r="F976" s="1" t="s">
        <v>25</v>
      </c>
      <c r="G976" s="1" t="s">
        <v>36</v>
      </c>
      <c r="H976" s="1">
        <v>16414</v>
      </c>
      <c r="I976" s="1"/>
      <c r="J976" s="1"/>
      <c r="K976" s="1">
        <v>17000</v>
      </c>
      <c r="L976" s="2">
        <v>45323</v>
      </c>
    </row>
    <row r="977" spans="1:12" x14ac:dyDescent="0.35">
      <c r="A977" s="1" t="s">
        <v>1217</v>
      </c>
      <c r="B977" s="1" t="s">
        <v>168</v>
      </c>
      <c r="C977" s="1" t="s">
        <v>14</v>
      </c>
      <c r="D977" s="1" t="s">
        <v>15</v>
      </c>
      <c r="E977" s="1" t="s">
        <v>46</v>
      </c>
      <c r="F977" s="1" t="s">
        <v>39</v>
      </c>
      <c r="G977" s="1" t="s">
        <v>26</v>
      </c>
      <c r="H977" s="1">
        <v>14778</v>
      </c>
      <c r="I977" s="1" t="s">
        <v>27</v>
      </c>
      <c r="J977" s="1"/>
      <c r="K977" s="1">
        <v>14000</v>
      </c>
      <c r="L977" s="2">
        <v>45349</v>
      </c>
    </row>
    <row r="978" spans="1:12" x14ac:dyDescent="0.35">
      <c r="A978" s="1" t="s">
        <v>1218</v>
      </c>
      <c r="B978" s="1" t="s">
        <v>48</v>
      </c>
      <c r="C978" s="1" t="s">
        <v>30</v>
      </c>
      <c r="D978" s="1" t="s">
        <v>31</v>
      </c>
      <c r="E978" s="1" t="s">
        <v>16</v>
      </c>
      <c r="F978" s="1" t="s">
        <v>39</v>
      </c>
      <c r="G978" s="1" t="s">
        <v>18</v>
      </c>
      <c r="H978" s="1">
        <v>15771</v>
      </c>
      <c r="I978" s="1"/>
      <c r="J978" s="1"/>
      <c r="K978" s="1">
        <v>17000</v>
      </c>
      <c r="L978" s="2">
        <v>45297</v>
      </c>
    </row>
    <row r="979" spans="1:12" x14ac:dyDescent="0.35">
      <c r="A979" s="1" t="s">
        <v>1219</v>
      </c>
      <c r="B979" s="1" t="s">
        <v>66</v>
      </c>
      <c r="C979" s="1" t="s">
        <v>44</v>
      </c>
      <c r="D979" s="1" t="s">
        <v>45</v>
      </c>
      <c r="E979" s="1" t="s">
        <v>46</v>
      </c>
      <c r="F979" s="1" t="s">
        <v>25</v>
      </c>
      <c r="G979" s="1" t="s">
        <v>18</v>
      </c>
      <c r="H979" s="1">
        <v>11674</v>
      </c>
      <c r="I979" s="1" t="s">
        <v>33</v>
      </c>
      <c r="J979" s="1">
        <v>0.3</v>
      </c>
      <c r="K979" s="1">
        <v>13000</v>
      </c>
      <c r="L979" s="2">
        <v>45299</v>
      </c>
    </row>
    <row r="980" spans="1:12" x14ac:dyDescent="0.35">
      <c r="A980" s="1" t="s">
        <v>1220</v>
      </c>
      <c r="B980" s="1" t="s">
        <v>153</v>
      </c>
      <c r="C980" s="1" t="s">
        <v>61</v>
      </c>
      <c r="D980" s="1" t="s">
        <v>62</v>
      </c>
      <c r="E980" s="1" t="s">
        <v>32</v>
      </c>
      <c r="F980" s="1" t="s">
        <v>25</v>
      </c>
      <c r="G980" s="1" t="s">
        <v>26</v>
      </c>
      <c r="H980" s="1">
        <v>10899</v>
      </c>
      <c r="I980" s="1" t="s">
        <v>22</v>
      </c>
      <c r="J980" s="1">
        <v>0.1</v>
      </c>
      <c r="K980" s="1">
        <v>9000</v>
      </c>
      <c r="L980" s="2">
        <v>45310</v>
      </c>
    </row>
    <row r="981" spans="1:12" x14ac:dyDescent="0.35">
      <c r="A981" s="1" t="s">
        <v>1221</v>
      </c>
      <c r="B981" s="1" t="s">
        <v>274</v>
      </c>
      <c r="C981" s="1" t="s">
        <v>44</v>
      </c>
      <c r="D981" s="1" t="s">
        <v>45</v>
      </c>
      <c r="E981" s="1" t="s">
        <v>46</v>
      </c>
      <c r="F981" s="1" t="s">
        <v>17</v>
      </c>
      <c r="G981" s="1" t="s">
        <v>36</v>
      </c>
      <c r="H981" s="1">
        <v>12818</v>
      </c>
      <c r="I981" s="1" t="s">
        <v>22</v>
      </c>
      <c r="J981" s="1">
        <v>0.1</v>
      </c>
      <c r="K981" s="1">
        <v>13000</v>
      </c>
      <c r="L981" s="2">
        <v>45310</v>
      </c>
    </row>
    <row r="982" spans="1:12" x14ac:dyDescent="0.35">
      <c r="A982" s="1" t="s">
        <v>1222</v>
      </c>
      <c r="B982" s="1" t="s">
        <v>229</v>
      </c>
      <c r="C982" s="1" t="s">
        <v>14</v>
      </c>
      <c r="D982" s="1" t="s">
        <v>15</v>
      </c>
      <c r="E982" s="1" t="s">
        <v>32</v>
      </c>
      <c r="F982" s="1" t="s">
        <v>39</v>
      </c>
      <c r="G982" s="1" t="s">
        <v>26</v>
      </c>
      <c r="H982" s="1">
        <v>13375</v>
      </c>
      <c r="I982" s="1"/>
      <c r="J982" s="1"/>
      <c r="K982" s="1">
        <v>14000</v>
      </c>
      <c r="L982" s="2">
        <v>45329</v>
      </c>
    </row>
    <row r="983" spans="1:12" x14ac:dyDescent="0.35">
      <c r="A983" s="1" t="s">
        <v>1223</v>
      </c>
      <c r="B983" s="1" t="s">
        <v>150</v>
      </c>
      <c r="C983" s="1" t="s">
        <v>30</v>
      </c>
      <c r="D983" s="1" t="s">
        <v>31</v>
      </c>
      <c r="E983" s="1" t="s">
        <v>46</v>
      </c>
      <c r="F983" s="1" t="s">
        <v>39</v>
      </c>
      <c r="G983" s="1" t="s">
        <v>26</v>
      </c>
      <c r="H983" s="1">
        <v>17854</v>
      </c>
      <c r="I983" s="1" t="s">
        <v>27</v>
      </c>
      <c r="J983" s="1"/>
      <c r="K983" s="1">
        <v>17000</v>
      </c>
      <c r="L983" s="2">
        <v>45345</v>
      </c>
    </row>
    <row r="984" spans="1:12" x14ac:dyDescent="0.35">
      <c r="A984" s="1" t="s">
        <v>1224</v>
      </c>
      <c r="B984" s="1" t="s">
        <v>544</v>
      </c>
      <c r="C984" s="1" t="s">
        <v>61</v>
      </c>
      <c r="D984" s="1" t="s">
        <v>62</v>
      </c>
      <c r="E984" s="1" t="s">
        <v>46</v>
      </c>
      <c r="F984" s="1" t="s">
        <v>39</v>
      </c>
      <c r="G984" s="1" t="s">
        <v>18</v>
      </c>
      <c r="H984" s="1">
        <v>10679</v>
      </c>
      <c r="I984" s="1" t="s">
        <v>33</v>
      </c>
      <c r="J984" s="1">
        <v>0.3</v>
      </c>
      <c r="K984" s="1">
        <v>9000</v>
      </c>
      <c r="L984" s="2">
        <v>45302</v>
      </c>
    </row>
    <row r="985" spans="1:12" x14ac:dyDescent="0.35">
      <c r="A985" s="1" t="s">
        <v>1225</v>
      </c>
      <c r="B985" s="1" t="s">
        <v>1073</v>
      </c>
      <c r="C985" s="1" t="s">
        <v>44</v>
      </c>
      <c r="D985" s="1" t="s">
        <v>45</v>
      </c>
      <c r="E985" s="1" t="s">
        <v>46</v>
      </c>
      <c r="F985" s="1" t="s">
        <v>17</v>
      </c>
      <c r="G985" s="1" t="s">
        <v>36</v>
      </c>
      <c r="H985" s="1">
        <v>14152</v>
      </c>
      <c r="I985" s="1" t="s">
        <v>22</v>
      </c>
      <c r="J985" s="1">
        <v>0.1</v>
      </c>
      <c r="K985" s="1">
        <v>13000</v>
      </c>
      <c r="L985" s="2">
        <v>45301</v>
      </c>
    </row>
    <row r="986" spans="1:12" x14ac:dyDescent="0.35">
      <c r="A986" s="1" t="s">
        <v>1226</v>
      </c>
      <c r="B986" s="1" t="s">
        <v>1105</v>
      </c>
      <c r="C986" s="1" t="s">
        <v>61</v>
      </c>
      <c r="D986" s="1" t="s">
        <v>62</v>
      </c>
      <c r="E986" s="1" t="s">
        <v>32</v>
      </c>
      <c r="F986" s="1" t="s">
        <v>39</v>
      </c>
      <c r="G986" s="1" t="s">
        <v>18</v>
      </c>
      <c r="H986" s="1">
        <v>9915</v>
      </c>
      <c r="I986" s="1" t="s">
        <v>27</v>
      </c>
      <c r="J986" s="1"/>
      <c r="K986" s="1">
        <v>9000</v>
      </c>
      <c r="L986" s="2">
        <v>45310</v>
      </c>
    </row>
    <row r="987" spans="1:12" x14ac:dyDescent="0.35">
      <c r="A987" s="1" t="s">
        <v>1227</v>
      </c>
      <c r="B987" s="1" t="s">
        <v>175</v>
      </c>
      <c r="C987" s="1" t="s">
        <v>44</v>
      </c>
      <c r="D987" s="1" t="s">
        <v>45</v>
      </c>
      <c r="E987" s="1" t="s">
        <v>32</v>
      </c>
      <c r="F987" s="1" t="s">
        <v>25</v>
      </c>
      <c r="G987" s="1" t="s">
        <v>18</v>
      </c>
      <c r="H987" s="1">
        <v>11168</v>
      </c>
      <c r="I987" s="1" t="s">
        <v>33</v>
      </c>
      <c r="J987" s="1">
        <v>0.3</v>
      </c>
      <c r="K987" s="1">
        <v>13000</v>
      </c>
      <c r="L987" s="2">
        <v>45328</v>
      </c>
    </row>
    <row r="988" spans="1:12" x14ac:dyDescent="0.35">
      <c r="A988" s="1" t="s">
        <v>1228</v>
      </c>
      <c r="B988" s="1" t="s">
        <v>429</v>
      </c>
      <c r="C988" s="1" t="s">
        <v>30</v>
      </c>
      <c r="D988" s="1" t="s">
        <v>31</v>
      </c>
      <c r="E988" s="1" t="s">
        <v>46</v>
      </c>
      <c r="F988" s="1" t="s">
        <v>25</v>
      </c>
      <c r="G988" s="1" t="s">
        <v>18</v>
      </c>
      <c r="H988" s="1">
        <v>17303</v>
      </c>
      <c r="I988" s="1" t="s">
        <v>22</v>
      </c>
      <c r="J988" s="1">
        <v>0.1</v>
      </c>
      <c r="K988" s="1">
        <v>17000</v>
      </c>
      <c r="L988" s="2">
        <v>45334</v>
      </c>
    </row>
    <row r="989" spans="1:12" x14ac:dyDescent="0.35">
      <c r="A989" s="1" t="s">
        <v>1229</v>
      </c>
      <c r="B989" s="1" t="s">
        <v>282</v>
      </c>
      <c r="C989" s="1" t="s">
        <v>44</v>
      </c>
      <c r="D989" s="1" t="s">
        <v>45</v>
      </c>
      <c r="E989" s="1" t="s">
        <v>46</v>
      </c>
      <c r="F989" s="1" t="s">
        <v>17</v>
      </c>
      <c r="G989" s="1" t="s">
        <v>26</v>
      </c>
      <c r="H989" s="1">
        <v>14995</v>
      </c>
      <c r="I989" s="1" t="s">
        <v>19</v>
      </c>
      <c r="J989" s="1">
        <v>0.2</v>
      </c>
      <c r="K989" s="1">
        <v>13000</v>
      </c>
      <c r="L989" s="2">
        <v>45326</v>
      </c>
    </row>
    <row r="990" spans="1:12" x14ac:dyDescent="0.35">
      <c r="A990" s="1" t="s">
        <v>1230</v>
      </c>
      <c r="B990" s="1" t="s">
        <v>222</v>
      </c>
      <c r="C990" s="1" t="s">
        <v>14</v>
      </c>
      <c r="D990" s="1" t="s">
        <v>15</v>
      </c>
      <c r="E990" s="1" t="s">
        <v>46</v>
      </c>
      <c r="F990" s="1" t="s">
        <v>17</v>
      </c>
      <c r="G990" s="1" t="s">
        <v>18</v>
      </c>
      <c r="H990" s="1">
        <v>15882</v>
      </c>
      <c r="I990" s="1"/>
      <c r="J990" s="1"/>
      <c r="K990" s="1">
        <v>14000</v>
      </c>
      <c r="L990" s="2">
        <v>45351</v>
      </c>
    </row>
    <row r="991" spans="1:12" x14ac:dyDescent="0.35">
      <c r="A991" s="1" t="s">
        <v>1231</v>
      </c>
      <c r="B991" s="1" t="s">
        <v>728</v>
      </c>
      <c r="C991" s="1" t="s">
        <v>14</v>
      </c>
      <c r="D991" s="1" t="s">
        <v>15</v>
      </c>
      <c r="E991" s="1" t="s">
        <v>16</v>
      </c>
      <c r="F991" s="1" t="s">
        <v>39</v>
      </c>
      <c r="G991" s="1" t="s">
        <v>26</v>
      </c>
      <c r="H991" s="1">
        <v>13356</v>
      </c>
      <c r="I991" s="1" t="s">
        <v>33</v>
      </c>
      <c r="J991" s="1">
        <v>0.3</v>
      </c>
      <c r="K991" s="1">
        <v>14000</v>
      </c>
      <c r="L991" s="2">
        <v>45322</v>
      </c>
    </row>
    <row r="992" spans="1:12" x14ac:dyDescent="0.35">
      <c r="A992" s="1" t="s">
        <v>1232</v>
      </c>
      <c r="B992" s="1" t="s">
        <v>111</v>
      </c>
      <c r="C992" s="1" t="s">
        <v>44</v>
      </c>
      <c r="D992" s="1" t="s">
        <v>45</v>
      </c>
      <c r="E992" s="1" t="s">
        <v>16</v>
      </c>
      <c r="F992" s="1" t="s">
        <v>39</v>
      </c>
      <c r="G992" s="1" t="s">
        <v>36</v>
      </c>
      <c r="H992" s="1">
        <v>12387</v>
      </c>
      <c r="I992" s="1" t="s">
        <v>22</v>
      </c>
      <c r="J992" s="1">
        <v>0.1</v>
      </c>
      <c r="K992" s="1">
        <v>13000</v>
      </c>
      <c r="L992" s="2">
        <v>45338</v>
      </c>
    </row>
    <row r="993" spans="1:12" x14ac:dyDescent="0.35">
      <c r="A993" s="1" t="s">
        <v>1233</v>
      </c>
      <c r="B993" s="1" t="s">
        <v>711</v>
      </c>
      <c r="C993" s="1" t="s">
        <v>44</v>
      </c>
      <c r="D993" s="1" t="s">
        <v>45</v>
      </c>
      <c r="E993" s="1" t="s">
        <v>16</v>
      </c>
      <c r="F993" s="1" t="s">
        <v>39</v>
      </c>
      <c r="G993" s="1" t="s">
        <v>18</v>
      </c>
      <c r="H993" s="1">
        <v>12261</v>
      </c>
      <c r="I993" s="1" t="s">
        <v>22</v>
      </c>
      <c r="J993" s="1">
        <v>0.1</v>
      </c>
      <c r="K993" s="1">
        <v>13000</v>
      </c>
      <c r="L993" s="2">
        <v>45317</v>
      </c>
    </row>
    <row r="994" spans="1:12" x14ac:dyDescent="0.35">
      <c r="A994" s="1" t="s">
        <v>1234</v>
      </c>
      <c r="B994" s="1" t="s">
        <v>837</v>
      </c>
      <c r="C994" s="1" t="s">
        <v>44</v>
      </c>
      <c r="D994" s="1" t="s">
        <v>45</v>
      </c>
      <c r="E994" s="1" t="s">
        <v>46</v>
      </c>
      <c r="F994" s="1" t="s">
        <v>17</v>
      </c>
      <c r="G994" s="1" t="s">
        <v>18</v>
      </c>
      <c r="H994" s="1">
        <v>12336</v>
      </c>
      <c r="I994" s="1" t="s">
        <v>22</v>
      </c>
      <c r="J994" s="1">
        <v>0.1</v>
      </c>
      <c r="K994" s="1">
        <v>13000</v>
      </c>
      <c r="L994" s="2">
        <v>45330</v>
      </c>
    </row>
    <row r="995" spans="1:12" x14ac:dyDescent="0.35">
      <c r="A995" s="1" t="s">
        <v>1235</v>
      </c>
      <c r="B995" s="1" t="s">
        <v>239</v>
      </c>
      <c r="C995" s="1" t="s">
        <v>44</v>
      </c>
      <c r="D995" s="1" t="s">
        <v>45</v>
      </c>
      <c r="E995" s="1" t="s">
        <v>46</v>
      </c>
      <c r="F995" s="1" t="s">
        <v>25</v>
      </c>
      <c r="G995" s="1" t="s">
        <v>18</v>
      </c>
      <c r="H995" s="1">
        <v>11342</v>
      </c>
      <c r="I995" s="1" t="s">
        <v>27</v>
      </c>
      <c r="J995" s="1"/>
      <c r="K995" s="1">
        <v>13000</v>
      </c>
      <c r="L995" s="2">
        <v>45346</v>
      </c>
    </row>
    <row r="996" spans="1:12" x14ac:dyDescent="0.35">
      <c r="A996" s="1" t="s">
        <v>1236</v>
      </c>
      <c r="B996" s="1" t="s">
        <v>332</v>
      </c>
      <c r="C996" s="1" t="s">
        <v>14</v>
      </c>
      <c r="D996" s="1" t="s">
        <v>15</v>
      </c>
      <c r="E996" s="1" t="s">
        <v>16</v>
      </c>
      <c r="F996" s="1" t="s">
        <v>17</v>
      </c>
      <c r="G996" s="1" t="s">
        <v>18</v>
      </c>
      <c r="H996" s="1">
        <v>14008</v>
      </c>
      <c r="I996" s="1" t="s">
        <v>33</v>
      </c>
      <c r="J996" s="1">
        <v>0.3</v>
      </c>
      <c r="K996" s="1">
        <v>14000</v>
      </c>
      <c r="L996" s="2">
        <v>45330</v>
      </c>
    </row>
    <row r="997" spans="1:12" x14ac:dyDescent="0.35">
      <c r="A997" s="1" t="s">
        <v>1237</v>
      </c>
      <c r="B997" s="1" t="s">
        <v>86</v>
      </c>
      <c r="C997" s="1" t="s">
        <v>14</v>
      </c>
      <c r="D997" s="1" t="s">
        <v>15</v>
      </c>
      <c r="E997" s="1" t="s">
        <v>16</v>
      </c>
      <c r="F997" s="1" t="s">
        <v>17</v>
      </c>
      <c r="G997" s="1" t="s">
        <v>36</v>
      </c>
      <c r="H997" s="1">
        <v>12605</v>
      </c>
      <c r="I997" s="1"/>
      <c r="J997" s="1"/>
      <c r="K997" s="1">
        <v>14000</v>
      </c>
      <c r="L997" s="2">
        <v>45315</v>
      </c>
    </row>
    <row r="998" spans="1:12" x14ac:dyDescent="0.35">
      <c r="A998" s="1" t="s">
        <v>1238</v>
      </c>
      <c r="B998" s="1" t="s">
        <v>474</v>
      </c>
      <c r="C998" s="1" t="s">
        <v>14</v>
      </c>
      <c r="D998" s="1" t="s">
        <v>15</v>
      </c>
      <c r="E998" s="1" t="s">
        <v>46</v>
      </c>
      <c r="F998" s="1" t="s">
        <v>17</v>
      </c>
      <c r="G998" s="1" t="s">
        <v>36</v>
      </c>
      <c r="H998" s="1">
        <v>13261</v>
      </c>
      <c r="I998" s="1"/>
      <c r="J998" s="1"/>
      <c r="K998" s="1">
        <v>14000</v>
      </c>
      <c r="L998" s="2">
        <v>45347</v>
      </c>
    </row>
    <row r="999" spans="1:12" x14ac:dyDescent="0.35">
      <c r="A999" s="1" t="s">
        <v>1239</v>
      </c>
      <c r="B999" s="1" t="s">
        <v>905</v>
      </c>
      <c r="C999" s="1" t="s">
        <v>44</v>
      </c>
      <c r="D999" s="1" t="s">
        <v>45</v>
      </c>
      <c r="E999" s="1" t="s">
        <v>16</v>
      </c>
      <c r="F999" s="1" t="s">
        <v>17</v>
      </c>
      <c r="G999" s="1" t="s">
        <v>26</v>
      </c>
      <c r="H999" s="1">
        <v>12702</v>
      </c>
      <c r="I999" s="1"/>
      <c r="J999" s="1"/>
      <c r="K999" s="1">
        <v>13000</v>
      </c>
      <c r="L999" s="2">
        <v>45310</v>
      </c>
    </row>
    <row r="1000" spans="1:12" x14ac:dyDescent="0.35">
      <c r="A1000" s="1" t="s">
        <v>1240</v>
      </c>
      <c r="B1000" s="1" t="s">
        <v>135</v>
      </c>
      <c r="C1000" s="1" t="s">
        <v>61</v>
      </c>
      <c r="D1000" s="1" t="s">
        <v>62</v>
      </c>
      <c r="E1000" s="1" t="s">
        <v>16</v>
      </c>
      <c r="F1000" s="1" t="s">
        <v>17</v>
      </c>
      <c r="G1000" s="1" t="s">
        <v>18</v>
      </c>
      <c r="H1000" s="1">
        <v>10422</v>
      </c>
      <c r="I1000" s="1" t="s">
        <v>27</v>
      </c>
      <c r="J1000" s="1"/>
      <c r="K1000" s="1">
        <v>9000</v>
      </c>
      <c r="L1000" s="2">
        <v>45330</v>
      </c>
    </row>
    <row r="1001" spans="1:12"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row>
  </sheetData>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E74A-BDC2-4BB4-9878-CEB97B711EC8}">
  <dimension ref="A1:N1001"/>
  <sheetViews>
    <sheetView topLeftCell="J1" workbookViewId="0">
      <selection activeCell="O1" sqref="O1"/>
    </sheetView>
  </sheetViews>
  <sheetFormatPr defaultRowHeight="14.5" x14ac:dyDescent="0.35"/>
  <cols>
    <col min="1" max="1" width="11.26953125" customWidth="1"/>
    <col min="2" max="2" width="14.36328125" customWidth="1"/>
    <col min="3" max="3" width="10.54296875" customWidth="1"/>
    <col min="4" max="4" width="13.6328125" customWidth="1"/>
    <col min="5" max="5" width="9.453125" customWidth="1"/>
    <col min="6" max="6" width="13.54296875" customWidth="1"/>
    <col min="7" max="7" width="10" customWidth="1"/>
    <col min="8" max="8" width="16.7265625" customWidth="1"/>
    <col min="9" max="9" width="14.7265625" customWidth="1"/>
    <col min="10" max="10" width="16.81640625" customWidth="1"/>
    <col min="11" max="11" width="15.1796875" customWidth="1"/>
    <col min="12" max="12" width="14.08984375" customWidth="1"/>
    <col min="14" max="14" width="18.08984375" customWidth="1"/>
    <col min="17" max="17" width="17.726562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N1" t="s">
        <v>1260</v>
      </c>
    </row>
    <row r="2" spans="1:14" x14ac:dyDescent="0.35">
      <c r="A2" s="1" t="s">
        <v>12</v>
      </c>
      <c r="B2" s="1" t="s">
        <v>13</v>
      </c>
      <c r="C2" s="1" t="s">
        <v>14</v>
      </c>
      <c r="D2" s="1" t="s">
        <v>15</v>
      </c>
      <c r="E2" s="1" t="s">
        <v>16</v>
      </c>
      <c r="F2" s="1" t="s">
        <v>17</v>
      </c>
      <c r="G2" s="1" t="s">
        <v>18</v>
      </c>
      <c r="H2" s="1">
        <v>12914</v>
      </c>
      <c r="I2" s="1" t="s">
        <v>19</v>
      </c>
      <c r="J2" s="1">
        <v>0.2</v>
      </c>
      <c r="K2" s="1">
        <v>14000</v>
      </c>
      <c r="L2" s="2">
        <v>45339</v>
      </c>
      <c r="N2" s="22">
        <v>-1620830452.9999931</v>
      </c>
    </row>
    <row r="3" spans="1:14" x14ac:dyDescent="0.35">
      <c r="A3" s="1" t="s">
        <v>20</v>
      </c>
      <c r="B3" s="1" t="s">
        <v>21</v>
      </c>
      <c r="C3" s="1" t="s">
        <v>14</v>
      </c>
      <c r="D3" s="1" t="s">
        <v>15</v>
      </c>
      <c r="E3" s="1" t="s">
        <v>16</v>
      </c>
      <c r="F3" s="1" t="s">
        <v>17</v>
      </c>
      <c r="G3" s="1" t="s">
        <v>18</v>
      </c>
      <c r="H3" s="1">
        <v>12122</v>
      </c>
      <c r="I3" s="1" t="s">
        <v>22</v>
      </c>
      <c r="J3" s="1">
        <v>0.1</v>
      </c>
      <c r="K3" s="1">
        <v>14000</v>
      </c>
      <c r="L3" s="2">
        <v>45305</v>
      </c>
    </row>
    <row r="4" spans="1:14" x14ac:dyDescent="0.35">
      <c r="A4" s="1" t="s">
        <v>23</v>
      </c>
      <c r="B4" s="1" t="s">
        <v>24</v>
      </c>
      <c r="C4" s="1" t="s">
        <v>14</v>
      </c>
      <c r="D4" s="1" t="s">
        <v>15</v>
      </c>
      <c r="E4" s="1" t="s">
        <v>16</v>
      </c>
      <c r="F4" s="1" t="s">
        <v>25</v>
      </c>
      <c r="G4" s="1" t="s">
        <v>26</v>
      </c>
      <c r="H4" s="1">
        <v>14661</v>
      </c>
      <c r="I4" s="1" t="s">
        <v>27</v>
      </c>
      <c r="J4" s="1"/>
      <c r="K4" s="1">
        <v>14000</v>
      </c>
      <c r="L4" s="2">
        <v>45318</v>
      </c>
    </row>
    <row r="5" spans="1:14" x14ac:dyDescent="0.35">
      <c r="A5" s="1" t="s">
        <v>28</v>
      </c>
      <c r="B5" s="1" t="s">
        <v>29</v>
      </c>
      <c r="C5" s="1" t="s">
        <v>30</v>
      </c>
      <c r="D5" s="1" t="s">
        <v>31</v>
      </c>
      <c r="E5" s="1" t="s">
        <v>32</v>
      </c>
      <c r="F5" s="1" t="s">
        <v>25</v>
      </c>
      <c r="G5" s="1" t="s">
        <v>26</v>
      </c>
      <c r="H5" s="1">
        <v>16731</v>
      </c>
      <c r="I5" s="1" t="s">
        <v>33</v>
      </c>
      <c r="J5" s="1">
        <v>0.3</v>
      </c>
      <c r="K5" s="1">
        <v>17000</v>
      </c>
      <c r="L5" s="2">
        <v>45309</v>
      </c>
    </row>
    <row r="6" spans="1:14" x14ac:dyDescent="0.35">
      <c r="A6" s="1" t="s">
        <v>34</v>
      </c>
      <c r="B6" s="1" t="s">
        <v>35</v>
      </c>
      <c r="C6" s="1" t="s">
        <v>30</v>
      </c>
      <c r="D6" s="1" t="s">
        <v>31</v>
      </c>
      <c r="E6" s="1" t="s">
        <v>32</v>
      </c>
      <c r="F6" s="1" t="s">
        <v>25</v>
      </c>
      <c r="G6" s="1" t="s">
        <v>36</v>
      </c>
      <c r="H6" s="1">
        <v>15396</v>
      </c>
      <c r="I6" s="1" t="s">
        <v>33</v>
      </c>
      <c r="J6" s="1">
        <v>0.3</v>
      </c>
      <c r="K6" s="1">
        <v>17000</v>
      </c>
      <c r="L6" s="2">
        <v>45346</v>
      </c>
    </row>
    <row r="7" spans="1:14" x14ac:dyDescent="0.35">
      <c r="A7" s="1" t="s">
        <v>37</v>
      </c>
      <c r="B7" s="1" t="s">
        <v>38</v>
      </c>
      <c r="C7" s="1" t="s">
        <v>30</v>
      </c>
      <c r="D7" s="1" t="s">
        <v>31</v>
      </c>
      <c r="E7" s="1" t="s">
        <v>32</v>
      </c>
      <c r="F7" s="1" t="s">
        <v>39</v>
      </c>
      <c r="G7" s="1" t="s">
        <v>36</v>
      </c>
      <c r="H7" s="1">
        <v>17196</v>
      </c>
      <c r="I7" s="1" t="s">
        <v>22</v>
      </c>
      <c r="J7" s="1">
        <v>0.1</v>
      </c>
      <c r="K7" s="1">
        <v>17000</v>
      </c>
      <c r="L7" s="2">
        <v>45351</v>
      </c>
    </row>
    <row r="8" spans="1:14" x14ac:dyDescent="0.35">
      <c r="A8" s="1" t="s">
        <v>40</v>
      </c>
      <c r="B8" s="1" t="s">
        <v>41</v>
      </c>
      <c r="C8" s="1" t="s">
        <v>30</v>
      </c>
      <c r="D8" s="1" t="s">
        <v>31</v>
      </c>
      <c r="E8" s="1" t="s">
        <v>16</v>
      </c>
      <c r="F8" s="1" t="s">
        <v>39</v>
      </c>
      <c r="G8" s="1" t="s">
        <v>36</v>
      </c>
      <c r="H8" s="1">
        <v>17364</v>
      </c>
      <c r="I8" s="1" t="s">
        <v>19</v>
      </c>
      <c r="J8" s="1">
        <v>0.2</v>
      </c>
      <c r="K8" s="1">
        <v>17000</v>
      </c>
      <c r="L8" s="2">
        <v>45337</v>
      </c>
    </row>
    <row r="9" spans="1:14" x14ac:dyDescent="0.35">
      <c r="A9" s="1" t="s">
        <v>42</v>
      </c>
      <c r="B9" s="1" t="s">
        <v>43</v>
      </c>
      <c r="C9" s="1" t="s">
        <v>44</v>
      </c>
      <c r="D9" s="1" t="s">
        <v>45</v>
      </c>
      <c r="E9" s="1" t="s">
        <v>46</v>
      </c>
      <c r="F9" s="1" t="s">
        <v>25</v>
      </c>
      <c r="G9" s="1" t="s">
        <v>18</v>
      </c>
      <c r="H9" s="1">
        <v>14549</v>
      </c>
      <c r="I9" s="1" t="s">
        <v>22</v>
      </c>
      <c r="J9" s="1">
        <v>0.1</v>
      </c>
      <c r="K9" s="1">
        <v>13000</v>
      </c>
      <c r="L9" s="2">
        <v>45316</v>
      </c>
    </row>
    <row r="10" spans="1:14" x14ac:dyDescent="0.35">
      <c r="A10" s="1" t="s">
        <v>47</v>
      </c>
      <c r="B10" s="1" t="s">
        <v>48</v>
      </c>
      <c r="C10" s="1" t="s">
        <v>30</v>
      </c>
      <c r="D10" s="1" t="s">
        <v>31</v>
      </c>
      <c r="E10" s="1" t="s">
        <v>32</v>
      </c>
      <c r="F10" s="1" t="s">
        <v>17</v>
      </c>
      <c r="G10" s="1" t="s">
        <v>36</v>
      </c>
      <c r="H10" s="1">
        <v>15858</v>
      </c>
      <c r="I10" s="1" t="s">
        <v>33</v>
      </c>
      <c r="J10" s="1">
        <v>0.3</v>
      </c>
      <c r="K10" s="1">
        <v>17000</v>
      </c>
      <c r="L10" s="2">
        <v>45336</v>
      </c>
    </row>
    <row r="11" spans="1:14" x14ac:dyDescent="0.35">
      <c r="A11" s="1" t="s">
        <v>49</v>
      </c>
      <c r="B11" s="1" t="s">
        <v>50</v>
      </c>
      <c r="C11" s="1" t="s">
        <v>14</v>
      </c>
      <c r="D11" s="1" t="s">
        <v>15</v>
      </c>
      <c r="E11" s="1" t="s">
        <v>16</v>
      </c>
      <c r="F11" s="1" t="s">
        <v>39</v>
      </c>
      <c r="G11" s="1" t="s">
        <v>18</v>
      </c>
      <c r="H11" s="1">
        <v>14187</v>
      </c>
      <c r="I11" s="1" t="s">
        <v>19</v>
      </c>
      <c r="J11" s="1">
        <v>0.2</v>
      </c>
      <c r="K11" s="1">
        <v>14000</v>
      </c>
      <c r="L11" s="2">
        <v>45302</v>
      </c>
    </row>
    <row r="12" spans="1:14" x14ac:dyDescent="0.35">
      <c r="A12" s="1" t="s">
        <v>51</v>
      </c>
      <c r="B12" s="1" t="s">
        <v>52</v>
      </c>
      <c r="C12" s="1" t="s">
        <v>30</v>
      </c>
      <c r="D12" s="1" t="s">
        <v>31</v>
      </c>
      <c r="E12" s="1" t="s">
        <v>16</v>
      </c>
      <c r="F12" s="1" t="s">
        <v>39</v>
      </c>
      <c r="G12" s="1" t="s">
        <v>26</v>
      </c>
      <c r="H12" s="1">
        <v>15899</v>
      </c>
      <c r="I12" s="1" t="s">
        <v>33</v>
      </c>
      <c r="J12" s="1">
        <v>0.3</v>
      </c>
      <c r="K12" s="1">
        <v>17000</v>
      </c>
      <c r="L12" s="2">
        <v>45345</v>
      </c>
    </row>
    <row r="13" spans="1:14" x14ac:dyDescent="0.35">
      <c r="A13" s="1" t="s">
        <v>53</v>
      </c>
      <c r="B13" s="1" t="s">
        <v>54</v>
      </c>
      <c r="C13" s="1" t="s">
        <v>14</v>
      </c>
      <c r="D13" s="1" t="s">
        <v>15</v>
      </c>
      <c r="E13" s="1" t="s">
        <v>32</v>
      </c>
      <c r="F13" s="1" t="s">
        <v>25</v>
      </c>
      <c r="G13" s="1" t="s">
        <v>36</v>
      </c>
      <c r="H13" s="1">
        <v>13643</v>
      </c>
      <c r="I13" s="1" t="s">
        <v>33</v>
      </c>
      <c r="J13" s="1">
        <v>0.3</v>
      </c>
      <c r="K13" s="1">
        <v>14000</v>
      </c>
      <c r="L13" s="2">
        <v>45296</v>
      </c>
    </row>
    <row r="14" spans="1:14" x14ac:dyDescent="0.35">
      <c r="A14" s="1" t="s">
        <v>55</v>
      </c>
      <c r="B14" s="1" t="s">
        <v>56</v>
      </c>
      <c r="C14" s="1" t="s">
        <v>30</v>
      </c>
      <c r="D14" s="1" t="s">
        <v>31</v>
      </c>
      <c r="E14" s="1" t="s">
        <v>32</v>
      </c>
      <c r="F14" s="1" t="s">
        <v>39</v>
      </c>
      <c r="G14" s="1" t="s">
        <v>36</v>
      </c>
      <c r="H14" s="1">
        <v>16620</v>
      </c>
      <c r="I14" s="1"/>
      <c r="J14" s="1"/>
      <c r="K14" s="1">
        <v>17000</v>
      </c>
      <c r="L14" s="2">
        <v>45301</v>
      </c>
    </row>
    <row r="15" spans="1:14" x14ac:dyDescent="0.35">
      <c r="A15" s="1" t="s">
        <v>57</v>
      </c>
      <c r="B15" s="1" t="s">
        <v>58</v>
      </c>
      <c r="C15" s="1" t="s">
        <v>44</v>
      </c>
      <c r="D15" s="1" t="s">
        <v>45</v>
      </c>
      <c r="E15" s="1" t="s">
        <v>16</v>
      </c>
      <c r="F15" s="1" t="s">
        <v>39</v>
      </c>
      <c r="G15" s="1" t="s">
        <v>26</v>
      </c>
      <c r="H15" s="1">
        <v>12076</v>
      </c>
      <c r="I15" s="1" t="s">
        <v>27</v>
      </c>
      <c r="J15" s="1"/>
      <c r="K15" s="1">
        <v>13000</v>
      </c>
      <c r="L15" s="2">
        <v>45319</v>
      </c>
    </row>
    <row r="16" spans="1:14" x14ac:dyDescent="0.35">
      <c r="A16" s="1" t="s">
        <v>59</v>
      </c>
      <c r="B16" s="1" t="s">
        <v>60</v>
      </c>
      <c r="C16" s="1" t="s">
        <v>61</v>
      </c>
      <c r="D16" s="1" t="s">
        <v>62</v>
      </c>
      <c r="E16" s="1" t="s">
        <v>46</v>
      </c>
      <c r="F16" s="1" t="s">
        <v>25</v>
      </c>
      <c r="G16" s="1" t="s">
        <v>18</v>
      </c>
      <c r="H16" s="1">
        <v>9087</v>
      </c>
      <c r="I16" s="1"/>
      <c r="J16" s="1"/>
      <c r="K16" s="1">
        <v>9000</v>
      </c>
      <c r="L16" s="2">
        <v>45297</v>
      </c>
    </row>
    <row r="17" spans="1:12" x14ac:dyDescent="0.35">
      <c r="A17" s="1" t="s">
        <v>63</v>
      </c>
      <c r="B17" s="1" t="s">
        <v>64</v>
      </c>
      <c r="C17" s="1" t="s">
        <v>14</v>
      </c>
      <c r="D17" s="1" t="s">
        <v>15</v>
      </c>
      <c r="E17" s="1" t="s">
        <v>32</v>
      </c>
      <c r="F17" s="1" t="s">
        <v>39</v>
      </c>
      <c r="G17" s="1" t="s">
        <v>18</v>
      </c>
      <c r="H17" s="1">
        <v>15244</v>
      </c>
      <c r="I17" s="1"/>
      <c r="J17" s="1"/>
      <c r="K17" s="1">
        <v>14000</v>
      </c>
      <c r="L17" s="2">
        <v>45330</v>
      </c>
    </row>
    <row r="18" spans="1:12" x14ac:dyDescent="0.35">
      <c r="A18" s="1" t="s">
        <v>65</v>
      </c>
      <c r="B18" s="1" t="s">
        <v>66</v>
      </c>
      <c r="C18" s="1" t="s">
        <v>61</v>
      </c>
      <c r="D18" s="1" t="s">
        <v>62</v>
      </c>
      <c r="E18" s="1" t="s">
        <v>16</v>
      </c>
      <c r="F18" s="1" t="s">
        <v>17</v>
      </c>
      <c r="G18" s="1" t="s">
        <v>26</v>
      </c>
      <c r="H18" s="1">
        <v>8029</v>
      </c>
      <c r="I18" s="1" t="s">
        <v>27</v>
      </c>
      <c r="J18" s="1"/>
      <c r="K18" s="1">
        <v>9000</v>
      </c>
      <c r="L18" s="2">
        <v>45347</v>
      </c>
    </row>
    <row r="19" spans="1:12" x14ac:dyDescent="0.35">
      <c r="A19" s="1" t="s">
        <v>67</v>
      </c>
      <c r="B19" s="1" t="s">
        <v>68</v>
      </c>
      <c r="C19" s="1" t="s">
        <v>14</v>
      </c>
      <c r="D19" s="1" t="s">
        <v>15</v>
      </c>
      <c r="E19" s="1" t="s">
        <v>16</v>
      </c>
      <c r="F19" s="1" t="s">
        <v>39</v>
      </c>
      <c r="G19" s="1" t="s">
        <v>36</v>
      </c>
      <c r="H19" s="1">
        <v>15148</v>
      </c>
      <c r="I19" s="1" t="s">
        <v>33</v>
      </c>
      <c r="J19" s="1">
        <v>0.3</v>
      </c>
      <c r="K19" s="1">
        <v>14000</v>
      </c>
      <c r="L19" s="2">
        <v>45299</v>
      </c>
    </row>
    <row r="20" spans="1:12" x14ac:dyDescent="0.35">
      <c r="A20" s="1" t="s">
        <v>69</v>
      </c>
      <c r="B20" s="1" t="s">
        <v>70</v>
      </c>
      <c r="C20" s="1" t="s">
        <v>44</v>
      </c>
      <c r="D20" s="1" t="s">
        <v>45</v>
      </c>
      <c r="E20" s="1" t="s">
        <v>46</v>
      </c>
      <c r="F20" s="1" t="s">
        <v>25</v>
      </c>
      <c r="G20" s="1" t="s">
        <v>26</v>
      </c>
      <c r="H20" s="1">
        <v>14587</v>
      </c>
      <c r="I20" s="1" t="s">
        <v>33</v>
      </c>
      <c r="J20" s="1">
        <v>0.3</v>
      </c>
      <c r="K20" s="1">
        <v>13000</v>
      </c>
      <c r="L20" s="2">
        <v>45324</v>
      </c>
    </row>
    <row r="21" spans="1:12" x14ac:dyDescent="0.35">
      <c r="A21" s="1" t="s">
        <v>71</v>
      </c>
      <c r="B21" s="1" t="s">
        <v>72</v>
      </c>
      <c r="C21" s="1" t="s">
        <v>14</v>
      </c>
      <c r="D21" s="1" t="s">
        <v>15</v>
      </c>
      <c r="E21" s="1" t="s">
        <v>16</v>
      </c>
      <c r="F21" s="1" t="s">
        <v>17</v>
      </c>
      <c r="G21" s="1" t="s">
        <v>26</v>
      </c>
      <c r="H21" s="1">
        <v>14079</v>
      </c>
      <c r="I21" s="1" t="s">
        <v>27</v>
      </c>
      <c r="J21" s="1"/>
      <c r="K21" s="1">
        <v>14000</v>
      </c>
      <c r="L21" s="2">
        <v>45304</v>
      </c>
    </row>
    <row r="22" spans="1:12" x14ac:dyDescent="0.35">
      <c r="A22" s="1" t="s">
        <v>73</v>
      </c>
      <c r="B22" s="1" t="s">
        <v>74</v>
      </c>
      <c r="C22" s="1" t="s">
        <v>44</v>
      </c>
      <c r="D22" s="1" t="s">
        <v>45</v>
      </c>
      <c r="E22" s="1" t="s">
        <v>16</v>
      </c>
      <c r="F22" s="1" t="s">
        <v>39</v>
      </c>
      <c r="G22" s="1" t="s">
        <v>18</v>
      </c>
      <c r="H22" s="1">
        <v>13453</v>
      </c>
      <c r="I22" s="1" t="s">
        <v>33</v>
      </c>
      <c r="J22" s="1">
        <v>0.3</v>
      </c>
      <c r="K22" s="1">
        <v>13000</v>
      </c>
      <c r="L22" s="2">
        <v>45323</v>
      </c>
    </row>
    <row r="23" spans="1:12" x14ac:dyDescent="0.35">
      <c r="A23" s="1" t="s">
        <v>75</v>
      </c>
      <c r="B23" s="1" t="s">
        <v>76</v>
      </c>
      <c r="C23" s="1" t="s">
        <v>30</v>
      </c>
      <c r="D23" s="1" t="s">
        <v>31</v>
      </c>
      <c r="E23" s="1" t="s">
        <v>46</v>
      </c>
      <c r="F23" s="1" t="s">
        <v>25</v>
      </c>
      <c r="G23" s="1" t="s">
        <v>18</v>
      </c>
      <c r="H23" s="1">
        <v>15986</v>
      </c>
      <c r="I23" s="1" t="s">
        <v>27</v>
      </c>
      <c r="J23" s="1"/>
      <c r="K23" s="1">
        <v>17000</v>
      </c>
      <c r="L23" s="2">
        <v>45352</v>
      </c>
    </row>
    <row r="24" spans="1:12" x14ac:dyDescent="0.35">
      <c r="A24" s="1" t="s">
        <v>77</v>
      </c>
      <c r="B24" s="1" t="s">
        <v>78</v>
      </c>
      <c r="C24" s="1" t="s">
        <v>61</v>
      </c>
      <c r="D24" s="1" t="s">
        <v>62</v>
      </c>
      <c r="E24" s="1" t="s">
        <v>32</v>
      </c>
      <c r="F24" s="1" t="s">
        <v>39</v>
      </c>
      <c r="G24" s="1" t="s">
        <v>18</v>
      </c>
      <c r="H24" s="1">
        <v>7525</v>
      </c>
      <c r="I24" s="1"/>
      <c r="J24" s="1"/>
      <c r="K24" s="1">
        <v>9000</v>
      </c>
      <c r="L24" s="2">
        <v>45352</v>
      </c>
    </row>
    <row r="25" spans="1:12" x14ac:dyDescent="0.35">
      <c r="A25" s="1" t="s">
        <v>79</v>
      </c>
      <c r="B25" s="1" t="s">
        <v>80</v>
      </c>
      <c r="C25" s="1" t="s">
        <v>30</v>
      </c>
      <c r="D25" s="1" t="s">
        <v>31</v>
      </c>
      <c r="E25" s="1" t="s">
        <v>16</v>
      </c>
      <c r="F25" s="1" t="s">
        <v>39</v>
      </c>
      <c r="G25" s="1" t="s">
        <v>36</v>
      </c>
      <c r="H25" s="1">
        <v>18950</v>
      </c>
      <c r="I25" s="1" t="s">
        <v>19</v>
      </c>
      <c r="J25" s="1">
        <v>0.2</v>
      </c>
      <c r="K25" s="1">
        <v>17000</v>
      </c>
      <c r="L25" s="2">
        <v>45351</v>
      </c>
    </row>
    <row r="26" spans="1:12" x14ac:dyDescent="0.35">
      <c r="A26" s="1" t="s">
        <v>81</v>
      </c>
      <c r="B26" s="1" t="s">
        <v>82</v>
      </c>
      <c r="C26" s="1" t="s">
        <v>44</v>
      </c>
      <c r="D26" s="1" t="s">
        <v>45</v>
      </c>
      <c r="E26" s="1" t="s">
        <v>16</v>
      </c>
      <c r="F26" s="1" t="s">
        <v>17</v>
      </c>
      <c r="G26" s="1" t="s">
        <v>36</v>
      </c>
      <c r="H26" s="1">
        <v>13751</v>
      </c>
      <c r="I26" s="1" t="s">
        <v>33</v>
      </c>
      <c r="J26" s="1">
        <v>0.3</v>
      </c>
      <c r="K26" s="1">
        <v>13000</v>
      </c>
      <c r="L26" s="2">
        <v>45320</v>
      </c>
    </row>
    <row r="27" spans="1:12" x14ac:dyDescent="0.35">
      <c r="A27" s="1" t="s">
        <v>83</v>
      </c>
      <c r="B27" s="1" t="s">
        <v>84</v>
      </c>
      <c r="C27" s="1" t="s">
        <v>61</v>
      </c>
      <c r="D27" s="1" t="s">
        <v>62</v>
      </c>
      <c r="E27" s="1" t="s">
        <v>32</v>
      </c>
      <c r="F27" s="1" t="s">
        <v>25</v>
      </c>
      <c r="G27" s="1" t="s">
        <v>18</v>
      </c>
      <c r="H27" s="1">
        <v>7262</v>
      </c>
      <c r="I27" s="1" t="s">
        <v>33</v>
      </c>
      <c r="J27" s="1">
        <v>0.3</v>
      </c>
      <c r="K27" s="1">
        <v>9000</v>
      </c>
      <c r="L27" s="2">
        <v>45293</v>
      </c>
    </row>
    <row r="28" spans="1:12" x14ac:dyDescent="0.35">
      <c r="A28" s="1" t="s">
        <v>85</v>
      </c>
      <c r="B28" s="1" t="s">
        <v>86</v>
      </c>
      <c r="C28" s="1" t="s">
        <v>44</v>
      </c>
      <c r="D28" s="1" t="s">
        <v>45</v>
      </c>
      <c r="E28" s="1" t="s">
        <v>16</v>
      </c>
      <c r="F28" s="1" t="s">
        <v>25</v>
      </c>
      <c r="G28" s="1" t="s">
        <v>18</v>
      </c>
      <c r="H28" s="1">
        <v>11290</v>
      </c>
      <c r="I28" s="1" t="s">
        <v>22</v>
      </c>
      <c r="J28" s="1">
        <v>0.1</v>
      </c>
      <c r="K28" s="1">
        <v>13000</v>
      </c>
      <c r="L28" s="2">
        <v>45306</v>
      </c>
    </row>
    <row r="29" spans="1:12" x14ac:dyDescent="0.35">
      <c r="A29" s="1" t="s">
        <v>87</v>
      </c>
      <c r="B29" s="1" t="s">
        <v>43</v>
      </c>
      <c r="C29" s="1" t="s">
        <v>30</v>
      </c>
      <c r="D29" s="1" t="s">
        <v>31</v>
      </c>
      <c r="E29" s="1" t="s">
        <v>32</v>
      </c>
      <c r="F29" s="1" t="s">
        <v>39</v>
      </c>
      <c r="G29" s="1" t="s">
        <v>18</v>
      </c>
      <c r="H29" s="1">
        <v>16140</v>
      </c>
      <c r="I29" s="1"/>
      <c r="J29" s="1"/>
      <c r="K29" s="1">
        <v>17000</v>
      </c>
      <c r="L29" s="2">
        <v>45305</v>
      </c>
    </row>
    <row r="30" spans="1:12" x14ac:dyDescent="0.35">
      <c r="A30" s="1" t="s">
        <v>88</v>
      </c>
      <c r="B30" s="1" t="s">
        <v>80</v>
      </c>
      <c r="C30" s="1" t="s">
        <v>61</v>
      </c>
      <c r="D30" s="1" t="s">
        <v>62</v>
      </c>
      <c r="E30" s="1" t="s">
        <v>32</v>
      </c>
      <c r="F30" s="1" t="s">
        <v>17</v>
      </c>
      <c r="G30" s="1" t="s">
        <v>36</v>
      </c>
      <c r="H30" s="1">
        <v>7779</v>
      </c>
      <c r="I30" s="1" t="s">
        <v>22</v>
      </c>
      <c r="J30" s="1">
        <v>0.1</v>
      </c>
      <c r="K30" s="1">
        <v>9000</v>
      </c>
      <c r="L30" s="2">
        <v>45298</v>
      </c>
    </row>
    <row r="31" spans="1:12" x14ac:dyDescent="0.35">
      <c r="A31" s="1" t="s">
        <v>89</v>
      </c>
      <c r="B31" s="1" t="s">
        <v>90</v>
      </c>
      <c r="C31" s="1" t="s">
        <v>30</v>
      </c>
      <c r="D31" s="1" t="s">
        <v>31</v>
      </c>
      <c r="E31" s="1" t="s">
        <v>46</v>
      </c>
      <c r="F31" s="1" t="s">
        <v>17</v>
      </c>
      <c r="G31" s="1" t="s">
        <v>36</v>
      </c>
      <c r="H31" s="1">
        <v>18538</v>
      </c>
      <c r="I31" s="1" t="s">
        <v>22</v>
      </c>
      <c r="J31" s="1">
        <v>0.1</v>
      </c>
      <c r="K31" s="1">
        <v>17000</v>
      </c>
      <c r="L31" s="2">
        <v>45335</v>
      </c>
    </row>
    <row r="32" spans="1:12" x14ac:dyDescent="0.35">
      <c r="A32" s="1" t="s">
        <v>91</v>
      </c>
      <c r="B32" s="1" t="s">
        <v>92</v>
      </c>
      <c r="C32" s="1" t="s">
        <v>14</v>
      </c>
      <c r="D32" s="1" t="s">
        <v>15</v>
      </c>
      <c r="E32" s="1" t="s">
        <v>32</v>
      </c>
      <c r="F32" s="1" t="s">
        <v>17</v>
      </c>
      <c r="G32" s="1" t="s">
        <v>26</v>
      </c>
      <c r="H32" s="1">
        <v>13389</v>
      </c>
      <c r="I32" s="1" t="s">
        <v>22</v>
      </c>
      <c r="J32" s="1">
        <v>0.1</v>
      </c>
      <c r="K32" s="1">
        <v>14000</v>
      </c>
      <c r="L32" s="2">
        <v>45307</v>
      </c>
    </row>
    <row r="33" spans="1:12" x14ac:dyDescent="0.35">
      <c r="A33" s="1" t="s">
        <v>93</v>
      </c>
      <c r="B33" s="1" t="s">
        <v>94</v>
      </c>
      <c r="C33" s="1" t="s">
        <v>61</v>
      </c>
      <c r="D33" s="1" t="s">
        <v>62</v>
      </c>
      <c r="E33" s="1" t="s">
        <v>32</v>
      </c>
      <c r="F33" s="1" t="s">
        <v>17</v>
      </c>
      <c r="G33" s="1" t="s">
        <v>18</v>
      </c>
      <c r="H33" s="1">
        <v>8140</v>
      </c>
      <c r="I33" s="1"/>
      <c r="J33" s="1"/>
      <c r="K33" s="1">
        <v>9000</v>
      </c>
      <c r="L33" s="2">
        <v>45307</v>
      </c>
    </row>
    <row r="34" spans="1:12" x14ac:dyDescent="0.35">
      <c r="A34" s="1" t="s">
        <v>95</v>
      </c>
      <c r="B34" s="1" t="s">
        <v>96</v>
      </c>
      <c r="C34" s="1" t="s">
        <v>61</v>
      </c>
      <c r="D34" s="1" t="s">
        <v>62</v>
      </c>
      <c r="E34" s="1" t="s">
        <v>16</v>
      </c>
      <c r="F34" s="1" t="s">
        <v>25</v>
      </c>
      <c r="G34" s="1" t="s">
        <v>18</v>
      </c>
      <c r="H34" s="1">
        <v>9671</v>
      </c>
      <c r="I34" s="1" t="s">
        <v>27</v>
      </c>
      <c r="J34" s="1"/>
      <c r="K34" s="1">
        <v>9000</v>
      </c>
      <c r="L34" s="2">
        <v>45345</v>
      </c>
    </row>
    <row r="35" spans="1:12" x14ac:dyDescent="0.35">
      <c r="A35" s="1" t="s">
        <v>97</v>
      </c>
      <c r="B35" s="1" t="s">
        <v>76</v>
      </c>
      <c r="C35" s="1" t="s">
        <v>44</v>
      </c>
      <c r="D35" s="1" t="s">
        <v>45</v>
      </c>
      <c r="E35" s="1" t="s">
        <v>32</v>
      </c>
      <c r="F35" s="1" t="s">
        <v>17</v>
      </c>
      <c r="G35" s="1" t="s">
        <v>36</v>
      </c>
      <c r="H35" s="1">
        <v>12971</v>
      </c>
      <c r="I35" s="1" t="s">
        <v>19</v>
      </c>
      <c r="J35" s="1">
        <v>0.2</v>
      </c>
      <c r="K35" s="1">
        <v>13000</v>
      </c>
      <c r="L35" s="2">
        <v>45347</v>
      </c>
    </row>
    <row r="36" spans="1:12" x14ac:dyDescent="0.35">
      <c r="A36" s="1" t="s">
        <v>98</v>
      </c>
      <c r="B36" s="1" t="s">
        <v>99</v>
      </c>
      <c r="C36" s="1" t="s">
        <v>44</v>
      </c>
      <c r="D36" s="1" t="s">
        <v>45</v>
      </c>
      <c r="E36" s="1" t="s">
        <v>46</v>
      </c>
      <c r="F36" s="1" t="s">
        <v>25</v>
      </c>
      <c r="G36" s="1" t="s">
        <v>36</v>
      </c>
      <c r="H36" s="1">
        <v>12086</v>
      </c>
      <c r="I36" s="1"/>
      <c r="J36" s="1"/>
      <c r="K36" s="1">
        <v>13000</v>
      </c>
      <c r="L36" s="2">
        <v>45310</v>
      </c>
    </row>
    <row r="37" spans="1:12" x14ac:dyDescent="0.35">
      <c r="A37" s="1" t="s">
        <v>100</v>
      </c>
      <c r="B37" s="1" t="s">
        <v>101</v>
      </c>
      <c r="C37" s="1" t="s">
        <v>61</v>
      </c>
      <c r="D37" s="1" t="s">
        <v>62</v>
      </c>
      <c r="E37" s="1" t="s">
        <v>32</v>
      </c>
      <c r="F37" s="1" t="s">
        <v>25</v>
      </c>
      <c r="G37" s="1" t="s">
        <v>36</v>
      </c>
      <c r="H37" s="1">
        <v>7891</v>
      </c>
      <c r="I37" s="1" t="s">
        <v>22</v>
      </c>
      <c r="J37" s="1">
        <v>0.1</v>
      </c>
      <c r="K37" s="1">
        <v>9000</v>
      </c>
      <c r="L37" s="2">
        <v>45329</v>
      </c>
    </row>
    <row r="38" spans="1:12" x14ac:dyDescent="0.35">
      <c r="A38" s="1" t="s">
        <v>102</v>
      </c>
      <c r="B38" s="1" t="s">
        <v>103</v>
      </c>
      <c r="C38" s="1" t="s">
        <v>14</v>
      </c>
      <c r="D38" s="1" t="s">
        <v>15</v>
      </c>
      <c r="E38" s="1" t="s">
        <v>16</v>
      </c>
      <c r="F38" s="1" t="s">
        <v>17</v>
      </c>
      <c r="G38" s="1" t="s">
        <v>18</v>
      </c>
      <c r="H38" s="1">
        <v>12205</v>
      </c>
      <c r="I38" s="1" t="s">
        <v>27</v>
      </c>
      <c r="J38" s="1"/>
      <c r="K38" s="1">
        <v>14000</v>
      </c>
      <c r="L38" s="2">
        <v>45322</v>
      </c>
    </row>
    <row r="39" spans="1:12" x14ac:dyDescent="0.35">
      <c r="A39" s="1" t="s">
        <v>104</v>
      </c>
      <c r="B39" s="1" t="s">
        <v>105</v>
      </c>
      <c r="C39" s="1" t="s">
        <v>44</v>
      </c>
      <c r="D39" s="1" t="s">
        <v>45</v>
      </c>
      <c r="E39" s="1" t="s">
        <v>32</v>
      </c>
      <c r="F39" s="1" t="s">
        <v>39</v>
      </c>
      <c r="G39" s="1" t="s">
        <v>18</v>
      </c>
      <c r="H39" s="1">
        <v>14487</v>
      </c>
      <c r="I39" s="1" t="s">
        <v>19</v>
      </c>
      <c r="J39" s="1">
        <v>0.2</v>
      </c>
      <c r="K39" s="1">
        <v>13000</v>
      </c>
      <c r="L39" s="2">
        <v>45296</v>
      </c>
    </row>
    <row r="40" spans="1:12" x14ac:dyDescent="0.35">
      <c r="A40" s="1" t="s">
        <v>106</v>
      </c>
      <c r="B40" s="1" t="s">
        <v>107</v>
      </c>
      <c r="C40" s="1" t="s">
        <v>44</v>
      </c>
      <c r="D40" s="1" t="s">
        <v>45</v>
      </c>
      <c r="E40" s="1" t="s">
        <v>46</v>
      </c>
      <c r="F40" s="1" t="s">
        <v>25</v>
      </c>
      <c r="G40" s="1" t="s">
        <v>26</v>
      </c>
      <c r="H40" s="1">
        <v>12008</v>
      </c>
      <c r="I40" s="1" t="s">
        <v>27</v>
      </c>
      <c r="J40" s="1"/>
      <c r="K40" s="1">
        <v>13000</v>
      </c>
      <c r="L40" s="2">
        <v>45330</v>
      </c>
    </row>
    <row r="41" spans="1:12" x14ac:dyDescent="0.35">
      <c r="A41" s="1" t="s">
        <v>108</v>
      </c>
      <c r="B41" s="1" t="s">
        <v>109</v>
      </c>
      <c r="C41" s="1" t="s">
        <v>14</v>
      </c>
      <c r="D41" s="1" t="s">
        <v>15</v>
      </c>
      <c r="E41" s="1" t="s">
        <v>46</v>
      </c>
      <c r="F41" s="1" t="s">
        <v>39</v>
      </c>
      <c r="G41" s="1" t="s">
        <v>26</v>
      </c>
      <c r="H41" s="1">
        <v>14315</v>
      </c>
      <c r="I41" s="1" t="s">
        <v>27</v>
      </c>
      <c r="J41" s="1"/>
      <c r="K41" s="1">
        <v>14000</v>
      </c>
      <c r="L41" s="2">
        <v>45312</v>
      </c>
    </row>
    <row r="42" spans="1:12" x14ac:dyDescent="0.35">
      <c r="A42" s="1" t="s">
        <v>110</v>
      </c>
      <c r="B42" s="1" t="s">
        <v>111</v>
      </c>
      <c r="C42" s="1" t="s">
        <v>44</v>
      </c>
      <c r="D42" s="1" t="s">
        <v>45</v>
      </c>
      <c r="E42" s="1" t="s">
        <v>16</v>
      </c>
      <c r="F42" s="1" t="s">
        <v>39</v>
      </c>
      <c r="G42" s="1" t="s">
        <v>36</v>
      </c>
      <c r="H42" s="1">
        <v>11977</v>
      </c>
      <c r="I42" s="1" t="s">
        <v>33</v>
      </c>
      <c r="J42" s="1">
        <v>0.3</v>
      </c>
      <c r="K42" s="1">
        <v>13000</v>
      </c>
      <c r="L42" s="2">
        <v>45317</v>
      </c>
    </row>
    <row r="43" spans="1:12" x14ac:dyDescent="0.35">
      <c r="A43" s="1" t="s">
        <v>112</v>
      </c>
      <c r="B43" s="1" t="s">
        <v>113</v>
      </c>
      <c r="C43" s="1" t="s">
        <v>30</v>
      </c>
      <c r="D43" s="1" t="s">
        <v>31</v>
      </c>
      <c r="E43" s="1" t="s">
        <v>46</v>
      </c>
      <c r="F43" s="1" t="s">
        <v>17</v>
      </c>
      <c r="G43" s="1" t="s">
        <v>18</v>
      </c>
      <c r="H43" s="1">
        <v>15038</v>
      </c>
      <c r="I43" s="1"/>
      <c r="J43" s="1"/>
      <c r="K43" s="1">
        <v>17000</v>
      </c>
      <c r="L43" s="2">
        <v>45331</v>
      </c>
    </row>
    <row r="44" spans="1:12" x14ac:dyDescent="0.35">
      <c r="A44" s="1" t="s">
        <v>114</v>
      </c>
      <c r="B44" s="1" t="s">
        <v>107</v>
      </c>
      <c r="C44" s="1" t="s">
        <v>14</v>
      </c>
      <c r="D44" s="1" t="s">
        <v>15</v>
      </c>
      <c r="E44" s="1" t="s">
        <v>16</v>
      </c>
      <c r="F44" s="1" t="s">
        <v>25</v>
      </c>
      <c r="G44" s="1" t="s">
        <v>26</v>
      </c>
      <c r="H44" s="1">
        <v>13086</v>
      </c>
      <c r="I44" s="1" t="s">
        <v>19</v>
      </c>
      <c r="J44" s="1">
        <v>0.2</v>
      </c>
      <c r="K44" s="1">
        <v>14000</v>
      </c>
      <c r="L44" s="2">
        <v>45351</v>
      </c>
    </row>
    <row r="45" spans="1:12" x14ac:dyDescent="0.35">
      <c r="A45" s="1" t="s">
        <v>115</v>
      </c>
      <c r="B45" s="1" t="s">
        <v>116</v>
      </c>
      <c r="C45" s="1" t="s">
        <v>44</v>
      </c>
      <c r="D45" s="1" t="s">
        <v>45</v>
      </c>
      <c r="E45" s="1" t="s">
        <v>46</v>
      </c>
      <c r="F45" s="1" t="s">
        <v>17</v>
      </c>
      <c r="G45" s="1" t="s">
        <v>18</v>
      </c>
      <c r="H45" s="1">
        <v>12794</v>
      </c>
      <c r="I45" s="1" t="s">
        <v>27</v>
      </c>
      <c r="J45" s="1"/>
      <c r="K45" s="1">
        <v>13000</v>
      </c>
      <c r="L45" s="2">
        <v>45337</v>
      </c>
    </row>
    <row r="46" spans="1:12" x14ac:dyDescent="0.35">
      <c r="A46" s="1" t="s">
        <v>117</v>
      </c>
      <c r="B46" s="1" t="s">
        <v>118</v>
      </c>
      <c r="C46" s="1" t="s">
        <v>14</v>
      </c>
      <c r="D46" s="1" t="s">
        <v>15</v>
      </c>
      <c r="E46" s="1" t="s">
        <v>16</v>
      </c>
      <c r="F46" s="1" t="s">
        <v>39</v>
      </c>
      <c r="G46" s="1" t="s">
        <v>36</v>
      </c>
      <c r="H46" s="1">
        <v>15816</v>
      </c>
      <c r="I46" s="1" t="s">
        <v>22</v>
      </c>
      <c r="J46" s="1">
        <v>0.1</v>
      </c>
      <c r="K46" s="1">
        <v>14000</v>
      </c>
      <c r="L46" s="2">
        <v>45352</v>
      </c>
    </row>
    <row r="47" spans="1:12" x14ac:dyDescent="0.35">
      <c r="A47" s="1" t="s">
        <v>119</v>
      </c>
      <c r="B47" s="1" t="s">
        <v>120</v>
      </c>
      <c r="C47" s="1" t="s">
        <v>30</v>
      </c>
      <c r="D47" s="1" t="s">
        <v>31</v>
      </c>
      <c r="E47" s="1" t="s">
        <v>32</v>
      </c>
      <c r="F47" s="1" t="s">
        <v>25</v>
      </c>
      <c r="G47" s="1" t="s">
        <v>26</v>
      </c>
      <c r="H47" s="1">
        <v>17266</v>
      </c>
      <c r="I47" s="1" t="s">
        <v>19</v>
      </c>
      <c r="J47" s="1">
        <v>0.2</v>
      </c>
      <c r="K47" s="1">
        <v>17000</v>
      </c>
      <c r="L47" s="2">
        <v>45309</v>
      </c>
    </row>
    <row r="48" spans="1:12" x14ac:dyDescent="0.35">
      <c r="A48" s="1" t="s">
        <v>121</v>
      </c>
      <c r="B48" s="1" t="s">
        <v>118</v>
      </c>
      <c r="C48" s="1" t="s">
        <v>44</v>
      </c>
      <c r="D48" s="1" t="s">
        <v>45</v>
      </c>
      <c r="E48" s="1" t="s">
        <v>16</v>
      </c>
      <c r="F48" s="1" t="s">
        <v>17</v>
      </c>
      <c r="G48" s="1" t="s">
        <v>18</v>
      </c>
      <c r="H48" s="1">
        <v>13815</v>
      </c>
      <c r="I48" s="1" t="s">
        <v>33</v>
      </c>
      <c r="J48" s="1">
        <v>0.3</v>
      </c>
      <c r="K48" s="1">
        <v>13000</v>
      </c>
      <c r="L48" s="2">
        <v>45324</v>
      </c>
    </row>
    <row r="49" spans="1:12" x14ac:dyDescent="0.35">
      <c r="A49" s="1" t="s">
        <v>122</v>
      </c>
      <c r="B49" s="1" t="s">
        <v>123</v>
      </c>
      <c r="C49" s="1" t="s">
        <v>14</v>
      </c>
      <c r="D49" s="1" t="s">
        <v>15</v>
      </c>
      <c r="E49" s="1" t="s">
        <v>32</v>
      </c>
      <c r="F49" s="1" t="s">
        <v>39</v>
      </c>
      <c r="G49" s="1" t="s">
        <v>36</v>
      </c>
      <c r="H49" s="1">
        <v>15397</v>
      </c>
      <c r="I49" s="1" t="s">
        <v>33</v>
      </c>
      <c r="J49" s="1">
        <v>0.3</v>
      </c>
      <c r="K49" s="1">
        <v>14000</v>
      </c>
      <c r="L49" s="2">
        <v>45294</v>
      </c>
    </row>
    <row r="50" spans="1:12" x14ac:dyDescent="0.35">
      <c r="A50" s="1" t="s">
        <v>124</v>
      </c>
      <c r="B50" s="1" t="s">
        <v>125</v>
      </c>
      <c r="C50" s="1" t="s">
        <v>44</v>
      </c>
      <c r="D50" s="1" t="s">
        <v>45</v>
      </c>
      <c r="E50" s="1" t="s">
        <v>16</v>
      </c>
      <c r="F50" s="1" t="s">
        <v>17</v>
      </c>
      <c r="G50" s="1" t="s">
        <v>18</v>
      </c>
      <c r="H50" s="1">
        <v>14036</v>
      </c>
      <c r="I50" s="1"/>
      <c r="J50" s="1"/>
      <c r="K50" s="1">
        <v>13000</v>
      </c>
      <c r="L50" s="2">
        <v>45327</v>
      </c>
    </row>
    <row r="51" spans="1:12" x14ac:dyDescent="0.35">
      <c r="A51" s="1" t="s">
        <v>126</v>
      </c>
      <c r="B51" s="1" t="s">
        <v>127</v>
      </c>
      <c r="C51" s="1" t="s">
        <v>14</v>
      </c>
      <c r="D51" s="1" t="s">
        <v>15</v>
      </c>
      <c r="E51" s="1" t="s">
        <v>32</v>
      </c>
      <c r="F51" s="1" t="s">
        <v>25</v>
      </c>
      <c r="G51" s="1" t="s">
        <v>26</v>
      </c>
      <c r="H51" s="1">
        <v>15702</v>
      </c>
      <c r="I51" s="1" t="s">
        <v>19</v>
      </c>
      <c r="J51" s="1">
        <v>0.2</v>
      </c>
      <c r="K51" s="1">
        <v>14000</v>
      </c>
      <c r="L51" s="2">
        <v>45326</v>
      </c>
    </row>
    <row r="52" spans="1:12" x14ac:dyDescent="0.35">
      <c r="A52" s="1" t="s">
        <v>128</v>
      </c>
      <c r="B52" s="1" t="s">
        <v>129</v>
      </c>
      <c r="C52" s="1" t="s">
        <v>30</v>
      </c>
      <c r="D52" s="1" t="s">
        <v>31</v>
      </c>
      <c r="E52" s="1" t="s">
        <v>16</v>
      </c>
      <c r="F52" s="1" t="s">
        <v>39</v>
      </c>
      <c r="G52" s="1" t="s">
        <v>18</v>
      </c>
      <c r="H52" s="1">
        <v>16760</v>
      </c>
      <c r="I52" s="1" t="s">
        <v>19</v>
      </c>
      <c r="J52" s="1">
        <v>0.2</v>
      </c>
      <c r="K52" s="1">
        <v>17000</v>
      </c>
      <c r="L52" s="2">
        <v>45294</v>
      </c>
    </row>
    <row r="53" spans="1:12" x14ac:dyDescent="0.35">
      <c r="A53" s="1" t="s">
        <v>130</v>
      </c>
      <c r="B53" s="1" t="s">
        <v>131</v>
      </c>
      <c r="C53" s="1" t="s">
        <v>14</v>
      </c>
      <c r="D53" s="1" t="s">
        <v>15</v>
      </c>
      <c r="E53" s="1" t="s">
        <v>46</v>
      </c>
      <c r="F53" s="1" t="s">
        <v>25</v>
      </c>
      <c r="G53" s="1" t="s">
        <v>26</v>
      </c>
      <c r="H53" s="1">
        <v>13022</v>
      </c>
      <c r="I53" s="1" t="s">
        <v>22</v>
      </c>
      <c r="J53" s="1">
        <v>0.1</v>
      </c>
      <c r="K53" s="1">
        <v>14000</v>
      </c>
      <c r="L53" s="2">
        <v>45314</v>
      </c>
    </row>
    <row r="54" spans="1:12" x14ac:dyDescent="0.35">
      <c r="A54" s="1" t="s">
        <v>132</v>
      </c>
      <c r="B54" s="1" t="s">
        <v>133</v>
      </c>
      <c r="C54" s="1" t="s">
        <v>61</v>
      </c>
      <c r="D54" s="1" t="s">
        <v>62</v>
      </c>
      <c r="E54" s="1" t="s">
        <v>16</v>
      </c>
      <c r="F54" s="1" t="s">
        <v>39</v>
      </c>
      <c r="G54" s="1" t="s">
        <v>18</v>
      </c>
      <c r="H54" s="1">
        <v>10791</v>
      </c>
      <c r="I54" s="1" t="s">
        <v>19</v>
      </c>
      <c r="J54" s="1">
        <v>0.2</v>
      </c>
      <c r="K54" s="1">
        <v>9000</v>
      </c>
      <c r="L54" s="2">
        <v>45347</v>
      </c>
    </row>
    <row r="55" spans="1:12" x14ac:dyDescent="0.35">
      <c r="A55" s="1" t="s">
        <v>134</v>
      </c>
      <c r="B55" s="1" t="s">
        <v>135</v>
      </c>
      <c r="C55" s="1" t="s">
        <v>44</v>
      </c>
      <c r="D55" s="1" t="s">
        <v>45</v>
      </c>
      <c r="E55" s="1" t="s">
        <v>46</v>
      </c>
      <c r="F55" s="1" t="s">
        <v>25</v>
      </c>
      <c r="G55" s="1" t="s">
        <v>18</v>
      </c>
      <c r="H55" s="1">
        <v>14016</v>
      </c>
      <c r="I55" s="1" t="s">
        <v>33</v>
      </c>
      <c r="J55" s="1">
        <v>0.3</v>
      </c>
      <c r="K55" s="1">
        <v>13000</v>
      </c>
      <c r="L55" s="2">
        <v>45342</v>
      </c>
    </row>
    <row r="56" spans="1:12" x14ac:dyDescent="0.35">
      <c r="A56" s="1" t="s">
        <v>136</v>
      </c>
      <c r="B56" s="1" t="s">
        <v>137</v>
      </c>
      <c r="C56" s="1" t="s">
        <v>44</v>
      </c>
      <c r="D56" s="1" t="s">
        <v>45</v>
      </c>
      <c r="E56" s="1" t="s">
        <v>46</v>
      </c>
      <c r="F56" s="1" t="s">
        <v>25</v>
      </c>
      <c r="G56" s="1" t="s">
        <v>26</v>
      </c>
      <c r="H56" s="1">
        <v>11442</v>
      </c>
      <c r="I56" s="1"/>
      <c r="J56" s="1"/>
      <c r="K56" s="1">
        <v>13000</v>
      </c>
      <c r="L56" s="2">
        <v>45347</v>
      </c>
    </row>
    <row r="57" spans="1:12" x14ac:dyDescent="0.35">
      <c r="A57" s="1" t="s">
        <v>138</v>
      </c>
      <c r="B57" s="1" t="s">
        <v>129</v>
      </c>
      <c r="C57" s="1" t="s">
        <v>61</v>
      </c>
      <c r="D57" s="1" t="s">
        <v>62</v>
      </c>
      <c r="E57" s="1" t="s">
        <v>32</v>
      </c>
      <c r="F57" s="1" t="s">
        <v>25</v>
      </c>
      <c r="G57" s="1" t="s">
        <v>36</v>
      </c>
      <c r="H57" s="1">
        <v>8432</v>
      </c>
      <c r="I57" s="1" t="s">
        <v>33</v>
      </c>
      <c r="J57" s="1">
        <v>0.3</v>
      </c>
      <c r="K57" s="1">
        <v>9000</v>
      </c>
      <c r="L57" s="2">
        <v>45344</v>
      </c>
    </row>
    <row r="58" spans="1:12" x14ac:dyDescent="0.35">
      <c r="A58" s="1" t="s">
        <v>139</v>
      </c>
      <c r="B58" s="1" t="s">
        <v>140</v>
      </c>
      <c r="C58" s="1" t="s">
        <v>44</v>
      </c>
      <c r="D58" s="1" t="s">
        <v>45</v>
      </c>
      <c r="E58" s="1" t="s">
        <v>32</v>
      </c>
      <c r="F58" s="1" t="s">
        <v>25</v>
      </c>
      <c r="G58" s="1" t="s">
        <v>26</v>
      </c>
      <c r="H58" s="1">
        <v>11791</v>
      </c>
      <c r="I58" s="1"/>
      <c r="J58" s="1"/>
      <c r="K58" s="1">
        <v>13000</v>
      </c>
      <c r="L58" s="2">
        <v>45313</v>
      </c>
    </row>
    <row r="59" spans="1:12" x14ac:dyDescent="0.35">
      <c r="A59" s="1" t="s">
        <v>141</v>
      </c>
      <c r="B59" s="1" t="s">
        <v>142</v>
      </c>
      <c r="C59" s="1" t="s">
        <v>14</v>
      </c>
      <c r="D59" s="1" t="s">
        <v>15</v>
      </c>
      <c r="E59" s="1" t="s">
        <v>46</v>
      </c>
      <c r="F59" s="1" t="s">
        <v>17</v>
      </c>
      <c r="G59" s="1" t="s">
        <v>26</v>
      </c>
      <c r="H59" s="1">
        <v>14086</v>
      </c>
      <c r="I59" s="1"/>
      <c r="J59" s="1"/>
      <c r="K59" s="1">
        <v>14000</v>
      </c>
      <c r="L59" s="2">
        <v>45335</v>
      </c>
    </row>
    <row r="60" spans="1:12" x14ac:dyDescent="0.35">
      <c r="A60" s="1" t="s">
        <v>143</v>
      </c>
      <c r="B60" s="1" t="s">
        <v>144</v>
      </c>
      <c r="C60" s="1" t="s">
        <v>30</v>
      </c>
      <c r="D60" s="1" t="s">
        <v>31</v>
      </c>
      <c r="E60" s="1" t="s">
        <v>32</v>
      </c>
      <c r="F60" s="1" t="s">
        <v>25</v>
      </c>
      <c r="G60" s="1" t="s">
        <v>36</v>
      </c>
      <c r="H60" s="1">
        <v>15731</v>
      </c>
      <c r="I60" s="1" t="s">
        <v>27</v>
      </c>
      <c r="J60" s="1"/>
      <c r="K60" s="1">
        <v>17000</v>
      </c>
      <c r="L60" s="2">
        <v>45308</v>
      </c>
    </row>
    <row r="61" spans="1:12" x14ac:dyDescent="0.35">
      <c r="A61" s="1" t="s">
        <v>145</v>
      </c>
      <c r="B61" s="1" t="s">
        <v>76</v>
      </c>
      <c r="C61" s="1" t="s">
        <v>61</v>
      </c>
      <c r="D61" s="1" t="s">
        <v>62</v>
      </c>
      <c r="E61" s="1" t="s">
        <v>46</v>
      </c>
      <c r="F61" s="1" t="s">
        <v>39</v>
      </c>
      <c r="G61" s="1" t="s">
        <v>36</v>
      </c>
      <c r="H61" s="1">
        <v>8787</v>
      </c>
      <c r="I61" s="1" t="s">
        <v>27</v>
      </c>
      <c r="J61" s="1"/>
      <c r="K61" s="1">
        <v>9000</v>
      </c>
      <c r="L61" s="2">
        <v>45324</v>
      </c>
    </row>
    <row r="62" spans="1:12" x14ac:dyDescent="0.35">
      <c r="A62" s="1" t="s">
        <v>146</v>
      </c>
      <c r="B62" s="1" t="s">
        <v>66</v>
      </c>
      <c r="C62" s="1" t="s">
        <v>44</v>
      </c>
      <c r="D62" s="1" t="s">
        <v>45</v>
      </c>
      <c r="E62" s="1" t="s">
        <v>46</v>
      </c>
      <c r="F62" s="1" t="s">
        <v>25</v>
      </c>
      <c r="G62" s="1" t="s">
        <v>26</v>
      </c>
      <c r="H62" s="1">
        <v>12786</v>
      </c>
      <c r="I62" s="1" t="s">
        <v>22</v>
      </c>
      <c r="J62" s="1">
        <v>0.1</v>
      </c>
      <c r="K62" s="1">
        <v>13000</v>
      </c>
      <c r="L62" s="2">
        <v>45325</v>
      </c>
    </row>
    <row r="63" spans="1:12" x14ac:dyDescent="0.35">
      <c r="A63" s="1" t="s">
        <v>147</v>
      </c>
      <c r="B63" s="1" t="s">
        <v>148</v>
      </c>
      <c r="C63" s="1" t="s">
        <v>44</v>
      </c>
      <c r="D63" s="1" t="s">
        <v>45</v>
      </c>
      <c r="E63" s="1" t="s">
        <v>46</v>
      </c>
      <c r="F63" s="1" t="s">
        <v>17</v>
      </c>
      <c r="G63" s="1" t="s">
        <v>18</v>
      </c>
      <c r="H63" s="1">
        <v>14886</v>
      </c>
      <c r="I63" s="1" t="s">
        <v>33</v>
      </c>
      <c r="J63" s="1">
        <v>0.3</v>
      </c>
      <c r="K63" s="1">
        <v>13000</v>
      </c>
      <c r="L63" s="2">
        <v>45331</v>
      </c>
    </row>
    <row r="64" spans="1:12" x14ac:dyDescent="0.35">
      <c r="A64" s="1" t="s">
        <v>149</v>
      </c>
      <c r="B64" s="1" t="s">
        <v>150</v>
      </c>
      <c r="C64" s="1" t="s">
        <v>14</v>
      </c>
      <c r="D64" s="1" t="s">
        <v>15</v>
      </c>
      <c r="E64" s="1" t="s">
        <v>16</v>
      </c>
      <c r="F64" s="1" t="s">
        <v>17</v>
      </c>
      <c r="G64" s="1" t="s">
        <v>26</v>
      </c>
      <c r="H64" s="1">
        <v>13266</v>
      </c>
      <c r="I64" s="1"/>
      <c r="J64" s="1"/>
      <c r="K64" s="1">
        <v>14000</v>
      </c>
      <c r="L64" s="2">
        <v>45312</v>
      </c>
    </row>
    <row r="65" spans="1:12" x14ac:dyDescent="0.35">
      <c r="A65" s="1" t="s">
        <v>151</v>
      </c>
      <c r="B65" s="1" t="s">
        <v>101</v>
      </c>
      <c r="C65" s="1" t="s">
        <v>30</v>
      </c>
      <c r="D65" s="1" t="s">
        <v>31</v>
      </c>
      <c r="E65" s="1" t="s">
        <v>16</v>
      </c>
      <c r="F65" s="1" t="s">
        <v>25</v>
      </c>
      <c r="G65" s="1" t="s">
        <v>18</v>
      </c>
      <c r="H65" s="1">
        <v>16722</v>
      </c>
      <c r="I65" s="1"/>
      <c r="J65" s="1"/>
      <c r="K65" s="1">
        <v>17000</v>
      </c>
      <c r="L65" s="2">
        <v>45335</v>
      </c>
    </row>
    <row r="66" spans="1:12" x14ac:dyDescent="0.35">
      <c r="A66" s="1" t="s">
        <v>152</v>
      </c>
      <c r="B66" s="1" t="s">
        <v>153</v>
      </c>
      <c r="C66" s="1" t="s">
        <v>30</v>
      </c>
      <c r="D66" s="1" t="s">
        <v>31</v>
      </c>
      <c r="E66" s="1" t="s">
        <v>46</v>
      </c>
      <c r="F66" s="1" t="s">
        <v>39</v>
      </c>
      <c r="G66" s="1" t="s">
        <v>18</v>
      </c>
      <c r="H66" s="1">
        <v>16244</v>
      </c>
      <c r="I66" s="1" t="s">
        <v>33</v>
      </c>
      <c r="J66" s="1">
        <v>0.3</v>
      </c>
      <c r="K66" s="1">
        <v>17000</v>
      </c>
      <c r="L66" s="2">
        <v>45305</v>
      </c>
    </row>
    <row r="67" spans="1:12" x14ac:dyDescent="0.35">
      <c r="A67" s="1" t="s">
        <v>154</v>
      </c>
      <c r="B67" s="1" t="s">
        <v>155</v>
      </c>
      <c r="C67" s="1" t="s">
        <v>30</v>
      </c>
      <c r="D67" s="1" t="s">
        <v>31</v>
      </c>
      <c r="E67" s="1" t="s">
        <v>46</v>
      </c>
      <c r="F67" s="1" t="s">
        <v>17</v>
      </c>
      <c r="G67" s="1" t="s">
        <v>36</v>
      </c>
      <c r="H67" s="1">
        <v>17767</v>
      </c>
      <c r="I67" s="1" t="s">
        <v>19</v>
      </c>
      <c r="J67" s="1">
        <v>0.2</v>
      </c>
      <c r="K67" s="1">
        <v>17000</v>
      </c>
      <c r="L67" s="2">
        <v>45324</v>
      </c>
    </row>
    <row r="68" spans="1:12" x14ac:dyDescent="0.35">
      <c r="A68" s="1" t="s">
        <v>156</v>
      </c>
      <c r="B68" s="1" t="s">
        <v>157</v>
      </c>
      <c r="C68" s="1" t="s">
        <v>44</v>
      </c>
      <c r="D68" s="1" t="s">
        <v>45</v>
      </c>
      <c r="E68" s="1" t="s">
        <v>16</v>
      </c>
      <c r="F68" s="1" t="s">
        <v>25</v>
      </c>
      <c r="G68" s="1" t="s">
        <v>36</v>
      </c>
      <c r="H68" s="1">
        <v>13111</v>
      </c>
      <c r="I68" s="1" t="s">
        <v>27</v>
      </c>
      <c r="J68" s="1"/>
      <c r="K68" s="1">
        <v>13000</v>
      </c>
      <c r="L68" s="2">
        <v>45313</v>
      </c>
    </row>
    <row r="69" spans="1:12" x14ac:dyDescent="0.35">
      <c r="A69" s="1" t="s">
        <v>158</v>
      </c>
      <c r="B69" s="1" t="s">
        <v>159</v>
      </c>
      <c r="C69" s="1" t="s">
        <v>44</v>
      </c>
      <c r="D69" s="1" t="s">
        <v>45</v>
      </c>
      <c r="E69" s="1" t="s">
        <v>16</v>
      </c>
      <c r="F69" s="1" t="s">
        <v>17</v>
      </c>
      <c r="G69" s="1" t="s">
        <v>18</v>
      </c>
      <c r="H69" s="1">
        <v>14303</v>
      </c>
      <c r="I69" s="1" t="s">
        <v>19</v>
      </c>
      <c r="J69" s="1">
        <v>0.2</v>
      </c>
      <c r="K69" s="1">
        <v>13000</v>
      </c>
      <c r="L69" s="2">
        <v>45301</v>
      </c>
    </row>
    <row r="70" spans="1:12" x14ac:dyDescent="0.35">
      <c r="A70" s="1" t="s">
        <v>160</v>
      </c>
      <c r="B70" s="1" t="s">
        <v>161</v>
      </c>
      <c r="C70" s="1" t="s">
        <v>44</v>
      </c>
      <c r="D70" s="1" t="s">
        <v>45</v>
      </c>
      <c r="E70" s="1" t="s">
        <v>46</v>
      </c>
      <c r="F70" s="1" t="s">
        <v>39</v>
      </c>
      <c r="G70" s="1" t="s">
        <v>18</v>
      </c>
      <c r="H70" s="1">
        <v>12865</v>
      </c>
      <c r="I70" s="1"/>
      <c r="J70" s="1"/>
      <c r="K70" s="1">
        <v>13000</v>
      </c>
      <c r="L70" s="2">
        <v>45348</v>
      </c>
    </row>
    <row r="71" spans="1:12" x14ac:dyDescent="0.35">
      <c r="A71" s="1" t="s">
        <v>162</v>
      </c>
      <c r="B71" s="1" t="s">
        <v>163</v>
      </c>
      <c r="C71" s="1" t="s">
        <v>44</v>
      </c>
      <c r="D71" s="1" t="s">
        <v>45</v>
      </c>
      <c r="E71" s="1" t="s">
        <v>16</v>
      </c>
      <c r="F71" s="1" t="s">
        <v>39</v>
      </c>
      <c r="G71" s="1" t="s">
        <v>36</v>
      </c>
      <c r="H71" s="1">
        <v>13024</v>
      </c>
      <c r="I71" s="1"/>
      <c r="J71" s="1"/>
      <c r="K71" s="1">
        <v>13000</v>
      </c>
      <c r="L71" s="2">
        <v>45307</v>
      </c>
    </row>
    <row r="72" spans="1:12" x14ac:dyDescent="0.35">
      <c r="A72" s="1" t="s">
        <v>164</v>
      </c>
      <c r="B72" s="1" t="s">
        <v>113</v>
      </c>
      <c r="C72" s="1" t="s">
        <v>14</v>
      </c>
      <c r="D72" s="1" t="s">
        <v>15</v>
      </c>
      <c r="E72" s="1" t="s">
        <v>32</v>
      </c>
      <c r="F72" s="1" t="s">
        <v>17</v>
      </c>
      <c r="G72" s="1" t="s">
        <v>18</v>
      </c>
      <c r="H72" s="1">
        <v>12720</v>
      </c>
      <c r="I72" s="1" t="s">
        <v>27</v>
      </c>
      <c r="J72" s="1"/>
      <c r="K72" s="1">
        <v>14000</v>
      </c>
      <c r="L72" s="2">
        <v>45321</v>
      </c>
    </row>
    <row r="73" spans="1:12" x14ac:dyDescent="0.35">
      <c r="A73" s="1" t="s">
        <v>165</v>
      </c>
      <c r="B73" s="1" t="s">
        <v>166</v>
      </c>
      <c r="C73" s="1" t="s">
        <v>44</v>
      </c>
      <c r="D73" s="1" t="s">
        <v>45</v>
      </c>
      <c r="E73" s="1" t="s">
        <v>32</v>
      </c>
      <c r="F73" s="1" t="s">
        <v>17</v>
      </c>
      <c r="G73" s="1" t="s">
        <v>18</v>
      </c>
      <c r="H73" s="1">
        <v>14282</v>
      </c>
      <c r="I73" s="1"/>
      <c r="J73" s="1"/>
      <c r="K73" s="1">
        <v>13000</v>
      </c>
      <c r="L73" s="2">
        <v>45334</v>
      </c>
    </row>
    <row r="74" spans="1:12" x14ac:dyDescent="0.35">
      <c r="A74" s="1" t="s">
        <v>167</v>
      </c>
      <c r="B74" s="1" t="s">
        <v>168</v>
      </c>
      <c r="C74" s="1" t="s">
        <v>30</v>
      </c>
      <c r="D74" s="1" t="s">
        <v>31</v>
      </c>
      <c r="E74" s="1" t="s">
        <v>46</v>
      </c>
      <c r="F74" s="1" t="s">
        <v>39</v>
      </c>
      <c r="G74" s="1" t="s">
        <v>26</v>
      </c>
      <c r="H74" s="1">
        <v>18653</v>
      </c>
      <c r="I74" s="1" t="s">
        <v>27</v>
      </c>
      <c r="J74" s="1"/>
      <c r="K74" s="1">
        <v>17000</v>
      </c>
      <c r="L74" s="2">
        <v>45319</v>
      </c>
    </row>
    <row r="75" spans="1:12" x14ac:dyDescent="0.35">
      <c r="A75" s="1" t="s">
        <v>169</v>
      </c>
      <c r="B75" s="1" t="s">
        <v>144</v>
      </c>
      <c r="C75" s="1" t="s">
        <v>61</v>
      </c>
      <c r="D75" s="1" t="s">
        <v>62</v>
      </c>
      <c r="E75" s="1" t="s">
        <v>32</v>
      </c>
      <c r="F75" s="1" t="s">
        <v>39</v>
      </c>
      <c r="G75" s="1" t="s">
        <v>36</v>
      </c>
      <c r="H75" s="1">
        <v>8843</v>
      </c>
      <c r="I75" s="1" t="s">
        <v>33</v>
      </c>
      <c r="J75" s="1">
        <v>0.3</v>
      </c>
      <c r="K75" s="1">
        <v>9000</v>
      </c>
      <c r="L75" s="2">
        <v>45340</v>
      </c>
    </row>
    <row r="76" spans="1:12" x14ac:dyDescent="0.35">
      <c r="A76" s="1" t="s">
        <v>170</v>
      </c>
      <c r="B76" s="1" t="s">
        <v>171</v>
      </c>
      <c r="C76" s="1" t="s">
        <v>30</v>
      </c>
      <c r="D76" s="1" t="s">
        <v>31</v>
      </c>
      <c r="E76" s="1" t="s">
        <v>16</v>
      </c>
      <c r="F76" s="1" t="s">
        <v>17</v>
      </c>
      <c r="G76" s="1" t="s">
        <v>26</v>
      </c>
      <c r="H76" s="1">
        <v>15979</v>
      </c>
      <c r="I76" s="1" t="s">
        <v>33</v>
      </c>
      <c r="J76" s="1">
        <v>0.3</v>
      </c>
      <c r="K76" s="1">
        <v>17000</v>
      </c>
      <c r="L76" s="2">
        <v>45320</v>
      </c>
    </row>
    <row r="77" spans="1:12" x14ac:dyDescent="0.35">
      <c r="A77" s="1" t="s">
        <v>172</v>
      </c>
      <c r="B77" s="1" t="s">
        <v>173</v>
      </c>
      <c r="C77" s="1" t="s">
        <v>30</v>
      </c>
      <c r="D77" s="1" t="s">
        <v>31</v>
      </c>
      <c r="E77" s="1" t="s">
        <v>32</v>
      </c>
      <c r="F77" s="1" t="s">
        <v>17</v>
      </c>
      <c r="G77" s="1" t="s">
        <v>36</v>
      </c>
      <c r="H77" s="1">
        <v>16309</v>
      </c>
      <c r="I77" s="1" t="s">
        <v>27</v>
      </c>
      <c r="J77" s="1"/>
      <c r="K77" s="1">
        <v>17000</v>
      </c>
      <c r="L77" s="2">
        <v>45297</v>
      </c>
    </row>
    <row r="78" spans="1:12" x14ac:dyDescent="0.35">
      <c r="A78" s="1" t="s">
        <v>174</v>
      </c>
      <c r="B78" s="1" t="s">
        <v>175</v>
      </c>
      <c r="C78" s="1" t="s">
        <v>44</v>
      </c>
      <c r="D78" s="1" t="s">
        <v>45</v>
      </c>
      <c r="E78" s="1" t="s">
        <v>46</v>
      </c>
      <c r="F78" s="1" t="s">
        <v>39</v>
      </c>
      <c r="G78" s="1" t="s">
        <v>18</v>
      </c>
      <c r="H78" s="1">
        <v>13893</v>
      </c>
      <c r="I78" s="1" t="s">
        <v>19</v>
      </c>
      <c r="J78" s="1">
        <v>0.2</v>
      </c>
      <c r="K78" s="1">
        <v>13000</v>
      </c>
      <c r="L78" s="2">
        <v>45296</v>
      </c>
    </row>
    <row r="79" spans="1:12" x14ac:dyDescent="0.35">
      <c r="A79" s="1" t="s">
        <v>176</v>
      </c>
      <c r="B79" s="1" t="s">
        <v>177</v>
      </c>
      <c r="C79" s="1" t="s">
        <v>30</v>
      </c>
      <c r="D79" s="1" t="s">
        <v>31</v>
      </c>
      <c r="E79" s="1" t="s">
        <v>16</v>
      </c>
      <c r="F79" s="1" t="s">
        <v>17</v>
      </c>
      <c r="G79" s="1" t="s">
        <v>36</v>
      </c>
      <c r="H79" s="1">
        <v>15255</v>
      </c>
      <c r="I79" s="1" t="s">
        <v>19</v>
      </c>
      <c r="J79" s="1">
        <v>0.2</v>
      </c>
      <c r="K79" s="1">
        <v>17000</v>
      </c>
      <c r="L79" s="2">
        <v>45345</v>
      </c>
    </row>
    <row r="80" spans="1:12" x14ac:dyDescent="0.35">
      <c r="A80" s="1" t="s">
        <v>178</v>
      </c>
      <c r="B80" s="1" t="s">
        <v>177</v>
      </c>
      <c r="C80" s="1" t="s">
        <v>14</v>
      </c>
      <c r="D80" s="1" t="s">
        <v>15</v>
      </c>
      <c r="E80" s="1" t="s">
        <v>16</v>
      </c>
      <c r="F80" s="1" t="s">
        <v>17</v>
      </c>
      <c r="G80" s="1" t="s">
        <v>36</v>
      </c>
      <c r="H80" s="1">
        <v>12024</v>
      </c>
      <c r="I80" s="1" t="s">
        <v>33</v>
      </c>
      <c r="J80" s="1">
        <v>0.3</v>
      </c>
      <c r="K80" s="1">
        <v>14000</v>
      </c>
      <c r="L80" s="2">
        <v>45311</v>
      </c>
    </row>
    <row r="81" spans="1:12" x14ac:dyDescent="0.35">
      <c r="A81" s="1" t="s">
        <v>179</v>
      </c>
      <c r="B81" s="1" t="s">
        <v>180</v>
      </c>
      <c r="C81" s="1" t="s">
        <v>61</v>
      </c>
      <c r="D81" s="1" t="s">
        <v>62</v>
      </c>
      <c r="E81" s="1" t="s">
        <v>16</v>
      </c>
      <c r="F81" s="1" t="s">
        <v>39</v>
      </c>
      <c r="G81" s="1" t="s">
        <v>26</v>
      </c>
      <c r="H81" s="1">
        <v>9236</v>
      </c>
      <c r="I81" s="1" t="s">
        <v>27</v>
      </c>
      <c r="J81" s="1"/>
      <c r="K81" s="1">
        <v>9000</v>
      </c>
      <c r="L81" s="2">
        <v>45349</v>
      </c>
    </row>
    <row r="82" spans="1:12" x14ac:dyDescent="0.35">
      <c r="A82" s="1" t="s">
        <v>181</v>
      </c>
      <c r="B82" s="1" t="s">
        <v>29</v>
      </c>
      <c r="C82" s="1" t="s">
        <v>44</v>
      </c>
      <c r="D82" s="1" t="s">
        <v>45</v>
      </c>
      <c r="E82" s="1" t="s">
        <v>46</v>
      </c>
      <c r="F82" s="1" t="s">
        <v>17</v>
      </c>
      <c r="G82" s="1" t="s">
        <v>36</v>
      </c>
      <c r="H82" s="1">
        <v>11118</v>
      </c>
      <c r="I82" s="1"/>
      <c r="J82" s="1"/>
      <c r="K82" s="1">
        <v>13000</v>
      </c>
      <c r="L82" s="2">
        <v>45313</v>
      </c>
    </row>
    <row r="83" spans="1:12" x14ac:dyDescent="0.35">
      <c r="A83" s="1" t="s">
        <v>182</v>
      </c>
      <c r="B83" s="1" t="s">
        <v>92</v>
      </c>
      <c r="C83" s="1" t="s">
        <v>61</v>
      </c>
      <c r="D83" s="1" t="s">
        <v>62</v>
      </c>
      <c r="E83" s="1" t="s">
        <v>16</v>
      </c>
      <c r="F83" s="1" t="s">
        <v>25</v>
      </c>
      <c r="G83" s="1" t="s">
        <v>36</v>
      </c>
      <c r="H83" s="1">
        <v>10766</v>
      </c>
      <c r="I83" s="1" t="s">
        <v>19</v>
      </c>
      <c r="J83" s="1">
        <v>0.2</v>
      </c>
      <c r="K83" s="1">
        <v>9000</v>
      </c>
      <c r="L83" s="2">
        <v>45331</v>
      </c>
    </row>
    <row r="84" spans="1:12" x14ac:dyDescent="0.35">
      <c r="A84" s="1" t="s">
        <v>183</v>
      </c>
      <c r="B84" s="1" t="s">
        <v>184</v>
      </c>
      <c r="C84" s="1" t="s">
        <v>61</v>
      </c>
      <c r="D84" s="1" t="s">
        <v>62</v>
      </c>
      <c r="E84" s="1" t="s">
        <v>16</v>
      </c>
      <c r="F84" s="1" t="s">
        <v>39</v>
      </c>
      <c r="G84" s="1" t="s">
        <v>26</v>
      </c>
      <c r="H84" s="1">
        <v>7111</v>
      </c>
      <c r="I84" s="1" t="s">
        <v>22</v>
      </c>
      <c r="J84" s="1">
        <v>0.1</v>
      </c>
      <c r="K84" s="1">
        <v>9000</v>
      </c>
      <c r="L84" s="2">
        <v>45333</v>
      </c>
    </row>
    <row r="85" spans="1:12" x14ac:dyDescent="0.35">
      <c r="A85" s="1" t="s">
        <v>185</v>
      </c>
      <c r="B85" s="1" t="s">
        <v>186</v>
      </c>
      <c r="C85" s="1" t="s">
        <v>61</v>
      </c>
      <c r="D85" s="1" t="s">
        <v>62</v>
      </c>
      <c r="E85" s="1" t="s">
        <v>32</v>
      </c>
      <c r="F85" s="1" t="s">
        <v>25</v>
      </c>
      <c r="G85" s="1" t="s">
        <v>36</v>
      </c>
      <c r="H85" s="1">
        <v>8552</v>
      </c>
      <c r="I85" s="1" t="s">
        <v>33</v>
      </c>
      <c r="J85" s="1">
        <v>0.3</v>
      </c>
      <c r="K85" s="1">
        <v>9000</v>
      </c>
      <c r="L85" s="2">
        <v>45305</v>
      </c>
    </row>
    <row r="86" spans="1:12" x14ac:dyDescent="0.35">
      <c r="A86" s="1" t="s">
        <v>187</v>
      </c>
      <c r="B86" s="1" t="s">
        <v>188</v>
      </c>
      <c r="C86" s="1" t="s">
        <v>30</v>
      </c>
      <c r="D86" s="1" t="s">
        <v>31</v>
      </c>
      <c r="E86" s="1" t="s">
        <v>46</v>
      </c>
      <c r="F86" s="1" t="s">
        <v>17</v>
      </c>
      <c r="G86" s="1" t="s">
        <v>36</v>
      </c>
      <c r="H86" s="1">
        <v>16033</v>
      </c>
      <c r="I86" s="1" t="s">
        <v>22</v>
      </c>
      <c r="J86" s="1">
        <v>0.1</v>
      </c>
      <c r="K86" s="1">
        <v>17000</v>
      </c>
      <c r="L86" s="2">
        <v>45322</v>
      </c>
    </row>
    <row r="87" spans="1:12" x14ac:dyDescent="0.35">
      <c r="A87" s="1" t="s">
        <v>189</v>
      </c>
      <c r="B87" s="1" t="s">
        <v>190</v>
      </c>
      <c r="C87" s="1" t="s">
        <v>14</v>
      </c>
      <c r="D87" s="1" t="s">
        <v>15</v>
      </c>
      <c r="E87" s="1" t="s">
        <v>46</v>
      </c>
      <c r="F87" s="1" t="s">
        <v>25</v>
      </c>
      <c r="G87" s="1" t="s">
        <v>26</v>
      </c>
      <c r="H87" s="1">
        <v>12281</v>
      </c>
      <c r="I87" s="1" t="s">
        <v>22</v>
      </c>
      <c r="J87" s="1">
        <v>0.1</v>
      </c>
      <c r="K87" s="1">
        <v>14000</v>
      </c>
      <c r="L87" s="2">
        <v>45340</v>
      </c>
    </row>
    <row r="88" spans="1:12" x14ac:dyDescent="0.35">
      <c r="A88" s="1" t="s">
        <v>191</v>
      </c>
      <c r="B88" s="1" t="s">
        <v>192</v>
      </c>
      <c r="C88" s="1" t="s">
        <v>44</v>
      </c>
      <c r="D88" s="1" t="s">
        <v>45</v>
      </c>
      <c r="E88" s="1" t="s">
        <v>32</v>
      </c>
      <c r="F88" s="1" t="s">
        <v>39</v>
      </c>
      <c r="G88" s="1" t="s">
        <v>18</v>
      </c>
      <c r="H88" s="1">
        <v>11977</v>
      </c>
      <c r="I88" s="1" t="s">
        <v>19</v>
      </c>
      <c r="J88" s="1">
        <v>0.2</v>
      </c>
      <c r="K88" s="1">
        <v>13000</v>
      </c>
      <c r="L88" s="2">
        <v>45322</v>
      </c>
    </row>
    <row r="89" spans="1:12" x14ac:dyDescent="0.35">
      <c r="A89" s="1" t="s">
        <v>193</v>
      </c>
      <c r="B89" s="1" t="s">
        <v>13</v>
      </c>
      <c r="C89" s="1" t="s">
        <v>44</v>
      </c>
      <c r="D89" s="1" t="s">
        <v>45</v>
      </c>
      <c r="E89" s="1" t="s">
        <v>46</v>
      </c>
      <c r="F89" s="1" t="s">
        <v>39</v>
      </c>
      <c r="G89" s="1" t="s">
        <v>36</v>
      </c>
      <c r="H89" s="1">
        <v>14141</v>
      </c>
      <c r="I89" s="1" t="s">
        <v>33</v>
      </c>
      <c r="J89" s="1">
        <v>0.3</v>
      </c>
      <c r="K89" s="1">
        <v>13000</v>
      </c>
      <c r="L89" s="2">
        <v>45302</v>
      </c>
    </row>
    <row r="90" spans="1:12" x14ac:dyDescent="0.35">
      <c r="A90" s="1" t="s">
        <v>194</v>
      </c>
      <c r="B90" s="1" t="s">
        <v>195</v>
      </c>
      <c r="C90" s="1" t="s">
        <v>14</v>
      </c>
      <c r="D90" s="1" t="s">
        <v>15</v>
      </c>
      <c r="E90" s="1" t="s">
        <v>32</v>
      </c>
      <c r="F90" s="1" t="s">
        <v>17</v>
      </c>
      <c r="G90" s="1" t="s">
        <v>18</v>
      </c>
      <c r="H90" s="1">
        <v>14370</v>
      </c>
      <c r="I90" s="1" t="s">
        <v>22</v>
      </c>
      <c r="J90" s="1">
        <v>0.1</v>
      </c>
      <c r="K90" s="1">
        <v>14000</v>
      </c>
      <c r="L90" s="2">
        <v>45351</v>
      </c>
    </row>
    <row r="91" spans="1:12" x14ac:dyDescent="0.35">
      <c r="A91" s="1" t="s">
        <v>196</v>
      </c>
      <c r="B91" s="1" t="s">
        <v>118</v>
      </c>
      <c r="C91" s="1" t="s">
        <v>61</v>
      </c>
      <c r="D91" s="1" t="s">
        <v>62</v>
      </c>
      <c r="E91" s="1" t="s">
        <v>46</v>
      </c>
      <c r="F91" s="1" t="s">
        <v>39</v>
      </c>
      <c r="G91" s="1" t="s">
        <v>18</v>
      </c>
      <c r="H91" s="1">
        <v>7311</v>
      </c>
      <c r="I91" s="1" t="s">
        <v>27</v>
      </c>
      <c r="J91" s="1"/>
      <c r="K91" s="1">
        <v>9000</v>
      </c>
      <c r="L91" s="2">
        <v>45336</v>
      </c>
    </row>
    <row r="92" spans="1:12" x14ac:dyDescent="0.35">
      <c r="A92" s="1" t="s">
        <v>197</v>
      </c>
      <c r="B92" s="1" t="s">
        <v>198</v>
      </c>
      <c r="C92" s="1" t="s">
        <v>44</v>
      </c>
      <c r="D92" s="1" t="s">
        <v>45</v>
      </c>
      <c r="E92" s="1" t="s">
        <v>32</v>
      </c>
      <c r="F92" s="1" t="s">
        <v>39</v>
      </c>
      <c r="G92" s="1" t="s">
        <v>36</v>
      </c>
      <c r="H92" s="1">
        <v>14482</v>
      </c>
      <c r="I92" s="1" t="s">
        <v>27</v>
      </c>
      <c r="J92" s="1"/>
      <c r="K92" s="1">
        <v>13000</v>
      </c>
      <c r="L92" s="2">
        <v>45343</v>
      </c>
    </row>
    <row r="93" spans="1:12" x14ac:dyDescent="0.35">
      <c r="A93" s="1" t="s">
        <v>199</v>
      </c>
      <c r="B93" s="1" t="s">
        <v>200</v>
      </c>
      <c r="C93" s="1" t="s">
        <v>14</v>
      </c>
      <c r="D93" s="1" t="s">
        <v>15</v>
      </c>
      <c r="E93" s="1" t="s">
        <v>46</v>
      </c>
      <c r="F93" s="1" t="s">
        <v>39</v>
      </c>
      <c r="G93" s="1" t="s">
        <v>36</v>
      </c>
      <c r="H93" s="1">
        <v>14709</v>
      </c>
      <c r="I93" s="1" t="s">
        <v>33</v>
      </c>
      <c r="J93" s="1">
        <v>0.3</v>
      </c>
      <c r="K93" s="1">
        <v>14000</v>
      </c>
      <c r="L93" s="2">
        <v>45296</v>
      </c>
    </row>
    <row r="94" spans="1:12" x14ac:dyDescent="0.35">
      <c r="A94" s="1" t="s">
        <v>201</v>
      </c>
      <c r="B94" s="1" t="s">
        <v>202</v>
      </c>
      <c r="C94" s="1" t="s">
        <v>30</v>
      </c>
      <c r="D94" s="1" t="s">
        <v>31</v>
      </c>
      <c r="E94" s="1" t="s">
        <v>32</v>
      </c>
      <c r="F94" s="1" t="s">
        <v>17</v>
      </c>
      <c r="G94" s="1" t="s">
        <v>36</v>
      </c>
      <c r="H94" s="1">
        <v>15432</v>
      </c>
      <c r="I94" s="1"/>
      <c r="J94" s="1"/>
      <c r="K94" s="1">
        <v>17000</v>
      </c>
      <c r="L94" s="2">
        <v>45315</v>
      </c>
    </row>
    <row r="95" spans="1:12" x14ac:dyDescent="0.35">
      <c r="A95" s="1" t="s">
        <v>203</v>
      </c>
      <c r="B95" s="1" t="s">
        <v>204</v>
      </c>
      <c r="C95" s="1" t="s">
        <v>61</v>
      </c>
      <c r="D95" s="1" t="s">
        <v>62</v>
      </c>
      <c r="E95" s="1" t="s">
        <v>16</v>
      </c>
      <c r="F95" s="1" t="s">
        <v>25</v>
      </c>
      <c r="G95" s="1" t="s">
        <v>36</v>
      </c>
      <c r="H95" s="1">
        <v>7721</v>
      </c>
      <c r="I95" s="1" t="s">
        <v>27</v>
      </c>
      <c r="J95" s="1"/>
      <c r="K95" s="1">
        <v>9000</v>
      </c>
      <c r="L95" s="2">
        <v>45333</v>
      </c>
    </row>
    <row r="96" spans="1:12" x14ac:dyDescent="0.35">
      <c r="A96" s="1" t="s">
        <v>205</v>
      </c>
      <c r="B96" s="1" t="s">
        <v>118</v>
      </c>
      <c r="C96" s="1" t="s">
        <v>61</v>
      </c>
      <c r="D96" s="1" t="s">
        <v>62</v>
      </c>
      <c r="E96" s="1" t="s">
        <v>46</v>
      </c>
      <c r="F96" s="1" t="s">
        <v>17</v>
      </c>
      <c r="G96" s="1" t="s">
        <v>26</v>
      </c>
      <c r="H96" s="1">
        <v>9426</v>
      </c>
      <c r="I96" s="1" t="s">
        <v>33</v>
      </c>
      <c r="J96" s="1">
        <v>0.3</v>
      </c>
      <c r="K96" s="1">
        <v>9000</v>
      </c>
      <c r="L96" s="2">
        <v>45312</v>
      </c>
    </row>
    <row r="97" spans="1:12" x14ac:dyDescent="0.35">
      <c r="A97" s="1" t="s">
        <v>206</v>
      </c>
      <c r="B97" s="1" t="s">
        <v>207</v>
      </c>
      <c r="C97" s="1" t="s">
        <v>14</v>
      </c>
      <c r="D97" s="1" t="s">
        <v>15</v>
      </c>
      <c r="E97" s="1" t="s">
        <v>46</v>
      </c>
      <c r="F97" s="1" t="s">
        <v>17</v>
      </c>
      <c r="G97" s="1" t="s">
        <v>18</v>
      </c>
      <c r="H97" s="1">
        <v>15073</v>
      </c>
      <c r="I97" s="1"/>
      <c r="J97" s="1"/>
      <c r="K97" s="1">
        <v>14000</v>
      </c>
      <c r="L97" s="2">
        <v>45328</v>
      </c>
    </row>
    <row r="98" spans="1:12" x14ac:dyDescent="0.35">
      <c r="A98" s="1" t="s">
        <v>208</v>
      </c>
      <c r="B98" s="1" t="s">
        <v>209</v>
      </c>
      <c r="C98" s="1" t="s">
        <v>61</v>
      </c>
      <c r="D98" s="1" t="s">
        <v>62</v>
      </c>
      <c r="E98" s="1" t="s">
        <v>46</v>
      </c>
      <c r="F98" s="1" t="s">
        <v>25</v>
      </c>
      <c r="G98" s="1" t="s">
        <v>36</v>
      </c>
      <c r="H98" s="1">
        <v>10485</v>
      </c>
      <c r="I98" s="1" t="s">
        <v>33</v>
      </c>
      <c r="J98" s="1">
        <v>0.3</v>
      </c>
      <c r="K98" s="1">
        <v>9000</v>
      </c>
      <c r="L98" s="2">
        <v>45303</v>
      </c>
    </row>
    <row r="99" spans="1:12" x14ac:dyDescent="0.35">
      <c r="A99" s="1" t="s">
        <v>210</v>
      </c>
      <c r="B99" s="1" t="s">
        <v>211</v>
      </c>
      <c r="C99" s="1" t="s">
        <v>30</v>
      </c>
      <c r="D99" s="1" t="s">
        <v>31</v>
      </c>
      <c r="E99" s="1" t="s">
        <v>46</v>
      </c>
      <c r="F99" s="1" t="s">
        <v>17</v>
      </c>
      <c r="G99" s="1" t="s">
        <v>36</v>
      </c>
      <c r="H99" s="1">
        <v>18605</v>
      </c>
      <c r="I99" s="1" t="s">
        <v>27</v>
      </c>
      <c r="J99" s="1"/>
      <c r="K99" s="1">
        <v>17000</v>
      </c>
      <c r="L99" s="2">
        <v>45336</v>
      </c>
    </row>
    <row r="100" spans="1:12" x14ac:dyDescent="0.35">
      <c r="A100" s="1" t="s">
        <v>212</v>
      </c>
      <c r="B100" s="1" t="s">
        <v>111</v>
      </c>
      <c r="C100" s="1" t="s">
        <v>14</v>
      </c>
      <c r="D100" s="1" t="s">
        <v>15</v>
      </c>
      <c r="E100" s="1" t="s">
        <v>16</v>
      </c>
      <c r="F100" s="1" t="s">
        <v>25</v>
      </c>
      <c r="G100" s="1" t="s">
        <v>18</v>
      </c>
      <c r="H100" s="1">
        <v>12988</v>
      </c>
      <c r="I100" s="1"/>
      <c r="J100" s="1"/>
      <c r="K100" s="1">
        <v>14000</v>
      </c>
      <c r="L100" s="2">
        <v>45323</v>
      </c>
    </row>
    <row r="101" spans="1:12" x14ac:dyDescent="0.35">
      <c r="A101" s="1" t="s">
        <v>213</v>
      </c>
      <c r="B101" s="1" t="s">
        <v>82</v>
      </c>
      <c r="C101" s="1" t="s">
        <v>44</v>
      </c>
      <c r="D101" s="1" t="s">
        <v>45</v>
      </c>
      <c r="E101" s="1" t="s">
        <v>16</v>
      </c>
      <c r="F101" s="1" t="s">
        <v>17</v>
      </c>
      <c r="G101" s="1" t="s">
        <v>26</v>
      </c>
      <c r="H101" s="1">
        <v>13915</v>
      </c>
      <c r="I101" s="1"/>
      <c r="J101" s="1"/>
      <c r="K101" s="1">
        <v>13000</v>
      </c>
      <c r="L101" s="2">
        <v>45320</v>
      </c>
    </row>
    <row r="102" spans="1:12" x14ac:dyDescent="0.35">
      <c r="A102" s="1" t="s">
        <v>214</v>
      </c>
      <c r="B102" s="1" t="s">
        <v>64</v>
      </c>
      <c r="C102" s="1" t="s">
        <v>14</v>
      </c>
      <c r="D102" s="1" t="s">
        <v>15</v>
      </c>
      <c r="E102" s="1" t="s">
        <v>46</v>
      </c>
      <c r="F102" s="1" t="s">
        <v>25</v>
      </c>
      <c r="G102" s="1" t="s">
        <v>36</v>
      </c>
      <c r="H102" s="1">
        <v>14833</v>
      </c>
      <c r="I102" s="1" t="s">
        <v>19</v>
      </c>
      <c r="J102" s="1">
        <v>0.2</v>
      </c>
      <c r="K102" s="1">
        <v>14000</v>
      </c>
      <c r="L102" s="2">
        <v>45311</v>
      </c>
    </row>
    <row r="103" spans="1:12" x14ac:dyDescent="0.35">
      <c r="A103" s="1" t="s">
        <v>215</v>
      </c>
      <c r="B103" s="1" t="s">
        <v>163</v>
      </c>
      <c r="C103" s="1" t="s">
        <v>30</v>
      </c>
      <c r="D103" s="1" t="s">
        <v>31</v>
      </c>
      <c r="E103" s="1" t="s">
        <v>46</v>
      </c>
      <c r="F103" s="1" t="s">
        <v>39</v>
      </c>
      <c r="G103" s="1" t="s">
        <v>26</v>
      </c>
      <c r="H103" s="1">
        <v>16408</v>
      </c>
      <c r="I103" s="1"/>
      <c r="J103" s="1"/>
      <c r="K103" s="1">
        <v>17000</v>
      </c>
      <c r="L103" s="2">
        <v>45339</v>
      </c>
    </row>
    <row r="104" spans="1:12" x14ac:dyDescent="0.35">
      <c r="A104" s="1" t="s">
        <v>216</v>
      </c>
      <c r="B104" s="1" t="s">
        <v>217</v>
      </c>
      <c r="C104" s="1" t="s">
        <v>30</v>
      </c>
      <c r="D104" s="1" t="s">
        <v>31</v>
      </c>
      <c r="E104" s="1" t="s">
        <v>16</v>
      </c>
      <c r="F104" s="1" t="s">
        <v>17</v>
      </c>
      <c r="G104" s="1" t="s">
        <v>36</v>
      </c>
      <c r="H104" s="1">
        <v>16255</v>
      </c>
      <c r="I104" s="1" t="s">
        <v>33</v>
      </c>
      <c r="J104" s="1">
        <v>0.3</v>
      </c>
      <c r="K104" s="1">
        <v>17000</v>
      </c>
      <c r="L104" s="2">
        <v>45306</v>
      </c>
    </row>
    <row r="105" spans="1:12" x14ac:dyDescent="0.35">
      <c r="A105" s="1" t="s">
        <v>218</v>
      </c>
      <c r="B105" s="1" t="s">
        <v>173</v>
      </c>
      <c r="C105" s="1" t="s">
        <v>44</v>
      </c>
      <c r="D105" s="1" t="s">
        <v>45</v>
      </c>
      <c r="E105" s="1" t="s">
        <v>46</v>
      </c>
      <c r="F105" s="1" t="s">
        <v>25</v>
      </c>
      <c r="G105" s="1" t="s">
        <v>26</v>
      </c>
      <c r="H105" s="1">
        <v>13194</v>
      </c>
      <c r="I105" s="1" t="s">
        <v>19</v>
      </c>
      <c r="J105" s="1">
        <v>0.2</v>
      </c>
      <c r="K105" s="1">
        <v>13000</v>
      </c>
      <c r="L105" s="2">
        <v>45304</v>
      </c>
    </row>
    <row r="106" spans="1:12" x14ac:dyDescent="0.35">
      <c r="A106" s="1" t="s">
        <v>219</v>
      </c>
      <c r="B106" s="1" t="s">
        <v>220</v>
      </c>
      <c r="C106" s="1" t="s">
        <v>61</v>
      </c>
      <c r="D106" s="1" t="s">
        <v>62</v>
      </c>
      <c r="E106" s="1" t="s">
        <v>46</v>
      </c>
      <c r="F106" s="1" t="s">
        <v>39</v>
      </c>
      <c r="G106" s="1" t="s">
        <v>26</v>
      </c>
      <c r="H106" s="1">
        <v>11000</v>
      </c>
      <c r="I106" s="1" t="s">
        <v>27</v>
      </c>
      <c r="J106" s="1"/>
      <c r="K106" s="1">
        <v>9000</v>
      </c>
      <c r="L106" s="2">
        <v>45330</v>
      </c>
    </row>
    <row r="107" spans="1:12" x14ac:dyDescent="0.35">
      <c r="A107" s="1" t="s">
        <v>221</v>
      </c>
      <c r="B107" s="1" t="s">
        <v>222</v>
      </c>
      <c r="C107" s="1" t="s">
        <v>44</v>
      </c>
      <c r="D107" s="1" t="s">
        <v>45</v>
      </c>
      <c r="E107" s="1" t="s">
        <v>46</v>
      </c>
      <c r="F107" s="1" t="s">
        <v>25</v>
      </c>
      <c r="G107" s="1" t="s">
        <v>36</v>
      </c>
      <c r="H107" s="1">
        <v>11734</v>
      </c>
      <c r="I107" s="1" t="s">
        <v>33</v>
      </c>
      <c r="J107" s="1">
        <v>0.3</v>
      </c>
      <c r="K107" s="1">
        <v>13000</v>
      </c>
      <c r="L107" s="2">
        <v>45292</v>
      </c>
    </row>
    <row r="108" spans="1:12" x14ac:dyDescent="0.35">
      <c r="A108" s="1" t="s">
        <v>223</v>
      </c>
      <c r="B108" s="1" t="s">
        <v>103</v>
      </c>
      <c r="C108" s="1" t="s">
        <v>44</v>
      </c>
      <c r="D108" s="1" t="s">
        <v>45</v>
      </c>
      <c r="E108" s="1" t="s">
        <v>46</v>
      </c>
      <c r="F108" s="1" t="s">
        <v>25</v>
      </c>
      <c r="G108" s="1" t="s">
        <v>18</v>
      </c>
      <c r="H108" s="1">
        <v>13266</v>
      </c>
      <c r="I108" s="1" t="s">
        <v>33</v>
      </c>
      <c r="J108" s="1">
        <v>0.3</v>
      </c>
      <c r="K108" s="1">
        <v>13000</v>
      </c>
      <c r="L108" s="2">
        <v>45336</v>
      </c>
    </row>
    <row r="109" spans="1:12" x14ac:dyDescent="0.35">
      <c r="A109" s="1" t="s">
        <v>224</v>
      </c>
      <c r="B109" s="1" t="s">
        <v>113</v>
      </c>
      <c r="C109" s="1" t="s">
        <v>61</v>
      </c>
      <c r="D109" s="1" t="s">
        <v>62</v>
      </c>
      <c r="E109" s="1" t="s">
        <v>32</v>
      </c>
      <c r="F109" s="1" t="s">
        <v>25</v>
      </c>
      <c r="G109" s="1" t="s">
        <v>26</v>
      </c>
      <c r="H109" s="1">
        <v>8164</v>
      </c>
      <c r="I109" s="1"/>
      <c r="J109" s="1"/>
      <c r="K109" s="1">
        <v>9000</v>
      </c>
      <c r="L109" s="2">
        <v>45322</v>
      </c>
    </row>
    <row r="110" spans="1:12" x14ac:dyDescent="0.35">
      <c r="A110" s="1" t="s">
        <v>225</v>
      </c>
      <c r="B110" s="1" t="s">
        <v>188</v>
      </c>
      <c r="C110" s="1" t="s">
        <v>44</v>
      </c>
      <c r="D110" s="1" t="s">
        <v>45</v>
      </c>
      <c r="E110" s="1" t="s">
        <v>32</v>
      </c>
      <c r="F110" s="1" t="s">
        <v>17</v>
      </c>
      <c r="G110" s="1" t="s">
        <v>36</v>
      </c>
      <c r="H110" s="1">
        <v>11467</v>
      </c>
      <c r="I110" s="1" t="s">
        <v>22</v>
      </c>
      <c r="J110" s="1">
        <v>0.1</v>
      </c>
      <c r="K110" s="1">
        <v>13000</v>
      </c>
      <c r="L110" s="2">
        <v>45317</v>
      </c>
    </row>
    <row r="111" spans="1:12" x14ac:dyDescent="0.35">
      <c r="A111" s="1" t="s">
        <v>226</v>
      </c>
      <c r="B111" s="1" t="s">
        <v>227</v>
      </c>
      <c r="C111" s="1" t="s">
        <v>14</v>
      </c>
      <c r="D111" s="1" t="s">
        <v>15</v>
      </c>
      <c r="E111" s="1" t="s">
        <v>32</v>
      </c>
      <c r="F111" s="1" t="s">
        <v>25</v>
      </c>
      <c r="G111" s="1" t="s">
        <v>26</v>
      </c>
      <c r="H111" s="1">
        <v>15887</v>
      </c>
      <c r="I111" s="1" t="s">
        <v>33</v>
      </c>
      <c r="J111" s="1">
        <v>0.3</v>
      </c>
      <c r="K111" s="1">
        <v>14000</v>
      </c>
      <c r="L111" s="2">
        <v>45297</v>
      </c>
    </row>
    <row r="112" spans="1:12" x14ac:dyDescent="0.35">
      <c r="A112" s="1" t="s">
        <v>228</v>
      </c>
      <c r="B112" s="1" t="s">
        <v>229</v>
      </c>
      <c r="C112" s="1" t="s">
        <v>61</v>
      </c>
      <c r="D112" s="1" t="s">
        <v>62</v>
      </c>
      <c r="E112" s="1" t="s">
        <v>16</v>
      </c>
      <c r="F112" s="1" t="s">
        <v>39</v>
      </c>
      <c r="G112" s="1" t="s">
        <v>26</v>
      </c>
      <c r="H112" s="1">
        <v>7924</v>
      </c>
      <c r="I112" s="1" t="s">
        <v>27</v>
      </c>
      <c r="J112" s="1"/>
      <c r="K112" s="1">
        <v>9000</v>
      </c>
      <c r="L112" s="2">
        <v>45316</v>
      </c>
    </row>
    <row r="113" spans="1:12" x14ac:dyDescent="0.35">
      <c r="A113" s="1" t="s">
        <v>230</v>
      </c>
      <c r="B113" s="1" t="s">
        <v>231</v>
      </c>
      <c r="C113" s="1" t="s">
        <v>30</v>
      </c>
      <c r="D113" s="1" t="s">
        <v>31</v>
      </c>
      <c r="E113" s="1" t="s">
        <v>16</v>
      </c>
      <c r="F113" s="1" t="s">
        <v>17</v>
      </c>
      <c r="G113" s="1" t="s">
        <v>36</v>
      </c>
      <c r="H113" s="1">
        <v>17329</v>
      </c>
      <c r="I113" s="1" t="s">
        <v>27</v>
      </c>
      <c r="J113" s="1"/>
      <c r="K113" s="1">
        <v>17000</v>
      </c>
      <c r="L113" s="2">
        <v>45295</v>
      </c>
    </row>
    <row r="114" spans="1:12" x14ac:dyDescent="0.35">
      <c r="A114" s="1" t="s">
        <v>232</v>
      </c>
      <c r="B114" s="1" t="s">
        <v>233</v>
      </c>
      <c r="C114" s="1" t="s">
        <v>14</v>
      </c>
      <c r="D114" s="1" t="s">
        <v>15</v>
      </c>
      <c r="E114" s="1" t="s">
        <v>32</v>
      </c>
      <c r="F114" s="1" t="s">
        <v>39</v>
      </c>
      <c r="G114" s="1" t="s">
        <v>18</v>
      </c>
      <c r="H114" s="1">
        <v>13083</v>
      </c>
      <c r="I114" s="1" t="s">
        <v>22</v>
      </c>
      <c r="J114" s="1">
        <v>0.1</v>
      </c>
      <c r="K114" s="1">
        <v>14000</v>
      </c>
      <c r="L114" s="2">
        <v>45302</v>
      </c>
    </row>
    <row r="115" spans="1:12" x14ac:dyDescent="0.35">
      <c r="A115" s="1" t="s">
        <v>234</v>
      </c>
      <c r="B115" s="1" t="s">
        <v>235</v>
      </c>
      <c r="C115" s="1" t="s">
        <v>14</v>
      </c>
      <c r="D115" s="1" t="s">
        <v>15</v>
      </c>
      <c r="E115" s="1" t="s">
        <v>32</v>
      </c>
      <c r="F115" s="1" t="s">
        <v>25</v>
      </c>
      <c r="G115" s="1" t="s">
        <v>36</v>
      </c>
      <c r="H115" s="1">
        <v>13845</v>
      </c>
      <c r="I115" s="1" t="s">
        <v>27</v>
      </c>
      <c r="J115" s="1"/>
      <c r="K115" s="1">
        <v>14000</v>
      </c>
      <c r="L115" s="2">
        <v>45322</v>
      </c>
    </row>
    <row r="116" spans="1:12" x14ac:dyDescent="0.35">
      <c r="A116" s="1" t="s">
        <v>236</v>
      </c>
      <c r="B116" s="1" t="s">
        <v>237</v>
      </c>
      <c r="C116" s="1" t="s">
        <v>44</v>
      </c>
      <c r="D116" s="1" t="s">
        <v>45</v>
      </c>
      <c r="E116" s="1" t="s">
        <v>46</v>
      </c>
      <c r="F116" s="1" t="s">
        <v>39</v>
      </c>
      <c r="G116" s="1" t="s">
        <v>36</v>
      </c>
      <c r="H116" s="1">
        <v>13879</v>
      </c>
      <c r="I116" s="1"/>
      <c r="J116" s="1"/>
      <c r="K116" s="1">
        <v>13000</v>
      </c>
      <c r="L116" s="2">
        <v>45296</v>
      </c>
    </row>
    <row r="117" spans="1:12" x14ac:dyDescent="0.35">
      <c r="A117" s="1" t="s">
        <v>238</v>
      </c>
      <c r="B117" s="1" t="s">
        <v>239</v>
      </c>
      <c r="C117" s="1" t="s">
        <v>30</v>
      </c>
      <c r="D117" s="1" t="s">
        <v>31</v>
      </c>
      <c r="E117" s="1" t="s">
        <v>16</v>
      </c>
      <c r="F117" s="1" t="s">
        <v>39</v>
      </c>
      <c r="G117" s="1" t="s">
        <v>26</v>
      </c>
      <c r="H117" s="1">
        <v>18292</v>
      </c>
      <c r="I117" s="1" t="s">
        <v>19</v>
      </c>
      <c r="J117" s="1">
        <v>0.2</v>
      </c>
      <c r="K117" s="1">
        <v>17000</v>
      </c>
      <c r="L117" s="2">
        <v>45319</v>
      </c>
    </row>
    <row r="118" spans="1:12" x14ac:dyDescent="0.35">
      <c r="A118" s="1" t="s">
        <v>240</v>
      </c>
      <c r="B118" s="1" t="s">
        <v>241</v>
      </c>
      <c r="C118" s="1" t="s">
        <v>44</v>
      </c>
      <c r="D118" s="1" t="s">
        <v>45</v>
      </c>
      <c r="E118" s="1" t="s">
        <v>16</v>
      </c>
      <c r="F118" s="1" t="s">
        <v>25</v>
      </c>
      <c r="G118" s="1" t="s">
        <v>36</v>
      </c>
      <c r="H118" s="1">
        <v>14385</v>
      </c>
      <c r="I118" s="1" t="s">
        <v>19</v>
      </c>
      <c r="J118" s="1">
        <v>0.2</v>
      </c>
      <c r="K118" s="1">
        <v>13000</v>
      </c>
      <c r="L118" s="2">
        <v>45296</v>
      </c>
    </row>
    <row r="119" spans="1:12" x14ac:dyDescent="0.35">
      <c r="A119" s="1" t="s">
        <v>242</v>
      </c>
      <c r="B119" s="1" t="s">
        <v>243</v>
      </c>
      <c r="C119" s="1" t="s">
        <v>30</v>
      </c>
      <c r="D119" s="1" t="s">
        <v>31</v>
      </c>
      <c r="E119" s="1" t="s">
        <v>16</v>
      </c>
      <c r="F119" s="1" t="s">
        <v>39</v>
      </c>
      <c r="G119" s="1" t="s">
        <v>26</v>
      </c>
      <c r="H119" s="1">
        <v>18773</v>
      </c>
      <c r="I119" s="1" t="s">
        <v>33</v>
      </c>
      <c r="J119" s="1">
        <v>0.3</v>
      </c>
      <c r="K119" s="1">
        <v>17000</v>
      </c>
      <c r="L119" s="2">
        <v>45320</v>
      </c>
    </row>
    <row r="120" spans="1:12" x14ac:dyDescent="0.35">
      <c r="A120" s="1" t="s">
        <v>244</v>
      </c>
      <c r="B120" s="1" t="s">
        <v>245</v>
      </c>
      <c r="C120" s="1" t="s">
        <v>30</v>
      </c>
      <c r="D120" s="1" t="s">
        <v>31</v>
      </c>
      <c r="E120" s="1" t="s">
        <v>16</v>
      </c>
      <c r="F120" s="1" t="s">
        <v>17</v>
      </c>
      <c r="G120" s="1" t="s">
        <v>36</v>
      </c>
      <c r="H120" s="1">
        <v>17049</v>
      </c>
      <c r="I120" s="1" t="s">
        <v>27</v>
      </c>
      <c r="J120" s="1"/>
      <c r="K120" s="1">
        <v>17000</v>
      </c>
      <c r="L120" s="2">
        <v>45323</v>
      </c>
    </row>
    <row r="121" spans="1:12" x14ac:dyDescent="0.35">
      <c r="A121" s="1" t="s">
        <v>246</v>
      </c>
      <c r="B121" s="1" t="s">
        <v>227</v>
      </c>
      <c r="C121" s="1" t="s">
        <v>14</v>
      </c>
      <c r="D121" s="1" t="s">
        <v>15</v>
      </c>
      <c r="E121" s="1" t="s">
        <v>46</v>
      </c>
      <c r="F121" s="1" t="s">
        <v>39</v>
      </c>
      <c r="G121" s="1" t="s">
        <v>36</v>
      </c>
      <c r="H121" s="1">
        <v>14472</v>
      </c>
      <c r="I121" s="1" t="s">
        <v>33</v>
      </c>
      <c r="J121" s="1">
        <v>0.3</v>
      </c>
      <c r="K121" s="1">
        <v>14000</v>
      </c>
      <c r="L121" s="2">
        <v>45293</v>
      </c>
    </row>
    <row r="122" spans="1:12" x14ac:dyDescent="0.35">
      <c r="A122" s="1" t="s">
        <v>247</v>
      </c>
      <c r="B122" s="1" t="s">
        <v>248</v>
      </c>
      <c r="C122" s="1" t="s">
        <v>14</v>
      </c>
      <c r="D122" s="1" t="s">
        <v>15</v>
      </c>
      <c r="E122" s="1" t="s">
        <v>16</v>
      </c>
      <c r="F122" s="1" t="s">
        <v>17</v>
      </c>
      <c r="G122" s="1" t="s">
        <v>26</v>
      </c>
      <c r="H122" s="1">
        <v>12164</v>
      </c>
      <c r="I122" s="1" t="s">
        <v>19</v>
      </c>
      <c r="J122" s="1">
        <v>0.2</v>
      </c>
      <c r="K122" s="1">
        <v>14000</v>
      </c>
      <c r="L122" s="2">
        <v>45322</v>
      </c>
    </row>
    <row r="123" spans="1:12" x14ac:dyDescent="0.35">
      <c r="A123" s="1" t="s">
        <v>249</v>
      </c>
      <c r="B123" s="1" t="s">
        <v>202</v>
      </c>
      <c r="C123" s="1" t="s">
        <v>61</v>
      </c>
      <c r="D123" s="1" t="s">
        <v>62</v>
      </c>
      <c r="E123" s="1" t="s">
        <v>46</v>
      </c>
      <c r="F123" s="1" t="s">
        <v>25</v>
      </c>
      <c r="G123" s="1" t="s">
        <v>26</v>
      </c>
      <c r="H123" s="1">
        <v>8785</v>
      </c>
      <c r="I123" s="1"/>
      <c r="J123" s="1"/>
      <c r="K123" s="1">
        <v>9000</v>
      </c>
      <c r="L123" s="2">
        <v>45297</v>
      </c>
    </row>
    <row r="124" spans="1:12" x14ac:dyDescent="0.35">
      <c r="A124" s="1" t="s">
        <v>250</v>
      </c>
      <c r="B124" s="1" t="s">
        <v>188</v>
      </c>
      <c r="C124" s="1" t="s">
        <v>61</v>
      </c>
      <c r="D124" s="1" t="s">
        <v>62</v>
      </c>
      <c r="E124" s="1" t="s">
        <v>46</v>
      </c>
      <c r="F124" s="1" t="s">
        <v>17</v>
      </c>
      <c r="G124" s="1" t="s">
        <v>26</v>
      </c>
      <c r="H124" s="1">
        <v>7428</v>
      </c>
      <c r="I124" s="1" t="s">
        <v>19</v>
      </c>
      <c r="J124" s="1">
        <v>0.2</v>
      </c>
      <c r="K124" s="1">
        <v>9000</v>
      </c>
      <c r="L124" s="2">
        <v>45313</v>
      </c>
    </row>
    <row r="125" spans="1:12" x14ac:dyDescent="0.35">
      <c r="A125" s="1" t="s">
        <v>251</v>
      </c>
      <c r="B125" s="1" t="s">
        <v>101</v>
      </c>
      <c r="C125" s="1" t="s">
        <v>61</v>
      </c>
      <c r="D125" s="1" t="s">
        <v>62</v>
      </c>
      <c r="E125" s="1" t="s">
        <v>46</v>
      </c>
      <c r="F125" s="1" t="s">
        <v>39</v>
      </c>
      <c r="G125" s="1" t="s">
        <v>36</v>
      </c>
      <c r="H125" s="1">
        <v>10332</v>
      </c>
      <c r="I125" s="1" t="s">
        <v>27</v>
      </c>
      <c r="J125" s="1"/>
      <c r="K125" s="1">
        <v>9000</v>
      </c>
      <c r="L125" s="2">
        <v>45294</v>
      </c>
    </row>
    <row r="126" spans="1:12" x14ac:dyDescent="0.35">
      <c r="A126" s="1" t="s">
        <v>252</v>
      </c>
      <c r="B126" s="1" t="s">
        <v>227</v>
      </c>
      <c r="C126" s="1" t="s">
        <v>30</v>
      </c>
      <c r="D126" s="1" t="s">
        <v>31</v>
      </c>
      <c r="E126" s="1" t="s">
        <v>46</v>
      </c>
      <c r="F126" s="1" t="s">
        <v>17</v>
      </c>
      <c r="G126" s="1" t="s">
        <v>18</v>
      </c>
      <c r="H126" s="1">
        <v>18973</v>
      </c>
      <c r="I126" s="1"/>
      <c r="J126" s="1"/>
      <c r="K126" s="1">
        <v>17000</v>
      </c>
      <c r="L126" s="2">
        <v>45347</v>
      </c>
    </row>
    <row r="127" spans="1:12" x14ac:dyDescent="0.35">
      <c r="A127" s="1" t="s">
        <v>253</v>
      </c>
      <c r="B127" s="1" t="s">
        <v>105</v>
      </c>
      <c r="C127" s="1" t="s">
        <v>14</v>
      </c>
      <c r="D127" s="1" t="s">
        <v>15</v>
      </c>
      <c r="E127" s="1" t="s">
        <v>16</v>
      </c>
      <c r="F127" s="1" t="s">
        <v>39</v>
      </c>
      <c r="G127" s="1" t="s">
        <v>36</v>
      </c>
      <c r="H127" s="1">
        <v>13692</v>
      </c>
      <c r="I127" s="1" t="s">
        <v>22</v>
      </c>
      <c r="J127" s="1">
        <v>0.1</v>
      </c>
      <c r="K127" s="1">
        <v>14000</v>
      </c>
      <c r="L127" s="2">
        <v>45304</v>
      </c>
    </row>
    <row r="128" spans="1:12" x14ac:dyDescent="0.35">
      <c r="A128" s="1" t="s">
        <v>254</v>
      </c>
      <c r="B128" s="1" t="s">
        <v>217</v>
      </c>
      <c r="C128" s="1" t="s">
        <v>61</v>
      </c>
      <c r="D128" s="1" t="s">
        <v>62</v>
      </c>
      <c r="E128" s="1" t="s">
        <v>16</v>
      </c>
      <c r="F128" s="1" t="s">
        <v>17</v>
      </c>
      <c r="G128" s="1" t="s">
        <v>18</v>
      </c>
      <c r="H128" s="1">
        <v>7833</v>
      </c>
      <c r="I128" s="1" t="s">
        <v>33</v>
      </c>
      <c r="J128" s="1">
        <v>0.3</v>
      </c>
      <c r="K128" s="1">
        <v>9000</v>
      </c>
      <c r="L128" s="2">
        <v>45327</v>
      </c>
    </row>
    <row r="129" spans="1:12" x14ac:dyDescent="0.35">
      <c r="A129" s="1" t="s">
        <v>255</v>
      </c>
      <c r="B129" s="1" t="s">
        <v>256</v>
      </c>
      <c r="C129" s="1" t="s">
        <v>61</v>
      </c>
      <c r="D129" s="1" t="s">
        <v>62</v>
      </c>
      <c r="E129" s="1" t="s">
        <v>16</v>
      </c>
      <c r="F129" s="1" t="s">
        <v>17</v>
      </c>
      <c r="G129" s="1" t="s">
        <v>18</v>
      </c>
      <c r="H129" s="1">
        <v>7118</v>
      </c>
      <c r="I129" s="1" t="s">
        <v>27</v>
      </c>
      <c r="J129" s="1"/>
      <c r="K129" s="1">
        <v>9000</v>
      </c>
      <c r="L129" s="2">
        <v>45343</v>
      </c>
    </row>
    <row r="130" spans="1:12" x14ac:dyDescent="0.35">
      <c r="A130" s="1" t="s">
        <v>257</v>
      </c>
      <c r="B130" s="1" t="s">
        <v>220</v>
      </c>
      <c r="C130" s="1" t="s">
        <v>44</v>
      </c>
      <c r="D130" s="1" t="s">
        <v>45</v>
      </c>
      <c r="E130" s="1" t="s">
        <v>46</v>
      </c>
      <c r="F130" s="1" t="s">
        <v>39</v>
      </c>
      <c r="G130" s="1" t="s">
        <v>18</v>
      </c>
      <c r="H130" s="1">
        <v>13262</v>
      </c>
      <c r="I130" s="1"/>
      <c r="J130" s="1"/>
      <c r="K130" s="1">
        <v>13000</v>
      </c>
      <c r="L130" s="2">
        <v>45297</v>
      </c>
    </row>
    <row r="131" spans="1:12" x14ac:dyDescent="0.35">
      <c r="A131" s="1" t="s">
        <v>258</v>
      </c>
      <c r="B131" s="1" t="s">
        <v>171</v>
      </c>
      <c r="C131" s="1" t="s">
        <v>14</v>
      </c>
      <c r="D131" s="1" t="s">
        <v>15</v>
      </c>
      <c r="E131" s="1" t="s">
        <v>46</v>
      </c>
      <c r="F131" s="1" t="s">
        <v>25</v>
      </c>
      <c r="G131" s="1" t="s">
        <v>26</v>
      </c>
      <c r="H131" s="1">
        <v>15408</v>
      </c>
      <c r="I131" s="1" t="s">
        <v>19</v>
      </c>
      <c r="J131" s="1">
        <v>0.2</v>
      </c>
      <c r="K131" s="1">
        <v>14000</v>
      </c>
      <c r="L131" s="2">
        <v>45323</v>
      </c>
    </row>
    <row r="132" spans="1:12" x14ac:dyDescent="0.35">
      <c r="A132" s="1" t="s">
        <v>259</v>
      </c>
      <c r="B132" s="1" t="s">
        <v>260</v>
      </c>
      <c r="C132" s="1" t="s">
        <v>30</v>
      </c>
      <c r="D132" s="1" t="s">
        <v>31</v>
      </c>
      <c r="E132" s="1" t="s">
        <v>16</v>
      </c>
      <c r="F132" s="1" t="s">
        <v>39</v>
      </c>
      <c r="G132" s="1" t="s">
        <v>36</v>
      </c>
      <c r="H132" s="1">
        <v>16701</v>
      </c>
      <c r="I132" s="1"/>
      <c r="J132" s="1"/>
      <c r="K132" s="1">
        <v>17000</v>
      </c>
      <c r="L132" s="2">
        <v>45322</v>
      </c>
    </row>
    <row r="133" spans="1:12" x14ac:dyDescent="0.35">
      <c r="A133" s="1" t="s">
        <v>261</v>
      </c>
      <c r="B133" s="1" t="s">
        <v>29</v>
      </c>
      <c r="C133" s="1" t="s">
        <v>44</v>
      </c>
      <c r="D133" s="1" t="s">
        <v>45</v>
      </c>
      <c r="E133" s="1" t="s">
        <v>46</v>
      </c>
      <c r="F133" s="1" t="s">
        <v>25</v>
      </c>
      <c r="G133" s="1" t="s">
        <v>26</v>
      </c>
      <c r="H133" s="1">
        <v>13081</v>
      </c>
      <c r="I133" s="1" t="s">
        <v>19</v>
      </c>
      <c r="J133" s="1">
        <v>0.2</v>
      </c>
      <c r="K133" s="1">
        <v>13000</v>
      </c>
      <c r="L133" s="2">
        <v>45347</v>
      </c>
    </row>
    <row r="134" spans="1:12" x14ac:dyDescent="0.35">
      <c r="A134" s="1" t="s">
        <v>262</v>
      </c>
      <c r="B134" s="1" t="s">
        <v>263</v>
      </c>
      <c r="C134" s="1" t="s">
        <v>61</v>
      </c>
      <c r="D134" s="1" t="s">
        <v>62</v>
      </c>
      <c r="E134" s="1" t="s">
        <v>46</v>
      </c>
      <c r="F134" s="1" t="s">
        <v>39</v>
      </c>
      <c r="G134" s="1" t="s">
        <v>36</v>
      </c>
      <c r="H134" s="1">
        <v>10360</v>
      </c>
      <c r="I134" s="1" t="s">
        <v>22</v>
      </c>
      <c r="J134" s="1">
        <v>0.1</v>
      </c>
      <c r="K134" s="1">
        <v>9000</v>
      </c>
      <c r="L134" s="2">
        <v>45310</v>
      </c>
    </row>
    <row r="135" spans="1:12" x14ac:dyDescent="0.35">
      <c r="A135" s="1" t="s">
        <v>264</v>
      </c>
      <c r="B135" s="1" t="s">
        <v>265</v>
      </c>
      <c r="C135" s="1" t="s">
        <v>61</v>
      </c>
      <c r="D135" s="1" t="s">
        <v>62</v>
      </c>
      <c r="E135" s="1" t="s">
        <v>32</v>
      </c>
      <c r="F135" s="1" t="s">
        <v>17</v>
      </c>
      <c r="G135" s="1" t="s">
        <v>26</v>
      </c>
      <c r="H135" s="1">
        <v>8983</v>
      </c>
      <c r="I135" s="1" t="s">
        <v>33</v>
      </c>
      <c r="J135" s="1">
        <v>0.3</v>
      </c>
      <c r="K135" s="1">
        <v>9000</v>
      </c>
      <c r="L135" s="2">
        <v>45313</v>
      </c>
    </row>
    <row r="136" spans="1:12" x14ac:dyDescent="0.35">
      <c r="A136" s="1" t="s">
        <v>266</v>
      </c>
      <c r="B136" s="1" t="s">
        <v>82</v>
      </c>
      <c r="C136" s="1" t="s">
        <v>61</v>
      </c>
      <c r="D136" s="1" t="s">
        <v>62</v>
      </c>
      <c r="E136" s="1" t="s">
        <v>46</v>
      </c>
      <c r="F136" s="1" t="s">
        <v>17</v>
      </c>
      <c r="G136" s="1" t="s">
        <v>18</v>
      </c>
      <c r="H136" s="1">
        <v>9856</v>
      </c>
      <c r="I136" s="1" t="s">
        <v>19</v>
      </c>
      <c r="J136" s="1">
        <v>0.2</v>
      </c>
      <c r="K136" s="1">
        <v>9000</v>
      </c>
      <c r="L136" s="2">
        <v>45328</v>
      </c>
    </row>
    <row r="137" spans="1:12" x14ac:dyDescent="0.35">
      <c r="A137" s="1" t="s">
        <v>267</v>
      </c>
      <c r="B137" s="1" t="s">
        <v>268</v>
      </c>
      <c r="C137" s="1" t="s">
        <v>61</v>
      </c>
      <c r="D137" s="1" t="s">
        <v>62</v>
      </c>
      <c r="E137" s="1" t="s">
        <v>32</v>
      </c>
      <c r="F137" s="1" t="s">
        <v>17</v>
      </c>
      <c r="G137" s="1" t="s">
        <v>26</v>
      </c>
      <c r="H137" s="1">
        <v>8937</v>
      </c>
      <c r="I137" s="1"/>
      <c r="J137" s="1"/>
      <c r="K137" s="1">
        <v>9000</v>
      </c>
      <c r="L137" s="2">
        <v>45316</v>
      </c>
    </row>
    <row r="138" spans="1:12" x14ac:dyDescent="0.35">
      <c r="A138" s="1" t="s">
        <v>269</v>
      </c>
      <c r="B138" s="1" t="s">
        <v>270</v>
      </c>
      <c r="C138" s="1" t="s">
        <v>44</v>
      </c>
      <c r="D138" s="1" t="s">
        <v>45</v>
      </c>
      <c r="E138" s="1" t="s">
        <v>46</v>
      </c>
      <c r="F138" s="1" t="s">
        <v>25</v>
      </c>
      <c r="G138" s="1" t="s">
        <v>18</v>
      </c>
      <c r="H138" s="1">
        <v>13057</v>
      </c>
      <c r="I138" s="1" t="s">
        <v>27</v>
      </c>
      <c r="J138" s="1"/>
      <c r="K138" s="1">
        <v>13000</v>
      </c>
      <c r="L138" s="2">
        <v>45313</v>
      </c>
    </row>
    <row r="139" spans="1:12" x14ac:dyDescent="0.35">
      <c r="A139" s="1" t="s">
        <v>271</v>
      </c>
      <c r="B139" s="1" t="s">
        <v>96</v>
      </c>
      <c r="C139" s="1" t="s">
        <v>61</v>
      </c>
      <c r="D139" s="1" t="s">
        <v>62</v>
      </c>
      <c r="E139" s="1" t="s">
        <v>32</v>
      </c>
      <c r="F139" s="1" t="s">
        <v>39</v>
      </c>
      <c r="G139" s="1" t="s">
        <v>36</v>
      </c>
      <c r="H139" s="1">
        <v>7062</v>
      </c>
      <c r="I139" s="1" t="s">
        <v>19</v>
      </c>
      <c r="J139" s="1">
        <v>0.2</v>
      </c>
      <c r="K139" s="1">
        <v>9000</v>
      </c>
      <c r="L139" s="2">
        <v>45318</v>
      </c>
    </row>
    <row r="140" spans="1:12" x14ac:dyDescent="0.35">
      <c r="A140" s="1" t="s">
        <v>272</v>
      </c>
      <c r="B140" s="1" t="s">
        <v>198</v>
      </c>
      <c r="C140" s="1" t="s">
        <v>44</v>
      </c>
      <c r="D140" s="1" t="s">
        <v>45</v>
      </c>
      <c r="E140" s="1" t="s">
        <v>32</v>
      </c>
      <c r="F140" s="1" t="s">
        <v>17</v>
      </c>
      <c r="G140" s="1" t="s">
        <v>36</v>
      </c>
      <c r="H140" s="1">
        <v>12386</v>
      </c>
      <c r="I140" s="1" t="s">
        <v>27</v>
      </c>
      <c r="J140" s="1"/>
      <c r="K140" s="1">
        <v>13000</v>
      </c>
      <c r="L140" s="2">
        <v>45336</v>
      </c>
    </row>
    <row r="141" spans="1:12" x14ac:dyDescent="0.35">
      <c r="A141" s="1" t="s">
        <v>273</v>
      </c>
      <c r="B141" s="1" t="s">
        <v>274</v>
      </c>
      <c r="C141" s="1" t="s">
        <v>14</v>
      </c>
      <c r="D141" s="1" t="s">
        <v>15</v>
      </c>
      <c r="E141" s="1" t="s">
        <v>46</v>
      </c>
      <c r="F141" s="1" t="s">
        <v>39</v>
      </c>
      <c r="G141" s="1" t="s">
        <v>26</v>
      </c>
      <c r="H141" s="1">
        <v>13556</v>
      </c>
      <c r="I141" s="1" t="s">
        <v>33</v>
      </c>
      <c r="J141" s="1">
        <v>0.3</v>
      </c>
      <c r="K141" s="1">
        <v>14000</v>
      </c>
      <c r="L141" s="2">
        <v>45332</v>
      </c>
    </row>
    <row r="142" spans="1:12" x14ac:dyDescent="0.35">
      <c r="A142" s="1" t="s">
        <v>275</v>
      </c>
      <c r="B142" s="1" t="s">
        <v>276</v>
      </c>
      <c r="C142" s="1" t="s">
        <v>61</v>
      </c>
      <c r="D142" s="1" t="s">
        <v>62</v>
      </c>
      <c r="E142" s="1" t="s">
        <v>16</v>
      </c>
      <c r="F142" s="1" t="s">
        <v>25</v>
      </c>
      <c r="G142" s="1" t="s">
        <v>26</v>
      </c>
      <c r="H142" s="1">
        <v>7280</v>
      </c>
      <c r="I142" s="1" t="s">
        <v>19</v>
      </c>
      <c r="J142" s="1">
        <v>0.2</v>
      </c>
      <c r="K142" s="1">
        <v>9000</v>
      </c>
      <c r="L142" s="2">
        <v>45332</v>
      </c>
    </row>
    <row r="143" spans="1:12" x14ac:dyDescent="0.35">
      <c r="A143" s="1" t="s">
        <v>277</v>
      </c>
      <c r="B143" s="1" t="s">
        <v>278</v>
      </c>
      <c r="C143" s="1" t="s">
        <v>44</v>
      </c>
      <c r="D143" s="1" t="s">
        <v>45</v>
      </c>
      <c r="E143" s="1" t="s">
        <v>16</v>
      </c>
      <c r="F143" s="1" t="s">
        <v>25</v>
      </c>
      <c r="G143" s="1" t="s">
        <v>36</v>
      </c>
      <c r="H143" s="1">
        <v>11403</v>
      </c>
      <c r="I143" s="1" t="s">
        <v>22</v>
      </c>
      <c r="J143" s="1">
        <v>0.1</v>
      </c>
      <c r="K143" s="1">
        <v>13000</v>
      </c>
      <c r="L143" s="2">
        <v>45320</v>
      </c>
    </row>
    <row r="144" spans="1:12" x14ac:dyDescent="0.35">
      <c r="A144" s="1" t="s">
        <v>279</v>
      </c>
      <c r="B144" s="1" t="s">
        <v>280</v>
      </c>
      <c r="C144" s="1" t="s">
        <v>30</v>
      </c>
      <c r="D144" s="1" t="s">
        <v>31</v>
      </c>
      <c r="E144" s="1" t="s">
        <v>32</v>
      </c>
      <c r="F144" s="1" t="s">
        <v>25</v>
      </c>
      <c r="G144" s="1" t="s">
        <v>36</v>
      </c>
      <c r="H144" s="1">
        <v>18261</v>
      </c>
      <c r="I144" s="1" t="s">
        <v>22</v>
      </c>
      <c r="J144" s="1">
        <v>0.1</v>
      </c>
      <c r="K144" s="1">
        <v>17000</v>
      </c>
      <c r="L144" s="2">
        <v>45310</v>
      </c>
    </row>
    <row r="145" spans="1:12" x14ac:dyDescent="0.35">
      <c r="A145" s="1" t="s">
        <v>281</v>
      </c>
      <c r="B145" s="1" t="s">
        <v>282</v>
      </c>
      <c r="C145" s="1" t="s">
        <v>61</v>
      </c>
      <c r="D145" s="1" t="s">
        <v>62</v>
      </c>
      <c r="E145" s="1" t="s">
        <v>32</v>
      </c>
      <c r="F145" s="1" t="s">
        <v>25</v>
      </c>
      <c r="G145" s="1" t="s">
        <v>26</v>
      </c>
      <c r="H145" s="1">
        <v>8687</v>
      </c>
      <c r="I145" s="1" t="s">
        <v>27</v>
      </c>
      <c r="J145" s="1"/>
      <c r="K145" s="1">
        <v>9000</v>
      </c>
      <c r="L145" s="2">
        <v>45335</v>
      </c>
    </row>
    <row r="146" spans="1:12" x14ac:dyDescent="0.35">
      <c r="A146" s="1" t="s">
        <v>283</v>
      </c>
      <c r="B146" s="1" t="s">
        <v>72</v>
      </c>
      <c r="C146" s="1" t="s">
        <v>44</v>
      </c>
      <c r="D146" s="1" t="s">
        <v>45</v>
      </c>
      <c r="E146" s="1" t="s">
        <v>32</v>
      </c>
      <c r="F146" s="1" t="s">
        <v>25</v>
      </c>
      <c r="G146" s="1" t="s">
        <v>26</v>
      </c>
      <c r="H146" s="1">
        <v>14566</v>
      </c>
      <c r="I146" s="1"/>
      <c r="J146" s="1"/>
      <c r="K146" s="1">
        <v>13000</v>
      </c>
      <c r="L146" s="2">
        <v>45331</v>
      </c>
    </row>
    <row r="147" spans="1:12" x14ac:dyDescent="0.35">
      <c r="A147" s="1" t="s">
        <v>284</v>
      </c>
      <c r="B147" s="1" t="s">
        <v>239</v>
      </c>
      <c r="C147" s="1" t="s">
        <v>61</v>
      </c>
      <c r="D147" s="1" t="s">
        <v>62</v>
      </c>
      <c r="E147" s="1" t="s">
        <v>16</v>
      </c>
      <c r="F147" s="1" t="s">
        <v>25</v>
      </c>
      <c r="G147" s="1" t="s">
        <v>18</v>
      </c>
      <c r="H147" s="1">
        <v>8888</v>
      </c>
      <c r="I147" s="1" t="s">
        <v>33</v>
      </c>
      <c r="J147" s="1">
        <v>0.3</v>
      </c>
      <c r="K147" s="1">
        <v>9000</v>
      </c>
      <c r="L147" s="2">
        <v>45321</v>
      </c>
    </row>
    <row r="148" spans="1:12" x14ac:dyDescent="0.35">
      <c r="A148" s="1" t="s">
        <v>285</v>
      </c>
      <c r="B148" s="1" t="s">
        <v>286</v>
      </c>
      <c r="C148" s="1" t="s">
        <v>14</v>
      </c>
      <c r="D148" s="1" t="s">
        <v>15</v>
      </c>
      <c r="E148" s="1" t="s">
        <v>46</v>
      </c>
      <c r="F148" s="1" t="s">
        <v>17</v>
      </c>
      <c r="G148" s="1" t="s">
        <v>26</v>
      </c>
      <c r="H148" s="1">
        <v>14238</v>
      </c>
      <c r="I148" s="1" t="s">
        <v>19</v>
      </c>
      <c r="J148" s="1">
        <v>0.2</v>
      </c>
      <c r="K148" s="1">
        <v>14000</v>
      </c>
      <c r="L148" s="2">
        <v>45296</v>
      </c>
    </row>
    <row r="149" spans="1:12" x14ac:dyDescent="0.35">
      <c r="A149" s="1" t="s">
        <v>287</v>
      </c>
      <c r="B149" s="1" t="s">
        <v>188</v>
      </c>
      <c r="C149" s="1" t="s">
        <v>30</v>
      </c>
      <c r="D149" s="1" t="s">
        <v>31</v>
      </c>
      <c r="E149" s="1" t="s">
        <v>16</v>
      </c>
      <c r="F149" s="1" t="s">
        <v>17</v>
      </c>
      <c r="G149" s="1" t="s">
        <v>26</v>
      </c>
      <c r="H149" s="1">
        <v>16024</v>
      </c>
      <c r="I149" s="1"/>
      <c r="J149" s="1"/>
      <c r="K149" s="1">
        <v>17000</v>
      </c>
      <c r="L149" s="2">
        <v>45346</v>
      </c>
    </row>
    <row r="150" spans="1:12" x14ac:dyDescent="0.35">
      <c r="A150" s="1" t="s">
        <v>288</v>
      </c>
      <c r="B150" s="1" t="s">
        <v>289</v>
      </c>
      <c r="C150" s="1" t="s">
        <v>61</v>
      </c>
      <c r="D150" s="1" t="s">
        <v>62</v>
      </c>
      <c r="E150" s="1" t="s">
        <v>46</v>
      </c>
      <c r="F150" s="1" t="s">
        <v>25</v>
      </c>
      <c r="G150" s="1" t="s">
        <v>18</v>
      </c>
      <c r="H150" s="1">
        <v>8562</v>
      </c>
      <c r="I150" s="1" t="s">
        <v>27</v>
      </c>
      <c r="J150" s="1"/>
      <c r="K150" s="1">
        <v>9000</v>
      </c>
      <c r="L150" s="2">
        <v>45314</v>
      </c>
    </row>
    <row r="151" spans="1:12" x14ac:dyDescent="0.35">
      <c r="A151" s="1" t="s">
        <v>290</v>
      </c>
      <c r="B151" s="1" t="s">
        <v>291</v>
      </c>
      <c r="C151" s="1" t="s">
        <v>30</v>
      </c>
      <c r="D151" s="1" t="s">
        <v>31</v>
      </c>
      <c r="E151" s="1" t="s">
        <v>32</v>
      </c>
      <c r="F151" s="1" t="s">
        <v>39</v>
      </c>
      <c r="G151" s="1" t="s">
        <v>36</v>
      </c>
      <c r="H151" s="1">
        <v>16124</v>
      </c>
      <c r="I151" s="1" t="s">
        <v>22</v>
      </c>
      <c r="J151" s="1">
        <v>0.1</v>
      </c>
      <c r="K151" s="1">
        <v>17000</v>
      </c>
      <c r="L151" s="2">
        <v>45328</v>
      </c>
    </row>
    <row r="152" spans="1:12" x14ac:dyDescent="0.35">
      <c r="A152" s="1" t="s">
        <v>292</v>
      </c>
      <c r="B152" s="1" t="s">
        <v>198</v>
      </c>
      <c r="C152" s="1" t="s">
        <v>14</v>
      </c>
      <c r="D152" s="1" t="s">
        <v>15</v>
      </c>
      <c r="E152" s="1" t="s">
        <v>16</v>
      </c>
      <c r="F152" s="1" t="s">
        <v>39</v>
      </c>
      <c r="G152" s="1" t="s">
        <v>36</v>
      </c>
      <c r="H152" s="1">
        <v>15411</v>
      </c>
      <c r="I152" s="1" t="s">
        <v>33</v>
      </c>
      <c r="J152" s="1">
        <v>0.3</v>
      </c>
      <c r="K152" s="1">
        <v>14000</v>
      </c>
      <c r="L152" s="2">
        <v>45341</v>
      </c>
    </row>
    <row r="153" spans="1:12" x14ac:dyDescent="0.35">
      <c r="A153" s="1" t="s">
        <v>293</v>
      </c>
      <c r="B153" s="1" t="s">
        <v>294</v>
      </c>
      <c r="C153" s="1" t="s">
        <v>30</v>
      </c>
      <c r="D153" s="1" t="s">
        <v>31</v>
      </c>
      <c r="E153" s="1" t="s">
        <v>32</v>
      </c>
      <c r="F153" s="1" t="s">
        <v>39</v>
      </c>
      <c r="G153" s="1" t="s">
        <v>18</v>
      </c>
      <c r="H153" s="1">
        <v>17543</v>
      </c>
      <c r="I153" s="1" t="s">
        <v>33</v>
      </c>
      <c r="J153" s="1">
        <v>0.3</v>
      </c>
      <c r="K153" s="1">
        <v>17000</v>
      </c>
      <c r="L153" s="2">
        <v>45335</v>
      </c>
    </row>
    <row r="154" spans="1:12" x14ac:dyDescent="0.35">
      <c r="A154" s="1" t="s">
        <v>295</v>
      </c>
      <c r="B154" s="1" t="s">
        <v>296</v>
      </c>
      <c r="C154" s="1" t="s">
        <v>44</v>
      </c>
      <c r="D154" s="1" t="s">
        <v>45</v>
      </c>
      <c r="E154" s="1" t="s">
        <v>16</v>
      </c>
      <c r="F154" s="1" t="s">
        <v>25</v>
      </c>
      <c r="G154" s="1" t="s">
        <v>26</v>
      </c>
      <c r="H154" s="1">
        <v>13647</v>
      </c>
      <c r="I154" s="1" t="s">
        <v>22</v>
      </c>
      <c r="J154" s="1">
        <v>0.1</v>
      </c>
      <c r="K154" s="1">
        <v>13000</v>
      </c>
      <c r="L154" s="2">
        <v>45311</v>
      </c>
    </row>
    <row r="155" spans="1:12" x14ac:dyDescent="0.35">
      <c r="A155" s="1" t="s">
        <v>297</v>
      </c>
      <c r="B155" s="1" t="s">
        <v>298</v>
      </c>
      <c r="C155" s="1" t="s">
        <v>14</v>
      </c>
      <c r="D155" s="1" t="s">
        <v>15</v>
      </c>
      <c r="E155" s="1" t="s">
        <v>16</v>
      </c>
      <c r="F155" s="1" t="s">
        <v>17</v>
      </c>
      <c r="G155" s="1" t="s">
        <v>26</v>
      </c>
      <c r="H155" s="1">
        <v>12538</v>
      </c>
      <c r="I155" s="1" t="s">
        <v>22</v>
      </c>
      <c r="J155" s="1">
        <v>0.1</v>
      </c>
      <c r="K155" s="1">
        <v>14000</v>
      </c>
      <c r="L155" s="2">
        <v>45350</v>
      </c>
    </row>
    <row r="156" spans="1:12" x14ac:dyDescent="0.35">
      <c r="A156" s="1" t="s">
        <v>299</v>
      </c>
      <c r="B156" s="1" t="s">
        <v>131</v>
      </c>
      <c r="C156" s="1" t="s">
        <v>61</v>
      </c>
      <c r="D156" s="1" t="s">
        <v>62</v>
      </c>
      <c r="E156" s="1" t="s">
        <v>32</v>
      </c>
      <c r="F156" s="1" t="s">
        <v>25</v>
      </c>
      <c r="G156" s="1" t="s">
        <v>18</v>
      </c>
      <c r="H156" s="1">
        <v>10221</v>
      </c>
      <c r="I156" s="1" t="s">
        <v>27</v>
      </c>
      <c r="J156" s="1"/>
      <c r="K156" s="1">
        <v>9000</v>
      </c>
      <c r="L156" s="2">
        <v>45348</v>
      </c>
    </row>
    <row r="157" spans="1:12" x14ac:dyDescent="0.35">
      <c r="A157" s="1" t="s">
        <v>300</v>
      </c>
      <c r="B157" s="1" t="s">
        <v>301</v>
      </c>
      <c r="C157" s="1" t="s">
        <v>30</v>
      </c>
      <c r="D157" s="1" t="s">
        <v>31</v>
      </c>
      <c r="E157" s="1" t="s">
        <v>32</v>
      </c>
      <c r="F157" s="1" t="s">
        <v>17</v>
      </c>
      <c r="G157" s="1" t="s">
        <v>36</v>
      </c>
      <c r="H157" s="1">
        <v>18962</v>
      </c>
      <c r="I157" s="1" t="s">
        <v>33</v>
      </c>
      <c r="J157" s="1">
        <v>0.3</v>
      </c>
      <c r="K157" s="1">
        <v>17000</v>
      </c>
      <c r="L157" s="2">
        <v>45339</v>
      </c>
    </row>
    <row r="158" spans="1:12" x14ac:dyDescent="0.35">
      <c r="A158" s="1" t="s">
        <v>302</v>
      </c>
      <c r="B158" s="1" t="s">
        <v>303</v>
      </c>
      <c r="C158" s="1" t="s">
        <v>14</v>
      </c>
      <c r="D158" s="1" t="s">
        <v>15</v>
      </c>
      <c r="E158" s="1" t="s">
        <v>46</v>
      </c>
      <c r="F158" s="1" t="s">
        <v>25</v>
      </c>
      <c r="G158" s="1" t="s">
        <v>18</v>
      </c>
      <c r="H158" s="1">
        <v>15089</v>
      </c>
      <c r="I158" s="1" t="s">
        <v>19</v>
      </c>
      <c r="J158" s="1">
        <v>0.2</v>
      </c>
      <c r="K158" s="1">
        <v>14000</v>
      </c>
      <c r="L158" s="2">
        <v>45347</v>
      </c>
    </row>
    <row r="159" spans="1:12" x14ac:dyDescent="0.35">
      <c r="A159" s="1" t="s">
        <v>304</v>
      </c>
      <c r="B159" s="1" t="s">
        <v>305</v>
      </c>
      <c r="C159" s="1" t="s">
        <v>61</v>
      </c>
      <c r="D159" s="1" t="s">
        <v>62</v>
      </c>
      <c r="E159" s="1" t="s">
        <v>16</v>
      </c>
      <c r="F159" s="1" t="s">
        <v>17</v>
      </c>
      <c r="G159" s="1" t="s">
        <v>18</v>
      </c>
      <c r="H159" s="1">
        <v>10238</v>
      </c>
      <c r="I159" s="1"/>
      <c r="J159" s="1"/>
      <c r="K159" s="1">
        <v>9000</v>
      </c>
      <c r="L159" s="2">
        <v>45292</v>
      </c>
    </row>
    <row r="160" spans="1:12" x14ac:dyDescent="0.35">
      <c r="A160" s="1" t="s">
        <v>306</v>
      </c>
      <c r="B160" s="1" t="s">
        <v>307</v>
      </c>
      <c r="C160" s="1" t="s">
        <v>14</v>
      </c>
      <c r="D160" s="1" t="s">
        <v>15</v>
      </c>
      <c r="E160" s="1" t="s">
        <v>46</v>
      </c>
      <c r="F160" s="1" t="s">
        <v>17</v>
      </c>
      <c r="G160" s="1" t="s">
        <v>26</v>
      </c>
      <c r="H160" s="1">
        <v>15067</v>
      </c>
      <c r="I160" s="1" t="s">
        <v>33</v>
      </c>
      <c r="J160" s="1">
        <v>0.3</v>
      </c>
      <c r="K160" s="1">
        <v>14000</v>
      </c>
      <c r="L160" s="2">
        <v>45329</v>
      </c>
    </row>
    <row r="161" spans="1:12" x14ac:dyDescent="0.35">
      <c r="A161" s="1" t="s">
        <v>308</v>
      </c>
      <c r="B161" s="1" t="s">
        <v>309</v>
      </c>
      <c r="C161" s="1" t="s">
        <v>30</v>
      </c>
      <c r="D161" s="1" t="s">
        <v>31</v>
      </c>
      <c r="E161" s="1" t="s">
        <v>32</v>
      </c>
      <c r="F161" s="1" t="s">
        <v>39</v>
      </c>
      <c r="G161" s="1" t="s">
        <v>18</v>
      </c>
      <c r="H161" s="1">
        <v>16931</v>
      </c>
      <c r="I161" s="1" t="s">
        <v>22</v>
      </c>
      <c r="J161" s="1">
        <v>0.1</v>
      </c>
      <c r="K161" s="1">
        <v>17000</v>
      </c>
      <c r="L161" s="2">
        <v>45331</v>
      </c>
    </row>
    <row r="162" spans="1:12" x14ac:dyDescent="0.35">
      <c r="A162" s="1" t="s">
        <v>310</v>
      </c>
      <c r="B162" s="1" t="s">
        <v>84</v>
      </c>
      <c r="C162" s="1" t="s">
        <v>30</v>
      </c>
      <c r="D162" s="1" t="s">
        <v>31</v>
      </c>
      <c r="E162" s="1" t="s">
        <v>16</v>
      </c>
      <c r="F162" s="1" t="s">
        <v>25</v>
      </c>
      <c r="G162" s="1" t="s">
        <v>26</v>
      </c>
      <c r="H162" s="1">
        <v>15258</v>
      </c>
      <c r="I162" s="1"/>
      <c r="J162" s="1"/>
      <c r="K162" s="1">
        <v>17000</v>
      </c>
      <c r="L162" s="2">
        <v>45350</v>
      </c>
    </row>
    <row r="163" spans="1:12" x14ac:dyDescent="0.35">
      <c r="A163" s="1" t="s">
        <v>311</v>
      </c>
      <c r="B163" s="1" t="s">
        <v>265</v>
      </c>
      <c r="C163" s="1" t="s">
        <v>61</v>
      </c>
      <c r="D163" s="1" t="s">
        <v>62</v>
      </c>
      <c r="E163" s="1" t="s">
        <v>32</v>
      </c>
      <c r="F163" s="1" t="s">
        <v>25</v>
      </c>
      <c r="G163" s="1" t="s">
        <v>18</v>
      </c>
      <c r="H163" s="1">
        <v>10875</v>
      </c>
      <c r="I163" s="1" t="s">
        <v>22</v>
      </c>
      <c r="J163" s="1">
        <v>0.1</v>
      </c>
      <c r="K163" s="1">
        <v>9000</v>
      </c>
      <c r="L163" s="2">
        <v>45311</v>
      </c>
    </row>
    <row r="164" spans="1:12" x14ac:dyDescent="0.35">
      <c r="A164" s="1" t="s">
        <v>312</v>
      </c>
      <c r="B164" s="1" t="s">
        <v>227</v>
      </c>
      <c r="C164" s="1" t="s">
        <v>14</v>
      </c>
      <c r="D164" s="1" t="s">
        <v>15</v>
      </c>
      <c r="E164" s="1" t="s">
        <v>32</v>
      </c>
      <c r="F164" s="1" t="s">
        <v>39</v>
      </c>
      <c r="G164" s="1" t="s">
        <v>18</v>
      </c>
      <c r="H164" s="1">
        <v>13591</v>
      </c>
      <c r="I164" s="1"/>
      <c r="J164" s="1"/>
      <c r="K164" s="1">
        <v>14000</v>
      </c>
      <c r="L164" s="2">
        <v>45315</v>
      </c>
    </row>
    <row r="165" spans="1:12" x14ac:dyDescent="0.35">
      <c r="A165" s="1" t="s">
        <v>313</v>
      </c>
      <c r="B165" s="1" t="s">
        <v>305</v>
      </c>
      <c r="C165" s="1" t="s">
        <v>61</v>
      </c>
      <c r="D165" s="1" t="s">
        <v>62</v>
      </c>
      <c r="E165" s="1" t="s">
        <v>16</v>
      </c>
      <c r="F165" s="1" t="s">
        <v>39</v>
      </c>
      <c r="G165" s="1" t="s">
        <v>26</v>
      </c>
      <c r="H165" s="1">
        <v>7632</v>
      </c>
      <c r="I165" s="1"/>
      <c r="J165" s="1"/>
      <c r="K165" s="1">
        <v>9000</v>
      </c>
      <c r="L165" s="2">
        <v>45333</v>
      </c>
    </row>
    <row r="166" spans="1:12" x14ac:dyDescent="0.35">
      <c r="A166" s="1" t="s">
        <v>314</v>
      </c>
      <c r="B166" s="1" t="s">
        <v>159</v>
      </c>
      <c r="C166" s="1" t="s">
        <v>61</v>
      </c>
      <c r="D166" s="1" t="s">
        <v>62</v>
      </c>
      <c r="E166" s="1" t="s">
        <v>16</v>
      </c>
      <c r="F166" s="1" t="s">
        <v>17</v>
      </c>
      <c r="G166" s="1" t="s">
        <v>36</v>
      </c>
      <c r="H166" s="1">
        <v>7134</v>
      </c>
      <c r="I166" s="1" t="s">
        <v>33</v>
      </c>
      <c r="J166" s="1">
        <v>0.3</v>
      </c>
      <c r="K166" s="1">
        <v>9000</v>
      </c>
      <c r="L166" s="2">
        <v>45305</v>
      </c>
    </row>
    <row r="167" spans="1:12" x14ac:dyDescent="0.35">
      <c r="A167" s="1" t="s">
        <v>315</v>
      </c>
      <c r="B167" s="1" t="s">
        <v>231</v>
      </c>
      <c r="C167" s="1" t="s">
        <v>44</v>
      </c>
      <c r="D167" s="1" t="s">
        <v>45</v>
      </c>
      <c r="E167" s="1" t="s">
        <v>46</v>
      </c>
      <c r="F167" s="1" t="s">
        <v>25</v>
      </c>
      <c r="G167" s="1" t="s">
        <v>26</v>
      </c>
      <c r="H167" s="1">
        <v>12504</v>
      </c>
      <c r="I167" s="1" t="s">
        <v>27</v>
      </c>
      <c r="J167" s="1"/>
      <c r="K167" s="1">
        <v>13000</v>
      </c>
      <c r="L167" s="2">
        <v>45349</v>
      </c>
    </row>
    <row r="168" spans="1:12" x14ac:dyDescent="0.35">
      <c r="A168" s="1" t="s">
        <v>316</v>
      </c>
      <c r="B168" s="1" t="s">
        <v>317</v>
      </c>
      <c r="C168" s="1" t="s">
        <v>14</v>
      </c>
      <c r="D168" s="1" t="s">
        <v>15</v>
      </c>
      <c r="E168" s="1" t="s">
        <v>46</v>
      </c>
      <c r="F168" s="1" t="s">
        <v>17</v>
      </c>
      <c r="G168" s="1" t="s">
        <v>18</v>
      </c>
      <c r="H168" s="1">
        <v>15965</v>
      </c>
      <c r="I168" s="1" t="s">
        <v>22</v>
      </c>
      <c r="J168" s="1">
        <v>0.1</v>
      </c>
      <c r="K168" s="1">
        <v>14000</v>
      </c>
      <c r="L168" s="2">
        <v>45352</v>
      </c>
    </row>
    <row r="169" spans="1:12" x14ac:dyDescent="0.35">
      <c r="A169" s="1" t="s">
        <v>318</v>
      </c>
      <c r="B169" s="1" t="s">
        <v>319</v>
      </c>
      <c r="C169" s="1" t="s">
        <v>61</v>
      </c>
      <c r="D169" s="1" t="s">
        <v>62</v>
      </c>
      <c r="E169" s="1" t="s">
        <v>32</v>
      </c>
      <c r="F169" s="1" t="s">
        <v>39</v>
      </c>
      <c r="G169" s="1" t="s">
        <v>18</v>
      </c>
      <c r="H169" s="1">
        <v>9628</v>
      </c>
      <c r="I169" s="1" t="s">
        <v>27</v>
      </c>
      <c r="J169" s="1"/>
      <c r="K169" s="1">
        <v>9000</v>
      </c>
      <c r="L169" s="2">
        <v>45293</v>
      </c>
    </row>
    <row r="170" spans="1:12" x14ac:dyDescent="0.35">
      <c r="A170" s="1" t="s">
        <v>320</v>
      </c>
      <c r="B170" s="1" t="s">
        <v>321</v>
      </c>
      <c r="C170" s="1" t="s">
        <v>30</v>
      </c>
      <c r="D170" s="1" t="s">
        <v>31</v>
      </c>
      <c r="E170" s="1" t="s">
        <v>32</v>
      </c>
      <c r="F170" s="1" t="s">
        <v>25</v>
      </c>
      <c r="G170" s="1" t="s">
        <v>26</v>
      </c>
      <c r="H170" s="1">
        <v>15840</v>
      </c>
      <c r="I170" s="1" t="s">
        <v>22</v>
      </c>
      <c r="J170" s="1">
        <v>0.1</v>
      </c>
      <c r="K170" s="1">
        <v>17000</v>
      </c>
      <c r="L170" s="2">
        <v>45345</v>
      </c>
    </row>
    <row r="171" spans="1:12" x14ac:dyDescent="0.35">
      <c r="A171" s="1" t="s">
        <v>322</v>
      </c>
      <c r="B171" s="1" t="s">
        <v>133</v>
      </c>
      <c r="C171" s="1" t="s">
        <v>44</v>
      </c>
      <c r="D171" s="1" t="s">
        <v>45</v>
      </c>
      <c r="E171" s="1" t="s">
        <v>16</v>
      </c>
      <c r="F171" s="1" t="s">
        <v>25</v>
      </c>
      <c r="G171" s="1" t="s">
        <v>18</v>
      </c>
      <c r="H171" s="1">
        <v>12345</v>
      </c>
      <c r="I171" s="1" t="s">
        <v>19</v>
      </c>
      <c r="J171" s="1">
        <v>0.2</v>
      </c>
      <c r="K171" s="1">
        <v>13000</v>
      </c>
      <c r="L171" s="2">
        <v>45342</v>
      </c>
    </row>
    <row r="172" spans="1:12" x14ac:dyDescent="0.35">
      <c r="A172" s="1" t="s">
        <v>323</v>
      </c>
      <c r="B172" s="1" t="s">
        <v>60</v>
      </c>
      <c r="C172" s="1" t="s">
        <v>14</v>
      </c>
      <c r="D172" s="1" t="s">
        <v>15</v>
      </c>
      <c r="E172" s="1" t="s">
        <v>46</v>
      </c>
      <c r="F172" s="1" t="s">
        <v>25</v>
      </c>
      <c r="G172" s="1" t="s">
        <v>18</v>
      </c>
      <c r="H172" s="1">
        <v>14212</v>
      </c>
      <c r="I172" s="1" t="s">
        <v>33</v>
      </c>
      <c r="J172" s="1">
        <v>0.3</v>
      </c>
      <c r="K172" s="1">
        <v>14000</v>
      </c>
      <c r="L172" s="2">
        <v>45343</v>
      </c>
    </row>
    <row r="173" spans="1:12" x14ac:dyDescent="0.35">
      <c r="A173" s="1" t="s">
        <v>324</v>
      </c>
      <c r="B173" s="1" t="s">
        <v>325</v>
      </c>
      <c r="C173" s="1" t="s">
        <v>14</v>
      </c>
      <c r="D173" s="1" t="s">
        <v>15</v>
      </c>
      <c r="E173" s="1" t="s">
        <v>32</v>
      </c>
      <c r="F173" s="1" t="s">
        <v>25</v>
      </c>
      <c r="G173" s="1" t="s">
        <v>36</v>
      </c>
      <c r="H173" s="1">
        <v>15235</v>
      </c>
      <c r="I173" s="1" t="s">
        <v>19</v>
      </c>
      <c r="J173" s="1">
        <v>0.2</v>
      </c>
      <c r="K173" s="1">
        <v>14000</v>
      </c>
      <c r="L173" s="2">
        <v>45329</v>
      </c>
    </row>
    <row r="174" spans="1:12" x14ac:dyDescent="0.35">
      <c r="A174" s="1" t="s">
        <v>326</v>
      </c>
      <c r="B174" s="1" t="s">
        <v>327</v>
      </c>
      <c r="C174" s="1" t="s">
        <v>44</v>
      </c>
      <c r="D174" s="1" t="s">
        <v>45</v>
      </c>
      <c r="E174" s="1" t="s">
        <v>46</v>
      </c>
      <c r="F174" s="1" t="s">
        <v>25</v>
      </c>
      <c r="G174" s="1" t="s">
        <v>18</v>
      </c>
      <c r="H174" s="1">
        <v>14038</v>
      </c>
      <c r="I174" s="1"/>
      <c r="J174" s="1"/>
      <c r="K174" s="1">
        <v>13000</v>
      </c>
      <c r="L174" s="2">
        <v>45325</v>
      </c>
    </row>
    <row r="175" spans="1:12" x14ac:dyDescent="0.35">
      <c r="A175" s="1" t="s">
        <v>328</v>
      </c>
      <c r="B175" s="1" t="s">
        <v>173</v>
      </c>
      <c r="C175" s="1" t="s">
        <v>14</v>
      </c>
      <c r="D175" s="1" t="s">
        <v>15</v>
      </c>
      <c r="E175" s="1" t="s">
        <v>46</v>
      </c>
      <c r="F175" s="1" t="s">
        <v>17</v>
      </c>
      <c r="G175" s="1" t="s">
        <v>36</v>
      </c>
      <c r="H175" s="1">
        <v>14102</v>
      </c>
      <c r="I175" s="1" t="s">
        <v>27</v>
      </c>
      <c r="J175" s="1"/>
      <c r="K175" s="1">
        <v>14000</v>
      </c>
      <c r="L175" s="2">
        <v>45298</v>
      </c>
    </row>
    <row r="176" spans="1:12" x14ac:dyDescent="0.35">
      <c r="A176" s="1" t="s">
        <v>329</v>
      </c>
      <c r="B176" s="1" t="s">
        <v>330</v>
      </c>
      <c r="C176" s="1" t="s">
        <v>44</v>
      </c>
      <c r="D176" s="1" t="s">
        <v>45</v>
      </c>
      <c r="E176" s="1" t="s">
        <v>16</v>
      </c>
      <c r="F176" s="1" t="s">
        <v>25</v>
      </c>
      <c r="G176" s="1" t="s">
        <v>26</v>
      </c>
      <c r="H176" s="1">
        <v>14208</v>
      </c>
      <c r="I176" s="1" t="s">
        <v>27</v>
      </c>
      <c r="J176" s="1"/>
      <c r="K176" s="1">
        <v>13000</v>
      </c>
      <c r="L176" s="2">
        <v>45311</v>
      </c>
    </row>
    <row r="177" spans="1:12" x14ac:dyDescent="0.35">
      <c r="A177" s="1" t="s">
        <v>331</v>
      </c>
      <c r="B177" s="1" t="s">
        <v>332</v>
      </c>
      <c r="C177" s="1" t="s">
        <v>14</v>
      </c>
      <c r="D177" s="1" t="s">
        <v>15</v>
      </c>
      <c r="E177" s="1" t="s">
        <v>32</v>
      </c>
      <c r="F177" s="1" t="s">
        <v>17</v>
      </c>
      <c r="G177" s="1" t="s">
        <v>36</v>
      </c>
      <c r="H177" s="1">
        <v>13746</v>
      </c>
      <c r="I177" s="1" t="s">
        <v>22</v>
      </c>
      <c r="J177" s="1">
        <v>0.1</v>
      </c>
      <c r="K177" s="1">
        <v>14000</v>
      </c>
      <c r="L177" s="2">
        <v>45323</v>
      </c>
    </row>
    <row r="178" spans="1:12" x14ac:dyDescent="0.35">
      <c r="A178" s="1" t="s">
        <v>333</v>
      </c>
      <c r="B178" s="1" t="s">
        <v>334</v>
      </c>
      <c r="C178" s="1" t="s">
        <v>14</v>
      </c>
      <c r="D178" s="1" t="s">
        <v>15</v>
      </c>
      <c r="E178" s="1" t="s">
        <v>32</v>
      </c>
      <c r="F178" s="1" t="s">
        <v>17</v>
      </c>
      <c r="G178" s="1" t="s">
        <v>26</v>
      </c>
      <c r="H178" s="1">
        <v>12607</v>
      </c>
      <c r="I178" s="1" t="s">
        <v>22</v>
      </c>
      <c r="J178" s="1">
        <v>0.1</v>
      </c>
      <c r="K178" s="1">
        <v>14000</v>
      </c>
      <c r="L178" s="2">
        <v>45300</v>
      </c>
    </row>
    <row r="179" spans="1:12" x14ac:dyDescent="0.35">
      <c r="A179" s="1" t="s">
        <v>335</v>
      </c>
      <c r="B179" s="1" t="s">
        <v>118</v>
      </c>
      <c r="C179" s="1" t="s">
        <v>30</v>
      </c>
      <c r="D179" s="1" t="s">
        <v>31</v>
      </c>
      <c r="E179" s="1" t="s">
        <v>46</v>
      </c>
      <c r="F179" s="1" t="s">
        <v>39</v>
      </c>
      <c r="G179" s="1" t="s">
        <v>26</v>
      </c>
      <c r="H179" s="1">
        <v>16207</v>
      </c>
      <c r="I179" s="1"/>
      <c r="J179" s="1"/>
      <c r="K179" s="1">
        <v>17000</v>
      </c>
      <c r="L179" s="2">
        <v>45324</v>
      </c>
    </row>
    <row r="180" spans="1:12" x14ac:dyDescent="0.35">
      <c r="A180" s="1" t="s">
        <v>336</v>
      </c>
      <c r="B180" s="1" t="s">
        <v>337</v>
      </c>
      <c r="C180" s="1" t="s">
        <v>14</v>
      </c>
      <c r="D180" s="1" t="s">
        <v>15</v>
      </c>
      <c r="E180" s="1" t="s">
        <v>16</v>
      </c>
      <c r="F180" s="1" t="s">
        <v>25</v>
      </c>
      <c r="G180" s="1" t="s">
        <v>26</v>
      </c>
      <c r="H180" s="1">
        <v>14666</v>
      </c>
      <c r="I180" s="1" t="s">
        <v>27</v>
      </c>
      <c r="J180" s="1"/>
      <c r="K180" s="1">
        <v>14000</v>
      </c>
      <c r="L180" s="2">
        <v>45338</v>
      </c>
    </row>
    <row r="181" spans="1:12" x14ac:dyDescent="0.35">
      <c r="A181" s="1" t="s">
        <v>338</v>
      </c>
      <c r="B181" s="1" t="s">
        <v>207</v>
      </c>
      <c r="C181" s="1" t="s">
        <v>61</v>
      </c>
      <c r="D181" s="1" t="s">
        <v>62</v>
      </c>
      <c r="E181" s="1" t="s">
        <v>46</v>
      </c>
      <c r="F181" s="1" t="s">
        <v>25</v>
      </c>
      <c r="G181" s="1" t="s">
        <v>36</v>
      </c>
      <c r="H181" s="1">
        <v>8388</v>
      </c>
      <c r="I181" s="1"/>
      <c r="J181" s="1"/>
      <c r="K181" s="1">
        <v>9000</v>
      </c>
      <c r="L181" s="2">
        <v>45317</v>
      </c>
    </row>
    <row r="182" spans="1:12" x14ac:dyDescent="0.35">
      <c r="A182" s="1" t="s">
        <v>339</v>
      </c>
      <c r="B182" s="1" t="s">
        <v>101</v>
      </c>
      <c r="C182" s="1" t="s">
        <v>14</v>
      </c>
      <c r="D182" s="1" t="s">
        <v>15</v>
      </c>
      <c r="E182" s="1" t="s">
        <v>46</v>
      </c>
      <c r="F182" s="1" t="s">
        <v>17</v>
      </c>
      <c r="G182" s="1" t="s">
        <v>36</v>
      </c>
      <c r="H182" s="1">
        <v>14724</v>
      </c>
      <c r="I182" s="1" t="s">
        <v>33</v>
      </c>
      <c r="J182" s="1">
        <v>0.3</v>
      </c>
      <c r="K182" s="1">
        <v>14000</v>
      </c>
      <c r="L182" s="2">
        <v>45315</v>
      </c>
    </row>
    <row r="183" spans="1:12" x14ac:dyDescent="0.35">
      <c r="A183" s="1" t="s">
        <v>340</v>
      </c>
      <c r="B183" s="1" t="s">
        <v>113</v>
      </c>
      <c r="C183" s="1" t="s">
        <v>61</v>
      </c>
      <c r="D183" s="1" t="s">
        <v>62</v>
      </c>
      <c r="E183" s="1" t="s">
        <v>32</v>
      </c>
      <c r="F183" s="1" t="s">
        <v>25</v>
      </c>
      <c r="G183" s="1" t="s">
        <v>18</v>
      </c>
      <c r="H183" s="1">
        <v>7381</v>
      </c>
      <c r="I183" s="1"/>
      <c r="J183" s="1"/>
      <c r="K183" s="1">
        <v>9000</v>
      </c>
      <c r="L183" s="2">
        <v>45298</v>
      </c>
    </row>
    <row r="184" spans="1:12" x14ac:dyDescent="0.35">
      <c r="A184" s="1" t="s">
        <v>341</v>
      </c>
      <c r="B184" s="1" t="s">
        <v>342</v>
      </c>
      <c r="C184" s="1" t="s">
        <v>30</v>
      </c>
      <c r="D184" s="1" t="s">
        <v>31</v>
      </c>
      <c r="E184" s="1" t="s">
        <v>32</v>
      </c>
      <c r="F184" s="1" t="s">
        <v>39</v>
      </c>
      <c r="G184" s="1" t="s">
        <v>18</v>
      </c>
      <c r="H184" s="1">
        <v>17402</v>
      </c>
      <c r="I184" s="1" t="s">
        <v>27</v>
      </c>
      <c r="J184" s="1"/>
      <c r="K184" s="1">
        <v>17000</v>
      </c>
      <c r="L184" s="2">
        <v>45327</v>
      </c>
    </row>
    <row r="185" spans="1:12" x14ac:dyDescent="0.35">
      <c r="A185" s="1" t="s">
        <v>343</v>
      </c>
      <c r="B185" s="1" t="s">
        <v>150</v>
      </c>
      <c r="C185" s="1" t="s">
        <v>14</v>
      </c>
      <c r="D185" s="1" t="s">
        <v>15</v>
      </c>
      <c r="E185" s="1" t="s">
        <v>46</v>
      </c>
      <c r="F185" s="1" t="s">
        <v>17</v>
      </c>
      <c r="G185" s="1" t="s">
        <v>26</v>
      </c>
      <c r="H185" s="1">
        <v>15854</v>
      </c>
      <c r="I185" s="1"/>
      <c r="J185" s="1"/>
      <c r="K185" s="1">
        <v>14000</v>
      </c>
      <c r="L185" s="2">
        <v>45347</v>
      </c>
    </row>
    <row r="186" spans="1:12" x14ac:dyDescent="0.35">
      <c r="A186" s="1" t="s">
        <v>344</v>
      </c>
      <c r="B186" s="1" t="s">
        <v>260</v>
      </c>
      <c r="C186" s="1" t="s">
        <v>14</v>
      </c>
      <c r="D186" s="1" t="s">
        <v>15</v>
      </c>
      <c r="E186" s="1" t="s">
        <v>46</v>
      </c>
      <c r="F186" s="1" t="s">
        <v>39</v>
      </c>
      <c r="G186" s="1" t="s">
        <v>36</v>
      </c>
      <c r="H186" s="1">
        <v>13440</v>
      </c>
      <c r="I186" s="1" t="s">
        <v>22</v>
      </c>
      <c r="J186" s="1">
        <v>0.1</v>
      </c>
      <c r="K186" s="1">
        <v>14000</v>
      </c>
      <c r="L186" s="2">
        <v>45328</v>
      </c>
    </row>
    <row r="187" spans="1:12" x14ac:dyDescent="0.35">
      <c r="A187" s="1" t="s">
        <v>345</v>
      </c>
      <c r="B187" s="1" t="s">
        <v>346</v>
      </c>
      <c r="C187" s="1" t="s">
        <v>44</v>
      </c>
      <c r="D187" s="1" t="s">
        <v>45</v>
      </c>
      <c r="E187" s="1" t="s">
        <v>16</v>
      </c>
      <c r="F187" s="1" t="s">
        <v>17</v>
      </c>
      <c r="G187" s="1" t="s">
        <v>18</v>
      </c>
      <c r="H187" s="1">
        <v>14470</v>
      </c>
      <c r="I187" s="1" t="s">
        <v>22</v>
      </c>
      <c r="J187" s="1">
        <v>0.1</v>
      </c>
      <c r="K187" s="1">
        <v>13000</v>
      </c>
      <c r="L187" s="2">
        <v>45314</v>
      </c>
    </row>
    <row r="188" spans="1:12" x14ac:dyDescent="0.35">
      <c r="A188" s="1" t="s">
        <v>347</v>
      </c>
      <c r="B188" s="1" t="s">
        <v>144</v>
      </c>
      <c r="C188" s="1" t="s">
        <v>30</v>
      </c>
      <c r="D188" s="1" t="s">
        <v>31</v>
      </c>
      <c r="E188" s="1" t="s">
        <v>32</v>
      </c>
      <c r="F188" s="1" t="s">
        <v>17</v>
      </c>
      <c r="G188" s="1" t="s">
        <v>26</v>
      </c>
      <c r="H188" s="1">
        <v>15926</v>
      </c>
      <c r="I188" s="1"/>
      <c r="J188" s="1"/>
      <c r="K188" s="1">
        <v>17000</v>
      </c>
      <c r="L188" s="2">
        <v>45346</v>
      </c>
    </row>
    <row r="189" spans="1:12" x14ac:dyDescent="0.35">
      <c r="A189" s="1" t="s">
        <v>348</v>
      </c>
      <c r="B189" s="1" t="s">
        <v>82</v>
      </c>
      <c r="C189" s="1" t="s">
        <v>14</v>
      </c>
      <c r="D189" s="1" t="s">
        <v>15</v>
      </c>
      <c r="E189" s="1" t="s">
        <v>16</v>
      </c>
      <c r="F189" s="1" t="s">
        <v>39</v>
      </c>
      <c r="G189" s="1" t="s">
        <v>26</v>
      </c>
      <c r="H189" s="1">
        <v>13095</v>
      </c>
      <c r="I189" s="1" t="s">
        <v>22</v>
      </c>
      <c r="J189" s="1">
        <v>0.1</v>
      </c>
      <c r="K189" s="1">
        <v>14000</v>
      </c>
      <c r="L189" s="2">
        <v>45303</v>
      </c>
    </row>
    <row r="190" spans="1:12" x14ac:dyDescent="0.35">
      <c r="A190" s="1" t="s">
        <v>349</v>
      </c>
      <c r="B190" s="1" t="s">
        <v>350</v>
      </c>
      <c r="C190" s="1" t="s">
        <v>30</v>
      </c>
      <c r="D190" s="1" t="s">
        <v>31</v>
      </c>
      <c r="E190" s="1" t="s">
        <v>46</v>
      </c>
      <c r="F190" s="1" t="s">
        <v>17</v>
      </c>
      <c r="G190" s="1" t="s">
        <v>18</v>
      </c>
      <c r="H190" s="1">
        <v>15743</v>
      </c>
      <c r="I190" s="1" t="s">
        <v>19</v>
      </c>
      <c r="J190" s="1">
        <v>0.2</v>
      </c>
      <c r="K190" s="1">
        <v>17000</v>
      </c>
      <c r="L190" s="2">
        <v>45328</v>
      </c>
    </row>
    <row r="191" spans="1:12" x14ac:dyDescent="0.35">
      <c r="A191" s="1" t="s">
        <v>351</v>
      </c>
      <c r="B191" s="1" t="s">
        <v>90</v>
      </c>
      <c r="C191" s="1" t="s">
        <v>14</v>
      </c>
      <c r="D191" s="1" t="s">
        <v>15</v>
      </c>
      <c r="E191" s="1" t="s">
        <v>32</v>
      </c>
      <c r="F191" s="1" t="s">
        <v>39</v>
      </c>
      <c r="G191" s="1" t="s">
        <v>26</v>
      </c>
      <c r="H191" s="1">
        <v>15980</v>
      </c>
      <c r="I191" s="1" t="s">
        <v>22</v>
      </c>
      <c r="J191" s="1">
        <v>0.1</v>
      </c>
      <c r="K191" s="1">
        <v>14000</v>
      </c>
      <c r="L191" s="2">
        <v>45297</v>
      </c>
    </row>
    <row r="192" spans="1:12" x14ac:dyDescent="0.35">
      <c r="A192" s="1" t="s">
        <v>352</v>
      </c>
      <c r="B192" s="1" t="s">
        <v>103</v>
      </c>
      <c r="C192" s="1" t="s">
        <v>44</v>
      </c>
      <c r="D192" s="1" t="s">
        <v>45</v>
      </c>
      <c r="E192" s="1" t="s">
        <v>46</v>
      </c>
      <c r="F192" s="1" t="s">
        <v>17</v>
      </c>
      <c r="G192" s="1" t="s">
        <v>36</v>
      </c>
      <c r="H192" s="1">
        <v>12396</v>
      </c>
      <c r="I192" s="1" t="s">
        <v>19</v>
      </c>
      <c r="J192" s="1">
        <v>0.2</v>
      </c>
      <c r="K192" s="1">
        <v>13000</v>
      </c>
      <c r="L192" s="2">
        <v>45315</v>
      </c>
    </row>
    <row r="193" spans="1:12" x14ac:dyDescent="0.35">
      <c r="A193" s="1" t="s">
        <v>353</v>
      </c>
      <c r="B193" s="1" t="s">
        <v>350</v>
      </c>
      <c r="C193" s="1" t="s">
        <v>30</v>
      </c>
      <c r="D193" s="1" t="s">
        <v>31</v>
      </c>
      <c r="E193" s="1" t="s">
        <v>16</v>
      </c>
      <c r="F193" s="1" t="s">
        <v>39</v>
      </c>
      <c r="G193" s="1" t="s">
        <v>18</v>
      </c>
      <c r="H193" s="1">
        <v>18618</v>
      </c>
      <c r="I193" s="1" t="s">
        <v>22</v>
      </c>
      <c r="J193" s="1">
        <v>0.1</v>
      </c>
      <c r="K193" s="1">
        <v>17000</v>
      </c>
      <c r="L193" s="2">
        <v>45301</v>
      </c>
    </row>
    <row r="194" spans="1:12" x14ac:dyDescent="0.35">
      <c r="A194" s="1" t="s">
        <v>354</v>
      </c>
      <c r="B194" s="1" t="s">
        <v>135</v>
      </c>
      <c r="C194" s="1" t="s">
        <v>14</v>
      </c>
      <c r="D194" s="1" t="s">
        <v>15</v>
      </c>
      <c r="E194" s="1" t="s">
        <v>16</v>
      </c>
      <c r="F194" s="1" t="s">
        <v>25</v>
      </c>
      <c r="G194" s="1" t="s">
        <v>36</v>
      </c>
      <c r="H194" s="1">
        <v>13814</v>
      </c>
      <c r="I194" s="1"/>
      <c r="J194" s="1"/>
      <c r="K194" s="1">
        <v>14000</v>
      </c>
      <c r="L194" s="2">
        <v>45323</v>
      </c>
    </row>
    <row r="195" spans="1:12" x14ac:dyDescent="0.35">
      <c r="A195" s="1" t="s">
        <v>355</v>
      </c>
      <c r="B195" s="1" t="s">
        <v>356</v>
      </c>
      <c r="C195" s="1" t="s">
        <v>61</v>
      </c>
      <c r="D195" s="1" t="s">
        <v>62</v>
      </c>
      <c r="E195" s="1" t="s">
        <v>46</v>
      </c>
      <c r="F195" s="1" t="s">
        <v>25</v>
      </c>
      <c r="G195" s="1" t="s">
        <v>26</v>
      </c>
      <c r="H195" s="1">
        <v>7466</v>
      </c>
      <c r="I195" s="1" t="s">
        <v>33</v>
      </c>
      <c r="J195" s="1">
        <v>0.3</v>
      </c>
      <c r="K195" s="1">
        <v>9000</v>
      </c>
      <c r="L195" s="2">
        <v>45319</v>
      </c>
    </row>
    <row r="196" spans="1:12" x14ac:dyDescent="0.35">
      <c r="A196" s="1" t="s">
        <v>357</v>
      </c>
      <c r="B196" s="1" t="s">
        <v>263</v>
      </c>
      <c r="C196" s="1" t="s">
        <v>61</v>
      </c>
      <c r="D196" s="1" t="s">
        <v>62</v>
      </c>
      <c r="E196" s="1" t="s">
        <v>16</v>
      </c>
      <c r="F196" s="1" t="s">
        <v>39</v>
      </c>
      <c r="G196" s="1" t="s">
        <v>36</v>
      </c>
      <c r="H196" s="1">
        <v>7186</v>
      </c>
      <c r="I196" s="1" t="s">
        <v>19</v>
      </c>
      <c r="J196" s="1">
        <v>0.2</v>
      </c>
      <c r="K196" s="1">
        <v>9000</v>
      </c>
      <c r="L196" s="2">
        <v>45317</v>
      </c>
    </row>
    <row r="197" spans="1:12" x14ac:dyDescent="0.35">
      <c r="A197" s="1" t="s">
        <v>358</v>
      </c>
      <c r="B197" s="1" t="s">
        <v>359</v>
      </c>
      <c r="C197" s="1" t="s">
        <v>14</v>
      </c>
      <c r="D197" s="1" t="s">
        <v>15</v>
      </c>
      <c r="E197" s="1" t="s">
        <v>32</v>
      </c>
      <c r="F197" s="1" t="s">
        <v>17</v>
      </c>
      <c r="G197" s="1" t="s">
        <v>18</v>
      </c>
      <c r="H197" s="1">
        <v>15143</v>
      </c>
      <c r="I197" s="1" t="s">
        <v>19</v>
      </c>
      <c r="J197" s="1">
        <v>0.2</v>
      </c>
      <c r="K197" s="1">
        <v>14000</v>
      </c>
      <c r="L197" s="2">
        <v>45340</v>
      </c>
    </row>
    <row r="198" spans="1:12" x14ac:dyDescent="0.35">
      <c r="A198" s="1" t="s">
        <v>360</v>
      </c>
      <c r="B198" s="1" t="s">
        <v>361</v>
      </c>
      <c r="C198" s="1" t="s">
        <v>30</v>
      </c>
      <c r="D198" s="1" t="s">
        <v>31</v>
      </c>
      <c r="E198" s="1" t="s">
        <v>32</v>
      </c>
      <c r="F198" s="1" t="s">
        <v>25</v>
      </c>
      <c r="G198" s="1" t="s">
        <v>36</v>
      </c>
      <c r="H198" s="1">
        <v>18059</v>
      </c>
      <c r="I198" s="1"/>
      <c r="J198" s="1"/>
      <c r="K198" s="1">
        <v>17000</v>
      </c>
      <c r="L198" s="2">
        <v>45303</v>
      </c>
    </row>
    <row r="199" spans="1:12" x14ac:dyDescent="0.35">
      <c r="A199" s="1" t="s">
        <v>362</v>
      </c>
      <c r="B199" s="1" t="s">
        <v>363</v>
      </c>
      <c r="C199" s="1" t="s">
        <v>44</v>
      </c>
      <c r="D199" s="1" t="s">
        <v>45</v>
      </c>
      <c r="E199" s="1" t="s">
        <v>16</v>
      </c>
      <c r="F199" s="1" t="s">
        <v>39</v>
      </c>
      <c r="G199" s="1" t="s">
        <v>26</v>
      </c>
      <c r="H199" s="1">
        <v>14302</v>
      </c>
      <c r="I199" s="1" t="s">
        <v>33</v>
      </c>
      <c r="J199" s="1">
        <v>0.3</v>
      </c>
      <c r="K199" s="1">
        <v>13000</v>
      </c>
      <c r="L199" s="2">
        <v>45296</v>
      </c>
    </row>
    <row r="200" spans="1:12" x14ac:dyDescent="0.35">
      <c r="A200" s="1" t="s">
        <v>364</v>
      </c>
      <c r="B200" s="1" t="s">
        <v>309</v>
      </c>
      <c r="C200" s="1" t="s">
        <v>14</v>
      </c>
      <c r="D200" s="1" t="s">
        <v>15</v>
      </c>
      <c r="E200" s="1" t="s">
        <v>46</v>
      </c>
      <c r="F200" s="1" t="s">
        <v>25</v>
      </c>
      <c r="G200" s="1" t="s">
        <v>36</v>
      </c>
      <c r="H200" s="1">
        <v>15773</v>
      </c>
      <c r="I200" s="1" t="s">
        <v>22</v>
      </c>
      <c r="J200" s="1">
        <v>0.1</v>
      </c>
      <c r="K200" s="1">
        <v>14000</v>
      </c>
      <c r="L200" s="2">
        <v>45347</v>
      </c>
    </row>
    <row r="201" spans="1:12" x14ac:dyDescent="0.35">
      <c r="A201" s="1" t="s">
        <v>365</v>
      </c>
      <c r="B201" s="1" t="s">
        <v>38</v>
      </c>
      <c r="C201" s="1" t="s">
        <v>61</v>
      </c>
      <c r="D201" s="1" t="s">
        <v>62</v>
      </c>
      <c r="E201" s="1" t="s">
        <v>16</v>
      </c>
      <c r="F201" s="1" t="s">
        <v>17</v>
      </c>
      <c r="G201" s="1" t="s">
        <v>26</v>
      </c>
      <c r="H201" s="1">
        <v>9622</v>
      </c>
      <c r="I201" s="1"/>
      <c r="J201" s="1"/>
      <c r="K201" s="1">
        <v>9000</v>
      </c>
      <c r="L201" s="2">
        <v>45310</v>
      </c>
    </row>
    <row r="202" spans="1:12" x14ac:dyDescent="0.35">
      <c r="A202" s="1" t="s">
        <v>366</v>
      </c>
      <c r="B202" s="1" t="s">
        <v>66</v>
      </c>
      <c r="C202" s="1" t="s">
        <v>14</v>
      </c>
      <c r="D202" s="1" t="s">
        <v>15</v>
      </c>
      <c r="E202" s="1" t="s">
        <v>46</v>
      </c>
      <c r="F202" s="1" t="s">
        <v>25</v>
      </c>
      <c r="G202" s="1" t="s">
        <v>26</v>
      </c>
      <c r="H202" s="1">
        <v>13884</v>
      </c>
      <c r="I202" s="1" t="s">
        <v>33</v>
      </c>
      <c r="J202" s="1">
        <v>0.3</v>
      </c>
      <c r="K202" s="1">
        <v>14000</v>
      </c>
      <c r="L202" s="2">
        <v>45297</v>
      </c>
    </row>
    <row r="203" spans="1:12" x14ac:dyDescent="0.35">
      <c r="A203" s="1" t="s">
        <v>367</v>
      </c>
      <c r="B203" s="1" t="s">
        <v>309</v>
      </c>
      <c r="C203" s="1" t="s">
        <v>14</v>
      </c>
      <c r="D203" s="1" t="s">
        <v>15</v>
      </c>
      <c r="E203" s="1" t="s">
        <v>32</v>
      </c>
      <c r="F203" s="1" t="s">
        <v>17</v>
      </c>
      <c r="G203" s="1" t="s">
        <v>26</v>
      </c>
      <c r="H203" s="1">
        <v>13640</v>
      </c>
      <c r="I203" s="1" t="s">
        <v>27</v>
      </c>
      <c r="J203" s="1"/>
      <c r="K203" s="1">
        <v>14000</v>
      </c>
      <c r="L203" s="2">
        <v>45297</v>
      </c>
    </row>
    <row r="204" spans="1:12" x14ac:dyDescent="0.35">
      <c r="A204" s="1" t="s">
        <v>368</v>
      </c>
      <c r="B204" s="1" t="s">
        <v>309</v>
      </c>
      <c r="C204" s="1" t="s">
        <v>30</v>
      </c>
      <c r="D204" s="1" t="s">
        <v>31</v>
      </c>
      <c r="E204" s="1" t="s">
        <v>16</v>
      </c>
      <c r="F204" s="1" t="s">
        <v>17</v>
      </c>
      <c r="G204" s="1" t="s">
        <v>18</v>
      </c>
      <c r="H204" s="1">
        <v>16364</v>
      </c>
      <c r="I204" s="1" t="s">
        <v>19</v>
      </c>
      <c r="J204" s="1">
        <v>0.2</v>
      </c>
      <c r="K204" s="1">
        <v>17000</v>
      </c>
      <c r="L204" s="2">
        <v>45296</v>
      </c>
    </row>
    <row r="205" spans="1:12" x14ac:dyDescent="0.35">
      <c r="A205" s="1" t="s">
        <v>369</v>
      </c>
      <c r="B205" s="1" t="s">
        <v>202</v>
      </c>
      <c r="C205" s="1" t="s">
        <v>14</v>
      </c>
      <c r="D205" s="1" t="s">
        <v>15</v>
      </c>
      <c r="E205" s="1" t="s">
        <v>16</v>
      </c>
      <c r="F205" s="1" t="s">
        <v>39</v>
      </c>
      <c r="G205" s="1" t="s">
        <v>18</v>
      </c>
      <c r="H205" s="1">
        <v>15710</v>
      </c>
      <c r="I205" s="1" t="s">
        <v>33</v>
      </c>
      <c r="J205" s="1">
        <v>0.3</v>
      </c>
      <c r="K205" s="1">
        <v>14000</v>
      </c>
      <c r="L205" s="2">
        <v>45314</v>
      </c>
    </row>
    <row r="206" spans="1:12" x14ac:dyDescent="0.35">
      <c r="A206" s="1" t="s">
        <v>370</v>
      </c>
      <c r="B206" s="1" t="s">
        <v>371</v>
      </c>
      <c r="C206" s="1" t="s">
        <v>44</v>
      </c>
      <c r="D206" s="1" t="s">
        <v>45</v>
      </c>
      <c r="E206" s="1" t="s">
        <v>32</v>
      </c>
      <c r="F206" s="1" t="s">
        <v>25</v>
      </c>
      <c r="G206" s="1" t="s">
        <v>18</v>
      </c>
      <c r="H206" s="1">
        <v>12048</v>
      </c>
      <c r="I206" s="1" t="s">
        <v>19</v>
      </c>
      <c r="J206" s="1">
        <v>0.2</v>
      </c>
      <c r="K206" s="1">
        <v>13000</v>
      </c>
      <c r="L206" s="2">
        <v>45303</v>
      </c>
    </row>
    <row r="207" spans="1:12" x14ac:dyDescent="0.35">
      <c r="A207" s="1" t="s">
        <v>372</v>
      </c>
      <c r="B207" s="1" t="s">
        <v>373</v>
      </c>
      <c r="C207" s="1" t="s">
        <v>14</v>
      </c>
      <c r="D207" s="1" t="s">
        <v>15</v>
      </c>
      <c r="E207" s="1" t="s">
        <v>32</v>
      </c>
      <c r="F207" s="1" t="s">
        <v>39</v>
      </c>
      <c r="G207" s="1" t="s">
        <v>36</v>
      </c>
      <c r="H207" s="1">
        <v>13900</v>
      </c>
      <c r="I207" s="1" t="s">
        <v>27</v>
      </c>
      <c r="J207" s="1"/>
      <c r="K207" s="1">
        <v>14000</v>
      </c>
      <c r="L207" s="2">
        <v>45340</v>
      </c>
    </row>
    <row r="208" spans="1:12" x14ac:dyDescent="0.35">
      <c r="A208" s="1" t="s">
        <v>374</v>
      </c>
      <c r="B208" s="1" t="s">
        <v>356</v>
      </c>
      <c r="C208" s="1" t="s">
        <v>30</v>
      </c>
      <c r="D208" s="1" t="s">
        <v>31</v>
      </c>
      <c r="E208" s="1" t="s">
        <v>16</v>
      </c>
      <c r="F208" s="1" t="s">
        <v>17</v>
      </c>
      <c r="G208" s="1" t="s">
        <v>18</v>
      </c>
      <c r="H208" s="1">
        <v>16801</v>
      </c>
      <c r="I208" s="1" t="s">
        <v>22</v>
      </c>
      <c r="J208" s="1">
        <v>0.1</v>
      </c>
      <c r="K208" s="1">
        <v>17000</v>
      </c>
      <c r="L208" s="2">
        <v>45322</v>
      </c>
    </row>
    <row r="209" spans="1:12" x14ac:dyDescent="0.35">
      <c r="A209" s="1" t="s">
        <v>375</v>
      </c>
      <c r="B209" s="1" t="s">
        <v>332</v>
      </c>
      <c r="C209" s="1" t="s">
        <v>30</v>
      </c>
      <c r="D209" s="1" t="s">
        <v>31</v>
      </c>
      <c r="E209" s="1" t="s">
        <v>46</v>
      </c>
      <c r="F209" s="1" t="s">
        <v>39</v>
      </c>
      <c r="G209" s="1" t="s">
        <v>18</v>
      </c>
      <c r="H209" s="1">
        <v>16441</v>
      </c>
      <c r="I209" s="1" t="s">
        <v>27</v>
      </c>
      <c r="J209" s="1"/>
      <c r="K209" s="1">
        <v>17000</v>
      </c>
      <c r="L209" s="2">
        <v>45296</v>
      </c>
    </row>
    <row r="210" spans="1:12" x14ac:dyDescent="0.35">
      <c r="A210" s="1" t="s">
        <v>376</v>
      </c>
      <c r="B210" s="1" t="s">
        <v>48</v>
      </c>
      <c r="C210" s="1" t="s">
        <v>61</v>
      </c>
      <c r="D210" s="1" t="s">
        <v>62</v>
      </c>
      <c r="E210" s="1" t="s">
        <v>32</v>
      </c>
      <c r="F210" s="1" t="s">
        <v>25</v>
      </c>
      <c r="G210" s="1" t="s">
        <v>36</v>
      </c>
      <c r="H210" s="1">
        <v>10406</v>
      </c>
      <c r="I210" s="1" t="s">
        <v>33</v>
      </c>
      <c r="J210" s="1">
        <v>0.3</v>
      </c>
      <c r="K210" s="1">
        <v>9000</v>
      </c>
      <c r="L210" s="2">
        <v>45296</v>
      </c>
    </row>
    <row r="211" spans="1:12" x14ac:dyDescent="0.35">
      <c r="A211" s="1" t="s">
        <v>377</v>
      </c>
      <c r="B211" s="1" t="s">
        <v>204</v>
      </c>
      <c r="C211" s="1" t="s">
        <v>14</v>
      </c>
      <c r="D211" s="1" t="s">
        <v>15</v>
      </c>
      <c r="E211" s="1" t="s">
        <v>16</v>
      </c>
      <c r="F211" s="1" t="s">
        <v>39</v>
      </c>
      <c r="G211" s="1" t="s">
        <v>26</v>
      </c>
      <c r="H211" s="1">
        <v>13574</v>
      </c>
      <c r="I211" s="1"/>
      <c r="J211" s="1"/>
      <c r="K211" s="1">
        <v>14000</v>
      </c>
      <c r="L211" s="2">
        <v>45329</v>
      </c>
    </row>
    <row r="212" spans="1:12" x14ac:dyDescent="0.35">
      <c r="A212" s="1" t="s">
        <v>378</v>
      </c>
      <c r="B212" s="1" t="s">
        <v>82</v>
      </c>
      <c r="C212" s="1" t="s">
        <v>14</v>
      </c>
      <c r="D212" s="1" t="s">
        <v>15</v>
      </c>
      <c r="E212" s="1" t="s">
        <v>46</v>
      </c>
      <c r="F212" s="1" t="s">
        <v>39</v>
      </c>
      <c r="G212" s="1" t="s">
        <v>26</v>
      </c>
      <c r="H212" s="1">
        <v>12771</v>
      </c>
      <c r="I212" s="1" t="s">
        <v>33</v>
      </c>
      <c r="J212" s="1">
        <v>0.3</v>
      </c>
      <c r="K212" s="1">
        <v>14000</v>
      </c>
      <c r="L212" s="2">
        <v>45330</v>
      </c>
    </row>
    <row r="213" spans="1:12" x14ac:dyDescent="0.35">
      <c r="A213" s="1" t="s">
        <v>379</v>
      </c>
      <c r="B213" s="1" t="s">
        <v>330</v>
      </c>
      <c r="C213" s="1" t="s">
        <v>44</v>
      </c>
      <c r="D213" s="1" t="s">
        <v>45</v>
      </c>
      <c r="E213" s="1" t="s">
        <v>32</v>
      </c>
      <c r="F213" s="1" t="s">
        <v>17</v>
      </c>
      <c r="G213" s="1" t="s">
        <v>18</v>
      </c>
      <c r="H213" s="1">
        <v>14321</v>
      </c>
      <c r="I213" s="1" t="s">
        <v>33</v>
      </c>
      <c r="J213" s="1">
        <v>0.3</v>
      </c>
      <c r="K213" s="1">
        <v>13000</v>
      </c>
      <c r="L213" s="2">
        <v>45337</v>
      </c>
    </row>
    <row r="214" spans="1:12" x14ac:dyDescent="0.35">
      <c r="A214" s="1" t="s">
        <v>380</v>
      </c>
      <c r="B214" s="1" t="s">
        <v>241</v>
      </c>
      <c r="C214" s="1" t="s">
        <v>44</v>
      </c>
      <c r="D214" s="1" t="s">
        <v>45</v>
      </c>
      <c r="E214" s="1" t="s">
        <v>32</v>
      </c>
      <c r="F214" s="1" t="s">
        <v>25</v>
      </c>
      <c r="G214" s="1" t="s">
        <v>26</v>
      </c>
      <c r="H214" s="1">
        <v>12793</v>
      </c>
      <c r="I214" s="1"/>
      <c r="J214" s="1"/>
      <c r="K214" s="1">
        <v>13000</v>
      </c>
      <c r="L214" s="2">
        <v>45325</v>
      </c>
    </row>
    <row r="215" spans="1:12" x14ac:dyDescent="0.35">
      <c r="A215" s="1" t="s">
        <v>381</v>
      </c>
      <c r="B215" s="1" t="s">
        <v>382</v>
      </c>
      <c r="C215" s="1" t="s">
        <v>44</v>
      </c>
      <c r="D215" s="1" t="s">
        <v>45</v>
      </c>
      <c r="E215" s="1" t="s">
        <v>46</v>
      </c>
      <c r="F215" s="1" t="s">
        <v>17</v>
      </c>
      <c r="G215" s="1" t="s">
        <v>36</v>
      </c>
      <c r="H215" s="1">
        <v>12586</v>
      </c>
      <c r="I215" s="1"/>
      <c r="J215" s="1"/>
      <c r="K215" s="1">
        <v>13000</v>
      </c>
      <c r="L215" s="2">
        <v>45341</v>
      </c>
    </row>
    <row r="216" spans="1:12" x14ac:dyDescent="0.35">
      <c r="A216" s="1" t="s">
        <v>383</v>
      </c>
      <c r="B216" s="1" t="s">
        <v>150</v>
      </c>
      <c r="C216" s="1" t="s">
        <v>14</v>
      </c>
      <c r="D216" s="1" t="s">
        <v>15</v>
      </c>
      <c r="E216" s="1" t="s">
        <v>16</v>
      </c>
      <c r="F216" s="1" t="s">
        <v>39</v>
      </c>
      <c r="G216" s="1" t="s">
        <v>36</v>
      </c>
      <c r="H216" s="1">
        <v>12269</v>
      </c>
      <c r="I216" s="1" t="s">
        <v>33</v>
      </c>
      <c r="J216" s="1">
        <v>0.3</v>
      </c>
      <c r="K216" s="1">
        <v>14000</v>
      </c>
      <c r="L216" s="2">
        <v>45298</v>
      </c>
    </row>
    <row r="217" spans="1:12" x14ac:dyDescent="0.35">
      <c r="A217" s="1" t="s">
        <v>384</v>
      </c>
      <c r="B217" s="1" t="s">
        <v>202</v>
      </c>
      <c r="C217" s="1" t="s">
        <v>61</v>
      </c>
      <c r="D217" s="1" t="s">
        <v>62</v>
      </c>
      <c r="E217" s="1" t="s">
        <v>46</v>
      </c>
      <c r="F217" s="1" t="s">
        <v>17</v>
      </c>
      <c r="G217" s="1" t="s">
        <v>26</v>
      </c>
      <c r="H217" s="1">
        <v>10488</v>
      </c>
      <c r="I217" s="1" t="s">
        <v>27</v>
      </c>
      <c r="J217" s="1"/>
      <c r="K217" s="1">
        <v>9000</v>
      </c>
      <c r="L217" s="2">
        <v>45347</v>
      </c>
    </row>
    <row r="218" spans="1:12" x14ac:dyDescent="0.35">
      <c r="A218" s="1" t="s">
        <v>385</v>
      </c>
      <c r="B218" s="1" t="s">
        <v>74</v>
      </c>
      <c r="C218" s="1" t="s">
        <v>14</v>
      </c>
      <c r="D218" s="1" t="s">
        <v>15</v>
      </c>
      <c r="E218" s="1" t="s">
        <v>16</v>
      </c>
      <c r="F218" s="1" t="s">
        <v>39</v>
      </c>
      <c r="G218" s="1" t="s">
        <v>18</v>
      </c>
      <c r="H218" s="1">
        <v>15754</v>
      </c>
      <c r="I218" s="1" t="s">
        <v>33</v>
      </c>
      <c r="J218" s="1">
        <v>0.3</v>
      </c>
      <c r="K218" s="1">
        <v>14000</v>
      </c>
      <c r="L218" s="2">
        <v>45311</v>
      </c>
    </row>
    <row r="219" spans="1:12" x14ac:dyDescent="0.35">
      <c r="A219" s="1" t="s">
        <v>386</v>
      </c>
      <c r="B219" s="1" t="s">
        <v>305</v>
      </c>
      <c r="C219" s="1" t="s">
        <v>61</v>
      </c>
      <c r="D219" s="1" t="s">
        <v>62</v>
      </c>
      <c r="E219" s="1" t="s">
        <v>32</v>
      </c>
      <c r="F219" s="1" t="s">
        <v>39</v>
      </c>
      <c r="G219" s="1" t="s">
        <v>26</v>
      </c>
      <c r="H219" s="1">
        <v>10842</v>
      </c>
      <c r="I219" s="1" t="s">
        <v>22</v>
      </c>
      <c r="J219" s="1">
        <v>0.1</v>
      </c>
      <c r="K219" s="1">
        <v>9000</v>
      </c>
      <c r="L219" s="2">
        <v>45311</v>
      </c>
    </row>
    <row r="220" spans="1:12" x14ac:dyDescent="0.35">
      <c r="A220" s="1" t="s">
        <v>387</v>
      </c>
      <c r="B220" s="1" t="s">
        <v>388</v>
      </c>
      <c r="C220" s="1" t="s">
        <v>30</v>
      </c>
      <c r="D220" s="1" t="s">
        <v>31</v>
      </c>
      <c r="E220" s="1" t="s">
        <v>32</v>
      </c>
      <c r="F220" s="1" t="s">
        <v>39</v>
      </c>
      <c r="G220" s="1" t="s">
        <v>26</v>
      </c>
      <c r="H220" s="1">
        <v>18395</v>
      </c>
      <c r="I220" s="1" t="s">
        <v>27</v>
      </c>
      <c r="J220" s="1"/>
      <c r="K220" s="1">
        <v>17000</v>
      </c>
      <c r="L220" s="2">
        <v>45297</v>
      </c>
    </row>
    <row r="221" spans="1:12" x14ac:dyDescent="0.35">
      <c r="A221" s="1" t="s">
        <v>389</v>
      </c>
      <c r="B221" s="1" t="s">
        <v>92</v>
      </c>
      <c r="C221" s="1" t="s">
        <v>61</v>
      </c>
      <c r="D221" s="1" t="s">
        <v>62</v>
      </c>
      <c r="E221" s="1" t="s">
        <v>16</v>
      </c>
      <c r="F221" s="1" t="s">
        <v>17</v>
      </c>
      <c r="G221" s="1" t="s">
        <v>18</v>
      </c>
      <c r="H221" s="1">
        <v>8485</v>
      </c>
      <c r="I221" s="1" t="s">
        <v>33</v>
      </c>
      <c r="J221" s="1">
        <v>0.3</v>
      </c>
      <c r="K221" s="1">
        <v>9000</v>
      </c>
      <c r="L221" s="2">
        <v>45303</v>
      </c>
    </row>
    <row r="222" spans="1:12" x14ac:dyDescent="0.35">
      <c r="A222" s="1" t="s">
        <v>390</v>
      </c>
      <c r="B222" s="1" t="s">
        <v>391</v>
      </c>
      <c r="C222" s="1" t="s">
        <v>61</v>
      </c>
      <c r="D222" s="1" t="s">
        <v>62</v>
      </c>
      <c r="E222" s="1" t="s">
        <v>32</v>
      </c>
      <c r="F222" s="1" t="s">
        <v>25</v>
      </c>
      <c r="G222" s="1" t="s">
        <v>18</v>
      </c>
      <c r="H222" s="1">
        <v>7634</v>
      </c>
      <c r="I222" s="1" t="s">
        <v>22</v>
      </c>
      <c r="J222" s="1">
        <v>0.1</v>
      </c>
      <c r="K222" s="1">
        <v>9000</v>
      </c>
      <c r="L222" s="2">
        <v>45310</v>
      </c>
    </row>
    <row r="223" spans="1:12" x14ac:dyDescent="0.35">
      <c r="A223" s="1" t="s">
        <v>392</v>
      </c>
      <c r="B223" s="1" t="s">
        <v>393</v>
      </c>
      <c r="C223" s="1" t="s">
        <v>14</v>
      </c>
      <c r="D223" s="1" t="s">
        <v>15</v>
      </c>
      <c r="E223" s="1" t="s">
        <v>16</v>
      </c>
      <c r="F223" s="1" t="s">
        <v>39</v>
      </c>
      <c r="G223" s="1" t="s">
        <v>26</v>
      </c>
      <c r="H223" s="1">
        <v>15619</v>
      </c>
      <c r="I223" s="1" t="s">
        <v>27</v>
      </c>
      <c r="J223" s="1"/>
      <c r="K223" s="1">
        <v>14000</v>
      </c>
      <c r="L223" s="2">
        <v>45294</v>
      </c>
    </row>
    <row r="224" spans="1:12" x14ac:dyDescent="0.35">
      <c r="A224" s="1" t="s">
        <v>394</v>
      </c>
      <c r="B224" s="1" t="s">
        <v>317</v>
      </c>
      <c r="C224" s="1" t="s">
        <v>44</v>
      </c>
      <c r="D224" s="1" t="s">
        <v>45</v>
      </c>
      <c r="E224" s="1" t="s">
        <v>16</v>
      </c>
      <c r="F224" s="1" t="s">
        <v>17</v>
      </c>
      <c r="G224" s="1" t="s">
        <v>18</v>
      </c>
      <c r="H224" s="1">
        <v>11664</v>
      </c>
      <c r="I224" s="1" t="s">
        <v>19</v>
      </c>
      <c r="J224" s="1">
        <v>0.2</v>
      </c>
      <c r="K224" s="1">
        <v>13000</v>
      </c>
      <c r="L224" s="2">
        <v>45345</v>
      </c>
    </row>
    <row r="225" spans="1:12" x14ac:dyDescent="0.35">
      <c r="A225" s="1" t="s">
        <v>395</v>
      </c>
      <c r="B225" s="1" t="s">
        <v>276</v>
      </c>
      <c r="C225" s="1" t="s">
        <v>44</v>
      </c>
      <c r="D225" s="1" t="s">
        <v>45</v>
      </c>
      <c r="E225" s="1" t="s">
        <v>16</v>
      </c>
      <c r="F225" s="1" t="s">
        <v>17</v>
      </c>
      <c r="G225" s="1" t="s">
        <v>18</v>
      </c>
      <c r="H225" s="1">
        <v>12682</v>
      </c>
      <c r="I225" s="1" t="s">
        <v>33</v>
      </c>
      <c r="J225" s="1">
        <v>0.3</v>
      </c>
      <c r="K225" s="1">
        <v>13000</v>
      </c>
      <c r="L225" s="2">
        <v>45335</v>
      </c>
    </row>
    <row r="226" spans="1:12" x14ac:dyDescent="0.35">
      <c r="A226" s="1" t="s">
        <v>396</v>
      </c>
      <c r="B226" s="1" t="s">
        <v>397</v>
      </c>
      <c r="C226" s="1" t="s">
        <v>61</v>
      </c>
      <c r="D226" s="1" t="s">
        <v>62</v>
      </c>
      <c r="E226" s="1" t="s">
        <v>16</v>
      </c>
      <c r="F226" s="1" t="s">
        <v>17</v>
      </c>
      <c r="G226" s="1" t="s">
        <v>26</v>
      </c>
      <c r="H226" s="1">
        <v>10210</v>
      </c>
      <c r="I226" s="1"/>
      <c r="J226" s="1"/>
      <c r="K226" s="1">
        <v>9000</v>
      </c>
      <c r="L226" s="2">
        <v>45306</v>
      </c>
    </row>
    <row r="227" spans="1:12" x14ac:dyDescent="0.35">
      <c r="A227" s="1" t="s">
        <v>398</v>
      </c>
      <c r="B227" s="1" t="s">
        <v>346</v>
      </c>
      <c r="C227" s="1" t="s">
        <v>30</v>
      </c>
      <c r="D227" s="1" t="s">
        <v>31</v>
      </c>
      <c r="E227" s="1" t="s">
        <v>46</v>
      </c>
      <c r="F227" s="1" t="s">
        <v>25</v>
      </c>
      <c r="G227" s="1" t="s">
        <v>36</v>
      </c>
      <c r="H227" s="1">
        <v>17778</v>
      </c>
      <c r="I227" s="1" t="s">
        <v>27</v>
      </c>
      <c r="J227" s="1"/>
      <c r="K227" s="1">
        <v>17000</v>
      </c>
      <c r="L227" s="2">
        <v>45320</v>
      </c>
    </row>
    <row r="228" spans="1:12" x14ac:dyDescent="0.35">
      <c r="A228" s="1" t="s">
        <v>399</v>
      </c>
      <c r="B228" s="1" t="s">
        <v>157</v>
      </c>
      <c r="C228" s="1" t="s">
        <v>30</v>
      </c>
      <c r="D228" s="1" t="s">
        <v>31</v>
      </c>
      <c r="E228" s="1" t="s">
        <v>46</v>
      </c>
      <c r="F228" s="1" t="s">
        <v>39</v>
      </c>
      <c r="G228" s="1" t="s">
        <v>26</v>
      </c>
      <c r="H228" s="1">
        <v>16714</v>
      </c>
      <c r="I228" s="1" t="s">
        <v>19</v>
      </c>
      <c r="J228" s="1">
        <v>0.2</v>
      </c>
      <c r="K228" s="1">
        <v>17000</v>
      </c>
      <c r="L228" s="2">
        <v>45344</v>
      </c>
    </row>
    <row r="229" spans="1:12" x14ac:dyDescent="0.35">
      <c r="A229" s="1" t="s">
        <v>400</v>
      </c>
      <c r="B229" s="1" t="s">
        <v>401</v>
      </c>
      <c r="C229" s="1" t="s">
        <v>44</v>
      </c>
      <c r="D229" s="1" t="s">
        <v>45</v>
      </c>
      <c r="E229" s="1" t="s">
        <v>46</v>
      </c>
      <c r="F229" s="1" t="s">
        <v>25</v>
      </c>
      <c r="G229" s="1" t="s">
        <v>26</v>
      </c>
      <c r="H229" s="1">
        <v>12968</v>
      </c>
      <c r="I229" s="1" t="s">
        <v>33</v>
      </c>
      <c r="J229" s="1">
        <v>0.3</v>
      </c>
      <c r="K229" s="1">
        <v>13000</v>
      </c>
      <c r="L229" s="2">
        <v>45327</v>
      </c>
    </row>
    <row r="230" spans="1:12" x14ac:dyDescent="0.35">
      <c r="A230" s="1" t="s">
        <v>402</v>
      </c>
      <c r="B230" s="1" t="s">
        <v>403</v>
      </c>
      <c r="C230" s="1" t="s">
        <v>14</v>
      </c>
      <c r="D230" s="1" t="s">
        <v>15</v>
      </c>
      <c r="E230" s="1" t="s">
        <v>46</v>
      </c>
      <c r="F230" s="1" t="s">
        <v>25</v>
      </c>
      <c r="G230" s="1" t="s">
        <v>18</v>
      </c>
      <c r="H230" s="1">
        <v>13117</v>
      </c>
      <c r="I230" s="1"/>
      <c r="J230" s="1"/>
      <c r="K230" s="1">
        <v>14000</v>
      </c>
      <c r="L230" s="2">
        <v>45349</v>
      </c>
    </row>
    <row r="231" spans="1:12" x14ac:dyDescent="0.35">
      <c r="A231" s="1" t="s">
        <v>404</v>
      </c>
      <c r="B231" s="1" t="s">
        <v>80</v>
      </c>
      <c r="C231" s="1" t="s">
        <v>61</v>
      </c>
      <c r="D231" s="1" t="s">
        <v>62</v>
      </c>
      <c r="E231" s="1" t="s">
        <v>32</v>
      </c>
      <c r="F231" s="1" t="s">
        <v>25</v>
      </c>
      <c r="G231" s="1" t="s">
        <v>36</v>
      </c>
      <c r="H231" s="1">
        <v>10623</v>
      </c>
      <c r="I231" s="1" t="s">
        <v>33</v>
      </c>
      <c r="J231" s="1">
        <v>0.3</v>
      </c>
      <c r="K231" s="1">
        <v>9000</v>
      </c>
      <c r="L231" s="2">
        <v>45351</v>
      </c>
    </row>
    <row r="232" spans="1:12" x14ac:dyDescent="0.35">
      <c r="A232" s="1" t="s">
        <v>405</v>
      </c>
      <c r="B232" s="1" t="s">
        <v>406</v>
      </c>
      <c r="C232" s="1" t="s">
        <v>14</v>
      </c>
      <c r="D232" s="1" t="s">
        <v>15</v>
      </c>
      <c r="E232" s="1" t="s">
        <v>46</v>
      </c>
      <c r="F232" s="1" t="s">
        <v>39</v>
      </c>
      <c r="G232" s="1" t="s">
        <v>36</v>
      </c>
      <c r="H232" s="1">
        <v>12965</v>
      </c>
      <c r="I232" s="1"/>
      <c r="J232" s="1"/>
      <c r="K232" s="1">
        <v>14000</v>
      </c>
      <c r="L232" s="2">
        <v>45297</v>
      </c>
    </row>
    <row r="233" spans="1:12" x14ac:dyDescent="0.35">
      <c r="A233" s="1" t="s">
        <v>407</v>
      </c>
      <c r="B233" s="1" t="s">
        <v>408</v>
      </c>
      <c r="C233" s="1" t="s">
        <v>14</v>
      </c>
      <c r="D233" s="1" t="s">
        <v>15</v>
      </c>
      <c r="E233" s="1" t="s">
        <v>46</v>
      </c>
      <c r="F233" s="1" t="s">
        <v>25</v>
      </c>
      <c r="G233" s="1" t="s">
        <v>26</v>
      </c>
      <c r="H233" s="1">
        <v>14662</v>
      </c>
      <c r="I233" s="1" t="s">
        <v>33</v>
      </c>
      <c r="J233" s="1">
        <v>0.3</v>
      </c>
      <c r="K233" s="1">
        <v>14000</v>
      </c>
      <c r="L233" s="2">
        <v>45342</v>
      </c>
    </row>
    <row r="234" spans="1:12" x14ac:dyDescent="0.35">
      <c r="A234" s="1" t="s">
        <v>409</v>
      </c>
      <c r="B234" s="1" t="s">
        <v>175</v>
      </c>
      <c r="C234" s="1" t="s">
        <v>14</v>
      </c>
      <c r="D234" s="1" t="s">
        <v>15</v>
      </c>
      <c r="E234" s="1" t="s">
        <v>46</v>
      </c>
      <c r="F234" s="1" t="s">
        <v>17</v>
      </c>
      <c r="G234" s="1" t="s">
        <v>26</v>
      </c>
      <c r="H234" s="1">
        <v>15404</v>
      </c>
      <c r="I234" s="1" t="s">
        <v>19</v>
      </c>
      <c r="J234" s="1">
        <v>0.2</v>
      </c>
      <c r="K234" s="1">
        <v>14000</v>
      </c>
      <c r="L234" s="2">
        <v>45340</v>
      </c>
    </row>
    <row r="235" spans="1:12" x14ac:dyDescent="0.35">
      <c r="A235" s="1" t="s">
        <v>410</v>
      </c>
      <c r="B235" s="1" t="s">
        <v>334</v>
      </c>
      <c r="C235" s="1" t="s">
        <v>61</v>
      </c>
      <c r="D235" s="1" t="s">
        <v>62</v>
      </c>
      <c r="E235" s="1" t="s">
        <v>16</v>
      </c>
      <c r="F235" s="1" t="s">
        <v>25</v>
      </c>
      <c r="G235" s="1" t="s">
        <v>18</v>
      </c>
      <c r="H235" s="1">
        <v>7077</v>
      </c>
      <c r="I235" s="1" t="s">
        <v>33</v>
      </c>
      <c r="J235" s="1">
        <v>0.3</v>
      </c>
      <c r="K235" s="1">
        <v>9000</v>
      </c>
      <c r="L235" s="2">
        <v>45305</v>
      </c>
    </row>
    <row r="236" spans="1:12" x14ac:dyDescent="0.35">
      <c r="A236" s="1" t="s">
        <v>411</v>
      </c>
      <c r="B236" s="1" t="s">
        <v>412</v>
      </c>
      <c r="C236" s="1" t="s">
        <v>61</v>
      </c>
      <c r="D236" s="1" t="s">
        <v>62</v>
      </c>
      <c r="E236" s="1" t="s">
        <v>32</v>
      </c>
      <c r="F236" s="1" t="s">
        <v>17</v>
      </c>
      <c r="G236" s="1" t="s">
        <v>18</v>
      </c>
      <c r="H236" s="1">
        <v>8233</v>
      </c>
      <c r="I236" s="1" t="s">
        <v>22</v>
      </c>
      <c r="J236" s="1">
        <v>0.1</v>
      </c>
      <c r="K236" s="1">
        <v>9000</v>
      </c>
      <c r="L236" s="2">
        <v>45295</v>
      </c>
    </row>
    <row r="237" spans="1:12" x14ac:dyDescent="0.35">
      <c r="A237" s="1" t="s">
        <v>413</v>
      </c>
      <c r="B237" s="1" t="s">
        <v>414</v>
      </c>
      <c r="C237" s="1" t="s">
        <v>61</v>
      </c>
      <c r="D237" s="1" t="s">
        <v>62</v>
      </c>
      <c r="E237" s="1" t="s">
        <v>32</v>
      </c>
      <c r="F237" s="1" t="s">
        <v>25</v>
      </c>
      <c r="G237" s="1" t="s">
        <v>36</v>
      </c>
      <c r="H237" s="1">
        <v>9444</v>
      </c>
      <c r="I237" s="1" t="s">
        <v>27</v>
      </c>
      <c r="J237" s="1"/>
      <c r="K237" s="1">
        <v>9000</v>
      </c>
      <c r="L237" s="2">
        <v>45293</v>
      </c>
    </row>
    <row r="238" spans="1:12" x14ac:dyDescent="0.35">
      <c r="A238" s="1" t="s">
        <v>415</v>
      </c>
      <c r="B238" s="1" t="s">
        <v>416</v>
      </c>
      <c r="C238" s="1" t="s">
        <v>44</v>
      </c>
      <c r="D238" s="1" t="s">
        <v>45</v>
      </c>
      <c r="E238" s="1" t="s">
        <v>16</v>
      </c>
      <c r="F238" s="1" t="s">
        <v>25</v>
      </c>
      <c r="G238" s="1" t="s">
        <v>36</v>
      </c>
      <c r="H238" s="1">
        <v>12758</v>
      </c>
      <c r="I238" s="1" t="s">
        <v>22</v>
      </c>
      <c r="J238" s="1">
        <v>0.1</v>
      </c>
      <c r="K238" s="1">
        <v>13000</v>
      </c>
      <c r="L238" s="2">
        <v>45331</v>
      </c>
    </row>
    <row r="239" spans="1:12" x14ac:dyDescent="0.35">
      <c r="A239" s="1" t="s">
        <v>417</v>
      </c>
      <c r="B239" s="1" t="s">
        <v>408</v>
      </c>
      <c r="C239" s="1" t="s">
        <v>61</v>
      </c>
      <c r="D239" s="1" t="s">
        <v>62</v>
      </c>
      <c r="E239" s="1" t="s">
        <v>32</v>
      </c>
      <c r="F239" s="1" t="s">
        <v>39</v>
      </c>
      <c r="G239" s="1" t="s">
        <v>26</v>
      </c>
      <c r="H239" s="1">
        <v>7350</v>
      </c>
      <c r="I239" s="1" t="s">
        <v>27</v>
      </c>
      <c r="J239" s="1"/>
      <c r="K239" s="1">
        <v>9000</v>
      </c>
      <c r="L239" s="2">
        <v>45315</v>
      </c>
    </row>
    <row r="240" spans="1:12" x14ac:dyDescent="0.35">
      <c r="A240" s="1" t="s">
        <v>418</v>
      </c>
      <c r="B240" s="1" t="s">
        <v>241</v>
      </c>
      <c r="C240" s="1" t="s">
        <v>14</v>
      </c>
      <c r="D240" s="1" t="s">
        <v>15</v>
      </c>
      <c r="E240" s="1" t="s">
        <v>46</v>
      </c>
      <c r="F240" s="1" t="s">
        <v>17</v>
      </c>
      <c r="G240" s="1" t="s">
        <v>18</v>
      </c>
      <c r="H240" s="1">
        <v>14603</v>
      </c>
      <c r="I240" s="1"/>
      <c r="J240" s="1"/>
      <c r="K240" s="1">
        <v>14000</v>
      </c>
      <c r="L240" s="2">
        <v>45315</v>
      </c>
    </row>
    <row r="241" spans="1:12" x14ac:dyDescent="0.35">
      <c r="A241" s="1" t="s">
        <v>419</v>
      </c>
      <c r="B241" s="1" t="s">
        <v>350</v>
      </c>
      <c r="C241" s="1" t="s">
        <v>14</v>
      </c>
      <c r="D241" s="1" t="s">
        <v>15</v>
      </c>
      <c r="E241" s="1" t="s">
        <v>46</v>
      </c>
      <c r="F241" s="1" t="s">
        <v>25</v>
      </c>
      <c r="G241" s="1" t="s">
        <v>36</v>
      </c>
      <c r="H241" s="1">
        <v>12987</v>
      </c>
      <c r="I241" s="1" t="s">
        <v>22</v>
      </c>
      <c r="J241" s="1">
        <v>0.1</v>
      </c>
      <c r="K241" s="1">
        <v>14000</v>
      </c>
      <c r="L241" s="2">
        <v>45341</v>
      </c>
    </row>
    <row r="242" spans="1:12" x14ac:dyDescent="0.35">
      <c r="A242" s="1" t="s">
        <v>420</v>
      </c>
      <c r="B242" s="1" t="s">
        <v>233</v>
      </c>
      <c r="C242" s="1" t="s">
        <v>30</v>
      </c>
      <c r="D242" s="1" t="s">
        <v>31</v>
      </c>
      <c r="E242" s="1" t="s">
        <v>32</v>
      </c>
      <c r="F242" s="1" t="s">
        <v>25</v>
      </c>
      <c r="G242" s="1" t="s">
        <v>36</v>
      </c>
      <c r="H242" s="1">
        <v>17236</v>
      </c>
      <c r="I242" s="1" t="s">
        <v>33</v>
      </c>
      <c r="J242" s="1">
        <v>0.3</v>
      </c>
      <c r="K242" s="1">
        <v>17000</v>
      </c>
      <c r="L242" s="2">
        <v>45344</v>
      </c>
    </row>
    <row r="243" spans="1:12" x14ac:dyDescent="0.35">
      <c r="A243" s="1" t="s">
        <v>421</v>
      </c>
      <c r="B243" s="1" t="s">
        <v>422</v>
      </c>
      <c r="C243" s="1" t="s">
        <v>61</v>
      </c>
      <c r="D243" s="1" t="s">
        <v>62</v>
      </c>
      <c r="E243" s="1" t="s">
        <v>16</v>
      </c>
      <c r="F243" s="1" t="s">
        <v>17</v>
      </c>
      <c r="G243" s="1" t="s">
        <v>26</v>
      </c>
      <c r="H243" s="1">
        <v>7746</v>
      </c>
      <c r="I243" s="1" t="s">
        <v>19</v>
      </c>
      <c r="J243" s="1">
        <v>0.2</v>
      </c>
      <c r="K243" s="1">
        <v>9000</v>
      </c>
      <c r="L243" s="2">
        <v>45296</v>
      </c>
    </row>
    <row r="244" spans="1:12" x14ac:dyDescent="0.35">
      <c r="A244" s="1" t="s">
        <v>423</v>
      </c>
      <c r="B244" s="1" t="s">
        <v>276</v>
      </c>
      <c r="C244" s="1" t="s">
        <v>61</v>
      </c>
      <c r="D244" s="1" t="s">
        <v>62</v>
      </c>
      <c r="E244" s="1" t="s">
        <v>32</v>
      </c>
      <c r="F244" s="1" t="s">
        <v>17</v>
      </c>
      <c r="G244" s="1" t="s">
        <v>18</v>
      </c>
      <c r="H244" s="1">
        <v>7179</v>
      </c>
      <c r="I244" s="1" t="s">
        <v>19</v>
      </c>
      <c r="J244" s="1">
        <v>0.2</v>
      </c>
      <c r="K244" s="1">
        <v>9000</v>
      </c>
      <c r="L244" s="2">
        <v>45348</v>
      </c>
    </row>
    <row r="245" spans="1:12" x14ac:dyDescent="0.35">
      <c r="A245" s="1" t="s">
        <v>424</v>
      </c>
      <c r="B245" s="1" t="s">
        <v>125</v>
      </c>
      <c r="C245" s="1" t="s">
        <v>30</v>
      </c>
      <c r="D245" s="1" t="s">
        <v>31</v>
      </c>
      <c r="E245" s="1" t="s">
        <v>16</v>
      </c>
      <c r="F245" s="1" t="s">
        <v>17</v>
      </c>
      <c r="G245" s="1" t="s">
        <v>26</v>
      </c>
      <c r="H245" s="1">
        <v>16939</v>
      </c>
      <c r="I245" s="1" t="s">
        <v>33</v>
      </c>
      <c r="J245" s="1">
        <v>0.3</v>
      </c>
      <c r="K245" s="1">
        <v>17000</v>
      </c>
      <c r="L245" s="2">
        <v>45294</v>
      </c>
    </row>
    <row r="246" spans="1:12" x14ac:dyDescent="0.35">
      <c r="A246" s="1" t="s">
        <v>425</v>
      </c>
      <c r="B246" s="1" t="s">
        <v>426</v>
      </c>
      <c r="C246" s="1" t="s">
        <v>44</v>
      </c>
      <c r="D246" s="1" t="s">
        <v>45</v>
      </c>
      <c r="E246" s="1" t="s">
        <v>46</v>
      </c>
      <c r="F246" s="1" t="s">
        <v>17</v>
      </c>
      <c r="G246" s="1" t="s">
        <v>18</v>
      </c>
      <c r="H246" s="1">
        <v>14546</v>
      </c>
      <c r="I246" s="1" t="s">
        <v>33</v>
      </c>
      <c r="J246" s="1">
        <v>0.3</v>
      </c>
      <c r="K246" s="1">
        <v>13000</v>
      </c>
      <c r="L246" s="2">
        <v>45309</v>
      </c>
    </row>
    <row r="247" spans="1:12" x14ac:dyDescent="0.35">
      <c r="A247" s="1" t="s">
        <v>427</v>
      </c>
      <c r="B247" s="1" t="s">
        <v>200</v>
      </c>
      <c r="C247" s="1" t="s">
        <v>30</v>
      </c>
      <c r="D247" s="1" t="s">
        <v>31</v>
      </c>
      <c r="E247" s="1" t="s">
        <v>46</v>
      </c>
      <c r="F247" s="1" t="s">
        <v>17</v>
      </c>
      <c r="G247" s="1" t="s">
        <v>26</v>
      </c>
      <c r="H247" s="1">
        <v>16801</v>
      </c>
      <c r="I247" s="1"/>
      <c r="J247" s="1"/>
      <c r="K247" s="1">
        <v>17000</v>
      </c>
      <c r="L247" s="2">
        <v>45313</v>
      </c>
    </row>
    <row r="248" spans="1:12" x14ac:dyDescent="0.35">
      <c r="A248" s="1" t="s">
        <v>428</v>
      </c>
      <c r="B248" s="1" t="s">
        <v>429</v>
      </c>
      <c r="C248" s="1" t="s">
        <v>61</v>
      </c>
      <c r="D248" s="1" t="s">
        <v>62</v>
      </c>
      <c r="E248" s="1" t="s">
        <v>46</v>
      </c>
      <c r="F248" s="1" t="s">
        <v>39</v>
      </c>
      <c r="G248" s="1" t="s">
        <v>36</v>
      </c>
      <c r="H248" s="1">
        <v>10281</v>
      </c>
      <c r="I248" s="1" t="s">
        <v>22</v>
      </c>
      <c r="J248" s="1">
        <v>0.1</v>
      </c>
      <c r="K248" s="1">
        <v>9000</v>
      </c>
      <c r="L248" s="2">
        <v>45338</v>
      </c>
    </row>
    <row r="249" spans="1:12" x14ac:dyDescent="0.35">
      <c r="A249" s="1" t="s">
        <v>430</v>
      </c>
      <c r="B249" s="1" t="s">
        <v>41</v>
      </c>
      <c r="C249" s="1" t="s">
        <v>61</v>
      </c>
      <c r="D249" s="1" t="s">
        <v>62</v>
      </c>
      <c r="E249" s="1" t="s">
        <v>16</v>
      </c>
      <c r="F249" s="1" t="s">
        <v>25</v>
      </c>
      <c r="G249" s="1" t="s">
        <v>26</v>
      </c>
      <c r="H249" s="1">
        <v>8203</v>
      </c>
      <c r="I249" s="1" t="s">
        <v>33</v>
      </c>
      <c r="J249" s="1">
        <v>0.3</v>
      </c>
      <c r="K249" s="1">
        <v>9000</v>
      </c>
      <c r="L249" s="2">
        <v>45298</v>
      </c>
    </row>
    <row r="250" spans="1:12" x14ac:dyDescent="0.35">
      <c r="A250" s="1" t="s">
        <v>431</v>
      </c>
      <c r="B250" s="1" t="s">
        <v>432</v>
      </c>
      <c r="C250" s="1" t="s">
        <v>30</v>
      </c>
      <c r="D250" s="1" t="s">
        <v>31</v>
      </c>
      <c r="E250" s="1" t="s">
        <v>46</v>
      </c>
      <c r="F250" s="1" t="s">
        <v>17</v>
      </c>
      <c r="G250" s="1" t="s">
        <v>26</v>
      </c>
      <c r="H250" s="1">
        <v>17939</v>
      </c>
      <c r="I250" s="1"/>
      <c r="J250" s="1"/>
      <c r="K250" s="1">
        <v>17000</v>
      </c>
      <c r="L250" s="2">
        <v>45302</v>
      </c>
    </row>
    <row r="251" spans="1:12" x14ac:dyDescent="0.35">
      <c r="A251" s="1" t="s">
        <v>433</v>
      </c>
      <c r="B251" s="1" t="s">
        <v>334</v>
      </c>
      <c r="C251" s="1" t="s">
        <v>30</v>
      </c>
      <c r="D251" s="1" t="s">
        <v>31</v>
      </c>
      <c r="E251" s="1" t="s">
        <v>46</v>
      </c>
      <c r="F251" s="1" t="s">
        <v>25</v>
      </c>
      <c r="G251" s="1" t="s">
        <v>26</v>
      </c>
      <c r="H251" s="1">
        <v>18563</v>
      </c>
      <c r="I251" s="1" t="s">
        <v>33</v>
      </c>
      <c r="J251" s="1">
        <v>0.3</v>
      </c>
      <c r="K251" s="1">
        <v>17000</v>
      </c>
      <c r="L251" s="2">
        <v>45331</v>
      </c>
    </row>
    <row r="252" spans="1:12" x14ac:dyDescent="0.35">
      <c r="A252" s="1" t="s">
        <v>434</v>
      </c>
      <c r="B252" s="1" t="s">
        <v>435</v>
      </c>
      <c r="C252" s="1" t="s">
        <v>14</v>
      </c>
      <c r="D252" s="1" t="s">
        <v>15</v>
      </c>
      <c r="E252" s="1" t="s">
        <v>32</v>
      </c>
      <c r="F252" s="1" t="s">
        <v>39</v>
      </c>
      <c r="G252" s="1" t="s">
        <v>26</v>
      </c>
      <c r="H252" s="1">
        <v>13663</v>
      </c>
      <c r="I252" s="1" t="s">
        <v>33</v>
      </c>
      <c r="J252" s="1">
        <v>0.3</v>
      </c>
      <c r="K252" s="1">
        <v>14000</v>
      </c>
      <c r="L252" s="2">
        <v>45324</v>
      </c>
    </row>
    <row r="253" spans="1:12" x14ac:dyDescent="0.35">
      <c r="A253" s="1" t="s">
        <v>436</v>
      </c>
      <c r="B253" s="1" t="s">
        <v>296</v>
      </c>
      <c r="C253" s="1" t="s">
        <v>44</v>
      </c>
      <c r="D253" s="1" t="s">
        <v>45</v>
      </c>
      <c r="E253" s="1" t="s">
        <v>32</v>
      </c>
      <c r="F253" s="1" t="s">
        <v>25</v>
      </c>
      <c r="G253" s="1" t="s">
        <v>26</v>
      </c>
      <c r="H253" s="1">
        <v>13777</v>
      </c>
      <c r="I253" s="1"/>
      <c r="J253" s="1"/>
      <c r="K253" s="1">
        <v>13000</v>
      </c>
      <c r="L253" s="2">
        <v>45294</v>
      </c>
    </row>
    <row r="254" spans="1:12" x14ac:dyDescent="0.35">
      <c r="A254" s="1" t="s">
        <v>437</v>
      </c>
      <c r="B254" s="1" t="s">
        <v>325</v>
      </c>
      <c r="C254" s="1" t="s">
        <v>44</v>
      </c>
      <c r="D254" s="1" t="s">
        <v>45</v>
      </c>
      <c r="E254" s="1" t="s">
        <v>16</v>
      </c>
      <c r="F254" s="1" t="s">
        <v>17</v>
      </c>
      <c r="G254" s="1" t="s">
        <v>36</v>
      </c>
      <c r="H254" s="1">
        <v>12568</v>
      </c>
      <c r="I254" s="1" t="s">
        <v>27</v>
      </c>
      <c r="J254" s="1"/>
      <c r="K254" s="1">
        <v>13000</v>
      </c>
      <c r="L254" s="2">
        <v>45294</v>
      </c>
    </row>
    <row r="255" spans="1:12" x14ac:dyDescent="0.35">
      <c r="A255" s="1" t="s">
        <v>438</v>
      </c>
      <c r="B255" s="1" t="s">
        <v>373</v>
      </c>
      <c r="C255" s="1" t="s">
        <v>61</v>
      </c>
      <c r="D255" s="1" t="s">
        <v>62</v>
      </c>
      <c r="E255" s="1" t="s">
        <v>46</v>
      </c>
      <c r="F255" s="1" t="s">
        <v>17</v>
      </c>
      <c r="G255" s="1" t="s">
        <v>36</v>
      </c>
      <c r="H255" s="1">
        <v>10125</v>
      </c>
      <c r="I255" s="1" t="s">
        <v>22</v>
      </c>
      <c r="J255" s="1">
        <v>0.1</v>
      </c>
      <c r="K255" s="1">
        <v>9000</v>
      </c>
      <c r="L255" s="2">
        <v>45328</v>
      </c>
    </row>
    <row r="256" spans="1:12" x14ac:dyDescent="0.35">
      <c r="A256" s="1" t="s">
        <v>439</v>
      </c>
      <c r="B256" s="1" t="s">
        <v>440</v>
      </c>
      <c r="C256" s="1" t="s">
        <v>30</v>
      </c>
      <c r="D256" s="1" t="s">
        <v>31</v>
      </c>
      <c r="E256" s="1" t="s">
        <v>46</v>
      </c>
      <c r="F256" s="1" t="s">
        <v>17</v>
      </c>
      <c r="G256" s="1" t="s">
        <v>26</v>
      </c>
      <c r="H256" s="1">
        <v>16141</v>
      </c>
      <c r="I256" s="1" t="s">
        <v>19</v>
      </c>
      <c r="J256" s="1">
        <v>0.2</v>
      </c>
      <c r="K256" s="1">
        <v>17000</v>
      </c>
      <c r="L256" s="2">
        <v>45299</v>
      </c>
    </row>
    <row r="257" spans="1:12" x14ac:dyDescent="0.35">
      <c r="A257" s="1" t="s">
        <v>441</v>
      </c>
      <c r="B257" s="1" t="s">
        <v>190</v>
      </c>
      <c r="C257" s="1" t="s">
        <v>44</v>
      </c>
      <c r="D257" s="1" t="s">
        <v>45</v>
      </c>
      <c r="E257" s="1" t="s">
        <v>46</v>
      </c>
      <c r="F257" s="1" t="s">
        <v>39</v>
      </c>
      <c r="G257" s="1" t="s">
        <v>36</v>
      </c>
      <c r="H257" s="1">
        <v>14741</v>
      </c>
      <c r="I257" s="1" t="s">
        <v>27</v>
      </c>
      <c r="J257" s="1"/>
      <c r="K257" s="1">
        <v>13000</v>
      </c>
      <c r="L257" s="2">
        <v>45299</v>
      </c>
    </row>
    <row r="258" spans="1:12" x14ac:dyDescent="0.35">
      <c r="A258" s="1" t="s">
        <v>442</v>
      </c>
      <c r="B258" s="1" t="s">
        <v>443</v>
      </c>
      <c r="C258" s="1" t="s">
        <v>30</v>
      </c>
      <c r="D258" s="1" t="s">
        <v>31</v>
      </c>
      <c r="E258" s="1" t="s">
        <v>16</v>
      </c>
      <c r="F258" s="1" t="s">
        <v>17</v>
      </c>
      <c r="G258" s="1" t="s">
        <v>18</v>
      </c>
      <c r="H258" s="1">
        <v>17506</v>
      </c>
      <c r="I258" s="1" t="s">
        <v>33</v>
      </c>
      <c r="J258" s="1">
        <v>0.3</v>
      </c>
      <c r="K258" s="1">
        <v>17000</v>
      </c>
      <c r="L258" s="2">
        <v>45336</v>
      </c>
    </row>
    <row r="259" spans="1:12" x14ac:dyDescent="0.35">
      <c r="A259" s="1" t="s">
        <v>444</v>
      </c>
      <c r="B259" s="1" t="s">
        <v>445</v>
      </c>
      <c r="C259" s="1" t="s">
        <v>44</v>
      </c>
      <c r="D259" s="1" t="s">
        <v>45</v>
      </c>
      <c r="E259" s="1" t="s">
        <v>32</v>
      </c>
      <c r="F259" s="1" t="s">
        <v>25</v>
      </c>
      <c r="G259" s="1" t="s">
        <v>18</v>
      </c>
      <c r="H259" s="1">
        <v>12851</v>
      </c>
      <c r="I259" s="1" t="s">
        <v>19</v>
      </c>
      <c r="J259" s="1">
        <v>0.2</v>
      </c>
      <c r="K259" s="1">
        <v>13000</v>
      </c>
      <c r="L259" s="2">
        <v>45349</v>
      </c>
    </row>
    <row r="260" spans="1:12" x14ac:dyDescent="0.35">
      <c r="A260" s="1" t="s">
        <v>446</v>
      </c>
      <c r="B260" s="1" t="s">
        <v>334</v>
      </c>
      <c r="C260" s="1" t="s">
        <v>14</v>
      </c>
      <c r="D260" s="1" t="s">
        <v>15</v>
      </c>
      <c r="E260" s="1" t="s">
        <v>16</v>
      </c>
      <c r="F260" s="1" t="s">
        <v>17</v>
      </c>
      <c r="G260" s="1" t="s">
        <v>26</v>
      </c>
      <c r="H260" s="1">
        <v>13423</v>
      </c>
      <c r="I260" s="1" t="s">
        <v>22</v>
      </c>
      <c r="J260" s="1">
        <v>0.1</v>
      </c>
      <c r="K260" s="1">
        <v>14000</v>
      </c>
      <c r="L260" s="2">
        <v>45327</v>
      </c>
    </row>
    <row r="261" spans="1:12" x14ac:dyDescent="0.35">
      <c r="A261" s="1" t="s">
        <v>447</v>
      </c>
      <c r="B261" s="1" t="s">
        <v>448</v>
      </c>
      <c r="C261" s="1" t="s">
        <v>30</v>
      </c>
      <c r="D261" s="1" t="s">
        <v>31</v>
      </c>
      <c r="E261" s="1" t="s">
        <v>32</v>
      </c>
      <c r="F261" s="1" t="s">
        <v>39</v>
      </c>
      <c r="G261" s="1" t="s">
        <v>26</v>
      </c>
      <c r="H261" s="1">
        <v>18798</v>
      </c>
      <c r="I261" s="1" t="s">
        <v>19</v>
      </c>
      <c r="J261" s="1">
        <v>0.2</v>
      </c>
      <c r="K261" s="1">
        <v>17000</v>
      </c>
      <c r="L261" s="2">
        <v>45342</v>
      </c>
    </row>
    <row r="262" spans="1:12" x14ac:dyDescent="0.35">
      <c r="A262" s="1" t="s">
        <v>449</v>
      </c>
      <c r="B262" s="1" t="s">
        <v>301</v>
      </c>
      <c r="C262" s="1" t="s">
        <v>44</v>
      </c>
      <c r="D262" s="1" t="s">
        <v>45</v>
      </c>
      <c r="E262" s="1" t="s">
        <v>32</v>
      </c>
      <c r="F262" s="1" t="s">
        <v>25</v>
      </c>
      <c r="G262" s="1" t="s">
        <v>18</v>
      </c>
      <c r="H262" s="1">
        <v>11969</v>
      </c>
      <c r="I262" s="1"/>
      <c r="J262" s="1"/>
      <c r="K262" s="1">
        <v>13000</v>
      </c>
      <c r="L262" s="2">
        <v>45293</v>
      </c>
    </row>
    <row r="263" spans="1:12" x14ac:dyDescent="0.35">
      <c r="A263" s="1" t="s">
        <v>450</v>
      </c>
      <c r="B263" s="1" t="s">
        <v>301</v>
      </c>
      <c r="C263" s="1" t="s">
        <v>30</v>
      </c>
      <c r="D263" s="1" t="s">
        <v>31</v>
      </c>
      <c r="E263" s="1" t="s">
        <v>46</v>
      </c>
      <c r="F263" s="1" t="s">
        <v>39</v>
      </c>
      <c r="G263" s="1" t="s">
        <v>18</v>
      </c>
      <c r="H263" s="1">
        <v>17506</v>
      </c>
      <c r="I263" s="1" t="s">
        <v>22</v>
      </c>
      <c r="J263" s="1">
        <v>0.1</v>
      </c>
      <c r="K263" s="1">
        <v>17000</v>
      </c>
      <c r="L263" s="2">
        <v>45296</v>
      </c>
    </row>
    <row r="264" spans="1:12" x14ac:dyDescent="0.35">
      <c r="A264" s="1" t="s">
        <v>451</v>
      </c>
      <c r="B264" s="1" t="s">
        <v>70</v>
      </c>
      <c r="C264" s="1" t="s">
        <v>61</v>
      </c>
      <c r="D264" s="1" t="s">
        <v>62</v>
      </c>
      <c r="E264" s="1" t="s">
        <v>16</v>
      </c>
      <c r="F264" s="1" t="s">
        <v>17</v>
      </c>
      <c r="G264" s="1" t="s">
        <v>36</v>
      </c>
      <c r="H264" s="1">
        <v>10372</v>
      </c>
      <c r="I264" s="1" t="s">
        <v>27</v>
      </c>
      <c r="J264" s="1"/>
      <c r="K264" s="1">
        <v>9000</v>
      </c>
      <c r="L264" s="2">
        <v>45296</v>
      </c>
    </row>
    <row r="265" spans="1:12" x14ac:dyDescent="0.35">
      <c r="A265" s="1" t="s">
        <v>452</v>
      </c>
      <c r="B265" s="1" t="s">
        <v>74</v>
      </c>
      <c r="C265" s="1" t="s">
        <v>14</v>
      </c>
      <c r="D265" s="1" t="s">
        <v>15</v>
      </c>
      <c r="E265" s="1" t="s">
        <v>46</v>
      </c>
      <c r="F265" s="1" t="s">
        <v>17</v>
      </c>
      <c r="G265" s="1" t="s">
        <v>26</v>
      </c>
      <c r="H265" s="1">
        <v>14119</v>
      </c>
      <c r="I265" s="1" t="s">
        <v>33</v>
      </c>
      <c r="J265" s="1">
        <v>0.3</v>
      </c>
      <c r="K265" s="1">
        <v>14000</v>
      </c>
      <c r="L265" s="2">
        <v>45300</v>
      </c>
    </row>
    <row r="266" spans="1:12" x14ac:dyDescent="0.35">
      <c r="A266" s="1" t="s">
        <v>453</v>
      </c>
      <c r="B266" s="1" t="s">
        <v>454</v>
      </c>
      <c r="C266" s="1" t="s">
        <v>44</v>
      </c>
      <c r="D266" s="1" t="s">
        <v>45</v>
      </c>
      <c r="E266" s="1" t="s">
        <v>32</v>
      </c>
      <c r="F266" s="1" t="s">
        <v>17</v>
      </c>
      <c r="G266" s="1" t="s">
        <v>26</v>
      </c>
      <c r="H266" s="1">
        <v>14730</v>
      </c>
      <c r="I266" s="1" t="s">
        <v>22</v>
      </c>
      <c r="J266" s="1">
        <v>0.1</v>
      </c>
      <c r="K266" s="1">
        <v>13000</v>
      </c>
      <c r="L266" s="2">
        <v>45345</v>
      </c>
    </row>
    <row r="267" spans="1:12" x14ac:dyDescent="0.35">
      <c r="A267" s="1" t="s">
        <v>455</v>
      </c>
      <c r="B267" s="1" t="s">
        <v>241</v>
      </c>
      <c r="C267" s="1" t="s">
        <v>44</v>
      </c>
      <c r="D267" s="1" t="s">
        <v>45</v>
      </c>
      <c r="E267" s="1" t="s">
        <v>46</v>
      </c>
      <c r="F267" s="1" t="s">
        <v>25</v>
      </c>
      <c r="G267" s="1" t="s">
        <v>18</v>
      </c>
      <c r="H267" s="1">
        <v>12321</v>
      </c>
      <c r="I267" s="1" t="s">
        <v>19</v>
      </c>
      <c r="J267" s="1">
        <v>0.2</v>
      </c>
      <c r="K267" s="1">
        <v>13000</v>
      </c>
      <c r="L267" s="2">
        <v>45314</v>
      </c>
    </row>
    <row r="268" spans="1:12" x14ac:dyDescent="0.35">
      <c r="A268" s="1" t="s">
        <v>456</v>
      </c>
      <c r="B268" s="1" t="s">
        <v>448</v>
      </c>
      <c r="C268" s="1" t="s">
        <v>14</v>
      </c>
      <c r="D268" s="1" t="s">
        <v>15</v>
      </c>
      <c r="E268" s="1" t="s">
        <v>46</v>
      </c>
      <c r="F268" s="1" t="s">
        <v>25</v>
      </c>
      <c r="G268" s="1" t="s">
        <v>26</v>
      </c>
      <c r="H268" s="1">
        <v>15917</v>
      </c>
      <c r="I268" s="1" t="s">
        <v>27</v>
      </c>
      <c r="J268" s="1"/>
      <c r="K268" s="1">
        <v>14000</v>
      </c>
      <c r="L268" s="2">
        <v>45309</v>
      </c>
    </row>
    <row r="269" spans="1:12" x14ac:dyDescent="0.35">
      <c r="A269" s="1" t="s">
        <v>457</v>
      </c>
      <c r="B269" s="1" t="s">
        <v>113</v>
      </c>
      <c r="C269" s="1" t="s">
        <v>30</v>
      </c>
      <c r="D269" s="1" t="s">
        <v>31</v>
      </c>
      <c r="E269" s="1" t="s">
        <v>16</v>
      </c>
      <c r="F269" s="1" t="s">
        <v>39</v>
      </c>
      <c r="G269" s="1" t="s">
        <v>18</v>
      </c>
      <c r="H269" s="1">
        <v>17058</v>
      </c>
      <c r="I269" s="1" t="s">
        <v>19</v>
      </c>
      <c r="J269" s="1">
        <v>0.2</v>
      </c>
      <c r="K269" s="1">
        <v>17000</v>
      </c>
      <c r="L269" s="2">
        <v>45329</v>
      </c>
    </row>
    <row r="270" spans="1:12" x14ac:dyDescent="0.35">
      <c r="A270" s="1" t="s">
        <v>458</v>
      </c>
      <c r="B270" s="1" t="s">
        <v>373</v>
      </c>
      <c r="C270" s="1" t="s">
        <v>44</v>
      </c>
      <c r="D270" s="1" t="s">
        <v>45</v>
      </c>
      <c r="E270" s="1" t="s">
        <v>16</v>
      </c>
      <c r="F270" s="1" t="s">
        <v>39</v>
      </c>
      <c r="G270" s="1" t="s">
        <v>26</v>
      </c>
      <c r="H270" s="1">
        <v>14694</v>
      </c>
      <c r="I270" s="1" t="s">
        <v>27</v>
      </c>
      <c r="J270" s="1"/>
      <c r="K270" s="1">
        <v>13000</v>
      </c>
      <c r="L270" s="2">
        <v>45313</v>
      </c>
    </row>
    <row r="271" spans="1:12" x14ac:dyDescent="0.35">
      <c r="A271" s="1" t="s">
        <v>459</v>
      </c>
      <c r="B271" s="1" t="s">
        <v>460</v>
      </c>
      <c r="C271" s="1" t="s">
        <v>14</v>
      </c>
      <c r="D271" s="1" t="s">
        <v>15</v>
      </c>
      <c r="E271" s="1" t="s">
        <v>32</v>
      </c>
      <c r="F271" s="1" t="s">
        <v>25</v>
      </c>
      <c r="G271" s="1" t="s">
        <v>18</v>
      </c>
      <c r="H271" s="1">
        <v>15885</v>
      </c>
      <c r="I271" s="1" t="s">
        <v>27</v>
      </c>
      <c r="J271" s="1"/>
      <c r="K271" s="1">
        <v>14000</v>
      </c>
      <c r="L271" s="2">
        <v>45308</v>
      </c>
    </row>
    <row r="272" spans="1:12" x14ac:dyDescent="0.35">
      <c r="A272" s="1" t="s">
        <v>461</v>
      </c>
      <c r="B272" s="1" t="s">
        <v>239</v>
      </c>
      <c r="C272" s="1" t="s">
        <v>61</v>
      </c>
      <c r="D272" s="1" t="s">
        <v>62</v>
      </c>
      <c r="E272" s="1" t="s">
        <v>16</v>
      </c>
      <c r="F272" s="1" t="s">
        <v>39</v>
      </c>
      <c r="G272" s="1" t="s">
        <v>18</v>
      </c>
      <c r="H272" s="1">
        <v>9039</v>
      </c>
      <c r="I272" s="1" t="s">
        <v>27</v>
      </c>
      <c r="J272" s="1"/>
      <c r="K272" s="1">
        <v>9000</v>
      </c>
      <c r="L272" s="2">
        <v>45310</v>
      </c>
    </row>
    <row r="273" spans="1:12" x14ac:dyDescent="0.35">
      <c r="A273" s="1" t="s">
        <v>462</v>
      </c>
      <c r="B273" s="1" t="s">
        <v>278</v>
      </c>
      <c r="C273" s="1" t="s">
        <v>61</v>
      </c>
      <c r="D273" s="1" t="s">
        <v>62</v>
      </c>
      <c r="E273" s="1" t="s">
        <v>32</v>
      </c>
      <c r="F273" s="1" t="s">
        <v>39</v>
      </c>
      <c r="G273" s="1" t="s">
        <v>36</v>
      </c>
      <c r="H273" s="1">
        <v>8218</v>
      </c>
      <c r="I273" s="1"/>
      <c r="J273" s="1"/>
      <c r="K273" s="1">
        <v>9000</v>
      </c>
      <c r="L273" s="2">
        <v>45296</v>
      </c>
    </row>
    <row r="274" spans="1:12" x14ac:dyDescent="0.35">
      <c r="A274" s="1" t="s">
        <v>463</v>
      </c>
      <c r="B274" s="1" t="s">
        <v>464</v>
      </c>
      <c r="C274" s="1" t="s">
        <v>44</v>
      </c>
      <c r="D274" s="1" t="s">
        <v>45</v>
      </c>
      <c r="E274" s="1" t="s">
        <v>46</v>
      </c>
      <c r="F274" s="1" t="s">
        <v>17</v>
      </c>
      <c r="G274" s="1" t="s">
        <v>36</v>
      </c>
      <c r="H274" s="1">
        <v>12902</v>
      </c>
      <c r="I274" s="1" t="s">
        <v>19</v>
      </c>
      <c r="J274" s="1">
        <v>0.2</v>
      </c>
      <c r="K274" s="1">
        <v>13000</v>
      </c>
      <c r="L274" s="2">
        <v>45313</v>
      </c>
    </row>
    <row r="275" spans="1:12" x14ac:dyDescent="0.35">
      <c r="A275" s="1" t="s">
        <v>465</v>
      </c>
      <c r="B275" s="1" t="s">
        <v>373</v>
      </c>
      <c r="C275" s="1" t="s">
        <v>30</v>
      </c>
      <c r="D275" s="1" t="s">
        <v>31</v>
      </c>
      <c r="E275" s="1" t="s">
        <v>16</v>
      </c>
      <c r="F275" s="1" t="s">
        <v>17</v>
      </c>
      <c r="G275" s="1" t="s">
        <v>26</v>
      </c>
      <c r="H275" s="1">
        <v>18525</v>
      </c>
      <c r="I275" s="1" t="s">
        <v>33</v>
      </c>
      <c r="J275" s="1">
        <v>0.3</v>
      </c>
      <c r="K275" s="1">
        <v>17000</v>
      </c>
      <c r="L275" s="2">
        <v>45317</v>
      </c>
    </row>
    <row r="276" spans="1:12" x14ac:dyDescent="0.35">
      <c r="A276" s="1" t="s">
        <v>466</v>
      </c>
      <c r="B276" s="1" t="s">
        <v>135</v>
      </c>
      <c r="C276" s="1" t="s">
        <v>30</v>
      </c>
      <c r="D276" s="1" t="s">
        <v>31</v>
      </c>
      <c r="E276" s="1" t="s">
        <v>16</v>
      </c>
      <c r="F276" s="1" t="s">
        <v>39</v>
      </c>
      <c r="G276" s="1" t="s">
        <v>18</v>
      </c>
      <c r="H276" s="1">
        <v>16307</v>
      </c>
      <c r="I276" s="1" t="s">
        <v>19</v>
      </c>
      <c r="J276" s="1">
        <v>0.2</v>
      </c>
      <c r="K276" s="1">
        <v>17000</v>
      </c>
      <c r="L276" s="2">
        <v>45321</v>
      </c>
    </row>
    <row r="277" spans="1:12" x14ac:dyDescent="0.35">
      <c r="A277" s="1" t="s">
        <v>467</v>
      </c>
      <c r="B277" s="1" t="s">
        <v>263</v>
      </c>
      <c r="C277" s="1" t="s">
        <v>61</v>
      </c>
      <c r="D277" s="1" t="s">
        <v>62</v>
      </c>
      <c r="E277" s="1" t="s">
        <v>32</v>
      </c>
      <c r="F277" s="1" t="s">
        <v>25</v>
      </c>
      <c r="G277" s="1" t="s">
        <v>18</v>
      </c>
      <c r="H277" s="1">
        <v>7207</v>
      </c>
      <c r="I277" s="1" t="s">
        <v>33</v>
      </c>
      <c r="J277" s="1">
        <v>0.3</v>
      </c>
      <c r="K277" s="1">
        <v>9000</v>
      </c>
      <c r="L277" s="2">
        <v>45352</v>
      </c>
    </row>
    <row r="278" spans="1:12" x14ac:dyDescent="0.35">
      <c r="A278" s="1" t="s">
        <v>468</v>
      </c>
      <c r="B278" s="1" t="s">
        <v>309</v>
      </c>
      <c r="C278" s="1" t="s">
        <v>61</v>
      </c>
      <c r="D278" s="1" t="s">
        <v>62</v>
      </c>
      <c r="E278" s="1" t="s">
        <v>32</v>
      </c>
      <c r="F278" s="1" t="s">
        <v>25</v>
      </c>
      <c r="G278" s="1" t="s">
        <v>36</v>
      </c>
      <c r="H278" s="1">
        <v>10824</v>
      </c>
      <c r="I278" s="1" t="s">
        <v>27</v>
      </c>
      <c r="J278" s="1"/>
      <c r="K278" s="1">
        <v>9000</v>
      </c>
      <c r="L278" s="2">
        <v>45338</v>
      </c>
    </row>
    <row r="279" spans="1:12" x14ac:dyDescent="0.35">
      <c r="A279" s="1" t="s">
        <v>469</v>
      </c>
      <c r="B279" s="1" t="s">
        <v>408</v>
      </c>
      <c r="C279" s="1" t="s">
        <v>44</v>
      </c>
      <c r="D279" s="1" t="s">
        <v>45</v>
      </c>
      <c r="E279" s="1" t="s">
        <v>46</v>
      </c>
      <c r="F279" s="1" t="s">
        <v>39</v>
      </c>
      <c r="G279" s="1" t="s">
        <v>36</v>
      </c>
      <c r="H279" s="1">
        <v>13042</v>
      </c>
      <c r="I279" s="1" t="s">
        <v>33</v>
      </c>
      <c r="J279" s="1">
        <v>0.3</v>
      </c>
      <c r="K279" s="1">
        <v>13000</v>
      </c>
      <c r="L279" s="2">
        <v>45323</v>
      </c>
    </row>
    <row r="280" spans="1:12" x14ac:dyDescent="0.35">
      <c r="A280" s="1" t="s">
        <v>470</v>
      </c>
      <c r="B280" s="1" t="s">
        <v>76</v>
      </c>
      <c r="C280" s="1" t="s">
        <v>61</v>
      </c>
      <c r="D280" s="1" t="s">
        <v>62</v>
      </c>
      <c r="E280" s="1" t="s">
        <v>16</v>
      </c>
      <c r="F280" s="1" t="s">
        <v>17</v>
      </c>
      <c r="G280" s="1" t="s">
        <v>18</v>
      </c>
      <c r="H280" s="1">
        <v>7881</v>
      </c>
      <c r="I280" s="1" t="s">
        <v>27</v>
      </c>
      <c r="J280" s="1"/>
      <c r="K280" s="1">
        <v>9000</v>
      </c>
      <c r="L280" s="2">
        <v>45314</v>
      </c>
    </row>
    <row r="281" spans="1:12" x14ac:dyDescent="0.35">
      <c r="A281" s="1" t="s">
        <v>471</v>
      </c>
      <c r="B281" s="1" t="s">
        <v>161</v>
      </c>
      <c r="C281" s="1" t="s">
        <v>30</v>
      </c>
      <c r="D281" s="1" t="s">
        <v>31</v>
      </c>
      <c r="E281" s="1" t="s">
        <v>46</v>
      </c>
      <c r="F281" s="1" t="s">
        <v>39</v>
      </c>
      <c r="G281" s="1" t="s">
        <v>26</v>
      </c>
      <c r="H281" s="1">
        <v>17754</v>
      </c>
      <c r="I281" s="1"/>
      <c r="J281" s="1"/>
      <c r="K281" s="1">
        <v>17000</v>
      </c>
      <c r="L281" s="2">
        <v>45310</v>
      </c>
    </row>
    <row r="282" spans="1:12" x14ac:dyDescent="0.35">
      <c r="A282" s="1" t="s">
        <v>472</v>
      </c>
      <c r="B282" s="1" t="s">
        <v>184</v>
      </c>
      <c r="C282" s="1" t="s">
        <v>14</v>
      </c>
      <c r="D282" s="1" t="s">
        <v>15</v>
      </c>
      <c r="E282" s="1" t="s">
        <v>46</v>
      </c>
      <c r="F282" s="1" t="s">
        <v>25</v>
      </c>
      <c r="G282" s="1" t="s">
        <v>36</v>
      </c>
      <c r="H282" s="1">
        <v>14979</v>
      </c>
      <c r="I282" s="1" t="s">
        <v>33</v>
      </c>
      <c r="J282" s="1">
        <v>0.3</v>
      </c>
      <c r="K282" s="1">
        <v>14000</v>
      </c>
      <c r="L282" s="2">
        <v>45340</v>
      </c>
    </row>
    <row r="283" spans="1:12" x14ac:dyDescent="0.35">
      <c r="A283" s="1" t="s">
        <v>473</v>
      </c>
      <c r="B283" s="1" t="s">
        <v>474</v>
      </c>
      <c r="C283" s="1" t="s">
        <v>14</v>
      </c>
      <c r="D283" s="1" t="s">
        <v>15</v>
      </c>
      <c r="E283" s="1" t="s">
        <v>46</v>
      </c>
      <c r="F283" s="1" t="s">
        <v>25</v>
      </c>
      <c r="G283" s="1" t="s">
        <v>26</v>
      </c>
      <c r="H283" s="1">
        <v>14301</v>
      </c>
      <c r="I283" s="1" t="s">
        <v>19</v>
      </c>
      <c r="J283" s="1">
        <v>0.2</v>
      </c>
      <c r="K283" s="1">
        <v>14000</v>
      </c>
      <c r="L283" s="2">
        <v>45315</v>
      </c>
    </row>
    <row r="284" spans="1:12" x14ac:dyDescent="0.35">
      <c r="A284" s="1" t="s">
        <v>475</v>
      </c>
      <c r="B284" s="1" t="s">
        <v>448</v>
      </c>
      <c r="C284" s="1" t="s">
        <v>14</v>
      </c>
      <c r="D284" s="1" t="s">
        <v>15</v>
      </c>
      <c r="E284" s="1" t="s">
        <v>46</v>
      </c>
      <c r="F284" s="1" t="s">
        <v>39</v>
      </c>
      <c r="G284" s="1" t="s">
        <v>36</v>
      </c>
      <c r="H284" s="1">
        <v>15130</v>
      </c>
      <c r="I284" s="1" t="s">
        <v>27</v>
      </c>
      <c r="J284" s="1"/>
      <c r="K284" s="1">
        <v>14000</v>
      </c>
      <c r="L284" s="2">
        <v>45309</v>
      </c>
    </row>
    <row r="285" spans="1:12" x14ac:dyDescent="0.35">
      <c r="A285" s="1" t="s">
        <v>476</v>
      </c>
      <c r="B285" s="1" t="s">
        <v>460</v>
      </c>
      <c r="C285" s="1" t="s">
        <v>14</v>
      </c>
      <c r="D285" s="1" t="s">
        <v>15</v>
      </c>
      <c r="E285" s="1" t="s">
        <v>32</v>
      </c>
      <c r="F285" s="1" t="s">
        <v>25</v>
      </c>
      <c r="G285" s="1" t="s">
        <v>36</v>
      </c>
      <c r="H285" s="1">
        <v>13528</v>
      </c>
      <c r="I285" s="1" t="s">
        <v>33</v>
      </c>
      <c r="J285" s="1">
        <v>0.3</v>
      </c>
      <c r="K285" s="1">
        <v>14000</v>
      </c>
      <c r="L285" s="2">
        <v>45327</v>
      </c>
    </row>
    <row r="286" spans="1:12" x14ac:dyDescent="0.35">
      <c r="A286" s="1" t="s">
        <v>477</v>
      </c>
      <c r="B286" s="1" t="s">
        <v>478</v>
      </c>
      <c r="C286" s="1" t="s">
        <v>44</v>
      </c>
      <c r="D286" s="1" t="s">
        <v>45</v>
      </c>
      <c r="E286" s="1" t="s">
        <v>32</v>
      </c>
      <c r="F286" s="1" t="s">
        <v>39</v>
      </c>
      <c r="G286" s="1" t="s">
        <v>26</v>
      </c>
      <c r="H286" s="1">
        <v>12644</v>
      </c>
      <c r="I286" s="1" t="s">
        <v>27</v>
      </c>
      <c r="J286" s="1"/>
      <c r="K286" s="1">
        <v>13000</v>
      </c>
      <c r="L286" s="2">
        <v>45294</v>
      </c>
    </row>
    <row r="287" spans="1:12" x14ac:dyDescent="0.35">
      <c r="A287" s="1" t="s">
        <v>479</v>
      </c>
      <c r="B287" s="1" t="s">
        <v>161</v>
      </c>
      <c r="C287" s="1" t="s">
        <v>44</v>
      </c>
      <c r="D287" s="1" t="s">
        <v>45</v>
      </c>
      <c r="E287" s="1" t="s">
        <v>16</v>
      </c>
      <c r="F287" s="1" t="s">
        <v>17</v>
      </c>
      <c r="G287" s="1" t="s">
        <v>36</v>
      </c>
      <c r="H287" s="1">
        <v>13127</v>
      </c>
      <c r="I287" s="1"/>
      <c r="J287" s="1"/>
      <c r="K287" s="1">
        <v>13000</v>
      </c>
      <c r="L287" s="2">
        <v>45301</v>
      </c>
    </row>
    <row r="288" spans="1:12" x14ac:dyDescent="0.35">
      <c r="A288" s="1" t="s">
        <v>480</v>
      </c>
      <c r="B288" s="1" t="s">
        <v>86</v>
      </c>
      <c r="C288" s="1" t="s">
        <v>44</v>
      </c>
      <c r="D288" s="1" t="s">
        <v>45</v>
      </c>
      <c r="E288" s="1" t="s">
        <v>46</v>
      </c>
      <c r="F288" s="1" t="s">
        <v>39</v>
      </c>
      <c r="G288" s="1" t="s">
        <v>36</v>
      </c>
      <c r="H288" s="1">
        <v>11665</v>
      </c>
      <c r="I288" s="1"/>
      <c r="J288" s="1"/>
      <c r="K288" s="1">
        <v>13000</v>
      </c>
      <c r="L288" s="2">
        <v>45331</v>
      </c>
    </row>
    <row r="289" spans="1:12" x14ac:dyDescent="0.35">
      <c r="A289" s="1" t="s">
        <v>481</v>
      </c>
      <c r="B289" s="1" t="s">
        <v>371</v>
      </c>
      <c r="C289" s="1" t="s">
        <v>30</v>
      </c>
      <c r="D289" s="1" t="s">
        <v>31</v>
      </c>
      <c r="E289" s="1" t="s">
        <v>16</v>
      </c>
      <c r="F289" s="1" t="s">
        <v>17</v>
      </c>
      <c r="G289" s="1" t="s">
        <v>26</v>
      </c>
      <c r="H289" s="1">
        <v>18392</v>
      </c>
      <c r="I289" s="1" t="s">
        <v>27</v>
      </c>
      <c r="J289" s="1"/>
      <c r="K289" s="1">
        <v>17000</v>
      </c>
      <c r="L289" s="2">
        <v>45326</v>
      </c>
    </row>
    <row r="290" spans="1:12" x14ac:dyDescent="0.35">
      <c r="A290" s="1" t="s">
        <v>482</v>
      </c>
      <c r="B290" s="1" t="s">
        <v>483</v>
      </c>
      <c r="C290" s="1" t="s">
        <v>30</v>
      </c>
      <c r="D290" s="1" t="s">
        <v>31</v>
      </c>
      <c r="E290" s="1" t="s">
        <v>46</v>
      </c>
      <c r="F290" s="1" t="s">
        <v>25</v>
      </c>
      <c r="G290" s="1" t="s">
        <v>36</v>
      </c>
      <c r="H290" s="1">
        <v>16356</v>
      </c>
      <c r="I290" s="1" t="s">
        <v>22</v>
      </c>
      <c r="J290" s="1">
        <v>0.1</v>
      </c>
      <c r="K290" s="1">
        <v>17000</v>
      </c>
      <c r="L290" s="2">
        <v>45318</v>
      </c>
    </row>
    <row r="291" spans="1:12" x14ac:dyDescent="0.35">
      <c r="A291" s="1" t="s">
        <v>484</v>
      </c>
      <c r="B291" s="1" t="s">
        <v>291</v>
      </c>
      <c r="C291" s="1" t="s">
        <v>14</v>
      </c>
      <c r="D291" s="1" t="s">
        <v>15</v>
      </c>
      <c r="E291" s="1" t="s">
        <v>16</v>
      </c>
      <c r="F291" s="1" t="s">
        <v>17</v>
      </c>
      <c r="G291" s="1" t="s">
        <v>36</v>
      </c>
      <c r="H291" s="1">
        <v>15961</v>
      </c>
      <c r="I291" s="1" t="s">
        <v>27</v>
      </c>
      <c r="J291" s="1"/>
      <c r="K291" s="1">
        <v>14000</v>
      </c>
      <c r="L291" s="2">
        <v>45328</v>
      </c>
    </row>
    <row r="292" spans="1:12" x14ac:dyDescent="0.35">
      <c r="A292" s="1" t="s">
        <v>485</v>
      </c>
      <c r="B292" s="1" t="s">
        <v>220</v>
      </c>
      <c r="C292" s="1" t="s">
        <v>14</v>
      </c>
      <c r="D292" s="1" t="s">
        <v>15</v>
      </c>
      <c r="E292" s="1" t="s">
        <v>16</v>
      </c>
      <c r="F292" s="1" t="s">
        <v>17</v>
      </c>
      <c r="G292" s="1" t="s">
        <v>18</v>
      </c>
      <c r="H292" s="1">
        <v>14147</v>
      </c>
      <c r="I292" s="1" t="s">
        <v>27</v>
      </c>
      <c r="J292" s="1"/>
      <c r="K292" s="1">
        <v>14000</v>
      </c>
      <c r="L292" s="2">
        <v>45341</v>
      </c>
    </row>
    <row r="293" spans="1:12" x14ac:dyDescent="0.35">
      <c r="A293" s="1" t="s">
        <v>486</v>
      </c>
      <c r="B293" s="1" t="s">
        <v>487</v>
      </c>
      <c r="C293" s="1" t="s">
        <v>44</v>
      </c>
      <c r="D293" s="1" t="s">
        <v>45</v>
      </c>
      <c r="E293" s="1" t="s">
        <v>16</v>
      </c>
      <c r="F293" s="1" t="s">
        <v>25</v>
      </c>
      <c r="G293" s="1" t="s">
        <v>18</v>
      </c>
      <c r="H293" s="1">
        <v>13345</v>
      </c>
      <c r="I293" s="1" t="s">
        <v>22</v>
      </c>
      <c r="J293" s="1">
        <v>0.1</v>
      </c>
      <c r="K293" s="1">
        <v>13000</v>
      </c>
      <c r="L293" s="2">
        <v>45304</v>
      </c>
    </row>
    <row r="294" spans="1:12" x14ac:dyDescent="0.35">
      <c r="A294" s="1" t="s">
        <v>488</v>
      </c>
      <c r="B294" s="1" t="s">
        <v>489</v>
      </c>
      <c r="C294" s="1" t="s">
        <v>30</v>
      </c>
      <c r="D294" s="1" t="s">
        <v>31</v>
      </c>
      <c r="E294" s="1" t="s">
        <v>46</v>
      </c>
      <c r="F294" s="1" t="s">
        <v>25</v>
      </c>
      <c r="G294" s="1" t="s">
        <v>36</v>
      </c>
      <c r="H294" s="1">
        <v>17828</v>
      </c>
      <c r="I294" s="1" t="s">
        <v>19</v>
      </c>
      <c r="J294" s="1">
        <v>0.2</v>
      </c>
      <c r="K294" s="1">
        <v>17000</v>
      </c>
      <c r="L294" s="2">
        <v>45318</v>
      </c>
    </row>
    <row r="295" spans="1:12" x14ac:dyDescent="0.35">
      <c r="A295" s="1" t="s">
        <v>490</v>
      </c>
      <c r="B295" s="1" t="s">
        <v>82</v>
      </c>
      <c r="C295" s="1" t="s">
        <v>61</v>
      </c>
      <c r="D295" s="1" t="s">
        <v>62</v>
      </c>
      <c r="E295" s="1" t="s">
        <v>16</v>
      </c>
      <c r="F295" s="1" t="s">
        <v>39</v>
      </c>
      <c r="G295" s="1" t="s">
        <v>18</v>
      </c>
      <c r="H295" s="1">
        <v>9890</v>
      </c>
      <c r="I295" s="1" t="s">
        <v>19</v>
      </c>
      <c r="J295" s="1">
        <v>0.2</v>
      </c>
      <c r="K295" s="1">
        <v>9000</v>
      </c>
      <c r="L295" s="2">
        <v>45325</v>
      </c>
    </row>
    <row r="296" spans="1:12" x14ac:dyDescent="0.35">
      <c r="A296" s="1" t="s">
        <v>491</v>
      </c>
      <c r="B296" s="1" t="s">
        <v>24</v>
      </c>
      <c r="C296" s="1" t="s">
        <v>30</v>
      </c>
      <c r="D296" s="1" t="s">
        <v>31</v>
      </c>
      <c r="E296" s="1" t="s">
        <v>16</v>
      </c>
      <c r="F296" s="1" t="s">
        <v>17</v>
      </c>
      <c r="G296" s="1" t="s">
        <v>26</v>
      </c>
      <c r="H296" s="1">
        <v>16543</v>
      </c>
      <c r="I296" s="1" t="s">
        <v>33</v>
      </c>
      <c r="J296" s="1">
        <v>0.3</v>
      </c>
      <c r="K296" s="1">
        <v>17000</v>
      </c>
      <c r="L296" s="2">
        <v>45303</v>
      </c>
    </row>
    <row r="297" spans="1:12" x14ac:dyDescent="0.35">
      <c r="A297" s="1" t="s">
        <v>492</v>
      </c>
      <c r="B297" s="1" t="s">
        <v>330</v>
      </c>
      <c r="C297" s="1" t="s">
        <v>30</v>
      </c>
      <c r="D297" s="1" t="s">
        <v>31</v>
      </c>
      <c r="E297" s="1" t="s">
        <v>16</v>
      </c>
      <c r="F297" s="1" t="s">
        <v>17</v>
      </c>
      <c r="G297" s="1" t="s">
        <v>26</v>
      </c>
      <c r="H297" s="1">
        <v>18162</v>
      </c>
      <c r="I297" s="1" t="s">
        <v>33</v>
      </c>
      <c r="J297" s="1">
        <v>0.3</v>
      </c>
      <c r="K297" s="1">
        <v>17000</v>
      </c>
      <c r="L297" s="2">
        <v>45331</v>
      </c>
    </row>
    <row r="298" spans="1:12" x14ac:dyDescent="0.35">
      <c r="A298" s="1" t="s">
        <v>493</v>
      </c>
      <c r="B298" s="1" t="s">
        <v>211</v>
      </c>
      <c r="C298" s="1" t="s">
        <v>44</v>
      </c>
      <c r="D298" s="1" t="s">
        <v>45</v>
      </c>
      <c r="E298" s="1" t="s">
        <v>46</v>
      </c>
      <c r="F298" s="1" t="s">
        <v>39</v>
      </c>
      <c r="G298" s="1" t="s">
        <v>36</v>
      </c>
      <c r="H298" s="1">
        <v>11921</v>
      </c>
      <c r="I298" s="1" t="s">
        <v>33</v>
      </c>
      <c r="J298" s="1">
        <v>0.3</v>
      </c>
      <c r="K298" s="1">
        <v>13000</v>
      </c>
      <c r="L298" s="2">
        <v>45341</v>
      </c>
    </row>
    <row r="299" spans="1:12" x14ac:dyDescent="0.35">
      <c r="A299" s="1" t="s">
        <v>494</v>
      </c>
      <c r="B299" s="1" t="s">
        <v>350</v>
      </c>
      <c r="C299" s="1" t="s">
        <v>44</v>
      </c>
      <c r="D299" s="1" t="s">
        <v>45</v>
      </c>
      <c r="E299" s="1" t="s">
        <v>16</v>
      </c>
      <c r="F299" s="1" t="s">
        <v>39</v>
      </c>
      <c r="G299" s="1" t="s">
        <v>36</v>
      </c>
      <c r="H299" s="1">
        <v>12298</v>
      </c>
      <c r="I299" s="1"/>
      <c r="J299" s="1"/>
      <c r="K299" s="1">
        <v>13000</v>
      </c>
      <c r="L299" s="2">
        <v>45314</v>
      </c>
    </row>
    <row r="300" spans="1:12" x14ac:dyDescent="0.35">
      <c r="A300" s="1" t="s">
        <v>495</v>
      </c>
      <c r="B300" s="1" t="s">
        <v>82</v>
      </c>
      <c r="C300" s="1" t="s">
        <v>30</v>
      </c>
      <c r="D300" s="1" t="s">
        <v>31</v>
      </c>
      <c r="E300" s="1" t="s">
        <v>46</v>
      </c>
      <c r="F300" s="1" t="s">
        <v>25</v>
      </c>
      <c r="G300" s="1" t="s">
        <v>26</v>
      </c>
      <c r="H300" s="1">
        <v>17771</v>
      </c>
      <c r="I300" s="1" t="s">
        <v>27</v>
      </c>
      <c r="J300" s="1"/>
      <c r="K300" s="1">
        <v>17000</v>
      </c>
      <c r="L300" s="2">
        <v>45316</v>
      </c>
    </row>
    <row r="301" spans="1:12" x14ac:dyDescent="0.35">
      <c r="A301" s="1" t="s">
        <v>496</v>
      </c>
      <c r="B301" s="1" t="s">
        <v>137</v>
      </c>
      <c r="C301" s="1" t="s">
        <v>30</v>
      </c>
      <c r="D301" s="1" t="s">
        <v>31</v>
      </c>
      <c r="E301" s="1" t="s">
        <v>32</v>
      </c>
      <c r="F301" s="1" t="s">
        <v>17</v>
      </c>
      <c r="G301" s="1" t="s">
        <v>18</v>
      </c>
      <c r="H301" s="1">
        <v>16178</v>
      </c>
      <c r="I301" s="1" t="s">
        <v>22</v>
      </c>
      <c r="J301" s="1">
        <v>0.1</v>
      </c>
      <c r="K301" s="1">
        <v>17000</v>
      </c>
      <c r="L301" s="2">
        <v>45314</v>
      </c>
    </row>
    <row r="302" spans="1:12" x14ac:dyDescent="0.35">
      <c r="A302" s="1" t="s">
        <v>497</v>
      </c>
      <c r="B302" s="1" t="s">
        <v>445</v>
      </c>
      <c r="C302" s="1" t="s">
        <v>30</v>
      </c>
      <c r="D302" s="1" t="s">
        <v>31</v>
      </c>
      <c r="E302" s="1" t="s">
        <v>16</v>
      </c>
      <c r="F302" s="1" t="s">
        <v>17</v>
      </c>
      <c r="G302" s="1" t="s">
        <v>18</v>
      </c>
      <c r="H302" s="1">
        <v>15827</v>
      </c>
      <c r="I302" s="1" t="s">
        <v>27</v>
      </c>
      <c r="J302" s="1"/>
      <c r="K302" s="1">
        <v>17000</v>
      </c>
      <c r="L302" s="2">
        <v>45309</v>
      </c>
    </row>
    <row r="303" spans="1:12" x14ac:dyDescent="0.35">
      <c r="A303" s="1" t="s">
        <v>498</v>
      </c>
      <c r="B303" s="1" t="s">
        <v>84</v>
      </c>
      <c r="C303" s="1" t="s">
        <v>30</v>
      </c>
      <c r="D303" s="1" t="s">
        <v>31</v>
      </c>
      <c r="E303" s="1" t="s">
        <v>32</v>
      </c>
      <c r="F303" s="1" t="s">
        <v>25</v>
      </c>
      <c r="G303" s="1" t="s">
        <v>26</v>
      </c>
      <c r="H303" s="1">
        <v>18034</v>
      </c>
      <c r="I303" s="1" t="s">
        <v>27</v>
      </c>
      <c r="J303" s="1"/>
      <c r="K303" s="1">
        <v>17000</v>
      </c>
      <c r="L303" s="2">
        <v>45307</v>
      </c>
    </row>
    <row r="304" spans="1:12" x14ac:dyDescent="0.35">
      <c r="A304" s="1" t="s">
        <v>499</v>
      </c>
      <c r="B304" s="1" t="s">
        <v>500</v>
      </c>
      <c r="C304" s="1" t="s">
        <v>44</v>
      </c>
      <c r="D304" s="1" t="s">
        <v>45</v>
      </c>
      <c r="E304" s="1" t="s">
        <v>16</v>
      </c>
      <c r="F304" s="1" t="s">
        <v>25</v>
      </c>
      <c r="G304" s="1" t="s">
        <v>18</v>
      </c>
      <c r="H304" s="1">
        <v>11410</v>
      </c>
      <c r="I304" s="1"/>
      <c r="J304" s="1"/>
      <c r="K304" s="1">
        <v>13000</v>
      </c>
      <c r="L304" s="2">
        <v>45313</v>
      </c>
    </row>
    <row r="305" spans="1:12" x14ac:dyDescent="0.35">
      <c r="A305" s="1" t="s">
        <v>501</v>
      </c>
      <c r="B305" s="1" t="s">
        <v>334</v>
      </c>
      <c r="C305" s="1" t="s">
        <v>14</v>
      </c>
      <c r="D305" s="1" t="s">
        <v>15</v>
      </c>
      <c r="E305" s="1" t="s">
        <v>16</v>
      </c>
      <c r="F305" s="1" t="s">
        <v>25</v>
      </c>
      <c r="G305" s="1" t="s">
        <v>18</v>
      </c>
      <c r="H305" s="1">
        <v>15950</v>
      </c>
      <c r="I305" s="1" t="s">
        <v>27</v>
      </c>
      <c r="J305" s="1"/>
      <c r="K305" s="1">
        <v>14000</v>
      </c>
      <c r="L305" s="2">
        <v>45351</v>
      </c>
    </row>
    <row r="306" spans="1:12" x14ac:dyDescent="0.35">
      <c r="A306" s="1" t="s">
        <v>502</v>
      </c>
      <c r="B306" s="1" t="s">
        <v>363</v>
      </c>
      <c r="C306" s="1" t="s">
        <v>61</v>
      </c>
      <c r="D306" s="1" t="s">
        <v>62</v>
      </c>
      <c r="E306" s="1" t="s">
        <v>46</v>
      </c>
      <c r="F306" s="1" t="s">
        <v>39</v>
      </c>
      <c r="G306" s="1" t="s">
        <v>18</v>
      </c>
      <c r="H306" s="1">
        <v>10096</v>
      </c>
      <c r="I306" s="1" t="s">
        <v>33</v>
      </c>
      <c r="J306" s="1">
        <v>0.3</v>
      </c>
      <c r="K306" s="1">
        <v>9000</v>
      </c>
      <c r="L306" s="2">
        <v>45312</v>
      </c>
    </row>
    <row r="307" spans="1:12" x14ac:dyDescent="0.35">
      <c r="A307" s="1" t="s">
        <v>503</v>
      </c>
      <c r="B307" s="1" t="s">
        <v>286</v>
      </c>
      <c r="C307" s="1" t="s">
        <v>14</v>
      </c>
      <c r="D307" s="1" t="s">
        <v>15</v>
      </c>
      <c r="E307" s="1" t="s">
        <v>32</v>
      </c>
      <c r="F307" s="1" t="s">
        <v>39</v>
      </c>
      <c r="G307" s="1" t="s">
        <v>26</v>
      </c>
      <c r="H307" s="1">
        <v>12951</v>
      </c>
      <c r="I307" s="1" t="s">
        <v>27</v>
      </c>
      <c r="J307" s="1"/>
      <c r="K307" s="1">
        <v>14000</v>
      </c>
      <c r="L307" s="2">
        <v>45339</v>
      </c>
    </row>
    <row r="308" spans="1:12" x14ac:dyDescent="0.35">
      <c r="A308" s="1" t="s">
        <v>504</v>
      </c>
      <c r="B308" s="1" t="s">
        <v>371</v>
      </c>
      <c r="C308" s="1" t="s">
        <v>14</v>
      </c>
      <c r="D308" s="1" t="s">
        <v>15</v>
      </c>
      <c r="E308" s="1" t="s">
        <v>32</v>
      </c>
      <c r="F308" s="1" t="s">
        <v>17</v>
      </c>
      <c r="G308" s="1" t="s">
        <v>18</v>
      </c>
      <c r="H308" s="1">
        <v>15825</v>
      </c>
      <c r="I308" s="1" t="s">
        <v>22</v>
      </c>
      <c r="J308" s="1">
        <v>0.1</v>
      </c>
      <c r="K308" s="1">
        <v>14000</v>
      </c>
      <c r="L308" s="2">
        <v>45345</v>
      </c>
    </row>
    <row r="309" spans="1:12" x14ac:dyDescent="0.35">
      <c r="A309" s="1" t="s">
        <v>505</v>
      </c>
      <c r="B309" s="1" t="s">
        <v>155</v>
      </c>
      <c r="C309" s="1" t="s">
        <v>61</v>
      </c>
      <c r="D309" s="1" t="s">
        <v>62</v>
      </c>
      <c r="E309" s="1" t="s">
        <v>32</v>
      </c>
      <c r="F309" s="1" t="s">
        <v>39</v>
      </c>
      <c r="G309" s="1" t="s">
        <v>36</v>
      </c>
      <c r="H309" s="1">
        <v>10591</v>
      </c>
      <c r="I309" s="1" t="s">
        <v>22</v>
      </c>
      <c r="J309" s="1">
        <v>0.1</v>
      </c>
      <c r="K309" s="1">
        <v>9000</v>
      </c>
      <c r="L309" s="2">
        <v>45292</v>
      </c>
    </row>
    <row r="310" spans="1:12" x14ac:dyDescent="0.35">
      <c r="A310" s="1" t="s">
        <v>506</v>
      </c>
      <c r="B310" s="1" t="s">
        <v>118</v>
      </c>
      <c r="C310" s="1" t="s">
        <v>14</v>
      </c>
      <c r="D310" s="1" t="s">
        <v>15</v>
      </c>
      <c r="E310" s="1" t="s">
        <v>46</v>
      </c>
      <c r="F310" s="1" t="s">
        <v>17</v>
      </c>
      <c r="G310" s="1" t="s">
        <v>36</v>
      </c>
      <c r="H310" s="1">
        <v>14626</v>
      </c>
      <c r="I310" s="1" t="s">
        <v>27</v>
      </c>
      <c r="J310" s="1"/>
      <c r="K310" s="1">
        <v>14000</v>
      </c>
      <c r="L310" s="2">
        <v>45325</v>
      </c>
    </row>
    <row r="311" spans="1:12" x14ac:dyDescent="0.35">
      <c r="A311" s="1" t="s">
        <v>507</v>
      </c>
      <c r="B311" s="1" t="s">
        <v>508</v>
      </c>
      <c r="C311" s="1" t="s">
        <v>61</v>
      </c>
      <c r="D311" s="1" t="s">
        <v>62</v>
      </c>
      <c r="E311" s="1" t="s">
        <v>46</v>
      </c>
      <c r="F311" s="1" t="s">
        <v>25</v>
      </c>
      <c r="G311" s="1" t="s">
        <v>18</v>
      </c>
      <c r="H311" s="1">
        <v>8354</v>
      </c>
      <c r="I311" s="1" t="s">
        <v>19</v>
      </c>
      <c r="J311" s="1">
        <v>0.2</v>
      </c>
      <c r="K311" s="1">
        <v>9000</v>
      </c>
      <c r="L311" s="2">
        <v>45338</v>
      </c>
    </row>
    <row r="312" spans="1:12" x14ac:dyDescent="0.35">
      <c r="A312" s="1" t="s">
        <v>509</v>
      </c>
      <c r="B312" s="1" t="s">
        <v>332</v>
      </c>
      <c r="C312" s="1" t="s">
        <v>30</v>
      </c>
      <c r="D312" s="1" t="s">
        <v>31</v>
      </c>
      <c r="E312" s="1" t="s">
        <v>16</v>
      </c>
      <c r="F312" s="1" t="s">
        <v>25</v>
      </c>
      <c r="G312" s="1" t="s">
        <v>18</v>
      </c>
      <c r="H312" s="1">
        <v>18017</v>
      </c>
      <c r="I312" s="1" t="s">
        <v>33</v>
      </c>
      <c r="J312" s="1">
        <v>0.3</v>
      </c>
      <c r="K312" s="1">
        <v>17000</v>
      </c>
      <c r="L312" s="2">
        <v>45342</v>
      </c>
    </row>
    <row r="313" spans="1:12" x14ac:dyDescent="0.35">
      <c r="A313" s="1" t="s">
        <v>510</v>
      </c>
      <c r="B313" s="1" t="s">
        <v>118</v>
      </c>
      <c r="C313" s="1" t="s">
        <v>44</v>
      </c>
      <c r="D313" s="1" t="s">
        <v>45</v>
      </c>
      <c r="E313" s="1" t="s">
        <v>32</v>
      </c>
      <c r="F313" s="1" t="s">
        <v>39</v>
      </c>
      <c r="G313" s="1" t="s">
        <v>26</v>
      </c>
      <c r="H313" s="1">
        <v>14674</v>
      </c>
      <c r="I313" s="1"/>
      <c r="J313" s="1"/>
      <c r="K313" s="1">
        <v>13000</v>
      </c>
      <c r="L313" s="2">
        <v>45344</v>
      </c>
    </row>
    <row r="314" spans="1:12" x14ac:dyDescent="0.35">
      <c r="A314" s="1" t="s">
        <v>511</v>
      </c>
      <c r="B314" s="1" t="s">
        <v>512</v>
      </c>
      <c r="C314" s="1" t="s">
        <v>30</v>
      </c>
      <c r="D314" s="1" t="s">
        <v>31</v>
      </c>
      <c r="E314" s="1" t="s">
        <v>32</v>
      </c>
      <c r="F314" s="1" t="s">
        <v>17</v>
      </c>
      <c r="G314" s="1" t="s">
        <v>26</v>
      </c>
      <c r="H314" s="1">
        <v>15390</v>
      </c>
      <c r="I314" s="1" t="s">
        <v>19</v>
      </c>
      <c r="J314" s="1">
        <v>0.2</v>
      </c>
      <c r="K314" s="1">
        <v>17000</v>
      </c>
      <c r="L314" s="2">
        <v>45300</v>
      </c>
    </row>
    <row r="315" spans="1:12" x14ac:dyDescent="0.35">
      <c r="A315" s="1" t="s">
        <v>513</v>
      </c>
      <c r="B315" s="1" t="s">
        <v>188</v>
      </c>
      <c r="C315" s="1" t="s">
        <v>44</v>
      </c>
      <c r="D315" s="1" t="s">
        <v>45</v>
      </c>
      <c r="E315" s="1" t="s">
        <v>32</v>
      </c>
      <c r="F315" s="1" t="s">
        <v>17</v>
      </c>
      <c r="G315" s="1" t="s">
        <v>36</v>
      </c>
      <c r="H315" s="1">
        <v>11964</v>
      </c>
      <c r="I315" s="1"/>
      <c r="J315" s="1"/>
      <c r="K315" s="1">
        <v>13000</v>
      </c>
      <c r="L315" s="2">
        <v>45340</v>
      </c>
    </row>
    <row r="316" spans="1:12" x14ac:dyDescent="0.35">
      <c r="A316" s="1" t="s">
        <v>514</v>
      </c>
      <c r="B316" s="1" t="s">
        <v>131</v>
      </c>
      <c r="C316" s="1" t="s">
        <v>30</v>
      </c>
      <c r="D316" s="1" t="s">
        <v>31</v>
      </c>
      <c r="E316" s="1" t="s">
        <v>16</v>
      </c>
      <c r="F316" s="1" t="s">
        <v>39</v>
      </c>
      <c r="G316" s="1" t="s">
        <v>26</v>
      </c>
      <c r="H316" s="1">
        <v>15046</v>
      </c>
      <c r="I316" s="1" t="s">
        <v>33</v>
      </c>
      <c r="J316" s="1">
        <v>0.3</v>
      </c>
      <c r="K316" s="1">
        <v>17000</v>
      </c>
      <c r="L316" s="2">
        <v>45333</v>
      </c>
    </row>
    <row r="317" spans="1:12" x14ac:dyDescent="0.35">
      <c r="A317" s="1" t="s">
        <v>515</v>
      </c>
      <c r="B317" s="1" t="s">
        <v>516</v>
      </c>
      <c r="C317" s="1" t="s">
        <v>44</v>
      </c>
      <c r="D317" s="1" t="s">
        <v>45</v>
      </c>
      <c r="E317" s="1" t="s">
        <v>32</v>
      </c>
      <c r="F317" s="1" t="s">
        <v>39</v>
      </c>
      <c r="G317" s="1" t="s">
        <v>18</v>
      </c>
      <c r="H317" s="1">
        <v>12906</v>
      </c>
      <c r="I317" s="1" t="s">
        <v>33</v>
      </c>
      <c r="J317" s="1">
        <v>0.3</v>
      </c>
      <c r="K317" s="1">
        <v>13000</v>
      </c>
      <c r="L317" s="2">
        <v>45302</v>
      </c>
    </row>
    <row r="318" spans="1:12" x14ac:dyDescent="0.35">
      <c r="A318" s="1" t="s">
        <v>517</v>
      </c>
      <c r="B318" s="1" t="s">
        <v>274</v>
      </c>
      <c r="C318" s="1" t="s">
        <v>30</v>
      </c>
      <c r="D318" s="1" t="s">
        <v>31</v>
      </c>
      <c r="E318" s="1" t="s">
        <v>16</v>
      </c>
      <c r="F318" s="1" t="s">
        <v>25</v>
      </c>
      <c r="G318" s="1" t="s">
        <v>26</v>
      </c>
      <c r="H318" s="1">
        <v>18752</v>
      </c>
      <c r="I318" s="1" t="s">
        <v>33</v>
      </c>
      <c r="J318" s="1">
        <v>0.3</v>
      </c>
      <c r="K318" s="1">
        <v>17000</v>
      </c>
      <c r="L318" s="2">
        <v>45315</v>
      </c>
    </row>
    <row r="319" spans="1:12" x14ac:dyDescent="0.35">
      <c r="A319" s="1" t="s">
        <v>518</v>
      </c>
      <c r="B319" s="1" t="s">
        <v>519</v>
      </c>
      <c r="C319" s="1" t="s">
        <v>44</v>
      </c>
      <c r="D319" s="1" t="s">
        <v>45</v>
      </c>
      <c r="E319" s="1" t="s">
        <v>32</v>
      </c>
      <c r="F319" s="1" t="s">
        <v>17</v>
      </c>
      <c r="G319" s="1" t="s">
        <v>18</v>
      </c>
      <c r="H319" s="1">
        <v>12863</v>
      </c>
      <c r="I319" s="1" t="s">
        <v>27</v>
      </c>
      <c r="J319" s="1"/>
      <c r="K319" s="1">
        <v>13000</v>
      </c>
      <c r="L319" s="2">
        <v>45315</v>
      </c>
    </row>
    <row r="320" spans="1:12" x14ac:dyDescent="0.35">
      <c r="A320" s="1" t="s">
        <v>520</v>
      </c>
      <c r="B320" s="1" t="s">
        <v>101</v>
      </c>
      <c r="C320" s="1" t="s">
        <v>61</v>
      </c>
      <c r="D320" s="1" t="s">
        <v>62</v>
      </c>
      <c r="E320" s="1" t="s">
        <v>16</v>
      </c>
      <c r="F320" s="1" t="s">
        <v>39</v>
      </c>
      <c r="G320" s="1" t="s">
        <v>18</v>
      </c>
      <c r="H320" s="1">
        <v>10120</v>
      </c>
      <c r="I320" s="1" t="s">
        <v>19</v>
      </c>
      <c r="J320" s="1">
        <v>0.2</v>
      </c>
      <c r="K320" s="1">
        <v>9000</v>
      </c>
      <c r="L320" s="2">
        <v>45335</v>
      </c>
    </row>
    <row r="321" spans="1:12" x14ac:dyDescent="0.35">
      <c r="A321" s="1" t="s">
        <v>521</v>
      </c>
      <c r="B321" s="1" t="s">
        <v>522</v>
      </c>
      <c r="C321" s="1" t="s">
        <v>14</v>
      </c>
      <c r="D321" s="1" t="s">
        <v>15</v>
      </c>
      <c r="E321" s="1" t="s">
        <v>16</v>
      </c>
      <c r="F321" s="1" t="s">
        <v>17</v>
      </c>
      <c r="G321" s="1" t="s">
        <v>26</v>
      </c>
      <c r="H321" s="1">
        <v>14882</v>
      </c>
      <c r="I321" s="1" t="s">
        <v>33</v>
      </c>
      <c r="J321" s="1">
        <v>0.3</v>
      </c>
      <c r="K321" s="1">
        <v>14000</v>
      </c>
      <c r="L321" s="2">
        <v>45296</v>
      </c>
    </row>
    <row r="322" spans="1:12" x14ac:dyDescent="0.35">
      <c r="A322" s="1" t="s">
        <v>523</v>
      </c>
      <c r="B322" s="1" t="s">
        <v>60</v>
      </c>
      <c r="C322" s="1" t="s">
        <v>14</v>
      </c>
      <c r="D322" s="1" t="s">
        <v>15</v>
      </c>
      <c r="E322" s="1" t="s">
        <v>32</v>
      </c>
      <c r="F322" s="1" t="s">
        <v>39</v>
      </c>
      <c r="G322" s="1" t="s">
        <v>26</v>
      </c>
      <c r="H322" s="1">
        <v>12828</v>
      </c>
      <c r="I322" s="1" t="s">
        <v>27</v>
      </c>
      <c r="J322" s="1"/>
      <c r="K322" s="1">
        <v>14000</v>
      </c>
      <c r="L322" s="2">
        <v>45326</v>
      </c>
    </row>
    <row r="323" spans="1:12" x14ac:dyDescent="0.35">
      <c r="A323" s="1" t="s">
        <v>524</v>
      </c>
      <c r="B323" s="1" t="s">
        <v>175</v>
      </c>
      <c r="C323" s="1" t="s">
        <v>30</v>
      </c>
      <c r="D323" s="1" t="s">
        <v>31</v>
      </c>
      <c r="E323" s="1" t="s">
        <v>16</v>
      </c>
      <c r="F323" s="1" t="s">
        <v>17</v>
      </c>
      <c r="G323" s="1" t="s">
        <v>18</v>
      </c>
      <c r="H323" s="1">
        <v>17786</v>
      </c>
      <c r="I323" s="1" t="s">
        <v>19</v>
      </c>
      <c r="J323" s="1">
        <v>0.2</v>
      </c>
      <c r="K323" s="1">
        <v>17000</v>
      </c>
      <c r="L323" s="2">
        <v>45337</v>
      </c>
    </row>
    <row r="324" spans="1:12" x14ac:dyDescent="0.35">
      <c r="A324" s="1" t="s">
        <v>525</v>
      </c>
      <c r="B324" s="1" t="s">
        <v>356</v>
      </c>
      <c r="C324" s="1" t="s">
        <v>14</v>
      </c>
      <c r="D324" s="1" t="s">
        <v>15</v>
      </c>
      <c r="E324" s="1" t="s">
        <v>16</v>
      </c>
      <c r="F324" s="1" t="s">
        <v>17</v>
      </c>
      <c r="G324" s="1" t="s">
        <v>18</v>
      </c>
      <c r="H324" s="1">
        <v>13857</v>
      </c>
      <c r="I324" s="1" t="s">
        <v>19</v>
      </c>
      <c r="J324" s="1">
        <v>0.2</v>
      </c>
      <c r="K324" s="1">
        <v>14000</v>
      </c>
      <c r="L324" s="2">
        <v>45324</v>
      </c>
    </row>
    <row r="325" spans="1:12" x14ac:dyDescent="0.35">
      <c r="A325" s="1" t="s">
        <v>526</v>
      </c>
      <c r="B325" s="1" t="s">
        <v>527</v>
      </c>
      <c r="C325" s="1" t="s">
        <v>14</v>
      </c>
      <c r="D325" s="1" t="s">
        <v>15</v>
      </c>
      <c r="E325" s="1" t="s">
        <v>16</v>
      </c>
      <c r="F325" s="1" t="s">
        <v>17</v>
      </c>
      <c r="G325" s="1" t="s">
        <v>26</v>
      </c>
      <c r="H325" s="1">
        <v>15305</v>
      </c>
      <c r="I325" s="1" t="s">
        <v>33</v>
      </c>
      <c r="J325" s="1">
        <v>0.3</v>
      </c>
      <c r="K325" s="1">
        <v>14000</v>
      </c>
      <c r="L325" s="2">
        <v>45338</v>
      </c>
    </row>
    <row r="326" spans="1:12" x14ac:dyDescent="0.35">
      <c r="A326" s="1" t="s">
        <v>528</v>
      </c>
      <c r="B326" s="1" t="s">
        <v>406</v>
      </c>
      <c r="C326" s="1" t="s">
        <v>30</v>
      </c>
      <c r="D326" s="1" t="s">
        <v>31</v>
      </c>
      <c r="E326" s="1" t="s">
        <v>32</v>
      </c>
      <c r="F326" s="1" t="s">
        <v>39</v>
      </c>
      <c r="G326" s="1" t="s">
        <v>18</v>
      </c>
      <c r="H326" s="1">
        <v>17368</v>
      </c>
      <c r="I326" s="1" t="s">
        <v>22</v>
      </c>
      <c r="J326" s="1">
        <v>0.1</v>
      </c>
      <c r="K326" s="1">
        <v>17000</v>
      </c>
      <c r="L326" s="2">
        <v>45294</v>
      </c>
    </row>
    <row r="327" spans="1:12" x14ac:dyDescent="0.35">
      <c r="A327" s="1" t="s">
        <v>529</v>
      </c>
      <c r="B327" s="1" t="s">
        <v>474</v>
      </c>
      <c r="C327" s="1" t="s">
        <v>14</v>
      </c>
      <c r="D327" s="1" t="s">
        <v>15</v>
      </c>
      <c r="E327" s="1" t="s">
        <v>16</v>
      </c>
      <c r="F327" s="1" t="s">
        <v>25</v>
      </c>
      <c r="G327" s="1" t="s">
        <v>18</v>
      </c>
      <c r="H327" s="1">
        <v>15824</v>
      </c>
      <c r="I327" s="1"/>
      <c r="J327" s="1"/>
      <c r="K327" s="1">
        <v>14000</v>
      </c>
      <c r="L327" s="2">
        <v>45294</v>
      </c>
    </row>
    <row r="328" spans="1:12" x14ac:dyDescent="0.35">
      <c r="A328" s="1" t="s">
        <v>530</v>
      </c>
      <c r="B328" s="1" t="s">
        <v>70</v>
      </c>
      <c r="C328" s="1" t="s">
        <v>44</v>
      </c>
      <c r="D328" s="1" t="s">
        <v>45</v>
      </c>
      <c r="E328" s="1" t="s">
        <v>32</v>
      </c>
      <c r="F328" s="1" t="s">
        <v>39</v>
      </c>
      <c r="G328" s="1" t="s">
        <v>26</v>
      </c>
      <c r="H328" s="1">
        <v>13645</v>
      </c>
      <c r="I328" s="1"/>
      <c r="J328" s="1"/>
      <c r="K328" s="1">
        <v>13000</v>
      </c>
      <c r="L328" s="2">
        <v>45315</v>
      </c>
    </row>
    <row r="329" spans="1:12" x14ac:dyDescent="0.35">
      <c r="A329" s="1" t="s">
        <v>531</v>
      </c>
      <c r="B329" s="1" t="s">
        <v>137</v>
      </c>
      <c r="C329" s="1" t="s">
        <v>61</v>
      </c>
      <c r="D329" s="1" t="s">
        <v>62</v>
      </c>
      <c r="E329" s="1" t="s">
        <v>46</v>
      </c>
      <c r="F329" s="1" t="s">
        <v>17</v>
      </c>
      <c r="G329" s="1" t="s">
        <v>18</v>
      </c>
      <c r="H329" s="1">
        <v>9796</v>
      </c>
      <c r="I329" s="1" t="s">
        <v>27</v>
      </c>
      <c r="J329" s="1"/>
      <c r="K329" s="1">
        <v>9000</v>
      </c>
      <c r="L329" s="2">
        <v>45300</v>
      </c>
    </row>
    <row r="330" spans="1:12" x14ac:dyDescent="0.35">
      <c r="A330" s="1" t="s">
        <v>532</v>
      </c>
      <c r="B330" s="1" t="s">
        <v>204</v>
      </c>
      <c r="C330" s="1" t="s">
        <v>30</v>
      </c>
      <c r="D330" s="1" t="s">
        <v>31</v>
      </c>
      <c r="E330" s="1" t="s">
        <v>32</v>
      </c>
      <c r="F330" s="1" t="s">
        <v>25</v>
      </c>
      <c r="G330" s="1" t="s">
        <v>26</v>
      </c>
      <c r="H330" s="1">
        <v>16609</v>
      </c>
      <c r="I330" s="1" t="s">
        <v>27</v>
      </c>
      <c r="J330" s="1"/>
      <c r="K330" s="1">
        <v>17000</v>
      </c>
      <c r="L330" s="2">
        <v>45300</v>
      </c>
    </row>
    <row r="331" spans="1:12" x14ac:dyDescent="0.35">
      <c r="A331" s="1" t="s">
        <v>533</v>
      </c>
      <c r="B331" s="1" t="s">
        <v>397</v>
      </c>
      <c r="C331" s="1" t="s">
        <v>14</v>
      </c>
      <c r="D331" s="1" t="s">
        <v>15</v>
      </c>
      <c r="E331" s="1" t="s">
        <v>32</v>
      </c>
      <c r="F331" s="1" t="s">
        <v>17</v>
      </c>
      <c r="G331" s="1" t="s">
        <v>36</v>
      </c>
      <c r="H331" s="1">
        <v>14758</v>
      </c>
      <c r="I331" s="1" t="s">
        <v>27</v>
      </c>
      <c r="J331" s="1"/>
      <c r="K331" s="1">
        <v>14000</v>
      </c>
      <c r="L331" s="2">
        <v>45319</v>
      </c>
    </row>
    <row r="332" spans="1:12" x14ac:dyDescent="0.35">
      <c r="A332" s="1" t="s">
        <v>534</v>
      </c>
      <c r="B332" s="1" t="s">
        <v>388</v>
      </c>
      <c r="C332" s="1" t="s">
        <v>44</v>
      </c>
      <c r="D332" s="1" t="s">
        <v>45</v>
      </c>
      <c r="E332" s="1" t="s">
        <v>32</v>
      </c>
      <c r="F332" s="1" t="s">
        <v>17</v>
      </c>
      <c r="G332" s="1" t="s">
        <v>36</v>
      </c>
      <c r="H332" s="1">
        <v>11635</v>
      </c>
      <c r="I332" s="1" t="s">
        <v>33</v>
      </c>
      <c r="J332" s="1">
        <v>0.3</v>
      </c>
      <c r="K332" s="1">
        <v>13000</v>
      </c>
      <c r="L332" s="2">
        <v>45304</v>
      </c>
    </row>
    <row r="333" spans="1:12" x14ac:dyDescent="0.35">
      <c r="A333" s="1" t="s">
        <v>535</v>
      </c>
      <c r="B333" s="1" t="s">
        <v>260</v>
      </c>
      <c r="C333" s="1" t="s">
        <v>14</v>
      </c>
      <c r="D333" s="1" t="s">
        <v>15</v>
      </c>
      <c r="E333" s="1" t="s">
        <v>32</v>
      </c>
      <c r="F333" s="1" t="s">
        <v>39</v>
      </c>
      <c r="G333" s="1" t="s">
        <v>36</v>
      </c>
      <c r="H333" s="1">
        <v>14518</v>
      </c>
      <c r="I333" s="1" t="s">
        <v>22</v>
      </c>
      <c r="J333" s="1">
        <v>0.1</v>
      </c>
      <c r="K333" s="1">
        <v>14000</v>
      </c>
      <c r="L333" s="2">
        <v>45307</v>
      </c>
    </row>
    <row r="334" spans="1:12" x14ac:dyDescent="0.35">
      <c r="A334" s="1" t="s">
        <v>536</v>
      </c>
      <c r="B334" s="1" t="s">
        <v>229</v>
      </c>
      <c r="C334" s="1" t="s">
        <v>14</v>
      </c>
      <c r="D334" s="1" t="s">
        <v>15</v>
      </c>
      <c r="E334" s="1" t="s">
        <v>16</v>
      </c>
      <c r="F334" s="1" t="s">
        <v>25</v>
      </c>
      <c r="G334" s="1" t="s">
        <v>36</v>
      </c>
      <c r="H334" s="1">
        <v>14448</v>
      </c>
      <c r="I334" s="1" t="s">
        <v>22</v>
      </c>
      <c r="J334" s="1">
        <v>0.1</v>
      </c>
      <c r="K334" s="1">
        <v>14000</v>
      </c>
      <c r="L334" s="2">
        <v>45307</v>
      </c>
    </row>
    <row r="335" spans="1:12" x14ac:dyDescent="0.35">
      <c r="A335" s="1" t="s">
        <v>537</v>
      </c>
      <c r="B335" s="1" t="s">
        <v>464</v>
      </c>
      <c r="C335" s="1" t="s">
        <v>61</v>
      </c>
      <c r="D335" s="1" t="s">
        <v>62</v>
      </c>
      <c r="E335" s="1" t="s">
        <v>46</v>
      </c>
      <c r="F335" s="1" t="s">
        <v>25</v>
      </c>
      <c r="G335" s="1" t="s">
        <v>26</v>
      </c>
      <c r="H335" s="1">
        <v>7889</v>
      </c>
      <c r="I335" s="1" t="s">
        <v>22</v>
      </c>
      <c r="J335" s="1">
        <v>0.1</v>
      </c>
      <c r="K335" s="1">
        <v>9000</v>
      </c>
      <c r="L335" s="2">
        <v>45300</v>
      </c>
    </row>
    <row r="336" spans="1:12" x14ac:dyDescent="0.35">
      <c r="A336" s="1" t="s">
        <v>538</v>
      </c>
      <c r="B336" s="1" t="s">
        <v>448</v>
      </c>
      <c r="C336" s="1" t="s">
        <v>44</v>
      </c>
      <c r="D336" s="1" t="s">
        <v>45</v>
      </c>
      <c r="E336" s="1" t="s">
        <v>16</v>
      </c>
      <c r="F336" s="1" t="s">
        <v>39</v>
      </c>
      <c r="G336" s="1" t="s">
        <v>36</v>
      </c>
      <c r="H336" s="1">
        <v>13365</v>
      </c>
      <c r="I336" s="1" t="s">
        <v>27</v>
      </c>
      <c r="J336" s="1"/>
      <c r="K336" s="1">
        <v>13000</v>
      </c>
      <c r="L336" s="2">
        <v>45341</v>
      </c>
    </row>
    <row r="337" spans="1:12" x14ac:dyDescent="0.35">
      <c r="A337" s="1" t="s">
        <v>539</v>
      </c>
      <c r="B337" s="1" t="s">
        <v>204</v>
      </c>
      <c r="C337" s="1" t="s">
        <v>30</v>
      </c>
      <c r="D337" s="1" t="s">
        <v>31</v>
      </c>
      <c r="E337" s="1" t="s">
        <v>32</v>
      </c>
      <c r="F337" s="1" t="s">
        <v>17</v>
      </c>
      <c r="G337" s="1" t="s">
        <v>18</v>
      </c>
      <c r="H337" s="1">
        <v>17704</v>
      </c>
      <c r="I337" s="1" t="s">
        <v>27</v>
      </c>
      <c r="J337" s="1"/>
      <c r="K337" s="1">
        <v>17000</v>
      </c>
      <c r="L337" s="2">
        <v>45306</v>
      </c>
    </row>
    <row r="338" spans="1:12" x14ac:dyDescent="0.35">
      <c r="A338" s="1" t="s">
        <v>540</v>
      </c>
      <c r="B338" s="1" t="s">
        <v>435</v>
      </c>
      <c r="C338" s="1" t="s">
        <v>30</v>
      </c>
      <c r="D338" s="1" t="s">
        <v>31</v>
      </c>
      <c r="E338" s="1" t="s">
        <v>32</v>
      </c>
      <c r="F338" s="1" t="s">
        <v>39</v>
      </c>
      <c r="G338" s="1" t="s">
        <v>26</v>
      </c>
      <c r="H338" s="1">
        <v>18603</v>
      </c>
      <c r="I338" s="1" t="s">
        <v>19</v>
      </c>
      <c r="J338" s="1">
        <v>0.2</v>
      </c>
      <c r="K338" s="1">
        <v>17000</v>
      </c>
      <c r="L338" s="2">
        <v>45332</v>
      </c>
    </row>
    <row r="339" spans="1:12" x14ac:dyDescent="0.35">
      <c r="A339" s="1" t="s">
        <v>541</v>
      </c>
      <c r="B339" s="1" t="s">
        <v>90</v>
      </c>
      <c r="C339" s="1" t="s">
        <v>61</v>
      </c>
      <c r="D339" s="1" t="s">
        <v>62</v>
      </c>
      <c r="E339" s="1" t="s">
        <v>32</v>
      </c>
      <c r="F339" s="1" t="s">
        <v>17</v>
      </c>
      <c r="G339" s="1" t="s">
        <v>26</v>
      </c>
      <c r="H339" s="1">
        <v>9749</v>
      </c>
      <c r="I339" s="1"/>
      <c r="J339" s="1"/>
      <c r="K339" s="1">
        <v>9000</v>
      </c>
      <c r="L339" s="2">
        <v>45342</v>
      </c>
    </row>
    <row r="340" spans="1:12" x14ac:dyDescent="0.35">
      <c r="A340" s="1" t="s">
        <v>542</v>
      </c>
      <c r="B340" s="1" t="s">
        <v>217</v>
      </c>
      <c r="C340" s="1" t="s">
        <v>61</v>
      </c>
      <c r="D340" s="1" t="s">
        <v>62</v>
      </c>
      <c r="E340" s="1" t="s">
        <v>46</v>
      </c>
      <c r="F340" s="1" t="s">
        <v>25</v>
      </c>
      <c r="G340" s="1" t="s">
        <v>36</v>
      </c>
      <c r="H340" s="1">
        <v>8541</v>
      </c>
      <c r="I340" s="1" t="s">
        <v>19</v>
      </c>
      <c r="J340" s="1">
        <v>0.2</v>
      </c>
      <c r="K340" s="1">
        <v>9000</v>
      </c>
      <c r="L340" s="2">
        <v>45340</v>
      </c>
    </row>
    <row r="341" spans="1:12" x14ac:dyDescent="0.35">
      <c r="A341" s="1" t="s">
        <v>543</v>
      </c>
      <c r="B341" s="1" t="s">
        <v>544</v>
      </c>
      <c r="C341" s="1" t="s">
        <v>44</v>
      </c>
      <c r="D341" s="1" t="s">
        <v>45</v>
      </c>
      <c r="E341" s="1" t="s">
        <v>32</v>
      </c>
      <c r="F341" s="1" t="s">
        <v>17</v>
      </c>
      <c r="G341" s="1" t="s">
        <v>26</v>
      </c>
      <c r="H341" s="1">
        <v>11591</v>
      </c>
      <c r="I341" s="1"/>
      <c r="J341" s="1"/>
      <c r="K341" s="1">
        <v>13000</v>
      </c>
      <c r="L341" s="2">
        <v>45350</v>
      </c>
    </row>
    <row r="342" spans="1:12" x14ac:dyDescent="0.35">
      <c r="A342" s="1" t="s">
        <v>545</v>
      </c>
      <c r="B342" s="1" t="s">
        <v>166</v>
      </c>
      <c r="C342" s="1" t="s">
        <v>61</v>
      </c>
      <c r="D342" s="1" t="s">
        <v>62</v>
      </c>
      <c r="E342" s="1" t="s">
        <v>46</v>
      </c>
      <c r="F342" s="1" t="s">
        <v>39</v>
      </c>
      <c r="G342" s="1" t="s">
        <v>26</v>
      </c>
      <c r="H342" s="1">
        <v>7549</v>
      </c>
      <c r="I342" s="1"/>
      <c r="J342" s="1"/>
      <c r="K342" s="1">
        <v>9000</v>
      </c>
      <c r="L342" s="2">
        <v>45307</v>
      </c>
    </row>
    <row r="343" spans="1:12" x14ac:dyDescent="0.35">
      <c r="A343" s="1" t="s">
        <v>546</v>
      </c>
      <c r="B343" s="1" t="s">
        <v>289</v>
      </c>
      <c r="C343" s="1" t="s">
        <v>30</v>
      </c>
      <c r="D343" s="1" t="s">
        <v>31</v>
      </c>
      <c r="E343" s="1" t="s">
        <v>16</v>
      </c>
      <c r="F343" s="1" t="s">
        <v>25</v>
      </c>
      <c r="G343" s="1" t="s">
        <v>36</v>
      </c>
      <c r="H343" s="1">
        <v>18469</v>
      </c>
      <c r="I343" s="1" t="s">
        <v>33</v>
      </c>
      <c r="J343" s="1">
        <v>0.3</v>
      </c>
      <c r="K343" s="1">
        <v>17000</v>
      </c>
      <c r="L343" s="2">
        <v>45297</v>
      </c>
    </row>
    <row r="344" spans="1:12" x14ac:dyDescent="0.35">
      <c r="A344" s="1" t="s">
        <v>547</v>
      </c>
      <c r="B344" s="1" t="s">
        <v>548</v>
      </c>
      <c r="C344" s="1" t="s">
        <v>44</v>
      </c>
      <c r="D344" s="1" t="s">
        <v>45</v>
      </c>
      <c r="E344" s="1" t="s">
        <v>32</v>
      </c>
      <c r="F344" s="1" t="s">
        <v>17</v>
      </c>
      <c r="G344" s="1" t="s">
        <v>36</v>
      </c>
      <c r="H344" s="1">
        <v>13759</v>
      </c>
      <c r="I344" s="1" t="s">
        <v>27</v>
      </c>
      <c r="J344" s="1"/>
      <c r="K344" s="1">
        <v>13000</v>
      </c>
      <c r="L344" s="2">
        <v>45330</v>
      </c>
    </row>
    <row r="345" spans="1:12" x14ac:dyDescent="0.35">
      <c r="A345" s="1" t="s">
        <v>549</v>
      </c>
      <c r="B345" s="1" t="s">
        <v>129</v>
      </c>
      <c r="C345" s="1" t="s">
        <v>14</v>
      </c>
      <c r="D345" s="1" t="s">
        <v>15</v>
      </c>
      <c r="E345" s="1" t="s">
        <v>32</v>
      </c>
      <c r="F345" s="1" t="s">
        <v>39</v>
      </c>
      <c r="G345" s="1" t="s">
        <v>26</v>
      </c>
      <c r="H345" s="1">
        <v>14750</v>
      </c>
      <c r="I345" s="1" t="s">
        <v>27</v>
      </c>
      <c r="J345" s="1"/>
      <c r="K345" s="1">
        <v>14000</v>
      </c>
      <c r="L345" s="2">
        <v>45305</v>
      </c>
    </row>
    <row r="346" spans="1:12" x14ac:dyDescent="0.35">
      <c r="A346" s="1" t="s">
        <v>550</v>
      </c>
      <c r="B346" s="1" t="s">
        <v>211</v>
      </c>
      <c r="C346" s="1" t="s">
        <v>30</v>
      </c>
      <c r="D346" s="1" t="s">
        <v>31</v>
      </c>
      <c r="E346" s="1" t="s">
        <v>46</v>
      </c>
      <c r="F346" s="1" t="s">
        <v>25</v>
      </c>
      <c r="G346" s="1" t="s">
        <v>18</v>
      </c>
      <c r="H346" s="1">
        <v>18838</v>
      </c>
      <c r="I346" s="1" t="s">
        <v>19</v>
      </c>
      <c r="J346" s="1">
        <v>0.2</v>
      </c>
      <c r="K346" s="1">
        <v>17000</v>
      </c>
      <c r="L346" s="2">
        <v>45339</v>
      </c>
    </row>
    <row r="347" spans="1:12" x14ac:dyDescent="0.35">
      <c r="A347" s="1" t="s">
        <v>551</v>
      </c>
      <c r="B347" s="1" t="s">
        <v>173</v>
      </c>
      <c r="C347" s="1" t="s">
        <v>61</v>
      </c>
      <c r="D347" s="1" t="s">
        <v>62</v>
      </c>
      <c r="E347" s="1" t="s">
        <v>32</v>
      </c>
      <c r="F347" s="1" t="s">
        <v>39</v>
      </c>
      <c r="G347" s="1" t="s">
        <v>26</v>
      </c>
      <c r="H347" s="1">
        <v>9882</v>
      </c>
      <c r="I347" s="1" t="s">
        <v>19</v>
      </c>
      <c r="J347" s="1">
        <v>0.2</v>
      </c>
      <c r="K347" s="1">
        <v>9000</v>
      </c>
      <c r="L347" s="2">
        <v>45317</v>
      </c>
    </row>
    <row r="348" spans="1:12" x14ac:dyDescent="0.35">
      <c r="A348" s="1" t="s">
        <v>552</v>
      </c>
      <c r="B348" s="1" t="s">
        <v>553</v>
      </c>
      <c r="C348" s="1" t="s">
        <v>30</v>
      </c>
      <c r="D348" s="1" t="s">
        <v>31</v>
      </c>
      <c r="E348" s="1" t="s">
        <v>46</v>
      </c>
      <c r="F348" s="1" t="s">
        <v>17</v>
      </c>
      <c r="G348" s="1" t="s">
        <v>36</v>
      </c>
      <c r="H348" s="1">
        <v>17185</v>
      </c>
      <c r="I348" s="1" t="s">
        <v>33</v>
      </c>
      <c r="J348" s="1">
        <v>0.3</v>
      </c>
      <c r="K348" s="1">
        <v>17000</v>
      </c>
      <c r="L348" s="2">
        <v>45311</v>
      </c>
    </row>
    <row r="349" spans="1:12" x14ac:dyDescent="0.35">
      <c r="A349" s="1" t="s">
        <v>554</v>
      </c>
      <c r="B349" s="1" t="s">
        <v>131</v>
      </c>
      <c r="C349" s="1" t="s">
        <v>61</v>
      </c>
      <c r="D349" s="1" t="s">
        <v>62</v>
      </c>
      <c r="E349" s="1" t="s">
        <v>46</v>
      </c>
      <c r="F349" s="1" t="s">
        <v>25</v>
      </c>
      <c r="G349" s="1" t="s">
        <v>26</v>
      </c>
      <c r="H349" s="1">
        <v>8923</v>
      </c>
      <c r="I349" s="1" t="s">
        <v>33</v>
      </c>
      <c r="J349" s="1">
        <v>0.3</v>
      </c>
      <c r="K349" s="1">
        <v>9000</v>
      </c>
      <c r="L349" s="2">
        <v>45350</v>
      </c>
    </row>
    <row r="350" spans="1:12" x14ac:dyDescent="0.35">
      <c r="A350" s="1" t="s">
        <v>555</v>
      </c>
      <c r="B350" s="1" t="s">
        <v>391</v>
      </c>
      <c r="C350" s="1" t="s">
        <v>30</v>
      </c>
      <c r="D350" s="1" t="s">
        <v>31</v>
      </c>
      <c r="E350" s="1" t="s">
        <v>46</v>
      </c>
      <c r="F350" s="1" t="s">
        <v>25</v>
      </c>
      <c r="G350" s="1" t="s">
        <v>26</v>
      </c>
      <c r="H350" s="1">
        <v>18539</v>
      </c>
      <c r="I350" s="1" t="s">
        <v>19</v>
      </c>
      <c r="J350" s="1">
        <v>0.2</v>
      </c>
      <c r="K350" s="1">
        <v>17000</v>
      </c>
      <c r="L350" s="2">
        <v>45339</v>
      </c>
    </row>
    <row r="351" spans="1:12" x14ac:dyDescent="0.35">
      <c r="A351" s="1" t="s">
        <v>556</v>
      </c>
      <c r="B351" s="1" t="s">
        <v>557</v>
      </c>
      <c r="C351" s="1" t="s">
        <v>30</v>
      </c>
      <c r="D351" s="1" t="s">
        <v>31</v>
      </c>
      <c r="E351" s="1" t="s">
        <v>16</v>
      </c>
      <c r="F351" s="1" t="s">
        <v>39</v>
      </c>
      <c r="G351" s="1" t="s">
        <v>26</v>
      </c>
      <c r="H351" s="1">
        <v>17949</v>
      </c>
      <c r="I351" s="1"/>
      <c r="J351" s="1"/>
      <c r="K351" s="1">
        <v>17000</v>
      </c>
      <c r="L351" s="2">
        <v>45310</v>
      </c>
    </row>
    <row r="352" spans="1:12" x14ac:dyDescent="0.35">
      <c r="A352" s="1" t="s">
        <v>558</v>
      </c>
      <c r="B352" s="1" t="s">
        <v>35</v>
      </c>
      <c r="C352" s="1" t="s">
        <v>30</v>
      </c>
      <c r="D352" s="1" t="s">
        <v>31</v>
      </c>
      <c r="E352" s="1" t="s">
        <v>32</v>
      </c>
      <c r="F352" s="1" t="s">
        <v>17</v>
      </c>
      <c r="G352" s="1" t="s">
        <v>26</v>
      </c>
      <c r="H352" s="1">
        <v>18413</v>
      </c>
      <c r="I352" s="1" t="s">
        <v>19</v>
      </c>
      <c r="J352" s="1">
        <v>0.2</v>
      </c>
      <c r="K352" s="1">
        <v>17000</v>
      </c>
      <c r="L352" s="2">
        <v>45323</v>
      </c>
    </row>
    <row r="353" spans="1:12" x14ac:dyDescent="0.35">
      <c r="A353" s="1" t="s">
        <v>559</v>
      </c>
      <c r="B353" s="1" t="s">
        <v>202</v>
      </c>
      <c r="C353" s="1" t="s">
        <v>30</v>
      </c>
      <c r="D353" s="1" t="s">
        <v>31</v>
      </c>
      <c r="E353" s="1" t="s">
        <v>46</v>
      </c>
      <c r="F353" s="1" t="s">
        <v>17</v>
      </c>
      <c r="G353" s="1" t="s">
        <v>26</v>
      </c>
      <c r="H353" s="1">
        <v>17628</v>
      </c>
      <c r="I353" s="1"/>
      <c r="J353" s="1"/>
      <c r="K353" s="1">
        <v>17000</v>
      </c>
      <c r="L353" s="2">
        <v>45321</v>
      </c>
    </row>
    <row r="354" spans="1:12" x14ac:dyDescent="0.35">
      <c r="A354" s="1" t="s">
        <v>560</v>
      </c>
      <c r="B354" s="1" t="s">
        <v>280</v>
      </c>
      <c r="C354" s="1" t="s">
        <v>30</v>
      </c>
      <c r="D354" s="1" t="s">
        <v>31</v>
      </c>
      <c r="E354" s="1" t="s">
        <v>32</v>
      </c>
      <c r="F354" s="1" t="s">
        <v>25</v>
      </c>
      <c r="G354" s="1" t="s">
        <v>26</v>
      </c>
      <c r="H354" s="1">
        <v>17238</v>
      </c>
      <c r="I354" s="1"/>
      <c r="J354" s="1"/>
      <c r="K354" s="1">
        <v>17000</v>
      </c>
      <c r="L354" s="2">
        <v>45303</v>
      </c>
    </row>
    <row r="355" spans="1:12" x14ac:dyDescent="0.35">
      <c r="A355" s="1" t="s">
        <v>561</v>
      </c>
      <c r="B355" s="1" t="s">
        <v>84</v>
      </c>
      <c r="C355" s="1" t="s">
        <v>14</v>
      </c>
      <c r="D355" s="1" t="s">
        <v>15</v>
      </c>
      <c r="E355" s="1" t="s">
        <v>16</v>
      </c>
      <c r="F355" s="1" t="s">
        <v>25</v>
      </c>
      <c r="G355" s="1" t="s">
        <v>18</v>
      </c>
      <c r="H355" s="1">
        <v>15871</v>
      </c>
      <c r="I355" s="1" t="s">
        <v>22</v>
      </c>
      <c r="J355" s="1">
        <v>0.1</v>
      </c>
      <c r="K355" s="1">
        <v>14000</v>
      </c>
      <c r="L355" s="2">
        <v>45340</v>
      </c>
    </row>
    <row r="356" spans="1:12" x14ac:dyDescent="0.35">
      <c r="A356" s="1" t="s">
        <v>562</v>
      </c>
      <c r="B356" s="1" t="s">
        <v>406</v>
      </c>
      <c r="C356" s="1" t="s">
        <v>44</v>
      </c>
      <c r="D356" s="1" t="s">
        <v>45</v>
      </c>
      <c r="E356" s="1" t="s">
        <v>16</v>
      </c>
      <c r="F356" s="1" t="s">
        <v>25</v>
      </c>
      <c r="G356" s="1" t="s">
        <v>18</v>
      </c>
      <c r="H356" s="1">
        <v>13896</v>
      </c>
      <c r="I356" s="1" t="s">
        <v>19</v>
      </c>
      <c r="J356" s="1">
        <v>0.2</v>
      </c>
      <c r="K356" s="1">
        <v>13000</v>
      </c>
      <c r="L356" s="2">
        <v>45292</v>
      </c>
    </row>
    <row r="357" spans="1:12" x14ac:dyDescent="0.35">
      <c r="A357" s="1" t="s">
        <v>563</v>
      </c>
      <c r="B357" s="1" t="s">
        <v>24</v>
      </c>
      <c r="C357" s="1" t="s">
        <v>61</v>
      </c>
      <c r="D357" s="1" t="s">
        <v>62</v>
      </c>
      <c r="E357" s="1" t="s">
        <v>46</v>
      </c>
      <c r="F357" s="1" t="s">
        <v>25</v>
      </c>
      <c r="G357" s="1" t="s">
        <v>26</v>
      </c>
      <c r="H357" s="1">
        <v>9612</v>
      </c>
      <c r="I357" s="1" t="s">
        <v>27</v>
      </c>
      <c r="J357" s="1"/>
      <c r="K357" s="1">
        <v>9000</v>
      </c>
      <c r="L357" s="2">
        <v>45350</v>
      </c>
    </row>
    <row r="358" spans="1:12" x14ac:dyDescent="0.35">
      <c r="A358" s="1" t="s">
        <v>564</v>
      </c>
      <c r="B358" s="1" t="s">
        <v>332</v>
      </c>
      <c r="C358" s="1" t="s">
        <v>61</v>
      </c>
      <c r="D358" s="1" t="s">
        <v>62</v>
      </c>
      <c r="E358" s="1" t="s">
        <v>32</v>
      </c>
      <c r="F358" s="1" t="s">
        <v>25</v>
      </c>
      <c r="G358" s="1" t="s">
        <v>26</v>
      </c>
      <c r="H358" s="1">
        <v>9259</v>
      </c>
      <c r="I358" s="1"/>
      <c r="J358" s="1"/>
      <c r="K358" s="1">
        <v>9000</v>
      </c>
      <c r="L358" s="2">
        <v>45292</v>
      </c>
    </row>
    <row r="359" spans="1:12" x14ac:dyDescent="0.35">
      <c r="A359" s="1" t="s">
        <v>565</v>
      </c>
      <c r="B359" s="1" t="s">
        <v>166</v>
      </c>
      <c r="C359" s="1" t="s">
        <v>30</v>
      </c>
      <c r="D359" s="1" t="s">
        <v>31</v>
      </c>
      <c r="E359" s="1" t="s">
        <v>16</v>
      </c>
      <c r="F359" s="1" t="s">
        <v>17</v>
      </c>
      <c r="G359" s="1" t="s">
        <v>18</v>
      </c>
      <c r="H359" s="1">
        <v>17057</v>
      </c>
      <c r="I359" s="1"/>
      <c r="J359" s="1"/>
      <c r="K359" s="1">
        <v>17000</v>
      </c>
      <c r="L359" s="2">
        <v>45343</v>
      </c>
    </row>
    <row r="360" spans="1:12" x14ac:dyDescent="0.35">
      <c r="A360" s="1" t="s">
        <v>566</v>
      </c>
      <c r="B360" s="1" t="s">
        <v>120</v>
      </c>
      <c r="C360" s="1" t="s">
        <v>14</v>
      </c>
      <c r="D360" s="1" t="s">
        <v>15</v>
      </c>
      <c r="E360" s="1" t="s">
        <v>32</v>
      </c>
      <c r="F360" s="1" t="s">
        <v>39</v>
      </c>
      <c r="G360" s="1" t="s">
        <v>18</v>
      </c>
      <c r="H360" s="1">
        <v>12987</v>
      </c>
      <c r="I360" s="1" t="s">
        <v>19</v>
      </c>
      <c r="J360" s="1">
        <v>0.2</v>
      </c>
      <c r="K360" s="1">
        <v>14000</v>
      </c>
      <c r="L360" s="2">
        <v>45331</v>
      </c>
    </row>
    <row r="361" spans="1:12" x14ac:dyDescent="0.35">
      <c r="A361" s="1" t="s">
        <v>567</v>
      </c>
      <c r="B361" s="1" t="s">
        <v>448</v>
      </c>
      <c r="C361" s="1" t="s">
        <v>30</v>
      </c>
      <c r="D361" s="1" t="s">
        <v>31</v>
      </c>
      <c r="E361" s="1" t="s">
        <v>46</v>
      </c>
      <c r="F361" s="1" t="s">
        <v>17</v>
      </c>
      <c r="G361" s="1" t="s">
        <v>18</v>
      </c>
      <c r="H361" s="1">
        <v>16528</v>
      </c>
      <c r="I361" s="1"/>
      <c r="J361" s="1"/>
      <c r="K361" s="1">
        <v>17000</v>
      </c>
      <c r="L361" s="2">
        <v>45321</v>
      </c>
    </row>
    <row r="362" spans="1:12" x14ac:dyDescent="0.35">
      <c r="A362" s="1" t="s">
        <v>568</v>
      </c>
      <c r="B362" s="1" t="s">
        <v>519</v>
      </c>
      <c r="C362" s="1" t="s">
        <v>44</v>
      </c>
      <c r="D362" s="1" t="s">
        <v>45</v>
      </c>
      <c r="E362" s="1" t="s">
        <v>46</v>
      </c>
      <c r="F362" s="1" t="s">
        <v>39</v>
      </c>
      <c r="G362" s="1" t="s">
        <v>18</v>
      </c>
      <c r="H362" s="1">
        <v>13677</v>
      </c>
      <c r="I362" s="1" t="s">
        <v>22</v>
      </c>
      <c r="J362" s="1">
        <v>0.1</v>
      </c>
      <c r="K362" s="1">
        <v>13000</v>
      </c>
      <c r="L362" s="2">
        <v>45297</v>
      </c>
    </row>
    <row r="363" spans="1:12" x14ac:dyDescent="0.35">
      <c r="A363" s="1" t="s">
        <v>569</v>
      </c>
      <c r="B363" s="1" t="s">
        <v>177</v>
      </c>
      <c r="C363" s="1" t="s">
        <v>61</v>
      </c>
      <c r="D363" s="1" t="s">
        <v>62</v>
      </c>
      <c r="E363" s="1" t="s">
        <v>16</v>
      </c>
      <c r="F363" s="1" t="s">
        <v>17</v>
      </c>
      <c r="G363" s="1" t="s">
        <v>18</v>
      </c>
      <c r="H363" s="1">
        <v>9608</v>
      </c>
      <c r="I363" s="1" t="s">
        <v>22</v>
      </c>
      <c r="J363" s="1">
        <v>0.1</v>
      </c>
      <c r="K363" s="1">
        <v>9000</v>
      </c>
      <c r="L363" s="2">
        <v>45336</v>
      </c>
    </row>
    <row r="364" spans="1:12" x14ac:dyDescent="0.35">
      <c r="A364" s="1" t="s">
        <v>570</v>
      </c>
      <c r="B364" s="1" t="s">
        <v>325</v>
      </c>
      <c r="C364" s="1" t="s">
        <v>61</v>
      </c>
      <c r="D364" s="1" t="s">
        <v>62</v>
      </c>
      <c r="E364" s="1" t="s">
        <v>46</v>
      </c>
      <c r="F364" s="1" t="s">
        <v>39</v>
      </c>
      <c r="G364" s="1" t="s">
        <v>36</v>
      </c>
      <c r="H364" s="1">
        <v>9317</v>
      </c>
      <c r="I364" s="1" t="s">
        <v>22</v>
      </c>
      <c r="J364" s="1">
        <v>0.1</v>
      </c>
      <c r="K364" s="1">
        <v>9000</v>
      </c>
      <c r="L364" s="2">
        <v>45349</v>
      </c>
    </row>
    <row r="365" spans="1:12" x14ac:dyDescent="0.35">
      <c r="A365" s="1" t="s">
        <v>571</v>
      </c>
      <c r="B365" s="1" t="s">
        <v>184</v>
      </c>
      <c r="C365" s="1" t="s">
        <v>44</v>
      </c>
      <c r="D365" s="1" t="s">
        <v>45</v>
      </c>
      <c r="E365" s="1" t="s">
        <v>32</v>
      </c>
      <c r="F365" s="1" t="s">
        <v>39</v>
      </c>
      <c r="G365" s="1" t="s">
        <v>26</v>
      </c>
      <c r="H365" s="1">
        <v>12947</v>
      </c>
      <c r="I365" s="1" t="s">
        <v>33</v>
      </c>
      <c r="J365" s="1">
        <v>0.3</v>
      </c>
      <c r="K365" s="1">
        <v>13000</v>
      </c>
      <c r="L365" s="2">
        <v>45294</v>
      </c>
    </row>
    <row r="366" spans="1:12" x14ac:dyDescent="0.35">
      <c r="A366" s="1" t="s">
        <v>572</v>
      </c>
      <c r="B366" s="1" t="s">
        <v>403</v>
      </c>
      <c r="C366" s="1" t="s">
        <v>30</v>
      </c>
      <c r="D366" s="1" t="s">
        <v>31</v>
      </c>
      <c r="E366" s="1" t="s">
        <v>16</v>
      </c>
      <c r="F366" s="1" t="s">
        <v>39</v>
      </c>
      <c r="G366" s="1" t="s">
        <v>26</v>
      </c>
      <c r="H366" s="1">
        <v>15134</v>
      </c>
      <c r="I366" s="1" t="s">
        <v>19</v>
      </c>
      <c r="J366" s="1">
        <v>0.2</v>
      </c>
      <c r="K366" s="1">
        <v>17000</v>
      </c>
      <c r="L366" s="2">
        <v>45351</v>
      </c>
    </row>
    <row r="367" spans="1:12" x14ac:dyDescent="0.35">
      <c r="A367" s="1" t="s">
        <v>573</v>
      </c>
      <c r="B367" s="1" t="s">
        <v>303</v>
      </c>
      <c r="C367" s="1" t="s">
        <v>14</v>
      </c>
      <c r="D367" s="1" t="s">
        <v>15</v>
      </c>
      <c r="E367" s="1" t="s">
        <v>32</v>
      </c>
      <c r="F367" s="1" t="s">
        <v>39</v>
      </c>
      <c r="G367" s="1" t="s">
        <v>18</v>
      </c>
      <c r="H367" s="1">
        <v>15081</v>
      </c>
      <c r="I367" s="1"/>
      <c r="J367" s="1"/>
      <c r="K367" s="1">
        <v>14000</v>
      </c>
      <c r="L367" s="2">
        <v>45351</v>
      </c>
    </row>
    <row r="368" spans="1:12" x14ac:dyDescent="0.35">
      <c r="A368" s="1" t="s">
        <v>574</v>
      </c>
      <c r="B368" s="1" t="s">
        <v>263</v>
      </c>
      <c r="C368" s="1" t="s">
        <v>44</v>
      </c>
      <c r="D368" s="1" t="s">
        <v>45</v>
      </c>
      <c r="E368" s="1" t="s">
        <v>16</v>
      </c>
      <c r="F368" s="1" t="s">
        <v>25</v>
      </c>
      <c r="G368" s="1" t="s">
        <v>26</v>
      </c>
      <c r="H368" s="1">
        <v>14418</v>
      </c>
      <c r="I368" s="1"/>
      <c r="J368" s="1"/>
      <c r="K368" s="1">
        <v>13000</v>
      </c>
      <c r="L368" s="2">
        <v>45335</v>
      </c>
    </row>
    <row r="369" spans="1:12" x14ac:dyDescent="0.35">
      <c r="A369" s="1" t="s">
        <v>575</v>
      </c>
      <c r="B369" s="1" t="s">
        <v>84</v>
      </c>
      <c r="C369" s="1" t="s">
        <v>30</v>
      </c>
      <c r="D369" s="1" t="s">
        <v>31</v>
      </c>
      <c r="E369" s="1" t="s">
        <v>46</v>
      </c>
      <c r="F369" s="1" t="s">
        <v>39</v>
      </c>
      <c r="G369" s="1" t="s">
        <v>18</v>
      </c>
      <c r="H369" s="1">
        <v>18237</v>
      </c>
      <c r="I369" s="1" t="s">
        <v>22</v>
      </c>
      <c r="J369" s="1">
        <v>0.1</v>
      </c>
      <c r="K369" s="1">
        <v>17000</v>
      </c>
      <c r="L369" s="2">
        <v>45324</v>
      </c>
    </row>
    <row r="370" spans="1:12" x14ac:dyDescent="0.35">
      <c r="A370" s="1" t="s">
        <v>576</v>
      </c>
      <c r="B370" s="1" t="s">
        <v>577</v>
      </c>
      <c r="C370" s="1" t="s">
        <v>14</v>
      </c>
      <c r="D370" s="1" t="s">
        <v>15</v>
      </c>
      <c r="E370" s="1" t="s">
        <v>32</v>
      </c>
      <c r="F370" s="1" t="s">
        <v>17</v>
      </c>
      <c r="G370" s="1" t="s">
        <v>18</v>
      </c>
      <c r="H370" s="1">
        <v>15435</v>
      </c>
      <c r="I370" s="1" t="s">
        <v>22</v>
      </c>
      <c r="J370" s="1">
        <v>0.1</v>
      </c>
      <c r="K370" s="1">
        <v>14000</v>
      </c>
      <c r="L370" s="2">
        <v>45313</v>
      </c>
    </row>
    <row r="371" spans="1:12" x14ac:dyDescent="0.35">
      <c r="A371" s="1" t="s">
        <v>578</v>
      </c>
      <c r="B371" s="1" t="s">
        <v>579</v>
      </c>
      <c r="C371" s="1" t="s">
        <v>61</v>
      </c>
      <c r="D371" s="1" t="s">
        <v>62</v>
      </c>
      <c r="E371" s="1" t="s">
        <v>46</v>
      </c>
      <c r="F371" s="1" t="s">
        <v>25</v>
      </c>
      <c r="G371" s="1" t="s">
        <v>26</v>
      </c>
      <c r="H371" s="1">
        <v>8119</v>
      </c>
      <c r="I371" s="1"/>
      <c r="J371" s="1"/>
      <c r="K371" s="1">
        <v>9000</v>
      </c>
      <c r="L371" s="2">
        <v>45323</v>
      </c>
    </row>
    <row r="372" spans="1:12" x14ac:dyDescent="0.35">
      <c r="A372" s="1" t="s">
        <v>580</v>
      </c>
      <c r="B372" s="1" t="s">
        <v>391</v>
      </c>
      <c r="C372" s="1" t="s">
        <v>61</v>
      </c>
      <c r="D372" s="1" t="s">
        <v>62</v>
      </c>
      <c r="E372" s="1" t="s">
        <v>46</v>
      </c>
      <c r="F372" s="1" t="s">
        <v>25</v>
      </c>
      <c r="G372" s="1" t="s">
        <v>26</v>
      </c>
      <c r="H372" s="1">
        <v>9399</v>
      </c>
      <c r="I372" s="1"/>
      <c r="J372" s="1"/>
      <c r="K372" s="1">
        <v>9000</v>
      </c>
      <c r="L372" s="2">
        <v>45297</v>
      </c>
    </row>
    <row r="373" spans="1:12" x14ac:dyDescent="0.35">
      <c r="A373" s="1" t="s">
        <v>581</v>
      </c>
      <c r="B373" s="1" t="s">
        <v>522</v>
      </c>
      <c r="C373" s="1" t="s">
        <v>30</v>
      </c>
      <c r="D373" s="1" t="s">
        <v>31</v>
      </c>
      <c r="E373" s="1" t="s">
        <v>32</v>
      </c>
      <c r="F373" s="1" t="s">
        <v>39</v>
      </c>
      <c r="G373" s="1" t="s">
        <v>18</v>
      </c>
      <c r="H373" s="1">
        <v>15336</v>
      </c>
      <c r="I373" s="1" t="s">
        <v>33</v>
      </c>
      <c r="J373" s="1">
        <v>0.3</v>
      </c>
      <c r="K373" s="1">
        <v>17000</v>
      </c>
      <c r="L373" s="2">
        <v>45301</v>
      </c>
    </row>
    <row r="374" spans="1:12" x14ac:dyDescent="0.35">
      <c r="A374" s="1" t="s">
        <v>582</v>
      </c>
      <c r="B374" s="1" t="s">
        <v>101</v>
      </c>
      <c r="C374" s="1" t="s">
        <v>44</v>
      </c>
      <c r="D374" s="1" t="s">
        <v>45</v>
      </c>
      <c r="E374" s="1" t="s">
        <v>16</v>
      </c>
      <c r="F374" s="1" t="s">
        <v>17</v>
      </c>
      <c r="G374" s="1" t="s">
        <v>36</v>
      </c>
      <c r="H374" s="1">
        <v>12477</v>
      </c>
      <c r="I374" s="1" t="s">
        <v>22</v>
      </c>
      <c r="J374" s="1">
        <v>0.1</v>
      </c>
      <c r="K374" s="1">
        <v>13000</v>
      </c>
      <c r="L374" s="2">
        <v>45297</v>
      </c>
    </row>
    <row r="375" spans="1:12" x14ac:dyDescent="0.35">
      <c r="A375" s="1" t="s">
        <v>583</v>
      </c>
      <c r="B375" s="1" t="s">
        <v>584</v>
      </c>
      <c r="C375" s="1" t="s">
        <v>61</v>
      </c>
      <c r="D375" s="1" t="s">
        <v>62</v>
      </c>
      <c r="E375" s="1" t="s">
        <v>46</v>
      </c>
      <c r="F375" s="1" t="s">
        <v>17</v>
      </c>
      <c r="G375" s="1" t="s">
        <v>18</v>
      </c>
      <c r="H375" s="1">
        <v>7542</v>
      </c>
      <c r="I375" s="1" t="s">
        <v>22</v>
      </c>
      <c r="J375" s="1">
        <v>0.1</v>
      </c>
      <c r="K375" s="1">
        <v>9000</v>
      </c>
      <c r="L375" s="2">
        <v>45303</v>
      </c>
    </row>
    <row r="376" spans="1:12" x14ac:dyDescent="0.35">
      <c r="A376" s="1" t="s">
        <v>585</v>
      </c>
      <c r="B376" s="1" t="s">
        <v>527</v>
      </c>
      <c r="C376" s="1" t="s">
        <v>61</v>
      </c>
      <c r="D376" s="1" t="s">
        <v>62</v>
      </c>
      <c r="E376" s="1" t="s">
        <v>32</v>
      </c>
      <c r="F376" s="1" t="s">
        <v>25</v>
      </c>
      <c r="G376" s="1" t="s">
        <v>18</v>
      </c>
      <c r="H376" s="1">
        <v>8449</v>
      </c>
      <c r="I376" s="1" t="s">
        <v>27</v>
      </c>
      <c r="J376" s="1"/>
      <c r="K376" s="1">
        <v>9000</v>
      </c>
      <c r="L376" s="2">
        <v>45297</v>
      </c>
    </row>
    <row r="377" spans="1:12" x14ac:dyDescent="0.35">
      <c r="A377" s="1" t="s">
        <v>586</v>
      </c>
      <c r="B377" s="1" t="s">
        <v>195</v>
      </c>
      <c r="C377" s="1" t="s">
        <v>30</v>
      </c>
      <c r="D377" s="1" t="s">
        <v>31</v>
      </c>
      <c r="E377" s="1" t="s">
        <v>46</v>
      </c>
      <c r="F377" s="1" t="s">
        <v>25</v>
      </c>
      <c r="G377" s="1" t="s">
        <v>36</v>
      </c>
      <c r="H377" s="1">
        <v>16694</v>
      </c>
      <c r="I377" s="1"/>
      <c r="J377" s="1"/>
      <c r="K377" s="1">
        <v>17000</v>
      </c>
      <c r="L377" s="2">
        <v>45341</v>
      </c>
    </row>
    <row r="378" spans="1:12" x14ac:dyDescent="0.35">
      <c r="A378" s="1" t="s">
        <v>587</v>
      </c>
      <c r="B378" s="1" t="s">
        <v>173</v>
      </c>
      <c r="C378" s="1" t="s">
        <v>44</v>
      </c>
      <c r="D378" s="1" t="s">
        <v>45</v>
      </c>
      <c r="E378" s="1" t="s">
        <v>16</v>
      </c>
      <c r="F378" s="1" t="s">
        <v>39</v>
      </c>
      <c r="G378" s="1" t="s">
        <v>18</v>
      </c>
      <c r="H378" s="1">
        <v>13807</v>
      </c>
      <c r="I378" s="1"/>
      <c r="J378" s="1"/>
      <c r="K378" s="1">
        <v>13000</v>
      </c>
      <c r="L378" s="2">
        <v>45302</v>
      </c>
    </row>
    <row r="379" spans="1:12" x14ac:dyDescent="0.35">
      <c r="A379" s="1" t="s">
        <v>588</v>
      </c>
      <c r="B379" s="1" t="s">
        <v>256</v>
      </c>
      <c r="C379" s="1" t="s">
        <v>30</v>
      </c>
      <c r="D379" s="1" t="s">
        <v>31</v>
      </c>
      <c r="E379" s="1" t="s">
        <v>46</v>
      </c>
      <c r="F379" s="1" t="s">
        <v>17</v>
      </c>
      <c r="G379" s="1" t="s">
        <v>18</v>
      </c>
      <c r="H379" s="1">
        <v>15259</v>
      </c>
      <c r="I379" s="1" t="s">
        <v>19</v>
      </c>
      <c r="J379" s="1">
        <v>0.2</v>
      </c>
      <c r="K379" s="1">
        <v>17000</v>
      </c>
      <c r="L379" s="2">
        <v>45319</v>
      </c>
    </row>
    <row r="380" spans="1:12" x14ac:dyDescent="0.35">
      <c r="A380" s="1" t="s">
        <v>589</v>
      </c>
      <c r="B380" s="1" t="s">
        <v>70</v>
      </c>
      <c r="C380" s="1" t="s">
        <v>30</v>
      </c>
      <c r="D380" s="1" t="s">
        <v>31</v>
      </c>
      <c r="E380" s="1" t="s">
        <v>46</v>
      </c>
      <c r="F380" s="1" t="s">
        <v>25</v>
      </c>
      <c r="G380" s="1" t="s">
        <v>36</v>
      </c>
      <c r="H380" s="1">
        <v>16030</v>
      </c>
      <c r="I380" s="1" t="s">
        <v>19</v>
      </c>
      <c r="J380" s="1">
        <v>0.2</v>
      </c>
      <c r="K380" s="1">
        <v>17000</v>
      </c>
      <c r="L380" s="2">
        <v>45338</v>
      </c>
    </row>
    <row r="381" spans="1:12" x14ac:dyDescent="0.35">
      <c r="A381" s="1" t="s">
        <v>590</v>
      </c>
      <c r="B381" s="1" t="s">
        <v>591</v>
      </c>
      <c r="C381" s="1" t="s">
        <v>44</v>
      </c>
      <c r="D381" s="1" t="s">
        <v>45</v>
      </c>
      <c r="E381" s="1" t="s">
        <v>46</v>
      </c>
      <c r="F381" s="1" t="s">
        <v>25</v>
      </c>
      <c r="G381" s="1" t="s">
        <v>18</v>
      </c>
      <c r="H381" s="1">
        <v>12247</v>
      </c>
      <c r="I381" s="1" t="s">
        <v>22</v>
      </c>
      <c r="J381" s="1">
        <v>0.1</v>
      </c>
      <c r="K381" s="1">
        <v>13000</v>
      </c>
      <c r="L381" s="2">
        <v>45352</v>
      </c>
    </row>
    <row r="382" spans="1:12" x14ac:dyDescent="0.35">
      <c r="A382" s="1" t="s">
        <v>592</v>
      </c>
      <c r="B382" s="1" t="s">
        <v>474</v>
      </c>
      <c r="C382" s="1" t="s">
        <v>61</v>
      </c>
      <c r="D382" s="1" t="s">
        <v>62</v>
      </c>
      <c r="E382" s="1" t="s">
        <v>46</v>
      </c>
      <c r="F382" s="1" t="s">
        <v>17</v>
      </c>
      <c r="G382" s="1" t="s">
        <v>36</v>
      </c>
      <c r="H382" s="1">
        <v>8763</v>
      </c>
      <c r="I382" s="1" t="s">
        <v>27</v>
      </c>
      <c r="J382" s="1"/>
      <c r="K382" s="1">
        <v>9000</v>
      </c>
      <c r="L382" s="2">
        <v>45300</v>
      </c>
    </row>
    <row r="383" spans="1:12" x14ac:dyDescent="0.35">
      <c r="A383" s="1" t="s">
        <v>593</v>
      </c>
      <c r="B383" s="1" t="s">
        <v>131</v>
      </c>
      <c r="C383" s="1" t="s">
        <v>44</v>
      </c>
      <c r="D383" s="1" t="s">
        <v>45</v>
      </c>
      <c r="E383" s="1" t="s">
        <v>46</v>
      </c>
      <c r="F383" s="1" t="s">
        <v>17</v>
      </c>
      <c r="G383" s="1" t="s">
        <v>18</v>
      </c>
      <c r="H383" s="1">
        <v>14950</v>
      </c>
      <c r="I383" s="1"/>
      <c r="J383" s="1"/>
      <c r="K383" s="1">
        <v>13000</v>
      </c>
      <c r="L383" s="2">
        <v>45312</v>
      </c>
    </row>
    <row r="384" spans="1:12" x14ac:dyDescent="0.35">
      <c r="A384" s="1" t="s">
        <v>594</v>
      </c>
      <c r="B384" s="1" t="s">
        <v>350</v>
      </c>
      <c r="C384" s="1" t="s">
        <v>61</v>
      </c>
      <c r="D384" s="1" t="s">
        <v>62</v>
      </c>
      <c r="E384" s="1" t="s">
        <v>16</v>
      </c>
      <c r="F384" s="1" t="s">
        <v>25</v>
      </c>
      <c r="G384" s="1" t="s">
        <v>36</v>
      </c>
      <c r="H384" s="1">
        <v>8540</v>
      </c>
      <c r="I384" s="1" t="s">
        <v>33</v>
      </c>
      <c r="J384" s="1">
        <v>0.3</v>
      </c>
      <c r="K384" s="1">
        <v>9000</v>
      </c>
      <c r="L384" s="2">
        <v>45344</v>
      </c>
    </row>
    <row r="385" spans="1:12" x14ac:dyDescent="0.35">
      <c r="A385" s="1" t="s">
        <v>595</v>
      </c>
      <c r="B385" s="1" t="s">
        <v>180</v>
      </c>
      <c r="C385" s="1" t="s">
        <v>30</v>
      </c>
      <c r="D385" s="1" t="s">
        <v>31</v>
      </c>
      <c r="E385" s="1" t="s">
        <v>32</v>
      </c>
      <c r="F385" s="1" t="s">
        <v>39</v>
      </c>
      <c r="G385" s="1" t="s">
        <v>18</v>
      </c>
      <c r="H385" s="1">
        <v>17425</v>
      </c>
      <c r="I385" s="1" t="s">
        <v>27</v>
      </c>
      <c r="J385" s="1"/>
      <c r="K385" s="1">
        <v>17000</v>
      </c>
      <c r="L385" s="2">
        <v>45303</v>
      </c>
    </row>
    <row r="386" spans="1:12" x14ac:dyDescent="0.35">
      <c r="A386" s="1" t="s">
        <v>596</v>
      </c>
      <c r="B386" s="1" t="s">
        <v>270</v>
      </c>
      <c r="C386" s="1" t="s">
        <v>14</v>
      </c>
      <c r="D386" s="1" t="s">
        <v>15</v>
      </c>
      <c r="E386" s="1" t="s">
        <v>16</v>
      </c>
      <c r="F386" s="1" t="s">
        <v>17</v>
      </c>
      <c r="G386" s="1" t="s">
        <v>26</v>
      </c>
      <c r="H386" s="1">
        <v>12858</v>
      </c>
      <c r="I386" s="1"/>
      <c r="J386" s="1"/>
      <c r="K386" s="1">
        <v>14000</v>
      </c>
      <c r="L386" s="2">
        <v>45343</v>
      </c>
    </row>
    <row r="387" spans="1:12" x14ac:dyDescent="0.35">
      <c r="A387" s="1" t="s">
        <v>597</v>
      </c>
      <c r="B387" s="1" t="s">
        <v>142</v>
      </c>
      <c r="C387" s="1" t="s">
        <v>14</v>
      </c>
      <c r="D387" s="1" t="s">
        <v>15</v>
      </c>
      <c r="E387" s="1" t="s">
        <v>46</v>
      </c>
      <c r="F387" s="1" t="s">
        <v>39</v>
      </c>
      <c r="G387" s="1" t="s">
        <v>36</v>
      </c>
      <c r="H387" s="1">
        <v>12570</v>
      </c>
      <c r="I387" s="1" t="s">
        <v>33</v>
      </c>
      <c r="J387" s="1">
        <v>0.3</v>
      </c>
      <c r="K387" s="1">
        <v>14000</v>
      </c>
      <c r="L387" s="2">
        <v>45307</v>
      </c>
    </row>
    <row r="388" spans="1:12" x14ac:dyDescent="0.35">
      <c r="A388" s="1" t="s">
        <v>598</v>
      </c>
      <c r="B388" s="1" t="s">
        <v>286</v>
      </c>
      <c r="C388" s="1" t="s">
        <v>44</v>
      </c>
      <c r="D388" s="1" t="s">
        <v>45</v>
      </c>
      <c r="E388" s="1" t="s">
        <v>16</v>
      </c>
      <c r="F388" s="1" t="s">
        <v>17</v>
      </c>
      <c r="G388" s="1" t="s">
        <v>36</v>
      </c>
      <c r="H388" s="1">
        <v>11302</v>
      </c>
      <c r="I388" s="1"/>
      <c r="J388" s="1"/>
      <c r="K388" s="1">
        <v>13000</v>
      </c>
      <c r="L388" s="2">
        <v>45330</v>
      </c>
    </row>
    <row r="389" spans="1:12" x14ac:dyDescent="0.35">
      <c r="A389" s="1" t="s">
        <v>599</v>
      </c>
      <c r="B389" s="1" t="s">
        <v>600</v>
      </c>
      <c r="C389" s="1" t="s">
        <v>61</v>
      </c>
      <c r="D389" s="1" t="s">
        <v>62</v>
      </c>
      <c r="E389" s="1" t="s">
        <v>16</v>
      </c>
      <c r="F389" s="1" t="s">
        <v>39</v>
      </c>
      <c r="G389" s="1" t="s">
        <v>26</v>
      </c>
      <c r="H389" s="1">
        <v>8713</v>
      </c>
      <c r="I389" s="1" t="s">
        <v>27</v>
      </c>
      <c r="J389" s="1"/>
      <c r="K389" s="1">
        <v>9000</v>
      </c>
      <c r="L389" s="2">
        <v>45294</v>
      </c>
    </row>
    <row r="390" spans="1:12" x14ac:dyDescent="0.35">
      <c r="A390" s="1" t="s">
        <v>601</v>
      </c>
      <c r="B390" s="1" t="s">
        <v>602</v>
      </c>
      <c r="C390" s="1" t="s">
        <v>14</v>
      </c>
      <c r="D390" s="1" t="s">
        <v>15</v>
      </c>
      <c r="E390" s="1" t="s">
        <v>32</v>
      </c>
      <c r="F390" s="1" t="s">
        <v>25</v>
      </c>
      <c r="G390" s="1" t="s">
        <v>26</v>
      </c>
      <c r="H390" s="1">
        <v>14722</v>
      </c>
      <c r="I390" s="1" t="s">
        <v>33</v>
      </c>
      <c r="J390" s="1">
        <v>0.3</v>
      </c>
      <c r="K390" s="1">
        <v>14000</v>
      </c>
      <c r="L390" s="2">
        <v>45302</v>
      </c>
    </row>
    <row r="391" spans="1:12" x14ac:dyDescent="0.35">
      <c r="A391" s="1" t="s">
        <v>603</v>
      </c>
      <c r="B391" s="1" t="s">
        <v>163</v>
      </c>
      <c r="C391" s="1" t="s">
        <v>14</v>
      </c>
      <c r="D391" s="1" t="s">
        <v>15</v>
      </c>
      <c r="E391" s="1" t="s">
        <v>16</v>
      </c>
      <c r="F391" s="1" t="s">
        <v>39</v>
      </c>
      <c r="G391" s="1" t="s">
        <v>26</v>
      </c>
      <c r="H391" s="1">
        <v>14649</v>
      </c>
      <c r="I391" s="1"/>
      <c r="J391" s="1"/>
      <c r="K391" s="1">
        <v>14000</v>
      </c>
      <c r="L391" s="2">
        <v>45340</v>
      </c>
    </row>
    <row r="392" spans="1:12" x14ac:dyDescent="0.35">
      <c r="A392" s="1" t="s">
        <v>604</v>
      </c>
      <c r="B392" s="1" t="s">
        <v>478</v>
      </c>
      <c r="C392" s="1" t="s">
        <v>61</v>
      </c>
      <c r="D392" s="1" t="s">
        <v>62</v>
      </c>
      <c r="E392" s="1" t="s">
        <v>32</v>
      </c>
      <c r="F392" s="1" t="s">
        <v>25</v>
      </c>
      <c r="G392" s="1" t="s">
        <v>18</v>
      </c>
      <c r="H392" s="1">
        <v>8059</v>
      </c>
      <c r="I392" s="1" t="s">
        <v>19</v>
      </c>
      <c r="J392" s="1">
        <v>0.2</v>
      </c>
      <c r="K392" s="1">
        <v>9000</v>
      </c>
      <c r="L392" s="2">
        <v>45324</v>
      </c>
    </row>
    <row r="393" spans="1:12" x14ac:dyDescent="0.35">
      <c r="A393" s="1" t="s">
        <v>605</v>
      </c>
      <c r="B393" s="1" t="s">
        <v>103</v>
      </c>
      <c r="C393" s="1" t="s">
        <v>44</v>
      </c>
      <c r="D393" s="1" t="s">
        <v>45</v>
      </c>
      <c r="E393" s="1" t="s">
        <v>46</v>
      </c>
      <c r="F393" s="1" t="s">
        <v>17</v>
      </c>
      <c r="G393" s="1" t="s">
        <v>36</v>
      </c>
      <c r="H393" s="1">
        <v>12896</v>
      </c>
      <c r="I393" s="1" t="s">
        <v>27</v>
      </c>
      <c r="J393" s="1"/>
      <c r="K393" s="1">
        <v>13000</v>
      </c>
      <c r="L393" s="2">
        <v>45336</v>
      </c>
    </row>
    <row r="394" spans="1:12" x14ac:dyDescent="0.35">
      <c r="A394" s="1" t="s">
        <v>606</v>
      </c>
      <c r="B394" s="1" t="s">
        <v>80</v>
      </c>
      <c r="C394" s="1" t="s">
        <v>30</v>
      </c>
      <c r="D394" s="1" t="s">
        <v>31</v>
      </c>
      <c r="E394" s="1" t="s">
        <v>32</v>
      </c>
      <c r="F394" s="1" t="s">
        <v>17</v>
      </c>
      <c r="G394" s="1" t="s">
        <v>18</v>
      </c>
      <c r="H394" s="1">
        <v>16210</v>
      </c>
      <c r="I394" s="1"/>
      <c r="J394" s="1"/>
      <c r="K394" s="1">
        <v>17000</v>
      </c>
      <c r="L394" s="2">
        <v>45350</v>
      </c>
    </row>
    <row r="395" spans="1:12" x14ac:dyDescent="0.35">
      <c r="A395" s="1" t="s">
        <v>607</v>
      </c>
      <c r="B395" s="1" t="s">
        <v>78</v>
      </c>
      <c r="C395" s="1" t="s">
        <v>44</v>
      </c>
      <c r="D395" s="1" t="s">
        <v>45</v>
      </c>
      <c r="E395" s="1" t="s">
        <v>46</v>
      </c>
      <c r="F395" s="1" t="s">
        <v>17</v>
      </c>
      <c r="G395" s="1" t="s">
        <v>36</v>
      </c>
      <c r="H395" s="1">
        <v>12865</v>
      </c>
      <c r="I395" s="1" t="s">
        <v>19</v>
      </c>
      <c r="J395" s="1">
        <v>0.2</v>
      </c>
      <c r="K395" s="1">
        <v>13000</v>
      </c>
      <c r="L395" s="2">
        <v>45325</v>
      </c>
    </row>
    <row r="396" spans="1:12" x14ac:dyDescent="0.35">
      <c r="A396" s="1" t="s">
        <v>608</v>
      </c>
      <c r="B396" s="1" t="s">
        <v>188</v>
      </c>
      <c r="C396" s="1" t="s">
        <v>61</v>
      </c>
      <c r="D396" s="1" t="s">
        <v>62</v>
      </c>
      <c r="E396" s="1" t="s">
        <v>32</v>
      </c>
      <c r="F396" s="1" t="s">
        <v>17</v>
      </c>
      <c r="G396" s="1" t="s">
        <v>26</v>
      </c>
      <c r="H396" s="1">
        <v>9853</v>
      </c>
      <c r="I396" s="1"/>
      <c r="J396" s="1"/>
      <c r="K396" s="1">
        <v>9000</v>
      </c>
      <c r="L396" s="2">
        <v>45312</v>
      </c>
    </row>
    <row r="397" spans="1:12" x14ac:dyDescent="0.35">
      <c r="A397" s="1" t="s">
        <v>609</v>
      </c>
      <c r="B397" s="1" t="s">
        <v>263</v>
      </c>
      <c r="C397" s="1" t="s">
        <v>14</v>
      </c>
      <c r="D397" s="1" t="s">
        <v>15</v>
      </c>
      <c r="E397" s="1" t="s">
        <v>16</v>
      </c>
      <c r="F397" s="1" t="s">
        <v>25</v>
      </c>
      <c r="G397" s="1" t="s">
        <v>18</v>
      </c>
      <c r="H397" s="1">
        <v>15478</v>
      </c>
      <c r="I397" s="1" t="s">
        <v>33</v>
      </c>
      <c r="J397" s="1">
        <v>0.3</v>
      </c>
      <c r="K397" s="1">
        <v>14000</v>
      </c>
      <c r="L397" s="2">
        <v>45333</v>
      </c>
    </row>
    <row r="398" spans="1:12" x14ac:dyDescent="0.35">
      <c r="A398" s="1" t="s">
        <v>610</v>
      </c>
      <c r="B398" s="1" t="s">
        <v>21</v>
      </c>
      <c r="C398" s="1" t="s">
        <v>44</v>
      </c>
      <c r="D398" s="1" t="s">
        <v>45</v>
      </c>
      <c r="E398" s="1" t="s">
        <v>16</v>
      </c>
      <c r="F398" s="1" t="s">
        <v>25</v>
      </c>
      <c r="G398" s="1" t="s">
        <v>26</v>
      </c>
      <c r="H398" s="1">
        <v>11714</v>
      </c>
      <c r="I398" s="1" t="s">
        <v>27</v>
      </c>
      <c r="J398" s="1"/>
      <c r="K398" s="1">
        <v>13000</v>
      </c>
      <c r="L398" s="2">
        <v>45302</v>
      </c>
    </row>
    <row r="399" spans="1:12" x14ac:dyDescent="0.35">
      <c r="A399" s="1" t="s">
        <v>611</v>
      </c>
      <c r="B399" s="1" t="s">
        <v>301</v>
      </c>
      <c r="C399" s="1" t="s">
        <v>61</v>
      </c>
      <c r="D399" s="1" t="s">
        <v>62</v>
      </c>
      <c r="E399" s="1" t="s">
        <v>46</v>
      </c>
      <c r="F399" s="1" t="s">
        <v>25</v>
      </c>
      <c r="G399" s="1" t="s">
        <v>36</v>
      </c>
      <c r="H399" s="1">
        <v>9579</v>
      </c>
      <c r="I399" s="1" t="s">
        <v>19</v>
      </c>
      <c r="J399" s="1">
        <v>0.2</v>
      </c>
      <c r="K399" s="1">
        <v>9000</v>
      </c>
      <c r="L399" s="2">
        <v>45303</v>
      </c>
    </row>
    <row r="400" spans="1:12" x14ac:dyDescent="0.35">
      <c r="A400" s="1" t="s">
        <v>612</v>
      </c>
      <c r="B400" s="1" t="s">
        <v>92</v>
      </c>
      <c r="C400" s="1" t="s">
        <v>61</v>
      </c>
      <c r="D400" s="1" t="s">
        <v>62</v>
      </c>
      <c r="E400" s="1" t="s">
        <v>46</v>
      </c>
      <c r="F400" s="1" t="s">
        <v>25</v>
      </c>
      <c r="G400" s="1" t="s">
        <v>26</v>
      </c>
      <c r="H400" s="1">
        <v>9515</v>
      </c>
      <c r="I400" s="1" t="s">
        <v>19</v>
      </c>
      <c r="J400" s="1">
        <v>0.2</v>
      </c>
      <c r="K400" s="1">
        <v>9000</v>
      </c>
      <c r="L400" s="2">
        <v>45320</v>
      </c>
    </row>
    <row r="401" spans="1:12" x14ac:dyDescent="0.35">
      <c r="A401" s="1" t="s">
        <v>613</v>
      </c>
      <c r="B401" s="1" t="s">
        <v>337</v>
      </c>
      <c r="C401" s="1" t="s">
        <v>61</v>
      </c>
      <c r="D401" s="1" t="s">
        <v>62</v>
      </c>
      <c r="E401" s="1" t="s">
        <v>32</v>
      </c>
      <c r="F401" s="1" t="s">
        <v>39</v>
      </c>
      <c r="G401" s="1" t="s">
        <v>18</v>
      </c>
      <c r="H401" s="1">
        <v>7842</v>
      </c>
      <c r="I401" s="1" t="s">
        <v>33</v>
      </c>
      <c r="J401" s="1">
        <v>0.3</v>
      </c>
      <c r="K401" s="1">
        <v>9000</v>
      </c>
      <c r="L401" s="2">
        <v>45340</v>
      </c>
    </row>
    <row r="402" spans="1:12" x14ac:dyDescent="0.35">
      <c r="A402" s="1" t="s">
        <v>614</v>
      </c>
      <c r="B402" s="1" t="s">
        <v>276</v>
      </c>
      <c r="C402" s="1" t="s">
        <v>14</v>
      </c>
      <c r="D402" s="1" t="s">
        <v>15</v>
      </c>
      <c r="E402" s="1" t="s">
        <v>16</v>
      </c>
      <c r="F402" s="1" t="s">
        <v>25</v>
      </c>
      <c r="G402" s="1" t="s">
        <v>26</v>
      </c>
      <c r="H402" s="1">
        <v>12765</v>
      </c>
      <c r="I402" s="1" t="s">
        <v>33</v>
      </c>
      <c r="J402" s="1">
        <v>0.3</v>
      </c>
      <c r="K402" s="1">
        <v>14000</v>
      </c>
      <c r="L402" s="2">
        <v>45312</v>
      </c>
    </row>
    <row r="403" spans="1:12" x14ac:dyDescent="0.35">
      <c r="A403" s="1" t="s">
        <v>615</v>
      </c>
      <c r="B403" s="1" t="s">
        <v>29</v>
      </c>
      <c r="C403" s="1" t="s">
        <v>14</v>
      </c>
      <c r="D403" s="1" t="s">
        <v>15</v>
      </c>
      <c r="E403" s="1" t="s">
        <v>46</v>
      </c>
      <c r="F403" s="1" t="s">
        <v>39</v>
      </c>
      <c r="G403" s="1" t="s">
        <v>36</v>
      </c>
      <c r="H403" s="1">
        <v>14161</v>
      </c>
      <c r="I403" s="1" t="s">
        <v>33</v>
      </c>
      <c r="J403" s="1">
        <v>0.3</v>
      </c>
      <c r="K403" s="1">
        <v>14000</v>
      </c>
      <c r="L403" s="2">
        <v>45330</v>
      </c>
    </row>
    <row r="404" spans="1:12" x14ac:dyDescent="0.35">
      <c r="A404" s="1" t="s">
        <v>616</v>
      </c>
      <c r="B404" s="1" t="s">
        <v>617</v>
      </c>
      <c r="C404" s="1" t="s">
        <v>61</v>
      </c>
      <c r="D404" s="1" t="s">
        <v>62</v>
      </c>
      <c r="E404" s="1" t="s">
        <v>16</v>
      </c>
      <c r="F404" s="1" t="s">
        <v>25</v>
      </c>
      <c r="G404" s="1" t="s">
        <v>36</v>
      </c>
      <c r="H404" s="1">
        <v>8441</v>
      </c>
      <c r="I404" s="1"/>
      <c r="J404" s="1"/>
      <c r="K404" s="1">
        <v>9000</v>
      </c>
      <c r="L404" s="2">
        <v>45331</v>
      </c>
    </row>
    <row r="405" spans="1:12" x14ac:dyDescent="0.35">
      <c r="A405" s="1" t="s">
        <v>618</v>
      </c>
      <c r="B405" s="1" t="s">
        <v>619</v>
      </c>
      <c r="C405" s="1" t="s">
        <v>30</v>
      </c>
      <c r="D405" s="1" t="s">
        <v>31</v>
      </c>
      <c r="E405" s="1" t="s">
        <v>16</v>
      </c>
      <c r="F405" s="1" t="s">
        <v>39</v>
      </c>
      <c r="G405" s="1" t="s">
        <v>18</v>
      </c>
      <c r="H405" s="1">
        <v>17752</v>
      </c>
      <c r="I405" s="1" t="s">
        <v>19</v>
      </c>
      <c r="J405" s="1">
        <v>0.2</v>
      </c>
      <c r="K405" s="1">
        <v>17000</v>
      </c>
      <c r="L405" s="2">
        <v>45312</v>
      </c>
    </row>
    <row r="406" spans="1:12" x14ac:dyDescent="0.35">
      <c r="A406" s="1" t="s">
        <v>620</v>
      </c>
      <c r="B406" s="1" t="s">
        <v>248</v>
      </c>
      <c r="C406" s="1" t="s">
        <v>30</v>
      </c>
      <c r="D406" s="1" t="s">
        <v>31</v>
      </c>
      <c r="E406" s="1" t="s">
        <v>32</v>
      </c>
      <c r="F406" s="1" t="s">
        <v>25</v>
      </c>
      <c r="G406" s="1" t="s">
        <v>36</v>
      </c>
      <c r="H406" s="1">
        <v>17840</v>
      </c>
      <c r="I406" s="1" t="s">
        <v>19</v>
      </c>
      <c r="J406" s="1">
        <v>0.2</v>
      </c>
      <c r="K406" s="1">
        <v>17000</v>
      </c>
      <c r="L406" s="2">
        <v>45324</v>
      </c>
    </row>
    <row r="407" spans="1:12" x14ac:dyDescent="0.35">
      <c r="A407" s="1" t="s">
        <v>621</v>
      </c>
      <c r="B407" s="1" t="s">
        <v>177</v>
      </c>
      <c r="C407" s="1" t="s">
        <v>44</v>
      </c>
      <c r="D407" s="1" t="s">
        <v>45</v>
      </c>
      <c r="E407" s="1" t="s">
        <v>16</v>
      </c>
      <c r="F407" s="1" t="s">
        <v>17</v>
      </c>
      <c r="G407" s="1" t="s">
        <v>36</v>
      </c>
      <c r="H407" s="1">
        <v>11760</v>
      </c>
      <c r="I407" s="1"/>
      <c r="J407" s="1"/>
      <c r="K407" s="1">
        <v>13000</v>
      </c>
      <c r="L407" s="2">
        <v>45332</v>
      </c>
    </row>
    <row r="408" spans="1:12" x14ac:dyDescent="0.35">
      <c r="A408" s="1" t="s">
        <v>622</v>
      </c>
      <c r="B408" s="1" t="s">
        <v>548</v>
      </c>
      <c r="C408" s="1" t="s">
        <v>44</v>
      </c>
      <c r="D408" s="1" t="s">
        <v>45</v>
      </c>
      <c r="E408" s="1" t="s">
        <v>16</v>
      </c>
      <c r="F408" s="1" t="s">
        <v>25</v>
      </c>
      <c r="G408" s="1" t="s">
        <v>36</v>
      </c>
      <c r="H408" s="1">
        <v>12183</v>
      </c>
      <c r="I408" s="1" t="s">
        <v>19</v>
      </c>
      <c r="J408" s="1">
        <v>0.2</v>
      </c>
      <c r="K408" s="1">
        <v>13000</v>
      </c>
      <c r="L408" s="2">
        <v>45303</v>
      </c>
    </row>
    <row r="409" spans="1:12" x14ac:dyDescent="0.35">
      <c r="A409" s="1" t="s">
        <v>623</v>
      </c>
      <c r="B409" s="1" t="s">
        <v>624</v>
      </c>
      <c r="C409" s="1" t="s">
        <v>61</v>
      </c>
      <c r="D409" s="1" t="s">
        <v>62</v>
      </c>
      <c r="E409" s="1" t="s">
        <v>16</v>
      </c>
      <c r="F409" s="1" t="s">
        <v>25</v>
      </c>
      <c r="G409" s="1" t="s">
        <v>36</v>
      </c>
      <c r="H409" s="1">
        <v>10898</v>
      </c>
      <c r="I409" s="1" t="s">
        <v>22</v>
      </c>
      <c r="J409" s="1">
        <v>0.1</v>
      </c>
      <c r="K409" s="1">
        <v>9000</v>
      </c>
      <c r="L409" s="2">
        <v>45323</v>
      </c>
    </row>
    <row r="410" spans="1:12" x14ac:dyDescent="0.35">
      <c r="A410" s="1" t="s">
        <v>625</v>
      </c>
      <c r="B410" s="1" t="s">
        <v>35</v>
      </c>
      <c r="C410" s="1" t="s">
        <v>61</v>
      </c>
      <c r="D410" s="1" t="s">
        <v>62</v>
      </c>
      <c r="E410" s="1" t="s">
        <v>16</v>
      </c>
      <c r="F410" s="1" t="s">
        <v>39</v>
      </c>
      <c r="G410" s="1" t="s">
        <v>26</v>
      </c>
      <c r="H410" s="1">
        <v>9027</v>
      </c>
      <c r="I410" s="1"/>
      <c r="J410" s="1"/>
      <c r="K410" s="1">
        <v>9000</v>
      </c>
      <c r="L410" s="2">
        <v>45335</v>
      </c>
    </row>
    <row r="411" spans="1:12" x14ac:dyDescent="0.35">
      <c r="A411" s="1" t="s">
        <v>626</v>
      </c>
      <c r="B411" s="1" t="s">
        <v>52</v>
      </c>
      <c r="C411" s="1" t="s">
        <v>61</v>
      </c>
      <c r="D411" s="1" t="s">
        <v>62</v>
      </c>
      <c r="E411" s="1" t="s">
        <v>46</v>
      </c>
      <c r="F411" s="1" t="s">
        <v>25</v>
      </c>
      <c r="G411" s="1" t="s">
        <v>18</v>
      </c>
      <c r="H411" s="1">
        <v>9315</v>
      </c>
      <c r="I411" s="1" t="s">
        <v>22</v>
      </c>
      <c r="J411" s="1">
        <v>0.1</v>
      </c>
      <c r="K411" s="1">
        <v>9000</v>
      </c>
      <c r="L411" s="2">
        <v>45342</v>
      </c>
    </row>
    <row r="412" spans="1:12" x14ac:dyDescent="0.35">
      <c r="A412" s="1" t="s">
        <v>627</v>
      </c>
      <c r="B412" s="1" t="s">
        <v>294</v>
      </c>
      <c r="C412" s="1" t="s">
        <v>30</v>
      </c>
      <c r="D412" s="1" t="s">
        <v>31</v>
      </c>
      <c r="E412" s="1" t="s">
        <v>32</v>
      </c>
      <c r="F412" s="1" t="s">
        <v>17</v>
      </c>
      <c r="G412" s="1" t="s">
        <v>18</v>
      </c>
      <c r="H412" s="1">
        <v>17202</v>
      </c>
      <c r="I412" s="1" t="s">
        <v>33</v>
      </c>
      <c r="J412" s="1">
        <v>0.3</v>
      </c>
      <c r="K412" s="1">
        <v>17000</v>
      </c>
      <c r="L412" s="2">
        <v>45302</v>
      </c>
    </row>
    <row r="413" spans="1:12" x14ac:dyDescent="0.35">
      <c r="A413" s="1" t="s">
        <v>628</v>
      </c>
      <c r="B413" s="1" t="s">
        <v>298</v>
      </c>
      <c r="C413" s="1" t="s">
        <v>61</v>
      </c>
      <c r="D413" s="1" t="s">
        <v>62</v>
      </c>
      <c r="E413" s="1" t="s">
        <v>16</v>
      </c>
      <c r="F413" s="1" t="s">
        <v>39</v>
      </c>
      <c r="G413" s="1" t="s">
        <v>18</v>
      </c>
      <c r="H413" s="1">
        <v>9345</v>
      </c>
      <c r="I413" s="1" t="s">
        <v>22</v>
      </c>
      <c r="J413" s="1">
        <v>0.1</v>
      </c>
      <c r="K413" s="1">
        <v>9000</v>
      </c>
      <c r="L413" s="2">
        <v>45309</v>
      </c>
    </row>
    <row r="414" spans="1:12" x14ac:dyDescent="0.35">
      <c r="A414" s="1" t="s">
        <v>629</v>
      </c>
      <c r="B414" s="1" t="s">
        <v>133</v>
      </c>
      <c r="C414" s="1" t="s">
        <v>30</v>
      </c>
      <c r="D414" s="1" t="s">
        <v>31</v>
      </c>
      <c r="E414" s="1" t="s">
        <v>16</v>
      </c>
      <c r="F414" s="1" t="s">
        <v>25</v>
      </c>
      <c r="G414" s="1" t="s">
        <v>26</v>
      </c>
      <c r="H414" s="1">
        <v>16807</v>
      </c>
      <c r="I414" s="1" t="s">
        <v>27</v>
      </c>
      <c r="J414" s="1"/>
      <c r="K414" s="1">
        <v>17000</v>
      </c>
      <c r="L414" s="2">
        <v>45305</v>
      </c>
    </row>
    <row r="415" spans="1:12" x14ac:dyDescent="0.35">
      <c r="A415" s="1" t="s">
        <v>630</v>
      </c>
      <c r="B415" s="1" t="s">
        <v>41</v>
      </c>
      <c r="C415" s="1" t="s">
        <v>44</v>
      </c>
      <c r="D415" s="1" t="s">
        <v>45</v>
      </c>
      <c r="E415" s="1" t="s">
        <v>46</v>
      </c>
      <c r="F415" s="1" t="s">
        <v>25</v>
      </c>
      <c r="G415" s="1" t="s">
        <v>36</v>
      </c>
      <c r="H415" s="1">
        <v>12076</v>
      </c>
      <c r="I415" s="1" t="s">
        <v>33</v>
      </c>
      <c r="J415" s="1">
        <v>0.3</v>
      </c>
      <c r="K415" s="1">
        <v>13000</v>
      </c>
      <c r="L415" s="2">
        <v>45347</v>
      </c>
    </row>
    <row r="416" spans="1:12" x14ac:dyDescent="0.35">
      <c r="A416" s="1" t="s">
        <v>631</v>
      </c>
      <c r="B416" s="1" t="s">
        <v>96</v>
      </c>
      <c r="C416" s="1" t="s">
        <v>61</v>
      </c>
      <c r="D416" s="1" t="s">
        <v>62</v>
      </c>
      <c r="E416" s="1" t="s">
        <v>32</v>
      </c>
      <c r="F416" s="1" t="s">
        <v>25</v>
      </c>
      <c r="G416" s="1" t="s">
        <v>18</v>
      </c>
      <c r="H416" s="1">
        <v>10320</v>
      </c>
      <c r="I416" s="1" t="s">
        <v>27</v>
      </c>
      <c r="J416" s="1"/>
      <c r="K416" s="1">
        <v>9000</v>
      </c>
      <c r="L416" s="2">
        <v>45336</v>
      </c>
    </row>
    <row r="417" spans="1:12" x14ac:dyDescent="0.35">
      <c r="A417" s="1" t="s">
        <v>632</v>
      </c>
      <c r="B417" s="1" t="s">
        <v>624</v>
      </c>
      <c r="C417" s="1" t="s">
        <v>61</v>
      </c>
      <c r="D417" s="1" t="s">
        <v>62</v>
      </c>
      <c r="E417" s="1" t="s">
        <v>32</v>
      </c>
      <c r="F417" s="1" t="s">
        <v>39</v>
      </c>
      <c r="G417" s="1" t="s">
        <v>18</v>
      </c>
      <c r="H417" s="1">
        <v>10214</v>
      </c>
      <c r="I417" s="1" t="s">
        <v>19</v>
      </c>
      <c r="J417" s="1">
        <v>0.2</v>
      </c>
      <c r="K417" s="1">
        <v>9000</v>
      </c>
      <c r="L417" s="2">
        <v>45344</v>
      </c>
    </row>
    <row r="418" spans="1:12" x14ac:dyDescent="0.35">
      <c r="A418" s="1" t="s">
        <v>633</v>
      </c>
      <c r="B418" s="1" t="s">
        <v>401</v>
      </c>
      <c r="C418" s="1" t="s">
        <v>14</v>
      </c>
      <c r="D418" s="1" t="s">
        <v>15</v>
      </c>
      <c r="E418" s="1" t="s">
        <v>16</v>
      </c>
      <c r="F418" s="1" t="s">
        <v>17</v>
      </c>
      <c r="G418" s="1" t="s">
        <v>26</v>
      </c>
      <c r="H418" s="1">
        <v>13151</v>
      </c>
      <c r="I418" s="1" t="s">
        <v>27</v>
      </c>
      <c r="J418" s="1"/>
      <c r="K418" s="1">
        <v>14000</v>
      </c>
      <c r="L418" s="2">
        <v>45326</v>
      </c>
    </row>
    <row r="419" spans="1:12" x14ac:dyDescent="0.35">
      <c r="A419" s="1" t="s">
        <v>634</v>
      </c>
      <c r="B419" s="1" t="s">
        <v>74</v>
      </c>
      <c r="C419" s="1" t="s">
        <v>30</v>
      </c>
      <c r="D419" s="1" t="s">
        <v>31</v>
      </c>
      <c r="E419" s="1" t="s">
        <v>46</v>
      </c>
      <c r="F419" s="1" t="s">
        <v>39</v>
      </c>
      <c r="G419" s="1" t="s">
        <v>36</v>
      </c>
      <c r="H419" s="1">
        <v>18901</v>
      </c>
      <c r="I419" s="1" t="s">
        <v>27</v>
      </c>
      <c r="J419" s="1"/>
      <c r="K419" s="1">
        <v>17000</v>
      </c>
      <c r="L419" s="2">
        <v>45349</v>
      </c>
    </row>
    <row r="420" spans="1:12" x14ac:dyDescent="0.35">
      <c r="A420" s="1" t="s">
        <v>635</v>
      </c>
      <c r="B420" s="1" t="s">
        <v>204</v>
      </c>
      <c r="C420" s="1" t="s">
        <v>14</v>
      </c>
      <c r="D420" s="1" t="s">
        <v>15</v>
      </c>
      <c r="E420" s="1" t="s">
        <v>32</v>
      </c>
      <c r="F420" s="1" t="s">
        <v>17</v>
      </c>
      <c r="G420" s="1" t="s">
        <v>18</v>
      </c>
      <c r="H420" s="1">
        <v>13135</v>
      </c>
      <c r="I420" s="1" t="s">
        <v>19</v>
      </c>
      <c r="J420" s="1">
        <v>0.2</v>
      </c>
      <c r="K420" s="1">
        <v>14000</v>
      </c>
      <c r="L420" s="2">
        <v>45336</v>
      </c>
    </row>
    <row r="421" spans="1:12" x14ac:dyDescent="0.35">
      <c r="A421" s="1" t="s">
        <v>636</v>
      </c>
      <c r="B421" s="1" t="s">
        <v>412</v>
      </c>
      <c r="C421" s="1" t="s">
        <v>44</v>
      </c>
      <c r="D421" s="1" t="s">
        <v>45</v>
      </c>
      <c r="E421" s="1" t="s">
        <v>32</v>
      </c>
      <c r="F421" s="1" t="s">
        <v>39</v>
      </c>
      <c r="G421" s="1" t="s">
        <v>36</v>
      </c>
      <c r="H421" s="1">
        <v>14393</v>
      </c>
      <c r="I421" s="1" t="s">
        <v>19</v>
      </c>
      <c r="J421" s="1">
        <v>0.2</v>
      </c>
      <c r="K421" s="1">
        <v>13000</v>
      </c>
      <c r="L421" s="2">
        <v>45340</v>
      </c>
    </row>
    <row r="422" spans="1:12" x14ac:dyDescent="0.35">
      <c r="A422" s="1" t="s">
        <v>637</v>
      </c>
      <c r="B422" s="1" t="s">
        <v>198</v>
      </c>
      <c r="C422" s="1" t="s">
        <v>61</v>
      </c>
      <c r="D422" s="1" t="s">
        <v>62</v>
      </c>
      <c r="E422" s="1" t="s">
        <v>46</v>
      </c>
      <c r="F422" s="1" t="s">
        <v>25</v>
      </c>
      <c r="G422" s="1" t="s">
        <v>26</v>
      </c>
      <c r="H422" s="1">
        <v>9590</v>
      </c>
      <c r="I422" s="1" t="s">
        <v>33</v>
      </c>
      <c r="J422" s="1">
        <v>0.3</v>
      </c>
      <c r="K422" s="1">
        <v>9000</v>
      </c>
      <c r="L422" s="2">
        <v>45332</v>
      </c>
    </row>
    <row r="423" spans="1:12" x14ac:dyDescent="0.35">
      <c r="A423" s="1" t="s">
        <v>638</v>
      </c>
      <c r="B423" s="1" t="s">
        <v>177</v>
      </c>
      <c r="C423" s="1" t="s">
        <v>61</v>
      </c>
      <c r="D423" s="1" t="s">
        <v>62</v>
      </c>
      <c r="E423" s="1" t="s">
        <v>32</v>
      </c>
      <c r="F423" s="1" t="s">
        <v>39</v>
      </c>
      <c r="G423" s="1" t="s">
        <v>18</v>
      </c>
      <c r="H423" s="1">
        <v>8650</v>
      </c>
      <c r="I423" s="1" t="s">
        <v>27</v>
      </c>
      <c r="J423" s="1"/>
      <c r="K423" s="1">
        <v>9000</v>
      </c>
      <c r="L423" s="2">
        <v>45339</v>
      </c>
    </row>
    <row r="424" spans="1:12" x14ac:dyDescent="0.35">
      <c r="A424" s="1" t="s">
        <v>639</v>
      </c>
      <c r="B424" s="1" t="s">
        <v>350</v>
      </c>
      <c r="C424" s="1" t="s">
        <v>30</v>
      </c>
      <c r="D424" s="1" t="s">
        <v>31</v>
      </c>
      <c r="E424" s="1" t="s">
        <v>46</v>
      </c>
      <c r="F424" s="1" t="s">
        <v>17</v>
      </c>
      <c r="G424" s="1" t="s">
        <v>36</v>
      </c>
      <c r="H424" s="1">
        <v>17383</v>
      </c>
      <c r="I424" s="1" t="s">
        <v>22</v>
      </c>
      <c r="J424" s="1">
        <v>0.1</v>
      </c>
      <c r="K424" s="1">
        <v>17000</v>
      </c>
      <c r="L424" s="2">
        <v>45347</v>
      </c>
    </row>
    <row r="425" spans="1:12" x14ac:dyDescent="0.35">
      <c r="A425" s="1" t="s">
        <v>640</v>
      </c>
      <c r="B425" s="1" t="s">
        <v>140</v>
      </c>
      <c r="C425" s="1" t="s">
        <v>14</v>
      </c>
      <c r="D425" s="1" t="s">
        <v>15</v>
      </c>
      <c r="E425" s="1" t="s">
        <v>16</v>
      </c>
      <c r="F425" s="1" t="s">
        <v>17</v>
      </c>
      <c r="G425" s="1" t="s">
        <v>26</v>
      </c>
      <c r="H425" s="1">
        <v>14720</v>
      </c>
      <c r="I425" s="1" t="s">
        <v>33</v>
      </c>
      <c r="J425" s="1">
        <v>0.3</v>
      </c>
      <c r="K425" s="1">
        <v>14000</v>
      </c>
      <c r="L425" s="2">
        <v>45346</v>
      </c>
    </row>
    <row r="426" spans="1:12" x14ac:dyDescent="0.35">
      <c r="A426" s="1" t="s">
        <v>641</v>
      </c>
      <c r="B426" s="1" t="s">
        <v>200</v>
      </c>
      <c r="C426" s="1" t="s">
        <v>61</v>
      </c>
      <c r="D426" s="1" t="s">
        <v>62</v>
      </c>
      <c r="E426" s="1" t="s">
        <v>32</v>
      </c>
      <c r="F426" s="1" t="s">
        <v>17</v>
      </c>
      <c r="G426" s="1" t="s">
        <v>18</v>
      </c>
      <c r="H426" s="1">
        <v>9026</v>
      </c>
      <c r="I426" s="1" t="s">
        <v>33</v>
      </c>
      <c r="J426" s="1">
        <v>0.3</v>
      </c>
      <c r="K426" s="1">
        <v>9000</v>
      </c>
      <c r="L426" s="2">
        <v>45312</v>
      </c>
    </row>
    <row r="427" spans="1:12" x14ac:dyDescent="0.35">
      <c r="A427" s="1" t="s">
        <v>642</v>
      </c>
      <c r="B427" s="1" t="s">
        <v>643</v>
      </c>
      <c r="C427" s="1" t="s">
        <v>30</v>
      </c>
      <c r="D427" s="1" t="s">
        <v>31</v>
      </c>
      <c r="E427" s="1" t="s">
        <v>16</v>
      </c>
      <c r="F427" s="1" t="s">
        <v>39</v>
      </c>
      <c r="G427" s="1" t="s">
        <v>18</v>
      </c>
      <c r="H427" s="1">
        <v>17318</v>
      </c>
      <c r="I427" s="1"/>
      <c r="J427" s="1"/>
      <c r="K427" s="1">
        <v>17000</v>
      </c>
      <c r="L427" s="2">
        <v>45342</v>
      </c>
    </row>
    <row r="428" spans="1:12" x14ac:dyDescent="0.35">
      <c r="A428" s="1" t="s">
        <v>644</v>
      </c>
      <c r="B428" s="1" t="s">
        <v>150</v>
      </c>
      <c r="C428" s="1" t="s">
        <v>14</v>
      </c>
      <c r="D428" s="1" t="s">
        <v>15</v>
      </c>
      <c r="E428" s="1" t="s">
        <v>32</v>
      </c>
      <c r="F428" s="1" t="s">
        <v>25</v>
      </c>
      <c r="G428" s="1" t="s">
        <v>26</v>
      </c>
      <c r="H428" s="1">
        <v>15210</v>
      </c>
      <c r="I428" s="1"/>
      <c r="J428" s="1"/>
      <c r="K428" s="1">
        <v>14000</v>
      </c>
      <c r="L428" s="2">
        <v>45293</v>
      </c>
    </row>
    <row r="429" spans="1:12" x14ac:dyDescent="0.35">
      <c r="A429" s="1" t="s">
        <v>645</v>
      </c>
      <c r="B429" s="1" t="s">
        <v>159</v>
      </c>
      <c r="C429" s="1" t="s">
        <v>44</v>
      </c>
      <c r="D429" s="1" t="s">
        <v>45</v>
      </c>
      <c r="E429" s="1" t="s">
        <v>46</v>
      </c>
      <c r="F429" s="1" t="s">
        <v>17</v>
      </c>
      <c r="G429" s="1" t="s">
        <v>18</v>
      </c>
      <c r="H429" s="1">
        <v>14924</v>
      </c>
      <c r="I429" s="1"/>
      <c r="J429" s="1"/>
      <c r="K429" s="1">
        <v>13000</v>
      </c>
      <c r="L429" s="2">
        <v>45304</v>
      </c>
    </row>
    <row r="430" spans="1:12" x14ac:dyDescent="0.35">
      <c r="A430" s="1" t="s">
        <v>646</v>
      </c>
      <c r="B430" s="1" t="s">
        <v>153</v>
      </c>
      <c r="C430" s="1" t="s">
        <v>30</v>
      </c>
      <c r="D430" s="1" t="s">
        <v>31</v>
      </c>
      <c r="E430" s="1" t="s">
        <v>32</v>
      </c>
      <c r="F430" s="1" t="s">
        <v>17</v>
      </c>
      <c r="G430" s="1" t="s">
        <v>18</v>
      </c>
      <c r="H430" s="1">
        <v>17681</v>
      </c>
      <c r="I430" s="1" t="s">
        <v>33</v>
      </c>
      <c r="J430" s="1">
        <v>0.3</v>
      </c>
      <c r="K430" s="1">
        <v>17000</v>
      </c>
      <c r="L430" s="2">
        <v>45308</v>
      </c>
    </row>
    <row r="431" spans="1:12" x14ac:dyDescent="0.35">
      <c r="A431" s="1" t="s">
        <v>647</v>
      </c>
      <c r="B431" s="1" t="s">
        <v>432</v>
      </c>
      <c r="C431" s="1" t="s">
        <v>44</v>
      </c>
      <c r="D431" s="1" t="s">
        <v>45</v>
      </c>
      <c r="E431" s="1" t="s">
        <v>32</v>
      </c>
      <c r="F431" s="1" t="s">
        <v>17</v>
      </c>
      <c r="G431" s="1" t="s">
        <v>26</v>
      </c>
      <c r="H431" s="1">
        <v>12251</v>
      </c>
      <c r="I431" s="1" t="s">
        <v>19</v>
      </c>
      <c r="J431" s="1">
        <v>0.2</v>
      </c>
      <c r="K431" s="1">
        <v>13000</v>
      </c>
      <c r="L431" s="2">
        <v>45319</v>
      </c>
    </row>
    <row r="432" spans="1:12" x14ac:dyDescent="0.35">
      <c r="A432" s="1" t="s">
        <v>648</v>
      </c>
      <c r="B432" s="1" t="s">
        <v>13</v>
      </c>
      <c r="C432" s="1" t="s">
        <v>14</v>
      </c>
      <c r="D432" s="1" t="s">
        <v>15</v>
      </c>
      <c r="E432" s="1" t="s">
        <v>32</v>
      </c>
      <c r="F432" s="1" t="s">
        <v>25</v>
      </c>
      <c r="G432" s="1" t="s">
        <v>36</v>
      </c>
      <c r="H432" s="1">
        <v>12319</v>
      </c>
      <c r="I432" s="1" t="s">
        <v>19</v>
      </c>
      <c r="J432" s="1">
        <v>0.2</v>
      </c>
      <c r="K432" s="1">
        <v>14000</v>
      </c>
      <c r="L432" s="2">
        <v>45329</v>
      </c>
    </row>
    <row r="433" spans="1:12" x14ac:dyDescent="0.35">
      <c r="A433" s="1" t="s">
        <v>649</v>
      </c>
      <c r="B433" s="1" t="s">
        <v>24</v>
      </c>
      <c r="C433" s="1" t="s">
        <v>61</v>
      </c>
      <c r="D433" s="1" t="s">
        <v>62</v>
      </c>
      <c r="E433" s="1" t="s">
        <v>32</v>
      </c>
      <c r="F433" s="1" t="s">
        <v>25</v>
      </c>
      <c r="G433" s="1" t="s">
        <v>26</v>
      </c>
      <c r="H433" s="1">
        <v>8407</v>
      </c>
      <c r="I433" s="1" t="s">
        <v>22</v>
      </c>
      <c r="J433" s="1">
        <v>0.1</v>
      </c>
      <c r="K433" s="1">
        <v>9000</v>
      </c>
      <c r="L433" s="2">
        <v>45347</v>
      </c>
    </row>
    <row r="434" spans="1:12" x14ac:dyDescent="0.35">
      <c r="A434" s="1" t="s">
        <v>650</v>
      </c>
      <c r="B434" s="1" t="s">
        <v>101</v>
      </c>
      <c r="C434" s="1" t="s">
        <v>44</v>
      </c>
      <c r="D434" s="1" t="s">
        <v>45</v>
      </c>
      <c r="E434" s="1" t="s">
        <v>46</v>
      </c>
      <c r="F434" s="1" t="s">
        <v>25</v>
      </c>
      <c r="G434" s="1" t="s">
        <v>18</v>
      </c>
      <c r="H434" s="1">
        <v>12569</v>
      </c>
      <c r="I434" s="1" t="s">
        <v>22</v>
      </c>
      <c r="J434" s="1">
        <v>0.1</v>
      </c>
      <c r="K434" s="1">
        <v>13000</v>
      </c>
      <c r="L434" s="2">
        <v>45338</v>
      </c>
    </row>
    <row r="435" spans="1:12" x14ac:dyDescent="0.35">
      <c r="A435" s="1" t="s">
        <v>651</v>
      </c>
      <c r="B435" s="1" t="s">
        <v>652</v>
      </c>
      <c r="C435" s="1" t="s">
        <v>14</v>
      </c>
      <c r="D435" s="1" t="s">
        <v>15</v>
      </c>
      <c r="E435" s="1" t="s">
        <v>46</v>
      </c>
      <c r="F435" s="1" t="s">
        <v>17</v>
      </c>
      <c r="G435" s="1" t="s">
        <v>36</v>
      </c>
      <c r="H435" s="1">
        <v>12561</v>
      </c>
      <c r="I435" s="1"/>
      <c r="J435" s="1"/>
      <c r="K435" s="1">
        <v>14000</v>
      </c>
      <c r="L435" s="2">
        <v>45341</v>
      </c>
    </row>
    <row r="436" spans="1:12" x14ac:dyDescent="0.35">
      <c r="A436" s="1" t="s">
        <v>653</v>
      </c>
      <c r="B436" s="1" t="s">
        <v>393</v>
      </c>
      <c r="C436" s="1" t="s">
        <v>44</v>
      </c>
      <c r="D436" s="1" t="s">
        <v>45</v>
      </c>
      <c r="E436" s="1" t="s">
        <v>16</v>
      </c>
      <c r="F436" s="1" t="s">
        <v>39</v>
      </c>
      <c r="G436" s="1" t="s">
        <v>18</v>
      </c>
      <c r="H436" s="1">
        <v>11280</v>
      </c>
      <c r="I436" s="1" t="s">
        <v>27</v>
      </c>
      <c r="J436" s="1"/>
      <c r="K436" s="1">
        <v>13000</v>
      </c>
      <c r="L436" s="2">
        <v>45328</v>
      </c>
    </row>
    <row r="437" spans="1:12" x14ac:dyDescent="0.35">
      <c r="A437" s="1" t="s">
        <v>654</v>
      </c>
      <c r="B437" s="1" t="s">
        <v>109</v>
      </c>
      <c r="C437" s="1" t="s">
        <v>44</v>
      </c>
      <c r="D437" s="1" t="s">
        <v>45</v>
      </c>
      <c r="E437" s="1" t="s">
        <v>46</v>
      </c>
      <c r="F437" s="1" t="s">
        <v>17</v>
      </c>
      <c r="G437" s="1" t="s">
        <v>26</v>
      </c>
      <c r="H437" s="1">
        <v>11872</v>
      </c>
      <c r="I437" s="1" t="s">
        <v>19</v>
      </c>
      <c r="J437" s="1">
        <v>0.2</v>
      </c>
      <c r="K437" s="1">
        <v>13000</v>
      </c>
      <c r="L437" s="2">
        <v>45350</v>
      </c>
    </row>
    <row r="438" spans="1:12" x14ac:dyDescent="0.35">
      <c r="A438" s="1" t="s">
        <v>655</v>
      </c>
      <c r="B438" s="1" t="s">
        <v>617</v>
      </c>
      <c r="C438" s="1" t="s">
        <v>61</v>
      </c>
      <c r="D438" s="1" t="s">
        <v>62</v>
      </c>
      <c r="E438" s="1" t="s">
        <v>32</v>
      </c>
      <c r="F438" s="1" t="s">
        <v>25</v>
      </c>
      <c r="G438" s="1" t="s">
        <v>18</v>
      </c>
      <c r="H438" s="1">
        <v>7573</v>
      </c>
      <c r="I438" s="1" t="s">
        <v>22</v>
      </c>
      <c r="J438" s="1">
        <v>0.1</v>
      </c>
      <c r="K438" s="1">
        <v>9000</v>
      </c>
      <c r="L438" s="2">
        <v>45329</v>
      </c>
    </row>
    <row r="439" spans="1:12" x14ac:dyDescent="0.35">
      <c r="A439" s="1" t="s">
        <v>656</v>
      </c>
      <c r="B439" s="1" t="s">
        <v>127</v>
      </c>
      <c r="C439" s="1" t="s">
        <v>30</v>
      </c>
      <c r="D439" s="1" t="s">
        <v>31</v>
      </c>
      <c r="E439" s="1" t="s">
        <v>46</v>
      </c>
      <c r="F439" s="1" t="s">
        <v>17</v>
      </c>
      <c r="G439" s="1" t="s">
        <v>18</v>
      </c>
      <c r="H439" s="1">
        <v>16014</v>
      </c>
      <c r="I439" s="1" t="s">
        <v>33</v>
      </c>
      <c r="J439" s="1">
        <v>0.3</v>
      </c>
      <c r="K439" s="1">
        <v>17000</v>
      </c>
      <c r="L439" s="2">
        <v>45333</v>
      </c>
    </row>
    <row r="440" spans="1:12" x14ac:dyDescent="0.35">
      <c r="A440" s="1" t="s">
        <v>657</v>
      </c>
      <c r="B440" s="1" t="s">
        <v>248</v>
      </c>
      <c r="C440" s="1" t="s">
        <v>30</v>
      </c>
      <c r="D440" s="1" t="s">
        <v>31</v>
      </c>
      <c r="E440" s="1" t="s">
        <v>16</v>
      </c>
      <c r="F440" s="1" t="s">
        <v>25</v>
      </c>
      <c r="G440" s="1" t="s">
        <v>26</v>
      </c>
      <c r="H440" s="1">
        <v>18587</v>
      </c>
      <c r="I440" s="1" t="s">
        <v>33</v>
      </c>
      <c r="J440" s="1">
        <v>0.3</v>
      </c>
      <c r="K440" s="1">
        <v>17000</v>
      </c>
      <c r="L440" s="2">
        <v>45305</v>
      </c>
    </row>
    <row r="441" spans="1:12" x14ac:dyDescent="0.35">
      <c r="A441" s="1" t="s">
        <v>658</v>
      </c>
      <c r="B441" s="1" t="s">
        <v>382</v>
      </c>
      <c r="C441" s="1" t="s">
        <v>44</v>
      </c>
      <c r="D441" s="1" t="s">
        <v>45</v>
      </c>
      <c r="E441" s="1" t="s">
        <v>16</v>
      </c>
      <c r="F441" s="1" t="s">
        <v>17</v>
      </c>
      <c r="G441" s="1" t="s">
        <v>36</v>
      </c>
      <c r="H441" s="1">
        <v>13646</v>
      </c>
      <c r="I441" s="1" t="s">
        <v>22</v>
      </c>
      <c r="J441" s="1">
        <v>0.1</v>
      </c>
      <c r="K441" s="1">
        <v>13000</v>
      </c>
      <c r="L441" s="2">
        <v>45342</v>
      </c>
    </row>
    <row r="442" spans="1:12" x14ac:dyDescent="0.35">
      <c r="A442" s="1" t="s">
        <v>659</v>
      </c>
      <c r="B442" s="1" t="s">
        <v>148</v>
      </c>
      <c r="C442" s="1" t="s">
        <v>44</v>
      </c>
      <c r="D442" s="1" t="s">
        <v>45</v>
      </c>
      <c r="E442" s="1" t="s">
        <v>46</v>
      </c>
      <c r="F442" s="1" t="s">
        <v>17</v>
      </c>
      <c r="G442" s="1" t="s">
        <v>18</v>
      </c>
      <c r="H442" s="1">
        <v>11987</v>
      </c>
      <c r="I442" s="1"/>
      <c r="J442" s="1"/>
      <c r="K442" s="1">
        <v>13000</v>
      </c>
      <c r="L442" s="2">
        <v>45332</v>
      </c>
    </row>
    <row r="443" spans="1:12" x14ac:dyDescent="0.35">
      <c r="A443" s="1" t="s">
        <v>660</v>
      </c>
      <c r="B443" s="1" t="s">
        <v>107</v>
      </c>
      <c r="C443" s="1" t="s">
        <v>14</v>
      </c>
      <c r="D443" s="1" t="s">
        <v>15</v>
      </c>
      <c r="E443" s="1" t="s">
        <v>46</v>
      </c>
      <c r="F443" s="1" t="s">
        <v>17</v>
      </c>
      <c r="G443" s="1" t="s">
        <v>18</v>
      </c>
      <c r="H443" s="1">
        <v>13584</v>
      </c>
      <c r="I443" s="1" t="s">
        <v>27</v>
      </c>
      <c r="J443" s="1"/>
      <c r="K443" s="1">
        <v>14000</v>
      </c>
      <c r="L443" s="2">
        <v>45318</v>
      </c>
    </row>
    <row r="444" spans="1:12" x14ac:dyDescent="0.35">
      <c r="A444" s="1" t="s">
        <v>661</v>
      </c>
      <c r="B444" s="1" t="s">
        <v>301</v>
      </c>
      <c r="C444" s="1" t="s">
        <v>44</v>
      </c>
      <c r="D444" s="1" t="s">
        <v>45</v>
      </c>
      <c r="E444" s="1" t="s">
        <v>46</v>
      </c>
      <c r="F444" s="1" t="s">
        <v>25</v>
      </c>
      <c r="G444" s="1" t="s">
        <v>18</v>
      </c>
      <c r="H444" s="1">
        <v>13405</v>
      </c>
      <c r="I444" s="1" t="s">
        <v>22</v>
      </c>
      <c r="J444" s="1">
        <v>0.1</v>
      </c>
      <c r="K444" s="1">
        <v>13000</v>
      </c>
      <c r="L444" s="2">
        <v>45292</v>
      </c>
    </row>
    <row r="445" spans="1:12" x14ac:dyDescent="0.35">
      <c r="A445" s="1" t="s">
        <v>662</v>
      </c>
      <c r="B445" s="1" t="s">
        <v>289</v>
      </c>
      <c r="C445" s="1" t="s">
        <v>14</v>
      </c>
      <c r="D445" s="1" t="s">
        <v>15</v>
      </c>
      <c r="E445" s="1" t="s">
        <v>32</v>
      </c>
      <c r="F445" s="1" t="s">
        <v>17</v>
      </c>
      <c r="G445" s="1" t="s">
        <v>26</v>
      </c>
      <c r="H445" s="1">
        <v>13173</v>
      </c>
      <c r="I445" s="1" t="s">
        <v>27</v>
      </c>
      <c r="J445" s="1"/>
      <c r="K445" s="1">
        <v>14000</v>
      </c>
      <c r="L445" s="2">
        <v>45341</v>
      </c>
    </row>
    <row r="446" spans="1:12" x14ac:dyDescent="0.35">
      <c r="A446" s="1" t="s">
        <v>663</v>
      </c>
      <c r="B446" s="1" t="s">
        <v>177</v>
      </c>
      <c r="C446" s="1" t="s">
        <v>61</v>
      </c>
      <c r="D446" s="1" t="s">
        <v>62</v>
      </c>
      <c r="E446" s="1" t="s">
        <v>32</v>
      </c>
      <c r="F446" s="1" t="s">
        <v>39</v>
      </c>
      <c r="G446" s="1" t="s">
        <v>26</v>
      </c>
      <c r="H446" s="1">
        <v>9202</v>
      </c>
      <c r="I446" s="1" t="s">
        <v>27</v>
      </c>
      <c r="J446" s="1"/>
      <c r="K446" s="1">
        <v>9000</v>
      </c>
      <c r="L446" s="2">
        <v>45301</v>
      </c>
    </row>
    <row r="447" spans="1:12" x14ac:dyDescent="0.35">
      <c r="A447" s="1" t="s">
        <v>664</v>
      </c>
      <c r="B447" s="1" t="s">
        <v>222</v>
      </c>
      <c r="C447" s="1" t="s">
        <v>30</v>
      </c>
      <c r="D447" s="1" t="s">
        <v>31</v>
      </c>
      <c r="E447" s="1" t="s">
        <v>32</v>
      </c>
      <c r="F447" s="1" t="s">
        <v>39</v>
      </c>
      <c r="G447" s="1" t="s">
        <v>18</v>
      </c>
      <c r="H447" s="1">
        <v>18990</v>
      </c>
      <c r="I447" s="1" t="s">
        <v>19</v>
      </c>
      <c r="J447" s="1">
        <v>0.2</v>
      </c>
      <c r="K447" s="1">
        <v>17000</v>
      </c>
      <c r="L447" s="2">
        <v>45326</v>
      </c>
    </row>
    <row r="448" spans="1:12" x14ac:dyDescent="0.35">
      <c r="A448" s="1" t="s">
        <v>665</v>
      </c>
      <c r="B448" s="1" t="s">
        <v>666</v>
      </c>
      <c r="C448" s="1" t="s">
        <v>14</v>
      </c>
      <c r="D448" s="1" t="s">
        <v>15</v>
      </c>
      <c r="E448" s="1" t="s">
        <v>46</v>
      </c>
      <c r="F448" s="1" t="s">
        <v>39</v>
      </c>
      <c r="G448" s="1" t="s">
        <v>36</v>
      </c>
      <c r="H448" s="1">
        <v>14989</v>
      </c>
      <c r="I448" s="1" t="s">
        <v>19</v>
      </c>
      <c r="J448" s="1">
        <v>0.2</v>
      </c>
      <c r="K448" s="1">
        <v>14000</v>
      </c>
      <c r="L448" s="2">
        <v>45295</v>
      </c>
    </row>
    <row r="449" spans="1:12" x14ac:dyDescent="0.35">
      <c r="A449" s="1" t="s">
        <v>667</v>
      </c>
      <c r="B449" s="1" t="s">
        <v>229</v>
      </c>
      <c r="C449" s="1" t="s">
        <v>61</v>
      </c>
      <c r="D449" s="1" t="s">
        <v>62</v>
      </c>
      <c r="E449" s="1" t="s">
        <v>32</v>
      </c>
      <c r="F449" s="1" t="s">
        <v>17</v>
      </c>
      <c r="G449" s="1" t="s">
        <v>26</v>
      </c>
      <c r="H449" s="1">
        <v>9493</v>
      </c>
      <c r="I449" s="1" t="s">
        <v>22</v>
      </c>
      <c r="J449" s="1">
        <v>0.1</v>
      </c>
      <c r="K449" s="1">
        <v>9000</v>
      </c>
      <c r="L449" s="2">
        <v>45311</v>
      </c>
    </row>
    <row r="450" spans="1:12" x14ac:dyDescent="0.35">
      <c r="A450" s="1" t="s">
        <v>668</v>
      </c>
      <c r="B450" s="1" t="s">
        <v>305</v>
      </c>
      <c r="C450" s="1" t="s">
        <v>44</v>
      </c>
      <c r="D450" s="1" t="s">
        <v>45</v>
      </c>
      <c r="E450" s="1" t="s">
        <v>32</v>
      </c>
      <c r="F450" s="1" t="s">
        <v>25</v>
      </c>
      <c r="G450" s="1" t="s">
        <v>26</v>
      </c>
      <c r="H450" s="1">
        <v>11562</v>
      </c>
      <c r="I450" s="1" t="s">
        <v>22</v>
      </c>
      <c r="J450" s="1">
        <v>0.1</v>
      </c>
      <c r="K450" s="1">
        <v>13000</v>
      </c>
      <c r="L450" s="2">
        <v>45302</v>
      </c>
    </row>
    <row r="451" spans="1:12" x14ac:dyDescent="0.35">
      <c r="A451" s="1" t="s">
        <v>669</v>
      </c>
      <c r="B451" s="1" t="s">
        <v>188</v>
      </c>
      <c r="C451" s="1" t="s">
        <v>30</v>
      </c>
      <c r="D451" s="1" t="s">
        <v>31</v>
      </c>
      <c r="E451" s="1" t="s">
        <v>32</v>
      </c>
      <c r="F451" s="1" t="s">
        <v>17</v>
      </c>
      <c r="G451" s="1" t="s">
        <v>18</v>
      </c>
      <c r="H451" s="1">
        <v>18071</v>
      </c>
      <c r="I451" s="1" t="s">
        <v>33</v>
      </c>
      <c r="J451" s="1">
        <v>0.3</v>
      </c>
      <c r="K451" s="1">
        <v>17000</v>
      </c>
      <c r="L451" s="2">
        <v>45338</v>
      </c>
    </row>
    <row r="452" spans="1:12" x14ac:dyDescent="0.35">
      <c r="A452" s="1" t="s">
        <v>670</v>
      </c>
      <c r="B452" s="1" t="s">
        <v>403</v>
      </c>
      <c r="C452" s="1" t="s">
        <v>14</v>
      </c>
      <c r="D452" s="1" t="s">
        <v>15</v>
      </c>
      <c r="E452" s="1" t="s">
        <v>46</v>
      </c>
      <c r="F452" s="1" t="s">
        <v>17</v>
      </c>
      <c r="G452" s="1" t="s">
        <v>36</v>
      </c>
      <c r="H452" s="1">
        <v>14145</v>
      </c>
      <c r="I452" s="1" t="s">
        <v>22</v>
      </c>
      <c r="J452" s="1">
        <v>0.1</v>
      </c>
      <c r="K452" s="1">
        <v>14000</v>
      </c>
      <c r="L452" s="2">
        <v>45308</v>
      </c>
    </row>
    <row r="453" spans="1:12" x14ac:dyDescent="0.35">
      <c r="A453" s="1" t="s">
        <v>671</v>
      </c>
      <c r="B453" s="1" t="s">
        <v>672</v>
      </c>
      <c r="C453" s="1" t="s">
        <v>14</v>
      </c>
      <c r="D453" s="1" t="s">
        <v>15</v>
      </c>
      <c r="E453" s="1" t="s">
        <v>46</v>
      </c>
      <c r="F453" s="1" t="s">
        <v>17</v>
      </c>
      <c r="G453" s="1" t="s">
        <v>26</v>
      </c>
      <c r="H453" s="1">
        <v>13475</v>
      </c>
      <c r="I453" s="1" t="s">
        <v>22</v>
      </c>
      <c r="J453" s="1">
        <v>0.1</v>
      </c>
      <c r="K453" s="1">
        <v>14000</v>
      </c>
      <c r="L453" s="2">
        <v>45323</v>
      </c>
    </row>
    <row r="454" spans="1:12" x14ac:dyDescent="0.35">
      <c r="A454" s="1" t="s">
        <v>673</v>
      </c>
      <c r="B454" s="1" t="s">
        <v>460</v>
      </c>
      <c r="C454" s="1" t="s">
        <v>44</v>
      </c>
      <c r="D454" s="1" t="s">
        <v>45</v>
      </c>
      <c r="E454" s="1" t="s">
        <v>46</v>
      </c>
      <c r="F454" s="1" t="s">
        <v>25</v>
      </c>
      <c r="G454" s="1" t="s">
        <v>36</v>
      </c>
      <c r="H454" s="1">
        <v>14167</v>
      </c>
      <c r="I454" s="1" t="s">
        <v>22</v>
      </c>
      <c r="J454" s="1">
        <v>0.1</v>
      </c>
      <c r="K454" s="1">
        <v>13000</v>
      </c>
      <c r="L454" s="2">
        <v>45349</v>
      </c>
    </row>
    <row r="455" spans="1:12" x14ac:dyDescent="0.35">
      <c r="A455" s="1" t="s">
        <v>674</v>
      </c>
      <c r="B455" s="1" t="s">
        <v>209</v>
      </c>
      <c r="C455" s="1" t="s">
        <v>14</v>
      </c>
      <c r="D455" s="1" t="s">
        <v>15</v>
      </c>
      <c r="E455" s="1" t="s">
        <v>32</v>
      </c>
      <c r="F455" s="1" t="s">
        <v>39</v>
      </c>
      <c r="G455" s="1" t="s">
        <v>26</v>
      </c>
      <c r="H455" s="1">
        <v>12010</v>
      </c>
      <c r="I455" s="1" t="s">
        <v>22</v>
      </c>
      <c r="J455" s="1">
        <v>0.1</v>
      </c>
      <c r="K455" s="1">
        <v>14000</v>
      </c>
      <c r="L455" s="2">
        <v>45346</v>
      </c>
    </row>
    <row r="456" spans="1:12" x14ac:dyDescent="0.35">
      <c r="A456" s="1" t="s">
        <v>675</v>
      </c>
      <c r="B456" s="1" t="s">
        <v>676</v>
      </c>
      <c r="C456" s="1" t="s">
        <v>44</v>
      </c>
      <c r="D456" s="1" t="s">
        <v>45</v>
      </c>
      <c r="E456" s="1" t="s">
        <v>32</v>
      </c>
      <c r="F456" s="1" t="s">
        <v>17</v>
      </c>
      <c r="G456" s="1" t="s">
        <v>36</v>
      </c>
      <c r="H456" s="1">
        <v>12568</v>
      </c>
      <c r="I456" s="1" t="s">
        <v>19</v>
      </c>
      <c r="J456" s="1">
        <v>0.2</v>
      </c>
      <c r="K456" s="1">
        <v>13000</v>
      </c>
      <c r="L456" s="2">
        <v>45303</v>
      </c>
    </row>
    <row r="457" spans="1:12" x14ac:dyDescent="0.35">
      <c r="A457" s="1" t="s">
        <v>677</v>
      </c>
      <c r="B457" s="1" t="s">
        <v>454</v>
      </c>
      <c r="C457" s="1" t="s">
        <v>14</v>
      </c>
      <c r="D457" s="1" t="s">
        <v>15</v>
      </c>
      <c r="E457" s="1" t="s">
        <v>16</v>
      </c>
      <c r="F457" s="1" t="s">
        <v>39</v>
      </c>
      <c r="G457" s="1" t="s">
        <v>26</v>
      </c>
      <c r="H457" s="1">
        <v>14685</v>
      </c>
      <c r="I457" s="1"/>
      <c r="J457" s="1"/>
      <c r="K457" s="1">
        <v>14000</v>
      </c>
      <c r="L457" s="2">
        <v>45306</v>
      </c>
    </row>
    <row r="458" spans="1:12" x14ac:dyDescent="0.35">
      <c r="A458" s="1" t="s">
        <v>678</v>
      </c>
      <c r="B458" s="1" t="s">
        <v>408</v>
      </c>
      <c r="C458" s="1" t="s">
        <v>61</v>
      </c>
      <c r="D458" s="1" t="s">
        <v>62</v>
      </c>
      <c r="E458" s="1" t="s">
        <v>16</v>
      </c>
      <c r="F458" s="1" t="s">
        <v>17</v>
      </c>
      <c r="G458" s="1" t="s">
        <v>36</v>
      </c>
      <c r="H458" s="1">
        <v>10383</v>
      </c>
      <c r="I458" s="1" t="s">
        <v>22</v>
      </c>
      <c r="J458" s="1">
        <v>0.1</v>
      </c>
      <c r="K458" s="1">
        <v>9000</v>
      </c>
      <c r="L458" s="2">
        <v>45328</v>
      </c>
    </row>
    <row r="459" spans="1:12" x14ac:dyDescent="0.35">
      <c r="A459" s="1" t="s">
        <v>679</v>
      </c>
      <c r="B459" s="1" t="s">
        <v>116</v>
      </c>
      <c r="C459" s="1" t="s">
        <v>14</v>
      </c>
      <c r="D459" s="1" t="s">
        <v>15</v>
      </c>
      <c r="E459" s="1" t="s">
        <v>32</v>
      </c>
      <c r="F459" s="1" t="s">
        <v>25</v>
      </c>
      <c r="G459" s="1" t="s">
        <v>26</v>
      </c>
      <c r="H459" s="1">
        <v>12188</v>
      </c>
      <c r="I459" s="1"/>
      <c r="J459" s="1"/>
      <c r="K459" s="1">
        <v>14000</v>
      </c>
      <c r="L459" s="2">
        <v>45296</v>
      </c>
    </row>
    <row r="460" spans="1:12" x14ac:dyDescent="0.35">
      <c r="A460" s="1" t="s">
        <v>680</v>
      </c>
      <c r="B460" s="1" t="s">
        <v>445</v>
      </c>
      <c r="C460" s="1" t="s">
        <v>30</v>
      </c>
      <c r="D460" s="1" t="s">
        <v>31</v>
      </c>
      <c r="E460" s="1" t="s">
        <v>46</v>
      </c>
      <c r="F460" s="1" t="s">
        <v>17</v>
      </c>
      <c r="G460" s="1" t="s">
        <v>18</v>
      </c>
      <c r="H460" s="1">
        <v>17265</v>
      </c>
      <c r="I460" s="1"/>
      <c r="J460" s="1"/>
      <c r="K460" s="1">
        <v>17000</v>
      </c>
      <c r="L460" s="2">
        <v>45292</v>
      </c>
    </row>
    <row r="461" spans="1:12" x14ac:dyDescent="0.35">
      <c r="A461" s="1" t="s">
        <v>681</v>
      </c>
      <c r="B461" s="1" t="s">
        <v>408</v>
      </c>
      <c r="C461" s="1" t="s">
        <v>30</v>
      </c>
      <c r="D461" s="1" t="s">
        <v>31</v>
      </c>
      <c r="E461" s="1" t="s">
        <v>16</v>
      </c>
      <c r="F461" s="1" t="s">
        <v>17</v>
      </c>
      <c r="G461" s="1" t="s">
        <v>26</v>
      </c>
      <c r="H461" s="1">
        <v>17550</v>
      </c>
      <c r="I461" s="1" t="s">
        <v>19</v>
      </c>
      <c r="J461" s="1">
        <v>0.2</v>
      </c>
      <c r="K461" s="1">
        <v>17000</v>
      </c>
      <c r="L461" s="2">
        <v>45321</v>
      </c>
    </row>
    <row r="462" spans="1:12" x14ac:dyDescent="0.35">
      <c r="A462" s="1" t="s">
        <v>682</v>
      </c>
      <c r="B462" s="1" t="s">
        <v>38</v>
      </c>
      <c r="C462" s="1" t="s">
        <v>61</v>
      </c>
      <c r="D462" s="1" t="s">
        <v>62</v>
      </c>
      <c r="E462" s="1" t="s">
        <v>32</v>
      </c>
      <c r="F462" s="1" t="s">
        <v>39</v>
      </c>
      <c r="G462" s="1" t="s">
        <v>26</v>
      </c>
      <c r="H462" s="1">
        <v>10114</v>
      </c>
      <c r="I462" s="1" t="s">
        <v>19</v>
      </c>
      <c r="J462" s="1">
        <v>0.2</v>
      </c>
      <c r="K462" s="1">
        <v>9000</v>
      </c>
      <c r="L462" s="2">
        <v>45301</v>
      </c>
    </row>
    <row r="463" spans="1:12" x14ac:dyDescent="0.35">
      <c r="A463" s="1" t="s">
        <v>683</v>
      </c>
      <c r="B463" s="1" t="s">
        <v>406</v>
      </c>
      <c r="C463" s="1" t="s">
        <v>14</v>
      </c>
      <c r="D463" s="1" t="s">
        <v>15</v>
      </c>
      <c r="E463" s="1" t="s">
        <v>32</v>
      </c>
      <c r="F463" s="1" t="s">
        <v>39</v>
      </c>
      <c r="G463" s="1" t="s">
        <v>36</v>
      </c>
      <c r="H463" s="1">
        <v>14604</v>
      </c>
      <c r="I463" s="1" t="s">
        <v>22</v>
      </c>
      <c r="J463" s="1">
        <v>0.1</v>
      </c>
      <c r="K463" s="1">
        <v>14000</v>
      </c>
      <c r="L463" s="2">
        <v>45352</v>
      </c>
    </row>
    <row r="464" spans="1:12" x14ac:dyDescent="0.35">
      <c r="A464" s="1" t="s">
        <v>684</v>
      </c>
      <c r="B464" s="1" t="s">
        <v>327</v>
      </c>
      <c r="C464" s="1" t="s">
        <v>61</v>
      </c>
      <c r="D464" s="1" t="s">
        <v>62</v>
      </c>
      <c r="E464" s="1" t="s">
        <v>16</v>
      </c>
      <c r="F464" s="1" t="s">
        <v>39</v>
      </c>
      <c r="G464" s="1" t="s">
        <v>36</v>
      </c>
      <c r="H464" s="1">
        <v>7425</v>
      </c>
      <c r="I464" s="1" t="s">
        <v>19</v>
      </c>
      <c r="J464" s="1">
        <v>0.2</v>
      </c>
      <c r="K464" s="1">
        <v>9000</v>
      </c>
      <c r="L464" s="2">
        <v>45325</v>
      </c>
    </row>
    <row r="465" spans="1:12" x14ac:dyDescent="0.35">
      <c r="A465" s="1" t="s">
        <v>685</v>
      </c>
      <c r="B465" s="1" t="s">
        <v>414</v>
      </c>
      <c r="C465" s="1" t="s">
        <v>61</v>
      </c>
      <c r="D465" s="1" t="s">
        <v>62</v>
      </c>
      <c r="E465" s="1" t="s">
        <v>32</v>
      </c>
      <c r="F465" s="1" t="s">
        <v>25</v>
      </c>
      <c r="G465" s="1" t="s">
        <v>26</v>
      </c>
      <c r="H465" s="1">
        <v>8146</v>
      </c>
      <c r="I465" s="1" t="s">
        <v>22</v>
      </c>
      <c r="J465" s="1">
        <v>0.1</v>
      </c>
      <c r="K465" s="1">
        <v>9000</v>
      </c>
      <c r="L465" s="2">
        <v>45294</v>
      </c>
    </row>
    <row r="466" spans="1:12" x14ac:dyDescent="0.35">
      <c r="A466" s="1" t="s">
        <v>686</v>
      </c>
      <c r="B466" s="1" t="s">
        <v>553</v>
      </c>
      <c r="C466" s="1" t="s">
        <v>61</v>
      </c>
      <c r="D466" s="1" t="s">
        <v>62</v>
      </c>
      <c r="E466" s="1" t="s">
        <v>16</v>
      </c>
      <c r="F466" s="1" t="s">
        <v>17</v>
      </c>
      <c r="G466" s="1" t="s">
        <v>36</v>
      </c>
      <c r="H466" s="1">
        <v>10991</v>
      </c>
      <c r="I466" s="1" t="s">
        <v>22</v>
      </c>
      <c r="J466" s="1">
        <v>0.1</v>
      </c>
      <c r="K466" s="1">
        <v>9000</v>
      </c>
      <c r="L466" s="2">
        <v>45329</v>
      </c>
    </row>
    <row r="467" spans="1:12" x14ac:dyDescent="0.35">
      <c r="A467" s="1" t="s">
        <v>687</v>
      </c>
      <c r="B467" s="1" t="s">
        <v>241</v>
      </c>
      <c r="C467" s="1" t="s">
        <v>44</v>
      </c>
      <c r="D467" s="1" t="s">
        <v>45</v>
      </c>
      <c r="E467" s="1" t="s">
        <v>16</v>
      </c>
      <c r="F467" s="1" t="s">
        <v>17</v>
      </c>
      <c r="G467" s="1" t="s">
        <v>18</v>
      </c>
      <c r="H467" s="1">
        <v>13424</v>
      </c>
      <c r="I467" s="1" t="s">
        <v>27</v>
      </c>
      <c r="J467" s="1"/>
      <c r="K467" s="1">
        <v>13000</v>
      </c>
      <c r="L467" s="2">
        <v>45295</v>
      </c>
    </row>
    <row r="468" spans="1:12" x14ac:dyDescent="0.35">
      <c r="A468" s="1" t="s">
        <v>688</v>
      </c>
      <c r="B468" s="1" t="s">
        <v>274</v>
      </c>
      <c r="C468" s="1" t="s">
        <v>44</v>
      </c>
      <c r="D468" s="1" t="s">
        <v>45</v>
      </c>
      <c r="E468" s="1" t="s">
        <v>32</v>
      </c>
      <c r="F468" s="1" t="s">
        <v>17</v>
      </c>
      <c r="G468" s="1" t="s">
        <v>36</v>
      </c>
      <c r="H468" s="1">
        <v>14485</v>
      </c>
      <c r="I468" s="1" t="s">
        <v>33</v>
      </c>
      <c r="J468" s="1">
        <v>0.3</v>
      </c>
      <c r="K468" s="1">
        <v>13000</v>
      </c>
      <c r="L468" s="2">
        <v>45351</v>
      </c>
    </row>
    <row r="469" spans="1:12" x14ac:dyDescent="0.35">
      <c r="A469" s="1" t="s">
        <v>689</v>
      </c>
      <c r="B469" s="1" t="s">
        <v>180</v>
      </c>
      <c r="C469" s="1" t="s">
        <v>30</v>
      </c>
      <c r="D469" s="1" t="s">
        <v>31</v>
      </c>
      <c r="E469" s="1" t="s">
        <v>46</v>
      </c>
      <c r="F469" s="1" t="s">
        <v>17</v>
      </c>
      <c r="G469" s="1" t="s">
        <v>36</v>
      </c>
      <c r="H469" s="1">
        <v>15956</v>
      </c>
      <c r="I469" s="1" t="s">
        <v>22</v>
      </c>
      <c r="J469" s="1">
        <v>0.1</v>
      </c>
      <c r="K469" s="1">
        <v>17000</v>
      </c>
      <c r="L469" s="2">
        <v>45352</v>
      </c>
    </row>
    <row r="470" spans="1:12" x14ac:dyDescent="0.35">
      <c r="A470" s="1" t="s">
        <v>690</v>
      </c>
      <c r="B470" s="1" t="s">
        <v>235</v>
      </c>
      <c r="C470" s="1" t="s">
        <v>14</v>
      </c>
      <c r="D470" s="1" t="s">
        <v>15</v>
      </c>
      <c r="E470" s="1" t="s">
        <v>32</v>
      </c>
      <c r="F470" s="1" t="s">
        <v>25</v>
      </c>
      <c r="G470" s="1" t="s">
        <v>18</v>
      </c>
      <c r="H470" s="1">
        <v>13841</v>
      </c>
      <c r="I470" s="1"/>
      <c r="J470" s="1"/>
      <c r="K470" s="1">
        <v>14000</v>
      </c>
      <c r="L470" s="2">
        <v>45312</v>
      </c>
    </row>
    <row r="471" spans="1:12" x14ac:dyDescent="0.35">
      <c r="A471" s="1" t="s">
        <v>691</v>
      </c>
      <c r="B471" s="1" t="s">
        <v>41</v>
      </c>
      <c r="C471" s="1" t="s">
        <v>30</v>
      </c>
      <c r="D471" s="1" t="s">
        <v>31</v>
      </c>
      <c r="E471" s="1" t="s">
        <v>32</v>
      </c>
      <c r="F471" s="1" t="s">
        <v>17</v>
      </c>
      <c r="G471" s="1" t="s">
        <v>36</v>
      </c>
      <c r="H471" s="1">
        <v>16897</v>
      </c>
      <c r="I471" s="1" t="s">
        <v>33</v>
      </c>
      <c r="J471" s="1">
        <v>0.3</v>
      </c>
      <c r="K471" s="1">
        <v>17000</v>
      </c>
      <c r="L471" s="2">
        <v>45346</v>
      </c>
    </row>
    <row r="472" spans="1:12" x14ac:dyDescent="0.35">
      <c r="A472" s="1" t="s">
        <v>692</v>
      </c>
      <c r="B472" s="1" t="s">
        <v>78</v>
      </c>
      <c r="C472" s="1" t="s">
        <v>44</v>
      </c>
      <c r="D472" s="1" t="s">
        <v>45</v>
      </c>
      <c r="E472" s="1" t="s">
        <v>16</v>
      </c>
      <c r="F472" s="1" t="s">
        <v>17</v>
      </c>
      <c r="G472" s="1" t="s">
        <v>26</v>
      </c>
      <c r="H472" s="1">
        <v>13854</v>
      </c>
      <c r="I472" s="1" t="s">
        <v>27</v>
      </c>
      <c r="J472" s="1"/>
      <c r="K472" s="1">
        <v>13000</v>
      </c>
      <c r="L472" s="2">
        <v>45294</v>
      </c>
    </row>
    <row r="473" spans="1:12" x14ac:dyDescent="0.35">
      <c r="A473" s="1" t="s">
        <v>693</v>
      </c>
      <c r="B473" s="1" t="s">
        <v>171</v>
      </c>
      <c r="C473" s="1" t="s">
        <v>30</v>
      </c>
      <c r="D473" s="1" t="s">
        <v>31</v>
      </c>
      <c r="E473" s="1" t="s">
        <v>32</v>
      </c>
      <c r="F473" s="1" t="s">
        <v>25</v>
      </c>
      <c r="G473" s="1" t="s">
        <v>26</v>
      </c>
      <c r="H473" s="1">
        <v>16016</v>
      </c>
      <c r="I473" s="1" t="s">
        <v>33</v>
      </c>
      <c r="J473" s="1">
        <v>0.3</v>
      </c>
      <c r="K473" s="1">
        <v>17000</v>
      </c>
      <c r="L473" s="2">
        <v>45317</v>
      </c>
    </row>
    <row r="474" spans="1:12" x14ac:dyDescent="0.35">
      <c r="A474" s="1" t="s">
        <v>694</v>
      </c>
      <c r="B474" s="1" t="s">
        <v>184</v>
      </c>
      <c r="C474" s="1" t="s">
        <v>30</v>
      </c>
      <c r="D474" s="1" t="s">
        <v>31</v>
      </c>
      <c r="E474" s="1" t="s">
        <v>46</v>
      </c>
      <c r="F474" s="1" t="s">
        <v>25</v>
      </c>
      <c r="G474" s="1" t="s">
        <v>18</v>
      </c>
      <c r="H474" s="1">
        <v>18899</v>
      </c>
      <c r="I474" s="1"/>
      <c r="J474" s="1"/>
      <c r="K474" s="1">
        <v>17000</v>
      </c>
      <c r="L474" s="2">
        <v>45346</v>
      </c>
    </row>
    <row r="475" spans="1:12" x14ac:dyDescent="0.35">
      <c r="A475" s="1" t="s">
        <v>695</v>
      </c>
      <c r="B475" s="1" t="s">
        <v>330</v>
      </c>
      <c r="C475" s="1" t="s">
        <v>44</v>
      </c>
      <c r="D475" s="1" t="s">
        <v>45</v>
      </c>
      <c r="E475" s="1" t="s">
        <v>32</v>
      </c>
      <c r="F475" s="1" t="s">
        <v>17</v>
      </c>
      <c r="G475" s="1" t="s">
        <v>18</v>
      </c>
      <c r="H475" s="1">
        <v>14292</v>
      </c>
      <c r="I475" s="1" t="s">
        <v>19</v>
      </c>
      <c r="J475" s="1">
        <v>0.2</v>
      </c>
      <c r="K475" s="1">
        <v>13000</v>
      </c>
      <c r="L475" s="2">
        <v>45299</v>
      </c>
    </row>
    <row r="476" spans="1:12" x14ac:dyDescent="0.35">
      <c r="A476" s="1" t="s">
        <v>696</v>
      </c>
      <c r="B476" s="1" t="s">
        <v>161</v>
      </c>
      <c r="C476" s="1" t="s">
        <v>44</v>
      </c>
      <c r="D476" s="1" t="s">
        <v>45</v>
      </c>
      <c r="E476" s="1" t="s">
        <v>32</v>
      </c>
      <c r="F476" s="1" t="s">
        <v>25</v>
      </c>
      <c r="G476" s="1" t="s">
        <v>36</v>
      </c>
      <c r="H476" s="1">
        <v>12524</v>
      </c>
      <c r="I476" s="1" t="s">
        <v>22</v>
      </c>
      <c r="J476" s="1">
        <v>0.1</v>
      </c>
      <c r="K476" s="1">
        <v>13000</v>
      </c>
      <c r="L476" s="2">
        <v>45329</v>
      </c>
    </row>
    <row r="477" spans="1:12" x14ac:dyDescent="0.35">
      <c r="A477" s="1" t="s">
        <v>697</v>
      </c>
      <c r="B477" s="1" t="s">
        <v>291</v>
      </c>
      <c r="C477" s="1" t="s">
        <v>14</v>
      </c>
      <c r="D477" s="1" t="s">
        <v>15</v>
      </c>
      <c r="E477" s="1" t="s">
        <v>32</v>
      </c>
      <c r="F477" s="1" t="s">
        <v>25</v>
      </c>
      <c r="G477" s="1" t="s">
        <v>18</v>
      </c>
      <c r="H477" s="1">
        <v>15696</v>
      </c>
      <c r="I477" s="1"/>
      <c r="J477" s="1"/>
      <c r="K477" s="1">
        <v>14000</v>
      </c>
      <c r="L477" s="2">
        <v>45343</v>
      </c>
    </row>
    <row r="478" spans="1:12" x14ac:dyDescent="0.35">
      <c r="A478" s="1" t="s">
        <v>698</v>
      </c>
      <c r="B478" s="1" t="s">
        <v>325</v>
      </c>
      <c r="C478" s="1" t="s">
        <v>30</v>
      </c>
      <c r="D478" s="1" t="s">
        <v>31</v>
      </c>
      <c r="E478" s="1" t="s">
        <v>32</v>
      </c>
      <c r="F478" s="1" t="s">
        <v>25</v>
      </c>
      <c r="G478" s="1" t="s">
        <v>36</v>
      </c>
      <c r="H478" s="1">
        <v>15207</v>
      </c>
      <c r="I478" s="1" t="s">
        <v>19</v>
      </c>
      <c r="J478" s="1">
        <v>0.2</v>
      </c>
      <c r="K478" s="1">
        <v>17000</v>
      </c>
      <c r="L478" s="2">
        <v>45351</v>
      </c>
    </row>
    <row r="479" spans="1:12" x14ac:dyDescent="0.35">
      <c r="A479" s="1" t="s">
        <v>699</v>
      </c>
      <c r="B479" s="1" t="s">
        <v>337</v>
      </c>
      <c r="C479" s="1" t="s">
        <v>61</v>
      </c>
      <c r="D479" s="1" t="s">
        <v>62</v>
      </c>
      <c r="E479" s="1" t="s">
        <v>46</v>
      </c>
      <c r="F479" s="1" t="s">
        <v>25</v>
      </c>
      <c r="G479" s="1" t="s">
        <v>36</v>
      </c>
      <c r="H479" s="1">
        <v>9798</v>
      </c>
      <c r="I479" s="1"/>
      <c r="J479" s="1"/>
      <c r="K479" s="1">
        <v>9000</v>
      </c>
      <c r="L479" s="2">
        <v>45303</v>
      </c>
    </row>
    <row r="480" spans="1:12" x14ac:dyDescent="0.35">
      <c r="A480" s="1" t="s">
        <v>700</v>
      </c>
      <c r="B480" s="1" t="s">
        <v>408</v>
      </c>
      <c r="C480" s="1" t="s">
        <v>44</v>
      </c>
      <c r="D480" s="1" t="s">
        <v>45</v>
      </c>
      <c r="E480" s="1" t="s">
        <v>46</v>
      </c>
      <c r="F480" s="1" t="s">
        <v>17</v>
      </c>
      <c r="G480" s="1" t="s">
        <v>36</v>
      </c>
      <c r="H480" s="1">
        <v>14618</v>
      </c>
      <c r="I480" s="1" t="s">
        <v>19</v>
      </c>
      <c r="J480" s="1">
        <v>0.2</v>
      </c>
      <c r="K480" s="1">
        <v>13000</v>
      </c>
      <c r="L480" s="2">
        <v>45294</v>
      </c>
    </row>
    <row r="481" spans="1:12" x14ac:dyDescent="0.35">
      <c r="A481" s="1" t="s">
        <v>701</v>
      </c>
      <c r="B481" s="1" t="s">
        <v>195</v>
      </c>
      <c r="C481" s="1" t="s">
        <v>44</v>
      </c>
      <c r="D481" s="1" t="s">
        <v>45</v>
      </c>
      <c r="E481" s="1" t="s">
        <v>16</v>
      </c>
      <c r="F481" s="1" t="s">
        <v>17</v>
      </c>
      <c r="G481" s="1" t="s">
        <v>36</v>
      </c>
      <c r="H481" s="1">
        <v>12687</v>
      </c>
      <c r="I481" s="1" t="s">
        <v>27</v>
      </c>
      <c r="J481" s="1"/>
      <c r="K481" s="1">
        <v>13000</v>
      </c>
      <c r="L481" s="2">
        <v>45322</v>
      </c>
    </row>
    <row r="482" spans="1:12" x14ac:dyDescent="0.35">
      <c r="A482" s="1" t="s">
        <v>702</v>
      </c>
      <c r="B482" s="1" t="s">
        <v>76</v>
      </c>
      <c r="C482" s="1" t="s">
        <v>30</v>
      </c>
      <c r="D482" s="1" t="s">
        <v>31</v>
      </c>
      <c r="E482" s="1" t="s">
        <v>46</v>
      </c>
      <c r="F482" s="1" t="s">
        <v>25</v>
      </c>
      <c r="G482" s="1" t="s">
        <v>36</v>
      </c>
      <c r="H482" s="1">
        <v>15816</v>
      </c>
      <c r="I482" s="1" t="s">
        <v>27</v>
      </c>
      <c r="J482" s="1"/>
      <c r="K482" s="1">
        <v>17000</v>
      </c>
      <c r="L482" s="2">
        <v>45307</v>
      </c>
    </row>
    <row r="483" spans="1:12" x14ac:dyDescent="0.35">
      <c r="A483" s="1" t="s">
        <v>703</v>
      </c>
      <c r="B483" s="1" t="s">
        <v>270</v>
      </c>
      <c r="C483" s="1" t="s">
        <v>14</v>
      </c>
      <c r="D483" s="1" t="s">
        <v>15</v>
      </c>
      <c r="E483" s="1" t="s">
        <v>46</v>
      </c>
      <c r="F483" s="1" t="s">
        <v>39</v>
      </c>
      <c r="G483" s="1" t="s">
        <v>36</v>
      </c>
      <c r="H483" s="1">
        <v>13964</v>
      </c>
      <c r="I483" s="1" t="s">
        <v>27</v>
      </c>
      <c r="J483" s="1"/>
      <c r="K483" s="1">
        <v>14000</v>
      </c>
      <c r="L483" s="2">
        <v>45342</v>
      </c>
    </row>
    <row r="484" spans="1:12" x14ac:dyDescent="0.35">
      <c r="A484" s="1" t="s">
        <v>704</v>
      </c>
      <c r="B484" s="1" t="s">
        <v>188</v>
      </c>
      <c r="C484" s="1" t="s">
        <v>30</v>
      </c>
      <c r="D484" s="1" t="s">
        <v>31</v>
      </c>
      <c r="E484" s="1" t="s">
        <v>46</v>
      </c>
      <c r="F484" s="1" t="s">
        <v>17</v>
      </c>
      <c r="G484" s="1" t="s">
        <v>18</v>
      </c>
      <c r="H484" s="1">
        <v>15106</v>
      </c>
      <c r="I484" s="1" t="s">
        <v>33</v>
      </c>
      <c r="J484" s="1">
        <v>0.3</v>
      </c>
      <c r="K484" s="1">
        <v>17000</v>
      </c>
      <c r="L484" s="2">
        <v>45330</v>
      </c>
    </row>
    <row r="485" spans="1:12" x14ac:dyDescent="0.35">
      <c r="A485" s="1" t="s">
        <v>705</v>
      </c>
      <c r="B485" s="1" t="s">
        <v>500</v>
      </c>
      <c r="C485" s="1" t="s">
        <v>30</v>
      </c>
      <c r="D485" s="1" t="s">
        <v>31</v>
      </c>
      <c r="E485" s="1" t="s">
        <v>32</v>
      </c>
      <c r="F485" s="1" t="s">
        <v>17</v>
      </c>
      <c r="G485" s="1" t="s">
        <v>26</v>
      </c>
      <c r="H485" s="1">
        <v>16464</v>
      </c>
      <c r="I485" s="1" t="s">
        <v>27</v>
      </c>
      <c r="J485" s="1"/>
      <c r="K485" s="1">
        <v>17000</v>
      </c>
      <c r="L485" s="2">
        <v>45306</v>
      </c>
    </row>
    <row r="486" spans="1:12" x14ac:dyDescent="0.35">
      <c r="A486" s="1" t="s">
        <v>706</v>
      </c>
      <c r="B486" s="1" t="s">
        <v>325</v>
      </c>
      <c r="C486" s="1" t="s">
        <v>44</v>
      </c>
      <c r="D486" s="1" t="s">
        <v>45</v>
      </c>
      <c r="E486" s="1" t="s">
        <v>16</v>
      </c>
      <c r="F486" s="1" t="s">
        <v>25</v>
      </c>
      <c r="G486" s="1" t="s">
        <v>36</v>
      </c>
      <c r="H486" s="1">
        <v>13185</v>
      </c>
      <c r="I486" s="1" t="s">
        <v>22</v>
      </c>
      <c r="J486" s="1">
        <v>0.1</v>
      </c>
      <c r="K486" s="1">
        <v>13000</v>
      </c>
      <c r="L486" s="2">
        <v>45340</v>
      </c>
    </row>
    <row r="487" spans="1:12" x14ac:dyDescent="0.35">
      <c r="A487" s="1" t="s">
        <v>707</v>
      </c>
      <c r="B487" s="1" t="s">
        <v>56</v>
      </c>
      <c r="C487" s="1" t="s">
        <v>61</v>
      </c>
      <c r="D487" s="1" t="s">
        <v>62</v>
      </c>
      <c r="E487" s="1" t="s">
        <v>46</v>
      </c>
      <c r="F487" s="1" t="s">
        <v>25</v>
      </c>
      <c r="G487" s="1" t="s">
        <v>18</v>
      </c>
      <c r="H487" s="1">
        <v>7968</v>
      </c>
      <c r="I487" s="1" t="s">
        <v>27</v>
      </c>
      <c r="J487" s="1"/>
      <c r="K487" s="1">
        <v>9000</v>
      </c>
      <c r="L487" s="2">
        <v>45312</v>
      </c>
    </row>
    <row r="488" spans="1:12" x14ac:dyDescent="0.35">
      <c r="A488" s="1" t="s">
        <v>708</v>
      </c>
      <c r="B488" s="1" t="s">
        <v>296</v>
      </c>
      <c r="C488" s="1" t="s">
        <v>30</v>
      </c>
      <c r="D488" s="1" t="s">
        <v>31</v>
      </c>
      <c r="E488" s="1" t="s">
        <v>16</v>
      </c>
      <c r="F488" s="1" t="s">
        <v>25</v>
      </c>
      <c r="G488" s="1" t="s">
        <v>26</v>
      </c>
      <c r="H488" s="1">
        <v>17869</v>
      </c>
      <c r="I488" s="1" t="s">
        <v>33</v>
      </c>
      <c r="J488" s="1">
        <v>0.3</v>
      </c>
      <c r="K488" s="1">
        <v>17000</v>
      </c>
      <c r="L488" s="2">
        <v>45352</v>
      </c>
    </row>
    <row r="489" spans="1:12" x14ac:dyDescent="0.35">
      <c r="A489" s="1" t="s">
        <v>709</v>
      </c>
      <c r="B489" s="1" t="s">
        <v>195</v>
      </c>
      <c r="C489" s="1" t="s">
        <v>44</v>
      </c>
      <c r="D489" s="1" t="s">
        <v>45</v>
      </c>
      <c r="E489" s="1" t="s">
        <v>16</v>
      </c>
      <c r="F489" s="1" t="s">
        <v>25</v>
      </c>
      <c r="G489" s="1" t="s">
        <v>36</v>
      </c>
      <c r="H489" s="1">
        <v>13220</v>
      </c>
      <c r="I489" s="1" t="s">
        <v>33</v>
      </c>
      <c r="J489" s="1">
        <v>0.3</v>
      </c>
      <c r="K489" s="1">
        <v>13000</v>
      </c>
      <c r="L489" s="2">
        <v>45303</v>
      </c>
    </row>
    <row r="490" spans="1:12" x14ac:dyDescent="0.35">
      <c r="A490" s="1" t="s">
        <v>710</v>
      </c>
      <c r="B490" s="1" t="s">
        <v>711</v>
      </c>
      <c r="C490" s="1" t="s">
        <v>14</v>
      </c>
      <c r="D490" s="1" t="s">
        <v>15</v>
      </c>
      <c r="E490" s="1" t="s">
        <v>32</v>
      </c>
      <c r="F490" s="1" t="s">
        <v>25</v>
      </c>
      <c r="G490" s="1" t="s">
        <v>26</v>
      </c>
      <c r="H490" s="1">
        <v>12896</v>
      </c>
      <c r="I490" s="1" t="s">
        <v>22</v>
      </c>
      <c r="J490" s="1">
        <v>0.1</v>
      </c>
      <c r="K490" s="1">
        <v>14000</v>
      </c>
      <c r="L490" s="2">
        <v>45325</v>
      </c>
    </row>
    <row r="491" spans="1:12" x14ac:dyDescent="0.35">
      <c r="A491" s="1" t="s">
        <v>712</v>
      </c>
      <c r="B491" s="1" t="s">
        <v>711</v>
      </c>
      <c r="C491" s="1" t="s">
        <v>30</v>
      </c>
      <c r="D491" s="1" t="s">
        <v>31</v>
      </c>
      <c r="E491" s="1" t="s">
        <v>16</v>
      </c>
      <c r="F491" s="1" t="s">
        <v>25</v>
      </c>
      <c r="G491" s="1" t="s">
        <v>18</v>
      </c>
      <c r="H491" s="1">
        <v>16395</v>
      </c>
      <c r="I491" s="1" t="s">
        <v>19</v>
      </c>
      <c r="J491" s="1">
        <v>0.2</v>
      </c>
      <c r="K491" s="1">
        <v>17000</v>
      </c>
      <c r="L491" s="2">
        <v>45350</v>
      </c>
    </row>
    <row r="492" spans="1:12" x14ac:dyDescent="0.35">
      <c r="A492" s="1" t="s">
        <v>713</v>
      </c>
      <c r="B492" s="1" t="s">
        <v>140</v>
      </c>
      <c r="C492" s="1" t="s">
        <v>30</v>
      </c>
      <c r="D492" s="1" t="s">
        <v>31</v>
      </c>
      <c r="E492" s="1" t="s">
        <v>32</v>
      </c>
      <c r="F492" s="1" t="s">
        <v>25</v>
      </c>
      <c r="G492" s="1" t="s">
        <v>18</v>
      </c>
      <c r="H492" s="1">
        <v>17402</v>
      </c>
      <c r="I492" s="1" t="s">
        <v>19</v>
      </c>
      <c r="J492" s="1">
        <v>0.2</v>
      </c>
      <c r="K492" s="1">
        <v>17000</v>
      </c>
      <c r="L492" s="2">
        <v>45341</v>
      </c>
    </row>
    <row r="493" spans="1:12" x14ac:dyDescent="0.35">
      <c r="A493" s="1" t="s">
        <v>714</v>
      </c>
      <c r="B493" s="1" t="s">
        <v>159</v>
      </c>
      <c r="C493" s="1" t="s">
        <v>30</v>
      </c>
      <c r="D493" s="1" t="s">
        <v>31</v>
      </c>
      <c r="E493" s="1" t="s">
        <v>32</v>
      </c>
      <c r="F493" s="1" t="s">
        <v>17</v>
      </c>
      <c r="G493" s="1" t="s">
        <v>26</v>
      </c>
      <c r="H493" s="1">
        <v>18858</v>
      </c>
      <c r="I493" s="1"/>
      <c r="J493" s="1"/>
      <c r="K493" s="1">
        <v>17000</v>
      </c>
      <c r="L493" s="2">
        <v>45329</v>
      </c>
    </row>
    <row r="494" spans="1:12" x14ac:dyDescent="0.35">
      <c r="A494" s="1" t="s">
        <v>715</v>
      </c>
      <c r="B494" s="1" t="s">
        <v>432</v>
      </c>
      <c r="C494" s="1" t="s">
        <v>30</v>
      </c>
      <c r="D494" s="1" t="s">
        <v>31</v>
      </c>
      <c r="E494" s="1" t="s">
        <v>46</v>
      </c>
      <c r="F494" s="1" t="s">
        <v>25</v>
      </c>
      <c r="G494" s="1" t="s">
        <v>18</v>
      </c>
      <c r="H494" s="1">
        <v>17999</v>
      </c>
      <c r="I494" s="1"/>
      <c r="J494" s="1"/>
      <c r="K494" s="1">
        <v>17000</v>
      </c>
      <c r="L494" s="2">
        <v>45342</v>
      </c>
    </row>
    <row r="495" spans="1:12" x14ac:dyDescent="0.35">
      <c r="A495" s="1" t="s">
        <v>716</v>
      </c>
      <c r="B495" s="1" t="s">
        <v>591</v>
      </c>
      <c r="C495" s="1" t="s">
        <v>30</v>
      </c>
      <c r="D495" s="1" t="s">
        <v>31</v>
      </c>
      <c r="E495" s="1" t="s">
        <v>32</v>
      </c>
      <c r="F495" s="1" t="s">
        <v>39</v>
      </c>
      <c r="G495" s="1" t="s">
        <v>26</v>
      </c>
      <c r="H495" s="1">
        <v>17840</v>
      </c>
      <c r="I495" s="1" t="s">
        <v>27</v>
      </c>
      <c r="J495" s="1"/>
      <c r="K495" s="1">
        <v>17000</v>
      </c>
      <c r="L495" s="2">
        <v>45342</v>
      </c>
    </row>
    <row r="496" spans="1:12" x14ac:dyDescent="0.35">
      <c r="A496" s="1" t="s">
        <v>717</v>
      </c>
      <c r="B496" s="1" t="s">
        <v>408</v>
      </c>
      <c r="C496" s="1" t="s">
        <v>44</v>
      </c>
      <c r="D496" s="1" t="s">
        <v>45</v>
      </c>
      <c r="E496" s="1" t="s">
        <v>46</v>
      </c>
      <c r="F496" s="1" t="s">
        <v>17</v>
      </c>
      <c r="G496" s="1" t="s">
        <v>26</v>
      </c>
      <c r="H496" s="1">
        <v>13820</v>
      </c>
      <c r="I496" s="1" t="s">
        <v>33</v>
      </c>
      <c r="J496" s="1">
        <v>0.3</v>
      </c>
      <c r="K496" s="1">
        <v>13000</v>
      </c>
      <c r="L496" s="2">
        <v>45300</v>
      </c>
    </row>
    <row r="497" spans="1:12" x14ac:dyDescent="0.35">
      <c r="A497" s="1" t="s">
        <v>718</v>
      </c>
      <c r="B497" s="1" t="s">
        <v>280</v>
      </c>
      <c r="C497" s="1" t="s">
        <v>14</v>
      </c>
      <c r="D497" s="1" t="s">
        <v>15</v>
      </c>
      <c r="E497" s="1" t="s">
        <v>16</v>
      </c>
      <c r="F497" s="1" t="s">
        <v>39</v>
      </c>
      <c r="G497" s="1" t="s">
        <v>36</v>
      </c>
      <c r="H497" s="1">
        <v>15484</v>
      </c>
      <c r="I497" s="1" t="s">
        <v>27</v>
      </c>
      <c r="J497" s="1"/>
      <c r="K497" s="1">
        <v>14000</v>
      </c>
      <c r="L497" s="2">
        <v>45294</v>
      </c>
    </row>
    <row r="498" spans="1:12" x14ac:dyDescent="0.35">
      <c r="A498" s="1" t="s">
        <v>719</v>
      </c>
      <c r="B498" s="1" t="s">
        <v>720</v>
      </c>
      <c r="C498" s="1" t="s">
        <v>30</v>
      </c>
      <c r="D498" s="1" t="s">
        <v>31</v>
      </c>
      <c r="E498" s="1" t="s">
        <v>16</v>
      </c>
      <c r="F498" s="1" t="s">
        <v>25</v>
      </c>
      <c r="G498" s="1" t="s">
        <v>26</v>
      </c>
      <c r="H498" s="1">
        <v>17316</v>
      </c>
      <c r="I498" s="1" t="s">
        <v>22</v>
      </c>
      <c r="J498" s="1">
        <v>0.1</v>
      </c>
      <c r="K498" s="1">
        <v>17000</v>
      </c>
      <c r="L498" s="2">
        <v>45351</v>
      </c>
    </row>
    <row r="499" spans="1:12" x14ac:dyDescent="0.35">
      <c r="A499" s="1" t="s">
        <v>721</v>
      </c>
      <c r="B499" s="1" t="s">
        <v>508</v>
      </c>
      <c r="C499" s="1" t="s">
        <v>30</v>
      </c>
      <c r="D499" s="1" t="s">
        <v>31</v>
      </c>
      <c r="E499" s="1" t="s">
        <v>16</v>
      </c>
      <c r="F499" s="1" t="s">
        <v>25</v>
      </c>
      <c r="G499" s="1" t="s">
        <v>18</v>
      </c>
      <c r="H499" s="1">
        <v>16420</v>
      </c>
      <c r="I499" s="1" t="s">
        <v>33</v>
      </c>
      <c r="J499" s="1">
        <v>0.3</v>
      </c>
      <c r="K499" s="1">
        <v>17000</v>
      </c>
      <c r="L499" s="2">
        <v>45302</v>
      </c>
    </row>
    <row r="500" spans="1:12" x14ac:dyDescent="0.35">
      <c r="A500" s="1" t="s">
        <v>722</v>
      </c>
      <c r="B500" s="1" t="s">
        <v>13</v>
      </c>
      <c r="C500" s="1" t="s">
        <v>30</v>
      </c>
      <c r="D500" s="1" t="s">
        <v>31</v>
      </c>
      <c r="E500" s="1" t="s">
        <v>46</v>
      </c>
      <c r="F500" s="1" t="s">
        <v>25</v>
      </c>
      <c r="G500" s="1" t="s">
        <v>36</v>
      </c>
      <c r="H500" s="1">
        <v>15858</v>
      </c>
      <c r="I500" s="1" t="s">
        <v>19</v>
      </c>
      <c r="J500" s="1">
        <v>0.2</v>
      </c>
      <c r="K500" s="1">
        <v>17000</v>
      </c>
      <c r="L500" s="2">
        <v>45336</v>
      </c>
    </row>
    <row r="501" spans="1:12" x14ac:dyDescent="0.35">
      <c r="A501" s="1" t="s">
        <v>723</v>
      </c>
      <c r="B501" s="1" t="s">
        <v>432</v>
      </c>
      <c r="C501" s="1" t="s">
        <v>30</v>
      </c>
      <c r="D501" s="1" t="s">
        <v>31</v>
      </c>
      <c r="E501" s="1" t="s">
        <v>32</v>
      </c>
      <c r="F501" s="1" t="s">
        <v>39</v>
      </c>
      <c r="G501" s="1" t="s">
        <v>18</v>
      </c>
      <c r="H501" s="1">
        <v>15197</v>
      </c>
      <c r="I501" s="1"/>
      <c r="J501" s="1"/>
      <c r="K501" s="1">
        <v>17000</v>
      </c>
      <c r="L501" s="2">
        <v>45320</v>
      </c>
    </row>
    <row r="502" spans="1:12" x14ac:dyDescent="0.35">
      <c r="A502" s="1" t="s">
        <v>724</v>
      </c>
      <c r="B502" s="1" t="s">
        <v>127</v>
      </c>
      <c r="C502" s="1" t="s">
        <v>44</v>
      </c>
      <c r="D502" s="1" t="s">
        <v>45</v>
      </c>
      <c r="E502" s="1" t="s">
        <v>46</v>
      </c>
      <c r="F502" s="1" t="s">
        <v>17</v>
      </c>
      <c r="G502" s="1" t="s">
        <v>36</v>
      </c>
      <c r="H502" s="1">
        <v>12438</v>
      </c>
      <c r="I502" s="1" t="s">
        <v>27</v>
      </c>
      <c r="J502" s="1"/>
      <c r="K502" s="1">
        <v>13000</v>
      </c>
      <c r="L502" s="2">
        <v>45316</v>
      </c>
    </row>
    <row r="503" spans="1:12" x14ac:dyDescent="0.35">
      <c r="A503" s="1" t="s">
        <v>725</v>
      </c>
      <c r="B503" s="1" t="s">
        <v>159</v>
      </c>
      <c r="C503" s="1" t="s">
        <v>61</v>
      </c>
      <c r="D503" s="1" t="s">
        <v>62</v>
      </c>
      <c r="E503" s="1" t="s">
        <v>16</v>
      </c>
      <c r="F503" s="1" t="s">
        <v>39</v>
      </c>
      <c r="G503" s="1" t="s">
        <v>26</v>
      </c>
      <c r="H503" s="1">
        <v>7923</v>
      </c>
      <c r="I503" s="1" t="s">
        <v>19</v>
      </c>
      <c r="J503" s="1">
        <v>0.2</v>
      </c>
      <c r="K503" s="1">
        <v>9000</v>
      </c>
      <c r="L503" s="2">
        <v>45320</v>
      </c>
    </row>
    <row r="504" spans="1:12" x14ac:dyDescent="0.35">
      <c r="A504" s="1" t="s">
        <v>726</v>
      </c>
      <c r="B504" s="1" t="s">
        <v>200</v>
      </c>
      <c r="C504" s="1" t="s">
        <v>14</v>
      </c>
      <c r="D504" s="1" t="s">
        <v>15</v>
      </c>
      <c r="E504" s="1" t="s">
        <v>46</v>
      </c>
      <c r="F504" s="1" t="s">
        <v>25</v>
      </c>
      <c r="G504" s="1" t="s">
        <v>36</v>
      </c>
      <c r="H504" s="1">
        <v>13069</v>
      </c>
      <c r="I504" s="1" t="s">
        <v>22</v>
      </c>
      <c r="J504" s="1">
        <v>0.1</v>
      </c>
      <c r="K504" s="1">
        <v>14000</v>
      </c>
      <c r="L504" s="2">
        <v>45296</v>
      </c>
    </row>
    <row r="505" spans="1:12" x14ac:dyDescent="0.35">
      <c r="A505" s="1" t="s">
        <v>727</v>
      </c>
      <c r="B505" s="1" t="s">
        <v>728</v>
      </c>
      <c r="C505" s="1" t="s">
        <v>61</v>
      </c>
      <c r="D505" s="1" t="s">
        <v>62</v>
      </c>
      <c r="E505" s="1" t="s">
        <v>32</v>
      </c>
      <c r="F505" s="1" t="s">
        <v>39</v>
      </c>
      <c r="G505" s="1" t="s">
        <v>18</v>
      </c>
      <c r="H505" s="1">
        <v>9240</v>
      </c>
      <c r="I505" s="1" t="s">
        <v>22</v>
      </c>
      <c r="J505" s="1">
        <v>0.1</v>
      </c>
      <c r="K505" s="1">
        <v>9000</v>
      </c>
      <c r="L505" s="2">
        <v>45313</v>
      </c>
    </row>
    <row r="506" spans="1:12" x14ac:dyDescent="0.35">
      <c r="A506" s="1" t="s">
        <v>729</v>
      </c>
      <c r="B506" s="1" t="s">
        <v>195</v>
      </c>
      <c r="C506" s="1" t="s">
        <v>61</v>
      </c>
      <c r="D506" s="1" t="s">
        <v>62</v>
      </c>
      <c r="E506" s="1" t="s">
        <v>16</v>
      </c>
      <c r="F506" s="1" t="s">
        <v>25</v>
      </c>
      <c r="G506" s="1" t="s">
        <v>36</v>
      </c>
      <c r="H506" s="1">
        <v>10860</v>
      </c>
      <c r="I506" s="1" t="s">
        <v>19</v>
      </c>
      <c r="J506" s="1">
        <v>0.2</v>
      </c>
      <c r="K506" s="1">
        <v>9000</v>
      </c>
      <c r="L506" s="2">
        <v>45330</v>
      </c>
    </row>
    <row r="507" spans="1:12" x14ac:dyDescent="0.35">
      <c r="A507" s="1" t="s">
        <v>730</v>
      </c>
      <c r="B507" s="1" t="s">
        <v>137</v>
      </c>
      <c r="C507" s="1" t="s">
        <v>44</v>
      </c>
      <c r="D507" s="1" t="s">
        <v>45</v>
      </c>
      <c r="E507" s="1" t="s">
        <v>32</v>
      </c>
      <c r="F507" s="1" t="s">
        <v>25</v>
      </c>
      <c r="G507" s="1" t="s">
        <v>36</v>
      </c>
      <c r="H507" s="1">
        <v>11841</v>
      </c>
      <c r="I507" s="1" t="s">
        <v>19</v>
      </c>
      <c r="J507" s="1">
        <v>0.2</v>
      </c>
      <c r="K507" s="1">
        <v>13000</v>
      </c>
      <c r="L507" s="2">
        <v>45318</v>
      </c>
    </row>
    <row r="508" spans="1:12" x14ac:dyDescent="0.35">
      <c r="A508" s="1" t="s">
        <v>731</v>
      </c>
      <c r="B508" s="1" t="s">
        <v>103</v>
      </c>
      <c r="C508" s="1" t="s">
        <v>30</v>
      </c>
      <c r="D508" s="1" t="s">
        <v>31</v>
      </c>
      <c r="E508" s="1" t="s">
        <v>16</v>
      </c>
      <c r="F508" s="1" t="s">
        <v>17</v>
      </c>
      <c r="G508" s="1" t="s">
        <v>36</v>
      </c>
      <c r="H508" s="1">
        <v>15972</v>
      </c>
      <c r="I508" s="1" t="s">
        <v>22</v>
      </c>
      <c r="J508" s="1">
        <v>0.1</v>
      </c>
      <c r="K508" s="1">
        <v>17000</v>
      </c>
      <c r="L508" s="2">
        <v>45295</v>
      </c>
    </row>
    <row r="509" spans="1:12" x14ac:dyDescent="0.35">
      <c r="A509" s="1" t="s">
        <v>732</v>
      </c>
      <c r="B509" s="1" t="s">
        <v>617</v>
      </c>
      <c r="C509" s="1" t="s">
        <v>61</v>
      </c>
      <c r="D509" s="1" t="s">
        <v>62</v>
      </c>
      <c r="E509" s="1" t="s">
        <v>32</v>
      </c>
      <c r="F509" s="1" t="s">
        <v>25</v>
      </c>
      <c r="G509" s="1" t="s">
        <v>36</v>
      </c>
      <c r="H509" s="1">
        <v>7015</v>
      </c>
      <c r="I509" s="1"/>
      <c r="J509" s="1"/>
      <c r="K509" s="1">
        <v>9000</v>
      </c>
      <c r="L509" s="2">
        <v>45297</v>
      </c>
    </row>
    <row r="510" spans="1:12" x14ac:dyDescent="0.35">
      <c r="A510" s="1" t="s">
        <v>733</v>
      </c>
      <c r="B510" s="1" t="s">
        <v>142</v>
      </c>
      <c r="C510" s="1" t="s">
        <v>61</v>
      </c>
      <c r="D510" s="1" t="s">
        <v>62</v>
      </c>
      <c r="E510" s="1" t="s">
        <v>32</v>
      </c>
      <c r="F510" s="1" t="s">
        <v>25</v>
      </c>
      <c r="G510" s="1" t="s">
        <v>18</v>
      </c>
      <c r="H510" s="1">
        <v>7847</v>
      </c>
      <c r="I510" s="1" t="s">
        <v>19</v>
      </c>
      <c r="J510" s="1">
        <v>0.2</v>
      </c>
      <c r="K510" s="1">
        <v>9000</v>
      </c>
      <c r="L510" s="2">
        <v>45332</v>
      </c>
    </row>
    <row r="511" spans="1:12" x14ac:dyDescent="0.35">
      <c r="A511" s="1" t="s">
        <v>734</v>
      </c>
      <c r="B511" s="1" t="s">
        <v>222</v>
      </c>
      <c r="C511" s="1" t="s">
        <v>61</v>
      </c>
      <c r="D511" s="1" t="s">
        <v>62</v>
      </c>
      <c r="E511" s="1" t="s">
        <v>32</v>
      </c>
      <c r="F511" s="1" t="s">
        <v>17</v>
      </c>
      <c r="G511" s="1" t="s">
        <v>36</v>
      </c>
      <c r="H511" s="1">
        <v>8928</v>
      </c>
      <c r="I511" s="1"/>
      <c r="J511" s="1"/>
      <c r="K511" s="1">
        <v>9000</v>
      </c>
      <c r="L511" s="2">
        <v>45349</v>
      </c>
    </row>
    <row r="512" spans="1:12" x14ac:dyDescent="0.35">
      <c r="A512" s="1" t="s">
        <v>735</v>
      </c>
      <c r="B512" s="1" t="s">
        <v>278</v>
      </c>
      <c r="C512" s="1" t="s">
        <v>14</v>
      </c>
      <c r="D512" s="1" t="s">
        <v>15</v>
      </c>
      <c r="E512" s="1" t="s">
        <v>16</v>
      </c>
      <c r="F512" s="1" t="s">
        <v>39</v>
      </c>
      <c r="G512" s="1" t="s">
        <v>36</v>
      </c>
      <c r="H512" s="1">
        <v>12757</v>
      </c>
      <c r="I512" s="1" t="s">
        <v>33</v>
      </c>
      <c r="J512" s="1">
        <v>0.3</v>
      </c>
      <c r="K512" s="1">
        <v>14000</v>
      </c>
      <c r="L512" s="2">
        <v>45348</v>
      </c>
    </row>
    <row r="513" spans="1:12" x14ac:dyDescent="0.35">
      <c r="A513" s="1" t="s">
        <v>736</v>
      </c>
      <c r="B513" s="1" t="s">
        <v>474</v>
      </c>
      <c r="C513" s="1" t="s">
        <v>44</v>
      </c>
      <c r="D513" s="1" t="s">
        <v>45</v>
      </c>
      <c r="E513" s="1" t="s">
        <v>46</v>
      </c>
      <c r="F513" s="1" t="s">
        <v>25</v>
      </c>
      <c r="G513" s="1" t="s">
        <v>36</v>
      </c>
      <c r="H513" s="1">
        <v>12801</v>
      </c>
      <c r="I513" s="1"/>
      <c r="J513" s="1"/>
      <c r="K513" s="1">
        <v>13000</v>
      </c>
      <c r="L513" s="2">
        <v>45308</v>
      </c>
    </row>
    <row r="514" spans="1:12" x14ac:dyDescent="0.35">
      <c r="A514" s="1" t="s">
        <v>737</v>
      </c>
      <c r="B514" s="1" t="s">
        <v>171</v>
      </c>
      <c r="C514" s="1" t="s">
        <v>30</v>
      </c>
      <c r="D514" s="1" t="s">
        <v>31</v>
      </c>
      <c r="E514" s="1" t="s">
        <v>16</v>
      </c>
      <c r="F514" s="1" t="s">
        <v>25</v>
      </c>
      <c r="G514" s="1" t="s">
        <v>18</v>
      </c>
      <c r="H514" s="1">
        <v>18081</v>
      </c>
      <c r="I514" s="1" t="s">
        <v>22</v>
      </c>
      <c r="J514" s="1">
        <v>0.1</v>
      </c>
      <c r="K514" s="1">
        <v>17000</v>
      </c>
      <c r="L514" s="2">
        <v>45297</v>
      </c>
    </row>
    <row r="515" spans="1:12" x14ac:dyDescent="0.35">
      <c r="A515" s="1" t="s">
        <v>738</v>
      </c>
      <c r="B515" s="1" t="s">
        <v>317</v>
      </c>
      <c r="C515" s="1" t="s">
        <v>61</v>
      </c>
      <c r="D515" s="1" t="s">
        <v>62</v>
      </c>
      <c r="E515" s="1" t="s">
        <v>16</v>
      </c>
      <c r="F515" s="1" t="s">
        <v>25</v>
      </c>
      <c r="G515" s="1" t="s">
        <v>26</v>
      </c>
      <c r="H515" s="1">
        <v>7249</v>
      </c>
      <c r="I515" s="1"/>
      <c r="J515" s="1"/>
      <c r="K515" s="1">
        <v>9000</v>
      </c>
      <c r="L515" s="2">
        <v>45344</v>
      </c>
    </row>
    <row r="516" spans="1:12" x14ac:dyDescent="0.35">
      <c r="A516" s="1" t="s">
        <v>739</v>
      </c>
      <c r="B516" s="1" t="s">
        <v>388</v>
      </c>
      <c r="C516" s="1" t="s">
        <v>61</v>
      </c>
      <c r="D516" s="1" t="s">
        <v>62</v>
      </c>
      <c r="E516" s="1" t="s">
        <v>16</v>
      </c>
      <c r="F516" s="1" t="s">
        <v>25</v>
      </c>
      <c r="G516" s="1" t="s">
        <v>36</v>
      </c>
      <c r="H516" s="1">
        <v>8224</v>
      </c>
      <c r="I516" s="1" t="s">
        <v>22</v>
      </c>
      <c r="J516" s="1">
        <v>0.1</v>
      </c>
      <c r="K516" s="1">
        <v>9000</v>
      </c>
      <c r="L516" s="2">
        <v>45317</v>
      </c>
    </row>
    <row r="517" spans="1:12" x14ac:dyDescent="0.35">
      <c r="A517" s="1" t="s">
        <v>740</v>
      </c>
      <c r="B517" s="1" t="s">
        <v>454</v>
      </c>
      <c r="C517" s="1" t="s">
        <v>14</v>
      </c>
      <c r="D517" s="1" t="s">
        <v>15</v>
      </c>
      <c r="E517" s="1" t="s">
        <v>16</v>
      </c>
      <c r="F517" s="1" t="s">
        <v>39</v>
      </c>
      <c r="G517" s="1" t="s">
        <v>26</v>
      </c>
      <c r="H517" s="1">
        <v>15278</v>
      </c>
      <c r="I517" s="1" t="s">
        <v>27</v>
      </c>
      <c r="J517" s="1"/>
      <c r="K517" s="1">
        <v>14000</v>
      </c>
      <c r="L517" s="2">
        <v>45335</v>
      </c>
    </row>
    <row r="518" spans="1:12" x14ac:dyDescent="0.35">
      <c r="A518" s="1" t="s">
        <v>741</v>
      </c>
      <c r="B518" s="1" t="s">
        <v>373</v>
      </c>
      <c r="C518" s="1" t="s">
        <v>14</v>
      </c>
      <c r="D518" s="1" t="s">
        <v>15</v>
      </c>
      <c r="E518" s="1" t="s">
        <v>46</v>
      </c>
      <c r="F518" s="1" t="s">
        <v>25</v>
      </c>
      <c r="G518" s="1" t="s">
        <v>18</v>
      </c>
      <c r="H518" s="1">
        <v>15981</v>
      </c>
      <c r="I518" s="1" t="s">
        <v>19</v>
      </c>
      <c r="J518" s="1">
        <v>0.2</v>
      </c>
      <c r="K518" s="1">
        <v>14000</v>
      </c>
      <c r="L518" s="2">
        <v>45343</v>
      </c>
    </row>
    <row r="519" spans="1:12" x14ac:dyDescent="0.35">
      <c r="A519" s="1" t="s">
        <v>742</v>
      </c>
      <c r="B519" s="1" t="s">
        <v>235</v>
      </c>
      <c r="C519" s="1" t="s">
        <v>14</v>
      </c>
      <c r="D519" s="1" t="s">
        <v>15</v>
      </c>
      <c r="E519" s="1" t="s">
        <v>46</v>
      </c>
      <c r="F519" s="1" t="s">
        <v>25</v>
      </c>
      <c r="G519" s="1" t="s">
        <v>26</v>
      </c>
      <c r="H519" s="1">
        <v>13783</v>
      </c>
      <c r="I519" s="1" t="s">
        <v>19</v>
      </c>
      <c r="J519" s="1">
        <v>0.2</v>
      </c>
      <c r="K519" s="1">
        <v>14000</v>
      </c>
      <c r="L519" s="2">
        <v>45344</v>
      </c>
    </row>
    <row r="520" spans="1:12" x14ac:dyDescent="0.35">
      <c r="A520" s="1" t="s">
        <v>743</v>
      </c>
      <c r="B520" s="1" t="s">
        <v>422</v>
      </c>
      <c r="C520" s="1" t="s">
        <v>30</v>
      </c>
      <c r="D520" s="1" t="s">
        <v>31</v>
      </c>
      <c r="E520" s="1" t="s">
        <v>46</v>
      </c>
      <c r="F520" s="1" t="s">
        <v>39</v>
      </c>
      <c r="G520" s="1" t="s">
        <v>18</v>
      </c>
      <c r="H520" s="1">
        <v>15356</v>
      </c>
      <c r="I520" s="1"/>
      <c r="J520" s="1"/>
      <c r="K520" s="1">
        <v>17000</v>
      </c>
      <c r="L520" s="2">
        <v>45327</v>
      </c>
    </row>
    <row r="521" spans="1:12" x14ac:dyDescent="0.35">
      <c r="A521" s="1" t="s">
        <v>744</v>
      </c>
      <c r="B521" s="1" t="s">
        <v>512</v>
      </c>
      <c r="C521" s="1" t="s">
        <v>30</v>
      </c>
      <c r="D521" s="1" t="s">
        <v>31</v>
      </c>
      <c r="E521" s="1" t="s">
        <v>46</v>
      </c>
      <c r="F521" s="1" t="s">
        <v>39</v>
      </c>
      <c r="G521" s="1" t="s">
        <v>36</v>
      </c>
      <c r="H521" s="1">
        <v>18756</v>
      </c>
      <c r="I521" s="1" t="s">
        <v>22</v>
      </c>
      <c r="J521" s="1">
        <v>0.1</v>
      </c>
      <c r="K521" s="1">
        <v>17000</v>
      </c>
      <c r="L521" s="2">
        <v>45342</v>
      </c>
    </row>
    <row r="522" spans="1:12" x14ac:dyDescent="0.35">
      <c r="A522" s="1" t="s">
        <v>745</v>
      </c>
      <c r="B522" s="1" t="s">
        <v>672</v>
      </c>
      <c r="C522" s="1" t="s">
        <v>61</v>
      </c>
      <c r="D522" s="1" t="s">
        <v>62</v>
      </c>
      <c r="E522" s="1" t="s">
        <v>32</v>
      </c>
      <c r="F522" s="1" t="s">
        <v>17</v>
      </c>
      <c r="G522" s="1" t="s">
        <v>18</v>
      </c>
      <c r="H522" s="1">
        <v>7607</v>
      </c>
      <c r="I522" s="1" t="s">
        <v>27</v>
      </c>
      <c r="J522" s="1"/>
      <c r="K522" s="1">
        <v>9000</v>
      </c>
      <c r="L522" s="2">
        <v>45329</v>
      </c>
    </row>
    <row r="523" spans="1:12" x14ac:dyDescent="0.35">
      <c r="A523" s="1" t="s">
        <v>746</v>
      </c>
      <c r="B523" s="1" t="s">
        <v>579</v>
      </c>
      <c r="C523" s="1" t="s">
        <v>14</v>
      </c>
      <c r="D523" s="1" t="s">
        <v>15</v>
      </c>
      <c r="E523" s="1" t="s">
        <v>32</v>
      </c>
      <c r="F523" s="1" t="s">
        <v>39</v>
      </c>
      <c r="G523" s="1" t="s">
        <v>18</v>
      </c>
      <c r="H523" s="1">
        <v>15218</v>
      </c>
      <c r="I523" s="1" t="s">
        <v>33</v>
      </c>
      <c r="J523" s="1">
        <v>0.3</v>
      </c>
      <c r="K523" s="1">
        <v>14000</v>
      </c>
      <c r="L523" s="2">
        <v>45347</v>
      </c>
    </row>
    <row r="524" spans="1:12" x14ac:dyDescent="0.35">
      <c r="A524" s="1" t="s">
        <v>747</v>
      </c>
      <c r="B524" s="1" t="s">
        <v>217</v>
      </c>
      <c r="C524" s="1" t="s">
        <v>61</v>
      </c>
      <c r="D524" s="1" t="s">
        <v>62</v>
      </c>
      <c r="E524" s="1" t="s">
        <v>46</v>
      </c>
      <c r="F524" s="1" t="s">
        <v>17</v>
      </c>
      <c r="G524" s="1" t="s">
        <v>26</v>
      </c>
      <c r="H524" s="1">
        <v>8988</v>
      </c>
      <c r="I524" s="1" t="s">
        <v>27</v>
      </c>
      <c r="J524" s="1"/>
      <c r="K524" s="1">
        <v>9000</v>
      </c>
      <c r="L524" s="2">
        <v>45330</v>
      </c>
    </row>
    <row r="525" spans="1:12" x14ac:dyDescent="0.35">
      <c r="A525" s="1" t="s">
        <v>748</v>
      </c>
      <c r="B525" s="1" t="s">
        <v>711</v>
      </c>
      <c r="C525" s="1" t="s">
        <v>44</v>
      </c>
      <c r="D525" s="1" t="s">
        <v>45</v>
      </c>
      <c r="E525" s="1" t="s">
        <v>46</v>
      </c>
      <c r="F525" s="1" t="s">
        <v>17</v>
      </c>
      <c r="G525" s="1" t="s">
        <v>18</v>
      </c>
      <c r="H525" s="1">
        <v>13532</v>
      </c>
      <c r="I525" s="1" t="s">
        <v>27</v>
      </c>
      <c r="J525" s="1"/>
      <c r="K525" s="1">
        <v>13000</v>
      </c>
      <c r="L525" s="2">
        <v>45335</v>
      </c>
    </row>
    <row r="526" spans="1:12" x14ac:dyDescent="0.35">
      <c r="A526" s="1" t="s">
        <v>749</v>
      </c>
      <c r="B526" s="1" t="s">
        <v>127</v>
      </c>
      <c r="C526" s="1" t="s">
        <v>14</v>
      </c>
      <c r="D526" s="1" t="s">
        <v>15</v>
      </c>
      <c r="E526" s="1" t="s">
        <v>46</v>
      </c>
      <c r="F526" s="1" t="s">
        <v>17</v>
      </c>
      <c r="G526" s="1" t="s">
        <v>26</v>
      </c>
      <c r="H526" s="1">
        <v>12973</v>
      </c>
      <c r="I526" s="1" t="s">
        <v>22</v>
      </c>
      <c r="J526" s="1">
        <v>0.1</v>
      </c>
      <c r="K526" s="1">
        <v>14000</v>
      </c>
      <c r="L526" s="2">
        <v>45339</v>
      </c>
    </row>
    <row r="527" spans="1:12" x14ac:dyDescent="0.35">
      <c r="A527" s="1" t="s">
        <v>750</v>
      </c>
      <c r="B527" s="1" t="s">
        <v>123</v>
      </c>
      <c r="C527" s="1" t="s">
        <v>30</v>
      </c>
      <c r="D527" s="1" t="s">
        <v>31</v>
      </c>
      <c r="E527" s="1" t="s">
        <v>32</v>
      </c>
      <c r="F527" s="1" t="s">
        <v>17</v>
      </c>
      <c r="G527" s="1" t="s">
        <v>36</v>
      </c>
      <c r="H527" s="1">
        <v>16273</v>
      </c>
      <c r="I527" s="1" t="s">
        <v>33</v>
      </c>
      <c r="J527" s="1">
        <v>0.3</v>
      </c>
      <c r="K527" s="1">
        <v>17000</v>
      </c>
      <c r="L527" s="2">
        <v>45345</v>
      </c>
    </row>
    <row r="528" spans="1:12" x14ac:dyDescent="0.35">
      <c r="A528" s="1" t="s">
        <v>751</v>
      </c>
      <c r="B528" s="1" t="s">
        <v>752</v>
      </c>
      <c r="C528" s="1" t="s">
        <v>14</v>
      </c>
      <c r="D528" s="1" t="s">
        <v>15</v>
      </c>
      <c r="E528" s="1" t="s">
        <v>32</v>
      </c>
      <c r="F528" s="1" t="s">
        <v>25</v>
      </c>
      <c r="G528" s="1" t="s">
        <v>36</v>
      </c>
      <c r="H528" s="1">
        <v>15990</v>
      </c>
      <c r="I528" s="1"/>
      <c r="J528" s="1"/>
      <c r="K528" s="1">
        <v>14000</v>
      </c>
      <c r="L528" s="2">
        <v>45341</v>
      </c>
    </row>
    <row r="529" spans="1:12" x14ac:dyDescent="0.35">
      <c r="A529" s="1" t="s">
        <v>753</v>
      </c>
      <c r="B529" s="1" t="s">
        <v>303</v>
      </c>
      <c r="C529" s="1" t="s">
        <v>30</v>
      </c>
      <c r="D529" s="1" t="s">
        <v>31</v>
      </c>
      <c r="E529" s="1" t="s">
        <v>16</v>
      </c>
      <c r="F529" s="1" t="s">
        <v>17</v>
      </c>
      <c r="G529" s="1" t="s">
        <v>26</v>
      </c>
      <c r="H529" s="1">
        <v>17644</v>
      </c>
      <c r="I529" s="1" t="s">
        <v>22</v>
      </c>
      <c r="J529" s="1">
        <v>0.1</v>
      </c>
      <c r="K529" s="1">
        <v>17000</v>
      </c>
      <c r="L529" s="2">
        <v>45304</v>
      </c>
    </row>
    <row r="530" spans="1:12" x14ac:dyDescent="0.35">
      <c r="A530" s="1" t="s">
        <v>754</v>
      </c>
      <c r="B530" s="1" t="s">
        <v>211</v>
      </c>
      <c r="C530" s="1" t="s">
        <v>61</v>
      </c>
      <c r="D530" s="1" t="s">
        <v>62</v>
      </c>
      <c r="E530" s="1" t="s">
        <v>16</v>
      </c>
      <c r="F530" s="1" t="s">
        <v>17</v>
      </c>
      <c r="G530" s="1" t="s">
        <v>26</v>
      </c>
      <c r="H530" s="1">
        <v>10552</v>
      </c>
      <c r="I530" s="1" t="s">
        <v>33</v>
      </c>
      <c r="J530" s="1">
        <v>0.3</v>
      </c>
      <c r="K530" s="1">
        <v>9000</v>
      </c>
      <c r="L530" s="2">
        <v>45344</v>
      </c>
    </row>
    <row r="531" spans="1:12" x14ac:dyDescent="0.35">
      <c r="A531" s="1" t="s">
        <v>755</v>
      </c>
      <c r="B531" s="1" t="s">
        <v>166</v>
      </c>
      <c r="C531" s="1" t="s">
        <v>44</v>
      </c>
      <c r="D531" s="1" t="s">
        <v>45</v>
      </c>
      <c r="E531" s="1" t="s">
        <v>32</v>
      </c>
      <c r="F531" s="1" t="s">
        <v>17</v>
      </c>
      <c r="G531" s="1" t="s">
        <v>26</v>
      </c>
      <c r="H531" s="1">
        <v>13075</v>
      </c>
      <c r="I531" s="1"/>
      <c r="J531" s="1"/>
      <c r="K531" s="1">
        <v>13000</v>
      </c>
      <c r="L531" s="2">
        <v>45300</v>
      </c>
    </row>
    <row r="532" spans="1:12" x14ac:dyDescent="0.35">
      <c r="A532" s="1" t="s">
        <v>756</v>
      </c>
      <c r="B532" s="1" t="s">
        <v>140</v>
      </c>
      <c r="C532" s="1" t="s">
        <v>14</v>
      </c>
      <c r="D532" s="1" t="s">
        <v>15</v>
      </c>
      <c r="E532" s="1" t="s">
        <v>32</v>
      </c>
      <c r="F532" s="1" t="s">
        <v>25</v>
      </c>
      <c r="G532" s="1" t="s">
        <v>18</v>
      </c>
      <c r="H532" s="1">
        <v>15428</v>
      </c>
      <c r="I532" s="1" t="s">
        <v>22</v>
      </c>
      <c r="J532" s="1">
        <v>0.1</v>
      </c>
      <c r="K532" s="1">
        <v>14000</v>
      </c>
      <c r="L532" s="2">
        <v>45307</v>
      </c>
    </row>
    <row r="533" spans="1:12" x14ac:dyDescent="0.35">
      <c r="A533" s="1" t="s">
        <v>757</v>
      </c>
      <c r="B533" s="1" t="s">
        <v>489</v>
      </c>
      <c r="C533" s="1" t="s">
        <v>14</v>
      </c>
      <c r="D533" s="1" t="s">
        <v>15</v>
      </c>
      <c r="E533" s="1" t="s">
        <v>46</v>
      </c>
      <c r="F533" s="1" t="s">
        <v>39</v>
      </c>
      <c r="G533" s="1" t="s">
        <v>18</v>
      </c>
      <c r="H533" s="1">
        <v>13122</v>
      </c>
      <c r="I533" s="1" t="s">
        <v>33</v>
      </c>
      <c r="J533" s="1">
        <v>0.3</v>
      </c>
      <c r="K533" s="1">
        <v>14000</v>
      </c>
      <c r="L533" s="2">
        <v>45344</v>
      </c>
    </row>
    <row r="534" spans="1:12" x14ac:dyDescent="0.35">
      <c r="A534" s="1" t="s">
        <v>758</v>
      </c>
      <c r="B534" s="1" t="s">
        <v>330</v>
      </c>
      <c r="C534" s="1" t="s">
        <v>61</v>
      </c>
      <c r="D534" s="1" t="s">
        <v>62</v>
      </c>
      <c r="E534" s="1" t="s">
        <v>16</v>
      </c>
      <c r="F534" s="1" t="s">
        <v>25</v>
      </c>
      <c r="G534" s="1" t="s">
        <v>26</v>
      </c>
      <c r="H534" s="1">
        <v>7125</v>
      </c>
      <c r="I534" s="1" t="s">
        <v>19</v>
      </c>
      <c r="J534" s="1">
        <v>0.2</v>
      </c>
      <c r="K534" s="1">
        <v>9000</v>
      </c>
      <c r="L534" s="2">
        <v>45315</v>
      </c>
    </row>
    <row r="535" spans="1:12" x14ac:dyDescent="0.35">
      <c r="A535" s="1" t="s">
        <v>759</v>
      </c>
      <c r="B535" s="1" t="s">
        <v>600</v>
      </c>
      <c r="C535" s="1" t="s">
        <v>61</v>
      </c>
      <c r="D535" s="1" t="s">
        <v>62</v>
      </c>
      <c r="E535" s="1" t="s">
        <v>32</v>
      </c>
      <c r="F535" s="1" t="s">
        <v>17</v>
      </c>
      <c r="G535" s="1" t="s">
        <v>26</v>
      </c>
      <c r="H535" s="1">
        <v>9258</v>
      </c>
      <c r="I535" s="1" t="s">
        <v>33</v>
      </c>
      <c r="J535" s="1">
        <v>0.3</v>
      </c>
      <c r="K535" s="1">
        <v>9000</v>
      </c>
      <c r="L535" s="2">
        <v>45314</v>
      </c>
    </row>
    <row r="536" spans="1:12" x14ac:dyDescent="0.35">
      <c r="A536" s="1" t="s">
        <v>760</v>
      </c>
      <c r="B536" s="1" t="s">
        <v>619</v>
      </c>
      <c r="C536" s="1" t="s">
        <v>30</v>
      </c>
      <c r="D536" s="1" t="s">
        <v>31</v>
      </c>
      <c r="E536" s="1" t="s">
        <v>16</v>
      </c>
      <c r="F536" s="1" t="s">
        <v>39</v>
      </c>
      <c r="G536" s="1" t="s">
        <v>18</v>
      </c>
      <c r="H536" s="1">
        <v>16167</v>
      </c>
      <c r="I536" s="1" t="s">
        <v>22</v>
      </c>
      <c r="J536" s="1">
        <v>0.1</v>
      </c>
      <c r="K536" s="1">
        <v>17000</v>
      </c>
      <c r="L536" s="2">
        <v>45316</v>
      </c>
    </row>
    <row r="537" spans="1:12" x14ac:dyDescent="0.35">
      <c r="A537" s="1" t="s">
        <v>761</v>
      </c>
      <c r="B537" s="1" t="s">
        <v>243</v>
      </c>
      <c r="C537" s="1" t="s">
        <v>44</v>
      </c>
      <c r="D537" s="1" t="s">
        <v>45</v>
      </c>
      <c r="E537" s="1" t="s">
        <v>32</v>
      </c>
      <c r="F537" s="1" t="s">
        <v>39</v>
      </c>
      <c r="G537" s="1" t="s">
        <v>18</v>
      </c>
      <c r="H537" s="1">
        <v>13775</v>
      </c>
      <c r="I537" s="1" t="s">
        <v>19</v>
      </c>
      <c r="J537" s="1">
        <v>0.2</v>
      </c>
      <c r="K537" s="1">
        <v>13000</v>
      </c>
      <c r="L537" s="2">
        <v>45309</v>
      </c>
    </row>
    <row r="538" spans="1:12" x14ac:dyDescent="0.35">
      <c r="A538" s="1" t="s">
        <v>762</v>
      </c>
      <c r="B538" s="1" t="s">
        <v>90</v>
      </c>
      <c r="C538" s="1" t="s">
        <v>14</v>
      </c>
      <c r="D538" s="1" t="s">
        <v>15</v>
      </c>
      <c r="E538" s="1" t="s">
        <v>16</v>
      </c>
      <c r="F538" s="1" t="s">
        <v>25</v>
      </c>
      <c r="G538" s="1" t="s">
        <v>36</v>
      </c>
      <c r="H538" s="1">
        <v>15733</v>
      </c>
      <c r="I538" s="1" t="s">
        <v>19</v>
      </c>
      <c r="J538" s="1">
        <v>0.2</v>
      </c>
      <c r="K538" s="1">
        <v>14000</v>
      </c>
      <c r="L538" s="2">
        <v>45333</v>
      </c>
    </row>
    <row r="539" spans="1:12" x14ac:dyDescent="0.35">
      <c r="A539" s="1" t="s">
        <v>763</v>
      </c>
      <c r="B539" s="1" t="s">
        <v>720</v>
      </c>
      <c r="C539" s="1" t="s">
        <v>14</v>
      </c>
      <c r="D539" s="1" t="s">
        <v>15</v>
      </c>
      <c r="E539" s="1" t="s">
        <v>32</v>
      </c>
      <c r="F539" s="1" t="s">
        <v>17</v>
      </c>
      <c r="G539" s="1" t="s">
        <v>26</v>
      </c>
      <c r="H539" s="1">
        <v>15297</v>
      </c>
      <c r="I539" s="1" t="s">
        <v>33</v>
      </c>
      <c r="J539" s="1">
        <v>0.3</v>
      </c>
      <c r="K539" s="1">
        <v>14000</v>
      </c>
      <c r="L539" s="2">
        <v>45337</v>
      </c>
    </row>
    <row r="540" spans="1:12" x14ac:dyDescent="0.35">
      <c r="A540" s="1" t="s">
        <v>764</v>
      </c>
      <c r="B540" s="1" t="s">
        <v>765</v>
      </c>
      <c r="C540" s="1" t="s">
        <v>30</v>
      </c>
      <c r="D540" s="1" t="s">
        <v>31</v>
      </c>
      <c r="E540" s="1" t="s">
        <v>46</v>
      </c>
      <c r="F540" s="1" t="s">
        <v>17</v>
      </c>
      <c r="G540" s="1" t="s">
        <v>36</v>
      </c>
      <c r="H540" s="1">
        <v>16880</v>
      </c>
      <c r="I540" s="1" t="s">
        <v>33</v>
      </c>
      <c r="J540" s="1">
        <v>0.3</v>
      </c>
      <c r="K540" s="1">
        <v>17000</v>
      </c>
      <c r="L540" s="2">
        <v>45305</v>
      </c>
    </row>
    <row r="541" spans="1:12" x14ac:dyDescent="0.35">
      <c r="A541" s="1" t="s">
        <v>766</v>
      </c>
      <c r="B541" s="1" t="s">
        <v>123</v>
      </c>
      <c r="C541" s="1" t="s">
        <v>61</v>
      </c>
      <c r="D541" s="1" t="s">
        <v>62</v>
      </c>
      <c r="E541" s="1" t="s">
        <v>16</v>
      </c>
      <c r="F541" s="1" t="s">
        <v>25</v>
      </c>
      <c r="G541" s="1" t="s">
        <v>18</v>
      </c>
      <c r="H541" s="1">
        <v>9095</v>
      </c>
      <c r="I541" s="1" t="s">
        <v>33</v>
      </c>
      <c r="J541" s="1">
        <v>0.3</v>
      </c>
      <c r="K541" s="1">
        <v>9000</v>
      </c>
      <c r="L541" s="2">
        <v>45327</v>
      </c>
    </row>
    <row r="542" spans="1:12" x14ac:dyDescent="0.35">
      <c r="A542" s="1" t="s">
        <v>767</v>
      </c>
      <c r="B542" s="1" t="s">
        <v>163</v>
      </c>
      <c r="C542" s="1" t="s">
        <v>30</v>
      </c>
      <c r="D542" s="1" t="s">
        <v>31</v>
      </c>
      <c r="E542" s="1" t="s">
        <v>46</v>
      </c>
      <c r="F542" s="1" t="s">
        <v>39</v>
      </c>
      <c r="G542" s="1" t="s">
        <v>18</v>
      </c>
      <c r="H542" s="1">
        <v>16973</v>
      </c>
      <c r="I542" s="1" t="s">
        <v>22</v>
      </c>
      <c r="J542" s="1">
        <v>0.1</v>
      </c>
      <c r="K542" s="1">
        <v>17000</v>
      </c>
      <c r="L542" s="2">
        <v>45313</v>
      </c>
    </row>
    <row r="543" spans="1:12" x14ac:dyDescent="0.35">
      <c r="A543" s="1" t="s">
        <v>768</v>
      </c>
      <c r="B543" s="1" t="s">
        <v>286</v>
      </c>
      <c r="C543" s="1" t="s">
        <v>30</v>
      </c>
      <c r="D543" s="1" t="s">
        <v>31</v>
      </c>
      <c r="E543" s="1" t="s">
        <v>46</v>
      </c>
      <c r="F543" s="1" t="s">
        <v>17</v>
      </c>
      <c r="G543" s="1" t="s">
        <v>26</v>
      </c>
      <c r="H543" s="1">
        <v>17912</v>
      </c>
      <c r="I543" s="1" t="s">
        <v>33</v>
      </c>
      <c r="J543" s="1">
        <v>0.3</v>
      </c>
      <c r="K543" s="1">
        <v>17000</v>
      </c>
      <c r="L543" s="2">
        <v>45304</v>
      </c>
    </row>
    <row r="544" spans="1:12" x14ac:dyDescent="0.35">
      <c r="A544" s="1" t="s">
        <v>769</v>
      </c>
      <c r="B544" s="1" t="s">
        <v>440</v>
      </c>
      <c r="C544" s="1" t="s">
        <v>44</v>
      </c>
      <c r="D544" s="1" t="s">
        <v>45</v>
      </c>
      <c r="E544" s="1" t="s">
        <v>32</v>
      </c>
      <c r="F544" s="1" t="s">
        <v>39</v>
      </c>
      <c r="G544" s="1" t="s">
        <v>36</v>
      </c>
      <c r="H544" s="1">
        <v>13705</v>
      </c>
      <c r="I544" s="1" t="s">
        <v>33</v>
      </c>
      <c r="J544" s="1">
        <v>0.3</v>
      </c>
      <c r="K544" s="1">
        <v>13000</v>
      </c>
      <c r="L544" s="2">
        <v>45335</v>
      </c>
    </row>
    <row r="545" spans="1:12" x14ac:dyDescent="0.35">
      <c r="A545" s="1" t="s">
        <v>770</v>
      </c>
      <c r="B545" s="1" t="s">
        <v>280</v>
      </c>
      <c r="C545" s="1" t="s">
        <v>14</v>
      </c>
      <c r="D545" s="1" t="s">
        <v>15</v>
      </c>
      <c r="E545" s="1" t="s">
        <v>16</v>
      </c>
      <c r="F545" s="1" t="s">
        <v>17</v>
      </c>
      <c r="G545" s="1" t="s">
        <v>36</v>
      </c>
      <c r="H545" s="1">
        <v>13062</v>
      </c>
      <c r="I545" s="1"/>
      <c r="J545" s="1"/>
      <c r="K545" s="1">
        <v>14000</v>
      </c>
      <c r="L545" s="2">
        <v>45317</v>
      </c>
    </row>
    <row r="546" spans="1:12" x14ac:dyDescent="0.35">
      <c r="A546" s="1" t="s">
        <v>771</v>
      </c>
      <c r="B546" s="1" t="s">
        <v>101</v>
      </c>
      <c r="C546" s="1" t="s">
        <v>14</v>
      </c>
      <c r="D546" s="1" t="s">
        <v>15</v>
      </c>
      <c r="E546" s="1" t="s">
        <v>16</v>
      </c>
      <c r="F546" s="1" t="s">
        <v>39</v>
      </c>
      <c r="G546" s="1" t="s">
        <v>26</v>
      </c>
      <c r="H546" s="1">
        <v>15342</v>
      </c>
      <c r="I546" s="1" t="s">
        <v>19</v>
      </c>
      <c r="J546" s="1">
        <v>0.2</v>
      </c>
      <c r="K546" s="1">
        <v>14000</v>
      </c>
      <c r="L546" s="2">
        <v>45313</v>
      </c>
    </row>
    <row r="547" spans="1:12" x14ac:dyDescent="0.35">
      <c r="A547" s="1" t="s">
        <v>772</v>
      </c>
      <c r="B547" s="1" t="s">
        <v>342</v>
      </c>
      <c r="C547" s="1" t="s">
        <v>44</v>
      </c>
      <c r="D547" s="1" t="s">
        <v>45</v>
      </c>
      <c r="E547" s="1" t="s">
        <v>16</v>
      </c>
      <c r="F547" s="1" t="s">
        <v>39</v>
      </c>
      <c r="G547" s="1" t="s">
        <v>26</v>
      </c>
      <c r="H547" s="1">
        <v>14214</v>
      </c>
      <c r="I547" s="1"/>
      <c r="J547" s="1"/>
      <c r="K547" s="1">
        <v>13000</v>
      </c>
      <c r="L547" s="2">
        <v>45350</v>
      </c>
    </row>
    <row r="548" spans="1:12" x14ac:dyDescent="0.35">
      <c r="A548" s="1" t="s">
        <v>773</v>
      </c>
      <c r="B548" s="1" t="s">
        <v>317</v>
      </c>
      <c r="C548" s="1" t="s">
        <v>30</v>
      </c>
      <c r="D548" s="1" t="s">
        <v>31</v>
      </c>
      <c r="E548" s="1" t="s">
        <v>32</v>
      </c>
      <c r="F548" s="1" t="s">
        <v>39</v>
      </c>
      <c r="G548" s="1" t="s">
        <v>26</v>
      </c>
      <c r="H548" s="1">
        <v>15741</v>
      </c>
      <c r="I548" s="1" t="s">
        <v>33</v>
      </c>
      <c r="J548" s="1">
        <v>0.3</v>
      </c>
      <c r="K548" s="1">
        <v>17000</v>
      </c>
      <c r="L548" s="2">
        <v>45298</v>
      </c>
    </row>
    <row r="549" spans="1:12" x14ac:dyDescent="0.35">
      <c r="A549" s="1" t="s">
        <v>774</v>
      </c>
      <c r="B549" s="1" t="s">
        <v>508</v>
      </c>
      <c r="C549" s="1" t="s">
        <v>30</v>
      </c>
      <c r="D549" s="1" t="s">
        <v>31</v>
      </c>
      <c r="E549" s="1" t="s">
        <v>16</v>
      </c>
      <c r="F549" s="1" t="s">
        <v>39</v>
      </c>
      <c r="G549" s="1" t="s">
        <v>18</v>
      </c>
      <c r="H549" s="1">
        <v>18878</v>
      </c>
      <c r="I549" s="1" t="s">
        <v>33</v>
      </c>
      <c r="J549" s="1">
        <v>0.3</v>
      </c>
      <c r="K549" s="1">
        <v>17000</v>
      </c>
      <c r="L549" s="2">
        <v>45333</v>
      </c>
    </row>
    <row r="550" spans="1:12" x14ac:dyDescent="0.35">
      <c r="A550" s="1" t="s">
        <v>775</v>
      </c>
      <c r="B550" s="1" t="s">
        <v>248</v>
      </c>
      <c r="C550" s="1" t="s">
        <v>30</v>
      </c>
      <c r="D550" s="1" t="s">
        <v>31</v>
      </c>
      <c r="E550" s="1" t="s">
        <v>32</v>
      </c>
      <c r="F550" s="1" t="s">
        <v>39</v>
      </c>
      <c r="G550" s="1" t="s">
        <v>36</v>
      </c>
      <c r="H550" s="1">
        <v>16722</v>
      </c>
      <c r="I550" s="1" t="s">
        <v>33</v>
      </c>
      <c r="J550" s="1">
        <v>0.3</v>
      </c>
      <c r="K550" s="1">
        <v>17000</v>
      </c>
      <c r="L550" s="2">
        <v>45315</v>
      </c>
    </row>
    <row r="551" spans="1:12" x14ac:dyDescent="0.35">
      <c r="A551" s="1" t="s">
        <v>776</v>
      </c>
      <c r="B551" s="1" t="s">
        <v>118</v>
      </c>
      <c r="C551" s="1" t="s">
        <v>30</v>
      </c>
      <c r="D551" s="1" t="s">
        <v>31</v>
      </c>
      <c r="E551" s="1" t="s">
        <v>46</v>
      </c>
      <c r="F551" s="1" t="s">
        <v>25</v>
      </c>
      <c r="G551" s="1" t="s">
        <v>36</v>
      </c>
      <c r="H551" s="1">
        <v>15219</v>
      </c>
      <c r="I551" s="1" t="s">
        <v>27</v>
      </c>
      <c r="J551" s="1"/>
      <c r="K551" s="1">
        <v>17000</v>
      </c>
      <c r="L551" s="2">
        <v>45329</v>
      </c>
    </row>
    <row r="552" spans="1:12" x14ac:dyDescent="0.35">
      <c r="A552" s="1" t="s">
        <v>777</v>
      </c>
      <c r="B552" s="1" t="s">
        <v>107</v>
      </c>
      <c r="C552" s="1" t="s">
        <v>61</v>
      </c>
      <c r="D552" s="1" t="s">
        <v>62</v>
      </c>
      <c r="E552" s="1" t="s">
        <v>32</v>
      </c>
      <c r="F552" s="1" t="s">
        <v>39</v>
      </c>
      <c r="G552" s="1" t="s">
        <v>18</v>
      </c>
      <c r="H552" s="1">
        <v>10553</v>
      </c>
      <c r="I552" s="1"/>
      <c r="J552" s="1"/>
      <c r="K552" s="1">
        <v>9000</v>
      </c>
      <c r="L552" s="2">
        <v>45325</v>
      </c>
    </row>
    <row r="553" spans="1:12" x14ac:dyDescent="0.35">
      <c r="A553" s="1" t="s">
        <v>778</v>
      </c>
      <c r="B553" s="1" t="s">
        <v>70</v>
      </c>
      <c r="C553" s="1" t="s">
        <v>14</v>
      </c>
      <c r="D553" s="1" t="s">
        <v>15</v>
      </c>
      <c r="E553" s="1" t="s">
        <v>32</v>
      </c>
      <c r="F553" s="1" t="s">
        <v>25</v>
      </c>
      <c r="G553" s="1" t="s">
        <v>18</v>
      </c>
      <c r="H553" s="1">
        <v>13403</v>
      </c>
      <c r="I553" s="1"/>
      <c r="J553" s="1"/>
      <c r="K553" s="1">
        <v>14000</v>
      </c>
      <c r="L553" s="2">
        <v>45328</v>
      </c>
    </row>
    <row r="554" spans="1:12" x14ac:dyDescent="0.35">
      <c r="A554" s="1" t="s">
        <v>779</v>
      </c>
      <c r="B554" s="1" t="s">
        <v>445</v>
      </c>
      <c r="C554" s="1" t="s">
        <v>44</v>
      </c>
      <c r="D554" s="1" t="s">
        <v>45</v>
      </c>
      <c r="E554" s="1" t="s">
        <v>46</v>
      </c>
      <c r="F554" s="1" t="s">
        <v>39</v>
      </c>
      <c r="G554" s="1" t="s">
        <v>18</v>
      </c>
      <c r="H554" s="1">
        <v>14190</v>
      </c>
      <c r="I554" s="1" t="s">
        <v>22</v>
      </c>
      <c r="J554" s="1">
        <v>0.1</v>
      </c>
      <c r="K554" s="1">
        <v>13000</v>
      </c>
      <c r="L554" s="2">
        <v>45323</v>
      </c>
    </row>
    <row r="555" spans="1:12" x14ac:dyDescent="0.35">
      <c r="A555" s="1" t="s">
        <v>780</v>
      </c>
      <c r="B555" s="1" t="s">
        <v>150</v>
      </c>
      <c r="C555" s="1" t="s">
        <v>44</v>
      </c>
      <c r="D555" s="1" t="s">
        <v>45</v>
      </c>
      <c r="E555" s="1" t="s">
        <v>46</v>
      </c>
      <c r="F555" s="1" t="s">
        <v>39</v>
      </c>
      <c r="G555" s="1" t="s">
        <v>18</v>
      </c>
      <c r="H555" s="1">
        <v>11019</v>
      </c>
      <c r="I555" s="1"/>
      <c r="J555" s="1"/>
      <c r="K555" s="1">
        <v>13000</v>
      </c>
      <c r="L555" s="2">
        <v>45309</v>
      </c>
    </row>
    <row r="556" spans="1:12" x14ac:dyDescent="0.35">
      <c r="A556" s="1" t="s">
        <v>781</v>
      </c>
      <c r="B556" s="1" t="s">
        <v>401</v>
      </c>
      <c r="C556" s="1" t="s">
        <v>44</v>
      </c>
      <c r="D556" s="1" t="s">
        <v>45</v>
      </c>
      <c r="E556" s="1" t="s">
        <v>16</v>
      </c>
      <c r="F556" s="1" t="s">
        <v>25</v>
      </c>
      <c r="G556" s="1" t="s">
        <v>36</v>
      </c>
      <c r="H556" s="1">
        <v>14216</v>
      </c>
      <c r="I556" s="1" t="s">
        <v>22</v>
      </c>
      <c r="J556" s="1">
        <v>0.1</v>
      </c>
      <c r="K556" s="1">
        <v>13000</v>
      </c>
      <c r="L556" s="2">
        <v>45300</v>
      </c>
    </row>
    <row r="557" spans="1:12" x14ac:dyDescent="0.35">
      <c r="A557" s="1" t="s">
        <v>782</v>
      </c>
      <c r="B557" s="1" t="s">
        <v>337</v>
      </c>
      <c r="C557" s="1" t="s">
        <v>61</v>
      </c>
      <c r="D557" s="1" t="s">
        <v>62</v>
      </c>
      <c r="E557" s="1" t="s">
        <v>46</v>
      </c>
      <c r="F557" s="1" t="s">
        <v>17</v>
      </c>
      <c r="G557" s="1" t="s">
        <v>36</v>
      </c>
      <c r="H557" s="1">
        <v>8570</v>
      </c>
      <c r="I557" s="1" t="s">
        <v>22</v>
      </c>
      <c r="J557" s="1">
        <v>0.1</v>
      </c>
      <c r="K557" s="1">
        <v>9000</v>
      </c>
      <c r="L557" s="2">
        <v>45294</v>
      </c>
    </row>
    <row r="558" spans="1:12" x14ac:dyDescent="0.35">
      <c r="A558" s="1" t="s">
        <v>783</v>
      </c>
      <c r="B558" s="1" t="s">
        <v>346</v>
      </c>
      <c r="C558" s="1" t="s">
        <v>30</v>
      </c>
      <c r="D558" s="1" t="s">
        <v>31</v>
      </c>
      <c r="E558" s="1" t="s">
        <v>32</v>
      </c>
      <c r="F558" s="1" t="s">
        <v>17</v>
      </c>
      <c r="G558" s="1" t="s">
        <v>26</v>
      </c>
      <c r="H558" s="1">
        <v>15780</v>
      </c>
      <c r="I558" s="1" t="s">
        <v>22</v>
      </c>
      <c r="J558" s="1">
        <v>0.1</v>
      </c>
      <c r="K558" s="1">
        <v>17000</v>
      </c>
      <c r="L558" s="2">
        <v>45335</v>
      </c>
    </row>
    <row r="559" spans="1:12" x14ac:dyDescent="0.35">
      <c r="A559" s="1" t="s">
        <v>784</v>
      </c>
      <c r="B559" s="1" t="s">
        <v>68</v>
      </c>
      <c r="C559" s="1" t="s">
        <v>44</v>
      </c>
      <c r="D559" s="1" t="s">
        <v>45</v>
      </c>
      <c r="E559" s="1" t="s">
        <v>32</v>
      </c>
      <c r="F559" s="1" t="s">
        <v>39</v>
      </c>
      <c r="G559" s="1" t="s">
        <v>36</v>
      </c>
      <c r="H559" s="1">
        <v>12278</v>
      </c>
      <c r="I559" s="1" t="s">
        <v>19</v>
      </c>
      <c r="J559" s="1">
        <v>0.2</v>
      </c>
      <c r="K559" s="1">
        <v>13000</v>
      </c>
      <c r="L559" s="2">
        <v>45298</v>
      </c>
    </row>
    <row r="560" spans="1:12" x14ac:dyDescent="0.35">
      <c r="A560" s="1" t="s">
        <v>785</v>
      </c>
      <c r="B560" s="1" t="s">
        <v>512</v>
      </c>
      <c r="C560" s="1" t="s">
        <v>30</v>
      </c>
      <c r="D560" s="1" t="s">
        <v>31</v>
      </c>
      <c r="E560" s="1" t="s">
        <v>32</v>
      </c>
      <c r="F560" s="1" t="s">
        <v>25</v>
      </c>
      <c r="G560" s="1" t="s">
        <v>18</v>
      </c>
      <c r="H560" s="1">
        <v>16221</v>
      </c>
      <c r="I560" s="1" t="s">
        <v>33</v>
      </c>
      <c r="J560" s="1">
        <v>0.3</v>
      </c>
      <c r="K560" s="1">
        <v>17000</v>
      </c>
      <c r="L560" s="2">
        <v>45321</v>
      </c>
    </row>
    <row r="561" spans="1:12" x14ac:dyDescent="0.35">
      <c r="A561" s="1" t="s">
        <v>786</v>
      </c>
      <c r="B561" s="1" t="s">
        <v>103</v>
      </c>
      <c r="C561" s="1" t="s">
        <v>30</v>
      </c>
      <c r="D561" s="1" t="s">
        <v>31</v>
      </c>
      <c r="E561" s="1" t="s">
        <v>46</v>
      </c>
      <c r="F561" s="1" t="s">
        <v>39</v>
      </c>
      <c r="G561" s="1" t="s">
        <v>18</v>
      </c>
      <c r="H561" s="1">
        <v>16403</v>
      </c>
      <c r="I561" s="1"/>
      <c r="J561" s="1"/>
      <c r="K561" s="1">
        <v>17000</v>
      </c>
      <c r="L561" s="2">
        <v>45314</v>
      </c>
    </row>
    <row r="562" spans="1:12" x14ac:dyDescent="0.35">
      <c r="A562" s="1" t="s">
        <v>787</v>
      </c>
      <c r="B562" s="1" t="s">
        <v>294</v>
      </c>
      <c r="C562" s="1" t="s">
        <v>44</v>
      </c>
      <c r="D562" s="1" t="s">
        <v>45</v>
      </c>
      <c r="E562" s="1" t="s">
        <v>46</v>
      </c>
      <c r="F562" s="1" t="s">
        <v>25</v>
      </c>
      <c r="G562" s="1" t="s">
        <v>18</v>
      </c>
      <c r="H562" s="1">
        <v>11918</v>
      </c>
      <c r="I562" s="1" t="s">
        <v>19</v>
      </c>
      <c r="J562" s="1">
        <v>0.2</v>
      </c>
      <c r="K562" s="1">
        <v>13000</v>
      </c>
      <c r="L562" s="2">
        <v>45305</v>
      </c>
    </row>
    <row r="563" spans="1:12" x14ac:dyDescent="0.35">
      <c r="A563" s="1" t="s">
        <v>788</v>
      </c>
      <c r="B563" s="1" t="s">
        <v>464</v>
      </c>
      <c r="C563" s="1" t="s">
        <v>44</v>
      </c>
      <c r="D563" s="1" t="s">
        <v>45</v>
      </c>
      <c r="E563" s="1" t="s">
        <v>32</v>
      </c>
      <c r="F563" s="1" t="s">
        <v>17</v>
      </c>
      <c r="G563" s="1" t="s">
        <v>26</v>
      </c>
      <c r="H563" s="1">
        <v>13664</v>
      </c>
      <c r="I563" s="1" t="s">
        <v>22</v>
      </c>
      <c r="J563" s="1">
        <v>0.1</v>
      </c>
      <c r="K563" s="1">
        <v>13000</v>
      </c>
      <c r="L563" s="2">
        <v>45316</v>
      </c>
    </row>
    <row r="564" spans="1:12" x14ac:dyDescent="0.35">
      <c r="A564" s="1" t="s">
        <v>789</v>
      </c>
      <c r="B564" s="1" t="s">
        <v>50</v>
      </c>
      <c r="C564" s="1" t="s">
        <v>30</v>
      </c>
      <c r="D564" s="1" t="s">
        <v>31</v>
      </c>
      <c r="E564" s="1" t="s">
        <v>16</v>
      </c>
      <c r="F564" s="1" t="s">
        <v>39</v>
      </c>
      <c r="G564" s="1" t="s">
        <v>18</v>
      </c>
      <c r="H564" s="1">
        <v>17432</v>
      </c>
      <c r="I564" s="1" t="s">
        <v>22</v>
      </c>
      <c r="J564" s="1">
        <v>0.1</v>
      </c>
      <c r="K564" s="1">
        <v>17000</v>
      </c>
      <c r="L564" s="2">
        <v>45334</v>
      </c>
    </row>
    <row r="565" spans="1:12" x14ac:dyDescent="0.35">
      <c r="A565" s="1" t="s">
        <v>790</v>
      </c>
      <c r="B565" s="1" t="s">
        <v>21</v>
      </c>
      <c r="C565" s="1" t="s">
        <v>14</v>
      </c>
      <c r="D565" s="1" t="s">
        <v>15</v>
      </c>
      <c r="E565" s="1" t="s">
        <v>32</v>
      </c>
      <c r="F565" s="1" t="s">
        <v>39</v>
      </c>
      <c r="G565" s="1" t="s">
        <v>18</v>
      </c>
      <c r="H565" s="1">
        <v>13707</v>
      </c>
      <c r="I565" s="1"/>
      <c r="J565" s="1"/>
      <c r="K565" s="1">
        <v>14000</v>
      </c>
      <c r="L565" s="2">
        <v>45316</v>
      </c>
    </row>
    <row r="566" spans="1:12" x14ac:dyDescent="0.35">
      <c r="A566" s="1" t="s">
        <v>791</v>
      </c>
      <c r="B566" s="1" t="s">
        <v>241</v>
      </c>
      <c r="C566" s="1" t="s">
        <v>30</v>
      </c>
      <c r="D566" s="1" t="s">
        <v>31</v>
      </c>
      <c r="E566" s="1" t="s">
        <v>46</v>
      </c>
      <c r="F566" s="1" t="s">
        <v>39</v>
      </c>
      <c r="G566" s="1" t="s">
        <v>18</v>
      </c>
      <c r="H566" s="1">
        <v>15841</v>
      </c>
      <c r="I566" s="1" t="s">
        <v>22</v>
      </c>
      <c r="J566" s="1">
        <v>0.1</v>
      </c>
      <c r="K566" s="1">
        <v>17000</v>
      </c>
      <c r="L566" s="2">
        <v>45311</v>
      </c>
    </row>
    <row r="567" spans="1:12" x14ac:dyDescent="0.35">
      <c r="A567" s="1" t="s">
        <v>792</v>
      </c>
      <c r="B567" s="1" t="s">
        <v>274</v>
      </c>
      <c r="C567" s="1" t="s">
        <v>14</v>
      </c>
      <c r="D567" s="1" t="s">
        <v>15</v>
      </c>
      <c r="E567" s="1" t="s">
        <v>16</v>
      </c>
      <c r="F567" s="1" t="s">
        <v>39</v>
      </c>
      <c r="G567" s="1" t="s">
        <v>36</v>
      </c>
      <c r="H567" s="1">
        <v>14550</v>
      </c>
      <c r="I567" s="1" t="s">
        <v>27</v>
      </c>
      <c r="J567" s="1"/>
      <c r="K567" s="1">
        <v>14000</v>
      </c>
      <c r="L567" s="2">
        <v>45336</v>
      </c>
    </row>
    <row r="568" spans="1:12" x14ac:dyDescent="0.35">
      <c r="A568" s="1" t="s">
        <v>793</v>
      </c>
      <c r="B568" s="1" t="s">
        <v>363</v>
      </c>
      <c r="C568" s="1" t="s">
        <v>14</v>
      </c>
      <c r="D568" s="1" t="s">
        <v>15</v>
      </c>
      <c r="E568" s="1" t="s">
        <v>16</v>
      </c>
      <c r="F568" s="1" t="s">
        <v>39</v>
      </c>
      <c r="G568" s="1" t="s">
        <v>26</v>
      </c>
      <c r="H568" s="1">
        <v>12482</v>
      </c>
      <c r="I568" s="1" t="s">
        <v>33</v>
      </c>
      <c r="J568" s="1">
        <v>0.3</v>
      </c>
      <c r="K568" s="1">
        <v>14000</v>
      </c>
      <c r="L568" s="2">
        <v>45299</v>
      </c>
    </row>
    <row r="569" spans="1:12" x14ac:dyDescent="0.35">
      <c r="A569" s="1" t="s">
        <v>794</v>
      </c>
      <c r="B569" s="1" t="s">
        <v>652</v>
      </c>
      <c r="C569" s="1" t="s">
        <v>61</v>
      </c>
      <c r="D569" s="1" t="s">
        <v>62</v>
      </c>
      <c r="E569" s="1" t="s">
        <v>32</v>
      </c>
      <c r="F569" s="1" t="s">
        <v>39</v>
      </c>
      <c r="G569" s="1" t="s">
        <v>18</v>
      </c>
      <c r="H569" s="1">
        <v>10186</v>
      </c>
      <c r="I569" s="1" t="s">
        <v>33</v>
      </c>
      <c r="J569" s="1">
        <v>0.3</v>
      </c>
      <c r="K569" s="1">
        <v>9000</v>
      </c>
      <c r="L569" s="2">
        <v>45345</v>
      </c>
    </row>
    <row r="570" spans="1:12" x14ac:dyDescent="0.35">
      <c r="A570" s="1" t="s">
        <v>795</v>
      </c>
      <c r="B570" s="1" t="s">
        <v>346</v>
      </c>
      <c r="C570" s="1" t="s">
        <v>30</v>
      </c>
      <c r="D570" s="1" t="s">
        <v>31</v>
      </c>
      <c r="E570" s="1" t="s">
        <v>16</v>
      </c>
      <c r="F570" s="1" t="s">
        <v>17</v>
      </c>
      <c r="G570" s="1" t="s">
        <v>36</v>
      </c>
      <c r="H570" s="1">
        <v>15656</v>
      </c>
      <c r="I570" s="1" t="s">
        <v>22</v>
      </c>
      <c r="J570" s="1">
        <v>0.1</v>
      </c>
      <c r="K570" s="1">
        <v>17000</v>
      </c>
      <c r="L570" s="2">
        <v>45327</v>
      </c>
    </row>
    <row r="571" spans="1:12" x14ac:dyDescent="0.35">
      <c r="A571" s="1" t="s">
        <v>796</v>
      </c>
      <c r="B571" s="1" t="s">
        <v>211</v>
      </c>
      <c r="C571" s="1" t="s">
        <v>61</v>
      </c>
      <c r="D571" s="1" t="s">
        <v>62</v>
      </c>
      <c r="E571" s="1" t="s">
        <v>46</v>
      </c>
      <c r="F571" s="1" t="s">
        <v>25</v>
      </c>
      <c r="G571" s="1" t="s">
        <v>18</v>
      </c>
      <c r="H571" s="1">
        <v>7052</v>
      </c>
      <c r="I571" s="1" t="s">
        <v>22</v>
      </c>
      <c r="J571" s="1">
        <v>0.1</v>
      </c>
      <c r="K571" s="1">
        <v>9000</v>
      </c>
      <c r="L571" s="2">
        <v>45350</v>
      </c>
    </row>
    <row r="572" spans="1:12" x14ac:dyDescent="0.35">
      <c r="A572" s="1" t="s">
        <v>797</v>
      </c>
      <c r="B572" s="1" t="s">
        <v>159</v>
      </c>
      <c r="C572" s="1" t="s">
        <v>61</v>
      </c>
      <c r="D572" s="1" t="s">
        <v>62</v>
      </c>
      <c r="E572" s="1" t="s">
        <v>32</v>
      </c>
      <c r="F572" s="1" t="s">
        <v>25</v>
      </c>
      <c r="G572" s="1" t="s">
        <v>26</v>
      </c>
      <c r="H572" s="1">
        <v>7307</v>
      </c>
      <c r="I572" s="1" t="s">
        <v>22</v>
      </c>
      <c r="J572" s="1">
        <v>0.1</v>
      </c>
      <c r="K572" s="1">
        <v>9000</v>
      </c>
      <c r="L572" s="2">
        <v>45349</v>
      </c>
    </row>
    <row r="573" spans="1:12" x14ac:dyDescent="0.35">
      <c r="A573" s="1" t="s">
        <v>798</v>
      </c>
      <c r="B573" s="1" t="s">
        <v>286</v>
      </c>
      <c r="C573" s="1" t="s">
        <v>44</v>
      </c>
      <c r="D573" s="1" t="s">
        <v>45</v>
      </c>
      <c r="E573" s="1" t="s">
        <v>46</v>
      </c>
      <c r="F573" s="1" t="s">
        <v>17</v>
      </c>
      <c r="G573" s="1" t="s">
        <v>36</v>
      </c>
      <c r="H573" s="1">
        <v>12901</v>
      </c>
      <c r="I573" s="1" t="s">
        <v>22</v>
      </c>
      <c r="J573" s="1">
        <v>0.1</v>
      </c>
      <c r="K573" s="1">
        <v>13000</v>
      </c>
      <c r="L573" s="2">
        <v>45298</v>
      </c>
    </row>
    <row r="574" spans="1:12" x14ac:dyDescent="0.35">
      <c r="A574" s="1" t="s">
        <v>799</v>
      </c>
      <c r="B574" s="1" t="s">
        <v>412</v>
      </c>
      <c r="C574" s="1" t="s">
        <v>14</v>
      </c>
      <c r="D574" s="1" t="s">
        <v>15</v>
      </c>
      <c r="E574" s="1" t="s">
        <v>46</v>
      </c>
      <c r="F574" s="1" t="s">
        <v>17</v>
      </c>
      <c r="G574" s="1" t="s">
        <v>26</v>
      </c>
      <c r="H574" s="1">
        <v>13280</v>
      </c>
      <c r="I574" s="1"/>
      <c r="J574" s="1"/>
      <c r="K574" s="1">
        <v>14000</v>
      </c>
      <c r="L574" s="2">
        <v>45339</v>
      </c>
    </row>
    <row r="575" spans="1:12" x14ac:dyDescent="0.35">
      <c r="A575" s="1" t="s">
        <v>800</v>
      </c>
      <c r="B575" s="1" t="s">
        <v>78</v>
      </c>
      <c r="C575" s="1" t="s">
        <v>14</v>
      </c>
      <c r="D575" s="1" t="s">
        <v>15</v>
      </c>
      <c r="E575" s="1" t="s">
        <v>32</v>
      </c>
      <c r="F575" s="1" t="s">
        <v>25</v>
      </c>
      <c r="G575" s="1" t="s">
        <v>26</v>
      </c>
      <c r="H575" s="1">
        <v>14650</v>
      </c>
      <c r="I575" s="1" t="s">
        <v>19</v>
      </c>
      <c r="J575" s="1">
        <v>0.2</v>
      </c>
      <c r="K575" s="1">
        <v>14000</v>
      </c>
      <c r="L575" s="2">
        <v>45313</v>
      </c>
    </row>
    <row r="576" spans="1:12" x14ac:dyDescent="0.35">
      <c r="A576" s="1" t="s">
        <v>801</v>
      </c>
      <c r="B576" s="1" t="s">
        <v>802</v>
      </c>
      <c r="C576" s="1" t="s">
        <v>30</v>
      </c>
      <c r="D576" s="1" t="s">
        <v>31</v>
      </c>
      <c r="E576" s="1" t="s">
        <v>16</v>
      </c>
      <c r="F576" s="1" t="s">
        <v>25</v>
      </c>
      <c r="G576" s="1" t="s">
        <v>36</v>
      </c>
      <c r="H576" s="1">
        <v>18338</v>
      </c>
      <c r="I576" s="1" t="s">
        <v>33</v>
      </c>
      <c r="J576" s="1">
        <v>0.3</v>
      </c>
      <c r="K576" s="1">
        <v>17000</v>
      </c>
      <c r="L576" s="2">
        <v>45303</v>
      </c>
    </row>
    <row r="577" spans="1:12" x14ac:dyDescent="0.35">
      <c r="A577" s="1" t="s">
        <v>803</v>
      </c>
      <c r="B577" s="1" t="s">
        <v>66</v>
      </c>
      <c r="C577" s="1" t="s">
        <v>61</v>
      </c>
      <c r="D577" s="1" t="s">
        <v>62</v>
      </c>
      <c r="E577" s="1" t="s">
        <v>46</v>
      </c>
      <c r="F577" s="1" t="s">
        <v>17</v>
      </c>
      <c r="G577" s="1" t="s">
        <v>36</v>
      </c>
      <c r="H577" s="1">
        <v>9825</v>
      </c>
      <c r="I577" s="1"/>
      <c r="J577" s="1"/>
      <c r="K577" s="1">
        <v>9000</v>
      </c>
      <c r="L577" s="2">
        <v>45343</v>
      </c>
    </row>
    <row r="578" spans="1:12" x14ac:dyDescent="0.35">
      <c r="A578" s="1" t="s">
        <v>804</v>
      </c>
      <c r="B578" s="1" t="s">
        <v>274</v>
      </c>
      <c r="C578" s="1" t="s">
        <v>44</v>
      </c>
      <c r="D578" s="1" t="s">
        <v>45</v>
      </c>
      <c r="E578" s="1" t="s">
        <v>32</v>
      </c>
      <c r="F578" s="1" t="s">
        <v>25</v>
      </c>
      <c r="G578" s="1" t="s">
        <v>26</v>
      </c>
      <c r="H578" s="1">
        <v>13975</v>
      </c>
      <c r="I578" s="1" t="s">
        <v>22</v>
      </c>
      <c r="J578" s="1">
        <v>0.1</v>
      </c>
      <c r="K578" s="1">
        <v>13000</v>
      </c>
      <c r="L578" s="2">
        <v>45352</v>
      </c>
    </row>
    <row r="579" spans="1:12" x14ac:dyDescent="0.35">
      <c r="A579" s="1" t="s">
        <v>805</v>
      </c>
      <c r="B579" s="1" t="s">
        <v>412</v>
      </c>
      <c r="C579" s="1" t="s">
        <v>14</v>
      </c>
      <c r="D579" s="1" t="s">
        <v>15</v>
      </c>
      <c r="E579" s="1" t="s">
        <v>46</v>
      </c>
      <c r="F579" s="1" t="s">
        <v>39</v>
      </c>
      <c r="G579" s="1" t="s">
        <v>36</v>
      </c>
      <c r="H579" s="1">
        <v>15286</v>
      </c>
      <c r="I579" s="1" t="s">
        <v>27</v>
      </c>
      <c r="J579" s="1"/>
      <c r="K579" s="1">
        <v>14000</v>
      </c>
      <c r="L579" s="2">
        <v>45335</v>
      </c>
    </row>
    <row r="580" spans="1:12" x14ac:dyDescent="0.35">
      <c r="A580" s="1" t="s">
        <v>806</v>
      </c>
      <c r="B580" s="1" t="s">
        <v>508</v>
      </c>
      <c r="C580" s="1" t="s">
        <v>61</v>
      </c>
      <c r="D580" s="1" t="s">
        <v>62</v>
      </c>
      <c r="E580" s="1" t="s">
        <v>46</v>
      </c>
      <c r="F580" s="1" t="s">
        <v>39</v>
      </c>
      <c r="G580" s="1" t="s">
        <v>18</v>
      </c>
      <c r="H580" s="1">
        <v>10533</v>
      </c>
      <c r="I580" s="1" t="s">
        <v>19</v>
      </c>
      <c r="J580" s="1">
        <v>0.2</v>
      </c>
      <c r="K580" s="1">
        <v>9000</v>
      </c>
      <c r="L580" s="2">
        <v>45322</v>
      </c>
    </row>
    <row r="581" spans="1:12" x14ac:dyDescent="0.35">
      <c r="A581" s="1" t="s">
        <v>807</v>
      </c>
      <c r="B581" s="1" t="s">
        <v>445</v>
      </c>
      <c r="C581" s="1" t="s">
        <v>14</v>
      </c>
      <c r="D581" s="1" t="s">
        <v>15</v>
      </c>
      <c r="E581" s="1" t="s">
        <v>46</v>
      </c>
      <c r="F581" s="1" t="s">
        <v>17</v>
      </c>
      <c r="G581" s="1" t="s">
        <v>18</v>
      </c>
      <c r="H581" s="1">
        <v>12259</v>
      </c>
      <c r="I581" s="1" t="s">
        <v>33</v>
      </c>
      <c r="J581" s="1">
        <v>0.3</v>
      </c>
      <c r="K581" s="1">
        <v>14000</v>
      </c>
      <c r="L581" s="2">
        <v>45333</v>
      </c>
    </row>
    <row r="582" spans="1:12" x14ac:dyDescent="0.35">
      <c r="A582" s="1" t="s">
        <v>808</v>
      </c>
      <c r="B582" s="1" t="s">
        <v>327</v>
      </c>
      <c r="C582" s="1" t="s">
        <v>44</v>
      </c>
      <c r="D582" s="1" t="s">
        <v>45</v>
      </c>
      <c r="E582" s="1" t="s">
        <v>16</v>
      </c>
      <c r="F582" s="1" t="s">
        <v>17</v>
      </c>
      <c r="G582" s="1" t="s">
        <v>26</v>
      </c>
      <c r="H582" s="1">
        <v>13142</v>
      </c>
      <c r="I582" s="1" t="s">
        <v>27</v>
      </c>
      <c r="J582" s="1"/>
      <c r="K582" s="1">
        <v>13000</v>
      </c>
      <c r="L582" s="2">
        <v>45298</v>
      </c>
    </row>
    <row r="583" spans="1:12" x14ac:dyDescent="0.35">
      <c r="A583" s="1" t="s">
        <v>809</v>
      </c>
      <c r="B583" s="1" t="s">
        <v>274</v>
      </c>
      <c r="C583" s="1" t="s">
        <v>44</v>
      </c>
      <c r="D583" s="1" t="s">
        <v>45</v>
      </c>
      <c r="E583" s="1" t="s">
        <v>46</v>
      </c>
      <c r="F583" s="1" t="s">
        <v>17</v>
      </c>
      <c r="G583" s="1" t="s">
        <v>26</v>
      </c>
      <c r="H583" s="1">
        <v>13770</v>
      </c>
      <c r="I583" s="1"/>
      <c r="J583" s="1"/>
      <c r="K583" s="1">
        <v>13000</v>
      </c>
      <c r="L583" s="2">
        <v>45301</v>
      </c>
    </row>
    <row r="584" spans="1:12" x14ac:dyDescent="0.35">
      <c r="A584" s="1" t="s">
        <v>810</v>
      </c>
      <c r="B584" s="1" t="s">
        <v>319</v>
      </c>
      <c r="C584" s="1" t="s">
        <v>14</v>
      </c>
      <c r="D584" s="1" t="s">
        <v>15</v>
      </c>
      <c r="E584" s="1" t="s">
        <v>32</v>
      </c>
      <c r="F584" s="1" t="s">
        <v>39</v>
      </c>
      <c r="G584" s="1" t="s">
        <v>18</v>
      </c>
      <c r="H584" s="1">
        <v>14070</v>
      </c>
      <c r="I584" s="1"/>
      <c r="J584" s="1"/>
      <c r="K584" s="1">
        <v>14000</v>
      </c>
      <c r="L584" s="2">
        <v>45346</v>
      </c>
    </row>
    <row r="585" spans="1:12" x14ac:dyDescent="0.35">
      <c r="A585" s="1" t="s">
        <v>811</v>
      </c>
      <c r="B585" s="1" t="s">
        <v>752</v>
      </c>
      <c r="C585" s="1" t="s">
        <v>44</v>
      </c>
      <c r="D585" s="1" t="s">
        <v>45</v>
      </c>
      <c r="E585" s="1" t="s">
        <v>32</v>
      </c>
      <c r="F585" s="1" t="s">
        <v>17</v>
      </c>
      <c r="G585" s="1" t="s">
        <v>36</v>
      </c>
      <c r="H585" s="1">
        <v>11986</v>
      </c>
      <c r="I585" s="1" t="s">
        <v>33</v>
      </c>
      <c r="J585" s="1">
        <v>0.3</v>
      </c>
      <c r="K585" s="1">
        <v>13000</v>
      </c>
      <c r="L585" s="2">
        <v>45309</v>
      </c>
    </row>
    <row r="586" spans="1:12" x14ac:dyDescent="0.35">
      <c r="A586" s="1" t="s">
        <v>812</v>
      </c>
      <c r="B586" s="1" t="s">
        <v>166</v>
      </c>
      <c r="C586" s="1" t="s">
        <v>44</v>
      </c>
      <c r="D586" s="1" t="s">
        <v>45</v>
      </c>
      <c r="E586" s="1" t="s">
        <v>16</v>
      </c>
      <c r="F586" s="1" t="s">
        <v>39</v>
      </c>
      <c r="G586" s="1" t="s">
        <v>36</v>
      </c>
      <c r="H586" s="1">
        <v>12651</v>
      </c>
      <c r="I586" s="1" t="s">
        <v>19</v>
      </c>
      <c r="J586" s="1">
        <v>0.2</v>
      </c>
      <c r="K586" s="1">
        <v>13000</v>
      </c>
      <c r="L586" s="2">
        <v>45297</v>
      </c>
    </row>
    <row r="587" spans="1:12" x14ac:dyDescent="0.35">
      <c r="A587" s="1" t="s">
        <v>813</v>
      </c>
      <c r="B587" s="1" t="s">
        <v>231</v>
      </c>
      <c r="C587" s="1" t="s">
        <v>61</v>
      </c>
      <c r="D587" s="1" t="s">
        <v>62</v>
      </c>
      <c r="E587" s="1" t="s">
        <v>32</v>
      </c>
      <c r="F587" s="1" t="s">
        <v>17</v>
      </c>
      <c r="G587" s="1" t="s">
        <v>36</v>
      </c>
      <c r="H587" s="1">
        <v>8294</v>
      </c>
      <c r="I587" s="1" t="s">
        <v>22</v>
      </c>
      <c r="J587" s="1">
        <v>0.1</v>
      </c>
      <c r="K587" s="1">
        <v>9000</v>
      </c>
      <c r="L587" s="2">
        <v>45323</v>
      </c>
    </row>
    <row r="588" spans="1:12" x14ac:dyDescent="0.35">
      <c r="A588" s="1" t="s">
        <v>814</v>
      </c>
      <c r="B588" s="1" t="s">
        <v>765</v>
      </c>
      <c r="C588" s="1" t="s">
        <v>14</v>
      </c>
      <c r="D588" s="1" t="s">
        <v>15</v>
      </c>
      <c r="E588" s="1" t="s">
        <v>32</v>
      </c>
      <c r="F588" s="1" t="s">
        <v>17</v>
      </c>
      <c r="G588" s="1" t="s">
        <v>36</v>
      </c>
      <c r="H588" s="1">
        <v>12146</v>
      </c>
      <c r="I588" s="1" t="s">
        <v>27</v>
      </c>
      <c r="J588" s="1"/>
      <c r="K588" s="1">
        <v>14000</v>
      </c>
      <c r="L588" s="2">
        <v>45327</v>
      </c>
    </row>
    <row r="589" spans="1:12" x14ac:dyDescent="0.35">
      <c r="A589" s="1" t="s">
        <v>815</v>
      </c>
      <c r="B589" s="1" t="s">
        <v>129</v>
      </c>
      <c r="C589" s="1" t="s">
        <v>14</v>
      </c>
      <c r="D589" s="1" t="s">
        <v>15</v>
      </c>
      <c r="E589" s="1" t="s">
        <v>16</v>
      </c>
      <c r="F589" s="1" t="s">
        <v>39</v>
      </c>
      <c r="G589" s="1" t="s">
        <v>26</v>
      </c>
      <c r="H589" s="1">
        <v>13247</v>
      </c>
      <c r="I589" s="1" t="s">
        <v>27</v>
      </c>
      <c r="J589" s="1"/>
      <c r="K589" s="1">
        <v>14000</v>
      </c>
      <c r="L589" s="2">
        <v>45327</v>
      </c>
    </row>
    <row r="590" spans="1:12" x14ac:dyDescent="0.35">
      <c r="A590" s="1" t="s">
        <v>816</v>
      </c>
      <c r="B590" s="1" t="s">
        <v>817</v>
      </c>
      <c r="C590" s="1" t="s">
        <v>61</v>
      </c>
      <c r="D590" s="1" t="s">
        <v>62</v>
      </c>
      <c r="E590" s="1" t="s">
        <v>46</v>
      </c>
      <c r="F590" s="1" t="s">
        <v>17</v>
      </c>
      <c r="G590" s="1" t="s">
        <v>18</v>
      </c>
      <c r="H590" s="1">
        <v>10344</v>
      </c>
      <c r="I590" s="1" t="s">
        <v>19</v>
      </c>
      <c r="J590" s="1">
        <v>0.2</v>
      </c>
      <c r="K590" s="1">
        <v>9000</v>
      </c>
      <c r="L590" s="2">
        <v>45346</v>
      </c>
    </row>
    <row r="591" spans="1:12" x14ac:dyDescent="0.35">
      <c r="A591" s="1" t="s">
        <v>818</v>
      </c>
      <c r="B591" s="1" t="s">
        <v>188</v>
      </c>
      <c r="C591" s="1" t="s">
        <v>61</v>
      </c>
      <c r="D591" s="1" t="s">
        <v>62</v>
      </c>
      <c r="E591" s="1" t="s">
        <v>16</v>
      </c>
      <c r="F591" s="1" t="s">
        <v>39</v>
      </c>
      <c r="G591" s="1" t="s">
        <v>36</v>
      </c>
      <c r="H591" s="1">
        <v>9932</v>
      </c>
      <c r="I591" s="1"/>
      <c r="J591" s="1"/>
      <c r="K591" s="1">
        <v>9000</v>
      </c>
      <c r="L591" s="2">
        <v>45299</v>
      </c>
    </row>
    <row r="592" spans="1:12" x14ac:dyDescent="0.35">
      <c r="A592" s="1" t="s">
        <v>819</v>
      </c>
      <c r="B592" s="1" t="s">
        <v>200</v>
      </c>
      <c r="C592" s="1" t="s">
        <v>44</v>
      </c>
      <c r="D592" s="1" t="s">
        <v>45</v>
      </c>
      <c r="E592" s="1" t="s">
        <v>32</v>
      </c>
      <c r="F592" s="1" t="s">
        <v>17</v>
      </c>
      <c r="G592" s="1" t="s">
        <v>36</v>
      </c>
      <c r="H592" s="1">
        <v>14399</v>
      </c>
      <c r="I592" s="1" t="s">
        <v>33</v>
      </c>
      <c r="J592" s="1">
        <v>0.3</v>
      </c>
      <c r="K592" s="1">
        <v>13000</v>
      </c>
      <c r="L592" s="2">
        <v>45327</v>
      </c>
    </row>
    <row r="593" spans="1:12" x14ac:dyDescent="0.35">
      <c r="A593" s="1" t="s">
        <v>820</v>
      </c>
      <c r="B593" s="1" t="s">
        <v>217</v>
      </c>
      <c r="C593" s="1" t="s">
        <v>14</v>
      </c>
      <c r="D593" s="1" t="s">
        <v>15</v>
      </c>
      <c r="E593" s="1" t="s">
        <v>32</v>
      </c>
      <c r="F593" s="1" t="s">
        <v>25</v>
      </c>
      <c r="G593" s="1" t="s">
        <v>36</v>
      </c>
      <c r="H593" s="1">
        <v>12575</v>
      </c>
      <c r="I593" s="1"/>
      <c r="J593" s="1"/>
      <c r="K593" s="1">
        <v>14000</v>
      </c>
      <c r="L593" s="2">
        <v>45298</v>
      </c>
    </row>
    <row r="594" spans="1:12" x14ac:dyDescent="0.35">
      <c r="A594" s="1" t="s">
        <v>821</v>
      </c>
      <c r="B594" s="1" t="s">
        <v>118</v>
      </c>
      <c r="C594" s="1" t="s">
        <v>44</v>
      </c>
      <c r="D594" s="1" t="s">
        <v>45</v>
      </c>
      <c r="E594" s="1" t="s">
        <v>32</v>
      </c>
      <c r="F594" s="1" t="s">
        <v>25</v>
      </c>
      <c r="G594" s="1" t="s">
        <v>36</v>
      </c>
      <c r="H594" s="1">
        <v>11883</v>
      </c>
      <c r="I594" s="1"/>
      <c r="J594" s="1"/>
      <c r="K594" s="1">
        <v>13000</v>
      </c>
      <c r="L594" s="2">
        <v>45344</v>
      </c>
    </row>
    <row r="595" spans="1:12" x14ac:dyDescent="0.35">
      <c r="A595" s="1" t="s">
        <v>822</v>
      </c>
      <c r="B595" s="1" t="s">
        <v>294</v>
      </c>
      <c r="C595" s="1" t="s">
        <v>30</v>
      </c>
      <c r="D595" s="1" t="s">
        <v>31</v>
      </c>
      <c r="E595" s="1" t="s">
        <v>32</v>
      </c>
      <c r="F595" s="1" t="s">
        <v>17</v>
      </c>
      <c r="G595" s="1" t="s">
        <v>18</v>
      </c>
      <c r="H595" s="1">
        <v>18795</v>
      </c>
      <c r="I595" s="1" t="s">
        <v>27</v>
      </c>
      <c r="J595" s="1"/>
      <c r="K595" s="1">
        <v>17000</v>
      </c>
      <c r="L595" s="2">
        <v>45299</v>
      </c>
    </row>
    <row r="596" spans="1:12" x14ac:dyDescent="0.35">
      <c r="A596" s="1" t="s">
        <v>823</v>
      </c>
      <c r="B596" s="1" t="s">
        <v>298</v>
      </c>
      <c r="C596" s="1" t="s">
        <v>61</v>
      </c>
      <c r="D596" s="1" t="s">
        <v>62</v>
      </c>
      <c r="E596" s="1" t="s">
        <v>16</v>
      </c>
      <c r="F596" s="1" t="s">
        <v>39</v>
      </c>
      <c r="G596" s="1" t="s">
        <v>26</v>
      </c>
      <c r="H596" s="1">
        <v>7551</v>
      </c>
      <c r="I596" s="1"/>
      <c r="J596" s="1"/>
      <c r="K596" s="1">
        <v>9000</v>
      </c>
      <c r="L596" s="2">
        <v>45292</v>
      </c>
    </row>
    <row r="597" spans="1:12" x14ac:dyDescent="0.35">
      <c r="A597" s="1" t="s">
        <v>824</v>
      </c>
      <c r="B597" s="1" t="s">
        <v>548</v>
      </c>
      <c r="C597" s="1" t="s">
        <v>14</v>
      </c>
      <c r="D597" s="1" t="s">
        <v>15</v>
      </c>
      <c r="E597" s="1" t="s">
        <v>16</v>
      </c>
      <c r="F597" s="1" t="s">
        <v>17</v>
      </c>
      <c r="G597" s="1" t="s">
        <v>26</v>
      </c>
      <c r="H597" s="1">
        <v>13978</v>
      </c>
      <c r="I597" s="1" t="s">
        <v>27</v>
      </c>
      <c r="J597" s="1"/>
      <c r="K597" s="1">
        <v>14000</v>
      </c>
      <c r="L597" s="2">
        <v>45341</v>
      </c>
    </row>
    <row r="598" spans="1:12" x14ac:dyDescent="0.35">
      <c r="A598" s="1" t="s">
        <v>825</v>
      </c>
      <c r="B598" s="1" t="s">
        <v>120</v>
      </c>
      <c r="C598" s="1" t="s">
        <v>44</v>
      </c>
      <c r="D598" s="1" t="s">
        <v>45</v>
      </c>
      <c r="E598" s="1" t="s">
        <v>16</v>
      </c>
      <c r="F598" s="1" t="s">
        <v>25</v>
      </c>
      <c r="G598" s="1" t="s">
        <v>18</v>
      </c>
      <c r="H598" s="1">
        <v>12586</v>
      </c>
      <c r="I598" s="1" t="s">
        <v>27</v>
      </c>
      <c r="J598" s="1"/>
      <c r="K598" s="1">
        <v>13000</v>
      </c>
      <c r="L598" s="2">
        <v>45330</v>
      </c>
    </row>
    <row r="599" spans="1:12" x14ac:dyDescent="0.35">
      <c r="A599" s="1" t="s">
        <v>826</v>
      </c>
      <c r="B599" s="1" t="s">
        <v>827</v>
      </c>
      <c r="C599" s="1" t="s">
        <v>61</v>
      </c>
      <c r="D599" s="1" t="s">
        <v>62</v>
      </c>
      <c r="E599" s="1" t="s">
        <v>46</v>
      </c>
      <c r="F599" s="1" t="s">
        <v>39</v>
      </c>
      <c r="G599" s="1" t="s">
        <v>26</v>
      </c>
      <c r="H599" s="1">
        <v>10122</v>
      </c>
      <c r="I599" s="1" t="s">
        <v>19</v>
      </c>
      <c r="J599" s="1">
        <v>0.2</v>
      </c>
      <c r="K599" s="1">
        <v>9000</v>
      </c>
      <c r="L599" s="2">
        <v>45309</v>
      </c>
    </row>
    <row r="600" spans="1:12" x14ac:dyDescent="0.35">
      <c r="A600" s="1" t="s">
        <v>828</v>
      </c>
      <c r="B600" s="1" t="s">
        <v>474</v>
      </c>
      <c r="C600" s="1" t="s">
        <v>30</v>
      </c>
      <c r="D600" s="1" t="s">
        <v>31</v>
      </c>
      <c r="E600" s="1" t="s">
        <v>46</v>
      </c>
      <c r="F600" s="1" t="s">
        <v>25</v>
      </c>
      <c r="G600" s="1" t="s">
        <v>18</v>
      </c>
      <c r="H600" s="1">
        <v>16690</v>
      </c>
      <c r="I600" s="1" t="s">
        <v>27</v>
      </c>
      <c r="J600" s="1"/>
      <c r="K600" s="1">
        <v>17000</v>
      </c>
      <c r="L600" s="2">
        <v>45336</v>
      </c>
    </row>
    <row r="601" spans="1:12" x14ac:dyDescent="0.35">
      <c r="A601" s="1" t="s">
        <v>829</v>
      </c>
      <c r="B601" s="1" t="s">
        <v>260</v>
      </c>
      <c r="C601" s="1" t="s">
        <v>30</v>
      </c>
      <c r="D601" s="1" t="s">
        <v>31</v>
      </c>
      <c r="E601" s="1" t="s">
        <v>16</v>
      </c>
      <c r="F601" s="1" t="s">
        <v>39</v>
      </c>
      <c r="G601" s="1" t="s">
        <v>36</v>
      </c>
      <c r="H601" s="1">
        <v>17915</v>
      </c>
      <c r="I601" s="1" t="s">
        <v>27</v>
      </c>
      <c r="J601" s="1"/>
      <c r="K601" s="1">
        <v>17000</v>
      </c>
      <c r="L601" s="2">
        <v>45332</v>
      </c>
    </row>
    <row r="602" spans="1:12" x14ac:dyDescent="0.35">
      <c r="A602" s="1" t="s">
        <v>830</v>
      </c>
      <c r="B602" s="1" t="s">
        <v>94</v>
      </c>
      <c r="C602" s="1" t="s">
        <v>44</v>
      </c>
      <c r="D602" s="1" t="s">
        <v>45</v>
      </c>
      <c r="E602" s="1" t="s">
        <v>16</v>
      </c>
      <c r="F602" s="1" t="s">
        <v>39</v>
      </c>
      <c r="G602" s="1" t="s">
        <v>36</v>
      </c>
      <c r="H602" s="1">
        <v>13812</v>
      </c>
      <c r="I602" s="1" t="s">
        <v>33</v>
      </c>
      <c r="J602" s="1">
        <v>0.3</v>
      </c>
      <c r="K602" s="1">
        <v>13000</v>
      </c>
      <c r="L602" s="2">
        <v>45350</v>
      </c>
    </row>
    <row r="603" spans="1:12" x14ac:dyDescent="0.35">
      <c r="A603" s="1" t="s">
        <v>831</v>
      </c>
      <c r="B603" s="1" t="s">
        <v>422</v>
      </c>
      <c r="C603" s="1" t="s">
        <v>44</v>
      </c>
      <c r="D603" s="1" t="s">
        <v>45</v>
      </c>
      <c r="E603" s="1" t="s">
        <v>16</v>
      </c>
      <c r="F603" s="1" t="s">
        <v>39</v>
      </c>
      <c r="G603" s="1" t="s">
        <v>26</v>
      </c>
      <c r="H603" s="1">
        <v>13608</v>
      </c>
      <c r="I603" s="1" t="s">
        <v>33</v>
      </c>
      <c r="J603" s="1">
        <v>0.3</v>
      </c>
      <c r="K603" s="1">
        <v>13000</v>
      </c>
      <c r="L603" s="2">
        <v>45337</v>
      </c>
    </row>
    <row r="604" spans="1:12" x14ac:dyDescent="0.35">
      <c r="A604" s="1" t="s">
        <v>832</v>
      </c>
      <c r="B604" s="1" t="s">
        <v>200</v>
      </c>
      <c r="C604" s="1" t="s">
        <v>30</v>
      </c>
      <c r="D604" s="1" t="s">
        <v>31</v>
      </c>
      <c r="E604" s="1" t="s">
        <v>16</v>
      </c>
      <c r="F604" s="1" t="s">
        <v>17</v>
      </c>
      <c r="G604" s="1" t="s">
        <v>26</v>
      </c>
      <c r="H604" s="1">
        <v>17337</v>
      </c>
      <c r="I604" s="1"/>
      <c r="J604" s="1"/>
      <c r="K604" s="1">
        <v>17000</v>
      </c>
      <c r="L604" s="2">
        <v>45335</v>
      </c>
    </row>
    <row r="605" spans="1:12" x14ac:dyDescent="0.35">
      <c r="A605" s="1" t="s">
        <v>833</v>
      </c>
      <c r="B605" s="1" t="s">
        <v>371</v>
      </c>
      <c r="C605" s="1" t="s">
        <v>30</v>
      </c>
      <c r="D605" s="1" t="s">
        <v>31</v>
      </c>
      <c r="E605" s="1" t="s">
        <v>46</v>
      </c>
      <c r="F605" s="1" t="s">
        <v>25</v>
      </c>
      <c r="G605" s="1" t="s">
        <v>26</v>
      </c>
      <c r="H605" s="1">
        <v>15436</v>
      </c>
      <c r="I605" s="1" t="s">
        <v>22</v>
      </c>
      <c r="J605" s="1">
        <v>0.1</v>
      </c>
      <c r="K605" s="1">
        <v>17000</v>
      </c>
      <c r="L605" s="2">
        <v>45316</v>
      </c>
    </row>
    <row r="606" spans="1:12" x14ac:dyDescent="0.35">
      <c r="A606" s="1" t="s">
        <v>834</v>
      </c>
      <c r="B606" s="1" t="s">
        <v>557</v>
      </c>
      <c r="C606" s="1" t="s">
        <v>14</v>
      </c>
      <c r="D606" s="1" t="s">
        <v>15</v>
      </c>
      <c r="E606" s="1" t="s">
        <v>32</v>
      </c>
      <c r="F606" s="1" t="s">
        <v>17</v>
      </c>
      <c r="G606" s="1" t="s">
        <v>18</v>
      </c>
      <c r="H606" s="1">
        <v>13173</v>
      </c>
      <c r="I606" s="1" t="s">
        <v>33</v>
      </c>
      <c r="J606" s="1">
        <v>0.3</v>
      </c>
      <c r="K606" s="1">
        <v>14000</v>
      </c>
      <c r="L606" s="2">
        <v>45301</v>
      </c>
    </row>
    <row r="607" spans="1:12" x14ac:dyDescent="0.35">
      <c r="A607" s="1" t="s">
        <v>835</v>
      </c>
      <c r="B607" s="1" t="s">
        <v>676</v>
      </c>
      <c r="C607" s="1" t="s">
        <v>30</v>
      </c>
      <c r="D607" s="1" t="s">
        <v>31</v>
      </c>
      <c r="E607" s="1" t="s">
        <v>32</v>
      </c>
      <c r="F607" s="1" t="s">
        <v>39</v>
      </c>
      <c r="G607" s="1" t="s">
        <v>18</v>
      </c>
      <c r="H607" s="1">
        <v>16469</v>
      </c>
      <c r="I607" s="1"/>
      <c r="J607" s="1"/>
      <c r="K607" s="1">
        <v>17000</v>
      </c>
      <c r="L607" s="2">
        <v>45298</v>
      </c>
    </row>
    <row r="608" spans="1:12" x14ac:dyDescent="0.35">
      <c r="A608" s="1" t="s">
        <v>836</v>
      </c>
      <c r="B608" s="1" t="s">
        <v>837</v>
      </c>
      <c r="C608" s="1" t="s">
        <v>44</v>
      </c>
      <c r="D608" s="1" t="s">
        <v>45</v>
      </c>
      <c r="E608" s="1" t="s">
        <v>16</v>
      </c>
      <c r="F608" s="1" t="s">
        <v>39</v>
      </c>
      <c r="G608" s="1" t="s">
        <v>26</v>
      </c>
      <c r="H608" s="1">
        <v>12592</v>
      </c>
      <c r="I608" s="1" t="s">
        <v>19</v>
      </c>
      <c r="J608" s="1">
        <v>0.2</v>
      </c>
      <c r="K608" s="1">
        <v>13000</v>
      </c>
      <c r="L608" s="2">
        <v>45324</v>
      </c>
    </row>
    <row r="609" spans="1:12" x14ac:dyDescent="0.35">
      <c r="A609" s="1" t="s">
        <v>838</v>
      </c>
      <c r="B609" s="1" t="s">
        <v>54</v>
      </c>
      <c r="C609" s="1" t="s">
        <v>30</v>
      </c>
      <c r="D609" s="1" t="s">
        <v>31</v>
      </c>
      <c r="E609" s="1" t="s">
        <v>16</v>
      </c>
      <c r="F609" s="1" t="s">
        <v>39</v>
      </c>
      <c r="G609" s="1" t="s">
        <v>18</v>
      </c>
      <c r="H609" s="1">
        <v>18794</v>
      </c>
      <c r="I609" s="1"/>
      <c r="J609" s="1"/>
      <c r="K609" s="1">
        <v>17000</v>
      </c>
      <c r="L609" s="2">
        <v>45316</v>
      </c>
    </row>
    <row r="610" spans="1:12" x14ac:dyDescent="0.35">
      <c r="A610" s="1" t="s">
        <v>839</v>
      </c>
      <c r="B610" s="1" t="s">
        <v>155</v>
      </c>
      <c r="C610" s="1" t="s">
        <v>30</v>
      </c>
      <c r="D610" s="1" t="s">
        <v>31</v>
      </c>
      <c r="E610" s="1" t="s">
        <v>16</v>
      </c>
      <c r="F610" s="1" t="s">
        <v>25</v>
      </c>
      <c r="G610" s="1" t="s">
        <v>18</v>
      </c>
      <c r="H610" s="1">
        <v>18046</v>
      </c>
      <c r="I610" s="1" t="s">
        <v>33</v>
      </c>
      <c r="J610" s="1">
        <v>0.3</v>
      </c>
      <c r="K610" s="1">
        <v>17000</v>
      </c>
      <c r="L610" s="2">
        <v>45304</v>
      </c>
    </row>
    <row r="611" spans="1:12" x14ac:dyDescent="0.35">
      <c r="A611" s="1" t="s">
        <v>840</v>
      </c>
      <c r="B611" s="1" t="s">
        <v>837</v>
      </c>
      <c r="C611" s="1" t="s">
        <v>61</v>
      </c>
      <c r="D611" s="1" t="s">
        <v>62</v>
      </c>
      <c r="E611" s="1" t="s">
        <v>32</v>
      </c>
      <c r="F611" s="1" t="s">
        <v>39</v>
      </c>
      <c r="G611" s="1" t="s">
        <v>26</v>
      </c>
      <c r="H611" s="1">
        <v>9906</v>
      </c>
      <c r="I611" s="1" t="s">
        <v>33</v>
      </c>
      <c r="J611" s="1">
        <v>0.3</v>
      </c>
      <c r="K611" s="1">
        <v>9000</v>
      </c>
      <c r="L611" s="2">
        <v>45340</v>
      </c>
    </row>
    <row r="612" spans="1:12" x14ac:dyDescent="0.35">
      <c r="A612" s="1" t="s">
        <v>841</v>
      </c>
      <c r="B612" s="1" t="s">
        <v>86</v>
      </c>
      <c r="C612" s="1" t="s">
        <v>44</v>
      </c>
      <c r="D612" s="1" t="s">
        <v>45</v>
      </c>
      <c r="E612" s="1" t="s">
        <v>16</v>
      </c>
      <c r="F612" s="1" t="s">
        <v>25</v>
      </c>
      <c r="G612" s="1" t="s">
        <v>36</v>
      </c>
      <c r="H612" s="1">
        <v>12838</v>
      </c>
      <c r="I612" s="1" t="s">
        <v>19</v>
      </c>
      <c r="J612" s="1">
        <v>0.2</v>
      </c>
      <c r="K612" s="1">
        <v>13000</v>
      </c>
      <c r="L612" s="2">
        <v>45335</v>
      </c>
    </row>
    <row r="613" spans="1:12" x14ac:dyDescent="0.35">
      <c r="A613" s="1" t="s">
        <v>842</v>
      </c>
      <c r="B613" s="1" t="s">
        <v>843</v>
      </c>
      <c r="C613" s="1" t="s">
        <v>44</v>
      </c>
      <c r="D613" s="1" t="s">
        <v>45</v>
      </c>
      <c r="E613" s="1" t="s">
        <v>16</v>
      </c>
      <c r="F613" s="1" t="s">
        <v>39</v>
      </c>
      <c r="G613" s="1" t="s">
        <v>18</v>
      </c>
      <c r="H613" s="1">
        <v>12545</v>
      </c>
      <c r="I613" s="1" t="s">
        <v>22</v>
      </c>
      <c r="J613" s="1">
        <v>0.1</v>
      </c>
      <c r="K613" s="1">
        <v>13000</v>
      </c>
      <c r="L613" s="2">
        <v>45319</v>
      </c>
    </row>
    <row r="614" spans="1:12" x14ac:dyDescent="0.35">
      <c r="A614" s="1" t="s">
        <v>844</v>
      </c>
      <c r="B614" s="1" t="s">
        <v>307</v>
      </c>
      <c r="C614" s="1" t="s">
        <v>30</v>
      </c>
      <c r="D614" s="1" t="s">
        <v>31</v>
      </c>
      <c r="E614" s="1" t="s">
        <v>32</v>
      </c>
      <c r="F614" s="1" t="s">
        <v>25</v>
      </c>
      <c r="G614" s="1" t="s">
        <v>26</v>
      </c>
      <c r="H614" s="1">
        <v>18465</v>
      </c>
      <c r="I614" s="1" t="s">
        <v>33</v>
      </c>
      <c r="J614" s="1">
        <v>0.3</v>
      </c>
      <c r="K614" s="1">
        <v>17000</v>
      </c>
      <c r="L614" s="2">
        <v>45292</v>
      </c>
    </row>
    <row r="615" spans="1:12" x14ac:dyDescent="0.35">
      <c r="A615" s="1" t="s">
        <v>845</v>
      </c>
      <c r="B615" s="1" t="s">
        <v>802</v>
      </c>
      <c r="C615" s="1" t="s">
        <v>44</v>
      </c>
      <c r="D615" s="1" t="s">
        <v>45</v>
      </c>
      <c r="E615" s="1" t="s">
        <v>32</v>
      </c>
      <c r="F615" s="1" t="s">
        <v>25</v>
      </c>
      <c r="G615" s="1" t="s">
        <v>36</v>
      </c>
      <c r="H615" s="1">
        <v>13444</v>
      </c>
      <c r="I615" s="1" t="s">
        <v>22</v>
      </c>
      <c r="J615" s="1">
        <v>0.1</v>
      </c>
      <c r="K615" s="1">
        <v>13000</v>
      </c>
      <c r="L615" s="2">
        <v>45341</v>
      </c>
    </row>
    <row r="616" spans="1:12" x14ac:dyDescent="0.35">
      <c r="A616" s="1" t="s">
        <v>846</v>
      </c>
      <c r="B616" s="1" t="s">
        <v>50</v>
      </c>
      <c r="C616" s="1" t="s">
        <v>30</v>
      </c>
      <c r="D616" s="1" t="s">
        <v>31</v>
      </c>
      <c r="E616" s="1" t="s">
        <v>46</v>
      </c>
      <c r="F616" s="1" t="s">
        <v>39</v>
      </c>
      <c r="G616" s="1" t="s">
        <v>26</v>
      </c>
      <c r="H616" s="1">
        <v>16466</v>
      </c>
      <c r="I616" s="1" t="s">
        <v>22</v>
      </c>
      <c r="J616" s="1">
        <v>0.1</v>
      </c>
      <c r="K616" s="1">
        <v>17000</v>
      </c>
      <c r="L616" s="2">
        <v>45342</v>
      </c>
    </row>
    <row r="617" spans="1:12" x14ac:dyDescent="0.35">
      <c r="A617" s="1" t="s">
        <v>847</v>
      </c>
      <c r="B617" s="1" t="s">
        <v>577</v>
      </c>
      <c r="C617" s="1" t="s">
        <v>44</v>
      </c>
      <c r="D617" s="1" t="s">
        <v>45</v>
      </c>
      <c r="E617" s="1" t="s">
        <v>32</v>
      </c>
      <c r="F617" s="1" t="s">
        <v>39</v>
      </c>
      <c r="G617" s="1" t="s">
        <v>18</v>
      </c>
      <c r="H617" s="1">
        <v>14220</v>
      </c>
      <c r="I617" s="1" t="s">
        <v>27</v>
      </c>
      <c r="J617" s="1"/>
      <c r="K617" s="1">
        <v>13000</v>
      </c>
      <c r="L617" s="2">
        <v>45302</v>
      </c>
    </row>
    <row r="618" spans="1:12" x14ac:dyDescent="0.35">
      <c r="A618" s="1" t="s">
        <v>848</v>
      </c>
      <c r="B618" s="1" t="s">
        <v>512</v>
      </c>
      <c r="C618" s="1" t="s">
        <v>61</v>
      </c>
      <c r="D618" s="1" t="s">
        <v>62</v>
      </c>
      <c r="E618" s="1" t="s">
        <v>32</v>
      </c>
      <c r="F618" s="1" t="s">
        <v>17</v>
      </c>
      <c r="G618" s="1" t="s">
        <v>18</v>
      </c>
      <c r="H618" s="1">
        <v>10618</v>
      </c>
      <c r="I618" s="1" t="s">
        <v>19</v>
      </c>
      <c r="J618" s="1">
        <v>0.2</v>
      </c>
      <c r="K618" s="1">
        <v>9000</v>
      </c>
      <c r="L618" s="2">
        <v>45334</v>
      </c>
    </row>
    <row r="619" spans="1:12" x14ac:dyDescent="0.35">
      <c r="A619" s="1" t="s">
        <v>849</v>
      </c>
      <c r="B619" s="1" t="s">
        <v>282</v>
      </c>
      <c r="C619" s="1" t="s">
        <v>30</v>
      </c>
      <c r="D619" s="1" t="s">
        <v>31</v>
      </c>
      <c r="E619" s="1" t="s">
        <v>46</v>
      </c>
      <c r="F619" s="1" t="s">
        <v>25</v>
      </c>
      <c r="G619" s="1" t="s">
        <v>26</v>
      </c>
      <c r="H619" s="1">
        <v>17172</v>
      </c>
      <c r="I619" s="1"/>
      <c r="J619" s="1"/>
      <c r="K619" s="1">
        <v>17000</v>
      </c>
      <c r="L619" s="2">
        <v>45327</v>
      </c>
    </row>
    <row r="620" spans="1:12" x14ac:dyDescent="0.35">
      <c r="A620" s="1" t="s">
        <v>850</v>
      </c>
      <c r="B620" s="1" t="s">
        <v>393</v>
      </c>
      <c r="C620" s="1" t="s">
        <v>14</v>
      </c>
      <c r="D620" s="1" t="s">
        <v>15</v>
      </c>
      <c r="E620" s="1" t="s">
        <v>32</v>
      </c>
      <c r="F620" s="1" t="s">
        <v>39</v>
      </c>
      <c r="G620" s="1" t="s">
        <v>36</v>
      </c>
      <c r="H620" s="1">
        <v>13825</v>
      </c>
      <c r="I620" s="1" t="s">
        <v>19</v>
      </c>
      <c r="J620" s="1">
        <v>0.2</v>
      </c>
      <c r="K620" s="1">
        <v>14000</v>
      </c>
      <c r="L620" s="2">
        <v>45349</v>
      </c>
    </row>
    <row r="621" spans="1:12" x14ac:dyDescent="0.35">
      <c r="A621" s="1" t="s">
        <v>851</v>
      </c>
      <c r="B621" s="1" t="s">
        <v>163</v>
      </c>
      <c r="C621" s="1" t="s">
        <v>44</v>
      </c>
      <c r="D621" s="1" t="s">
        <v>45</v>
      </c>
      <c r="E621" s="1" t="s">
        <v>32</v>
      </c>
      <c r="F621" s="1" t="s">
        <v>39</v>
      </c>
      <c r="G621" s="1" t="s">
        <v>36</v>
      </c>
      <c r="H621" s="1">
        <v>12562</v>
      </c>
      <c r="I621" s="1" t="s">
        <v>22</v>
      </c>
      <c r="J621" s="1">
        <v>0.1</v>
      </c>
      <c r="K621" s="1">
        <v>13000</v>
      </c>
      <c r="L621" s="2">
        <v>45316</v>
      </c>
    </row>
    <row r="622" spans="1:12" x14ac:dyDescent="0.35">
      <c r="A622" s="1" t="s">
        <v>852</v>
      </c>
      <c r="B622" s="1" t="s">
        <v>307</v>
      </c>
      <c r="C622" s="1" t="s">
        <v>30</v>
      </c>
      <c r="D622" s="1" t="s">
        <v>31</v>
      </c>
      <c r="E622" s="1" t="s">
        <v>32</v>
      </c>
      <c r="F622" s="1" t="s">
        <v>39</v>
      </c>
      <c r="G622" s="1" t="s">
        <v>36</v>
      </c>
      <c r="H622" s="1">
        <v>17106</v>
      </c>
      <c r="I622" s="1" t="s">
        <v>27</v>
      </c>
      <c r="J622" s="1"/>
      <c r="K622" s="1">
        <v>17000</v>
      </c>
      <c r="L622" s="2">
        <v>45320</v>
      </c>
    </row>
    <row r="623" spans="1:12" x14ac:dyDescent="0.35">
      <c r="A623" s="1" t="s">
        <v>853</v>
      </c>
      <c r="B623" s="1" t="s">
        <v>711</v>
      </c>
      <c r="C623" s="1" t="s">
        <v>30</v>
      </c>
      <c r="D623" s="1" t="s">
        <v>31</v>
      </c>
      <c r="E623" s="1" t="s">
        <v>16</v>
      </c>
      <c r="F623" s="1" t="s">
        <v>25</v>
      </c>
      <c r="G623" s="1" t="s">
        <v>36</v>
      </c>
      <c r="H623" s="1">
        <v>17104</v>
      </c>
      <c r="I623" s="1" t="s">
        <v>22</v>
      </c>
      <c r="J623" s="1">
        <v>0.1</v>
      </c>
      <c r="K623" s="1">
        <v>17000</v>
      </c>
      <c r="L623" s="2">
        <v>45352</v>
      </c>
    </row>
    <row r="624" spans="1:12" x14ac:dyDescent="0.35">
      <c r="A624" s="1" t="s">
        <v>854</v>
      </c>
      <c r="B624" s="1" t="s">
        <v>843</v>
      </c>
      <c r="C624" s="1" t="s">
        <v>14</v>
      </c>
      <c r="D624" s="1" t="s">
        <v>15</v>
      </c>
      <c r="E624" s="1" t="s">
        <v>16</v>
      </c>
      <c r="F624" s="1" t="s">
        <v>25</v>
      </c>
      <c r="G624" s="1" t="s">
        <v>18</v>
      </c>
      <c r="H624" s="1">
        <v>14745</v>
      </c>
      <c r="I624" s="1" t="s">
        <v>19</v>
      </c>
      <c r="J624" s="1">
        <v>0.2</v>
      </c>
      <c r="K624" s="1">
        <v>14000</v>
      </c>
      <c r="L624" s="2">
        <v>45347</v>
      </c>
    </row>
    <row r="625" spans="1:12" x14ac:dyDescent="0.35">
      <c r="A625" s="1" t="s">
        <v>855</v>
      </c>
      <c r="B625" s="1" t="s">
        <v>90</v>
      </c>
      <c r="C625" s="1" t="s">
        <v>14</v>
      </c>
      <c r="D625" s="1" t="s">
        <v>15</v>
      </c>
      <c r="E625" s="1" t="s">
        <v>32</v>
      </c>
      <c r="F625" s="1" t="s">
        <v>39</v>
      </c>
      <c r="G625" s="1" t="s">
        <v>26</v>
      </c>
      <c r="H625" s="1">
        <v>15598</v>
      </c>
      <c r="I625" s="1"/>
      <c r="J625" s="1"/>
      <c r="K625" s="1">
        <v>14000</v>
      </c>
      <c r="L625" s="2">
        <v>45333</v>
      </c>
    </row>
    <row r="626" spans="1:12" x14ac:dyDescent="0.35">
      <c r="A626" s="1" t="s">
        <v>856</v>
      </c>
      <c r="B626" s="1" t="s">
        <v>96</v>
      </c>
      <c r="C626" s="1" t="s">
        <v>44</v>
      </c>
      <c r="D626" s="1" t="s">
        <v>45</v>
      </c>
      <c r="E626" s="1" t="s">
        <v>32</v>
      </c>
      <c r="F626" s="1" t="s">
        <v>17</v>
      </c>
      <c r="G626" s="1" t="s">
        <v>26</v>
      </c>
      <c r="H626" s="1">
        <v>12358</v>
      </c>
      <c r="I626" s="1" t="s">
        <v>22</v>
      </c>
      <c r="J626" s="1">
        <v>0.1</v>
      </c>
      <c r="K626" s="1">
        <v>13000</v>
      </c>
      <c r="L626" s="2">
        <v>45297</v>
      </c>
    </row>
    <row r="627" spans="1:12" x14ac:dyDescent="0.35">
      <c r="A627" s="1" t="s">
        <v>857</v>
      </c>
      <c r="B627" s="1" t="s">
        <v>43</v>
      </c>
      <c r="C627" s="1" t="s">
        <v>44</v>
      </c>
      <c r="D627" s="1" t="s">
        <v>45</v>
      </c>
      <c r="E627" s="1" t="s">
        <v>46</v>
      </c>
      <c r="F627" s="1" t="s">
        <v>39</v>
      </c>
      <c r="G627" s="1" t="s">
        <v>18</v>
      </c>
      <c r="H627" s="1">
        <v>13355</v>
      </c>
      <c r="I627" s="1" t="s">
        <v>19</v>
      </c>
      <c r="J627" s="1">
        <v>0.2</v>
      </c>
      <c r="K627" s="1">
        <v>13000</v>
      </c>
      <c r="L627" s="2">
        <v>45350</v>
      </c>
    </row>
    <row r="628" spans="1:12" x14ac:dyDescent="0.35">
      <c r="A628" s="1" t="s">
        <v>858</v>
      </c>
      <c r="B628" s="1" t="s">
        <v>70</v>
      </c>
      <c r="C628" s="1" t="s">
        <v>61</v>
      </c>
      <c r="D628" s="1" t="s">
        <v>62</v>
      </c>
      <c r="E628" s="1" t="s">
        <v>46</v>
      </c>
      <c r="F628" s="1" t="s">
        <v>39</v>
      </c>
      <c r="G628" s="1" t="s">
        <v>36</v>
      </c>
      <c r="H628" s="1">
        <v>8773</v>
      </c>
      <c r="I628" s="1" t="s">
        <v>33</v>
      </c>
      <c r="J628" s="1">
        <v>0.3</v>
      </c>
      <c r="K628" s="1">
        <v>9000</v>
      </c>
      <c r="L628" s="2">
        <v>45293</v>
      </c>
    </row>
    <row r="629" spans="1:12" x14ac:dyDescent="0.35">
      <c r="A629" s="1" t="s">
        <v>859</v>
      </c>
      <c r="B629" s="1" t="s">
        <v>274</v>
      </c>
      <c r="C629" s="1" t="s">
        <v>14</v>
      </c>
      <c r="D629" s="1" t="s">
        <v>15</v>
      </c>
      <c r="E629" s="1" t="s">
        <v>16</v>
      </c>
      <c r="F629" s="1" t="s">
        <v>25</v>
      </c>
      <c r="G629" s="1" t="s">
        <v>26</v>
      </c>
      <c r="H629" s="1">
        <v>14950</v>
      </c>
      <c r="I629" s="1" t="s">
        <v>27</v>
      </c>
      <c r="J629" s="1"/>
      <c r="K629" s="1">
        <v>14000</v>
      </c>
      <c r="L629" s="2">
        <v>45296</v>
      </c>
    </row>
    <row r="630" spans="1:12" x14ac:dyDescent="0.35">
      <c r="A630" s="1" t="s">
        <v>860</v>
      </c>
      <c r="B630" s="1" t="s">
        <v>296</v>
      </c>
      <c r="C630" s="1" t="s">
        <v>14</v>
      </c>
      <c r="D630" s="1" t="s">
        <v>15</v>
      </c>
      <c r="E630" s="1" t="s">
        <v>16</v>
      </c>
      <c r="F630" s="1" t="s">
        <v>25</v>
      </c>
      <c r="G630" s="1" t="s">
        <v>36</v>
      </c>
      <c r="H630" s="1">
        <v>15801</v>
      </c>
      <c r="I630" s="1" t="s">
        <v>27</v>
      </c>
      <c r="J630" s="1"/>
      <c r="K630" s="1">
        <v>14000</v>
      </c>
      <c r="L630" s="2">
        <v>45298</v>
      </c>
    </row>
    <row r="631" spans="1:12" x14ac:dyDescent="0.35">
      <c r="A631" s="1" t="s">
        <v>861</v>
      </c>
      <c r="B631" s="1" t="s">
        <v>443</v>
      </c>
      <c r="C631" s="1" t="s">
        <v>30</v>
      </c>
      <c r="D631" s="1" t="s">
        <v>31</v>
      </c>
      <c r="E631" s="1" t="s">
        <v>16</v>
      </c>
      <c r="F631" s="1" t="s">
        <v>25</v>
      </c>
      <c r="G631" s="1" t="s">
        <v>36</v>
      </c>
      <c r="H631" s="1">
        <v>18134</v>
      </c>
      <c r="I631" s="1"/>
      <c r="J631" s="1"/>
      <c r="K631" s="1">
        <v>17000</v>
      </c>
      <c r="L631" s="2">
        <v>45316</v>
      </c>
    </row>
    <row r="632" spans="1:12" x14ac:dyDescent="0.35">
      <c r="A632" s="1" t="s">
        <v>862</v>
      </c>
      <c r="B632" s="1" t="s">
        <v>309</v>
      </c>
      <c r="C632" s="1" t="s">
        <v>14</v>
      </c>
      <c r="D632" s="1" t="s">
        <v>15</v>
      </c>
      <c r="E632" s="1" t="s">
        <v>46</v>
      </c>
      <c r="F632" s="1" t="s">
        <v>25</v>
      </c>
      <c r="G632" s="1" t="s">
        <v>26</v>
      </c>
      <c r="H632" s="1">
        <v>12900</v>
      </c>
      <c r="I632" s="1" t="s">
        <v>19</v>
      </c>
      <c r="J632" s="1">
        <v>0.2</v>
      </c>
      <c r="K632" s="1">
        <v>14000</v>
      </c>
      <c r="L632" s="2">
        <v>45339</v>
      </c>
    </row>
    <row r="633" spans="1:12" x14ac:dyDescent="0.35">
      <c r="A633" s="1" t="s">
        <v>863</v>
      </c>
      <c r="B633" s="1" t="s">
        <v>155</v>
      </c>
      <c r="C633" s="1" t="s">
        <v>30</v>
      </c>
      <c r="D633" s="1" t="s">
        <v>31</v>
      </c>
      <c r="E633" s="1" t="s">
        <v>16</v>
      </c>
      <c r="F633" s="1" t="s">
        <v>25</v>
      </c>
      <c r="G633" s="1" t="s">
        <v>36</v>
      </c>
      <c r="H633" s="1">
        <v>17774</v>
      </c>
      <c r="I633" s="1" t="s">
        <v>33</v>
      </c>
      <c r="J633" s="1">
        <v>0.3</v>
      </c>
      <c r="K633" s="1">
        <v>17000</v>
      </c>
      <c r="L633" s="2">
        <v>45352</v>
      </c>
    </row>
    <row r="634" spans="1:12" x14ac:dyDescent="0.35">
      <c r="A634" s="1" t="s">
        <v>864</v>
      </c>
      <c r="B634" s="1" t="s">
        <v>166</v>
      </c>
      <c r="C634" s="1" t="s">
        <v>44</v>
      </c>
      <c r="D634" s="1" t="s">
        <v>45</v>
      </c>
      <c r="E634" s="1" t="s">
        <v>32</v>
      </c>
      <c r="F634" s="1" t="s">
        <v>25</v>
      </c>
      <c r="G634" s="1" t="s">
        <v>18</v>
      </c>
      <c r="H634" s="1">
        <v>13345</v>
      </c>
      <c r="I634" s="1" t="s">
        <v>27</v>
      </c>
      <c r="J634" s="1"/>
      <c r="K634" s="1">
        <v>13000</v>
      </c>
      <c r="L634" s="2">
        <v>45317</v>
      </c>
    </row>
    <row r="635" spans="1:12" x14ac:dyDescent="0.35">
      <c r="A635" s="1" t="s">
        <v>865</v>
      </c>
      <c r="B635" s="1" t="s">
        <v>168</v>
      </c>
      <c r="C635" s="1" t="s">
        <v>14</v>
      </c>
      <c r="D635" s="1" t="s">
        <v>15</v>
      </c>
      <c r="E635" s="1" t="s">
        <v>46</v>
      </c>
      <c r="F635" s="1" t="s">
        <v>25</v>
      </c>
      <c r="G635" s="1" t="s">
        <v>26</v>
      </c>
      <c r="H635" s="1">
        <v>15036</v>
      </c>
      <c r="I635" s="1" t="s">
        <v>33</v>
      </c>
      <c r="J635" s="1">
        <v>0.3</v>
      </c>
      <c r="K635" s="1">
        <v>14000</v>
      </c>
      <c r="L635" s="2">
        <v>45305</v>
      </c>
    </row>
    <row r="636" spans="1:12" x14ac:dyDescent="0.35">
      <c r="A636" s="1" t="s">
        <v>866</v>
      </c>
      <c r="B636" s="1" t="s">
        <v>274</v>
      </c>
      <c r="C636" s="1" t="s">
        <v>44</v>
      </c>
      <c r="D636" s="1" t="s">
        <v>45</v>
      </c>
      <c r="E636" s="1" t="s">
        <v>32</v>
      </c>
      <c r="F636" s="1" t="s">
        <v>25</v>
      </c>
      <c r="G636" s="1" t="s">
        <v>18</v>
      </c>
      <c r="H636" s="1">
        <v>13526</v>
      </c>
      <c r="I636" s="1" t="s">
        <v>33</v>
      </c>
      <c r="J636" s="1">
        <v>0.3</v>
      </c>
      <c r="K636" s="1">
        <v>13000</v>
      </c>
      <c r="L636" s="2">
        <v>45304</v>
      </c>
    </row>
    <row r="637" spans="1:12" x14ac:dyDescent="0.35">
      <c r="A637" s="1" t="s">
        <v>867</v>
      </c>
      <c r="B637" s="1" t="s">
        <v>843</v>
      </c>
      <c r="C637" s="1" t="s">
        <v>14</v>
      </c>
      <c r="D637" s="1" t="s">
        <v>15</v>
      </c>
      <c r="E637" s="1" t="s">
        <v>16</v>
      </c>
      <c r="F637" s="1" t="s">
        <v>17</v>
      </c>
      <c r="G637" s="1" t="s">
        <v>26</v>
      </c>
      <c r="H637" s="1">
        <v>14251</v>
      </c>
      <c r="I637" s="1" t="s">
        <v>22</v>
      </c>
      <c r="J637" s="1">
        <v>0.1</v>
      </c>
      <c r="K637" s="1">
        <v>14000</v>
      </c>
      <c r="L637" s="2">
        <v>45310</v>
      </c>
    </row>
    <row r="638" spans="1:12" x14ac:dyDescent="0.35">
      <c r="A638" s="1" t="s">
        <v>868</v>
      </c>
      <c r="B638" s="1" t="s">
        <v>13</v>
      </c>
      <c r="C638" s="1" t="s">
        <v>30</v>
      </c>
      <c r="D638" s="1" t="s">
        <v>31</v>
      </c>
      <c r="E638" s="1" t="s">
        <v>32</v>
      </c>
      <c r="F638" s="1" t="s">
        <v>25</v>
      </c>
      <c r="G638" s="1" t="s">
        <v>26</v>
      </c>
      <c r="H638" s="1">
        <v>17378</v>
      </c>
      <c r="I638" s="1"/>
      <c r="J638" s="1"/>
      <c r="K638" s="1">
        <v>17000</v>
      </c>
      <c r="L638" s="2">
        <v>45352</v>
      </c>
    </row>
    <row r="639" spans="1:12" x14ac:dyDescent="0.35">
      <c r="A639" s="1" t="s">
        <v>869</v>
      </c>
      <c r="B639" s="1" t="s">
        <v>282</v>
      </c>
      <c r="C639" s="1" t="s">
        <v>44</v>
      </c>
      <c r="D639" s="1" t="s">
        <v>45</v>
      </c>
      <c r="E639" s="1" t="s">
        <v>16</v>
      </c>
      <c r="F639" s="1" t="s">
        <v>39</v>
      </c>
      <c r="G639" s="1" t="s">
        <v>18</v>
      </c>
      <c r="H639" s="1">
        <v>11409</v>
      </c>
      <c r="I639" s="1" t="s">
        <v>33</v>
      </c>
      <c r="J639" s="1">
        <v>0.3</v>
      </c>
      <c r="K639" s="1">
        <v>13000</v>
      </c>
      <c r="L639" s="2">
        <v>45331</v>
      </c>
    </row>
    <row r="640" spans="1:12" x14ac:dyDescent="0.35">
      <c r="A640" s="1" t="s">
        <v>870</v>
      </c>
      <c r="B640" s="1" t="s">
        <v>248</v>
      </c>
      <c r="C640" s="1" t="s">
        <v>30</v>
      </c>
      <c r="D640" s="1" t="s">
        <v>31</v>
      </c>
      <c r="E640" s="1" t="s">
        <v>46</v>
      </c>
      <c r="F640" s="1" t="s">
        <v>17</v>
      </c>
      <c r="G640" s="1" t="s">
        <v>36</v>
      </c>
      <c r="H640" s="1">
        <v>17524</v>
      </c>
      <c r="I640" s="1" t="s">
        <v>33</v>
      </c>
      <c r="J640" s="1">
        <v>0.3</v>
      </c>
      <c r="K640" s="1">
        <v>17000</v>
      </c>
      <c r="L640" s="2">
        <v>45336</v>
      </c>
    </row>
    <row r="641" spans="1:12" x14ac:dyDescent="0.35">
      <c r="A641" s="1" t="s">
        <v>871</v>
      </c>
      <c r="B641" s="1" t="s">
        <v>373</v>
      </c>
      <c r="C641" s="1" t="s">
        <v>30</v>
      </c>
      <c r="D641" s="1" t="s">
        <v>31</v>
      </c>
      <c r="E641" s="1" t="s">
        <v>46</v>
      </c>
      <c r="F641" s="1" t="s">
        <v>17</v>
      </c>
      <c r="G641" s="1" t="s">
        <v>18</v>
      </c>
      <c r="H641" s="1">
        <v>15019</v>
      </c>
      <c r="I641" s="1" t="s">
        <v>33</v>
      </c>
      <c r="J641" s="1">
        <v>0.3</v>
      </c>
      <c r="K641" s="1">
        <v>17000</v>
      </c>
      <c r="L641" s="2">
        <v>45307</v>
      </c>
    </row>
    <row r="642" spans="1:12" x14ac:dyDescent="0.35">
      <c r="A642" s="1" t="s">
        <v>872</v>
      </c>
      <c r="B642" s="1" t="s">
        <v>294</v>
      </c>
      <c r="C642" s="1" t="s">
        <v>61</v>
      </c>
      <c r="D642" s="1" t="s">
        <v>62</v>
      </c>
      <c r="E642" s="1" t="s">
        <v>46</v>
      </c>
      <c r="F642" s="1" t="s">
        <v>17</v>
      </c>
      <c r="G642" s="1" t="s">
        <v>18</v>
      </c>
      <c r="H642" s="1">
        <v>9783</v>
      </c>
      <c r="I642" s="1" t="s">
        <v>33</v>
      </c>
      <c r="J642" s="1">
        <v>0.3</v>
      </c>
      <c r="K642" s="1">
        <v>9000</v>
      </c>
      <c r="L642" s="2">
        <v>45348</v>
      </c>
    </row>
    <row r="643" spans="1:12" x14ac:dyDescent="0.35">
      <c r="A643" s="1" t="s">
        <v>873</v>
      </c>
      <c r="B643" s="1" t="s">
        <v>231</v>
      </c>
      <c r="C643" s="1" t="s">
        <v>61</v>
      </c>
      <c r="D643" s="1" t="s">
        <v>62</v>
      </c>
      <c r="E643" s="1" t="s">
        <v>46</v>
      </c>
      <c r="F643" s="1" t="s">
        <v>17</v>
      </c>
      <c r="G643" s="1" t="s">
        <v>36</v>
      </c>
      <c r="H643" s="1">
        <v>9259</v>
      </c>
      <c r="I643" s="1" t="s">
        <v>22</v>
      </c>
      <c r="J643" s="1">
        <v>0.1</v>
      </c>
      <c r="K643" s="1">
        <v>9000</v>
      </c>
      <c r="L643" s="2">
        <v>45303</v>
      </c>
    </row>
    <row r="644" spans="1:12" x14ac:dyDescent="0.35">
      <c r="A644" s="1" t="s">
        <v>874</v>
      </c>
      <c r="B644" s="1" t="s">
        <v>163</v>
      </c>
      <c r="C644" s="1" t="s">
        <v>14</v>
      </c>
      <c r="D644" s="1" t="s">
        <v>15</v>
      </c>
      <c r="E644" s="1" t="s">
        <v>46</v>
      </c>
      <c r="F644" s="1" t="s">
        <v>25</v>
      </c>
      <c r="G644" s="1" t="s">
        <v>26</v>
      </c>
      <c r="H644" s="1">
        <v>12804</v>
      </c>
      <c r="I644" s="1" t="s">
        <v>33</v>
      </c>
      <c r="J644" s="1">
        <v>0.3</v>
      </c>
      <c r="K644" s="1">
        <v>14000</v>
      </c>
      <c r="L644" s="2">
        <v>45338</v>
      </c>
    </row>
    <row r="645" spans="1:12" x14ac:dyDescent="0.35">
      <c r="A645" s="1" t="s">
        <v>875</v>
      </c>
      <c r="B645" s="1" t="s">
        <v>50</v>
      </c>
      <c r="C645" s="1" t="s">
        <v>14</v>
      </c>
      <c r="D645" s="1" t="s">
        <v>15</v>
      </c>
      <c r="E645" s="1" t="s">
        <v>16</v>
      </c>
      <c r="F645" s="1" t="s">
        <v>25</v>
      </c>
      <c r="G645" s="1" t="s">
        <v>18</v>
      </c>
      <c r="H645" s="1">
        <v>15479</v>
      </c>
      <c r="I645" s="1" t="s">
        <v>27</v>
      </c>
      <c r="J645" s="1"/>
      <c r="K645" s="1">
        <v>14000</v>
      </c>
      <c r="L645" s="2">
        <v>45332</v>
      </c>
    </row>
    <row r="646" spans="1:12" x14ac:dyDescent="0.35">
      <c r="A646" s="1" t="s">
        <v>876</v>
      </c>
      <c r="B646" s="1" t="s">
        <v>129</v>
      </c>
      <c r="C646" s="1" t="s">
        <v>61</v>
      </c>
      <c r="D646" s="1" t="s">
        <v>62</v>
      </c>
      <c r="E646" s="1" t="s">
        <v>16</v>
      </c>
      <c r="F646" s="1" t="s">
        <v>25</v>
      </c>
      <c r="G646" s="1" t="s">
        <v>18</v>
      </c>
      <c r="H646" s="1">
        <v>9259</v>
      </c>
      <c r="I646" s="1" t="s">
        <v>33</v>
      </c>
      <c r="J646" s="1">
        <v>0.3</v>
      </c>
      <c r="K646" s="1">
        <v>9000</v>
      </c>
      <c r="L646" s="2">
        <v>45326</v>
      </c>
    </row>
    <row r="647" spans="1:12" x14ac:dyDescent="0.35">
      <c r="A647" s="1" t="s">
        <v>877</v>
      </c>
      <c r="B647" s="1" t="s">
        <v>84</v>
      </c>
      <c r="C647" s="1" t="s">
        <v>61</v>
      </c>
      <c r="D647" s="1" t="s">
        <v>62</v>
      </c>
      <c r="E647" s="1" t="s">
        <v>16</v>
      </c>
      <c r="F647" s="1" t="s">
        <v>25</v>
      </c>
      <c r="G647" s="1" t="s">
        <v>36</v>
      </c>
      <c r="H647" s="1">
        <v>8607</v>
      </c>
      <c r="I647" s="1" t="s">
        <v>19</v>
      </c>
      <c r="J647" s="1">
        <v>0.2</v>
      </c>
      <c r="K647" s="1">
        <v>9000</v>
      </c>
      <c r="L647" s="2">
        <v>45349</v>
      </c>
    </row>
    <row r="648" spans="1:12" x14ac:dyDescent="0.35">
      <c r="A648" s="1" t="s">
        <v>878</v>
      </c>
      <c r="B648" s="1" t="s">
        <v>522</v>
      </c>
      <c r="C648" s="1" t="s">
        <v>30</v>
      </c>
      <c r="D648" s="1" t="s">
        <v>31</v>
      </c>
      <c r="E648" s="1" t="s">
        <v>32</v>
      </c>
      <c r="F648" s="1" t="s">
        <v>17</v>
      </c>
      <c r="G648" s="1" t="s">
        <v>26</v>
      </c>
      <c r="H648" s="1">
        <v>17090</v>
      </c>
      <c r="I648" s="1" t="s">
        <v>22</v>
      </c>
      <c r="J648" s="1">
        <v>0.1</v>
      </c>
      <c r="K648" s="1">
        <v>17000</v>
      </c>
      <c r="L648" s="2">
        <v>45317</v>
      </c>
    </row>
    <row r="649" spans="1:12" x14ac:dyDescent="0.35">
      <c r="A649" s="1" t="s">
        <v>879</v>
      </c>
      <c r="B649" s="1" t="s">
        <v>301</v>
      </c>
      <c r="C649" s="1" t="s">
        <v>14</v>
      </c>
      <c r="D649" s="1" t="s">
        <v>15</v>
      </c>
      <c r="E649" s="1" t="s">
        <v>16</v>
      </c>
      <c r="F649" s="1" t="s">
        <v>25</v>
      </c>
      <c r="G649" s="1" t="s">
        <v>26</v>
      </c>
      <c r="H649" s="1">
        <v>14802</v>
      </c>
      <c r="I649" s="1" t="s">
        <v>19</v>
      </c>
      <c r="J649" s="1">
        <v>0.2</v>
      </c>
      <c r="K649" s="1">
        <v>14000</v>
      </c>
      <c r="L649" s="2">
        <v>45340</v>
      </c>
    </row>
    <row r="650" spans="1:12" x14ac:dyDescent="0.35">
      <c r="A650" s="1" t="s">
        <v>880</v>
      </c>
      <c r="B650" s="1" t="s">
        <v>80</v>
      </c>
      <c r="C650" s="1" t="s">
        <v>61</v>
      </c>
      <c r="D650" s="1" t="s">
        <v>62</v>
      </c>
      <c r="E650" s="1" t="s">
        <v>32</v>
      </c>
      <c r="F650" s="1" t="s">
        <v>25</v>
      </c>
      <c r="G650" s="1" t="s">
        <v>26</v>
      </c>
      <c r="H650" s="1">
        <v>10885</v>
      </c>
      <c r="I650" s="1" t="s">
        <v>27</v>
      </c>
      <c r="J650" s="1"/>
      <c r="K650" s="1">
        <v>9000</v>
      </c>
      <c r="L650" s="2">
        <v>45334</v>
      </c>
    </row>
    <row r="651" spans="1:12" x14ac:dyDescent="0.35">
      <c r="A651" s="1" t="s">
        <v>881</v>
      </c>
      <c r="B651" s="1" t="s">
        <v>412</v>
      </c>
      <c r="C651" s="1" t="s">
        <v>61</v>
      </c>
      <c r="D651" s="1" t="s">
        <v>62</v>
      </c>
      <c r="E651" s="1" t="s">
        <v>46</v>
      </c>
      <c r="F651" s="1" t="s">
        <v>25</v>
      </c>
      <c r="G651" s="1" t="s">
        <v>18</v>
      </c>
      <c r="H651" s="1">
        <v>10118</v>
      </c>
      <c r="I651" s="1"/>
      <c r="J651" s="1"/>
      <c r="K651" s="1">
        <v>9000</v>
      </c>
      <c r="L651" s="2">
        <v>45306</v>
      </c>
    </row>
    <row r="652" spans="1:12" x14ac:dyDescent="0.35">
      <c r="A652" s="1" t="s">
        <v>882</v>
      </c>
      <c r="B652" s="1" t="s">
        <v>263</v>
      </c>
      <c r="C652" s="1" t="s">
        <v>30</v>
      </c>
      <c r="D652" s="1" t="s">
        <v>31</v>
      </c>
      <c r="E652" s="1" t="s">
        <v>32</v>
      </c>
      <c r="F652" s="1" t="s">
        <v>25</v>
      </c>
      <c r="G652" s="1" t="s">
        <v>26</v>
      </c>
      <c r="H652" s="1">
        <v>15846</v>
      </c>
      <c r="I652" s="1" t="s">
        <v>27</v>
      </c>
      <c r="J652" s="1"/>
      <c r="K652" s="1">
        <v>17000</v>
      </c>
      <c r="L652" s="2">
        <v>45350</v>
      </c>
    </row>
    <row r="653" spans="1:12" x14ac:dyDescent="0.35">
      <c r="A653" s="1" t="s">
        <v>883</v>
      </c>
      <c r="B653" s="1" t="s">
        <v>602</v>
      </c>
      <c r="C653" s="1" t="s">
        <v>61</v>
      </c>
      <c r="D653" s="1" t="s">
        <v>62</v>
      </c>
      <c r="E653" s="1" t="s">
        <v>46</v>
      </c>
      <c r="F653" s="1" t="s">
        <v>17</v>
      </c>
      <c r="G653" s="1" t="s">
        <v>18</v>
      </c>
      <c r="H653" s="1">
        <v>7163</v>
      </c>
      <c r="I653" s="1" t="s">
        <v>33</v>
      </c>
      <c r="J653" s="1">
        <v>0.3</v>
      </c>
      <c r="K653" s="1">
        <v>9000</v>
      </c>
      <c r="L653" s="2">
        <v>45298</v>
      </c>
    </row>
    <row r="654" spans="1:12" x14ac:dyDescent="0.35">
      <c r="A654" s="1" t="s">
        <v>884</v>
      </c>
      <c r="B654" s="1" t="s">
        <v>103</v>
      </c>
      <c r="C654" s="1" t="s">
        <v>30</v>
      </c>
      <c r="D654" s="1" t="s">
        <v>31</v>
      </c>
      <c r="E654" s="1" t="s">
        <v>16</v>
      </c>
      <c r="F654" s="1" t="s">
        <v>17</v>
      </c>
      <c r="G654" s="1" t="s">
        <v>26</v>
      </c>
      <c r="H654" s="1">
        <v>17229</v>
      </c>
      <c r="I654" s="1" t="s">
        <v>27</v>
      </c>
      <c r="J654" s="1"/>
      <c r="K654" s="1">
        <v>17000</v>
      </c>
      <c r="L654" s="2">
        <v>45303</v>
      </c>
    </row>
    <row r="655" spans="1:12" x14ac:dyDescent="0.35">
      <c r="A655" s="1" t="s">
        <v>885</v>
      </c>
      <c r="B655" s="1" t="s">
        <v>274</v>
      </c>
      <c r="C655" s="1" t="s">
        <v>61</v>
      </c>
      <c r="D655" s="1" t="s">
        <v>62</v>
      </c>
      <c r="E655" s="1" t="s">
        <v>46</v>
      </c>
      <c r="F655" s="1" t="s">
        <v>39</v>
      </c>
      <c r="G655" s="1" t="s">
        <v>26</v>
      </c>
      <c r="H655" s="1">
        <v>10679</v>
      </c>
      <c r="I655" s="1" t="s">
        <v>22</v>
      </c>
      <c r="J655" s="1">
        <v>0.1</v>
      </c>
      <c r="K655" s="1">
        <v>9000</v>
      </c>
      <c r="L655" s="2">
        <v>45325</v>
      </c>
    </row>
    <row r="656" spans="1:12" x14ac:dyDescent="0.35">
      <c r="A656" s="1" t="s">
        <v>886</v>
      </c>
      <c r="B656" s="1" t="s">
        <v>70</v>
      </c>
      <c r="C656" s="1" t="s">
        <v>44</v>
      </c>
      <c r="D656" s="1" t="s">
        <v>45</v>
      </c>
      <c r="E656" s="1" t="s">
        <v>16</v>
      </c>
      <c r="F656" s="1" t="s">
        <v>17</v>
      </c>
      <c r="G656" s="1" t="s">
        <v>36</v>
      </c>
      <c r="H656" s="1">
        <v>14347</v>
      </c>
      <c r="I656" s="1" t="s">
        <v>33</v>
      </c>
      <c r="J656" s="1">
        <v>0.3</v>
      </c>
      <c r="K656" s="1">
        <v>13000</v>
      </c>
      <c r="L656" s="2">
        <v>45323</v>
      </c>
    </row>
    <row r="657" spans="1:12" x14ac:dyDescent="0.35">
      <c r="A657" s="1" t="s">
        <v>887</v>
      </c>
      <c r="B657" s="1" t="s">
        <v>298</v>
      </c>
      <c r="C657" s="1" t="s">
        <v>14</v>
      </c>
      <c r="D657" s="1" t="s">
        <v>15</v>
      </c>
      <c r="E657" s="1" t="s">
        <v>16</v>
      </c>
      <c r="F657" s="1" t="s">
        <v>25</v>
      </c>
      <c r="G657" s="1" t="s">
        <v>36</v>
      </c>
      <c r="H657" s="1">
        <v>12678</v>
      </c>
      <c r="I657" s="1" t="s">
        <v>19</v>
      </c>
      <c r="J657" s="1">
        <v>0.2</v>
      </c>
      <c r="K657" s="1">
        <v>14000</v>
      </c>
      <c r="L657" s="2">
        <v>45296</v>
      </c>
    </row>
    <row r="658" spans="1:12" x14ac:dyDescent="0.35">
      <c r="A658" s="1" t="s">
        <v>888</v>
      </c>
      <c r="B658" s="1" t="s">
        <v>202</v>
      </c>
      <c r="C658" s="1" t="s">
        <v>30</v>
      </c>
      <c r="D658" s="1" t="s">
        <v>31</v>
      </c>
      <c r="E658" s="1" t="s">
        <v>32</v>
      </c>
      <c r="F658" s="1" t="s">
        <v>25</v>
      </c>
      <c r="G658" s="1" t="s">
        <v>18</v>
      </c>
      <c r="H658" s="1">
        <v>15644</v>
      </c>
      <c r="I658" s="1" t="s">
        <v>33</v>
      </c>
      <c r="J658" s="1">
        <v>0.3</v>
      </c>
      <c r="K658" s="1">
        <v>17000</v>
      </c>
      <c r="L658" s="2">
        <v>45330</v>
      </c>
    </row>
    <row r="659" spans="1:12" x14ac:dyDescent="0.35">
      <c r="A659" s="1" t="s">
        <v>889</v>
      </c>
      <c r="B659" s="1" t="s">
        <v>371</v>
      </c>
      <c r="C659" s="1" t="s">
        <v>14</v>
      </c>
      <c r="D659" s="1" t="s">
        <v>15</v>
      </c>
      <c r="E659" s="1" t="s">
        <v>16</v>
      </c>
      <c r="F659" s="1" t="s">
        <v>25</v>
      </c>
      <c r="G659" s="1" t="s">
        <v>36</v>
      </c>
      <c r="H659" s="1">
        <v>15322</v>
      </c>
      <c r="I659" s="1" t="s">
        <v>33</v>
      </c>
      <c r="J659" s="1">
        <v>0.3</v>
      </c>
      <c r="K659" s="1">
        <v>14000</v>
      </c>
      <c r="L659" s="2">
        <v>45338</v>
      </c>
    </row>
    <row r="660" spans="1:12" x14ac:dyDescent="0.35">
      <c r="A660" s="1" t="s">
        <v>890</v>
      </c>
      <c r="B660" s="1" t="s">
        <v>245</v>
      </c>
      <c r="C660" s="1" t="s">
        <v>61</v>
      </c>
      <c r="D660" s="1" t="s">
        <v>62</v>
      </c>
      <c r="E660" s="1" t="s">
        <v>46</v>
      </c>
      <c r="F660" s="1" t="s">
        <v>25</v>
      </c>
      <c r="G660" s="1" t="s">
        <v>26</v>
      </c>
      <c r="H660" s="1">
        <v>7660</v>
      </c>
      <c r="I660" s="1"/>
      <c r="J660" s="1"/>
      <c r="K660" s="1">
        <v>9000</v>
      </c>
      <c r="L660" s="2">
        <v>45293</v>
      </c>
    </row>
    <row r="661" spans="1:12" x14ac:dyDescent="0.35">
      <c r="A661" s="1" t="s">
        <v>891</v>
      </c>
      <c r="B661" s="1" t="s">
        <v>500</v>
      </c>
      <c r="C661" s="1" t="s">
        <v>44</v>
      </c>
      <c r="D661" s="1" t="s">
        <v>45</v>
      </c>
      <c r="E661" s="1" t="s">
        <v>16</v>
      </c>
      <c r="F661" s="1" t="s">
        <v>39</v>
      </c>
      <c r="G661" s="1" t="s">
        <v>18</v>
      </c>
      <c r="H661" s="1">
        <v>11551</v>
      </c>
      <c r="I661" s="1" t="s">
        <v>27</v>
      </c>
      <c r="J661" s="1"/>
      <c r="K661" s="1">
        <v>13000</v>
      </c>
      <c r="L661" s="2">
        <v>45294</v>
      </c>
    </row>
    <row r="662" spans="1:12" x14ac:dyDescent="0.35">
      <c r="A662" s="1" t="s">
        <v>892</v>
      </c>
      <c r="B662" s="1" t="s">
        <v>60</v>
      </c>
      <c r="C662" s="1" t="s">
        <v>44</v>
      </c>
      <c r="D662" s="1" t="s">
        <v>45</v>
      </c>
      <c r="E662" s="1" t="s">
        <v>32</v>
      </c>
      <c r="F662" s="1" t="s">
        <v>25</v>
      </c>
      <c r="G662" s="1" t="s">
        <v>36</v>
      </c>
      <c r="H662" s="1">
        <v>14778</v>
      </c>
      <c r="I662" s="1" t="s">
        <v>19</v>
      </c>
      <c r="J662" s="1">
        <v>0.2</v>
      </c>
      <c r="K662" s="1">
        <v>13000</v>
      </c>
      <c r="L662" s="2">
        <v>45325</v>
      </c>
    </row>
    <row r="663" spans="1:12" x14ac:dyDescent="0.35">
      <c r="A663" s="1" t="s">
        <v>893</v>
      </c>
      <c r="B663" s="1" t="s">
        <v>617</v>
      </c>
      <c r="C663" s="1" t="s">
        <v>14</v>
      </c>
      <c r="D663" s="1" t="s">
        <v>15</v>
      </c>
      <c r="E663" s="1" t="s">
        <v>16</v>
      </c>
      <c r="F663" s="1" t="s">
        <v>39</v>
      </c>
      <c r="G663" s="1" t="s">
        <v>26</v>
      </c>
      <c r="H663" s="1">
        <v>15364</v>
      </c>
      <c r="I663" s="1" t="s">
        <v>33</v>
      </c>
      <c r="J663" s="1">
        <v>0.3</v>
      </c>
      <c r="K663" s="1">
        <v>14000</v>
      </c>
      <c r="L663" s="2">
        <v>45352</v>
      </c>
    </row>
    <row r="664" spans="1:12" x14ac:dyDescent="0.35">
      <c r="A664" s="1" t="s">
        <v>894</v>
      </c>
      <c r="B664" s="1" t="s">
        <v>248</v>
      </c>
      <c r="C664" s="1" t="s">
        <v>61</v>
      </c>
      <c r="D664" s="1" t="s">
        <v>62</v>
      </c>
      <c r="E664" s="1" t="s">
        <v>16</v>
      </c>
      <c r="F664" s="1" t="s">
        <v>17</v>
      </c>
      <c r="G664" s="1" t="s">
        <v>36</v>
      </c>
      <c r="H664" s="1">
        <v>7698</v>
      </c>
      <c r="I664" s="1" t="s">
        <v>19</v>
      </c>
      <c r="J664" s="1">
        <v>0.2</v>
      </c>
      <c r="K664" s="1">
        <v>9000</v>
      </c>
      <c r="L664" s="2">
        <v>45345</v>
      </c>
    </row>
    <row r="665" spans="1:12" x14ac:dyDescent="0.35">
      <c r="A665" s="1" t="s">
        <v>895</v>
      </c>
      <c r="B665" s="1" t="s">
        <v>617</v>
      </c>
      <c r="C665" s="1" t="s">
        <v>44</v>
      </c>
      <c r="D665" s="1" t="s">
        <v>45</v>
      </c>
      <c r="E665" s="1" t="s">
        <v>16</v>
      </c>
      <c r="F665" s="1" t="s">
        <v>25</v>
      </c>
      <c r="G665" s="1" t="s">
        <v>26</v>
      </c>
      <c r="H665" s="1">
        <v>13701</v>
      </c>
      <c r="I665" s="1" t="s">
        <v>27</v>
      </c>
      <c r="J665" s="1"/>
      <c r="K665" s="1">
        <v>13000</v>
      </c>
      <c r="L665" s="2">
        <v>45308</v>
      </c>
    </row>
    <row r="666" spans="1:12" x14ac:dyDescent="0.35">
      <c r="A666" s="1" t="s">
        <v>896</v>
      </c>
      <c r="B666" s="1" t="s">
        <v>280</v>
      </c>
      <c r="C666" s="1" t="s">
        <v>30</v>
      </c>
      <c r="D666" s="1" t="s">
        <v>31</v>
      </c>
      <c r="E666" s="1" t="s">
        <v>46</v>
      </c>
      <c r="F666" s="1" t="s">
        <v>39</v>
      </c>
      <c r="G666" s="1" t="s">
        <v>26</v>
      </c>
      <c r="H666" s="1">
        <v>15281</v>
      </c>
      <c r="I666" s="1" t="s">
        <v>19</v>
      </c>
      <c r="J666" s="1">
        <v>0.2</v>
      </c>
      <c r="K666" s="1">
        <v>17000</v>
      </c>
      <c r="L666" s="2">
        <v>45316</v>
      </c>
    </row>
    <row r="667" spans="1:12" x14ac:dyDescent="0.35">
      <c r="A667" s="1" t="s">
        <v>897</v>
      </c>
      <c r="B667" s="1" t="s">
        <v>186</v>
      </c>
      <c r="C667" s="1" t="s">
        <v>14</v>
      </c>
      <c r="D667" s="1" t="s">
        <v>15</v>
      </c>
      <c r="E667" s="1" t="s">
        <v>32</v>
      </c>
      <c r="F667" s="1" t="s">
        <v>25</v>
      </c>
      <c r="G667" s="1" t="s">
        <v>26</v>
      </c>
      <c r="H667" s="1">
        <v>15520</v>
      </c>
      <c r="I667" s="1" t="s">
        <v>27</v>
      </c>
      <c r="J667" s="1"/>
      <c r="K667" s="1">
        <v>14000</v>
      </c>
      <c r="L667" s="2">
        <v>45335</v>
      </c>
    </row>
    <row r="668" spans="1:12" x14ac:dyDescent="0.35">
      <c r="A668" s="1" t="s">
        <v>898</v>
      </c>
      <c r="B668" s="1" t="s">
        <v>309</v>
      </c>
      <c r="C668" s="1" t="s">
        <v>44</v>
      </c>
      <c r="D668" s="1" t="s">
        <v>45</v>
      </c>
      <c r="E668" s="1" t="s">
        <v>16</v>
      </c>
      <c r="F668" s="1" t="s">
        <v>25</v>
      </c>
      <c r="G668" s="1" t="s">
        <v>18</v>
      </c>
      <c r="H668" s="1">
        <v>12949</v>
      </c>
      <c r="I668" s="1" t="s">
        <v>27</v>
      </c>
      <c r="J668" s="1"/>
      <c r="K668" s="1">
        <v>13000</v>
      </c>
      <c r="L668" s="2">
        <v>45330</v>
      </c>
    </row>
    <row r="669" spans="1:12" x14ac:dyDescent="0.35">
      <c r="A669" s="1" t="s">
        <v>899</v>
      </c>
      <c r="B669" s="1" t="s">
        <v>321</v>
      </c>
      <c r="C669" s="1" t="s">
        <v>14</v>
      </c>
      <c r="D669" s="1" t="s">
        <v>15</v>
      </c>
      <c r="E669" s="1" t="s">
        <v>32</v>
      </c>
      <c r="F669" s="1" t="s">
        <v>17</v>
      </c>
      <c r="G669" s="1" t="s">
        <v>26</v>
      </c>
      <c r="H669" s="1">
        <v>12533</v>
      </c>
      <c r="I669" s="1" t="s">
        <v>27</v>
      </c>
      <c r="J669" s="1"/>
      <c r="K669" s="1">
        <v>14000</v>
      </c>
      <c r="L669" s="2">
        <v>45326</v>
      </c>
    </row>
    <row r="670" spans="1:12" x14ac:dyDescent="0.35">
      <c r="A670" s="1" t="s">
        <v>900</v>
      </c>
      <c r="B670" s="1" t="s">
        <v>676</v>
      </c>
      <c r="C670" s="1" t="s">
        <v>61</v>
      </c>
      <c r="D670" s="1" t="s">
        <v>62</v>
      </c>
      <c r="E670" s="1" t="s">
        <v>16</v>
      </c>
      <c r="F670" s="1" t="s">
        <v>17</v>
      </c>
      <c r="G670" s="1" t="s">
        <v>36</v>
      </c>
      <c r="H670" s="1">
        <v>10583</v>
      </c>
      <c r="I670" s="1" t="s">
        <v>22</v>
      </c>
      <c r="J670" s="1">
        <v>0.1</v>
      </c>
      <c r="K670" s="1">
        <v>9000</v>
      </c>
      <c r="L670" s="2">
        <v>45336</v>
      </c>
    </row>
    <row r="671" spans="1:12" x14ac:dyDescent="0.35">
      <c r="A671" s="1" t="s">
        <v>901</v>
      </c>
      <c r="B671" s="1" t="s">
        <v>388</v>
      </c>
      <c r="C671" s="1" t="s">
        <v>44</v>
      </c>
      <c r="D671" s="1" t="s">
        <v>45</v>
      </c>
      <c r="E671" s="1" t="s">
        <v>46</v>
      </c>
      <c r="F671" s="1" t="s">
        <v>17</v>
      </c>
      <c r="G671" s="1" t="s">
        <v>36</v>
      </c>
      <c r="H671" s="1">
        <v>13412</v>
      </c>
      <c r="I671" s="1" t="s">
        <v>27</v>
      </c>
      <c r="J671" s="1"/>
      <c r="K671" s="1">
        <v>13000</v>
      </c>
      <c r="L671" s="2">
        <v>45298</v>
      </c>
    </row>
    <row r="672" spans="1:12" x14ac:dyDescent="0.35">
      <c r="A672" s="1" t="s">
        <v>902</v>
      </c>
      <c r="B672" s="1" t="s">
        <v>186</v>
      </c>
      <c r="C672" s="1" t="s">
        <v>30</v>
      </c>
      <c r="D672" s="1" t="s">
        <v>31</v>
      </c>
      <c r="E672" s="1" t="s">
        <v>46</v>
      </c>
      <c r="F672" s="1" t="s">
        <v>25</v>
      </c>
      <c r="G672" s="1" t="s">
        <v>18</v>
      </c>
      <c r="H672" s="1">
        <v>16160</v>
      </c>
      <c r="I672" s="1" t="s">
        <v>27</v>
      </c>
      <c r="J672" s="1"/>
      <c r="K672" s="1">
        <v>17000</v>
      </c>
      <c r="L672" s="2">
        <v>45348</v>
      </c>
    </row>
    <row r="673" spans="1:12" x14ac:dyDescent="0.35">
      <c r="A673" s="1" t="s">
        <v>903</v>
      </c>
      <c r="B673" s="1" t="s">
        <v>388</v>
      </c>
      <c r="C673" s="1" t="s">
        <v>30</v>
      </c>
      <c r="D673" s="1" t="s">
        <v>31</v>
      </c>
      <c r="E673" s="1" t="s">
        <v>32</v>
      </c>
      <c r="F673" s="1" t="s">
        <v>25</v>
      </c>
      <c r="G673" s="1" t="s">
        <v>26</v>
      </c>
      <c r="H673" s="1">
        <v>18045</v>
      </c>
      <c r="I673" s="1" t="s">
        <v>22</v>
      </c>
      <c r="J673" s="1">
        <v>0.1</v>
      </c>
      <c r="K673" s="1">
        <v>17000</v>
      </c>
      <c r="L673" s="2">
        <v>45328</v>
      </c>
    </row>
    <row r="674" spans="1:12" x14ac:dyDescent="0.35">
      <c r="A674" s="1" t="s">
        <v>904</v>
      </c>
      <c r="B674" s="1" t="s">
        <v>905</v>
      </c>
      <c r="C674" s="1" t="s">
        <v>14</v>
      </c>
      <c r="D674" s="1" t="s">
        <v>15</v>
      </c>
      <c r="E674" s="1" t="s">
        <v>46</v>
      </c>
      <c r="F674" s="1" t="s">
        <v>39</v>
      </c>
      <c r="G674" s="1" t="s">
        <v>18</v>
      </c>
      <c r="H674" s="1">
        <v>14817</v>
      </c>
      <c r="I674" s="1" t="s">
        <v>33</v>
      </c>
      <c r="J674" s="1">
        <v>0.3</v>
      </c>
      <c r="K674" s="1">
        <v>14000</v>
      </c>
      <c r="L674" s="2">
        <v>45318</v>
      </c>
    </row>
    <row r="675" spans="1:12" x14ac:dyDescent="0.35">
      <c r="A675" s="1" t="s">
        <v>906</v>
      </c>
      <c r="B675" s="1" t="s">
        <v>116</v>
      </c>
      <c r="C675" s="1" t="s">
        <v>44</v>
      </c>
      <c r="D675" s="1" t="s">
        <v>45</v>
      </c>
      <c r="E675" s="1" t="s">
        <v>46</v>
      </c>
      <c r="F675" s="1" t="s">
        <v>39</v>
      </c>
      <c r="G675" s="1" t="s">
        <v>26</v>
      </c>
      <c r="H675" s="1">
        <v>12038</v>
      </c>
      <c r="I675" s="1" t="s">
        <v>33</v>
      </c>
      <c r="J675" s="1">
        <v>0.3</v>
      </c>
      <c r="K675" s="1">
        <v>13000</v>
      </c>
      <c r="L675" s="2">
        <v>45346</v>
      </c>
    </row>
    <row r="676" spans="1:12" x14ac:dyDescent="0.35">
      <c r="A676" s="1" t="s">
        <v>907</v>
      </c>
      <c r="B676" s="1" t="s">
        <v>388</v>
      </c>
      <c r="C676" s="1" t="s">
        <v>30</v>
      </c>
      <c r="D676" s="1" t="s">
        <v>31</v>
      </c>
      <c r="E676" s="1" t="s">
        <v>16</v>
      </c>
      <c r="F676" s="1" t="s">
        <v>17</v>
      </c>
      <c r="G676" s="1" t="s">
        <v>26</v>
      </c>
      <c r="H676" s="1">
        <v>16627</v>
      </c>
      <c r="I676" s="1" t="s">
        <v>19</v>
      </c>
      <c r="J676" s="1">
        <v>0.2</v>
      </c>
      <c r="K676" s="1">
        <v>17000</v>
      </c>
      <c r="L676" s="2">
        <v>45318</v>
      </c>
    </row>
    <row r="677" spans="1:12" x14ac:dyDescent="0.35">
      <c r="A677" s="1" t="s">
        <v>908</v>
      </c>
      <c r="B677" s="1" t="s">
        <v>82</v>
      </c>
      <c r="C677" s="1" t="s">
        <v>61</v>
      </c>
      <c r="D677" s="1" t="s">
        <v>62</v>
      </c>
      <c r="E677" s="1" t="s">
        <v>32</v>
      </c>
      <c r="F677" s="1" t="s">
        <v>17</v>
      </c>
      <c r="G677" s="1" t="s">
        <v>26</v>
      </c>
      <c r="H677" s="1">
        <v>9272</v>
      </c>
      <c r="I677" s="1"/>
      <c r="J677" s="1"/>
      <c r="K677" s="1">
        <v>9000</v>
      </c>
      <c r="L677" s="2">
        <v>45308</v>
      </c>
    </row>
    <row r="678" spans="1:12" x14ac:dyDescent="0.35">
      <c r="A678" s="1" t="s">
        <v>909</v>
      </c>
      <c r="B678" s="1" t="s">
        <v>118</v>
      </c>
      <c r="C678" s="1" t="s">
        <v>30</v>
      </c>
      <c r="D678" s="1" t="s">
        <v>31</v>
      </c>
      <c r="E678" s="1" t="s">
        <v>16</v>
      </c>
      <c r="F678" s="1" t="s">
        <v>17</v>
      </c>
      <c r="G678" s="1" t="s">
        <v>26</v>
      </c>
      <c r="H678" s="1">
        <v>15565</v>
      </c>
      <c r="I678" s="1" t="s">
        <v>22</v>
      </c>
      <c r="J678" s="1">
        <v>0.1</v>
      </c>
      <c r="K678" s="1">
        <v>17000</v>
      </c>
      <c r="L678" s="2">
        <v>45339</v>
      </c>
    </row>
    <row r="679" spans="1:12" x14ac:dyDescent="0.35">
      <c r="A679" s="1" t="s">
        <v>910</v>
      </c>
      <c r="B679" s="1" t="s">
        <v>29</v>
      </c>
      <c r="C679" s="1" t="s">
        <v>44</v>
      </c>
      <c r="D679" s="1" t="s">
        <v>45</v>
      </c>
      <c r="E679" s="1" t="s">
        <v>32</v>
      </c>
      <c r="F679" s="1" t="s">
        <v>25</v>
      </c>
      <c r="G679" s="1" t="s">
        <v>26</v>
      </c>
      <c r="H679" s="1">
        <v>12640</v>
      </c>
      <c r="I679" s="1" t="s">
        <v>33</v>
      </c>
      <c r="J679" s="1">
        <v>0.3</v>
      </c>
      <c r="K679" s="1">
        <v>13000</v>
      </c>
      <c r="L679" s="2">
        <v>45343</v>
      </c>
    </row>
    <row r="680" spans="1:12" x14ac:dyDescent="0.35">
      <c r="A680" s="1" t="s">
        <v>911</v>
      </c>
      <c r="B680" s="1" t="s">
        <v>382</v>
      </c>
      <c r="C680" s="1" t="s">
        <v>14</v>
      </c>
      <c r="D680" s="1" t="s">
        <v>15</v>
      </c>
      <c r="E680" s="1" t="s">
        <v>32</v>
      </c>
      <c r="F680" s="1" t="s">
        <v>17</v>
      </c>
      <c r="G680" s="1" t="s">
        <v>26</v>
      </c>
      <c r="H680" s="1">
        <v>12021</v>
      </c>
      <c r="I680" s="1" t="s">
        <v>22</v>
      </c>
      <c r="J680" s="1">
        <v>0.1</v>
      </c>
      <c r="K680" s="1">
        <v>14000</v>
      </c>
      <c r="L680" s="2">
        <v>45344</v>
      </c>
    </row>
    <row r="681" spans="1:12" x14ac:dyDescent="0.35">
      <c r="A681" s="1" t="s">
        <v>912</v>
      </c>
      <c r="B681" s="1" t="s">
        <v>429</v>
      </c>
      <c r="C681" s="1" t="s">
        <v>61</v>
      </c>
      <c r="D681" s="1" t="s">
        <v>62</v>
      </c>
      <c r="E681" s="1" t="s">
        <v>32</v>
      </c>
      <c r="F681" s="1" t="s">
        <v>25</v>
      </c>
      <c r="G681" s="1" t="s">
        <v>36</v>
      </c>
      <c r="H681" s="1">
        <v>7908</v>
      </c>
      <c r="I681" s="1" t="s">
        <v>33</v>
      </c>
      <c r="J681" s="1">
        <v>0.3</v>
      </c>
      <c r="K681" s="1">
        <v>9000</v>
      </c>
      <c r="L681" s="2">
        <v>45297</v>
      </c>
    </row>
    <row r="682" spans="1:12" x14ac:dyDescent="0.35">
      <c r="A682" s="1" t="s">
        <v>913</v>
      </c>
      <c r="B682" s="1" t="s">
        <v>359</v>
      </c>
      <c r="C682" s="1" t="s">
        <v>61</v>
      </c>
      <c r="D682" s="1" t="s">
        <v>62</v>
      </c>
      <c r="E682" s="1" t="s">
        <v>46</v>
      </c>
      <c r="F682" s="1" t="s">
        <v>39</v>
      </c>
      <c r="G682" s="1" t="s">
        <v>26</v>
      </c>
      <c r="H682" s="1">
        <v>9134</v>
      </c>
      <c r="I682" s="1" t="s">
        <v>33</v>
      </c>
      <c r="J682" s="1">
        <v>0.3</v>
      </c>
      <c r="K682" s="1">
        <v>9000</v>
      </c>
      <c r="L682" s="2">
        <v>45337</v>
      </c>
    </row>
    <row r="683" spans="1:12" x14ac:dyDescent="0.35">
      <c r="A683" s="1" t="s">
        <v>914</v>
      </c>
      <c r="B683" s="1" t="s">
        <v>359</v>
      </c>
      <c r="C683" s="1" t="s">
        <v>44</v>
      </c>
      <c r="D683" s="1" t="s">
        <v>45</v>
      </c>
      <c r="E683" s="1" t="s">
        <v>16</v>
      </c>
      <c r="F683" s="1" t="s">
        <v>17</v>
      </c>
      <c r="G683" s="1" t="s">
        <v>36</v>
      </c>
      <c r="H683" s="1">
        <v>11043</v>
      </c>
      <c r="I683" s="1" t="s">
        <v>19</v>
      </c>
      <c r="J683" s="1">
        <v>0.2</v>
      </c>
      <c r="K683" s="1">
        <v>13000</v>
      </c>
      <c r="L683" s="2">
        <v>45346</v>
      </c>
    </row>
    <row r="684" spans="1:12" x14ac:dyDescent="0.35">
      <c r="A684" s="1" t="s">
        <v>915</v>
      </c>
      <c r="B684" s="1" t="s">
        <v>270</v>
      </c>
      <c r="C684" s="1" t="s">
        <v>30</v>
      </c>
      <c r="D684" s="1" t="s">
        <v>31</v>
      </c>
      <c r="E684" s="1" t="s">
        <v>32</v>
      </c>
      <c r="F684" s="1" t="s">
        <v>25</v>
      </c>
      <c r="G684" s="1" t="s">
        <v>26</v>
      </c>
      <c r="H684" s="1">
        <v>17091</v>
      </c>
      <c r="I684" s="1" t="s">
        <v>27</v>
      </c>
      <c r="J684" s="1"/>
      <c r="K684" s="1">
        <v>17000</v>
      </c>
      <c r="L684" s="2">
        <v>45336</v>
      </c>
    </row>
    <row r="685" spans="1:12" x14ac:dyDescent="0.35">
      <c r="A685" s="1" t="s">
        <v>916</v>
      </c>
      <c r="B685" s="1" t="s">
        <v>56</v>
      </c>
      <c r="C685" s="1" t="s">
        <v>44</v>
      </c>
      <c r="D685" s="1" t="s">
        <v>45</v>
      </c>
      <c r="E685" s="1" t="s">
        <v>16</v>
      </c>
      <c r="F685" s="1" t="s">
        <v>25</v>
      </c>
      <c r="G685" s="1" t="s">
        <v>36</v>
      </c>
      <c r="H685" s="1">
        <v>11979</v>
      </c>
      <c r="I685" s="1" t="s">
        <v>22</v>
      </c>
      <c r="J685" s="1">
        <v>0.1</v>
      </c>
      <c r="K685" s="1">
        <v>13000</v>
      </c>
      <c r="L685" s="2">
        <v>45302</v>
      </c>
    </row>
    <row r="686" spans="1:12" x14ac:dyDescent="0.35">
      <c r="A686" s="1" t="s">
        <v>917</v>
      </c>
      <c r="B686" s="1" t="s">
        <v>263</v>
      </c>
      <c r="C686" s="1" t="s">
        <v>61</v>
      </c>
      <c r="D686" s="1" t="s">
        <v>62</v>
      </c>
      <c r="E686" s="1" t="s">
        <v>46</v>
      </c>
      <c r="F686" s="1" t="s">
        <v>39</v>
      </c>
      <c r="G686" s="1" t="s">
        <v>36</v>
      </c>
      <c r="H686" s="1">
        <v>8660</v>
      </c>
      <c r="I686" s="1" t="s">
        <v>27</v>
      </c>
      <c r="J686" s="1"/>
      <c r="K686" s="1">
        <v>9000</v>
      </c>
      <c r="L686" s="2">
        <v>45304</v>
      </c>
    </row>
    <row r="687" spans="1:12" x14ac:dyDescent="0.35">
      <c r="A687" s="1" t="s">
        <v>918</v>
      </c>
      <c r="B687" s="1" t="s">
        <v>184</v>
      </c>
      <c r="C687" s="1" t="s">
        <v>14</v>
      </c>
      <c r="D687" s="1" t="s">
        <v>15</v>
      </c>
      <c r="E687" s="1" t="s">
        <v>32</v>
      </c>
      <c r="F687" s="1" t="s">
        <v>39</v>
      </c>
      <c r="G687" s="1" t="s">
        <v>36</v>
      </c>
      <c r="H687" s="1">
        <v>14974</v>
      </c>
      <c r="I687" s="1" t="s">
        <v>27</v>
      </c>
      <c r="J687" s="1"/>
      <c r="K687" s="1">
        <v>14000</v>
      </c>
      <c r="L687" s="2">
        <v>45350</v>
      </c>
    </row>
    <row r="688" spans="1:12" x14ac:dyDescent="0.35">
      <c r="A688" s="1" t="s">
        <v>919</v>
      </c>
      <c r="B688" s="1" t="s">
        <v>920</v>
      </c>
      <c r="C688" s="1" t="s">
        <v>30</v>
      </c>
      <c r="D688" s="1" t="s">
        <v>31</v>
      </c>
      <c r="E688" s="1" t="s">
        <v>46</v>
      </c>
      <c r="F688" s="1" t="s">
        <v>25</v>
      </c>
      <c r="G688" s="1" t="s">
        <v>26</v>
      </c>
      <c r="H688" s="1">
        <v>18944</v>
      </c>
      <c r="I688" s="1" t="s">
        <v>19</v>
      </c>
      <c r="J688" s="1">
        <v>0.2</v>
      </c>
      <c r="K688" s="1">
        <v>17000</v>
      </c>
      <c r="L688" s="2">
        <v>45321</v>
      </c>
    </row>
    <row r="689" spans="1:12" x14ac:dyDescent="0.35">
      <c r="A689" s="1" t="s">
        <v>921</v>
      </c>
      <c r="B689" s="1" t="s">
        <v>137</v>
      </c>
      <c r="C689" s="1" t="s">
        <v>14</v>
      </c>
      <c r="D689" s="1" t="s">
        <v>15</v>
      </c>
      <c r="E689" s="1" t="s">
        <v>46</v>
      </c>
      <c r="F689" s="1" t="s">
        <v>25</v>
      </c>
      <c r="G689" s="1" t="s">
        <v>36</v>
      </c>
      <c r="H689" s="1">
        <v>14073</v>
      </c>
      <c r="I689" s="1" t="s">
        <v>22</v>
      </c>
      <c r="J689" s="1">
        <v>0.1</v>
      </c>
      <c r="K689" s="1">
        <v>14000</v>
      </c>
      <c r="L689" s="2">
        <v>45327</v>
      </c>
    </row>
    <row r="690" spans="1:12" x14ac:dyDescent="0.35">
      <c r="A690" s="1" t="s">
        <v>922</v>
      </c>
      <c r="B690" s="1" t="s">
        <v>241</v>
      </c>
      <c r="C690" s="1" t="s">
        <v>30</v>
      </c>
      <c r="D690" s="1" t="s">
        <v>31</v>
      </c>
      <c r="E690" s="1" t="s">
        <v>46</v>
      </c>
      <c r="F690" s="1" t="s">
        <v>25</v>
      </c>
      <c r="G690" s="1" t="s">
        <v>26</v>
      </c>
      <c r="H690" s="1">
        <v>18918</v>
      </c>
      <c r="I690" s="1" t="s">
        <v>33</v>
      </c>
      <c r="J690" s="1">
        <v>0.3</v>
      </c>
      <c r="K690" s="1">
        <v>17000</v>
      </c>
      <c r="L690" s="2">
        <v>45348</v>
      </c>
    </row>
    <row r="691" spans="1:12" x14ac:dyDescent="0.35">
      <c r="A691" s="1" t="s">
        <v>923</v>
      </c>
      <c r="B691" s="1" t="s">
        <v>105</v>
      </c>
      <c r="C691" s="1" t="s">
        <v>30</v>
      </c>
      <c r="D691" s="1" t="s">
        <v>31</v>
      </c>
      <c r="E691" s="1" t="s">
        <v>16</v>
      </c>
      <c r="F691" s="1" t="s">
        <v>17</v>
      </c>
      <c r="G691" s="1" t="s">
        <v>36</v>
      </c>
      <c r="H691" s="1">
        <v>17306</v>
      </c>
      <c r="I691" s="1"/>
      <c r="J691" s="1"/>
      <c r="K691" s="1">
        <v>17000</v>
      </c>
      <c r="L691" s="2">
        <v>45341</v>
      </c>
    </row>
    <row r="692" spans="1:12" x14ac:dyDescent="0.35">
      <c r="A692" s="1" t="s">
        <v>924</v>
      </c>
      <c r="B692" s="1" t="s">
        <v>401</v>
      </c>
      <c r="C692" s="1" t="s">
        <v>30</v>
      </c>
      <c r="D692" s="1" t="s">
        <v>31</v>
      </c>
      <c r="E692" s="1" t="s">
        <v>46</v>
      </c>
      <c r="F692" s="1" t="s">
        <v>39</v>
      </c>
      <c r="G692" s="1" t="s">
        <v>36</v>
      </c>
      <c r="H692" s="1">
        <v>18672</v>
      </c>
      <c r="I692" s="1" t="s">
        <v>27</v>
      </c>
      <c r="J692" s="1"/>
      <c r="K692" s="1">
        <v>17000</v>
      </c>
      <c r="L692" s="2">
        <v>45347</v>
      </c>
    </row>
    <row r="693" spans="1:12" x14ac:dyDescent="0.35">
      <c r="A693" s="1" t="s">
        <v>925</v>
      </c>
      <c r="B693" s="1" t="s">
        <v>489</v>
      </c>
      <c r="C693" s="1" t="s">
        <v>14</v>
      </c>
      <c r="D693" s="1" t="s">
        <v>15</v>
      </c>
      <c r="E693" s="1" t="s">
        <v>46</v>
      </c>
      <c r="F693" s="1" t="s">
        <v>25</v>
      </c>
      <c r="G693" s="1" t="s">
        <v>36</v>
      </c>
      <c r="H693" s="1">
        <v>14595</v>
      </c>
      <c r="I693" s="1" t="s">
        <v>19</v>
      </c>
      <c r="J693" s="1">
        <v>0.2</v>
      </c>
      <c r="K693" s="1">
        <v>14000</v>
      </c>
      <c r="L693" s="2">
        <v>45335</v>
      </c>
    </row>
    <row r="694" spans="1:12" x14ac:dyDescent="0.35">
      <c r="A694" s="1" t="s">
        <v>926</v>
      </c>
      <c r="B694" s="1" t="s">
        <v>397</v>
      </c>
      <c r="C694" s="1" t="s">
        <v>30</v>
      </c>
      <c r="D694" s="1" t="s">
        <v>31</v>
      </c>
      <c r="E694" s="1" t="s">
        <v>46</v>
      </c>
      <c r="F694" s="1" t="s">
        <v>17</v>
      </c>
      <c r="G694" s="1" t="s">
        <v>26</v>
      </c>
      <c r="H694" s="1">
        <v>17194</v>
      </c>
      <c r="I694" s="1" t="s">
        <v>22</v>
      </c>
      <c r="J694" s="1">
        <v>0.1</v>
      </c>
      <c r="K694" s="1">
        <v>17000</v>
      </c>
      <c r="L694" s="2">
        <v>45336</v>
      </c>
    </row>
    <row r="695" spans="1:12" x14ac:dyDescent="0.35">
      <c r="A695" s="1" t="s">
        <v>927</v>
      </c>
      <c r="B695" s="1" t="s">
        <v>643</v>
      </c>
      <c r="C695" s="1" t="s">
        <v>44</v>
      </c>
      <c r="D695" s="1" t="s">
        <v>45</v>
      </c>
      <c r="E695" s="1" t="s">
        <v>46</v>
      </c>
      <c r="F695" s="1" t="s">
        <v>25</v>
      </c>
      <c r="G695" s="1" t="s">
        <v>36</v>
      </c>
      <c r="H695" s="1">
        <v>13759</v>
      </c>
      <c r="I695" s="1" t="s">
        <v>33</v>
      </c>
      <c r="J695" s="1">
        <v>0.3</v>
      </c>
      <c r="K695" s="1">
        <v>13000</v>
      </c>
      <c r="L695" s="2">
        <v>45296</v>
      </c>
    </row>
    <row r="696" spans="1:12" x14ac:dyDescent="0.35">
      <c r="A696" s="1" t="s">
        <v>928</v>
      </c>
      <c r="B696" s="1" t="s">
        <v>80</v>
      </c>
      <c r="C696" s="1" t="s">
        <v>61</v>
      </c>
      <c r="D696" s="1" t="s">
        <v>62</v>
      </c>
      <c r="E696" s="1" t="s">
        <v>46</v>
      </c>
      <c r="F696" s="1" t="s">
        <v>17</v>
      </c>
      <c r="G696" s="1" t="s">
        <v>18</v>
      </c>
      <c r="H696" s="1">
        <v>10663</v>
      </c>
      <c r="I696" s="1" t="s">
        <v>27</v>
      </c>
      <c r="J696" s="1"/>
      <c r="K696" s="1">
        <v>9000</v>
      </c>
      <c r="L696" s="2">
        <v>45309</v>
      </c>
    </row>
    <row r="697" spans="1:12" x14ac:dyDescent="0.35">
      <c r="A697" s="1" t="s">
        <v>929</v>
      </c>
      <c r="B697" s="1" t="s">
        <v>280</v>
      </c>
      <c r="C697" s="1" t="s">
        <v>44</v>
      </c>
      <c r="D697" s="1" t="s">
        <v>45</v>
      </c>
      <c r="E697" s="1" t="s">
        <v>46</v>
      </c>
      <c r="F697" s="1" t="s">
        <v>39</v>
      </c>
      <c r="G697" s="1" t="s">
        <v>18</v>
      </c>
      <c r="H697" s="1">
        <v>11961</v>
      </c>
      <c r="I697" s="1" t="s">
        <v>19</v>
      </c>
      <c r="J697" s="1">
        <v>0.2</v>
      </c>
      <c r="K697" s="1">
        <v>13000</v>
      </c>
      <c r="L697" s="2">
        <v>45347</v>
      </c>
    </row>
    <row r="698" spans="1:12" x14ac:dyDescent="0.35">
      <c r="A698" s="1" t="s">
        <v>930</v>
      </c>
      <c r="B698" s="1" t="s">
        <v>289</v>
      </c>
      <c r="C698" s="1" t="s">
        <v>44</v>
      </c>
      <c r="D698" s="1" t="s">
        <v>45</v>
      </c>
      <c r="E698" s="1" t="s">
        <v>32</v>
      </c>
      <c r="F698" s="1" t="s">
        <v>25</v>
      </c>
      <c r="G698" s="1" t="s">
        <v>26</v>
      </c>
      <c r="H698" s="1">
        <v>12458</v>
      </c>
      <c r="I698" s="1" t="s">
        <v>19</v>
      </c>
      <c r="J698" s="1">
        <v>0.2</v>
      </c>
      <c r="K698" s="1">
        <v>13000</v>
      </c>
      <c r="L698" s="2">
        <v>45341</v>
      </c>
    </row>
    <row r="699" spans="1:12" x14ac:dyDescent="0.35">
      <c r="A699" s="1" t="s">
        <v>931</v>
      </c>
      <c r="B699" s="1" t="s">
        <v>78</v>
      </c>
      <c r="C699" s="1" t="s">
        <v>14</v>
      </c>
      <c r="D699" s="1" t="s">
        <v>15</v>
      </c>
      <c r="E699" s="1" t="s">
        <v>16</v>
      </c>
      <c r="F699" s="1" t="s">
        <v>39</v>
      </c>
      <c r="G699" s="1" t="s">
        <v>36</v>
      </c>
      <c r="H699" s="1">
        <v>14514</v>
      </c>
      <c r="I699" s="1" t="s">
        <v>22</v>
      </c>
      <c r="J699" s="1">
        <v>0.1</v>
      </c>
      <c r="K699" s="1">
        <v>14000</v>
      </c>
      <c r="L699" s="2">
        <v>45340</v>
      </c>
    </row>
    <row r="700" spans="1:12" x14ac:dyDescent="0.35">
      <c r="A700" s="1" t="s">
        <v>932</v>
      </c>
      <c r="B700" s="1" t="s">
        <v>144</v>
      </c>
      <c r="C700" s="1" t="s">
        <v>14</v>
      </c>
      <c r="D700" s="1" t="s">
        <v>15</v>
      </c>
      <c r="E700" s="1" t="s">
        <v>46</v>
      </c>
      <c r="F700" s="1" t="s">
        <v>17</v>
      </c>
      <c r="G700" s="1" t="s">
        <v>26</v>
      </c>
      <c r="H700" s="1">
        <v>13291</v>
      </c>
      <c r="I700" s="1"/>
      <c r="J700" s="1"/>
      <c r="K700" s="1">
        <v>14000</v>
      </c>
      <c r="L700" s="2">
        <v>45349</v>
      </c>
    </row>
    <row r="701" spans="1:12" x14ac:dyDescent="0.35">
      <c r="A701" s="1" t="s">
        <v>933</v>
      </c>
      <c r="B701" s="1" t="s">
        <v>60</v>
      </c>
      <c r="C701" s="1" t="s">
        <v>30</v>
      </c>
      <c r="D701" s="1" t="s">
        <v>31</v>
      </c>
      <c r="E701" s="1" t="s">
        <v>46</v>
      </c>
      <c r="F701" s="1" t="s">
        <v>25</v>
      </c>
      <c r="G701" s="1" t="s">
        <v>26</v>
      </c>
      <c r="H701" s="1">
        <v>16147</v>
      </c>
      <c r="I701" s="1"/>
      <c r="J701" s="1"/>
      <c r="K701" s="1">
        <v>17000</v>
      </c>
      <c r="L701" s="2">
        <v>45306</v>
      </c>
    </row>
    <row r="702" spans="1:12" x14ac:dyDescent="0.35">
      <c r="A702" s="1" t="s">
        <v>934</v>
      </c>
      <c r="B702" s="1" t="s">
        <v>522</v>
      </c>
      <c r="C702" s="1" t="s">
        <v>44</v>
      </c>
      <c r="D702" s="1" t="s">
        <v>45</v>
      </c>
      <c r="E702" s="1" t="s">
        <v>32</v>
      </c>
      <c r="F702" s="1" t="s">
        <v>39</v>
      </c>
      <c r="G702" s="1" t="s">
        <v>36</v>
      </c>
      <c r="H702" s="1">
        <v>12959</v>
      </c>
      <c r="I702" s="1" t="s">
        <v>27</v>
      </c>
      <c r="J702" s="1"/>
      <c r="K702" s="1">
        <v>13000</v>
      </c>
      <c r="L702" s="2">
        <v>45294</v>
      </c>
    </row>
    <row r="703" spans="1:12" x14ac:dyDescent="0.35">
      <c r="A703" s="1" t="s">
        <v>935</v>
      </c>
      <c r="B703" s="1" t="s">
        <v>217</v>
      </c>
      <c r="C703" s="1" t="s">
        <v>61</v>
      </c>
      <c r="D703" s="1" t="s">
        <v>62</v>
      </c>
      <c r="E703" s="1" t="s">
        <v>16</v>
      </c>
      <c r="F703" s="1" t="s">
        <v>25</v>
      </c>
      <c r="G703" s="1" t="s">
        <v>36</v>
      </c>
      <c r="H703" s="1">
        <v>10999</v>
      </c>
      <c r="I703" s="1" t="s">
        <v>22</v>
      </c>
      <c r="J703" s="1">
        <v>0.1</v>
      </c>
      <c r="K703" s="1">
        <v>9000</v>
      </c>
      <c r="L703" s="2">
        <v>45336</v>
      </c>
    </row>
    <row r="704" spans="1:12" x14ac:dyDescent="0.35">
      <c r="A704" s="1" t="s">
        <v>936</v>
      </c>
      <c r="B704" s="1" t="s">
        <v>544</v>
      </c>
      <c r="C704" s="1" t="s">
        <v>30</v>
      </c>
      <c r="D704" s="1" t="s">
        <v>31</v>
      </c>
      <c r="E704" s="1" t="s">
        <v>16</v>
      </c>
      <c r="F704" s="1" t="s">
        <v>25</v>
      </c>
      <c r="G704" s="1" t="s">
        <v>18</v>
      </c>
      <c r="H704" s="1">
        <v>17761</v>
      </c>
      <c r="I704" s="1" t="s">
        <v>19</v>
      </c>
      <c r="J704" s="1">
        <v>0.2</v>
      </c>
      <c r="K704" s="1">
        <v>17000</v>
      </c>
      <c r="L704" s="2">
        <v>45316</v>
      </c>
    </row>
    <row r="705" spans="1:12" x14ac:dyDescent="0.35">
      <c r="A705" s="1" t="s">
        <v>937</v>
      </c>
      <c r="B705" s="1" t="s">
        <v>107</v>
      </c>
      <c r="C705" s="1" t="s">
        <v>30</v>
      </c>
      <c r="D705" s="1" t="s">
        <v>31</v>
      </c>
      <c r="E705" s="1" t="s">
        <v>46</v>
      </c>
      <c r="F705" s="1" t="s">
        <v>39</v>
      </c>
      <c r="G705" s="1" t="s">
        <v>36</v>
      </c>
      <c r="H705" s="1">
        <v>15766</v>
      </c>
      <c r="I705" s="1" t="s">
        <v>27</v>
      </c>
      <c r="J705" s="1"/>
      <c r="K705" s="1">
        <v>17000</v>
      </c>
      <c r="L705" s="2">
        <v>45308</v>
      </c>
    </row>
    <row r="706" spans="1:12" x14ac:dyDescent="0.35">
      <c r="A706" s="1" t="s">
        <v>938</v>
      </c>
      <c r="B706" s="1" t="s">
        <v>939</v>
      </c>
      <c r="C706" s="1" t="s">
        <v>61</v>
      </c>
      <c r="D706" s="1" t="s">
        <v>62</v>
      </c>
      <c r="E706" s="1" t="s">
        <v>16</v>
      </c>
      <c r="F706" s="1" t="s">
        <v>17</v>
      </c>
      <c r="G706" s="1" t="s">
        <v>36</v>
      </c>
      <c r="H706" s="1">
        <v>7753</v>
      </c>
      <c r="I706" s="1"/>
      <c r="J706" s="1"/>
      <c r="K706" s="1">
        <v>9000</v>
      </c>
      <c r="L706" s="2">
        <v>45319</v>
      </c>
    </row>
    <row r="707" spans="1:12" x14ac:dyDescent="0.35">
      <c r="A707" s="1" t="s">
        <v>940</v>
      </c>
      <c r="B707" s="1" t="s">
        <v>414</v>
      </c>
      <c r="C707" s="1" t="s">
        <v>30</v>
      </c>
      <c r="D707" s="1" t="s">
        <v>31</v>
      </c>
      <c r="E707" s="1" t="s">
        <v>46</v>
      </c>
      <c r="F707" s="1" t="s">
        <v>17</v>
      </c>
      <c r="G707" s="1" t="s">
        <v>36</v>
      </c>
      <c r="H707" s="1">
        <v>16846</v>
      </c>
      <c r="I707" s="1" t="s">
        <v>19</v>
      </c>
      <c r="J707" s="1">
        <v>0.2</v>
      </c>
      <c r="K707" s="1">
        <v>17000</v>
      </c>
      <c r="L707" s="2">
        <v>45328</v>
      </c>
    </row>
    <row r="708" spans="1:12" x14ac:dyDescent="0.35">
      <c r="A708" s="1" t="s">
        <v>941</v>
      </c>
      <c r="B708" s="1" t="s">
        <v>720</v>
      </c>
      <c r="C708" s="1" t="s">
        <v>44</v>
      </c>
      <c r="D708" s="1" t="s">
        <v>45</v>
      </c>
      <c r="E708" s="1" t="s">
        <v>32</v>
      </c>
      <c r="F708" s="1" t="s">
        <v>39</v>
      </c>
      <c r="G708" s="1" t="s">
        <v>36</v>
      </c>
      <c r="H708" s="1">
        <v>14293</v>
      </c>
      <c r="I708" s="1" t="s">
        <v>19</v>
      </c>
      <c r="J708" s="1">
        <v>0.2</v>
      </c>
      <c r="K708" s="1">
        <v>13000</v>
      </c>
      <c r="L708" s="2">
        <v>45327</v>
      </c>
    </row>
    <row r="709" spans="1:12" x14ac:dyDescent="0.35">
      <c r="A709" s="1" t="s">
        <v>942</v>
      </c>
      <c r="B709" s="1" t="s">
        <v>309</v>
      </c>
      <c r="C709" s="1" t="s">
        <v>61</v>
      </c>
      <c r="D709" s="1" t="s">
        <v>62</v>
      </c>
      <c r="E709" s="1" t="s">
        <v>32</v>
      </c>
      <c r="F709" s="1" t="s">
        <v>25</v>
      </c>
      <c r="G709" s="1" t="s">
        <v>26</v>
      </c>
      <c r="H709" s="1">
        <v>7612</v>
      </c>
      <c r="I709" s="1"/>
      <c r="J709" s="1"/>
      <c r="K709" s="1">
        <v>9000</v>
      </c>
      <c r="L709" s="2">
        <v>45343</v>
      </c>
    </row>
    <row r="710" spans="1:12" x14ac:dyDescent="0.35">
      <c r="A710" s="1" t="s">
        <v>943</v>
      </c>
      <c r="B710" s="1" t="s">
        <v>243</v>
      </c>
      <c r="C710" s="1" t="s">
        <v>61</v>
      </c>
      <c r="D710" s="1" t="s">
        <v>62</v>
      </c>
      <c r="E710" s="1" t="s">
        <v>46</v>
      </c>
      <c r="F710" s="1" t="s">
        <v>25</v>
      </c>
      <c r="G710" s="1" t="s">
        <v>26</v>
      </c>
      <c r="H710" s="1">
        <v>9117</v>
      </c>
      <c r="I710" s="1" t="s">
        <v>27</v>
      </c>
      <c r="J710" s="1"/>
      <c r="K710" s="1">
        <v>9000</v>
      </c>
      <c r="L710" s="2">
        <v>45338</v>
      </c>
    </row>
    <row r="711" spans="1:12" x14ac:dyDescent="0.35">
      <c r="A711" s="1" t="s">
        <v>944</v>
      </c>
      <c r="B711" s="1" t="s">
        <v>478</v>
      </c>
      <c r="C711" s="1" t="s">
        <v>61</v>
      </c>
      <c r="D711" s="1" t="s">
        <v>62</v>
      </c>
      <c r="E711" s="1" t="s">
        <v>46</v>
      </c>
      <c r="F711" s="1" t="s">
        <v>17</v>
      </c>
      <c r="G711" s="1" t="s">
        <v>26</v>
      </c>
      <c r="H711" s="1">
        <v>10516</v>
      </c>
      <c r="I711" s="1" t="s">
        <v>27</v>
      </c>
      <c r="J711" s="1"/>
      <c r="K711" s="1">
        <v>9000</v>
      </c>
      <c r="L711" s="2">
        <v>45295</v>
      </c>
    </row>
    <row r="712" spans="1:12" x14ac:dyDescent="0.35">
      <c r="A712" s="1" t="s">
        <v>945</v>
      </c>
      <c r="B712" s="1" t="s">
        <v>41</v>
      </c>
      <c r="C712" s="1" t="s">
        <v>44</v>
      </c>
      <c r="D712" s="1" t="s">
        <v>45</v>
      </c>
      <c r="E712" s="1" t="s">
        <v>32</v>
      </c>
      <c r="F712" s="1" t="s">
        <v>25</v>
      </c>
      <c r="G712" s="1" t="s">
        <v>36</v>
      </c>
      <c r="H712" s="1">
        <v>12951</v>
      </c>
      <c r="I712" s="1" t="s">
        <v>22</v>
      </c>
      <c r="J712" s="1">
        <v>0.1</v>
      </c>
      <c r="K712" s="1">
        <v>13000</v>
      </c>
      <c r="L712" s="2">
        <v>45320</v>
      </c>
    </row>
    <row r="713" spans="1:12" x14ac:dyDescent="0.35">
      <c r="A713" s="1" t="s">
        <v>946</v>
      </c>
      <c r="B713" s="1" t="s">
        <v>577</v>
      </c>
      <c r="C713" s="1" t="s">
        <v>30</v>
      </c>
      <c r="D713" s="1" t="s">
        <v>31</v>
      </c>
      <c r="E713" s="1" t="s">
        <v>46</v>
      </c>
      <c r="F713" s="1" t="s">
        <v>17</v>
      </c>
      <c r="G713" s="1" t="s">
        <v>26</v>
      </c>
      <c r="H713" s="1">
        <v>17283</v>
      </c>
      <c r="I713" s="1" t="s">
        <v>33</v>
      </c>
      <c r="J713" s="1">
        <v>0.3</v>
      </c>
      <c r="K713" s="1">
        <v>17000</v>
      </c>
      <c r="L713" s="2">
        <v>45314</v>
      </c>
    </row>
    <row r="714" spans="1:12" x14ac:dyDescent="0.35">
      <c r="A714" s="1" t="s">
        <v>947</v>
      </c>
      <c r="B714" s="1" t="s">
        <v>406</v>
      </c>
      <c r="C714" s="1" t="s">
        <v>14</v>
      </c>
      <c r="D714" s="1" t="s">
        <v>15</v>
      </c>
      <c r="E714" s="1" t="s">
        <v>46</v>
      </c>
      <c r="F714" s="1" t="s">
        <v>39</v>
      </c>
      <c r="G714" s="1" t="s">
        <v>26</v>
      </c>
      <c r="H714" s="1">
        <v>12814</v>
      </c>
      <c r="I714" s="1" t="s">
        <v>27</v>
      </c>
      <c r="J714" s="1"/>
      <c r="K714" s="1">
        <v>14000</v>
      </c>
      <c r="L714" s="2">
        <v>45328</v>
      </c>
    </row>
    <row r="715" spans="1:12" x14ac:dyDescent="0.35">
      <c r="A715" s="1" t="s">
        <v>948</v>
      </c>
      <c r="B715" s="1" t="s">
        <v>92</v>
      </c>
      <c r="C715" s="1" t="s">
        <v>44</v>
      </c>
      <c r="D715" s="1" t="s">
        <v>45</v>
      </c>
      <c r="E715" s="1" t="s">
        <v>46</v>
      </c>
      <c r="F715" s="1" t="s">
        <v>17</v>
      </c>
      <c r="G715" s="1" t="s">
        <v>36</v>
      </c>
      <c r="H715" s="1">
        <v>13757</v>
      </c>
      <c r="I715" s="1" t="s">
        <v>27</v>
      </c>
      <c r="J715" s="1"/>
      <c r="K715" s="1">
        <v>13000</v>
      </c>
      <c r="L715" s="2">
        <v>45323</v>
      </c>
    </row>
    <row r="716" spans="1:12" x14ac:dyDescent="0.35">
      <c r="A716" s="1" t="s">
        <v>949</v>
      </c>
      <c r="B716" s="1" t="s">
        <v>296</v>
      </c>
      <c r="C716" s="1" t="s">
        <v>61</v>
      </c>
      <c r="D716" s="1" t="s">
        <v>62</v>
      </c>
      <c r="E716" s="1" t="s">
        <v>32</v>
      </c>
      <c r="F716" s="1" t="s">
        <v>17</v>
      </c>
      <c r="G716" s="1" t="s">
        <v>26</v>
      </c>
      <c r="H716" s="1">
        <v>8173</v>
      </c>
      <c r="I716" s="1"/>
      <c r="J716" s="1"/>
      <c r="K716" s="1">
        <v>9000</v>
      </c>
      <c r="L716" s="2">
        <v>45332</v>
      </c>
    </row>
    <row r="717" spans="1:12" x14ac:dyDescent="0.35">
      <c r="A717" s="1" t="s">
        <v>950</v>
      </c>
      <c r="B717" s="1" t="s">
        <v>619</v>
      </c>
      <c r="C717" s="1" t="s">
        <v>44</v>
      </c>
      <c r="D717" s="1" t="s">
        <v>45</v>
      </c>
      <c r="E717" s="1" t="s">
        <v>16</v>
      </c>
      <c r="F717" s="1" t="s">
        <v>17</v>
      </c>
      <c r="G717" s="1" t="s">
        <v>36</v>
      </c>
      <c r="H717" s="1">
        <v>13585</v>
      </c>
      <c r="I717" s="1" t="s">
        <v>27</v>
      </c>
      <c r="J717" s="1"/>
      <c r="K717" s="1">
        <v>13000</v>
      </c>
      <c r="L717" s="2">
        <v>45328</v>
      </c>
    </row>
    <row r="718" spans="1:12" x14ac:dyDescent="0.35">
      <c r="A718" s="1" t="s">
        <v>951</v>
      </c>
      <c r="B718" s="1" t="s">
        <v>309</v>
      </c>
      <c r="C718" s="1" t="s">
        <v>14</v>
      </c>
      <c r="D718" s="1" t="s">
        <v>15</v>
      </c>
      <c r="E718" s="1" t="s">
        <v>32</v>
      </c>
      <c r="F718" s="1" t="s">
        <v>25</v>
      </c>
      <c r="G718" s="1" t="s">
        <v>36</v>
      </c>
      <c r="H718" s="1">
        <v>12934</v>
      </c>
      <c r="I718" s="1" t="s">
        <v>33</v>
      </c>
      <c r="J718" s="1">
        <v>0.3</v>
      </c>
      <c r="K718" s="1">
        <v>14000</v>
      </c>
      <c r="L718" s="2">
        <v>45312</v>
      </c>
    </row>
    <row r="719" spans="1:12" x14ac:dyDescent="0.35">
      <c r="A719" s="1" t="s">
        <v>952</v>
      </c>
      <c r="B719" s="1" t="s">
        <v>278</v>
      </c>
      <c r="C719" s="1" t="s">
        <v>30</v>
      </c>
      <c r="D719" s="1" t="s">
        <v>31</v>
      </c>
      <c r="E719" s="1" t="s">
        <v>16</v>
      </c>
      <c r="F719" s="1" t="s">
        <v>39</v>
      </c>
      <c r="G719" s="1" t="s">
        <v>36</v>
      </c>
      <c r="H719" s="1">
        <v>16111</v>
      </c>
      <c r="I719" s="1"/>
      <c r="J719" s="1"/>
      <c r="K719" s="1">
        <v>17000</v>
      </c>
      <c r="L719" s="2">
        <v>45341</v>
      </c>
    </row>
    <row r="720" spans="1:12" x14ac:dyDescent="0.35">
      <c r="A720" s="1" t="s">
        <v>953</v>
      </c>
      <c r="B720" s="1" t="s">
        <v>303</v>
      </c>
      <c r="C720" s="1" t="s">
        <v>61</v>
      </c>
      <c r="D720" s="1" t="s">
        <v>62</v>
      </c>
      <c r="E720" s="1" t="s">
        <v>46</v>
      </c>
      <c r="F720" s="1" t="s">
        <v>25</v>
      </c>
      <c r="G720" s="1" t="s">
        <v>18</v>
      </c>
      <c r="H720" s="1">
        <v>10498</v>
      </c>
      <c r="I720" s="1" t="s">
        <v>22</v>
      </c>
      <c r="J720" s="1">
        <v>0.1</v>
      </c>
      <c r="K720" s="1">
        <v>9000</v>
      </c>
      <c r="L720" s="2">
        <v>45300</v>
      </c>
    </row>
    <row r="721" spans="1:12" x14ac:dyDescent="0.35">
      <c r="A721" s="1" t="s">
        <v>954</v>
      </c>
      <c r="B721" s="1" t="s">
        <v>397</v>
      </c>
      <c r="C721" s="1" t="s">
        <v>30</v>
      </c>
      <c r="D721" s="1" t="s">
        <v>31</v>
      </c>
      <c r="E721" s="1" t="s">
        <v>16</v>
      </c>
      <c r="F721" s="1" t="s">
        <v>39</v>
      </c>
      <c r="G721" s="1" t="s">
        <v>26</v>
      </c>
      <c r="H721" s="1">
        <v>15327</v>
      </c>
      <c r="I721" s="1" t="s">
        <v>19</v>
      </c>
      <c r="J721" s="1">
        <v>0.2</v>
      </c>
      <c r="K721" s="1">
        <v>17000</v>
      </c>
      <c r="L721" s="2">
        <v>45302</v>
      </c>
    </row>
    <row r="722" spans="1:12" x14ac:dyDescent="0.35">
      <c r="A722" s="1" t="s">
        <v>955</v>
      </c>
      <c r="B722" s="1" t="s">
        <v>41</v>
      </c>
      <c r="C722" s="1" t="s">
        <v>14</v>
      </c>
      <c r="D722" s="1" t="s">
        <v>15</v>
      </c>
      <c r="E722" s="1" t="s">
        <v>32</v>
      </c>
      <c r="F722" s="1" t="s">
        <v>17</v>
      </c>
      <c r="G722" s="1" t="s">
        <v>26</v>
      </c>
      <c r="H722" s="1">
        <v>12220</v>
      </c>
      <c r="I722" s="1" t="s">
        <v>22</v>
      </c>
      <c r="J722" s="1">
        <v>0.1</v>
      </c>
      <c r="K722" s="1">
        <v>14000</v>
      </c>
      <c r="L722" s="2">
        <v>45341</v>
      </c>
    </row>
    <row r="723" spans="1:12" x14ac:dyDescent="0.35">
      <c r="A723" s="1" t="s">
        <v>956</v>
      </c>
      <c r="B723" s="1" t="s">
        <v>512</v>
      </c>
      <c r="C723" s="1" t="s">
        <v>14</v>
      </c>
      <c r="D723" s="1" t="s">
        <v>15</v>
      </c>
      <c r="E723" s="1" t="s">
        <v>32</v>
      </c>
      <c r="F723" s="1" t="s">
        <v>17</v>
      </c>
      <c r="G723" s="1" t="s">
        <v>26</v>
      </c>
      <c r="H723" s="1">
        <v>12636</v>
      </c>
      <c r="I723" s="1" t="s">
        <v>22</v>
      </c>
      <c r="J723" s="1">
        <v>0.1</v>
      </c>
      <c r="K723" s="1">
        <v>14000</v>
      </c>
      <c r="L723" s="2">
        <v>45333</v>
      </c>
    </row>
    <row r="724" spans="1:12" x14ac:dyDescent="0.35">
      <c r="A724" s="1" t="s">
        <v>957</v>
      </c>
      <c r="B724" s="1" t="s">
        <v>137</v>
      </c>
      <c r="C724" s="1" t="s">
        <v>30</v>
      </c>
      <c r="D724" s="1" t="s">
        <v>31</v>
      </c>
      <c r="E724" s="1" t="s">
        <v>32</v>
      </c>
      <c r="F724" s="1" t="s">
        <v>25</v>
      </c>
      <c r="G724" s="1" t="s">
        <v>26</v>
      </c>
      <c r="H724" s="1">
        <v>16163</v>
      </c>
      <c r="I724" s="1"/>
      <c r="J724" s="1"/>
      <c r="K724" s="1">
        <v>17000</v>
      </c>
      <c r="L724" s="2">
        <v>45332</v>
      </c>
    </row>
    <row r="725" spans="1:12" x14ac:dyDescent="0.35">
      <c r="A725" s="1" t="s">
        <v>958</v>
      </c>
      <c r="B725" s="1" t="s">
        <v>175</v>
      </c>
      <c r="C725" s="1" t="s">
        <v>44</v>
      </c>
      <c r="D725" s="1" t="s">
        <v>45</v>
      </c>
      <c r="E725" s="1" t="s">
        <v>32</v>
      </c>
      <c r="F725" s="1" t="s">
        <v>25</v>
      </c>
      <c r="G725" s="1" t="s">
        <v>26</v>
      </c>
      <c r="H725" s="1">
        <v>12461</v>
      </c>
      <c r="I725" s="1" t="s">
        <v>33</v>
      </c>
      <c r="J725" s="1">
        <v>0.3</v>
      </c>
      <c r="K725" s="1">
        <v>13000</v>
      </c>
      <c r="L725" s="2">
        <v>45347</v>
      </c>
    </row>
    <row r="726" spans="1:12" x14ac:dyDescent="0.35">
      <c r="A726" s="1" t="s">
        <v>959</v>
      </c>
      <c r="B726" s="1" t="s">
        <v>231</v>
      </c>
      <c r="C726" s="1" t="s">
        <v>30</v>
      </c>
      <c r="D726" s="1" t="s">
        <v>31</v>
      </c>
      <c r="E726" s="1" t="s">
        <v>16</v>
      </c>
      <c r="F726" s="1" t="s">
        <v>17</v>
      </c>
      <c r="G726" s="1" t="s">
        <v>18</v>
      </c>
      <c r="H726" s="1">
        <v>18971</v>
      </c>
      <c r="I726" s="1" t="s">
        <v>27</v>
      </c>
      <c r="J726" s="1"/>
      <c r="K726" s="1">
        <v>17000</v>
      </c>
      <c r="L726" s="2">
        <v>45303</v>
      </c>
    </row>
    <row r="727" spans="1:12" x14ac:dyDescent="0.35">
      <c r="A727" s="1" t="s">
        <v>960</v>
      </c>
      <c r="B727" s="1" t="s">
        <v>195</v>
      </c>
      <c r="C727" s="1" t="s">
        <v>61</v>
      </c>
      <c r="D727" s="1" t="s">
        <v>62</v>
      </c>
      <c r="E727" s="1" t="s">
        <v>16</v>
      </c>
      <c r="F727" s="1" t="s">
        <v>39</v>
      </c>
      <c r="G727" s="1" t="s">
        <v>26</v>
      </c>
      <c r="H727" s="1">
        <v>10593</v>
      </c>
      <c r="I727" s="1" t="s">
        <v>27</v>
      </c>
      <c r="J727" s="1"/>
      <c r="K727" s="1">
        <v>9000</v>
      </c>
      <c r="L727" s="2">
        <v>45319</v>
      </c>
    </row>
    <row r="728" spans="1:12" x14ac:dyDescent="0.35">
      <c r="A728" s="1" t="s">
        <v>961</v>
      </c>
      <c r="B728" s="1" t="s">
        <v>202</v>
      </c>
      <c r="C728" s="1" t="s">
        <v>30</v>
      </c>
      <c r="D728" s="1" t="s">
        <v>31</v>
      </c>
      <c r="E728" s="1" t="s">
        <v>46</v>
      </c>
      <c r="F728" s="1" t="s">
        <v>17</v>
      </c>
      <c r="G728" s="1" t="s">
        <v>26</v>
      </c>
      <c r="H728" s="1">
        <v>15930</v>
      </c>
      <c r="I728" s="1" t="s">
        <v>22</v>
      </c>
      <c r="J728" s="1">
        <v>0.1</v>
      </c>
      <c r="K728" s="1">
        <v>17000</v>
      </c>
      <c r="L728" s="2">
        <v>45320</v>
      </c>
    </row>
    <row r="729" spans="1:12" x14ac:dyDescent="0.35">
      <c r="A729" s="1" t="s">
        <v>962</v>
      </c>
      <c r="B729" s="1" t="s">
        <v>131</v>
      </c>
      <c r="C729" s="1" t="s">
        <v>61</v>
      </c>
      <c r="D729" s="1" t="s">
        <v>62</v>
      </c>
      <c r="E729" s="1" t="s">
        <v>46</v>
      </c>
      <c r="F729" s="1" t="s">
        <v>25</v>
      </c>
      <c r="G729" s="1" t="s">
        <v>36</v>
      </c>
      <c r="H729" s="1">
        <v>7043</v>
      </c>
      <c r="I729" s="1" t="s">
        <v>22</v>
      </c>
      <c r="J729" s="1">
        <v>0.1</v>
      </c>
      <c r="K729" s="1">
        <v>9000</v>
      </c>
      <c r="L729" s="2">
        <v>45325</v>
      </c>
    </row>
    <row r="730" spans="1:12" x14ac:dyDescent="0.35">
      <c r="A730" s="1" t="s">
        <v>963</v>
      </c>
      <c r="B730" s="1" t="s">
        <v>393</v>
      </c>
      <c r="C730" s="1" t="s">
        <v>44</v>
      </c>
      <c r="D730" s="1" t="s">
        <v>45</v>
      </c>
      <c r="E730" s="1" t="s">
        <v>46</v>
      </c>
      <c r="F730" s="1" t="s">
        <v>17</v>
      </c>
      <c r="G730" s="1" t="s">
        <v>36</v>
      </c>
      <c r="H730" s="1">
        <v>13191</v>
      </c>
      <c r="I730" s="1" t="s">
        <v>22</v>
      </c>
      <c r="J730" s="1">
        <v>0.1</v>
      </c>
      <c r="K730" s="1">
        <v>13000</v>
      </c>
      <c r="L730" s="2">
        <v>45336</v>
      </c>
    </row>
    <row r="731" spans="1:12" x14ac:dyDescent="0.35">
      <c r="A731" s="1" t="s">
        <v>964</v>
      </c>
      <c r="B731" s="1" t="s">
        <v>445</v>
      </c>
      <c r="C731" s="1" t="s">
        <v>61</v>
      </c>
      <c r="D731" s="1" t="s">
        <v>62</v>
      </c>
      <c r="E731" s="1" t="s">
        <v>46</v>
      </c>
      <c r="F731" s="1" t="s">
        <v>25</v>
      </c>
      <c r="G731" s="1" t="s">
        <v>36</v>
      </c>
      <c r="H731" s="1">
        <v>10268</v>
      </c>
      <c r="I731" s="1" t="s">
        <v>33</v>
      </c>
      <c r="J731" s="1">
        <v>0.3</v>
      </c>
      <c r="K731" s="1">
        <v>9000</v>
      </c>
      <c r="L731" s="2">
        <v>45330</v>
      </c>
    </row>
    <row r="732" spans="1:12" x14ac:dyDescent="0.35">
      <c r="A732" s="1" t="s">
        <v>965</v>
      </c>
      <c r="B732" s="1" t="s">
        <v>401</v>
      </c>
      <c r="C732" s="1" t="s">
        <v>14</v>
      </c>
      <c r="D732" s="1" t="s">
        <v>15</v>
      </c>
      <c r="E732" s="1" t="s">
        <v>16</v>
      </c>
      <c r="F732" s="1" t="s">
        <v>17</v>
      </c>
      <c r="G732" s="1" t="s">
        <v>18</v>
      </c>
      <c r="H732" s="1">
        <v>13686</v>
      </c>
      <c r="I732" s="1" t="s">
        <v>27</v>
      </c>
      <c r="J732" s="1"/>
      <c r="K732" s="1">
        <v>14000</v>
      </c>
      <c r="L732" s="2">
        <v>45319</v>
      </c>
    </row>
    <row r="733" spans="1:12" x14ac:dyDescent="0.35">
      <c r="A733" s="1" t="s">
        <v>966</v>
      </c>
      <c r="B733" s="1" t="s">
        <v>268</v>
      </c>
      <c r="C733" s="1" t="s">
        <v>44</v>
      </c>
      <c r="D733" s="1" t="s">
        <v>45</v>
      </c>
      <c r="E733" s="1" t="s">
        <v>16</v>
      </c>
      <c r="F733" s="1" t="s">
        <v>39</v>
      </c>
      <c r="G733" s="1" t="s">
        <v>26</v>
      </c>
      <c r="H733" s="1">
        <v>12596</v>
      </c>
      <c r="I733" s="1"/>
      <c r="J733" s="1"/>
      <c r="K733" s="1">
        <v>13000</v>
      </c>
      <c r="L733" s="2">
        <v>45306</v>
      </c>
    </row>
    <row r="734" spans="1:12" x14ac:dyDescent="0.35">
      <c r="A734" s="1" t="s">
        <v>967</v>
      </c>
      <c r="B734" s="1" t="s">
        <v>222</v>
      </c>
      <c r="C734" s="1" t="s">
        <v>61</v>
      </c>
      <c r="D734" s="1" t="s">
        <v>62</v>
      </c>
      <c r="E734" s="1" t="s">
        <v>16</v>
      </c>
      <c r="F734" s="1" t="s">
        <v>25</v>
      </c>
      <c r="G734" s="1" t="s">
        <v>26</v>
      </c>
      <c r="H734" s="1">
        <v>10131</v>
      </c>
      <c r="I734" s="1" t="s">
        <v>27</v>
      </c>
      <c r="J734" s="1"/>
      <c r="K734" s="1">
        <v>9000</v>
      </c>
      <c r="L734" s="2">
        <v>45343</v>
      </c>
    </row>
    <row r="735" spans="1:12" x14ac:dyDescent="0.35">
      <c r="A735" s="1" t="s">
        <v>968</v>
      </c>
      <c r="B735" s="1" t="s">
        <v>765</v>
      </c>
      <c r="C735" s="1" t="s">
        <v>30</v>
      </c>
      <c r="D735" s="1" t="s">
        <v>31</v>
      </c>
      <c r="E735" s="1" t="s">
        <v>46</v>
      </c>
      <c r="F735" s="1" t="s">
        <v>39</v>
      </c>
      <c r="G735" s="1" t="s">
        <v>26</v>
      </c>
      <c r="H735" s="1">
        <v>17178</v>
      </c>
      <c r="I735" s="1" t="s">
        <v>33</v>
      </c>
      <c r="J735" s="1">
        <v>0.3</v>
      </c>
      <c r="K735" s="1">
        <v>17000</v>
      </c>
      <c r="L735" s="2">
        <v>45318</v>
      </c>
    </row>
    <row r="736" spans="1:12" x14ac:dyDescent="0.35">
      <c r="A736" s="1" t="s">
        <v>969</v>
      </c>
      <c r="B736" s="1" t="s">
        <v>171</v>
      </c>
      <c r="C736" s="1" t="s">
        <v>14</v>
      </c>
      <c r="D736" s="1" t="s">
        <v>15</v>
      </c>
      <c r="E736" s="1" t="s">
        <v>32</v>
      </c>
      <c r="F736" s="1" t="s">
        <v>25</v>
      </c>
      <c r="G736" s="1" t="s">
        <v>36</v>
      </c>
      <c r="H736" s="1">
        <v>12452</v>
      </c>
      <c r="I736" s="1"/>
      <c r="J736" s="1"/>
      <c r="K736" s="1">
        <v>14000</v>
      </c>
      <c r="L736" s="2">
        <v>45331</v>
      </c>
    </row>
    <row r="737" spans="1:12" x14ac:dyDescent="0.35">
      <c r="A737" s="1" t="s">
        <v>970</v>
      </c>
      <c r="B737" s="1" t="s">
        <v>123</v>
      </c>
      <c r="C737" s="1" t="s">
        <v>61</v>
      </c>
      <c r="D737" s="1" t="s">
        <v>62</v>
      </c>
      <c r="E737" s="1" t="s">
        <v>32</v>
      </c>
      <c r="F737" s="1" t="s">
        <v>17</v>
      </c>
      <c r="G737" s="1" t="s">
        <v>18</v>
      </c>
      <c r="H737" s="1">
        <v>7623</v>
      </c>
      <c r="I737" s="1" t="s">
        <v>22</v>
      </c>
      <c r="J737" s="1">
        <v>0.1</v>
      </c>
      <c r="K737" s="1">
        <v>9000</v>
      </c>
      <c r="L737" s="2">
        <v>45326</v>
      </c>
    </row>
    <row r="738" spans="1:12" x14ac:dyDescent="0.35">
      <c r="A738" s="1" t="s">
        <v>971</v>
      </c>
      <c r="B738" s="1" t="s">
        <v>243</v>
      </c>
      <c r="C738" s="1" t="s">
        <v>14</v>
      </c>
      <c r="D738" s="1" t="s">
        <v>15</v>
      </c>
      <c r="E738" s="1" t="s">
        <v>46</v>
      </c>
      <c r="F738" s="1" t="s">
        <v>17</v>
      </c>
      <c r="G738" s="1" t="s">
        <v>18</v>
      </c>
      <c r="H738" s="1">
        <v>14929</v>
      </c>
      <c r="I738" s="1"/>
      <c r="J738" s="1"/>
      <c r="K738" s="1">
        <v>14000</v>
      </c>
      <c r="L738" s="2">
        <v>45338</v>
      </c>
    </row>
    <row r="739" spans="1:12" x14ac:dyDescent="0.35">
      <c r="A739" s="1" t="s">
        <v>972</v>
      </c>
      <c r="B739" s="1" t="s">
        <v>192</v>
      </c>
      <c r="C739" s="1" t="s">
        <v>14</v>
      </c>
      <c r="D739" s="1" t="s">
        <v>15</v>
      </c>
      <c r="E739" s="1" t="s">
        <v>32</v>
      </c>
      <c r="F739" s="1" t="s">
        <v>25</v>
      </c>
      <c r="G739" s="1" t="s">
        <v>36</v>
      </c>
      <c r="H739" s="1">
        <v>12889</v>
      </c>
      <c r="I739" s="1" t="s">
        <v>33</v>
      </c>
      <c r="J739" s="1">
        <v>0.3</v>
      </c>
      <c r="K739" s="1">
        <v>14000</v>
      </c>
      <c r="L739" s="2">
        <v>45318</v>
      </c>
    </row>
    <row r="740" spans="1:12" x14ac:dyDescent="0.35">
      <c r="A740" s="1" t="s">
        <v>973</v>
      </c>
      <c r="B740" s="1" t="s">
        <v>443</v>
      </c>
      <c r="C740" s="1" t="s">
        <v>61</v>
      </c>
      <c r="D740" s="1" t="s">
        <v>62</v>
      </c>
      <c r="E740" s="1" t="s">
        <v>46</v>
      </c>
      <c r="F740" s="1" t="s">
        <v>17</v>
      </c>
      <c r="G740" s="1" t="s">
        <v>26</v>
      </c>
      <c r="H740" s="1">
        <v>10241</v>
      </c>
      <c r="I740" s="1" t="s">
        <v>22</v>
      </c>
      <c r="J740" s="1">
        <v>0.1</v>
      </c>
      <c r="K740" s="1">
        <v>9000</v>
      </c>
      <c r="L740" s="2">
        <v>45313</v>
      </c>
    </row>
    <row r="741" spans="1:12" x14ac:dyDescent="0.35">
      <c r="A741" s="1" t="s">
        <v>974</v>
      </c>
      <c r="B741" s="1" t="s">
        <v>159</v>
      </c>
      <c r="C741" s="1" t="s">
        <v>44</v>
      </c>
      <c r="D741" s="1" t="s">
        <v>45</v>
      </c>
      <c r="E741" s="1" t="s">
        <v>32</v>
      </c>
      <c r="F741" s="1" t="s">
        <v>17</v>
      </c>
      <c r="G741" s="1" t="s">
        <v>36</v>
      </c>
      <c r="H741" s="1">
        <v>11292</v>
      </c>
      <c r="I741" s="1" t="s">
        <v>27</v>
      </c>
      <c r="J741" s="1"/>
      <c r="K741" s="1">
        <v>13000</v>
      </c>
      <c r="L741" s="2">
        <v>45322</v>
      </c>
    </row>
    <row r="742" spans="1:12" x14ac:dyDescent="0.35">
      <c r="A742" s="1" t="s">
        <v>975</v>
      </c>
      <c r="B742" s="1" t="s">
        <v>35</v>
      </c>
      <c r="C742" s="1" t="s">
        <v>30</v>
      </c>
      <c r="D742" s="1" t="s">
        <v>31</v>
      </c>
      <c r="E742" s="1" t="s">
        <v>46</v>
      </c>
      <c r="F742" s="1" t="s">
        <v>25</v>
      </c>
      <c r="G742" s="1" t="s">
        <v>18</v>
      </c>
      <c r="H742" s="1">
        <v>18991</v>
      </c>
      <c r="I742" s="1" t="s">
        <v>19</v>
      </c>
      <c r="J742" s="1">
        <v>0.2</v>
      </c>
      <c r="K742" s="1">
        <v>17000</v>
      </c>
      <c r="L742" s="2">
        <v>45316</v>
      </c>
    </row>
    <row r="743" spans="1:12" x14ac:dyDescent="0.35">
      <c r="A743" s="1" t="s">
        <v>976</v>
      </c>
      <c r="B743" s="1" t="s">
        <v>298</v>
      </c>
      <c r="C743" s="1" t="s">
        <v>44</v>
      </c>
      <c r="D743" s="1" t="s">
        <v>45</v>
      </c>
      <c r="E743" s="1" t="s">
        <v>16</v>
      </c>
      <c r="F743" s="1" t="s">
        <v>25</v>
      </c>
      <c r="G743" s="1" t="s">
        <v>18</v>
      </c>
      <c r="H743" s="1">
        <v>12887</v>
      </c>
      <c r="I743" s="1" t="s">
        <v>22</v>
      </c>
      <c r="J743" s="1">
        <v>0.1</v>
      </c>
      <c r="K743" s="1">
        <v>13000</v>
      </c>
      <c r="L743" s="2">
        <v>45325</v>
      </c>
    </row>
    <row r="744" spans="1:12" x14ac:dyDescent="0.35">
      <c r="A744" s="1" t="s">
        <v>977</v>
      </c>
      <c r="B744" s="1" t="s">
        <v>239</v>
      </c>
      <c r="C744" s="1" t="s">
        <v>61</v>
      </c>
      <c r="D744" s="1" t="s">
        <v>62</v>
      </c>
      <c r="E744" s="1" t="s">
        <v>46</v>
      </c>
      <c r="F744" s="1" t="s">
        <v>39</v>
      </c>
      <c r="G744" s="1" t="s">
        <v>36</v>
      </c>
      <c r="H744" s="1">
        <v>10834</v>
      </c>
      <c r="I744" s="1" t="s">
        <v>33</v>
      </c>
      <c r="J744" s="1">
        <v>0.3</v>
      </c>
      <c r="K744" s="1">
        <v>9000</v>
      </c>
      <c r="L744" s="2">
        <v>45302</v>
      </c>
    </row>
    <row r="745" spans="1:12" x14ac:dyDescent="0.35">
      <c r="A745" s="1" t="s">
        <v>978</v>
      </c>
      <c r="B745" s="1" t="s">
        <v>305</v>
      </c>
      <c r="C745" s="1" t="s">
        <v>14</v>
      </c>
      <c r="D745" s="1" t="s">
        <v>15</v>
      </c>
      <c r="E745" s="1" t="s">
        <v>16</v>
      </c>
      <c r="F745" s="1" t="s">
        <v>39</v>
      </c>
      <c r="G745" s="1" t="s">
        <v>26</v>
      </c>
      <c r="H745" s="1">
        <v>12500</v>
      </c>
      <c r="I745" s="1" t="s">
        <v>33</v>
      </c>
      <c r="J745" s="1">
        <v>0.3</v>
      </c>
      <c r="K745" s="1">
        <v>14000</v>
      </c>
      <c r="L745" s="2">
        <v>45322</v>
      </c>
    </row>
    <row r="746" spans="1:12" x14ac:dyDescent="0.35">
      <c r="A746" s="1" t="s">
        <v>979</v>
      </c>
      <c r="B746" s="1" t="s">
        <v>278</v>
      </c>
      <c r="C746" s="1" t="s">
        <v>44</v>
      </c>
      <c r="D746" s="1" t="s">
        <v>45</v>
      </c>
      <c r="E746" s="1" t="s">
        <v>46</v>
      </c>
      <c r="F746" s="1" t="s">
        <v>25</v>
      </c>
      <c r="G746" s="1" t="s">
        <v>26</v>
      </c>
      <c r="H746" s="1">
        <v>11892</v>
      </c>
      <c r="I746" s="1" t="s">
        <v>22</v>
      </c>
      <c r="J746" s="1">
        <v>0.1</v>
      </c>
      <c r="K746" s="1">
        <v>13000</v>
      </c>
      <c r="L746" s="2">
        <v>45307</v>
      </c>
    </row>
    <row r="747" spans="1:12" x14ac:dyDescent="0.35">
      <c r="A747" s="1" t="s">
        <v>980</v>
      </c>
      <c r="B747" s="1" t="s">
        <v>90</v>
      </c>
      <c r="C747" s="1" t="s">
        <v>30</v>
      </c>
      <c r="D747" s="1" t="s">
        <v>31</v>
      </c>
      <c r="E747" s="1" t="s">
        <v>32</v>
      </c>
      <c r="F747" s="1" t="s">
        <v>25</v>
      </c>
      <c r="G747" s="1" t="s">
        <v>36</v>
      </c>
      <c r="H747" s="1">
        <v>17394</v>
      </c>
      <c r="I747" s="1" t="s">
        <v>22</v>
      </c>
      <c r="J747" s="1">
        <v>0.1</v>
      </c>
      <c r="K747" s="1">
        <v>17000</v>
      </c>
      <c r="L747" s="2">
        <v>45317</v>
      </c>
    </row>
    <row r="748" spans="1:12" x14ac:dyDescent="0.35">
      <c r="A748" s="1" t="s">
        <v>981</v>
      </c>
      <c r="B748" s="1" t="s">
        <v>294</v>
      </c>
      <c r="C748" s="1" t="s">
        <v>14</v>
      </c>
      <c r="D748" s="1" t="s">
        <v>15</v>
      </c>
      <c r="E748" s="1" t="s">
        <v>32</v>
      </c>
      <c r="F748" s="1" t="s">
        <v>39</v>
      </c>
      <c r="G748" s="1" t="s">
        <v>26</v>
      </c>
      <c r="H748" s="1">
        <v>13946</v>
      </c>
      <c r="I748" s="1" t="s">
        <v>27</v>
      </c>
      <c r="J748" s="1"/>
      <c r="K748" s="1">
        <v>14000</v>
      </c>
      <c r="L748" s="2">
        <v>45301</v>
      </c>
    </row>
    <row r="749" spans="1:12" x14ac:dyDescent="0.35">
      <c r="A749" s="1" t="s">
        <v>982</v>
      </c>
      <c r="B749" s="1" t="s">
        <v>478</v>
      </c>
      <c r="C749" s="1" t="s">
        <v>14</v>
      </c>
      <c r="D749" s="1" t="s">
        <v>15</v>
      </c>
      <c r="E749" s="1" t="s">
        <v>32</v>
      </c>
      <c r="F749" s="1" t="s">
        <v>25</v>
      </c>
      <c r="G749" s="1" t="s">
        <v>36</v>
      </c>
      <c r="H749" s="1">
        <v>12374</v>
      </c>
      <c r="I749" s="1" t="s">
        <v>27</v>
      </c>
      <c r="J749" s="1"/>
      <c r="K749" s="1">
        <v>14000</v>
      </c>
      <c r="L749" s="2">
        <v>45313</v>
      </c>
    </row>
    <row r="750" spans="1:12" x14ac:dyDescent="0.35">
      <c r="A750" s="1" t="s">
        <v>983</v>
      </c>
      <c r="B750" s="1" t="s">
        <v>148</v>
      </c>
      <c r="C750" s="1" t="s">
        <v>14</v>
      </c>
      <c r="D750" s="1" t="s">
        <v>15</v>
      </c>
      <c r="E750" s="1" t="s">
        <v>32</v>
      </c>
      <c r="F750" s="1" t="s">
        <v>17</v>
      </c>
      <c r="G750" s="1" t="s">
        <v>26</v>
      </c>
      <c r="H750" s="1">
        <v>12630</v>
      </c>
      <c r="I750" s="1" t="s">
        <v>27</v>
      </c>
      <c r="J750" s="1"/>
      <c r="K750" s="1">
        <v>14000</v>
      </c>
      <c r="L750" s="2">
        <v>45342</v>
      </c>
    </row>
    <row r="751" spans="1:12" x14ac:dyDescent="0.35">
      <c r="A751" s="1" t="s">
        <v>984</v>
      </c>
      <c r="B751" s="1" t="s">
        <v>843</v>
      </c>
      <c r="C751" s="1" t="s">
        <v>61</v>
      </c>
      <c r="D751" s="1" t="s">
        <v>62</v>
      </c>
      <c r="E751" s="1" t="s">
        <v>32</v>
      </c>
      <c r="F751" s="1" t="s">
        <v>17</v>
      </c>
      <c r="G751" s="1" t="s">
        <v>26</v>
      </c>
      <c r="H751" s="1">
        <v>10229</v>
      </c>
      <c r="I751" s="1" t="s">
        <v>33</v>
      </c>
      <c r="J751" s="1">
        <v>0.3</v>
      </c>
      <c r="K751" s="1">
        <v>9000</v>
      </c>
      <c r="L751" s="2">
        <v>45343</v>
      </c>
    </row>
    <row r="752" spans="1:12" x14ac:dyDescent="0.35">
      <c r="A752" s="1" t="s">
        <v>985</v>
      </c>
      <c r="B752" s="1" t="s">
        <v>445</v>
      </c>
      <c r="C752" s="1" t="s">
        <v>44</v>
      </c>
      <c r="D752" s="1" t="s">
        <v>45</v>
      </c>
      <c r="E752" s="1" t="s">
        <v>32</v>
      </c>
      <c r="F752" s="1" t="s">
        <v>39</v>
      </c>
      <c r="G752" s="1" t="s">
        <v>36</v>
      </c>
      <c r="H752" s="1">
        <v>12467</v>
      </c>
      <c r="I752" s="1" t="s">
        <v>19</v>
      </c>
      <c r="J752" s="1">
        <v>0.2</v>
      </c>
      <c r="K752" s="1">
        <v>13000</v>
      </c>
      <c r="L752" s="2">
        <v>45308</v>
      </c>
    </row>
    <row r="753" spans="1:12" x14ac:dyDescent="0.35">
      <c r="A753" s="1" t="s">
        <v>986</v>
      </c>
      <c r="B753" s="1" t="s">
        <v>987</v>
      </c>
      <c r="C753" s="1" t="s">
        <v>61</v>
      </c>
      <c r="D753" s="1" t="s">
        <v>62</v>
      </c>
      <c r="E753" s="1" t="s">
        <v>16</v>
      </c>
      <c r="F753" s="1" t="s">
        <v>17</v>
      </c>
      <c r="G753" s="1" t="s">
        <v>26</v>
      </c>
      <c r="H753" s="1">
        <v>8207</v>
      </c>
      <c r="I753" s="1" t="s">
        <v>27</v>
      </c>
      <c r="J753" s="1"/>
      <c r="K753" s="1">
        <v>9000</v>
      </c>
      <c r="L753" s="2">
        <v>45336</v>
      </c>
    </row>
    <row r="754" spans="1:12" x14ac:dyDescent="0.35">
      <c r="A754" s="1" t="s">
        <v>988</v>
      </c>
      <c r="B754" s="1" t="s">
        <v>211</v>
      </c>
      <c r="C754" s="1" t="s">
        <v>44</v>
      </c>
      <c r="D754" s="1" t="s">
        <v>45</v>
      </c>
      <c r="E754" s="1" t="s">
        <v>16</v>
      </c>
      <c r="F754" s="1" t="s">
        <v>17</v>
      </c>
      <c r="G754" s="1" t="s">
        <v>36</v>
      </c>
      <c r="H754" s="1">
        <v>13999</v>
      </c>
      <c r="I754" s="1"/>
      <c r="J754" s="1"/>
      <c r="K754" s="1">
        <v>13000</v>
      </c>
      <c r="L754" s="2">
        <v>45309</v>
      </c>
    </row>
    <row r="755" spans="1:12" x14ac:dyDescent="0.35">
      <c r="A755" s="1" t="s">
        <v>989</v>
      </c>
      <c r="B755" s="1" t="s">
        <v>319</v>
      </c>
      <c r="C755" s="1" t="s">
        <v>44</v>
      </c>
      <c r="D755" s="1" t="s">
        <v>45</v>
      </c>
      <c r="E755" s="1" t="s">
        <v>32</v>
      </c>
      <c r="F755" s="1" t="s">
        <v>39</v>
      </c>
      <c r="G755" s="1" t="s">
        <v>18</v>
      </c>
      <c r="H755" s="1">
        <v>12840</v>
      </c>
      <c r="I755" s="1" t="s">
        <v>33</v>
      </c>
      <c r="J755" s="1">
        <v>0.3</v>
      </c>
      <c r="K755" s="1">
        <v>13000</v>
      </c>
      <c r="L755" s="2">
        <v>45344</v>
      </c>
    </row>
    <row r="756" spans="1:12" x14ac:dyDescent="0.35">
      <c r="A756" s="1" t="s">
        <v>990</v>
      </c>
      <c r="B756" s="1" t="s">
        <v>307</v>
      </c>
      <c r="C756" s="1" t="s">
        <v>30</v>
      </c>
      <c r="D756" s="1" t="s">
        <v>31</v>
      </c>
      <c r="E756" s="1" t="s">
        <v>46</v>
      </c>
      <c r="F756" s="1" t="s">
        <v>25</v>
      </c>
      <c r="G756" s="1" t="s">
        <v>26</v>
      </c>
      <c r="H756" s="1">
        <v>17072</v>
      </c>
      <c r="I756" s="1"/>
      <c r="J756" s="1"/>
      <c r="K756" s="1">
        <v>17000</v>
      </c>
      <c r="L756" s="2">
        <v>45338</v>
      </c>
    </row>
    <row r="757" spans="1:12" x14ac:dyDescent="0.35">
      <c r="A757" s="1" t="s">
        <v>991</v>
      </c>
      <c r="B757" s="1" t="s">
        <v>557</v>
      </c>
      <c r="C757" s="1" t="s">
        <v>30</v>
      </c>
      <c r="D757" s="1" t="s">
        <v>31</v>
      </c>
      <c r="E757" s="1" t="s">
        <v>16</v>
      </c>
      <c r="F757" s="1" t="s">
        <v>25</v>
      </c>
      <c r="G757" s="1" t="s">
        <v>36</v>
      </c>
      <c r="H757" s="1">
        <v>17953</v>
      </c>
      <c r="I757" s="1" t="s">
        <v>22</v>
      </c>
      <c r="J757" s="1">
        <v>0.1</v>
      </c>
      <c r="K757" s="1">
        <v>17000</v>
      </c>
      <c r="L757" s="2">
        <v>45334</v>
      </c>
    </row>
    <row r="758" spans="1:12" x14ac:dyDescent="0.35">
      <c r="A758" s="1" t="s">
        <v>992</v>
      </c>
      <c r="B758" s="1" t="s">
        <v>105</v>
      </c>
      <c r="C758" s="1" t="s">
        <v>61</v>
      </c>
      <c r="D758" s="1" t="s">
        <v>62</v>
      </c>
      <c r="E758" s="1" t="s">
        <v>32</v>
      </c>
      <c r="F758" s="1" t="s">
        <v>39</v>
      </c>
      <c r="G758" s="1" t="s">
        <v>26</v>
      </c>
      <c r="H758" s="1">
        <v>9037</v>
      </c>
      <c r="I758" s="1" t="s">
        <v>27</v>
      </c>
      <c r="J758" s="1"/>
      <c r="K758" s="1">
        <v>9000</v>
      </c>
      <c r="L758" s="2">
        <v>45301</v>
      </c>
    </row>
    <row r="759" spans="1:12" x14ac:dyDescent="0.35">
      <c r="A759" s="1" t="s">
        <v>993</v>
      </c>
      <c r="B759" s="1" t="s">
        <v>291</v>
      </c>
      <c r="C759" s="1" t="s">
        <v>30</v>
      </c>
      <c r="D759" s="1" t="s">
        <v>31</v>
      </c>
      <c r="E759" s="1" t="s">
        <v>46</v>
      </c>
      <c r="F759" s="1" t="s">
        <v>39</v>
      </c>
      <c r="G759" s="1" t="s">
        <v>36</v>
      </c>
      <c r="H759" s="1">
        <v>15452</v>
      </c>
      <c r="I759" s="1" t="s">
        <v>22</v>
      </c>
      <c r="J759" s="1">
        <v>0.1</v>
      </c>
      <c r="K759" s="1">
        <v>17000</v>
      </c>
      <c r="L759" s="2">
        <v>45325</v>
      </c>
    </row>
    <row r="760" spans="1:12" x14ac:dyDescent="0.35">
      <c r="A760" s="1" t="s">
        <v>994</v>
      </c>
      <c r="B760" s="1" t="s">
        <v>13</v>
      </c>
      <c r="C760" s="1" t="s">
        <v>14</v>
      </c>
      <c r="D760" s="1" t="s">
        <v>15</v>
      </c>
      <c r="E760" s="1" t="s">
        <v>32</v>
      </c>
      <c r="F760" s="1" t="s">
        <v>25</v>
      </c>
      <c r="G760" s="1" t="s">
        <v>18</v>
      </c>
      <c r="H760" s="1">
        <v>12827</v>
      </c>
      <c r="I760" s="1" t="s">
        <v>22</v>
      </c>
      <c r="J760" s="1">
        <v>0.1</v>
      </c>
      <c r="K760" s="1">
        <v>14000</v>
      </c>
      <c r="L760" s="2">
        <v>45323</v>
      </c>
    </row>
    <row r="761" spans="1:12" x14ac:dyDescent="0.35">
      <c r="A761" s="1" t="s">
        <v>995</v>
      </c>
      <c r="B761" s="1" t="s">
        <v>229</v>
      </c>
      <c r="C761" s="1" t="s">
        <v>14</v>
      </c>
      <c r="D761" s="1" t="s">
        <v>15</v>
      </c>
      <c r="E761" s="1" t="s">
        <v>16</v>
      </c>
      <c r="F761" s="1" t="s">
        <v>39</v>
      </c>
      <c r="G761" s="1" t="s">
        <v>36</v>
      </c>
      <c r="H761" s="1">
        <v>14694</v>
      </c>
      <c r="I761" s="1"/>
      <c r="J761" s="1"/>
      <c r="K761" s="1">
        <v>14000</v>
      </c>
      <c r="L761" s="2">
        <v>45325</v>
      </c>
    </row>
    <row r="762" spans="1:12" x14ac:dyDescent="0.35">
      <c r="A762" s="1" t="s">
        <v>996</v>
      </c>
      <c r="B762" s="1" t="s">
        <v>233</v>
      </c>
      <c r="C762" s="1" t="s">
        <v>30</v>
      </c>
      <c r="D762" s="1" t="s">
        <v>31</v>
      </c>
      <c r="E762" s="1" t="s">
        <v>32</v>
      </c>
      <c r="F762" s="1" t="s">
        <v>17</v>
      </c>
      <c r="G762" s="1" t="s">
        <v>18</v>
      </c>
      <c r="H762" s="1">
        <v>17481</v>
      </c>
      <c r="I762" s="1" t="s">
        <v>22</v>
      </c>
      <c r="J762" s="1">
        <v>0.1</v>
      </c>
      <c r="K762" s="1">
        <v>17000</v>
      </c>
      <c r="L762" s="2">
        <v>45292</v>
      </c>
    </row>
    <row r="763" spans="1:12" x14ac:dyDescent="0.35">
      <c r="A763" s="1" t="s">
        <v>997</v>
      </c>
      <c r="B763" s="1" t="s">
        <v>553</v>
      </c>
      <c r="C763" s="1" t="s">
        <v>61</v>
      </c>
      <c r="D763" s="1" t="s">
        <v>62</v>
      </c>
      <c r="E763" s="1" t="s">
        <v>32</v>
      </c>
      <c r="F763" s="1" t="s">
        <v>17</v>
      </c>
      <c r="G763" s="1" t="s">
        <v>26</v>
      </c>
      <c r="H763" s="1">
        <v>7248</v>
      </c>
      <c r="I763" s="1" t="s">
        <v>33</v>
      </c>
      <c r="J763" s="1">
        <v>0.3</v>
      </c>
      <c r="K763" s="1">
        <v>9000</v>
      </c>
      <c r="L763" s="2">
        <v>45327</v>
      </c>
    </row>
    <row r="764" spans="1:12" x14ac:dyDescent="0.35">
      <c r="A764" s="1" t="s">
        <v>998</v>
      </c>
      <c r="B764" s="1" t="s">
        <v>127</v>
      </c>
      <c r="C764" s="1" t="s">
        <v>30</v>
      </c>
      <c r="D764" s="1" t="s">
        <v>31</v>
      </c>
      <c r="E764" s="1" t="s">
        <v>16</v>
      </c>
      <c r="F764" s="1" t="s">
        <v>25</v>
      </c>
      <c r="G764" s="1" t="s">
        <v>26</v>
      </c>
      <c r="H764" s="1">
        <v>16088</v>
      </c>
      <c r="I764" s="1" t="s">
        <v>27</v>
      </c>
      <c r="J764" s="1"/>
      <c r="K764" s="1">
        <v>17000</v>
      </c>
      <c r="L764" s="2">
        <v>45294</v>
      </c>
    </row>
    <row r="765" spans="1:12" x14ac:dyDescent="0.35">
      <c r="A765" s="1" t="s">
        <v>999</v>
      </c>
      <c r="B765" s="1" t="s">
        <v>1000</v>
      </c>
      <c r="C765" s="1" t="s">
        <v>30</v>
      </c>
      <c r="D765" s="1" t="s">
        <v>31</v>
      </c>
      <c r="E765" s="1" t="s">
        <v>32</v>
      </c>
      <c r="F765" s="1" t="s">
        <v>25</v>
      </c>
      <c r="G765" s="1" t="s">
        <v>26</v>
      </c>
      <c r="H765" s="1">
        <v>15397</v>
      </c>
      <c r="I765" s="1" t="s">
        <v>22</v>
      </c>
      <c r="J765" s="1">
        <v>0.1</v>
      </c>
      <c r="K765" s="1">
        <v>17000</v>
      </c>
      <c r="L765" s="2">
        <v>45338</v>
      </c>
    </row>
    <row r="766" spans="1:12" x14ac:dyDescent="0.35">
      <c r="A766" s="1" t="s">
        <v>1001</v>
      </c>
      <c r="B766" s="1" t="s">
        <v>24</v>
      </c>
      <c r="C766" s="1" t="s">
        <v>61</v>
      </c>
      <c r="D766" s="1" t="s">
        <v>62</v>
      </c>
      <c r="E766" s="1" t="s">
        <v>32</v>
      </c>
      <c r="F766" s="1" t="s">
        <v>25</v>
      </c>
      <c r="G766" s="1" t="s">
        <v>26</v>
      </c>
      <c r="H766" s="1">
        <v>9690</v>
      </c>
      <c r="I766" s="1" t="s">
        <v>19</v>
      </c>
      <c r="J766" s="1">
        <v>0.2</v>
      </c>
      <c r="K766" s="1">
        <v>9000</v>
      </c>
      <c r="L766" s="2">
        <v>45328</v>
      </c>
    </row>
    <row r="767" spans="1:12" x14ac:dyDescent="0.35">
      <c r="A767" s="1" t="s">
        <v>1002</v>
      </c>
      <c r="B767" s="1" t="s">
        <v>422</v>
      </c>
      <c r="C767" s="1" t="s">
        <v>61</v>
      </c>
      <c r="D767" s="1" t="s">
        <v>62</v>
      </c>
      <c r="E767" s="1" t="s">
        <v>16</v>
      </c>
      <c r="F767" s="1" t="s">
        <v>25</v>
      </c>
      <c r="G767" s="1" t="s">
        <v>26</v>
      </c>
      <c r="H767" s="1">
        <v>9361</v>
      </c>
      <c r="I767" s="1" t="s">
        <v>33</v>
      </c>
      <c r="J767" s="1">
        <v>0.3</v>
      </c>
      <c r="K767" s="1">
        <v>9000</v>
      </c>
      <c r="L767" s="2">
        <v>45335</v>
      </c>
    </row>
    <row r="768" spans="1:12" x14ac:dyDescent="0.35">
      <c r="A768" s="1" t="s">
        <v>1003</v>
      </c>
      <c r="B768" s="1" t="s">
        <v>483</v>
      </c>
      <c r="C768" s="1" t="s">
        <v>61</v>
      </c>
      <c r="D768" s="1" t="s">
        <v>62</v>
      </c>
      <c r="E768" s="1" t="s">
        <v>32</v>
      </c>
      <c r="F768" s="1" t="s">
        <v>25</v>
      </c>
      <c r="G768" s="1" t="s">
        <v>18</v>
      </c>
      <c r="H768" s="1">
        <v>9252</v>
      </c>
      <c r="I768" s="1"/>
      <c r="J768" s="1"/>
      <c r="K768" s="1">
        <v>9000</v>
      </c>
      <c r="L768" s="2">
        <v>45324</v>
      </c>
    </row>
    <row r="769" spans="1:12" x14ac:dyDescent="0.35">
      <c r="A769" s="1" t="s">
        <v>1004</v>
      </c>
      <c r="B769" s="1" t="s">
        <v>150</v>
      </c>
      <c r="C769" s="1" t="s">
        <v>44</v>
      </c>
      <c r="D769" s="1" t="s">
        <v>45</v>
      </c>
      <c r="E769" s="1" t="s">
        <v>16</v>
      </c>
      <c r="F769" s="1" t="s">
        <v>39</v>
      </c>
      <c r="G769" s="1" t="s">
        <v>36</v>
      </c>
      <c r="H769" s="1">
        <v>14823</v>
      </c>
      <c r="I769" s="1" t="s">
        <v>33</v>
      </c>
      <c r="J769" s="1">
        <v>0.3</v>
      </c>
      <c r="K769" s="1">
        <v>13000</v>
      </c>
      <c r="L769" s="2">
        <v>45349</v>
      </c>
    </row>
    <row r="770" spans="1:12" x14ac:dyDescent="0.35">
      <c r="A770" s="1" t="s">
        <v>1005</v>
      </c>
      <c r="B770" s="1" t="s">
        <v>301</v>
      </c>
      <c r="C770" s="1" t="s">
        <v>30</v>
      </c>
      <c r="D770" s="1" t="s">
        <v>31</v>
      </c>
      <c r="E770" s="1" t="s">
        <v>46</v>
      </c>
      <c r="F770" s="1" t="s">
        <v>17</v>
      </c>
      <c r="G770" s="1" t="s">
        <v>26</v>
      </c>
      <c r="H770" s="1">
        <v>16763</v>
      </c>
      <c r="I770" s="1" t="s">
        <v>33</v>
      </c>
      <c r="J770" s="1">
        <v>0.3</v>
      </c>
      <c r="K770" s="1">
        <v>17000</v>
      </c>
      <c r="L770" s="2">
        <v>45330</v>
      </c>
    </row>
    <row r="771" spans="1:12" x14ac:dyDescent="0.35">
      <c r="A771" s="1" t="s">
        <v>1006</v>
      </c>
      <c r="B771" s="1" t="s">
        <v>56</v>
      </c>
      <c r="C771" s="1" t="s">
        <v>44</v>
      </c>
      <c r="D771" s="1" t="s">
        <v>45</v>
      </c>
      <c r="E771" s="1" t="s">
        <v>46</v>
      </c>
      <c r="F771" s="1" t="s">
        <v>39</v>
      </c>
      <c r="G771" s="1" t="s">
        <v>26</v>
      </c>
      <c r="H771" s="1">
        <v>12040</v>
      </c>
      <c r="I771" s="1" t="s">
        <v>33</v>
      </c>
      <c r="J771" s="1">
        <v>0.3</v>
      </c>
      <c r="K771" s="1">
        <v>13000</v>
      </c>
      <c r="L771" s="2">
        <v>45320</v>
      </c>
    </row>
    <row r="772" spans="1:12" x14ac:dyDescent="0.35">
      <c r="A772" s="1" t="s">
        <v>1007</v>
      </c>
      <c r="B772" s="1" t="s">
        <v>52</v>
      </c>
      <c r="C772" s="1" t="s">
        <v>14</v>
      </c>
      <c r="D772" s="1" t="s">
        <v>15</v>
      </c>
      <c r="E772" s="1" t="s">
        <v>16</v>
      </c>
      <c r="F772" s="1" t="s">
        <v>25</v>
      </c>
      <c r="G772" s="1" t="s">
        <v>36</v>
      </c>
      <c r="H772" s="1">
        <v>14440</v>
      </c>
      <c r="I772" s="1" t="s">
        <v>22</v>
      </c>
      <c r="J772" s="1">
        <v>0.1</v>
      </c>
      <c r="K772" s="1">
        <v>14000</v>
      </c>
      <c r="L772" s="2">
        <v>45325</v>
      </c>
    </row>
    <row r="773" spans="1:12" x14ac:dyDescent="0.35">
      <c r="A773" s="1" t="s">
        <v>1008</v>
      </c>
      <c r="B773" s="1" t="s">
        <v>256</v>
      </c>
      <c r="C773" s="1" t="s">
        <v>14</v>
      </c>
      <c r="D773" s="1" t="s">
        <v>15</v>
      </c>
      <c r="E773" s="1" t="s">
        <v>46</v>
      </c>
      <c r="F773" s="1" t="s">
        <v>25</v>
      </c>
      <c r="G773" s="1" t="s">
        <v>18</v>
      </c>
      <c r="H773" s="1">
        <v>15505</v>
      </c>
      <c r="I773" s="1" t="s">
        <v>33</v>
      </c>
      <c r="J773" s="1">
        <v>0.3</v>
      </c>
      <c r="K773" s="1">
        <v>14000</v>
      </c>
      <c r="L773" s="2">
        <v>45293</v>
      </c>
    </row>
    <row r="774" spans="1:12" x14ac:dyDescent="0.35">
      <c r="A774" s="1" t="s">
        <v>1009</v>
      </c>
      <c r="B774" s="1" t="s">
        <v>140</v>
      </c>
      <c r="C774" s="1" t="s">
        <v>30</v>
      </c>
      <c r="D774" s="1" t="s">
        <v>31</v>
      </c>
      <c r="E774" s="1" t="s">
        <v>16</v>
      </c>
      <c r="F774" s="1" t="s">
        <v>39</v>
      </c>
      <c r="G774" s="1" t="s">
        <v>26</v>
      </c>
      <c r="H774" s="1">
        <v>17337</v>
      </c>
      <c r="I774" s="1" t="s">
        <v>27</v>
      </c>
      <c r="J774" s="1"/>
      <c r="K774" s="1">
        <v>17000</v>
      </c>
      <c r="L774" s="2">
        <v>45301</v>
      </c>
    </row>
    <row r="775" spans="1:12" x14ac:dyDescent="0.35">
      <c r="A775" s="1" t="s">
        <v>1010</v>
      </c>
      <c r="B775" s="1" t="s">
        <v>43</v>
      </c>
      <c r="C775" s="1" t="s">
        <v>61</v>
      </c>
      <c r="D775" s="1" t="s">
        <v>62</v>
      </c>
      <c r="E775" s="1" t="s">
        <v>46</v>
      </c>
      <c r="F775" s="1" t="s">
        <v>25</v>
      </c>
      <c r="G775" s="1" t="s">
        <v>18</v>
      </c>
      <c r="H775" s="1">
        <v>8085</v>
      </c>
      <c r="I775" s="1" t="s">
        <v>33</v>
      </c>
      <c r="J775" s="1">
        <v>0.3</v>
      </c>
      <c r="K775" s="1">
        <v>9000</v>
      </c>
      <c r="L775" s="2">
        <v>45348</v>
      </c>
    </row>
    <row r="776" spans="1:12" x14ac:dyDescent="0.35">
      <c r="A776" s="1" t="s">
        <v>1011</v>
      </c>
      <c r="B776" s="1" t="s">
        <v>519</v>
      </c>
      <c r="C776" s="1" t="s">
        <v>44</v>
      </c>
      <c r="D776" s="1" t="s">
        <v>45</v>
      </c>
      <c r="E776" s="1" t="s">
        <v>46</v>
      </c>
      <c r="F776" s="1" t="s">
        <v>17</v>
      </c>
      <c r="G776" s="1" t="s">
        <v>18</v>
      </c>
      <c r="H776" s="1">
        <v>13336</v>
      </c>
      <c r="I776" s="1"/>
      <c r="J776" s="1"/>
      <c r="K776" s="1">
        <v>13000</v>
      </c>
      <c r="L776" s="2">
        <v>45328</v>
      </c>
    </row>
    <row r="777" spans="1:12" x14ac:dyDescent="0.35">
      <c r="A777" s="1" t="s">
        <v>1012</v>
      </c>
      <c r="B777" s="1" t="s">
        <v>553</v>
      </c>
      <c r="C777" s="1" t="s">
        <v>14</v>
      </c>
      <c r="D777" s="1" t="s">
        <v>15</v>
      </c>
      <c r="E777" s="1" t="s">
        <v>16</v>
      </c>
      <c r="F777" s="1" t="s">
        <v>17</v>
      </c>
      <c r="G777" s="1" t="s">
        <v>36</v>
      </c>
      <c r="H777" s="1">
        <v>12708</v>
      </c>
      <c r="I777" s="1"/>
      <c r="J777" s="1"/>
      <c r="K777" s="1">
        <v>14000</v>
      </c>
      <c r="L777" s="2">
        <v>45344</v>
      </c>
    </row>
    <row r="778" spans="1:12" x14ac:dyDescent="0.35">
      <c r="A778" s="1" t="s">
        <v>1013</v>
      </c>
      <c r="B778" s="1" t="s">
        <v>260</v>
      </c>
      <c r="C778" s="1" t="s">
        <v>14</v>
      </c>
      <c r="D778" s="1" t="s">
        <v>15</v>
      </c>
      <c r="E778" s="1" t="s">
        <v>16</v>
      </c>
      <c r="F778" s="1" t="s">
        <v>39</v>
      </c>
      <c r="G778" s="1" t="s">
        <v>36</v>
      </c>
      <c r="H778" s="1">
        <v>12153</v>
      </c>
      <c r="I778" s="1" t="s">
        <v>27</v>
      </c>
      <c r="J778" s="1"/>
      <c r="K778" s="1">
        <v>14000</v>
      </c>
      <c r="L778" s="2">
        <v>45316</v>
      </c>
    </row>
    <row r="779" spans="1:12" x14ac:dyDescent="0.35">
      <c r="A779" s="1" t="s">
        <v>1014</v>
      </c>
      <c r="B779" s="1" t="s">
        <v>200</v>
      </c>
      <c r="C779" s="1" t="s">
        <v>14</v>
      </c>
      <c r="D779" s="1" t="s">
        <v>15</v>
      </c>
      <c r="E779" s="1" t="s">
        <v>46</v>
      </c>
      <c r="F779" s="1" t="s">
        <v>17</v>
      </c>
      <c r="G779" s="1" t="s">
        <v>36</v>
      </c>
      <c r="H779" s="1">
        <v>13706</v>
      </c>
      <c r="I779" s="1" t="s">
        <v>22</v>
      </c>
      <c r="J779" s="1">
        <v>0.1</v>
      </c>
      <c r="K779" s="1">
        <v>14000</v>
      </c>
      <c r="L779" s="2">
        <v>45347</v>
      </c>
    </row>
    <row r="780" spans="1:12" x14ac:dyDescent="0.35">
      <c r="A780" s="1" t="s">
        <v>1015</v>
      </c>
      <c r="B780" s="1" t="s">
        <v>294</v>
      </c>
      <c r="C780" s="1" t="s">
        <v>14</v>
      </c>
      <c r="D780" s="1" t="s">
        <v>15</v>
      </c>
      <c r="E780" s="1" t="s">
        <v>16</v>
      </c>
      <c r="F780" s="1" t="s">
        <v>39</v>
      </c>
      <c r="G780" s="1" t="s">
        <v>36</v>
      </c>
      <c r="H780" s="1">
        <v>12221</v>
      </c>
      <c r="I780" s="1" t="s">
        <v>33</v>
      </c>
      <c r="J780" s="1">
        <v>0.3</v>
      </c>
      <c r="K780" s="1">
        <v>14000</v>
      </c>
      <c r="L780" s="2">
        <v>45325</v>
      </c>
    </row>
    <row r="781" spans="1:12" x14ac:dyDescent="0.35">
      <c r="A781" s="1" t="s">
        <v>1016</v>
      </c>
      <c r="B781" s="1" t="s">
        <v>125</v>
      </c>
      <c r="C781" s="1" t="s">
        <v>44</v>
      </c>
      <c r="D781" s="1" t="s">
        <v>45</v>
      </c>
      <c r="E781" s="1" t="s">
        <v>46</v>
      </c>
      <c r="F781" s="1" t="s">
        <v>39</v>
      </c>
      <c r="G781" s="1" t="s">
        <v>26</v>
      </c>
      <c r="H781" s="1">
        <v>11904</v>
      </c>
      <c r="I781" s="1" t="s">
        <v>19</v>
      </c>
      <c r="J781" s="1">
        <v>0.2</v>
      </c>
      <c r="K781" s="1">
        <v>13000</v>
      </c>
      <c r="L781" s="2">
        <v>45295</v>
      </c>
    </row>
    <row r="782" spans="1:12" x14ac:dyDescent="0.35">
      <c r="A782" s="1" t="s">
        <v>1017</v>
      </c>
      <c r="B782" s="1" t="s">
        <v>305</v>
      </c>
      <c r="C782" s="1" t="s">
        <v>61</v>
      </c>
      <c r="D782" s="1" t="s">
        <v>62</v>
      </c>
      <c r="E782" s="1" t="s">
        <v>46</v>
      </c>
      <c r="F782" s="1" t="s">
        <v>39</v>
      </c>
      <c r="G782" s="1" t="s">
        <v>26</v>
      </c>
      <c r="H782" s="1">
        <v>9067</v>
      </c>
      <c r="I782" s="1" t="s">
        <v>22</v>
      </c>
      <c r="J782" s="1">
        <v>0.1</v>
      </c>
      <c r="K782" s="1">
        <v>9000</v>
      </c>
      <c r="L782" s="2">
        <v>45306</v>
      </c>
    </row>
    <row r="783" spans="1:12" x14ac:dyDescent="0.35">
      <c r="A783" s="1" t="s">
        <v>1018</v>
      </c>
      <c r="B783" s="1" t="s">
        <v>435</v>
      </c>
      <c r="C783" s="1" t="s">
        <v>61</v>
      </c>
      <c r="D783" s="1" t="s">
        <v>62</v>
      </c>
      <c r="E783" s="1" t="s">
        <v>32</v>
      </c>
      <c r="F783" s="1" t="s">
        <v>25</v>
      </c>
      <c r="G783" s="1" t="s">
        <v>36</v>
      </c>
      <c r="H783" s="1">
        <v>7338</v>
      </c>
      <c r="I783" s="1"/>
      <c r="J783" s="1"/>
      <c r="K783" s="1">
        <v>9000</v>
      </c>
      <c r="L783" s="2">
        <v>45328</v>
      </c>
    </row>
    <row r="784" spans="1:12" x14ac:dyDescent="0.35">
      <c r="A784" s="1" t="s">
        <v>1019</v>
      </c>
      <c r="B784" s="1" t="s">
        <v>464</v>
      </c>
      <c r="C784" s="1" t="s">
        <v>61</v>
      </c>
      <c r="D784" s="1" t="s">
        <v>62</v>
      </c>
      <c r="E784" s="1" t="s">
        <v>46</v>
      </c>
      <c r="F784" s="1" t="s">
        <v>25</v>
      </c>
      <c r="G784" s="1" t="s">
        <v>36</v>
      </c>
      <c r="H784" s="1">
        <v>9055</v>
      </c>
      <c r="I784" s="1"/>
      <c r="J784" s="1"/>
      <c r="K784" s="1">
        <v>9000</v>
      </c>
      <c r="L784" s="2">
        <v>45341</v>
      </c>
    </row>
    <row r="785" spans="1:12" x14ac:dyDescent="0.35">
      <c r="A785" s="1" t="s">
        <v>1020</v>
      </c>
      <c r="B785" s="1" t="s">
        <v>153</v>
      </c>
      <c r="C785" s="1" t="s">
        <v>44</v>
      </c>
      <c r="D785" s="1" t="s">
        <v>45</v>
      </c>
      <c r="E785" s="1" t="s">
        <v>46</v>
      </c>
      <c r="F785" s="1" t="s">
        <v>39</v>
      </c>
      <c r="G785" s="1" t="s">
        <v>18</v>
      </c>
      <c r="H785" s="1">
        <v>12998</v>
      </c>
      <c r="I785" s="1"/>
      <c r="J785" s="1"/>
      <c r="K785" s="1">
        <v>13000</v>
      </c>
      <c r="L785" s="2">
        <v>45333</v>
      </c>
    </row>
    <row r="786" spans="1:12" x14ac:dyDescent="0.35">
      <c r="A786" s="1" t="s">
        <v>1021</v>
      </c>
      <c r="B786" s="1" t="s">
        <v>519</v>
      </c>
      <c r="C786" s="1" t="s">
        <v>44</v>
      </c>
      <c r="D786" s="1" t="s">
        <v>45</v>
      </c>
      <c r="E786" s="1" t="s">
        <v>32</v>
      </c>
      <c r="F786" s="1" t="s">
        <v>25</v>
      </c>
      <c r="G786" s="1" t="s">
        <v>36</v>
      </c>
      <c r="H786" s="1">
        <v>14181</v>
      </c>
      <c r="I786" s="1"/>
      <c r="J786" s="1"/>
      <c r="K786" s="1">
        <v>13000</v>
      </c>
      <c r="L786" s="2">
        <v>45312</v>
      </c>
    </row>
    <row r="787" spans="1:12" x14ac:dyDescent="0.35">
      <c r="A787" s="1" t="s">
        <v>1022</v>
      </c>
      <c r="B787" s="1" t="s">
        <v>163</v>
      </c>
      <c r="C787" s="1" t="s">
        <v>14</v>
      </c>
      <c r="D787" s="1" t="s">
        <v>15</v>
      </c>
      <c r="E787" s="1" t="s">
        <v>32</v>
      </c>
      <c r="F787" s="1" t="s">
        <v>39</v>
      </c>
      <c r="G787" s="1" t="s">
        <v>36</v>
      </c>
      <c r="H787" s="1">
        <v>13734</v>
      </c>
      <c r="I787" s="1" t="s">
        <v>33</v>
      </c>
      <c r="J787" s="1">
        <v>0.3</v>
      </c>
      <c r="K787" s="1">
        <v>14000</v>
      </c>
      <c r="L787" s="2">
        <v>45314</v>
      </c>
    </row>
    <row r="788" spans="1:12" x14ac:dyDescent="0.35">
      <c r="A788" s="1" t="s">
        <v>1023</v>
      </c>
      <c r="B788" s="1" t="s">
        <v>391</v>
      </c>
      <c r="C788" s="1" t="s">
        <v>30</v>
      </c>
      <c r="D788" s="1" t="s">
        <v>31</v>
      </c>
      <c r="E788" s="1" t="s">
        <v>16</v>
      </c>
      <c r="F788" s="1" t="s">
        <v>39</v>
      </c>
      <c r="G788" s="1" t="s">
        <v>18</v>
      </c>
      <c r="H788" s="1">
        <v>18152</v>
      </c>
      <c r="I788" s="1" t="s">
        <v>33</v>
      </c>
      <c r="J788" s="1">
        <v>0.3</v>
      </c>
      <c r="K788" s="1">
        <v>17000</v>
      </c>
      <c r="L788" s="2">
        <v>45302</v>
      </c>
    </row>
    <row r="789" spans="1:12" x14ac:dyDescent="0.35">
      <c r="A789" s="1" t="s">
        <v>1024</v>
      </c>
      <c r="B789" s="1" t="s">
        <v>38</v>
      </c>
      <c r="C789" s="1" t="s">
        <v>61</v>
      </c>
      <c r="D789" s="1" t="s">
        <v>62</v>
      </c>
      <c r="E789" s="1" t="s">
        <v>16</v>
      </c>
      <c r="F789" s="1" t="s">
        <v>25</v>
      </c>
      <c r="G789" s="1" t="s">
        <v>36</v>
      </c>
      <c r="H789" s="1">
        <v>7183</v>
      </c>
      <c r="I789" s="1" t="s">
        <v>19</v>
      </c>
      <c r="J789" s="1">
        <v>0.2</v>
      </c>
      <c r="K789" s="1">
        <v>9000</v>
      </c>
      <c r="L789" s="2">
        <v>45304</v>
      </c>
    </row>
    <row r="790" spans="1:12" x14ac:dyDescent="0.35">
      <c r="A790" s="1" t="s">
        <v>1025</v>
      </c>
      <c r="B790" s="1" t="s">
        <v>317</v>
      </c>
      <c r="C790" s="1" t="s">
        <v>44</v>
      </c>
      <c r="D790" s="1" t="s">
        <v>45</v>
      </c>
      <c r="E790" s="1" t="s">
        <v>16</v>
      </c>
      <c r="F790" s="1" t="s">
        <v>25</v>
      </c>
      <c r="G790" s="1" t="s">
        <v>18</v>
      </c>
      <c r="H790" s="1">
        <v>14029</v>
      </c>
      <c r="I790" s="1" t="s">
        <v>22</v>
      </c>
      <c r="J790" s="1">
        <v>0.1</v>
      </c>
      <c r="K790" s="1">
        <v>13000</v>
      </c>
      <c r="L790" s="2">
        <v>45307</v>
      </c>
    </row>
    <row r="791" spans="1:12" x14ac:dyDescent="0.35">
      <c r="A791" s="1" t="s">
        <v>1026</v>
      </c>
      <c r="B791" s="1" t="s">
        <v>373</v>
      </c>
      <c r="C791" s="1" t="s">
        <v>30</v>
      </c>
      <c r="D791" s="1" t="s">
        <v>31</v>
      </c>
      <c r="E791" s="1" t="s">
        <v>32</v>
      </c>
      <c r="F791" s="1" t="s">
        <v>17</v>
      </c>
      <c r="G791" s="1" t="s">
        <v>26</v>
      </c>
      <c r="H791" s="1">
        <v>18294</v>
      </c>
      <c r="I791" s="1" t="s">
        <v>22</v>
      </c>
      <c r="J791" s="1">
        <v>0.1</v>
      </c>
      <c r="K791" s="1">
        <v>17000</v>
      </c>
      <c r="L791" s="2">
        <v>45311</v>
      </c>
    </row>
    <row r="792" spans="1:12" x14ac:dyDescent="0.35">
      <c r="A792" s="1" t="s">
        <v>1027</v>
      </c>
      <c r="B792" s="1" t="s">
        <v>231</v>
      </c>
      <c r="C792" s="1" t="s">
        <v>14</v>
      </c>
      <c r="D792" s="1" t="s">
        <v>15</v>
      </c>
      <c r="E792" s="1" t="s">
        <v>46</v>
      </c>
      <c r="F792" s="1" t="s">
        <v>25</v>
      </c>
      <c r="G792" s="1" t="s">
        <v>26</v>
      </c>
      <c r="H792" s="1">
        <v>14203</v>
      </c>
      <c r="I792" s="1" t="s">
        <v>19</v>
      </c>
      <c r="J792" s="1">
        <v>0.2</v>
      </c>
      <c r="K792" s="1">
        <v>14000</v>
      </c>
      <c r="L792" s="2">
        <v>45305</v>
      </c>
    </row>
    <row r="793" spans="1:12" x14ac:dyDescent="0.35">
      <c r="A793" s="1" t="s">
        <v>1028</v>
      </c>
      <c r="B793" s="1" t="s">
        <v>168</v>
      </c>
      <c r="C793" s="1" t="s">
        <v>30</v>
      </c>
      <c r="D793" s="1" t="s">
        <v>31</v>
      </c>
      <c r="E793" s="1" t="s">
        <v>16</v>
      </c>
      <c r="F793" s="1" t="s">
        <v>17</v>
      </c>
      <c r="G793" s="1" t="s">
        <v>26</v>
      </c>
      <c r="H793" s="1">
        <v>17989</v>
      </c>
      <c r="I793" s="1" t="s">
        <v>19</v>
      </c>
      <c r="J793" s="1">
        <v>0.2</v>
      </c>
      <c r="K793" s="1">
        <v>17000</v>
      </c>
      <c r="L793" s="2">
        <v>45336</v>
      </c>
    </row>
    <row r="794" spans="1:12" x14ac:dyDescent="0.35">
      <c r="A794" s="1" t="s">
        <v>1029</v>
      </c>
      <c r="B794" s="1" t="s">
        <v>765</v>
      </c>
      <c r="C794" s="1" t="s">
        <v>14</v>
      </c>
      <c r="D794" s="1" t="s">
        <v>15</v>
      </c>
      <c r="E794" s="1" t="s">
        <v>46</v>
      </c>
      <c r="F794" s="1" t="s">
        <v>39</v>
      </c>
      <c r="G794" s="1" t="s">
        <v>26</v>
      </c>
      <c r="H794" s="1">
        <v>14157</v>
      </c>
      <c r="I794" s="1" t="s">
        <v>22</v>
      </c>
      <c r="J794" s="1">
        <v>0.1</v>
      </c>
      <c r="K794" s="1">
        <v>14000</v>
      </c>
      <c r="L794" s="2">
        <v>45308</v>
      </c>
    </row>
    <row r="795" spans="1:12" x14ac:dyDescent="0.35">
      <c r="A795" s="1" t="s">
        <v>1030</v>
      </c>
      <c r="B795" s="1" t="s">
        <v>557</v>
      </c>
      <c r="C795" s="1" t="s">
        <v>30</v>
      </c>
      <c r="D795" s="1" t="s">
        <v>31</v>
      </c>
      <c r="E795" s="1" t="s">
        <v>32</v>
      </c>
      <c r="F795" s="1" t="s">
        <v>39</v>
      </c>
      <c r="G795" s="1" t="s">
        <v>26</v>
      </c>
      <c r="H795" s="1">
        <v>16111</v>
      </c>
      <c r="I795" s="1" t="s">
        <v>22</v>
      </c>
      <c r="J795" s="1">
        <v>0.1</v>
      </c>
      <c r="K795" s="1">
        <v>17000</v>
      </c>
      <c r="L795" s="2">
        <v>45321</v>
      </c>
    </row>
    <row r="796" spans="1:12" x14ac:dyDescent="0.35">
      <c r="A796" s="1" t="s">
        <v>1031</v>
      </c>
      <c r="B796" s="1" t="s">
        <v>1032</v>
      </c>
      <c r="C796" s="1" t="s">
        <v>14</v>
      </c>
      <c r="D796" s="1" t="s">
        <v>15</v>
      </c>
      <c r="E796" s="1" t="s">
        <v>46</v>
      </c>
      <c r="F796" s="1" t="s">
        <v>39</v>
      </c>
      <c r="G796" s="1" t="s">
        <v>36</v>
      </c>
      <c r="H796" s="1">
        <v>14715</v>
      </c>
      <c r="I796" s="1" t="s">
        <v>33</v>
      </c>
      <c r="J796" s="1">
        <v>0.3</v>
      </c>
      <c r="K796" s="1">
        <v>14000</v>
      </c>
      <c r="L796" s="2">
        <v>45347</v>
      </c>
    </row>
    <row r="797" spans="1:12" x14ac:dyDescent="0.35">
      <c r="A797" s="1" t="s">
        <v>1033</v>
      </c>
      <c r="B797" s="1" t="s">
        <v>43</v>
      </c>
      <c r="C797" s="1" t="s">
        <v>30</v>
      </c>
      <c r="D797" s="1" t="s">
        <v>31</v>
      </c>
      <c r="E797" s="1" t="s">
        <v>16</v>
      </c>
      <c r="F797" s="1" t="s">
        <v>17</v>
      </c>
      <c r="G797" s="1" t="s">
        <v>18</v>
      </c>
      <c r="H797" s="1">
        <v>16559</v>
      </c>
      <c r="I797" s="1" t="s">
        <v>27</v>
      </c>
      <c r="J797" s="1"/>
      <c r="K797" s="1">
        <v>17000</v>
      </c>
      <c r="L797" s="2">
        <v>45337</v>
      </c>
    </row>
    <row r="798" spans="1:12" x14ac:dyDescent="0.35">
      <c r="A798" s="1" t="s">
        <v>1034</v>
      </c>
      <c r="B798" s="1" t="s">
        <v>432</v>
      </c>
      <c r="C798" s="1" t="s">
        <v>61</v>
      </c>
      <c r="D798" s="1" t="s">
        <v>62</v>
      </c>
      <c r="E798" s="1" t="s">
        <v>16</v>
      </c>
      <c r="F798" s="1" t="s">
        <v>39</v>
      </c>
      <c r="G798" s="1" t="s">
        <v>18</v>
      </c>
      <c r="H798" s="1">
        <v>7763</v>
      </c>
      <c r="I798" s="1" t="s">
        <v>19</v>
      </c>
      <c r="J798" s="1">
        <v>0.2</v>
      </c>
      <c r="K798" s="1">
        <v>9000</v>
      </c>
      <c r="L798" s="2">
        <v>45324</v>
      </c>
    </row>
    <row r="799" spans="1:12" x14ac:dyDescent="0.35">
      <c r="A799" s="1" t="s">
        <v>1035</v>
      </c>
      <c r="B799" s="1" t="s">
        <v>330</v>
      </c>
      <c r="C799" s="1" t="s">
        <v>14</v>
      </c>
      <c r="D799" s="1" t="s">
        <v>15</v>
      </c>
      <c r="E799" s="1" t="s">
        <v>32</v>
      </c>
      <c r="F799" s="1" t="s">
        <v>25</v>
      </c>
      <c r="G799" s="1" t="s">
        <v>26</v>
      </c>
      <c r="H799" s="1">
        <v>13248</v>
      </c>
      <c r="I799" s="1" t="s">
        <v>33</v>
      </c>
      <c r="J799" s="1">
        <v>0.3</v>
      </c>
      <c r="K799" s="1">
        <v>14000</v>
      </c>
      <c r="L799" s="2">
        <v>45323</v>
      </c>
    </row>
    <row r="800" spans="1:12" x14ac:dyDescent="0.35">
      <c r="A800" s="1" t="s">
        <v>1036</v>
      </c>
      <c r="B800" s="1" t="s">
        <v>101</v>
      </c>
      <c r="C800" s="1" t="s">
        <v>44</v>
      </c>
      <c r="D800" s="1" t="s">
        <v>45</v>
      </c>
      <c r="E800" s="1" t="s">
        <v>32</v>
      </c>
      <c r="F800" s="1" t="s">
        <v>17</v>
      </c>
      <c r="G800" s="1" t="s">
        <v>26</v>
      </c>
      <c r="H800" s="1">
        <v>12441</v>
      </c>
      <c r="I800" s="1" t="s">
        <v>33</v>
      </c>
      <c r="J800" s="1">
        <v>0.3</v>
      </c>
      <c r="K800" s="1">
        <v>13000</v>
      </c>
      <c r="L800" s="2">
        <v>45332</v>
      </c>
    </row>
    <row r="801" spans="1:12" x14ac:dyDescent="0.35">
      <c r="A801" s="1" t="s">
        <v>1037</v>
      </c>
      <c r="B801" s="1" t="s">
        <v>289</v>
      </c>
      <c r="C801" s="1" t="s">
        <v>30</v>
      </c>
      <c r="D801" s="1" t="s">
        <v>31</v>
      </c>
      <c r="E801" s="1" t="s">
        <v>32</v>
      </c>
      <c r="F801" s="1" t="s">
        <v>39</v>
      </c>
      <c r="G801" s="1" t="s">
        <v>36</v>
      </c>
      <c r="H801" s="1">
        <v>18599</v>
      </c>
      <c r="I801" s="1"/>
      <c r="J801" s="1"/>
      <c r="K801" s="1">
        <v>17000</v>
      </c>
      <c r="L801" s="2">
        <v>45348</v>
      </c>
    </row>
    <row r="802" spans="1:12" x14ac:dyDescent="0.35">
      <c r="A802" s="1" t="s">
        <v>1038</v>
      </c>
      <c r="B802" s="1" t="s">
        <v>676</v>
      </c>
      <c r="C802" s="1" t="s">
        <v>30</v>
      </c>
      <c r="D802" s="1" t="s">
        <v>31</v>
      </c>
      <c r="E802" s="1" t="s">
        <v>32</v>
      </c>
      <c r="F802" s="1" t="s">
        <v>25</v>
      </c>
      <c r="G802" s="1" t="s">
        <v>36</v>
      </c>
      <c r="H802" s="1">
        <v>18674</v>
      </c>
      <c r="I802" s="1"/>
      <c r="J802" s="1"/>
      <c r="K802" s="1">
        <v>17000</v>
      </c>
      <c r="L802" s="2">
        <v>45334</v>
      </c>
    </row>
    <row r="803" spans="1:12" x14ac:dyDescent="0.35">
      <c r="A803" s="1" t="s">
        <v>1039</v>
      </c>
      <c r="B803" s="1" t="s">
        <v>325</v>
      </c>
      <c r="C803" s="1" t="s">
        <v>61</v>
      </c>
      <c r="D803" s="1" t="s">
        <v>62</v>
      </c>
      <c r="E803" s="1" t="s">
        <v>16</v>
      </c>
      <c r="F803" s="1" t="s">
        <v>39</v>
      </c>
      <c r="G803" s="1" t="s">
        <v>26</v>
      </c>
      <c r="H803" s="1">
        <v>10574</v>
      </c>
      <c r="I803" s="1" t="s">
        <v>19</v>
      </c>
      <c r="J803" s="1">
        <v>0.2</v>
      </c>
      <c r="K803" s="1">
        <v>9000</v>
      </c>
      <c r="L803" s="2">
        <v>45318</v>
      </c>
    </row>
    <row r="804" spans="1:12" x14ac:dyDescent="0.35">
      <c r="A804" s="1" t="s">
        <v>1040</v>
      </c>
      <c r="B804" s="1" t="s">
        <v>56</v>
      </c>
      <c r="C804" s="1" t="s">
        <v>44</v>
      </c>
      <c r="D804" s="1" t="s">
        <v>45</v>
      </c>
      <c r="E804" s="1" t="s">
        <v>46</v>
      </c>
      <c r="F804" s="1" t="s">
        <v>17</v>
      </c>
      <c r="G804" s="1" t="s">
        <v>26</v>
      </c>
      <c r="H804" s="1">
        <v>12348</v>
      </c>
      <c r="I804" s="1"/>
      <c r="J804" s="1"/>
      <c r="K804" s="1">
        <v>13000</v>
      </c>
      <c r="L804" s="2">
        <v>45326</v>
      </c>
    </row>
    <row r="805" spans="1:12" x14ac:dyDescent="0.35">
      <c r="A805" s="1" t="s">
        <v>1041</v>
      </c>
      <c r="B805" s="1" t="s">
        <v>35</v>
      </c>
      <c r="C805" s="1" t="s">
        <v>44</v>
      </c>
      <c r="D805" s="1" t="s">
        <v>45</v>
      </c>
      <c r="E805" s="1" t="s">
        <v>16</v>
      </c>
      <c r="F805" s="1" t="s">
        <v>39</v>
      </c>
      <c r="G805" s="1" t="s">
        <v>26</v>
      </c>
      <c r="H805" s="1">
        <v>14277</v>
      </c>
      <c r="I805" s="1" t="s">
        <v>19</v>
      </c>
      <c r="J805" s="1">
        <v>0.2</v>
      </c>
      <c r="K805" s="1">
        <v>13000</v>
      </c>
      <c r="L805" s="2">
        <v>45347</v>
      </c>
    </row>
    <row r="806" spans="1:12" x14ac:dyDescent="0.35">
      <c r="A806" s="1" t="s">
        <v>1042</v>
      </c>
      <c r="B806" s="1" t="s">
        <v>256</v>
      </c>
      <c r="C806" s="1" t="s">
        <v>44</v>
      </c>
      <c r="D806" s="1" t="s">
        <v>45</v>
      </c>
      <c r="E806" s="1" t="s">
        <v>46</v>
      </c>
      <c r="F806" s="1" t="s">
        <v>25</v>
      </c>
      <c r="G806" s="1" t="s">
        <v>26</v>
      </c>
      <c r="H806" s="1">
        <v>14821</v>
      </c>
      <c r="I806" s="1" t="s">
        <v>27</v>
      </c>
      <c r="J806" s="1"/>
      <c r="K806" s="1">
        <v>13000</v>
      </c>
      <c r="L806" s="2">
        <v>45350</v>
      </c>
    </row>
    <row r="807" spans="1:12" x14ac:dyDescent="0.35">
      <c r="A807" s="1" t="s">
        <v>1043</v>
      </c>
      <c r="B807" s="1" t="s">
        <v>74</v>
      </c>
      <c r="C807" s="1" t="s">
        <v>14</v>
      </c>
      <c r="D807" s="1" t="s">
        <v>15</v>
      </c>
      <c r="E807" s="1" t="s">
        <v>16</v>
      </c>
      <c r="F807" s="1" t="s">
        <v>39</v>
      </c>
      <c r="G807" s="1" t="s">
        <v>26</v>
      </c>
      <c r="H807" s="1">
        <v>12484</v>
      </c>
      <c r="I807" s="1" t="s">
        <v>19</v>
      </c>
      <c r="J807" s="1">
        <v>0.2</v>
      </c>
      <c r="K807" s="1">
        <v>14000</v>
      </c>
      <c r="L807" s="2">
        <v>45312</v>
      </c>
    </row>
    <row r="808" spans="1:12" x14ac:dyDescent="0.35">
      <c r="A808" s="1" t="s">
        <v>1044</v>
      </c>
      <c r="B808" s="1" t="s">
        <v>412</v>
      </c>
      <c r="C808" s="1" t="s">
        <v>14</v>
      </c>
      <c r="D808" s="1" t="s">
        <v>15</v>
      </c>
      <c r="E808" s="1" t="s">
        <v>46</v>
      </c>
      <c r="F808" s="1" t="s">
        <v>17</v>
      </c>
      <c r="G808" s="1" t="s">
        <v>36</v>
      </c>
      <c r="H808" s="1">
        <v>13242</v>
      </c>
      <c r="I808" s="1"/>
      <c r="J808" s="1"/>
      <c r="K808" s="1">
        <v>14000</v>
      </c>
      <c r="L808" s="2">
        <v>45339</v>
      </c>
    </row>
    <row r="809" spans="1:12" x14ac:dyDescent="0.35">
      <c r="A809" s="1" t="s">
        <v>1045</v>
      </c>
      <c r="B809" s="1" t="s">
        <v>454</v>
      </c>
      <c r="C809" s="1" t="s">
        <v>30</v>
      </c>
      <c r="D809" s="1" t="s">
        <v>31</v>
      </c>
      <c r="E809" s="1" t="s">
        <v>32</v>
      </c>
      <c r="F809" s="1" t="s">
        <v>25</v>
      </c>
      <c r="G809" s="1" t="s">
        <v>18</v>
      </c>
      <c r="H809" s="1">
        <v>15538</v>
      </c>
      <c r="I809" s="1" t="s">
        <v>19</v>
      </c>
      <c r="J809" s="1">
        <v>0.2</v>
      </c>
      <c r="K809" s="1">
        <v>17000</v>
      </c>
      <c r="L809" s="2">
        <v>45293</v>
      </c>
    </row>
    <row r="810" spans="1:12" x14ac:dyDescent="0.35">
      <c r="A810" s="1" t="s">
        <v>1046</v>
      </c>
      <c r="B810" s="1" t="s">
        <v>522</v>
      </c>
      <c r="C810" s="1" t="s">
        <v>30</v>
      </c>
      <c r="D810" s="1" t="s">
        <v>31</v>
      </c>
      <c r="E810" s="1" t="s">
        <v>16</v>
      </c>
      <c r="F810" s="1" t="s">
        <v>39</v>
      </c>
      <c r="G810" s="1" t="s">
        <v>26</v>
      </c>
      <c r="H810" s="1">
        <v>15945</v>
      </c>
      <c r="I810" s="1" t="s">
        <v>27</v>
      </c>
      <c r="J810" s="1"/>
      <c r="K810" s="1">
        <v>17000</v>
      </c>
      <c r="L810" s="2">
        <v>45306</v>
      </c>
    </row>
    <row r="811" spans="1:12" x14ac:dyDescent="0.35">
      <c r="A811" s="1" t="s">
        <v>1047</v>
      </c>
      <c r="B811" s="1" t="s">
        <v>817</v>
      </c>
      <c r="C811" s="1" t="s">
        <v>14</v>
      </c>
      <c r="D811" s="1" t="s">
        <v>15</v>
      </c>
      <c r="E811" s="1" t="s">
        <v>46</v>
      </c>
      <c r="F811" s="1" t="s">
        <v>25</v>
      </c>
      <c r="G811" s="1" t="s">
        <v>26</v>
      </c>
      <c r="H811" s="1">
        <v>15194</v>
      </c>
      <c r="I811" s="1"/>
      <c r="J811" s="1"/>
      <c r="K811" s="1">
        <v>14000</v>
      </c>
      <c r="L811" s="2">
        <v>45300</v>
      </c>
    </row>
    <row r="812" spans="1:12" x14ac:dyDescent="0.35">
      <c r="A812" s="1" t="s">
        <v>1048</v>
      </c>
      <c r="B812" s="1" t="s">
        <v>105</v>
      </c>
      <c r="C812" s="1" t="s">
        <v>61</v>
      </c>
      <c r="D812" s="1" t="s">
        <v>62</v>
      </c>
      <c r="E812" s="1" t="s">
        <v>16</v>
      </c>
      <c r="F812" s="1" t="s">
        <v>39</v>
      </c>
      <c r="G812" s="1" t="s">
        <v>36</v>
      </c>
      <c r="H812" s="1">
        <v>7753</v>
      </c>
      <c r="I812" s="1"/>
      <c r="J812" s="1"/>
      <c r="K812" s="1">
        <v>9000</v>
      </c>
      <c r="L812" s="2">
        <v>45323</v>
      </c>
    </row>
    <row r="813" spans="1:12" x14ac:dyDescent="0.35">
      <c r="A813" s="1" t="s">
        <v>1049</v>
      </c>
      <c r="B813" s="1" t="s">
        <v>508</v>
      </c>
      <c r="C813" s="1" t="s">
        <v>44</v>
      </c>
      <c r="D813" s="1" t="s">
        <v>45</v>
      </c>
      <c r="E813" s="1" t="s">
        <v>32</v>
      </c>
      <c r="F813" s="1" t="s">
        <v>25</v>
      </c>
      <c r="G813" s="1" t="s">
        <v>18</v>
      </c>
      <c r="H813" s="1">
        <v>12673</v>
      </c>
      <c r="I813" s="1" t="s">
        <v>22</v>
      </c>
      <c r="J813" s="1">
        <v>0.1</v>
      </c>
      <c r="K813" s="1">
        <v>13000</v>
      </c>
      <c r="L813" s="2">
        <v>45351</v>
      </c>
    </row>
    <row r="814" spans="1:12" x14ac:dyDescent="0.35">
      <c r="A814" s="1" t="s">
        <v>1050</v>
      </c>
      <c r="B814" s="1" t="s">
        <v>70</v>
      </c>
      <c r="C814" s="1" t="s">
        <v>44</v>
      </c>
      <c r="D814" s="1" t="s">
        <v>45</v>
      </c>
      <c r="E814" s="1" t="s">
        <v>16</v>
      </c>
      <c r="F814" s="1" t="s">
        <v>39</v>
      </c>
      <c r="G814" s="1" t="s">
        <v>18</v>
      </c>
      <c r="H814" s="1">
        <v>14103</v>
      </c>
      <c r="I814" s="1" t="s">
        <v>19</v>
      </c>
      <c r="J814" s="1">
        <v>0.2</v>
      </c>
      <c r="K814" s="1">
        <v>13000</v>
      </c>
      <c r="L814" s="2">
        <v>45296</v>
      </c>
    </row>
    <row r="815" spans="1:12" x14ac:dyDescent="0.35">
      <c r="A815" s="1" t="s">
        <v>1051</v>
      </c>
      <c r="B815" s="1" t="s">
        <v>429</v>
      </c>
      <c r="C815" s="1" t="s">
        <v>61</v>
      </c>
      <c r="D815" s="1" t="s">
        <v>62</v>
      </c>
      <c r="E815" s="1" t="s">
        <v>16</v>
      </c>
      <c r="F815" s="1" t="s">
        <v>17</v>
      </c>
      <c r="G815" s="1" t="s">
        <v>36</v>
      </c>
      <c r="H815" s="1">
        <v>10635</v>
      </c>
      <c r="I815" s="1" t="s">
        <v>19</v>
      </c>
      <c r="J815" s="1">
        <v>0.2</v>
      </c>
      <c r="K815" s="1">
        <v>9000</v>
      </c>
      <c r="L815" s="2">
        <v>45319</v>
      </c>
    </row>
    <row r="816" spans="1:12" x14ac:dyDescent="0.35">
      <c r="A816" s="1" t="s">
        <v>1052</v>
      </c>
      <c r="B816" s="1" t="s">
        <v>155</v>
      </c>
      <c r="C816" s="1" t="s">
        <v>14</v>
      </c>
      <c r="D816" s="1" t="s">
        <v>15</v>
      </c>
      <c r="E816" s="1" t="s">
        <v>16</v>
      </c>
      <c r="F816" s="1" t="s">
        <v>39</v>
      </c>
      <c r="G816" s="1" t="s">
        <v>36</v>
      </c>
      <c r="H816" s="1">
        <v>14949</v>
      </c>
      <c r="I816" s="1" t="s">
        <v>33</v>
      </c>
      <c r="J816" s="1">
        <v>0.3</v>
      </c>
      <c r="K816" s="1">
        <v>14000</v>
      </c>
      <c r="L816" s="2">
        <v>45317</v>
      </c>
    </row>
    <row r="817" spans="1:12" x14ac:dyDescent="0.35">
      <c r="A817" s="1" t="s">
        <v>1053</v>
      </c>
      <c r="B817" s="1" t="s">
        <v>233</v>
      </c>
      <c r="C817" s="1" t="s">
        <v>14</v>
      </c>
      <c r="D817" s="1" t="s">
        <v>15</v>
      </c>
      <c r="E817" s="1" t="s">
        <v>16</v>
      </c>
      <c r="F817" s="1" t="s">
        <v>25</v>
      </c>
      <c r="G817" s="1" t="s">
        <v>36</v>
      </c>
      <c r="H817" s="1">
        <v>13871</v>
      </c>
      <c r="I817" s="1" t="s">
        <v>22</v>
      </c>
      <c r="J817" s="1">
        <v>0.1</v>
      </c>
      <c r="K817" s="1">
        <v>14000</v>
      </c>
      <c r="L817" s="2">
        <v>45348</v>
      </c>
    </row>
    <row r="818" spans="1:12" x14ac:dyDescent="0.35">
      <c r="A818" s="1" t="s">
        <v>1054</v>
      </c>
      <c r="B818" s="1" t="s">
        <v>24</v>
      </c>
      <c r="C818" s="1" t="s">
        <v>61</v>
      </c>
      <c r="D818" s="1" t="s">
        <v>62</v>
      </c>
      <c r="E818" s="1" t="s">
        <v>16</v>
      </c>
      <c r="F818" s="1" t="s">
        <v>25</v>
      </c>
      <c r="G818" s="1" t="s">
        <v>26</v>
      </c>
      <c r="H818" s="1">
        <v>8586</v>
      </c>
      <c r="I818" s="1" t="s">
        <v>27</v>
      </c>
      <c r="J818" s="1"/>
      <c r="K818" s="1">
        <v>9000</v>
      </c>
      <c r="L818" s="2">
        <v>45340</v>
      </c>
    </row>
    <row r="819" spans="1:12" x14ac:dyDescent="0.35">
      <c r="A819" s="1" t="s">
        <v>1055</v>
      </c>
      <c r="B819" s="1" t="s">
        <v>1032</v>
      </c>
      <c r="C819" s="1" t="s">
        <v>44</v>
      </c>
      <c r="D819" s="1" t="s">
        <v>45</v>
      </c>
      <c r="E819" s="1" t="s">
        <v>46</v>
      </c>
      <c r="F819" s="1" t="s">
        <v>17</v>
      </c>
      <c r="G819" s="1" t="s">
        <v>36</v>
      </c>
      <c r="H819" s="1">
        <v>14622</v>
      </c>
      <c r="I819" s="1" t="s">
        <v>33</v>
      </c>
      <c r="J819" s="1">
        <v>0.3</v>
      </c>
      <c r="K819" s="1">
        <v>13000</v>
      </c>
      <c r="L819" s="2">
        <v>45341</v>
      </c>
    </row>
    <row r="820" spans="1:12" x14ac:dyDescent="0.35">
      <c r="A820" s="1" t="s">
        <v>1056</v>
      </c>
      <c r="B820" s="1" t="s">
        <v>643</v>
      </c>
      <c r="C820" s="1" t="s">
        <v>61</v>
      </c>
      <c r="D820" s="1" t="s">
        <v>62</v>
      </c>
      <c r="E820" s="1" t="s">
        <v>32</v>
      </c>
      <c r="F820" s="1" t="s">
        <v>17</v>
      </c>
      <c r="G820" s="1" t="s">
        <v>36</v>
      </c>
      <c r="H820" s="1">
        <v>9511</v>
      </c>
      <c r="I820" s="1" t="s">
        <v>22</v>
      </c>
      <c r="J820" s="1">
        <v>0.1</v>
      </c>
      <c r="K820" s="1">
        <v>9000</v>
      </c>
      <c r="L820" s="2">
        <v>45336</v>
      </c>
    </row>
    <row r="821" spans="1:12" x14ac:dyDescent="0.35">
      <c r="A821" s="1" t="s">
        <v>1057</v>
      </c>
      <c r="B821" s="1" t="s">
        <v>80</v>
      </c>
      <c r="C821" s="1" t="s">
        <v>61</v>
      </c>
      <c r="D821" s="1" t="s">
        <v>62</v>
      </c>
      <c r="E821" s="1" t="s">
        <v>16</v>
      </c>
      <c r="F821" s="1" t="s">
        <v>17</v>
      </c>
      <c r="G821" s="1" t="s">
        <v>18</v>
      </c>
      <c r="H821" s="1">
        <v>9959</v>
      </c>
      <c r="I821" s="1" t="s">
        <v>27</v>
      </c>
      <c r="J821" s="1"/>
      <c r="K821" s="1">
        <v>9000</v>
      </c>
      <c r="L821" s="2">
        <v>45299</v>
      </c>
    </row>
    <row r="822" spans="1:12" x14ac:dyDescent="0.35">
      <c r="A822" s="1" t="s">
        <v>1058</v>
      </c>
      <c r="B822" s="1" t="s">
        <v>135</v>
      </c>
      <c r="C822" s="1" t="s">
        <v>44</v>
      </c>
      <c r="D822" s="1" t="s">
        <v>45</v>
      </c>
      <c r="E822" s="1" t="s">
        <v>46</v>
      </c>
      <c r="F822" s="1" t="s">
        <v>17</v>
      </c>
      <c r="G822" s="1" t="s">
        <v>36</v>
      </c>
      <c r="H822" s="1">
        <v>12846</v>
      </c>
      <c r="I822" s="1" t="s">
        <v>22</v>
      </c>
      <c r="J822" s="1">
        <v>0.1</v>
      </c>
      <c r="K822" s="1">
        <v>13000</v>
      </c>
      <c r="L822" s="2">
        <v>45303</v>
      </c>
    </row>
    <row r="823" spans="1:12" x14ac:dyDescent="0.35">
      <c r="A823" s="1" t="s">
        <v>1059</v>
      </c>
      <c r="B823" s="1" t="s">
        <v>600</v>
      </c>
      <c r="C823" s="1" t="s">
        <v>44</v>
      </c>
      <c r="D823" s="1" t="s">
        <v>45</v>
      </c>
      <c r="E823" s="1" t="s">
        <v>46</v>
      </c>
      <c r="F823" s="1" t="s">
        <v>25</v>
      </c>
      <c r="G823" s="1" t="s">
        <v>36</v>
      </c>
      <c r="H823" s="1">
        <v>12327</v>
      </c>
      <c r="I823" s="1" t="s">
        <v>19</v>
      </c>
      <c r="J823" s="1">
        <v>0.2</v>
      </c>
      <c r="K823" s="1">
        <v>13000</v>
      </c>
      <c r="L823" s="2">
        <v>45337</v>
      </c>
    </row>
    <row r="824" spans="1:12" x14ac:dyDescent="0.35">
      <c r="A824" s="1" t="s">
        <v>1060</v>
      </c>
      <c r="B824" s="1" t="s">
        <v>1000</v>
      </c>
      <c r="C824" s="1" t="s">
        <v>14</v>
      </c>
      <c r="D824" s="1" t="s">
        <v>15</v>
      </c>
      <c r="E824" s="1" t="s">
        <v>32</v>
      </c>
      <c r="F824" s="1" t="s">
        <v>39</v>
      </c>
      <c r="G824" s="1" t="s">
        <v>36</v>
      </c>
      <c r="H824" s="1">
        <v>14597</v>
      </c>
      <c r="I824" s="1" t="s">
        <v>33</v>
      </c>
      <c r="J824" s="1">
        <v>0.3</v>
      </c>
      <c r="K824" s="1">
        <v>14000</v>
      </c>
      <c r="L824" s="2">
        <v>45297</v>
      </c>
    </row>
    <row r="825" spans="1:12" x14ac:dyDescent="0.35">
      <c r="A825" s="1" t="s">
        <v>1061</v>
      </c>
      <c r="B825" s="1" t="s">
        <v>548</v>
      </c>
      <c r="C825" s="1" t="s">
        <v>61</v>
      </c>
      <c r="D825" s="1" t="s">
        <v>62</v>
      </c>
      <c r="E825" s="1" t="s">
        <v>16</v>
      </c>
      <c r="F825" s="1" t="s">
        <v>39</v>
      </c>
      <c r="G825" s="1" t="s">
        <v>26</v>
      </c>
      <c r="H825" s="1">
        <v>10890</v>
      </c>
      <c r="I825" s="1" t="s">
        <v>19</v>
      </c>
      <c r="J825" s="1">
        <v>0.2</v>
      </c>
      <c r="K825" s="1">
        <v>9000</v>
      </c>
      <c r="L825" s="2">
        <v>45316</v>
      </c>
    </row>
    <row r="826" spans="1:12" x14ac:dyDescent="0.35">
      <c r="A826" s="1" t="s">
        <v>1062</v>
      </c>
      <c r="B826" s="1" t="s">
        <v>388</v>
      </c>
      <c r="C826" s="1" t="s">
        <v>14</v>
      </c>
      <c r="D826" s="1" t="s">
        <v>15</v>
      </c>
      <c r="E826" s="1" t="s">
        <v>32</v>
      </c>
      <c r="F826" s="1" t="s">
        <v>17</v>
      </c>
      <c r="G826" s="1" t="s">
        <v>26</v>
      </c>
      <c r="H826" s="1">
        <v>15568</v>
      </c>
      <c r="I826" s="1" t="s">
        <v>19</v>
      </c>
      <c r="J826" s="1">
        <v>0.2</v>
      </c>
      <c r="K826" s="1">
        <v>14000</v>
      </c>
      <c r="L826" s="2">
        <v>45302</v>
      </c>
    </row>
    <row r="827" spans="1:12" x14ac:dyDescent="0.35">
      <c r="A827" s="1" t="s">
        <v>1063</v>
      </c>
      <c r="B827" s="1" t="s">
        <v>412</v>
      </c>
      <c r="C827" s="1" t="s">
        <v>44</v>
      </c>
      <c r="D827" s="1" t="s">
        <v>45</v>
      </c>
      <c r="E827" s="1" t="s">
        <v>16</v>
      </c>
      <c r="F827" s="1" t="s">
        <v>25</v>
      </c>
      <c r="G827" s="1" t="s">
        <v>36</v>
      </c>
      <c r="H827" s="1">
        <v>12261</v>
      </c>
      <c r="I827" s="1" t="s">
        <v>33</v>
      </c>
      <c r="J827" s="1">
        <v>0.3</v>
      </c>
      <c r="K827" s="1">
        <v>13000</v>
      </c>
      <c r="L827" s="2">
        <v>45338</v>
      </c>
    </row>
    <row r="828" spans="1:12" x14ac:dyDescent="0.35">
      <c r="A828" s="1" t="s">
        <v>1064</v>
      </c>
      <c r="B828" s="1" t="s">
        <v>298</v>
      </c>
      <c r="C828" s="1" t="s">
        <v>30</v>
      </c>
      <c r="D828" s="1" t="s">
        <v>31</v>
      </c>
      <c r="E828" s="1" t="s">
        <v>16</v>
      </c>
      <c r="F828" s="1" t="s">
        <v>25</v>
      </c>
      <c r="G828" s="1" t="s">
        <v>18</v>
      </c>
      <c r="H828" s="1">
        <v>18680</v>
      </c>
      <c r="I828" s="1" t="s">
        <v>19</v>
      </c>
      <c r="J828" s="1">
        <v>0.2</v>
      </c>
      <c r="K828" s="1">
        <v>17000</v>
      </c>
      <c r="L828" s="2">
        <v>45304</v>
      </c>
    </row>
    <row r="829" spans="1:12" x14ac:dyDescent="0.35">
      <c r="A829" s="1" t="s">
        <v>1065</v>
      </c>
      <c r="B829" s="1" t="s">
        <v>109</v>
      </c>
      <c r="C829" s="1" t="s">
        <v>30</v>
      </c>
      <c r="D829" s="1" t="s">
        <v>31</v>
      </c>
      <c r="E829" s="1" t="s">
        <v>32</v>
      </c>
      <c r="F829" s="1" t="s">
        <v>17</v>
      </c>
      <c r="G829" s="1" t="s">
        <v>36</v>
      </c>
      <c r="H829" s="1">
        <v>18503</v>
      </c>
      <c r="I829" s="1"/>
      <c r="J829" s="1"/>
      <c r="K829" s="1">
        <v>17000</v>
      </c>
      <c r="L829" s="2">
        <v>45326</v>
      </c>
    </row>
    <row r="830" spans="1:12" x14ac:dyDescent="0.35">
      <c r="A830" s="1" t="s">
        <v>1066</v>
      </c>
      <c r="B830" s="1" t="s">
        <v>64</v>
      </c>
      <c r="C830" s="1" t="s">
        <v>61</v>
      </c>
      <c r="D830" s="1" t="s">
        <v>62</v>
      </c>
      <c r="E830" s="1" t="s">
        <v>32</v>
      </c>
      <c r="F830" s="1" t="s">
        <v>25</v>
      </c>
      <c r="G830" s="1" t="s">
        <v>26</v>
      </c>
      <c r="H830" s="1">
        <v>9701</v>
      </c>
      <c r="I830" s="1"/>
      <c r="J830" s="1"/>
      <c r="K830" s="1">
        <v>9000</v>
      </c>
      <c r="L830" s="2">
        <v>45321</v>
      </c>
    </row>
    <row r="831" spans="1:12" x14ac:dyDescent="0.35">
      <c r="A831" s="1" t="s">
        <v>1067</v>
      </c>
      <c r="B831" s="1" t="s">
        <v>527</v>
      </c>
      <c r="C831" s="1" t="s">
        <v>14</v>
      </c>
      <c r="D831" s="1" t="s">
        <v>15</v>
      </c>
      <c r="E831" s="1" t="s">
        <v>16</v>
      </c>
      <c r="F831" s="1" t="s">
        <v>39</v>
      </c>
      <c r="G831" s="1" t="s">
        <v>18</v>
      </c>
      <c r="H831" s="1">
        <v>13002</v>
      </c>
      <c r="I831" s="1" t="s">
        <v>27</v>
      </c>
      <c r="J831" s="1"/>
      <c r="K831" s="1">
        <v>14000</v>
      </c>
      <c r="L831" s="2">
        <v>45309</v>
      </c>
    </row>
    <row r="832" spans="1:12" x14ac:dyDescent="0.35">
      <c r="A832" s="1" t="s">
        <v>1068</v>
      </c>
      <c r="B832" s="1" t="s">
        <v>209</v>
      </c>
      <c r="C832" s="1" t="s">
        <v>44</v>
      </c>
      <c r="D832" s="1" t="s">
        <v>45</v>
      </c>
      <c r="E832" s="1" t="s">
        <v>32</v>
      </c>
      <c r="F832" s="1" t="s">
        <v>25</v>
      </c>
      <c r="G832" s="1" t="s">
        <v>18</v>
      </c>
      <c r="H832" s="1">
        <v>11225</v>
      </c>
      <c r="I832" s="1" t="s">
        <v>33</v>
      </c>
      <c r="J832" s="1">
        <v>0.3</v>
      </c>
      <c r="K832" s="1">
        <v>13000</v>
      </c>
      <c r="L832" s="2">
        <v>45294</v>
      </c>
    </row>
    <row r="833" spans="1:12" x14ac:dyDescent="0.35">
      <c r="A833" s="1" t="s">
        <v>1069</v>
      </c>
      <c r="B833" s="1" t="s">
        <v>619</v>
      </c>
      <c r="C833" s="1" t="s">
        <v>14</v>
      </c>
      <c r="D833" s="1" t="s">
        <v>15</v>
      </c>
      <c r="E833" s="1" t="s">
        <v>16</v>
      </c>
      <c r="F833" s="1" t="s">
        <v>39</v>
      </c>
      <c r="G833" s="1" t="s">
        <v>26</v>
      </c>
      <c r="H833" s="1">
        <v>13222</v>
      </c>
      <c r="I833" s="1" t="s">
        <v>33</v>
      </c>
      <c r="J833" s="1">
        <v>0.3</v>
      </c>
      <c r="K833" s="1">
        <v>14000</v>
      </c>
      <c r="L833" s="2">
        <v>45350</v>
      </c>
    </row>
    <row r="834" spans="1:12" x14ac:dyDescent="0.35">
      <c r="A834" s="1" t="s">
        <v>1070</v>
      </c>
      <c r="B834" s="1" t="s">
        <v>43</v>
      </c>
      <c r="C834" s="1" t="s">
        <v>14</v>
      </c>
      <c r="D834" s="1" t="s">
        <v>15</v>
      </c>
      <c r="E834" s="1" t="s">
        <v>46</v>
      </c>
      <c r="F834" s="1" t="s">
        <v>25</v>
      </c>
      <c r="G834" s="1" t="s">
        <v>18</v>
      </c>
      <c r="H834" s="1">
        <v>14752</v>
      </c>
      <c r="I834" s="1" t="s">
        <v>33</v>
      </c>
      <c r="J834" s="1">
        <v>0.3</v>
      </c>
      <c r="K834" s="1">
        <v>14000</v>
      </c>
      <c r="L834" s="2">
        <v>45331</v>
      </c>
    </row>
    <row r="835" spans="1:12" x14ac:dyDescent="0.35">
      <c r="A835" s="1" t="s">
        <v>1071</v>
      </c>
      <c r="B835" s="1" t="s">
        <v>305</v>
      </c>
      <c r="C835" s="1" t="s">
        <v>44</v>
      </c>
      <c r="D835" s="1" t="s">
        <v>45</v>
      </c>
      <c r="E835" s="1" t="s">
        <v>46</v>
      </c>
      <c r="F835" s="1" t="s">
        <v>39</v>
      </c>
      <c r="G835" s="1" t="s">
        <v>26</v>
      </c>
      <c r="H835" s="1">
        <v>12475</v>
      </c>
      <c r="I835" s="1" t="s">
        <v>22</v>
      </c>
      <c r="J835" s="1">
        <v>0.1</v>
      </c>
      <c r="K835" s="1">
        <v>13000</v>
      </c>
      <c r="L835" s="2">
        <v>45297</v>
      </c>
    </row>
    <row r="836" spans="1:12" x14ac:dyDescent="0.35">
      <c r="A836" s="1" t="s">
        <v>1072</v>
      </c>
      <c r="B836" s="1" t="s">
        <v>1073</v>
      </c>
      <c r="C836" s="1" t="s">
        <v>30</v>
      </c>
      <c r="D836" s="1" t="s">
        <v>31</v>
      </c>
      <c r="E836" s="1" t="s">
        <v>46</v>
      </c>
      <c r="F836" s="1" t="s">
        <v>17</v>
      </c>
      <c r="G836" s="1" t="s">
        <v>18</v>
      </c>
      <c r="H836" s="1">
        <v>18106</v>
      </c>
      <c r="I836" s="1"/>
      <c r="J836" s="1"/>
      <c r="K836" s="1">
        <v>17000</v>
      </c>
      <c r="L836" s="2">
        <v>45345</v>
      </c>
    </row>
    <row r="837" spans="1:12" x14ac:dyDescent="0.35">
      <c r="A837" s="1" t="s">
        <v>1074</v>
      </c>
      <c r="B837" s="1" t="s">
        <v>905</v>
      </c>
      <c r="C837" s="1" t="s">
        <v>30</v>
      </c>
      <c r="D837" s="1" t="s">
        <v>31</v>
      </c>
      <c r="E837" s="1" t="s">
        <v>46</v>
      </c>
      <c r="F837" s="1" t="s">
        <v>25</v>
      </c>
      <c r="G837" s="1" t="s">
        <v>18</v>
      </c>
      <c r="H837" s="1">
        <v>17845</v>
      </c>
      <c r="I837" s="1" t="s">
        <v>33</v>
      </c>
      <c r="J837" s="1">
        <v>0.3</v>
      </c>
      <c r="K837" s="1">
        <v>17000</v>
      </c>
      <c r="L837" s="2">
        <v>45313</v>
      </c>
    </row>
    <row r="838" spans="1:12" x14ac:dyDescent="0.35">
      <c r="A838" s="1" t="s">
        <v>1075</v>
      </c>
      <c r="B838" s="1" t="s">
        <v>388</v>
      </c>
      <c r="C838" s="1" t="s">
        <v>44</v>
      </c>
      <c r="D838" s="1" t="s">
        <v>45</v>
      </c>
      <c r="E838" s="1" t="s">
        <v>16</v>
      </c>
      <c r="F838" s="1" t="s">
        <v>25</v>
      </c>
      <c r="G838" s="1" t="s">
        <v>26</v>
      </c>
      <c r="H838" s="1">
        <v>11238</v>
      </c>
      <c r="I838" s="1" t="s">
        <v>22</v>
      </c>
      <c r="J838" s="1">
        <v>0.1</v>
      </c>
      <c r="K838" s="1">
        <v>13000</v>
      </c>
      <c r="L838" s="2">
        <v>45328</v>
      </c>
    </row>
    <row r="839" spans="1:12" x14ac:dyDescent="0.35">
      <c r="A839" s="1" t="s">
        <v>1076</v>
      </c>
      <c r="B839" s="1" t="s">
        <v>765</v>
      </c>
      <c r="C839" s="1" t="s">
        <v>14</v>
      </c>
      <c r="D839" s="1" t="s">
        <v>15</v>
      </c>
      <c r="E839" s="1" t="s">
        <v>46</v>
      </c>
      <c r="F839" s="1" t="s">
        <v>39</v>
      </c>
      <c r="G839" s="1" t="s">
        <v>26</v>
      </c>
      <c r="H839" s="1">
        <v>14477</v>
      </c>
      <c r="I839" s="1" t="s">
        <v>33</v>
      </c>
      <c r="J839" s="1">
        <v>0.3</v>
      </c>
      <c r="K839" s="1">
        <v>14000</v>
      </c>
      <c r="L839" s="2">
        <v>45319</v>
      </c>
    </row>
    <row r="840" spans="1:12" x14ac:dyDescent="0.35">
      <c r="A840" s="1" t="s">
        <v>1077</v>
      </c>
      <c r="B840" s="1" t="s">
        <v>837</v>
      </c>
      <c r="C840" s="1" t="s">
        <v>30</v>
      </c>
      <c r="D840" s="1" t="s">
        <v>31</v>
      </c>
      <c r="E840" s="1" t="s">
        <v>46</v>
      </c>
      <c r="F840" s="1" t="s">
        <v>39</v>
      </c>
      <c r="G840" s="1" t="s">
        <v>26</v>
      </c>
      <c r="H840" s="1">
        <v>17552</v>
      </c>
      <c r="I840" s="1" t="s">
        <v>33</v>
      </c>
      <c r="J840" s="1">
        <v>0.3</v>
      </c>
      <c r="K840" s="1">
        <v>17000</v>
      </c>
      <c r="L840" s="2">
        <v>45351</v>
      </c>
    </row>
    <row r="841" spans="1:12" x14ac:dyDescent="0.35">
      <c r="A841" s="1" t="s">
        <v>1078</v>
      </c>
      <c r="B841" s="1" t="s">
        <v>720</v>
      </c>
      <c r="C841" s="1" t="s">
        <v>61</v>
      </c>
      <c r="D841" s="1" t="s">
        <v>62</v>
      </c>
      <c r="E841" s="1" t="s">
        <v>16</v>
      </c>
      <c r="F841" s="1" t="s">
        <v>39</v>
      </c>
      <c r="G841" s="1" t="s">
        <v>26</v>
      </c>
      <c r="H841" s="1">
        <v>9038</v>
      </c>
      <c r="I841" s="1"/>
      <c r="J841" s="1"/>
      <c r="K841" s="1">
        <v>9000</v>
      </c>
      <c r="L841" s="2">
        <v>45343</v>
      </c>
    </row>
    <row r="842" spans="1:12" x14ac:dyDescent="0.35">
      <c r="A842" s="1" t="s">
        <v>1079</v>
      </c>
      <c r="B842" s="1" t="s">
        <v>720</v>
      </c>
      <c r="C842" s="1" t="s">
        <v>44</v>
      </c>
      <c r="D842" s="1" t="s">
        <v>45</v>
      </c>
      <c r="E842" s="1" t="s">
        <v>16</v>
      </c>
      <c r="F842" s="1" t="s">
        <v>17</v>
      </c>
      <c r="G842" s="1" t="s">
        <v>18</v>
      </c>
      <c r="H842" s="1">
        <v>11006</v>
      </c>
      <c r="I842" s="1" t="s">
        <v>22</v>
      </c>
      <c r="J842" s="1">
        <v>0.1</v>
      </c>
      <c r="K842" s="1">
        <v>13000</v>
      </c>
      <c r="L842" s="2">
        <v>45293</v>
      </c>
    </row>
    <row r="843" spans="1:12" x14ac:dyDescent="0.35">
      <c r="A843" s="1" t="s">
        <v>1080</v>
      </c>
      <c r="B843" s="1" t="s">
        <v>332</v>
      </c>
      <c r="C843" s="1" t="s">
        <v>14</v>
      </c>
      <c r="D843" s="1" t="s">
        <v>15</v>
      </c>
      <c r="E843" s="1" t="s">
        <v>16</v>
      </c>
      <c r="F843" s="1" t="s">
        <v>25</v>
      </c>
      <c r="G843" s="1" t="s">
        <v>26</v>
      </c>
      <c r="H843" s="1">
        <v>13698</v>
      </c>
      <c r="I843" s="1"/>
      <c r="J843" s="1"/>
      <c r="K843" s="1">
        <v>14000</v>
      </c>
      <c r="L843" s="2">
        <v>45294</v>
      </c>
    </row>
    <row r="844" spans="1:12" x14ac:dyDescent="0.35">
      <c r="A844" s="1" t="s">
        <v>1081</v>
      </c>
      <c r="B844" s="1" t="s">
        <v>282</v>
      </c>
      <c r="C844" s="1" t="s">
        <v>44</v>
      </c>
      <c r="D844" s="1" t="s">
        <v>45</v>
      </c>
      <c r="E844" s="1" t="s">
        <v>32</v>
      </c>
      <c r="F844" s="1" t="s">
        <v>39</v>
      </c>
      <c r="G844" s="1" t="s">
        <v>18</v>
      </c>
      <c r="H844" s="1">
        <v>13826</v>
      </c>
      <c r="I844" s="1" t="s">
        <v>33</v>
      </c>
      <c r="J844" s="1">
        <v>0.3</v>
      </c>
      <c r="K844" s="1">
        <v>13000</v>
      </c>
      <c r="L844" s="2">
        <v>45308</v>
      </c>
    </row>
    <row r="845" spans="1:12" x14ac:dyDescent="0.35">
      <c r="A845" s="1" t="s">
        <v>1082</v>
      </c>
      <c r="B845" s="1" t="s">
        <v>652</v>
      </c>
      <c r="C845" s="1" t="s">
        <v>30</v>
      </c>
      <c r="D845" s="1" t="s">
        <v>31</v>
      </c>
      <c r="E845" s="1" t="s">
        <v>46</v>
      </c>
      <c r="F845" s="1" t="s">
        <v>39</v>
      </c>
      <c r="G845" s="1" t="s">
        <v>26</v>
      </c>
      <c r="H845" s="1">
        <v>16326</v>
      </c>
      <c r="I845" s="1" t="s">
        <v>22</v>
      </c>
      <c r="J845" s="1">
        <v>0.1</v>
      </c>
      <c r="K845" s="1">
        <v>17000</v>
      </c>
      <c r="L845" s="2">
        <v>45299</v>
      </c>
    </row>
    <row r="846" spans="1:12" x14ac:dyDescent="0.35">
      <c r="A846" s="1" t="s">
        <v>1083</v>
      </c>
      <c r="B846" s="1" t="s">
        <v>317</v>
      </c>
      <c r="C846" s="1" t="s">
        <v>30</v>
      </c>
      <c r="D846" s="1" t="s">
        <v>31</v>
      </c>
      <c r="E846" s="1" t="s">
        <v>46</v>
      </c>
      <c r="F846" s="1" t="s">
        <v>39</v>
      </c>
      <c r="G846" s="1" t="s">
        <v>26</v>
      </c>
      <c r="H846" s="1">
        <v>17523</v>
      </c>
      <c r="I846" s="1" t="s">
        <v>22</v>
      </c>
      <c r="J846" s="1">
        <v>0.1</v>
      </c>
      <c r="K846" s="1">
        <v>17000</v>
      </c>
      <c r="L846" s="2">
        <v>45345</v>
      </c>
    </row>
    <row r="847" spans="1:12" x14ac:dyDescent="0.35">
      <c r="A847" s="1" t="s">
        <v>1084</v>
      </c>
      <c r="B847" s="1" t="s">
        <v>35</v>
      </c>
      <c r="C847" s="1" t="s">
        <v>30</v>
      </c>
      <c r="D847" s="1" t="s">
        <v>31</v>
      </c>
      <c r="E847" s="1" t="s">
        <v>46</v>
      </c>
      <c r="F847" s="1" t="s">
        <v>39</v>
      </c>
      <c r="G847" s="1" t="s">
        <v>36</v>
      </c>
      <c r="H847" s="1">
        <v>18752</v>
      </c>
      <c r="I847" s="1"/>
      <c r="J847" s="1"/>
      <c r="K847" s="1">
        <v>17000</v>
      </c>
      <c r="L847" s="2">
        <v>45343</v>
      </c>
    </row>
    <row r="848" spans="1:12" x14ac:dyDescent="0.35">
      <c r="A848" s="1" t="s">
        <v>1085</v>
      </c>
      <c r="B848" s="1" t="s">
        <v>68</v>
      </c>
      <c r="C848" s="1" t="s">
        <v>44</v>
      </c>
      <c r="D848" s="1" t="s">
        <v>45</v>
      </c>
      <c r="E848" s="1" t="s">
        <v>46</v>
      </c>
      <c r="F848" s="1" t="s">
        <v>25</v>
      </c>
      <c r="G848" s="1" t="s">
        <v>26</v>
      </c>
      <c r="H848" s="1">
        <v>12886</v>
      </c>
      <c r="I848" s="1" t="s">
        <v>27</v>
      </c>
      <c r="J848" s="1"/>
      <c r="K848" s="1">
        <v>13000</v>
      </c>
      <c r="L848" s="2">
        <v>45349</v>
      </c>
    </row>
    <row r="849" spans="1:12" x14ac:dyDescent="0.35">
      <c r="A849" s="1" t="s">
        <v>1086</v>
      </c>
      <c r="B849" s="1" t="s">
        <v>802</v>
      </c>
      <c r="C849" s="1" t="s">
        <v>61</v>
      </c>
      <c r="D849" s="1" t="s">
        <v>62</v>
      </c>
      <c r="E849" s="1" t="s">
        <v>16</v>
      </c>
      <c r="F849" s="1" t="s">
        <v>25</v>
      </c>
      <c r="G849" s="1" t="s">
        <v>26</v>
      </c>
      <c r="H849" s="1">
        <v>8226</v>
      </c>
      <c r="I849" s="1" t="s">
        <v>27</v>
      </c>
      <c r="J849" s="1"/>
      <c r="K849" s="1">
        <v>9000</v>
      </c>
      <c r="L849" s="2">
        <v>45338</v>
      </c>
    </row>
    <row r="850" spans="1:12" x14ac:dyDescent="0.35">
      <c r="A850" s="1" t="s">
        <v>1087</v>
      </c>
      <c r="B850" s="1" t="s">
        <v>317</v>
      </c>
      <c r="C850" s="1" t="s">
        <v>14</v>
      </c>
      <c r="D850" s="1" t="s">
        <v>15</v>
      </c>
      <c r="E850" s="1" t="s">
        <v>32</v>
      </c>
      <c r="F850" s="1" t="s">
        <v>39</v>
      </c>
      <c r="G850" s="1" t="s">
        <v>26</v>
      </c>
      <c r="H850" s="1">
        <v>13358</v>
      </c>
      <c r="I850" s="1" t="s">
        <v>33</v>
      </c>
      <c r="J850" s="1">
        <v>0.3</v>
      </c>
      <c r="K850" s="1">
        <v>14000</v>
      </c>
      <c r="L850" s="2">
        <v>45296</v>
      </c>
    </row>
    <row r="851" spans="1:12" x14ac:dyDescent="0.35">
      <c r="A851" s="1" t="s">
        <v>1088</v>
      </c>
      <c r="B851" s="1" t="s">
        <v>256</v>
      </c>
      <c r="C851" s="1" t="s">
        <v>14</v>
      </c>
      <c r="D851" s="1" t="s">
        <v>15</v>
      </c>
      <c r="E851" s="1" t="s">
        <v>46</v>
      </c>
      <c r="F851" s="1" t="s">
        <v>17</v>
      </c>
      <c r="G851" s="1" t="s">
        <v>26</v>
      </c>
      <c r="H851" s="1">
        <v>14188</v>
      </c>
      <c r="I851" s="1" t="s">
        <v>19</v>
      </c>
      <c r="J851" s="1">
        <v>0.2</v>
      </c>
      <c r="K851" s="1">
        <v>14000</v>
      </c>
      <c r="L851" s="2">
        <v>45328</v>
      </c>
    </row>
    <row r="852" spans="1:12" x14ac:dyDescent="0.35">
      <c r="A852" s="1" t="s">
        <v>1089</v>
      </c>
      <c r="B852" s="1" t="s">
        <v>337</v>
      </c>
      <c r="C852" s="1" t="s">
        <v>44</v>
      </c>
      <c r="D852" s="1" t="s">
        <v>45</v>
      </c>
      <c r="E852" s="1" t="s">
        <v>16</v>
      </c>
      <c r="F852" s="1" t="s">
        <v>25</v>
      </c>
      <c r="G852" s="1" t="s">
        <v>36</v>
      </c>
      <c r="H852" s="1">
        <v>13888</v>
      </c>
      <c r="I852" s="1" t="s">
        <v>33</v>
      </c>
      <c r="J852" s="1">
        <v>0.3</v>
      </c>
      <c r="K852" s="1">
        <v>13000</v>
      </c>
      <c r="L852" s="2">
        <v>45337</v>
      </c>
    </row>
    <row r="853" spans="1:12" x14ac:dyDescent="0.35">
      <c r="A853" s="1" t="s">
        <v>1090</v>
      </c>
      <c r="B853" s="1" t="s">
        <v>584</v>
      </c>
      <c r="C853" s="1" t="s">
        <v>61</v>
      </c>
      <c r="D853" s="1" t="s">
        <v>62</v>
      </c>
      <c r="E853" s="1" t="s">
        <v>32</v>
      </c>
      <c r="F853" s="1" t="s">
        <v>17</v>
      </c>
      <c r="G853" s="1" t="s">
        <v>18</v>
      </c>
      <c r="H853" s="1">
        <v>8522</v>
      </c>
      <c r="I853" s="1"/>
      <c r="J853" s="1"/>
      <c r="K853" s="1">
        <v>9000</v>
      </c>
      <c r="L853" s="2">
        <v>45345</v>
      </c>
    </row>
    <row r="854" spans="1:12" x14ac:dyDescent="0.35">
      <c r="A854" s="1" t="s">
        <v>1091</v>
      </c>
      <c r="B854" s="1" t="s">
        <v>289</v>
      </c>
      <c r="C854" s="1" t="s">
        <v>30</v>
      </c>
      <c r="D854" s="1" t="s">
        <v>31</v>
      </c>
      <c r="E854" s="1" t="s">
        <v>32</v>
      </c>
      <c r="F854" s="1" t="s">
        <v>25</v>
      </c>
      <c r="G854" s="1" t="s">
        <v>36</v>
      </c>
      <c r="H854" s="1">
        <v>18215</v>
      </c>
      <c r="I854" s="1" t="s">
        <v>22</v>
      </c>
      <c r="J854" s="1">
        <v>0.1</v>
      </c>
      <c r="K854" s="1">
        <v>17000</v>
      </c>
      <c r="L854" s="2">
        <v>45341</v>
      </c>
    </row>
    <row r="855" spans="1:12" x14ac:dyDescent="0.35">
      <c r="A855" s="1" t="s">
        <v>1092</v>
      </c>
      <c r="B855" s="1" t="s">
        <v>229</v>
      </c>
      <c r="C855" s="1" t="s">
        <v>61</v>
      </c>
      <c r="D855" s="1" t="s">
        <v>62</v>
      </c>
      <c r="E855" s="1" t="s">
        <v>16</v>
      </c>
      <c r="F855" s="1" t="s">
        <v>25</v>
      </c>
      <c r="G855" s="1" t="s">
        <v>36</v>
      </c>
      <c r="H855" s="1">
        <v>10706</v>
      </c>
      <c r="I855" s="1" t="s">
        <v>27</v>
      </c>
      <c r="J855" s="1"/>
      <c r="K855" s="1">
        <v>9000</v>
      </c>
      <c r="L855" s="2">
        <v>45301</v>
      </c>
    </row>
    <row r="856" spans="1:12" x14ac:dyDescent="0.35">
      <c r="A856" s="1" t="s">
        <v>1093</v>
      </c>
      <c r="B856" s="1" t="s">
        <v>391</v>
      </c>
      <c r="C856" s="1" t="s">
        <v>61</v>
      </c>
      <c r="D856" s="1" t="s">
        <v>62</v>
      </c>
      <c r="E856" s="1" t="s">
        <v>16</v>
      </c>
      <c r="F856" s="1" t="s">
        <v>39</v>
      </c>
      <c r="G856" s="1" t="s">
        <v>36</v>
      </c>
      <c r="H856" s="1">
        <v>10176</v>
      </c>
      <c r="I856" s="1" t="s">
        <v>33</v>
      </c>
      <c r="J856" s="1">
        <v>0.3</v>
      </c>
      <c r="K856" s="1">
        <v>9000</v>
      </c>
      <c r="L856" s="2">
        <v>45301</v>
      </c>
    </row>
    <row r="857" spans="1:12" x14ac:dyDescent="0.35">
      <c r="A857" s="1" t="s">
        <v>1094</v>
      </c>
      <c r="B857" s="1" t="s">
        <v>140</v>
      </c>
      <c r="C857" s="1" t="s">
        <v>14</v>
      </c>
      <c r="D857" s="1" t="s">
        <v>15</v>
      </c>
      <c r="E857" s="1" t="s">
        <v>16</v>
      </c>
      <c r="F857" s="1" t="s">
        <v>39</v>
      </c>
      <c r="G857" s="1" t="s">
        <v>18</v>
      </c>
      <c r="H857" s="1">
        <v>12840</v>
      </c>
      <c r="I857" s="1" t="s">
        <v>22</v>
      </c>
      <c r="J857" s="1">
        <v>0.1</v>
      </c>
      <c r="K857" s="1">
        <v>14000</v>
      </c>
      <c r="L857" s="2">
        <v>45321</v>
      </c>
    </row>
    <row r="858" spans="1:12" x14ac:dyDescent="0.35">
      <c r="A858" s="1" t="s">
        <v>1095</v>
      </c>
      <c r="B858" s="1" t="s">
        <v>101</v>
      </c>
      <c r="C858" s="1" t="s">
        <v>14</v>
      </c>
      <c r="D858" s="1" t="s">
        <v>15</v>
      </c>
      <c r="E858" s="1" t="s">
        <v>32</v>
      </c>
      <c r="F858" s="1" t="s">
        <v>17</v>
      </c>
      <c r="G858" s="1" t="s">
        <v>18</v>
      </c>
      <c r="H858" s="1">
        <v>14814</v>
      </c>
      <c r="I858" s="1" t="s">
        <v>27</v>
      </c>
      <c r="J858" s="1"/>
      <c r="K858" s="1">
        <v>14000</v>
      </c>
      <c r="L858" s="2">
        <v>45347</v>
      </c>
    </row>
    <row r="859" spans="1:12" x14ac:dyDescent="0.35">
      <c r="A859" s="1" t="s">
        <v>1096</v>
      </c>
      <c r="B859" s="1" t="s">
        <v>432</v>
      </c>
      <c r="C859" s="1" t="s">
        <v>61</v>
      </c>
      <c r="D859" s="1" t="s">
        <v>62</v>
      </c>
      <c r="E859" s="1" t="s">
        <v>32</v>
      </c>
      <c r="F859" s="1" t="s">
        <v>25</v>
      </c>
      <c r="G859" s="1" t="s">
        <v>26</v>
      </c>
      <c r="H859" s="1">
        <v>10138</v>
      </c>
      <c r="I859" s="1" t="s">
        <v>33</v>
      </c>
      <c r="J859" s="1">
        <v>0.3</v>
      </c>
      <c r="K859" s="1">
        <v>9000</v>
      </c>
      <c r="L859" s="2">
        <v>45293</v>
      </c>
    </row>
    <row r="860" spans="1:12" x14ac:dyDescent="0.35">
      <c r="A860" s="1" t="s">
        <v>1097</v>
      </c>
      <c r="B860" s="1" t="s">
        <v>579</v>
      </c>
      <c r="C860" s="1" t="s">
        <v>30</v>
      </c>
      <c r="D860" s="1" t="s">
        <v>31</v>
      </c>
      <c r="E860" s="1" t="s">
        <v>16</v>
      </c>
      <c r="F860" s="1" t="s">
        <v>25</v>
      </c>
      <c r="G860" s="1" t="s">
        <v>36</v>
      </c>
      <c r="H860" s="1">
        <v>15821</v>
      </c>
      <c r="I860" s="1" t="s">
        <v>19</v>
      </c>
      <c r="J860" s="1">
        <v>0.2</v>
      </c>
      <c r="K860" s="1">
        <v>17000</v>
      </c>
      <c r="L860" s="2">
        <v>45310</v>
      </c>
    </row>
    <row r="861" spans="1:12" x14ac:dyDescent="0.35">
      <c r="A861" s="1" t="s">
        <v>1098</v>
      </c>
      <c r="B861" s="1" t="s">
        <v>307</v>
      </c>
      <c r="C861" s="1" t="s">
        <v>30</v>
      </c>
      <c r="D861" s="1" t="s">
        <v>31</v>
      </c>
      <c r="E861" s="1" t="s">
        <v>46</v>
      </c>
      <c r="F861" s="1" t="s">
        <v>39</v>
      </c>
      <c r="G861" s="1" t="s">
        <v>18</v>
      </c>
      <c r="H861" s="1">
        <v>16116</v>
      </c>
      <c r="I861" s="1" t="s">
        <v>19</v>
      </c>
      <c r="J861" s="1">
        <v>0.2</v>
      </c>
      <c r="K861" s="1">
        <v>17000</v>
      </c>
      <c r="L861" s="2">
        <v>45302</v>
      </c>
    </row>
    <row r="862" spans="1:12" x14ac:dyDescent="0.35">
      <c r="A862" s="1" t="s">
        <v>1099</v>
      </c>
      <c r="B862" s="1" t="s">
        <v>222</v>
      </c>
      <c r="C862" s="1" t="s">
        <v>14</v>
      </c>
      <c r="D862" s="1" t="s">
        <v>15</v>
      </c>
      <c r="E862" s="1" t="s">
        <v>16</v>
      </c>
      <c r="F862" s="1" t="s">
        <v>39</v>
      </c>
      <c r="G862" s="1" t="s">
        <v>26</v>
      </c>
      <c r="H862" s="1">
        <v>12419</v>
      </c>
      <c r="I862" s="1" t="s">
        <v>19</v>
      </c>
      <c r="J862" s="1">
        <v>0.2</v>
      </c>
      <c r="K862" s="1">
        <v>14000</v>
      </c>
      <c r="L862" s="2">
        <v>45326</v>
      </c>
    </row>
    <row r="863" spans="1:12" x14ac:dyDescent="0.35">
      <c r="A863" s="1" t="s">
        <v>1100</v>
      </c>
      <c r="B863" s="1" t="s">
        <v>301</v>
      </c>
      <c r="C863" s="1" t="s">
        <v>30</v>
      </c>
      <c r="D863" s="1" t="s">
        <v>31</v>
      </c>
      <c r="E863" s="1" t="s">
        <v>46</v>
      </c>
      <c r="F863" s="1" t="s">
        <v>25</v>
      </c>
      <c r="G863" s="1" t="s">
        <v>26</v>
      </c>
      <c r="H863" s="1">
        <v>18293</v>
      </c>
      <c r="I863" s="1" t="s">
        <v>33</v>
      </c>
      <c r="J863" s="1">
        <v>0.3</v>
      </c>
      <c r="K863" s="1">
        <v>17000</v>
      </c>
      <c r="L863" s="2">
        <v>45328</v>
      </c>
    </row>
    <row r="864" spans="1:12" x14ac:dyDescent="0.35">
      <c r="A864" s="1" t="s">
        <v>1101</v>
      </c>
      <c r="B864" s="1" t="s">
        <v>235</v>
      </c>
      <c r="C864" s="1" t="s">
        <v>14</v>
      </c>
      <c r="D864" s="1" t="s">
        <v>15</v>
      </c>
      <c r="E864" s="1" t="s">
        <v>46</v>
      </c>
      <c r="F864" s="1" t="s">
        <v>39</v>
      </c>
      <c r="G864" s="1" t="s">
        <v>36</v>
      </c>
      <c r="H864" s="1">
        <v>14214</v>
      </c>
      <c r="I864" s="1"/>
      <c r="J864" s="1"/>
      <c r="K864" s="1">
        <v>14000</v>
      </c>
      <c r="L864" s="2">
        <v>45295</v>
      </c>
    </row>
    <row r="865" spans="1:12" x14ac:dyDescent="0.35">
      <c r="A865" s="1" t="s">
        <v>1102</v>
      </c>
      <c r="B865" s="1" t="s">
        <v>557</v>
      </c>
      <c r="C865" s="1" t="s">
        <v>61</v>
      </c>
      <c r="D865" s="1" t="s">
        <v>62</v>
      </c>
      <c r="E865" s="1" t="s">
        <v>16</v>
      </c>
      <c r="F865" s="1" t="s">
        <v>25</v>
      </c>
      <c r="G865" s="1" t="s">
        <v>18</v>
      </c>
      <c r="H865" s="1">
        <v>8571</v>
      </c>
      <c r="I865" s="1" t="s">
        <v>22</v>
      </c>
      <c r="J865" s="1">
        <v>0.1</v>
      </c>
      <c r="K865" s="1">
        <v>9000</v>
      </c>
      <c r="L865" s="2">
        <v>45297</v>
      </c>
    </row>
    <row r="866" spans="1:12" x14ac:dyDescent="0.35">
      <c r="A866" s="1" t="s">
        <v>1103</v>
      </c>
      <c r="B866" s="1" t="s">
        <v>177</v>
      </c>
      <c r="C866" s="1" t="s">
        <v>44</v>
      </c>
      <c r="D866" s="1" t="s">
        <v>45</v>
      </c>
      <c r="E866" s="1" t="s">
        <v>16</v>
      </c>
      <c r="F866" s="1" t="s">
        <v>39</v>
      </c>
      <c r="G866" s="1" t="s">
        <v>26</v>
      </c>
      <c r="H866" s="1">
        <v>13578</v>
      </c>
      <c r="I866" s="1"/>
      <c r="J866" s="1"/>
      <c r="K866" s="1">
        <v>13000</v>
      </c>
      <c r="L866" s="2">
        <v>45331</v>
      </c>
    </row>
    <row r="867" spans="1:12" x14ac:dyDescent="0.35">
      <c r="A867" s="1" t="s">
        <v>1104</v>
      </c>
      <c r="B867" s="1" t="s">
        <v>1105</v>
      </c>
      <c r="C867" s="1" t="s">
        <v>30</v>
      </c>
      <c r="D867" s="1" t="s">
        <v>31</v>
      </c>
      <c r="E867" s="1" t="s">
        <v>32</v>
      </c>
      <c r="F867" s="1" t="s">
        <v>39</v>
      </c>
      <c r="G867" s="1" t="s">
        <v>26</v>
      </c>
      <c r="H867" s="1">
        <v>18314</v>
      </c>
      <c r="I867" s="1" t="s">
        <v>27</v>
      </c>
      <c r="J867" s="1"/>
      <c r="K867" s="1">
        <v>17000</v>
      </c>
      <c r="L867" s="2">
        <v>45297</v>
      </c>
    </row>
    <row r="868" spans="1:12" x14ac:dyDescent="0.35">
      <c r="A868" s="1" t="s">
        <v>1106</v>
      </c>
      <c r="B868" s="1" t="s">
        <v>148</v>
      </c>
      <c r="C868" s="1" t="s">
        <v>61</v>
      </c>
      <c r="D868" s="1" t="s">
        <v>62</v>
      </c>
      <c r="E868" s="1" t="s">
        <v>16</v>
      </c>
      <c r="F868" s="1" t="s">
        <v>25</v>
      </c>
      <c r="G868" s="1" t="s">
        <v>18</v>
      </c>
      <c r="H868" s="1">
        <v>10329</v>
      </c>
      <c r="I868" s="1"/>
      <c r="J868" s="1"/>
      <c r="K868" s="1">
        <v>9000</v>
      </c>
      <c r="L868" s="2">
        <v>45298</v>
      </c>
    </row>
    <row r="869" spans="1:12" x14ac:dyDescent="0.35">
      <c r="A869" s="1" t="s">
        <v>1107</v>
      </c>
      <c r="B869" s="1" t="s">
        <v>123</v>
      </c>
      <c r="C869" s="1" t="s">
        <v>61</v>
      </c>
      <c r="D869" s="1" t="s">
        <v>62</v>
      </c>
      <c r="E869" s="1" t="s">
        <v>46</v>
      </c>
      <c r="F869" s="1" t="s">
        <v>25</v>
      </c>
      <c r="G869" s="1" t="s">
        <v>18</v>
      </c>
      <c r="H869" s="1">
        <v>7588</v>
      </c>
      <c r="I869" s="1" t="s">
        <v>27</v>
      </c>
      <c r="J869" s="1"/>
      <c r="K869" s="1">
        <v>9000</v>
      </c>
      <c r="L869" s="2">
        <v>45308</v>
      </c>
    </row>
    <row r="870" spans="1:12" x14ac:dyDescent="0.35">
      <c r="A870" s="1" t="s">
        <v>1108</v>
      </c>
      <c r="B870" s="1" t="s">
        <v>827</v>
      </c>
      <c r="C870" s="1" t="s">
        <v>61</v>
      </c>
      <c r="D870" s="1" t="s">
        <v>62</v>
      </c>
      <c r="E870" s="1" t="s">
        <v>32</v>
      </c>
      <c r="F870" s="1" t="s">
        <v>39</v>
      </c>
      <c r="G870" s="1" t="s">
        <v>26</v>
      </c>
      <c r="H870" s="1">
        <v>8353</v>
      </c>
      <c r="I870" s="1" t="s">
        <v>33</v>
      </c>
      <c r="J870" s="1">
        <v>0.3</v>
      </c>
      <c r="K870" s="1">
        <v>9000</v>
      </c>
      <c r="L870" s="2">
        <v>45321</v>
      </c>
    </row>
    <row r="871" spans="1:12" x14ac:dyDescent="0.35">
      <c r="A871" s="1" t="s">
        <v>1109</v>
      </c>
      <c r="B871" s="1" t="s">
        <v>711</v>
      </c>
      <c r="C871" s="1" t="s">
        <v>14</v>
      </c>
      <c r="D871" s="1" t="s">
        <v>15</v>
      </c>
      <c r="E871" s="1" t="s">
        <v>46</v>
      </c>
      <c r="F871" s="1" t="s">
        <v>25</v>
      </c>
      <c r="G871" s="1" t="s">
        <v>36</v>
      </c>
      <c r="H871" s="1">
        <v>13960</v>
      </c>
      <c r="I871" s="1"/>
      <c r="J871" s="1"/>
      <c r="K871" s="1">
        <v>14000</v>
      </c>
      <c r="L871" s="2">
        <v>45346</v>
      </c>
    </row>
    <row r="872" spans="1:12" x14ac:dyDescent="0.35">
      <c r="A872" s="1" t="s">
        <v>1110</v>
      </c>
      <c r="B872" s="1" t="s">
        <v>256</v>
      </c>
      <c r="C872" s="1" t="s">
        <v>30</v>
      </c>
      <c r="D872" s="1" t="s">
        <v>31</v>
      </c>
      <c r="E872" s="1" t="s">
        <v>16</v>
      </c>
      <c r="F872" s="1" t="s">
        <v>39</v>
      </c>
      <c r="G872" s="1" t="s">
        <v>18</v>
      </c>
      <c r="H872" s="1">
        <v>17080</v>
      </c>
      <c r="I872" s="1" t="s">
        <v>22</v>
      </c>
      <c r="J872" s="1">
        <v>0.1</v>
      </c>
      <c r="K872" s="1">
        <v>17000</v>
      </c>
      <c r="L872" s="2">
        <v>45317</v>
      </c>
    </row>
    <row r="873" spans="1:12" x14ac:dyDescent="0.35">
      <c r="A873" s="1" t="s">
        <v>1111</v>
      </c>
      <c r="B873" s="1" t="s">
        <v>1112</v>
      </c>
      <c r="C873" s="1" t="s">
        <v>14</v>
      </c>
      <c r="D873" s="1" t="s">
        <v>15</v>
      </c>
      <c r="E873" s="1" t="s">
        <v>46</v>
      </c>
      <c r="F873" s="1" t="s">
        <v>39</v>
      </c>
      <c r="G873" s="1" t="s">
        <v>26</v>
      </c>
      <c r="H873" s="1">
        <v>12290</v>
      </c>
      <c r="I873" s="1" t="s">
        <v>33</v>
      </c>
      <c r="J873" s="1">
        <v>0.3</v>
      </c>
      <c r="K873" s="1">
        <v>14000</v>
      </c>
      <c r="L873" s="2">
        <v>45326</v>
      </c>
    </row>
    <row r="874" spans="1:12" x14ac:dyDescent="0.35">
      <c r="A874" s="1" t="s">
        <v>1113</v>
      </c>
      <c r="B874" s="1" t="s">
        <v>52</v>
      </c>
      <c r="C874" s="1" t="s">
        <v>61</v>
      </c>
      <c r="D874" s="1" t="s">
        <v>62</v>
      </c>
      <c r="E874" s="1" t="s">
        <v>32</v>
      </c>
      <c r="F874" s="1" t="s">
        <v>39</v>
      </c>
      <c r="G874" s="1" t="s">
        <v>18</v>
      </c>
      <c r="H874" s="1">
        <v>9244</v>
      </c>
      <c r="I874" s="1" t="s">
        <v>19</v>
      </c>
      <c r="J874" s="1">
        <v>0.2</v>
      </c>
      <c r="K874" s="1">
        <v>9000</v>
      </c>
      <c r="L874" s="2">
        <v>45322</v>
      </c>
    </row>
    <row r="875" spans="1:12" x14ac:dyDescent="0.35">
      <c r="A875" s="1" t="s">
        <v>1114</v>
      </c>
      <c r="B875" s="1" t="s">
        <v>41</v>
      </c>
      <c r="C875" s="1" t="s">
        <v>30</v>
      </c>
      <c r="D875" s="1" t="s">
        <v>31</v>
      </c>
      <c r="E875" s="1" t="s">
        <v>32</v>
      </c>
      <c r="F875" s="1" t="s">
        <v>39</v>
      </c>
      <c r="G875" s="1" t="s">
        <v>26</v>
      </c>
      <c r="H875" s="1">
        <v>16765</v>
      </c>
      <c r="I875" s="1"/>
      <c r="J875" s="1"/>
      <c r="K875" s="1">
        <v>17000</v>
      </c>
      <c r="L875" s="2">
        <v>45328</v>
      </c>
    </row>
    <row r="876" spans="1:12" x14ac:dyDescent="0.35">
      <c r="A876" s="1" t="s">
        <v>1115</v>
      </c>
      <c r="B876" s="1" t="s">
        <v>602</v>
      </c>
      <c r="C876" s="1" t="s">
        <v>44</v>
      </c>
      <c r="D876" s="1" t="s">
        <v>45</v>
      </c>
      <c r="E876" s="1" t="s">
        <v>32</v>
      </c>
      <c r="F876" s="1" t="s">
        <v>39</v>
      </c>
      <c r="G876" s="1" t="s">
        <v>26</v>
      </c>
      <c r="H876" s="1">
        <v>11319</v>
      </c>
      <c r="I876" s="1" t="s">
        <v>27</v>
      </c>
      <c r="J876" s="1"/>
      <c r="K876" s="1">
        <v>13000</v>
      </c>
      <c r="L876" s="2">
        <v>45345</v>
      </c>
    </row>
    <row r="877" spans="1:12" x14ac:dyDescent="0.35">
      <c r="A877" s="1" t="s">
        <v>1116</v>
      </c>
      <c r="B877" s="1" t="s">
        <v>227</v>
      </c>
      <c r="C877" s="1" t="s">
        <v>61</v>
      </c>
      <c r="D877" s="1" t="s">
        <v>62</v>
      </c>
      <c r="E877" s="1" t="s">
        <v>46</v>
      </c>
      <c r="F877" s="1" t="s">
        <v>39</v>
      </c>
      <c r="G877" s="1" t="s">
        <v>18</v>
      </c>
      <c r="H877" s="1">
        <v>10367</v>
      </c>
      <c r="I877" s="1"/>
      <c r="J877" s="1"/>
      <c r="K877" s="1">
        <v>9000</v>
      </c>
      <c r="L877" s="2">
        <v>45303</v>
      </c>
    </row>
    <row r="878" spans="1:12" x14ac:dyDescent="0.35">
      <c r="A878" s="1" t="s">
        <v>1117</v>
      </c>
      <c r="B878" s="1" t="s">
        <v>70</v>
      </c>
      <c r="C878" s="1" t="s">
        <v>14</v>
      </c>
      <c r="D878" s="1" t="s">
        <v>15</v>
      </c>
      <c r="E878" s="1" t="s">
        <v>16</v>
      </c>
      <c r="F878" s="1" t="s">
        <v>25</v>
      </c>
      <c r="G878" s="1" t="s">
        <v>26</v>
      </c>
      <c r="H878" s="1">
        <v>15334</v>
      </c>
      <c r="I878" s="1" t="s">
        <v>27</v>
      </c>
      <c r="J878" s="1"/>
      <c r="K878" s="1">
        <v>14000</v>
      </c>
      <c r="L878" s="2">
        <v>45341</v>
      </c>
    </row>
    <row r="879" spans="1:12" x14ac:dyDescent="0.35">
      <c r="A879" s="1" t="s">
        <v>1118</v>
      </c>
      <c r="B879" s="1" t="s">
        <v>487</v>
      </c>
      <c r="C879" s="1" t="s">
        <v>30</v>
      </c>
      <c r="D879" s="1" t="s">
        <v>31</v>
      </c>
      <c r="E879" s="1" t="s">
        <v>46</v>
      </c>
      <c r="F879" s="1" t="s">
        <v>39</v>
      </c>
      <c r="G879" s="1" t="s">
        <v>26</v>
      </c>
      <c r="H879" s="1">
        <v>15251</v>
      </c>
      <c r="I879" s="1" t="s">
        <v>22</v>
      </c>
      <c r="J879" s="1">
        <v>0.1</v>
      </c>
      <c r="K879" s="1">
        <v>17000</v>
      </c>
      <c r="L879" s="2">
        <v>45305</v>
      </c>
    </row>
    <row r="880" spans="1:12" x14ac:dyDescent="0.35">
      <c r="A880" s="1" t="s">
        <v>1119</v>
      </c>
      <c r="B880" s="1" t="s">
        <v>412</v>
      </c>
      <c r="C880" s="1" t="s">
        <v>14</v>
      </c>
      <c r="D880" s="1" t="s">
        <v>15</v>
      </c>
      <c r="E880" s="1" t="s">
        <v>32</v>
      </c>
      <c r="F880" s="1" t="s">
        <v>39</v>
      </c>
      <c r="G880" s="1" t="s">
        <v>18</v>
      </c>
      <c r="H880" s="1">
        <v>13855</v>
      </c>
      <c r="I880" s="1" t="s">
        <v>27</v>
      </c>
      <c r="J880" s="1"/>
      <c r="K880" s="1">
        <v>14000</v>
      </c>
      <c r="L880" s="2">
        <v>45310</v>
      </c>
    </row>
    <row r="881" spans="1:12" x14ac:dyDescent="0.35">
      <c r="A881" s="1" t="s">
        <v>1120</v>
      </c>
      <c r="B881" s="1" t="s">
        <v>617</v>
      </c>
      <c r="C881" s="1" t="s">
        <v>61</v>
      </c>
      <c r="D881" s="1" t="s">
        <v>62</v>
      </c>
      <c r="E881" s="1" t="s">
        <v>32</v>
      </c>
      <c r="F881" s="1" t="s">
        <v>25</v>
      </c>
      <c r="G881" s="1" t="s">
        <v>26</v>
      </c>
      <c r="H881" s="1">
        <v>10593</v>
      </c>
      <c r="I881" s="1" t="s">
        <v>33</v>
      </c>
      <c r="J881" s="1">
        <v>0.3</v>
      </c>
      <c r="K881" s="1">
        <v>9000</v>
      </c>
      <c r="L881" s="2">
        <v>45311</v>
      </c>
    </row>
    <row r="882" spans="1:12" x14ac:dyDescent="0.35">
      <c r="A882" s="1" t="s">
        <v>1121</v>
      </c>
      <c r="B882" s="1" t="s">
        <v>579</v>
      </c>
      <c r="C882" s="1" t="s">
        <v>30</v>
      </c>
      <c r="D882" s="1" t="s">
        <v>31</v>
      </c>
      <c r="E882" s="1" t="s">
        <v>46</v>
      </c>
      <c r="F882" s="1" t="s">
        <v>39</v>
      </c>
      <c r="G882" s="1" t="s">
        <v>36</v>
      </c>
      <c r="H882" s="1">
        <v>15365</v>
      </c>
      <c r="I882" s="1" t="s">
        <v>27</v>
      </c>
      <c r="J882" s="1"/>
      <c r="K882" s="1">
        <v>17000</v>
      </c>
      <c r="L882" s="2">
        <v>45292</v>
      </c>
    </row>
    <row r="883" spans="1:12" x14ac:dyDescent="0.35">
      <c r="A883" s="1" t="s">
        <v>1122</v>
      </c>
      <c r="B883" s="1" t="s">
        <v>86</v>
      </c>
      <c r="C883" s="1" t="s">
        <v>61</v>
      </c>
      <c r="D883" s="1" t="s">
        <v>62</v>
      </c>
      <c r="E883" s="1" t="s">
        <v>32</v>
      </c>
      <c r="F883" s="1" t="s">
        <v>17</v>
      </c>
      <c r="G883" s="1" t="s">
        <v>18</v>
      </c>
      <c r="H883" s="1">
        <v>8512</v>
      </c>
      <c r="I883" s="1" t="s">
        <v>27</v>
      </c>
      <c r="J883" s="1"/>
      <c r="K883" s="1">
        <v>9000</v>
      </c>
      <c r="L883" s="2">
        <v>45295</v>
      </c>
    </row>
    <row r="884" spans="1:12" x14ac:dyDescent="0.35">
      <c r="A884" s="1" t="s">
        <v>1123</v>
      </c>
      <c r="B884" s="1" t="s">
        <v>190</v>
      </c>
      <c r="C884" s="1" t="s">
        <v>30</v>
      </c>
      <c r="D884" s="1" t="s">
        <v>31</v>
      </c>
      <c r="E884" s="1" t="s">
        <v>32</v>
      </c>
      <c r="F884" s="1" t="s">
        <v>17</v>
      </c>
      <c r="G884" s="1" t="s">
        <v>18</v>
      </c>
      <c r="H884" s="1">
        <v>15963</v>
      </c>
      <c r="I884" s="1"/>
      <c r="J884" s="1"/>
      <c r="K884" s="1">
        <v>17000</v>
      </c>
      <c r="L884" s="2">
        <v>45336</v>
      </c>
    </row>
    <row r="885" spans="1:12" x14ac:dyDescent="0.35">
      <c r="A885" s="1" t="s">
        <v>1124</v>
      </c>
      <c r="B885" s="1" t="s">
        <v>337</v>
      </c>
      <c r="C885" s="1" t="s">
        <v>30</v>
      </c>
      <c r="D885" s="1" t="s">
        <v>31</v>
      </c>
      <c r="E885" s="1" t="s">
        <v>16</v>
      </c>
      <c r="F885" s="1" t="s">
        <v>17</v>
      </c>
      <c r="G885" s="1" t="s">
        <v>36</v>
      </c>
      <c r="H885" s="1">
        <v>16562</v>
      </c>
      <c r="I885" s="1"/>
      <c r="J885" s="1"/>
      <c r="K885" s="1">
        <v>17000</v>
      </c>
      <c r="L885" s="2">
        <v>45326</v>
      </c>
    </row>
    <row r="886" spans="1:12" x14ac:dyDescent="0.35">
      <c r="A886" s="1" t="s">
        <v>1125</v>
      </c>
      <c r="B886" s="1" t="s">
        <v>817</v>
      </c>
      <c r="C886" s="1" t="s">
        <v>44</v>
      </c>
      <c r="D886" s="1" t="s">
        <v>45</v>
      </c>
      <c r="E886" s="1" t="s">
        <v>46</v>
      </c>
      <c r="F886" s="1" t="s">
        <v>25</v>
      </c>
      <c r="G886" s="1" t="s">
        <v>18</v>
      </c>
      <c r="H886" s="1">
        <v>13275</v>
      </c>
      <c r="I886" s="1"/>
      <c r="J886" s="1"/>
      <c r="K886" s="1">
        <v>13000</v>
      </c>
      <c r="L886" s="2">
        <v>45345</v>
      </c>
    </row>
    <row r="887" spans="1:12" x14ac:dyDescent="0.35">
      <c r="A887" s="1" t="s">
        <v>1126</v>
      </c>
      <c r="B887" s="1" t="s">
        <v>827</v>
      </c>
      <c r="C887" s="1" t="s">
        <v>61</v>
      </c>
      <c r="D887" s="1" t="s">
        <v>62</v>
      </c>
      <c r="E887" s="1" t="s">
        <v>32</v>
      </c>
      <c r="F887" s="1" t="s">
        <v>17</v>
      </c>
      <c r="G887" s="1" t="s">
        <v>26</v>
      </c>
      <c r="H887" s="1">
        <v>7514</v>
      </c>
      <c r="I887" s="1" t="s">
        <v>19</v>
      </c>
      <c r="J887" s="1">
        <v>0.2</v>
      </c>
      <c r="K887" s="1">
        <v>9000</v>
      </c>
      <c r="L887" s="2">
        <v>45292</v>
      </c>
    </row>
    <row r="888" spans="1:12" x14ac:dyDescent="0.35">
      <c r="A888" s="1" t="s">
        <v>1127</v>
      </c>
      <c r="B888" s="1" t="s">
        <v>21</v>
      </c>
      <c r="C888" s="1" t="s">
        <v>14</v>
      </c>
      <c r="D888" s="1" t="s">
        <v>15</v>
      </c>
      <c r="E888" s="1" t="s">
        <v>32</v>
      </c>
      <c r="F888" s="1" t="s">
        <v>39</v>
      </c>
      <c r="G888" s="1" t="s">
        <v>36</v>
      </c>
      <c r="H888" s="1">
        <v>14694</v>
      </c>
      <c r="I888" s="1"/>
      <c r="J888" s="1"/>
      <c r="K888" s="1">
        <v>14000</v>
      </c>
      <c r="L888" s="2">
        <v>45300</v>
      </c>
    </row>
    <row r="889" spans="1:12" x14ac:dyDescent="0.35">
      <c r="A889" s="1" t="s">
        <v>1128</v>
      </c>
      <c r="B889" s="1" t="s">
        <v>843</v>
      </c>
      <c r="C889" s="1" t="s">
        <v>61</v>
      </c>
      <c r="D889" s="1" t="s">
        <v>62</v>
      </c>
      <c r="E889" s="1" t="s">
        <v>46</v>
      </c>
      <c r="F889" s="1" t="s">
        <v>39</v>
      </c>
      <c r="G889" s="1" t="s">
        <v>26</v>
      </c>
      <c r="H889" s="1">
        <v>10810</v>
      </c>
      <c r="I889" s="1"/>
      <c r="J889" s="1"/>
      <c r="K889" s="1">
        <v>9000</v>
      </c>
      <c r="L889" s="2">
        <v>45331</v>
      </c>
    </row>
    <row r="890" spans="1:12" x14ac:dyDescent="0.35">
      <c r="A890" s="1" t="s">
        <v>1129</v>
      </c>
      <c r="B890" s="1" t="s">
        <v>429</v>
      </c>
      <c r="C890" s="1" t="s">
        <v>61</v>
      </c>
      <c r="D890" s="1" t="s">
        <v>62</v>
      </c>
      <c r="E890" s="1" t="s">
        <v>16</v>
      </c>
      <c r="F890" s="1" t="s">
        <v>17</v>
      </c>
      <c r="G890" s="1" t="s">
        <v>36</v>
      </c>
      <c r="H890" s="1">
        <v>8455</v>
      </c>
      <c r="I890" s="1" t="s">
        <v>19</v>
      </c>
      <c r="J890" s="1">
        <v>0.2</v>
      </c>
      <c r="K890" s="1">
        <v>9000</v>
      </c>
      <c r="L890" s="2">
        <v>45303</v>
      </c>
    </row>
    <row r="891" spans="1:12" x14ac:dyDescent="0.35">
      <c r="A891" s="1" t="s">
        <v>1130</v>
      </c>
      <c r="B891" s="1" t="s">
        <v>617</v>
      </c>
      <c r="C891" s="1" t="s">
        <v>14</v>
      </c>
      <c r="D891" s="1" t="s">
        <v>15</v>
      </c>
      <c r="E891" s="1" t="s">
        <v>16</v>
      </c>
      <c r="F891" s="1" t="s">
        <v>17</v>
      </c>
      <c r="G891" s="1" t="s">
        <v>26</v>
      </c>
      <c r="H891" s="1">
        <v>12969</v>
      </c>
      <c r="I891" s="1" t="s">
        <v>27</v>
      </c>
      <c r="J891" s="1"/>
      <c r="K891" s="1">
        <v>14000</v>
      </c>
      <c r="L891" s="2">
        <v>45309</v>
      </c>
    </row>
    <row r="892" spans="1:12" x14ac:dyDescent="0.35">
      <c r="A892" s="1" t="s">
        <v>1131</v>
      </c>
      <c r="B892" s="1" t="s">
        <v>512</v>
      </c>
      <c r="C892" s="1" t="s">
        <v>30</v>
      </c>
      <c r="D892" s="1" t="s">
        <v>31</v>
      </c>
      <c r="E892" s="1" t="s">
        <v>32</v>
      </c>
      <c r="F892" s="1" t="s">
        <v>25</v>
      </c>
      <c r="G892" s="1" t="s">
        <v>26</v>
      </c>
      <c r="H892" s="1">
        <v>16979</v>
      </c>
      <c r="I892" s="1" t="s">
        <v>33</v>
      </c>
      <c r="J892" s="1">
        <v>0.3</v>
      </c>
      <c r="K892" s="1">
        <v>17000</v>
      </c>
      <c r="L892" s="2">
        <v>45299</v>
      </c>
    </row>
    <row r="893" spans="1:12" x14ac:dyDescent="0.35">
      <c r="A893" s="1" t="s">
        <v>1132</v>
      </c>
      <c r="B893" s="1" t="s">
        <v>356</v>
      </c>
      <c r="C893" s="1" t="s">
        <v>14</v>
      </c>
      <c r="D893" s="1" t="s">
        <v>15</v>
      </c>
      <c r="E893" s="1" t="s">
        <v>32</v>
      </c>
      <c r="F893" s="1" t="s">
        <v>39</v>
      </c>
      <c r="G893" s="1" t="s">
        <v>26</v>
      </c>
      <c r="H893" s="1">
        <v>14156</v>
      </c>
      <c r="I893" s="1" t="s">
        <v>33</v>
      </c>
      <c r="J893" s="1">
        <v>0.3</v>
      </c>
      <c r="K893" s="1">
        <v>14000</v>
      </c>
      <c r="L893" s="2">
        <v>45321</v>
      </c>
    </row>
    <row r="894" spans="1:12" x14ac:dyDescent="0.35">
      <c r="A894" s="1" t="s">
        <v>1133</v>
      </c>
      <c r="B894" s="1" t="s">
        <v>905</v>
      </c>
      <c r="C894" s="1" t="s">
        <v>14</v>
      </c>
      <c r="D894" s="1" t="s">
        <v>15</v>
      </c>
      <c r="E894" s="1" t="s">
        <v>32</v>
      </c>
      <c r="F894" s="1" t="s">
        <v>17</v>
      </c>
      <c r="G894" s="1" t="s">
        <v>26</v>
      </c>
      <c r="H894" s="1">
        <v>15037</v>
      </c>
      <c r="I894" s="1" t="s">
        <v>22</v>
      </c>
      <c r="J894" s="1">
        <v>0.1</v>
      </c>
      <c r="K894" s="1">
        <v>14000</v>
      </c>
      <c r="L894" s="2">
        <v>45335</v>
      </c>
    </row>
    <row r="895" spans="1:12" x14ac:dyDescent="0.35">
      <c r="A895" s="1" t="s">
        <v>1134</v>
      </c>
      <c r="B895" s="1" t="s">
        <v>416</v>
      </c>
      <c r="C895" s="1" t="s">
        <v>30</v>
      </c>
      <c r="D895" s="1" t="s">
        <v>31</v>
      </c>
      <c r="E895" s="1" t="s">
        <v>16</v>
      </c>
      <c r="F895" s="1" t="s">
        <v>25</v>
      </c>
      <c r="G895" s="1" t="s">
        <v>36</v>
      </c>
      <c r="H895" s="1">
        <v>17191</v>
      </c>
      <c r="I895" s="1" t="s">
        <v>22</v>
      </c>
      <c r="J895" s="1">
        <v>0.1</v>
      </c>
      <c r="K895" s="1">
        <v>17000</v>
      </c>
      <c r="L895" s="2">
        <v>45322</v>
      </c>
    </row>
    <row r="896" spans="1:12" x14ac:dyDescent="0.35">
      <c r="A896" s="1" t="s">
        <v>1135</v>
      </c>
      <c r="B896" s="1" t="s">
        <v>330</v>
      </c>
      <c r="C896" s="1" t="s">
        <v>61</v>
      </c>
      <c r="D896" s="1" t="s">
        <v>62</v>
      </c>
      <c r="E896" s="1" t="s">
        <v>16</v>
      </c>
      <c r="F896" s="1" t="s">
        <v>39</v>
      </c>
      <c r="G896" s="1" t="s">
        <v>36</v>
      </c>
      <c r="H896" s="1">
        <v>8724</v>
      </c>
      <c r="I896" s="1" t="s">
        <v>33</v>
      </c>
      <c r="J896" s="1">
        <v>0.3</v>
      </c>
      <c r="K896" s="1">
        <v>9000</v>
      </c>
      <c r="L896" s="2">
        <v>45343</v>
      </c>
    </row>
    <row r="897" spans="1:12" x14ac:dyDescent="0.35">
      <c r="A897" s="1" t="s">
        <v>1136</v>
      </c>
      <c r="B897" s="1" t="s">
        <v>361</v>
      </c>
      <c r="C897" s="1" t="s">
        <v>44</v>
      </c>
      <c r="D897" s="1" t="s">
        <v>45</v>
      </c>
      <c r="E897" s="1" t="s">
        <v>32</v>
      </c>
      <c r="F897" s="1" t="s">
        <v>39</v>
      </c>
      <c r="G897" s="1" t="s">
        <v>26</v>
      </c>
      <c r="H897" s="1">
        <v>14069</v>
      </c>
      <c r="I897" s="1" t="s">
        <v>33</v>
      </c>
      <c r="J897" s="1">
        <v>0.3</v>
      </c>
      <c r="K897" s="1">
        <v>13000</v>
      </c>
      <c r="L897" s="2">
        <v>45338</v>
      </c>
    </row>
    <row r="898" spans="1:12" x14ac:dyDescent="0.35">
      <c r="A898" s="1" t="s">
        <v>1137</v>
      </c>
      <c r="B898" s="1" t="s">
        <v>522</v>
      </c>
      <c r="C898" s="1" t="s">
        <v>30</v>
      </c>
      <c r="D898" s="1" t="s">
        <v>31</v>
      </c>
      <c r="E898" s="1" t="s">
        <v>32</v>
      </c>
      <c r="F898" s="1" t="s">
        <v>39</v>
      </c>
      <c r="G898" s="1" t="s">
        <v>36</v>
      </c>
      <c r="H898" s="1">
        <v>17368</v>
      </c>
      <c r="I898" s="1" t="s">
        <v>19</v>
      </c>
      <c r="J898" s="1">
        <v>0.2</v>
      </c>
      <c r="K898" s="1">
        <v>17000</v>
      </c>
      <c r="L898" s="2">
        <v>45328</v>
      </c>
    </row>
    <row r="899" spans="1:12" x14ac:dyDescent="0.35">
      <c r="A899" s="1" t="s">
        <v>1138</v>
      </c>
      <c r="B899" s="1" t="s">
        <v>68</v>
      </c>
      <c r="C899" s="1" t="s">
        <v>30</v>
      </c>
      <c r="D899" s="1" t="s">
        <v>31</v>
      </c>
      <c r="E899" s="1" t="s">
        <v>16</v>
      </c>
      <c r="F899" s="1" t="s">
        <v>39</v>
      </c>
      <c r="G899" s="1" t="s">
        <v>18</v>
      </c>
      <c r="H899" s="1">
        <v>16174</v>
      </c>
      <c r="I899" s="1"/>
      <c r="J899" s="1"/>
      <c r="K899" s="1">
        <v>17000</v>
      </c>
      <c r="L899" s="2">
        <v>45297</v>
      </c>
    </row>
    <row r="900" spans="1:12" x14ac:dyDescent="0.35">
      <c r="A900" s="1" t="s">
        <v>1139</v>
      </c>
      <c r="B900" s="1" t="s">
        <v>440</v>
      </c>
      <c r="C900" s="1" t="s">
        <v>14</v>
      </c>
      <c r="D900" s="1" t="s">
        <v>15</v>
      </c>
      <c r="E900" s="1" t="s">
        <v>46</v>
      </c>
      <c r="F900" s="1" t="s">
        <v>17</v>
      </c>
      <c r="G900" s="1" t="s">
        <v>18</v>
      </c>
      <c r="H900" s="1">
        <v>14522</v>
      </c>
      <c r="I900" s="1" t="s">
        <v>33</v>
      </c>
      <c r="J900" s="1">
        <v>0.3</v>
      </c>
      <c r="K900" s="1">
        <v>14000</v>
      </c>
      <c r="L900" s="2">
        <v>45309</v>
      </c>
    </row>
    <row r="901" spans="1:12" x14ac:dyDescent="0.35">
      <c r="A901" s="1" t="s">
        <v>1140</v>
      </c>
      <c r="B901" s="1" t="s">
        <v>643</v>
      </c>
      <c r="C901" s="1" t="s">
        <v>14</v>
      </c>
      <c r="D901" s="1" t="s">
        <v>15</v>
      </c>
      <c r="E901" s="1" t="s">
        <v>16</v>
      </c>
      <c r="F901" s="1" t="s">
        <v>25</v>
      </c>
      <c r="G901" s="1" t="s">
        <v>26</v>
      </c>
      <c r="H901" s="1">
        <v>12715</v>
      </c>
      <c r="I901" s="1" t="s">
        <v>27</v>
      </c>
      <c r="J901" s="1"/>
      <c r="K901" s="1">
        <v>14000</v>
      </c>
      <c r="L901" s="2">
        <v>45339</v>
      </c>
    </row>
    <row r="902" spans="1:12" x14ac:dyDescent="0.35">
      <c r="A902" s="1" t="s">
        <v>1141</v>
      </c>
      <c r="B902" s="1" t="s">
        <v>113</v>
      </c>
      <c r="C902" s="1" t="s">
        <v>61</v>
      </c>
      <c r="D902" s="1" t="s">
        <v>62</v>
      </c>
      <c r="E902" s="1" t="s">
        <v>46</v>
      </c>
      <c r="F902" s="1" t="s">
        <v>25</v>
      </c>
      <c r="G902" s="1" t="s">
        <v>36</v>
      </c>
      <c r="H902" s="1">
        <v>10205</v>
      </c>
      <c r="I902" s="1" t="s">
        <v>19</v>
      </c>
      <c r="J902" s="1">
        <v>0.2</v>
      </c>
      <c r="K902" s="1">
        <v>9000</v>
      </c>
      <c r="L902" s="2">
        <v>45323</v>
      </c>
    </row>
    <row r="903" spans="1:12" x14ac:dyDescent="0.35">
      <c r="A903" s="1" t="s">
        <v>1142</v>
      </c>
      <c r="B903" s="1" t="s">
        <v>135</v>
      </c>
      <c r="C903" s="1" t="s">
        <v>14</v>
      </c>
      <c r="D903" s="1" t="s">
        <v>15</v>
      </c>
      <c r="E903" s="1" t="s">
        <v>46</v>
      </c>
      <c r="F903" s="1" t="s">
        <v>25</v>
      </c>
      <c r="G903" s="1" t="s">
        <v>18</v>
      </c>
      <c r="H903" s="1">
        <v>14439</v>
      </c>
      <c r="I903" s="1" t="s">
        <v>19</v>
      </c>
      <c r="J903" s="1">
        <v>0.2</v>
      </c>
      <c r="K903" s="1">
        <v>14000</v>
      </c>
      <c r="L903" s="2">
        <v>45345</v>
      </c>
    </row>
    <row r="904" spans="1:12" x14ac:dyDescent="0.35">
      <c r="A904" s="1" t="s">
        <v>1143</v>
      </c>
      <c r="B904" s="1" t="s">
        <v>157</v>
      </c>
      <c r="C904" s="1" t="s">
        <v>61</v>
      </c>
      <c r="D904" s="1" t="s">
        <v>62</v>
      </c>
      <c r="E904" s="1" t="s">
        <v>46</v>
      </c>
      <c r="F904" s="1" t="s">
        <v>25</v>
      </c>
      <c r="G904" s="1" t="s">
        <v>26</v>
      </c>
      <c r="H904" s="1">
        <v>8802</v>
      </c>
      <c r="I904" s="1" t="s">
        <v>19</v>
      </c>
      <c r="J904" s="1">
        <v>0.2</v>
      </c>
      <c r="K904" s="1">
        <v>9000</v>
      </c>
      <c r="L904" s="2">
        <v>45305</v>
      </c>
    </row>
    <row r="905" spans="1:12" x14ac:dyDescent="0.35">
      <c r="A905" s="1" t="s">
        <v>1144</v>
      </c>
      <c r="B905" s="1" t="s">
        <v>233</v>
      </c>
      <c r="C905" s="1" t="s">
        <v>30</v>
      </c>
      <c r="D905" s="1" t="s">
        <v>31</v>
      </c>
      <c r="E905" s="1" t="s">
        <v>32</v>
      </c>
      <c r="F905" s="1" t="s">
        <v>39</v>
      </c>
      <c r="G905" s="1" t="s">
        <v>36</v>
      </c>
      <c r="H905" s="1">
        <v>18094</v>
      </c>
      <c r="I905" s="1" t="s">
        <v>22</v>
      </c>
      <c r="J905" s="1">
        <v>0.1</v>
      </c>
      <c r="K905" s="1">
        <v>17000</v>
      </c>
      <c r="L905" s="2">
        <v>45295</v>
      </c>
    </row>
    <row r="906" spans="1:12" x14ac:dyDescent="0.35">
      <c r="A906" s="1" t="s">
        <v>1145</v>
      </c>
      <c r="B906" s="1" t="s">
        <v>429</v>
      </c>
      <c r="C906" s="1" t="s">
        <v>61</v>
      </c>
      <c r="D906" s="1" t="s">
        <v>62</v>
      </c>
      <c r="E906" s="1" t="s">
        <v>46</v>
      </c>
      <c r="F906" s="1" t="s">
        <v>17</v>
      </c>
      <c r="G906" s="1" t="s">
        <v>36</v>
      </c>
      <c r="H906" s="1">
        <v>10056</v>
      </c>
      <c r="I906" s="1" t="s">
        <v>27</v>
      </c>
      <c r="J906" s="1"/>
      <c r="K906" s="1">
        <v>9000</v>
      </c>
      <c r="L906" s="2">
        <v>45306</v>
      </c>
    </row>
    <row r="907" spans="1:12" x14ac:dyDescent="0.35">
      <c r="A907" s="1" t="s">
        <v>1146</v>
      </c>
      <c r="B907" s="1" t="s">
        <v>274</v>
      </c>
      <c r="C907" s="1" t="s">
        <v>61</v>
      </c>
      <c r="D907" s="1" t="s">
        <v>62</v>
      </c>
      <c r="E907" s="1" t="s">
        <v>46</v>
      </c>
      <c r="F907" s="1" t="s">
        <v>17</v>
      </c>
      <c r="G907" s="1" t="s">
        <v>18</v>
      </c>
      <c r="H907" s="1">
        <v>9172</v>
      </c>
      <c r="I907" s="1"/>
      <c r="J907" s="1"/>
      <c r="K907" s="1">
        <v>9000</v>
      </c>
      <c r="L907" s="2">
        <v>45292</v>
      </c>
    </row>
    <row r="908" spans="1:12" x14ac:dyDescent="0.35">
      <c r="A908" s="1" t="s">
        <v>1147</v>
      </c>
      <c r="B908" s="1" t="s">
        <v>443</v>
      </c>
      <c r="C908" s="1" t="s">
        <v>61</v>
      </c>
      <c r="D908" s="1" t="s">
        <v>62</v>
      </c>
      <c r="E908" s="1" t="s">
        <v>46</v>
      </c>
      <c r="F908" s="1" t="s">
        <v>39</v>
      </c>
      <c r="G908" s="1" t="s">
        <v>36</v>
      </c>
      <c r="H908" s="1">
        <v>10939</v>
      </c>
      <c r="I908" s="1" t="s">
        <v>27</v>
      </c>
      <c r="J908" s="1"/>
      <c r="K908" s="1">
        <v>9000</v>
      </c>
      <c r="L908" s="2">
        <v>45335</v>
      </c>
    </row>
    <row r="909" spans="1:12" x14ac:dyDescent="0.35">
      <c r="A909" s="1" t="s">
        <v>1148</v>
      </c>
      <c r="B909" s="1" t="s">
        <v>76</v>
      </c>
      <c r="C909" s="1" t="s">
        <v>30</v>
      </c>
      <c r="D909" s="1" t="s">
        <v>31</v>
      </c>
      <c r="E909" s="1" t="s">
        <v>46</v>
      </c>
      <c r="F909" s="1" t="s">
        <v>39</v>
      </c>
      <c r="G909" s="1" t="s">
        <v>26</v>
      </c>
      <c r="H909" s="1">
        <v>18515</v>
      </c>
      <c r="I909" s="1" t="s">
        <v>33</v>
      </c>
      <c r="J909" s="1">
        <v>0.3</v>
      </c>
      <c r="K909" s="1">
        <v>17000</v>
      </c>
      <c r="L909" s="2">
        <v>45313</v>
      </c>
    </row>
    <row r="910" spans="1:12" x14ac:dyDescent="0.35">
      <c r="A910" s="1" t="s">
        <v>1149</v>
      </c>
      <c r="B910" s="1" t="s">
        <v>361</v>
      </c>
      <c r="C910" s="1" t="s">
        <v>14</v>
      </c>
      <c r="D910" s="1" t="s">
        <v>15</v>
      </c>
      <c r="E910" s="1" t="s">
        <v>46</v>
      </c>
      <c r="F910" s="1" t="s">
        <v>39</v>
      </c>
      <c r="G910" s="1" t="s">
        <v>26</v>
      </c>
      <c r="H910" s="1">
        <v>13602</v>
      </c>
      <c r="I910" s="1"/>
      <c r="J910" s="1"/>
      <c r="K910" s="1">
        <v>14000</v>
      </c>
      <c r="L910" s="2">
        <v>45341</v>
      </c>
    </row>
    <row r="911" spans="1:12" x14ac:dyDescent="0.35">
      <c r="A911" s="1" t="s">
        <v>1150</v>
      </c>
      <c r="B911" s="1" t="s">
        <v>305</v>
      </c>
      <c r="C911" s="1" t="s">
        <v>44</v>
      </c>
      <c r="D911" s="1" t="s">
        <v>45</v>
      </c>
      <c r="E911" s="1" t="s">
        <v>16</v>
      </c>
      <c r="F911" s="1" t="s">
        <v>39</v>
      </c>
      <c r="G911" s="1" t="s">
        <v>26</v>
      </c>
      <c r="H911" s="1">
        <v>14155</v>
      </c>
      <c r="I911" s="1" t="s">
        <v>19</v>
      </c>
      <c r="J911" s="1">
        <v>0.2</v>
      </c>
      <c r="K911" s="1">
        <v>13000</v>
      </c>
      <c r="L911" s="2">
        <v>45325</v>
      </c>
    </row>
    <row r="912" spans="1:12" x14ac:dyDescent="0.35">
      <c r="A912" s="1" t="s">
        <v>1151</v>
      </c>
      <c r="B912" s="1" t="s">
        <v>150</v>
      </c>
      <c r="C912" s="1" t="s">
        <v>44</v>
      </c>
      <c r="D912" s="1" t="s">
        <v>45</v>
      </c>
      <c r="E912" s="1" t="s">
        <v>46</v>
      </c>
      <c r="F912" s="1" t="s">
        <v>39</v>
      </c>
      <c r="G912" s="1" t="s">
        <v>18</v>
      </c>
      <c r="H912" s="1">
        <v>13755</v>
      </c>
      <c r="I912" s="1" t="s">
        <v>22</v>
      </c>
      <c r="J912" s="1">
        <v>0.1</v>
      </c>
      <c r="K912" s="1">
        <v>13000</v>
      </c>
      <c r="L912" s="2">
        <v>45345</v>
      </c>
    </row>
    <row r="913" spans="1:12" x14ac:dyDescent="0.35">
      <c r="A913" s="1" t="s">
        <v>1152</v>
      </c>
      <c r="B913" s="1" t="s">
        <v>43</v>
      </c>
      <c r="C913" s="1" t="s">
        <v>61</v>
      </c>
      <c r="D913" s="1" t="s">
        <v>62</v>
      </c>
      <c r="E913" s="1" t="s">
        <v>32</v>
      </c>
      <c r="F913" s="1" t="s">
        <v>39</v>
      </c>
      <c r="G913" s="1" t="s">
        <v>18</v>
      </c>
      <c r="H913" s="1">
        <v>9807</v>
      </c>
      <c r="I913" s="1"/>
      <c r="J913" s="1"/>
      <c r="K913" s="1">
        <v>9000</v>
      </c>
      <c r="L913" s="2">
        <v>45314</v>
      </c>
    </row>
    <row r="914" spans="1:12" x14ac:dyDescent="0.35">
      <c r="A914" s="1" t="s">
        <v>1153</v>
      </c>
      <c r="B914" s="1" t="s">
        <v>220</v>
      </c>
      <c r="C914" s="1" t="s">
        <v>30</v>
      </c>
      <c r="D914" s="1" t="s">
        <v>31</v>
      </c>
      <c r="E914" s="1" t="s">
        <v>46</v>
      </c>
      <c r="F914" s="1" t="s">
        <v>25</v>
      </c>
      <c r="G914" s="1" t="s">
        <v>18</v>
      </c>
      <c r="H914" s="1">
        <v>15097</v>
      </c>
      <c r="I914" s="1" t="s">
        <v>27</v>
      </c>
      <c r="J914" s="1"/>
      <c r="K914" s="1">
        <v>17000</v>
      </c>
      <c r="L914" s="2">
        <v>45297</v>
      </c>
    </row>
    <row r="915" spans="1:12" x14ac:dyDescent="0.35">
      <c r="A915" s="1" t="s">
        <v>1154</v>
      </c>
      <c r="B915" s="1" t="s">
        <v>109</v>
      </c>
      <c r="C915" s="1" t="s">
        <v>44</v>
      </c>
      <c r="D915" s="1" t="s">
        <v>45</v>
      </c>
      <c r="E915" s="1" t="s">
        <v>16</v>
      </c>
      <c r="F915" s="1" t="s">
        <v>39</v>
      </c>
      <c r="G915" s="1" t="s">
        <v>18</v>
      </c>
      <c r="H915" s="1">
        <v>13900</v>
      </c>
      <c r="I915" s="1" t="s">
        <v>22</v>
      </c>
      <c r="J915" s="1">
        <v>0.1</v>
      </c>
      <c r="K915" s="1">
        <v>13000</v>
      </c>
      <c r="L915" s="2">
        <v>45297</v>
      </c>
    </row>
    <row r="916" spans="1:12" x14ac:dyDescent="0.35">
      <c r="A916" s="1" t="s">
        <v>1155</v>
      </c>
      <c r="B916" s="1" t="s">
        <v>460</v>
      </c>
      <c r="C916" s="1" t="s">
        <v>44</v>
      </c>
      <c r="D916" s="1" t="s">
        <v>45</v>
      </c>
      <c r="E916" s="1" t="s">
        <v>46</v>
      </c>
      <c r="F916" s="1" t="s">
        <v>39</v>
      </c>
      <c r="G916" s="1" t="s">
        <v>26</v>
      </c>
      <c r="H916" s="1">
        <v>13318</v>
      </c>
      <c r="I916" s="1" t="s">
        <v>19</v>
      </c>
      <c r="J916" s="1">
        <v>0.2</v>
      </c>
      <c r="K916" s="1">
        <v>13000</v>
      </c>
      <c r="L916" s="2">
        <v>45349</v>
      </c>
    </row>
    <row r="917" spans="1:12" x14ac:dyDescent="0.35">
      <c r="A917" s="1" t="s">
        <v>1156</v>
      </c>
      <c r="B917" s="1" t="s">
        <v>173</v>
      </c>
      <c r="C917" s="1" t="s">
        <v>44</v>
      </c>
      <c r="D917" s="1" t="s">
        <v>45</v>
      </c>
      <c r="E917" s="1" t="s">
        <v>46</v>
      </c>
      <c r="F917" s="1" t="s">
        <v>17</v>
      </c>
      <c r="G917" s="1" t="s">
        <v>36</v>
      </c>
      <c r="H917" s="1">
        <v>13705</v>
      </c>
      <c r="I917" s="1" t="s">
        <v>22</v>
      </c>
      <c r="J917" s="1">
        <v>0.1</v>
      </c>
      <c r="K917" s="1">
        <v>13000</v>
      </c>
      <c r="L917" s="2">
        <v>45332</v>
      </c>
    </row>
    <row r="918" spans="1:12" x14ac:dyDescent="0.35">
      <c r="A918" s="1" t="s">
        <v>1157</v>
      </c>
      <c r="B918" s="1" t="s">
        <v>123</v>
      </c>
      <c r="C918" s="1" t="s">
        <v>61</v>
      </c>
      <c r="D918" s="1" t="s">
        <v>62</v>
      </c>
      <c r="E918" s="1" t="s">
        <v>16</v>
      </c>
      <c r="F918" s="1" t="s">
        <v>39</v>
      </c>
      <c r="G918" s="1" t="s">
        <v>36</v>
      </c>
      <c r="H918" s="1">
        <v>8054</v>
      </c>
      <c r="I918" s="1" t="s">
        <v>19</v>
      </c>
      <c r="J918" s="1">
        <v>0.2</v>
      </c>
      <c r="K918" s="1">
        <v>9000</v>
      </c>
      <c r="L918" s="2">
        <v>45341</v>
      </c>
    </row>
    <row r="919" spans="1:12" x14ac:dyDescent="0.35">
      <c r="A919" s="1" t="s">
        <v>1158</v>
      </c>
      <c r="B919" s="1" t="s">
        <v>263</v>
      </c>
      <c r="C919" s="1" t="s">
        <v>14</v>
      </c>
      <c r="D919" s="1" t="s">
        <v>15</v>
      </c>
      <c r="E919" s="1" t="s">
        <v>46</v>
      </c>
      <c r="F919" s="1" t="s">
        <v>17</v>
      </c>
      <c r="G919" s="1" t="s">
        <v>36</v>
      </c>
      <c r="H919" s="1">
        <v>12246</v>
      </c>
      <c r="I919" s="1" t="s">
        <v>33</v>
      </c>
      <c r="J919" s="1">
        <v>0.3</v>
      </c>
      <c r="K919" s="1">
        <v>14000</v>
      </c>
      <c r="L919" s="2">
        <v>45344</v>
      </c>
    </row>
    <row r="920" spans="1:12" x14ac:dyDescent="0.35">
      <c r="A920" s="1" t="s">
        <v>1159</v>
      </c>
      <c r="B920" s="1" t="s">
        <v>58</v>
      </c>
      <c r="C920" s="1" t="s">
        <v>61</v>
      </c>
      <c r="D920" s="1" t="s">
        <v>62</v>
      </c>
      <c r="E920" s="1" t="s">
        <v>32</v>
      </c>
      <c r="F920" s="1" t="s">
        <v>17</v>
      </c>
      <c r="G920" s="1" t="s">
        <v>18</v>
      </c>
      <c r="H920" s="1">
        <v>9499</v>
      </c>
      <c r="I920" s="1"/>
      <c r="J920" s="1"/>
      <c r="K920" s="1">
        <v>9000</v>
      </c>
      <c r="L920" s="2">
        <v>45303</v>
      </c>
    </row>
    <row r="921" spans="1:12" x14ac:dyDescent="0.35">
      <c r="A921" s="1" t="s">
        <v>1160</v>
      </c>
      <c r="B921" s="1" t="s">
        <v>591</v>
      </c>
      <c r="C921" s="1" t="s">
        <v>14</v>
      </c>
      <c r="D921" s="1" t="s">
        <v>15</v>
      </c>
      <c r="E921" s="1" t="s">
        <v>32</v>
      </c>
      <c r="F921" s="1" t="s">
        <v>39</v>
      </c>
      <c r="G921" s="1" t="s">
        <v>36</v>
      </c>
      <c r="H921" s="1">
        <v>12894</v>
      </c>
      <c r="I921" s="1" t="s">
        <v>27</v>
      </c>
      <c r="J921" s="1"/>
      <c r="K921" s="1">
        <v>14000</v>
      </c>
      <c r="L921" s="2">
        <v>45333</v>
      </c>
    </row>
    <row r="922" spans="1:12" x14ac:dyDescent="0.35">
      <c r="A922" s="1" t="s">
        <v>1161</v>
      </c>
      <c r="B922" s="1" t="s">
        <v>245</v>
      </c>
      <c r="C922" s="1" t="s">
        <v>30</v>
      </c>
      <c r="D922" s="1" t="s">
        <v>31</v>
      </c>
      <c r="E922" s="1" t="s">
        <v>32</v>
      </c>
      <c r="F922" s="1" t="s">
        <v>25</v>
      </c>
      <c r="G922" s="1" t="s">
        <v>18</v>
      </c>
      <c r="H922" s="1">
        <v>15288</v>
      </c>
      <c r="I922" s="1" t="s">
        <v>27</v>
      </c>
      <c r="J922" s="1"/>
      <c r="K922" s="1">
        <v>17000</v>
      </c>
      <c r="L922" s="2">
        <v>45338</v>
      </c>
    </row>
    <row r="923" spans="1:12" x14ac:dyDescent="0.35">
      <c r="A923" s="1" t="s">
        <v>1162</v>
      </c>
      <c r="B923" s="1" t="s">
        <v>443</v>
      </c>
      <c r="C923" s="1" t="s">
        <v>61</v>
      </c>
      <c r="D923" s="1" t="s">
        <v>62</v>
      </c>
      <c r="E923" s="1" t="s">
        <v>32</v>
      </c>
      <c r="F923" s="1" t="s">
        <v>17</v>
      </c>
      <c r="G923" s="1" t="s">
        <v>18</v>
      </c>
      <c r="H923" s="1">
        <v>9674</v>
      </c>
      <c r="I923" s="1" t="s">
        <v>22</v>
      </c>
      <c r="J923" s="1">
        <v>0.1</v>
      </c>
      <c r="K923" s="1">
        <v>9000</v>
      </c>
      <c r="L923" s="2">
        <v>45351</v>
      </c>
    </row>
    <row r="924" spans="1:12" x14ac:dyDescent="0.35">
      <c r="A924" s="1" t="s">
        <v>1163</v>
      </c>
      <c r="B924" s="1" t="s">
        <v>68</v>
      </c>
      <c r="C924" s="1" t="s">
        <v>61</v>
      </c>
      <c r="D924" s="1" t="s">
        <v>62</v>
      </c>
      <c r="E924" s="1" t="s">
        <v>46</v>
      </c>
      <c r="F924" s="1" t="s">
        <v>25</v>
      </c>
      <c r="G924" s="1" t="s">
        <v>26</v>
      </c>
      <c r="H924" s="1">
        <v>8350</v>
      </c>
      <c r="I924" s="1"/>
      <c r="J924" s="1"/>
      <c r="K924" s="1">
        <v>9000</v>
      </c>
      <c r="L924" s="2">
        <v>45328</v>
      </c>
    </row>
    <row r="925" spans="1:12" x14ac:dyDescent="0.35">
      <c r="A925" s="1" t="s">
        <v>1164</v>
      </c>
      <c r="B925" s="1" t="s">
        <v>166</v>
      </c>
      <c r="C925" s="1" t="s">
        <v>61</v>
      </c>
      <c r="D925" s="1" t="s">
        <v>62</v>
      </c>
      <c r="E925" s="1" t="s">
        <v>46</v>
      </c>
      <c r="F925" s="1" t="s">
        <v>17</v>
      </c>
      <c r="G925" s="1" t="s">
        <v>36</v>
      </c>
      <c r="H925" s="1">
        <v>10457</v>
      </c>
      <c r="I925" s="1" t="s">
        <v>22</v>
      </c>
      <c r="J925" s="1">
        <v>0.1</v>
      </c>
      <c r="K925" s="1">
        <v>9000</v>
      </c>
      <c r="L925" s="2">
        <v>45326</v>
      </c>
    </row>
    <row r="926" spans="1:12" x14ac:dyDescent="0.35">
      <c r="A926" s="1" t="s">
        <v>1165</v>
      </c>
      <c r="B926" s="1" t="s">
        <v>500</v>
      </c>
      <c r="C926" s="1" t="s">
        <v>61</v>
      </c>
      <c r="D926" s="1" t="s">
        <v>62</v>
      </c>
      <c r="E926" s="1" t="s">
        <v>16</v>
      </c>
      <c r="F926" s="1" t="s">
        <v>17</v>
      </c>
      <c r="G926" s="1" t="s">
        <v>18</v>
      </c>
      <c r="H926" s="1">
        <v>9323</v>
      </c>
      <c r="I926" s="1" t="s">
        <v>27</v>
      </c>
      <c r="J926" s="1"/>
      <c r="K926" s="1">
        <v>9000</v>
      </c>
      <c r="L926" s="2">
        <v>45351</v>
      </c>
    </row>
    <row r="927" spans="1:12" x14ac:dyDescent="0.35">
      <c r="A927" s="1" t="s">
        <v>1166</v>
      </c>
      <c r="B927" s="1" t="s">
        <v>282</v>
      </c>
      <c r="C927" s="1" t="s">
        <v>30</v>
      </c>
      <c r="D927" s="1" t="s">
        <v>31</v>
      </c>
      <c r="E927" s="1" t="s">
        <v>46</v>
      </c>
      <c r="F927" s="1" t="s">
        <v>25</v>
      </c>
      <c r="G927" s="1" t="s">
        <v>26</v>
      </c>
      <c r="H927" s="1">
        <v>18927</v>
      </c>
      <c r="I927" s="1" t="s">
        <v>22</v>
      </c>
      <c r="J927" s="1">
        <v>0.1</v>
      </c>
      <c r="K927" s="1">
        <v>17000</v>
      </c>
      <c r="L927" s="2">
        <v>45315</v>
      </c>
    </row>
    <row r="928" spans="1:12" x14ac:dyDescent="0.35">
      <c r="A928" s="1" t="s">
        <v>1167</v>
      </c>
      <c r="B928" s="1" t="s">
        <v>105</v>
      </c>
      <c r="C928" s="1" t="s">
        <v>30</v>
      </c>
      <c r="D928" s="1" t="s">
        <v>31</v>
      </c>
      <c r="E928" s="1" t="s">
        <v>32</v>
      </c>
      <c r="F928" s="1" t="s">
        <v>17</v>
      </c>
      <c r="G928" s="1" t="s">
        <v>36</v>
      </c>
      <c r="H928" s="1">
        <v>17653</v>
      </c>
      <c r="I928" s="1" t="s">
        <v>19</v>
      </c>
      <c r="J928" s="1">
        <v>0.2</v>
      </c>
      <c r="K928" s="1">
        <v>17000</v>
      </c>
      <c r="L928" s="2">
        <v>45303</v>
      </c>
    </row>
    <row r="929" spans="1:12" x14ac:dyDescent="0.35">
      <c r="A929" s="1" t="s">
        <v>1168</v>
      </c>
      <c r="B929" s="1" t="s">
        <v>184</v>
      </c>
      <c r="C929" s="1" t="s">
        <v>61</v>
      </c>
      <c r="D929" s="1" t="s">
        <v>62</v>
      </c>
      <c r="E929" s="1" t="s">
        <v>16</v>
      </c>
      <c r="F929" s="1" t="s">
        <v>25</v>
      </c>
      <c r="G929" s="1" t="s">
        <v>36</v>
      </c>
      <c r="H929" s="1">
        <v>9850</v>
      </c>
      <c r="I929" s="1"/>
      <c r="J929" s="1"/>
      <c r="K929" s="1">
        <v>9000</v>
      </c>
      <c r="L929" s="2">
        <v>45349</v>
      </c>
    </row>
    <row r="930" spans="1:12" x14ac:dyDescent="0.35">
      <c r="A930" s="1" t="s">
        <v>1169</v>
      </c>
      <c r="B930" s="1" t="s">
        <v>21</v>
      </c>
      <c r="C930" s="1" t="s">
        <v>30</v>
      </c>
      <c r="D930" s="1" t="s">
        <v>31</v>
      </c>
      <c r="E930" s="1" t="s">
        <v>46</v>
      </c>
      <c r="F930" s="1" t="s">
        <v>25</v>
      </c>
      <c r="G930" s="1" t="s">
        <v>26</v>
      </c>
      <c r="H930" s="1">
        <v>16793</v>
      </c>
      <c r="I930" s="1" t="s">
        <v>19</v>
      </c>
      <c r="J930" s="1">
        <v>0.2</v>
      </c>
      <c r="K930" s="1">
        <v>17000</v>
      </c>
      <c r="L930" s="2">
        <v>45300</v>
      </c>
    </row>
    <row r="931" spans="1:12" x14ac:dyDescent="0.35">
      <c r="A931" s="1" t="s">
        <v>1170</v>
      </c>
      <c r="B931" s="1" t="s">
        <v>192</v>
      </c>
      <c r="C931" s="1" t="s">
        <v>14</v>
      </c>
      <c r="D931" s="1" t="s">
        <v>15</v>
      </c>
      <c r="E931" s="1" t="s">
        <v>16</v>
      </c>
      <c r="F931" s="1" t="s">
        <v>39</v>
      </c>
      <c r="G931" s="1" t="s">
        <v>18</v>
      </c>
      <c r="H931" s="1">
        <v>14003</v>
      </c>
      <c r="I931" s="1"/>
      <c r="J931" s="1"/>
      <c r="K931" s="1">
        <v>14000</v>
      </c>
      <c r="L931" s="2">
        <v>45296</v>
      </c>
    </row>
    <row r="932" spans="1:12" x14ac:dyDescent="0.35">
      <c r="A932" s="1" t="s">
        <v>1171</v>
      </c>
      <c r="B932" s="1" t="s">
        <v>133</v>
      </c>
      <c r="C932" s="1" t="s">
        <v>30</v>
      </c>
      <c r="D932" s="1" t="s">
        <v>31</v>
      </c>
      <c r="E932" s="1" t="s">
        <v>46</v>
      </c>
      <c r="F932" s="1" t="s">
        <v>39</v>
      </c>
      <c r="G932" s="1" t="s">
        <v>36</v>
      </c>
      <c r="H932" s="1">
        <v>18959</v>
      </c>
      <c r="I932" s="1" t="s">
        <v>22</v>
      </c>
      <c r="J932" s="1">
        <v>0.1</v>
      </c>
      <c r="K932" s="1">
        <v>17000</v>
      </c>
      <c r="L932" s="2">
        <v>45294</v>
      </c>
    </row>
    <row r="933" spans="1:12" x14ac:dyDescent="0.35">
      <c r="A933" s="1" t="s">
        <v>1172</v>
      </c>
      <c r="B933" s="1" t="s">
        <v>327</v>
      </c>
      <c r="C933" s="1" t="s">
        <v>30</v>
      </c>
      <c r="D933" s="1" t="s">
        <v>31</v>
      </c>
      <c r="E933" s="1" t="s">
        <v>16</v>
      </c>
      <c r="F933" s="1" t="s">
        <v>25</v>
      </c>
      <c r="G933" s="1" t="s">
        <v>36</v>
      </c>
      <c r="H933" s="1">
        <v>15484</v>
      </c>
      <c r="I933" s="1" t="s">
        <v>19</v>
      </c>
      <c r="J933" s="1">
        <v>0.2</v>
      </c>
      <c r="K933" s="1">
        <v>17000</v>
      </c>
      <c r="L933" s="2">
        <v>45343</v>
      </c>
    </row>
    <row r="934" spans="1:12" x14ac:dyDescent="0.35">
      <c r="A934" s="1" t="s">
        <v>1173</v>
      </c>
      <c r="B934" s="1" t="s">
        <v>92</v>
      </c>
      <c r="C934" s="1" t="s">
        <v>61</v>
      </c>
      <c r="D934" s="1" t="s">
        <v>62</v>
      </c>
      <c r="E934" s="1" t="s">
        <v>16</v>
      </c>
      <c r="F934" s="1" t="s">
        <v>39</v>
      </c>
      <c r="G934" s="1" t="s">
        <v>18</v>
      </c>
      <c r="H934" s="1">
        <v>10035</v>
      </c>
      <c r="I934" s="1" t="s">
        <v>27</v>
      </c>
      <c r="J934" s="1"/>
      <c r="K934" s="1">
        <v>9000</v>
      </c>
      <c r="L934" s="2">
        <v>45306</v>
      </c>
    </row>
    <row r="935" spans="1:12" x14ac:dyDescent="0.35">
      <c r="A935" s="1" t="s">
        <v>1174</v>
      </c>
      <c r="B935" s="1" t="s">
        <v>403</v>
      </c>
      <c r="C935" s="1" t="s">
        <v>14</v>
      </c>
      <c r="D935" s="1" t="s">
        <v>15</v>
      </c>
      <c r="E935" s="1" t="s">
        <v>16</v>
      </c>
      <c r="F935" s="1" t="s">
        <v>25</v>
      </c>
      <c r="G935" s="1" t="s">
        <v>36</v>
      </c>
      <c r="H935" s="1">
        <v>14678</v>
      </c>
      <c r="I935" s="1" t="s">
        <v>22</v>
      </c>
      <c r="J935" s="1">
        <v>0.1</v>
      </c>
      <c r="K935" s="1">
        <v>14000</v>
      </c>
      <c r="L935" s="2">
        <v>45322</v>
      </c>
    </row>
    <row r="936" spans="1:12" x14ac:dyDescent="0.35">
      <c r="A936" s="1" t="s">
        <v>1175</v>
      </c>
      <c r="B936" s="1" t="s">
        <v>60</v>
      </c>
      <c r="C936" s="1" t="s">
        <v>14</v>
      </c>
      <c r="D936" s="1" t="s">
        <v>15</v>
      </c>
      <c r="E936" s="1" t="s">
        <v>32</v>
      </c>
      <c r="F936" s="1" t="s">
        <v>39</v>
      </c>
      <c r="G936" s="1" t="s">
        <v>26</v>
      </c>
      <c r="H936" s="1">
        <v>12534</v>
      </c>
      <c r="I936" s="1" t="s">
        <v>22</v>
      </c>
      <c r="J936" s="1">
        <v>0.1</v>
      </c>
      <c r="K936" s="1">
        <v>14000</v>
      </c>
      <c r="L936" s="2">
        <v>45303</v>
      </c>
    </row>
    <row r="937" spans="1:12" x14ac:dyDescent="0.35">
      <c r="A937" s="1" t="s">
        <v>1176</v>
      </c>
      <c r="B937" s="1" t="s">
        <v>1032</v>
      </c>
      <c r="C937" s="1" t="s">
        <v>30</v>
      </c>
      <c r="D937" s="1" t="s">
        <v>31</v>
      </c>
      <c r="E937" s="1" t="s">
        <v>32</v>
      </c>
      <c r="F937" s="1" t="s">
        <v>17</v>
      </c>
      <c r="G937" s="1" t="s">
        <v>26</v>
      </c>
      <c r="H937" s="1">
        <v>15699</v>
      </c>
      <c r="I937" s="1" t="s">
        <v>27</v>
      </c>
      <c r="J937" s="1"/>
      <c r="K937" s="1">
        <v>17000</v>
      </c>
      <c r="L937" s="2">
        <v>45296</v>
      </c>
    </row>
    <row r="938" spans="1:12" x14ac:dyDescent="0.35">
      <c r="A938" s="1" t="s">
        <v>1177</v>
      </c>
      <c r="B938" s="1" t="s">
        <v>319</v>
      </c>
      <c r="C938" s="1" t="s">
        <v>14</v>
      </c>
      <c r="D938" s="1" t="s">
        <v>15</v>
      </c>
      <c r="E938" s="1" t="s">
        <v>32</v>
      </c>
      <c r="F938" s="1" t="s">
        <v>17</v>
      </c>
      <c r="G938" s="1" t="s">
        <v>26</v>
      </c>
      <c r="H938" s="1">
        <v>15273</v>
      </c>
      <c r="I938" s="1" t="s">
        <v>27</v>
      </c>
      <c r="J938" s="1"/>
      <c r="K938" s="1">
        <v>14000</v>
      </c>
      <c r="L938" s="2">
        <v>45306</v>
      </c>
    </row>
    <row r="939" spans="1:12" x14ac:dyDescent="0.35">
      <c r="A939" s="1" t="s">
        <v>1178</v>
      </c>
      <c r="B939" s="1" t="s">
        <v>200</v>
      </c>
      <c r="C939" s="1" t="s">
        <v>44</v>
      </c>
      <c r="D939" s="1" t="s">
        <v>45</v>
      </c>
      <c r="E939" s="1" t="s">
        <v>46</v>
      </c>
      <c r="F939" s="1" t="s">
        <v>17</v>
      </c>
      <c r="G939" s="1" t="s">
        <v>26</v>
      </c>
      <c r="H939" s="1">
        <v>13778</v>
      </c>
      <c r="I939" s="1"/>
      <c r="J939" s="1"/>
      <c r="K939" s="1">
        <v>13000</v>
      </c>
      <c r="L939" s="2">
        <v>45312</v>
      </c>
    </row>
    <row r="940" spans="1:12" x14ac:dyDescent="0.35">
      <c r="A940" s="1" t="s">
        <v>1179</v>
      </c>
      <c r="B940" s="1" t="s">
        <v>21</v>
      </c>
      <c r="C940" s="1" t="s">
        <v>44</v>
      </c>
      <c r="D940" s="1" t="s">
        <v>45</v>
      </c>
      <c r="E940" s="1" t="s">
        <v>46</v>
      </c>
      <c r="F940" s="1" t="s">
        <v>25</v>
      </c>
      <c r="G940" s="1" t="s">
        <v>18</v>
      </c>
      <c r="H940" s="1">
        <v>13429</v>
      </c>
      <c r="I940" s="1" t="s">
        <v>19</v>
      </c>
      <c r="J940" s="1">
        <v>0.2</v>
      </c>
      <c r="K940" s="1">
        <v>13000</v>
      </c>
      <c r="L940" s="2">
        <v>45313</v>
      </c>
    </row>
    <row r="941" spans="1:12" x14ac:dyDescent="0.35">
      <c r="A941" s="1" t="s">
        <v>1180</v>
      </c>
      <c r="B941" s="1" t="s">
        <v>78</v>
      </c>
      <c r="C941" s="1" t="s">
        <v>30</v>
      </c>
      <c r="D941" s="1" t="s">
        <v>31</v>
      </c>
      <c r="E941" s="1" t="s">
        <v>32</v>
      </c>
      <c r="F941" s="1" t="s">
        <v>17</v>
      </c>
      <c r="G941" s="1" t="s">
        <v>18</v>
      </c>
      <c r="H941" s="1">
        <v>17852</v>
      </c>
      <c r="I941" s="1" t="s">
        <v>33</v>
      </c>
      <c r="J941" s="1">
        <v>0.3</v>
      </c>
      <c r="K941" s="1">
        <v>17000</v>
      </c>
      <c r="L941" s="2">
        <v>45327</v>
      </c>
    </row>
    <row r="942" spans="1:12" x14ac:dyDescent="0.35">
      <c r="A942" s="1" t="s">
        <v>1181</v>
      </c>
      <c r="B942" s="1" t="s">
        <v>429</v>
      </c>
      <c r="C942" s="1" t="s">
        <v>44</v>
      </c>
      <c r="D942" s="1" t="s">
        <v>45</v>
      </c>
      <c r="E942" s="1" t="s">
        <v>16</v>
      </c>
      <c r="F942" s="1" t="s">
        <v>25</v>
      </c>
      <c r="G942" s="1" t="s">
        <v>18</v>
      </c>
      <c r="H942" s="1">
        <v>11409</v>
      </c>
      <c r="I942" s="1" t="s">
        <v>27</v>
      </c>
      <c r="J942" s="1"/>
      <c r="K942" s="1">
        <v>13000</v>
      </c>
      <c r="L942" s="2">
        <v>45316</v>
      </c>
    </row>
    <row r="943" spans="1:12" x14ac:dyDescent="0.35">
      <c r="A943" s="1" t="s">
        <v>1182</v>
      </c>
      <c r="B943" s="1" t="s">
        <v>72</v>
      </c>
      <c r="C943" s="1" t="s">
        <v>14</v>
      </c>
      <c r="D943" s="1" t="s">
        <v>15</v>
      </c>
      <c r="E943" s="1" t="s">
        <v>46</v>
      </c>
      <c r="F943" s="1" t="s">
        <v>25</v>
      </c>
      <c r="G943" s="1" t="s">
        <v>18</v>
      </c>
      <c r="H943" s="1">
        <v>12029</v>
      </c>
      <c r="I943" s="1" t="s">
        <v>19</v>
      </c>
      <c r="J943" s="1">
        <v>0.2</v>
      </c>
      <c r="K943" s="1">
        <v>14000</v>
      </c>
      <c r="L943" s="2">
        <v>45351</v>
      </c>
    </row>
    <row r="944" spans="1:12" x14ac:dyDescent="0.35">
      <c r="A944" s="1" t="s">
        <v>1183</v>
      </c>
      <c r="B944" s="1" t="s">
        <v>173</v>
      </c>
      <c r="C944" s="1" t="s">
        <v>30</v>
      </c>
      <c r="D944" s="1" t="s">
        <v>31</v>
      </c>
      <c r="E944" s="1" t="s">
        <v>46</v>
      </c>
      <c r="F944" s="1" t="s">
        <v>39</v>
      </c>
      <c r="G944" s="1" t="s">
        <v>36</v>
      </c>
      <c r="H944" s="1">
        <v>17835</v>
      </c>
      <c r="I944" s="1" t="s">
        <v>19</v>
      </c>
      <c r="J944" s="1">
        <v>0.2</v>
      </c>
      <c r="K944" s="1">
        <v>17000</v>
      </c>
      <c r="L944" s="2">
        <v>45305</v>
      </c>
    </row>
    <row r="945" spans="1:12" x14ac:dyDescent="0.35">
      <c r="A945" s="1" t="s">
        <v>1184</v>
      </c>
      <c r="B945" s="1" t="s">
        <v>113</v>
      </c>
      <c r="C945" s="1" t="s">
        <v>30</v>
      </c>
      <c r="D945" s="1" t="s">
        <v>31</v>
      </c>
      <c r="E945" s="1" t="s">
        <v>16</v>
      </c>
      <c r="F945" s="1" t="s">
        <v>17</v>
      </c>
      <c r="G945" s="1" t="s">
        <v>36</v>
      </c>
      <c r="H945" s="1">
        <v>15979</v>
      </c>
      <c r="I945" s="1" t="s">
        <v>19</v>
      </c>
      <c r="J945" s="1">
        <v>0.2</v>
      </c>
      <c r="K945" s="1">
        <v>17000</v>
      </c>
      <c r="L945" s="2">
        <v>45331</v>
      </c>
    </row>
    <row r="946" spans="1:12" x14ac:dyDescent="0.35">
      <c r="A946" s="1" t="s">
        <v>1185</v>
      </c>
      <c r="B946" s="1" t="s">
        <v>464</v>
      </c>
      <c r="C946" s="1" t="s">
        <v>44</v>
      </c>
      <c r="D946" s="1" t="s">
        <v>45</v>
      </c>
      <c r="E946" s="1" t="s">
        <v>16</v>
      </c>
      <c r="F946" s="1" t="s">
        <v>17</v>
      </c>
      <c r="G946" s="1" t="s">
        <v>26</v>
      </c>
      <c r="H946" s="1">
        <v>14892</v>
      </c>
      <c r="I946" s="1" t="s">
        <v>22</v>
      </c>
      <c r="J946" s="1">
        <v>0.1</v>
      </c>
      <c r="K946" s="1">
        <v>13000</v>
      </c>
      <c r="L946" s="2">
        <v>45332</v>
      </c>
    </row>
    <row r="947" spans="1:12" x14ac:dyDescent="0.35">
      <c r="A947" s="1" t="s">
        <v>1186</v>
      </c>
      <c r="B947" s="1" t="s">
        <v>393</v>
      </c>
      <c r="C947" s="1" t="s">
        <v>30</v>
      </c>
      <c r="D947" s="1" t="s">
        <v>31</v>
      </c>
      <c r="E947" s="1" t="s">
        <v>46</v>
      </c>
      <c r="F947" s="1" t="s">
        <v>17</v>
      </c>
      <c r="G947" s="1" t="s">
        <v>18</v>
      </c>
      <c r="H947" s="1">
        <v>17284</v>
      </c>
      <c r="I947" s="1" t="s">
        <v>19</v>
      </c>
      <c r="J947" s="1">
        <v>0.2</v>
      </c>
      <c r="K947" s="1">
        <v>17000</v>
      </c>
      <c r="L947" s="2">
        <v>45304</v>
      </c>
    </row>
    <row r="948" spans="1:12" x14ac:dyDescent="0.35">
      <c r="A948" s="1" t="s">
        <v>1187</v>
      </c>
      <c r="B948" s="1" t="s">
        <v>241</v>
      </c>
      <c r="C948" s="1" t="s">
        <v>14</v>
      </c>
      <c r="D948" s="1" t="s">
        <v>15</v>
      </c>
      <c r="E948" s="1" t="s">
        <v>16</v>
      </c>
      <c r="F948" s="1" t="s">
        <v>17</v>
      </c>
      <c r="G948" s="1" t="s">
        <v>26</v>
      </c>
      <c r="H948" s="1">
        <v>14078</v>
      </c>
      <c r="I948" s="1" t="s">
        <v>19</v>
      </c>
      <c r="J948" s="1">
        <v>0.2</v>
      </c>
      <c r="K948" s="1">
        <v>14000</v>
      </c>
      <c r="L948" s="2">
        <v>45321</v>
      </c>
    </row>
    <row r="949" spans="1:12" x14ac:dyDescent="0.35">
      <c r="A949" s="1" t="s">
        <v>1188</v>
      </c>
      <c r="B949" s="1" t="s">
        <v>426</v>
      </c>
      <c r="C949" s="1" t="s">
        <v>44</v>
      </c>
      <c r="D949" s="1" t="s">
        <v>45</v>
      </c>
      <c r="E949" s="1" t="s">
        <v>46</v>
      </c>
      <c r="F949" s="1" t="s">
        <v>25</v>
      </c>
      <c r="G949" s="1" t="s">
        <v>18</v>
      </c>
      <c r="H949" s="1">
        <v>11461</v>
      </c>
      <c r="I949" s="1" t="s">
        <v>19</v>
      </c>
      <c r="J949" s="1">
        <v>0.2</v>
      </c>
      <c r="K949" s="1">
        <v>13000</v>
      </c>
      <c r="L949" s="2">
        <v>45335</v>
      </c>
    </row>
    <row r="950" spans="1:12" x14ac:dyDescent="0.35">
      <c r="A950" s="1" t="s">
        <v>1189</v>
      </c>
      <c r="B950" s="1" t="s">
        <v>1190</v>
      </c>
      <c r="C950" s="1" t="s">
        <v>61</v>
      </c>
      <c r="D950" s="1" t="s">
        <v>62</v>
      </c>
      <c r="E950" s="1" t="s">
        <v>32</v>
      </c>
      <c r="F950" s="1" t="s">
        <v>25</v>
      </c>
      <c r="G950" s="1" t="s">
        <v>26</v>
      </c>
      <c r="H950" s="1">
        <v>10779</v>
      </c>
      <c r="I950" s="1" t="s">
        <v>22</v>
      </c>
      <c r="J950" s="1">
        <v>0.1</v>
      </c>
      <c r="K950" s="1">
        <v>9000</v>
      </c>
      <c r="L950" s="2">
        <v>45295</v>
      </c>
    </row>
    <row r="951" spans="1:12" x14ac:dyDescent="0.35">
      <c r="A951" s="1" t="s">
        <v>1191</v>
      </c>
      <c r="B951" s="1" t="s">
        <v>317</v>
      </c>
      <c r="C951" s="1" t="s">
        <v>30</v>
      </c>
      <c r="D951" s="1" t="s">
        <v>31</v>
      </c>
      <c r="E951" s="1" t="s">
        <v>32</v>
      </c>
      <c r="F951" s="1" t="s">
        <v>17</v>
      </c>
      <c r="G951" s="1" t="s">
        <v>36</v>
      </c>
      <c r="H951" s="1">
        <v>16369</v>
      </c>
      <c r="I951" s="1" t="s">
        <v>27</v>
      </c>
      <c r="J951" s="1"/>
      <c r="K951" s="1">
        <v>17000</v>
      </c>
      <c r="L951" s="2">
        <v>45343</v>
      </c>
    </row>
    <row r="952" spans="1:12" x14ac:dyDescent="0.35">
      <c r="A952" s="1" t="s">
        <v>1192</v>
      </c>
      <c r="B952" s="1" t="s">
        <v>148</v>
      </c>
      <c r="C952" s="1" t="s">
        <v>61</v>
      </c>
      <c r="D952" s="1" t="s">
        <v>62</v>
      </c>
      <c r="E952" s="1" t="s">
        <v>32</v>
      </c>
      <c r="F952" s="1" t="s">
        <v>25</v>
      </c>
      <c r="G952" s="1" t="s">
        <v>26</v>
      </c>
      <c r="H952" s="1">
        <v>7214</v>
      </c>
      <c r="I952" s="1" t="s">
        <v>27</v>
      </c>
      <c r="J952" s="1"/>
      <c r="K952" s="1">
        <v>9000</v>
      </c>
      <c r="L952" s="2">
        <v>45303</v>
      </c>
    </row>
    <row r="953" spans="1:12" x14ac:dyDescent="0.35">
      <c r="A953" s="1" t="s">
        <v>1193</v>
      </c>
      <c r="B953" s="1" t="s">
        <v>135</v>
      </c>
      <c r="C953" s="1" t="s">
        <v>14</v>
      </c>
      <c r="D953" s="1" t="s">
        <v>15</v>
      </c>
      <c r="E953" s="1" t="s">
        <v>46</v>
      </c>
      <c r="F953" s="1" t="s">
        <v>39</v>
      </c>
      <c r="G953" s="1" t="s">
        <v>18</v>
      </c>
      <c r="H953" s="1">
        <v>12290</v>
      </c>
      <c r="I953" s="1" t="s">
        <v>19</v>
      </c>
      <c r="J953" s="1">
        <v>0.2</v>
      </c>
      <c r="K953" s="1">
        <v>14000</v>
      </c>
      <c r="L953" s="2">
        <v>45338</v>
      </c>
    </row>
    <row r="954" spans="1:12" x14ac:dyDescent="0.35">
      <c r="A954" s="1" t="s">
        <v>1194</v>
      </c>
      <c r="B954" s="1" t="s">
        <v>600</v>
      </c>
      <c r="C954" s="1" t="s">
        <v>30</v>
      </c>
      <c r="D954" s="1" t="s">
        <v>31</v>
      </c>
      <c r="E954" s="1" t="s">
        <v>46</v>
      </c>
      <c r="F954" s="1" t="s">
        <v>25</v>
      </c>
      <c r="G954" s="1" t="s">
        <v>26</v>
      </c>
      <c r="H954" s="1">
        <v>17772</v>
      </c>
      <c r="I954" s="1" t="s">
        <v>33</v>
      </c>
      <c r="J954" s="1">
        <v>0.3</v>
      </c>
      <c r="K954" s="1">
        <v>17000</v>
      </c>
      <c r="L954" s="2">
        <v>45306</v>
      </c>
    </row>
    <row r="955" spans="1:12" x14ac:dyDescent="0.35">
      <c r="A955" s="1" t="s">
        <v>1195</v>
      </c>
      <c r="B955" s="1" t="s">
        <v>652</v>
      </c>
      <c r="C955" s="1" t="s">
        <v>30</v>
      </c>
      <c r="D955" s="1" t="s">
        <v>31</v>
      </c>
      <c r="E955" s="1" t="s">
        <v>32</v>
      </c>
      <c r="F955" s="1" t="s">
        <v>25</v>
      </c>
      <c r="G955" s="1" t="s">
        <v>18</v>
      </c>
      <c r="H955" s="1">
        <v>18021</v>
      </c>
      <c r="I955" s="1"/>
      <c r="J955" s="1"/>
      <c r="K955" s="1">
        <v>17000</v>
      </c>
      <c r="L955" s="2">
        <v>45347</v>
      </c>
    </row>
    <row r="956" spans="1:12" x14ac:dyDescent="0.35">
      <c r="A956" s="1" t="s">
        <v>1196</v>
      </c>
      <c r="B956" s="1" t="s">
        <v>414</v>
      </c>
      <c r="C956" s="1" t="s">
        <v>44</v>
      </c>
      <c r="D956" s="1" t="s">
        <v>45</v>
      </c>
      <c r="E956" s="1" t="s">
        <v>32</v>
      </c>
      <c r="F956" s="1" t="s">
        <v>17</v>
      </c>
      <c r="G956" s="1" t="s">
        <v>26</v>
      </c>
      <c r="H956" s="1">
        <v>12984</v>
      </c>
      <c r="I956" s="1" t="s">
        <v>22</v>
      </c>
      <c r="J956" s="1">
        <v>0.1</v>
      </c>
      <c r="K956" s="1">
        <v>13000</v>
      </c>
      <c r="L956" s="2">
        <v>45348</v>
      </c>
    </row>
    <row r="957" spans="1:12" x14ac:dyDescent="0.35">
      <c r="A957" s="1" t="s">
        <v>1197</v>
      </c>
      <c r="B957" s="1" t="s">
        <v>186</v>
      </c>
      <c r="C957" s="1" t="s">
        <v>44</v>
      </c>
      <c r="D957" s="1" t="s">
        <v>45</v>
      </c>
      <c r="E957" s="1" t="s">
        <v>16</v>
      </c>
      <c r="F957" s="1" t="s">
        <v>17</v>
      </c>
      <c r="G957" s="1" t="s">
        <v>18</v>
      </c>
      <c r="H957" s="1">
        <v>12586</v>
      </c>
      <c r="I957" s="1" t="s">
        <v>33</v>
      </c>
      <c r="J957" s="1">
        <v>0.3</v>
      </c>
      <c r="K957" s="1">
        <v>13000</v>
      </c>
      <c r="L957" s="2">
        <v>45300</v>
      </c>
    </row>
    <row r="958" spans="1:12" x14ac:dyDescent="0.35">
      <c r="A958" s="1" t="s">
        <v>1198</v>
      </c>
      <c r="B958" s="1" t="s">
        <v>483</v>
      </c>
      <c r="C958" s="1" t="s">
        <v>44</v>
      </c>
      <c r="D958" s="1" t="s">
        <v>45</v>
      </c>
      <c r="E958" s="1" t="s">
        <v>16</v>
      </c>
      <c r="F958" s="1" t="s">
        <v>17</v>
      </c>
      <c r="G958" s="1" t="s">
        <v>36</v>
      </c>
      <c r="H958" s="1">
        <v>11828</v>
      </c>
      <c r="I958" s="1" t="s">
        <v>33</v>
      </c>
      <c r="J958" s="1">
        <v>0.3</v>
      </c>
      <c r="K958" s="1">
        <v>13000</v>
      </c>
      <c r="L958" s="2">
        <v>45300</v>
      </c>
    </row>
    <row r="959" spans="1:12" x14ac:dyDescent="0.35">
      <c r="A959" s="1" t="s">
        <v>1199</v>
      </c>
      <c r="B959" s="1" t="s">
        <v>190</v>
      </c>
      <c r="C959" s="1" t="s">
        <v>14</v>
      </c>
      <c r="D959" s="1" t="s">
        <v>15</v>
      </c>
      <c r="E959" s="1" t="s">
        <v>46</v>
      </c>
      <c r="F959" s="1" t="s">
        <v>25</v>
      </c>
      <c r="G959" s="1" t="s">
        <v>18</v>
      </c>
      <c r="H959" s="1">
        <v>15488</v>
      </c>
      <c r="I959" s="1"/>
      <c r="J959" s="1"/>
      <c r="K959" s="1">
        <v>14000</v>
      </c>
      <c r="L959" s="2">
        <v>45321</v>
      </c>
    </row>
    <row r="960" spans="1:12" x14ac:dyDescent="0.35">
      <c r="A960" s="1" t="s">
        <v>1200</v>
      </c>
      <c r="B960" s="1" t="s">
        <v>186</v>
      </c>
      <c r="C960" s="1" t="s">
        <v>30</v>
      </c>
      <c r="D960" s="1" t="s">
        <v>31</v>
      </c>
      <c r="E960" s="1" t="s">
        <v>32</v>
      </c>
      <c r="F960" s="1" t="s">
        <v>17</v>
      </c>
      <c r="G960" s="1" t="s">
        <v>26</v>
      </c>
      <c r="H960" s="1">
        <v>15642</v>
      </c>
      <c r="I960" s="1" t="s">
        <v>27</v>
      </c>
      <c r="J960" s="1"/>
      <c r="K960" s="1">
        <v>17000</v>
      </c>
      <c r="L960" s="2">
        <v>45349</v>
      </c>
    </row>
    <row r="961" spans="1:12" x14ac:dyDescent="0.35">
      <c r="A961" s="1" t="s">
        <v>1201</v>
      </c>
      <c r="B961" s="1" t="s">
        <v>720</v>
      </c>
      <c r="C961" s="1" t="s">
        <v>44</v>
      </c>
      <c r="D961" s="1" t="s">
        <v>45</v>
      </c>
      <c r="E961" s="1" t="s">
        <v>32</v>
      </c>
      <c r="F961" s="1" t="s">
        <v>17</v>
      </c>
      <c r="G961" s="1" t="s">
        <v>26</v>
      </c>
      <c r="H961" s="1">
        <v>13003</v>
      </c>
      <c r="I961" s="1" t="s">
        <v>19</v>
      </c>
      <c r="J961" s="1">
        <v>0.2</v>
      </c>
      <c r="K961" s="1">
        <v>13000</v>
      </c>
      <c r="L961" s="2">
        <v>45329</v>
      </c>
    </row>
    <row r="962" spans="1:12" x14ac:dyDescent="0.35">
      <c r="A962" s="1" t="s">
        <v>1202</v>
      </c>
      <c r="B962" s="1" t="s">
        <v>752</v>
      </c>
      <c r="C962" s="1" t="s">
        <v>61</v>
      </c>
      <c r="D962" s="1" t="s">
        <v>62</v>
      </c>
      <c r="E962" s="1" t="s">
        <v>46</v>
      </c>
      <c r="F962" s="1" t="s">
        <v>25</v>
      </c>
      <c r="G962" s="1" t="s">
        <v>26</v>
      </c>
      <c r="H962" s="1">
        <v>8753</v>
      </c>
      <c r="I962" s="1" t="s">
        <v>19</v>
      </c>
      <c r="J962" s="1">
        <v>0.2</v>
      </c>
      <c r="K962" s="1">
        <v>9000</v>
      </c>
      <c r="L962" s="2">
        <v>45307</v>
      </c>
    </row>
    <row r="963" spans="1:12" x14ac:dyDescent="0.35">
      <c r="A963" s="1" t="s">
        <v>1203</v>
      </c>
      <c r="B963" s="1" t="s">
        <v>666</v>
      </c>
      <c r="C963" s="1" t="s">
        <v>44</v>
      </c>
      <c r="D963" s="1" t="s">
        <v>45</v>
      </c>
      <c r="E963" s="1" t="s">
        <v>16</v>
      </c>
      <c r="F963" s="1" t="s">
        <v>25</v>
      </c>
      <c r="G963" s="1" t="s">
        <v>26</v>
      </c>
      <c r="H963" s="1">
        <v>14679</v>
      </c>
      <c r="I963" s="1" t="s">
        <v>22</v>
      </c>
      <c r="J963" s="1">
        <v>0.1</v>
      </c>
      <c r="K963" s="1">
        <v>13000</v>
      </c>
      <c r="L963" s="2">
        <v>45318</v>
      </c>
    </row>
    <row r="964" spans="1:12" x14ac:dyDescent="0.35">
      <c r="A964" s="1" t="s">
        <v>1204</v>
      </c>
      <c r="B964" s="1" t="s">
        <v>161</v>
      </c>
      <c r="C964" s="1" t="s">
        <v>61</v>
      </c>
      <c r="D964" s="1" t="s">
        <v>62</v>
      </c>
      <c r="E964" s="1" t="s">
        <v>16</v>
      </c>
      <c r="F964" s="1" t="s">
        <v>39</v>
      </c>
      <c r="G964" s="1" t="s">
        <v>18</v>
      </c>
      <c r="H964" s="1">
        <v>8743</v>
      </c>
      <c r="I964" s="1" t="s">
        <v>27</v>
      </c>
      <c r="J964" s="1"/>
      <c r="K964" s="1">
        <v>9000</v>
      </c>
      <c r="L964" s="2">
        <v>45317</v>
      </c>
    </row>
    <row r="965" spans="1:12" x14ac:dyDescent="0.35">
      <c r="A965" s="1" t="s">
        <v>1205</v>
      </c>
      <c r="B965" s="1" t="s">
        <v>157</v>
      </c>
      <c r="C965" s="1" t="s">
        <v>14</v>
      </c>
      <c r="D965" s="1" t="s">
        <v>15</v>
      </c>
      <c r="E965" s="1" t="s">
        <v>46</v>
      </c>
      <c r="F965" s="1" t="s">
        <v>17</v>
      </c>
      <c r="G965" s="1" t="s">
        <v>18</v>
      </c>
      <c r="H965" s="1">
        <v>12340</v>
      </c>
      <c r="I965" s="1" t="s">
        <v>27</v>
      </c>
      <c r="J965" s="1"/>
      <c r="K965" s="1">
        <v>14000</v>
      </c>
      <c r="L965" s="2">
        <v>45340</v>
      </c>
    </row>
    <row r="966" spans="1:12" x14ac:dyDescent="0.35">
      <c r="A966" s="1" t="s">
        <v>1206</v>
      </c>
      <c r="B966" s="1" t="s">
        <v>190</v>
      </c>
      <c r="C966" s="1" t="s">
        <v>61</v>
      </c>
      <c r="D966" s="1" t="s">
        <v>62</v>
      </c>
      <c r="E966" s="1" t="s">
        <v>32</v>
      </c>
      <c r="F966" s="1" t="s">
        <v>25</v>
      </c>
      <c r="G966" s="1" t="s">
        <v>36</v>
      </c>
      <c r="H966" s="1">
        <v>8211</v>
      </c>
      <c r="I966" s="1" t="s">
        <v>19</v>
      </c>
      <c r="J966" s="1">
        <v>0.2</v>
      </c>
      <c r="K966" s="1">
        <v>9000</v>
      </c>
      <c r="L966" s="2">
        <v>45333</v>
      </c>
    </row>
    <row r="967" spans="1:12" x14ac:dyDescent="0.35">
      <c r="A967" s="1" t="s">
        <v>1207</v>
      </c>
      <c r="B967" s="1" t="s">
        <v>43</v>
      </c>
      <c r="C967" s="1" t="s">
        <v>61</v>
      </c>
      <c r="D967" s="1" t="s">
        <v>62</v>
      </c>
      <c r="E967" s="1" t="s">
        <v>16</v>
      </c>
      <c r="F967" s="1" t="s">
        <v>17</v>
      </c>
      <c r="G967" s="1" t="s">
        <v>18</v>
      </c>
      <c r="H967" s="1">
        <v>9880</v>
      </c>
      <c r="I967" s="1"/>
      <c r="J967" s="1"/>
      <c r="K967" s="1">
        <v>9000</v>
      </c>
      <c r="L967" s="2">
        <v>45346</v>
      </c>
    </row>
    <row r="968" spans="1:12" x14ac:dyDescent="0.35">
      <c r="A968" s="1" t="s">
        <v>1208</v>
      </c>
      <c r="B968" s="1" t="s">
        <v>233</v>
      </c>
      <c r="C968" s="1" t="s">
        <v>14</v>
      </c>
      <c r="D968" s="1" t="s">
        <v>15</v>
      </c>
      <c r="E968" s="1" t="s">
        <v>46</v>
      </c>
      <c r="F968" s="1" t="s">
        <v>17</v>
      </c>
      <c r="G968" s="1" t="s">
        <v>18</v>
      </c>
      <c r="H968" s="1">
        <v>15580</v>
      </c>
      <c r="I968" s="1"/>
      <c r="J968" s="1"/>
      <c r="K968" s="1">
        <v>14000</v>
      </c>
      <c r="L968" s="2">
        <v>45303</v>
      </c>
    </row>
    <row r="969" spans="1:12" x14ac:dyDescent="0.35">
      <c r="A969" s="1" t="s">
        <v>1209</v>
      </c>
      <c r="B969" s="1" t="s">
        <v>140</v>
      </c>
      <c r="C969" s="1" t="s">
        <v>30</v>
      </c>
      <c r="D969" s="1" t="s">
        <v>31</v>
      </c>
      <c r="E969" s="1" t="s">
        <v>16</v>
      </c>
      <c r="F969" s="1" t="s">
        <v>17</v>
      </c>
      <c r="G969" s="1" t="s">
        <v>26</v>
      </c>
      <c r="H969" s="1">
        <v>17594</v>
      </c>
      <c r="I969" s="1" t="s">
        <v>22</v>
      </c>
      <c r="J969" s="1">
        <v>0.1</v>
      </c>
      <c r="K969" s="1">
        <v>17000</v>
      </c>
      <c r="L969" s="2">
        <v>45347</v>
      </c>
    </row>
    <row r="970" spans="1:12" x14ac:dyDescent="0.35">
      <c r="A970" s="1" t="s">
        <v>1210</v>
      </c>
      <c r="B970" s="1" t="s">
        <v>13</v>
      </c>
      <c r="C970" s="1" t="s">
        <v>61</v>
      </c>
      <c r="D970" s="1" t="s">
        <v>62</v>
      </c>
      <c r="E970" s="1" t="s">
        <v>16</v>
      </c>
      <c r="F970" s="1" t="s">
        <v>17</v>
      </c>
      <c r="G970" s="1" t="s">
        <v>26</v>
      </c>
      <c r="H970" s="1">
        <v>7133</v>
      </c>
      <c r="I970" s="1" t="s">
        <v>33</v>
      </c>
      <c r="J970" s="1">
        <v>0.3</v>
      </c>
      <c r="K970" s="1">
        <v>9000</v>
      </c>
      <c r="L970" s="2">
        <v>45319</v>
      </c>
    </row>
    <row r="971" spans="1:12" x14ac:dyDescent="0.35">
      <c r="A971" s="1" t="s">
        <v>1211</v>
      </c>
      <c r="B971" s="1" t="s">
        <v>1073</v>
      </c>
      <c r="C971" s="1" t="s">
        <v>44</v>
      </c>
      <c r="D971" s="1" t="s">
        <v>45</v>
      </c>
      <c r="E971" s="1" t="s">
        <v>16</v>
      </c>
      <c r="F971" s="1" t="s">
        <v>25</v>
      </c>
      <c r="G971" s="1" t="s">
        <v>26</v>
      </c>
      <c r="H971" s="1">
        <v>14607</v>
      </c>
      <c r="I971" s="1" t="s">
        <v>33</v>
      </c>
      <c r="J971" s="1">
        <v>0.3</v>
      </c>
      <c r="K971" s="1">
        <v>13000</v>
      </c>
      <c r="L971" s="2">
        <v>45339</v>
      </c>
    </row>
    <row r="972" spans="1:12" x14ac:dyDescent="0.35">
      <c r="A972" s="1" t="s">
        <v>1212</v>
      </c>
      <c r="B972" s="1" t="s">
        <v>987</v>
      </c>
      <c r="C972" s="1" t="s">
        <v>30</v>
      </c>
      <c r="D972" s="1" t="s">
        <v>31</v>
      </c>
      <c r="E972" s="1" t="s">
        <v>32</v>
      </c>
      <c r="F972" s="1" t="s">
        <v>25</v>
      </c>
      <c r="G972" s="1" t="s">
        <v>36</v>
      </c>
      <c r="H972" s="1">
        <v>16497</v>
      </c>
      <c r="I972" s="1"/>
      <c r="J972" s="1"/>
      <c r="K972" s="1">
        <v>17000</v>
      </c>
      <c r="L972" s="2">
        <v>45331</v>
      </c>
    </row>
    <row r="973" spans="1:12" x14ac:dyDescent="0.35">
      <c r="A973" s="1" t="s">
        <v>1213</v>
      </c>
      <c r="B973" s="1" t="s">
        <v>125</v>
      </c>
      <c r="C973" s="1" t="s">
        <v>30</v>
      </c>
      <c r="D973" s="1" t="s">
        <v>31</v>
      </c>
      <c r="E973" s="1" t="s">
        <v>32</v>
      </c>
      <c r="F973" s="1" t="s">
        <v>39</v>
      </c>
      <c r="G973" s="1" t="s">
        <v>26</v>
      </c>
      <c r="H973" s="1">
        <v>17887</v>
      </c>
      <c r="I973" s="1" t="s">
        <v>22</v>
      </c>
      <c r="J973" s="1">
        <v>0.1</v>
      </c>
      <c r="K973" s="1">
        <v>17000</v>
      </c>
      <c r="L973" s="2">
        <v>45327</v>
      </c>
    </row>
    <row r="974" spans="1:12" x14ac:dyDescent="0.35">
      <c r="A974" s="1" t="s">
        <v>1214</v>
      </c>
      <c r="B974" s="1" t="s">
        <v>276</v>
      </c>
      <c r="C974" s="1" t="s">
        <v>44</v>
      </c>
      <c r="D974" s="1" t="s">
        <v>45</v>
      </c>
      <c r="E974" s="1" t="s">
        <v>32</v>
      </c>
      <c r="F974" s="1" t="s">
        <v>17</v>
      </c>
      <c r="G974" s="1" t="s">
        <v>18</v>
      </c>
      <c r="H974" s="1">
        <v>13210</v>
      </c>
      <c r="I974" s="1" t="s">
        <v>22</v>
      </c>
      <c r="J974" s="1">
        <v>0.1</v>
      </c>
      <c r="K974" s="1">
        <v>13000</v>
      </c>
      <c r="L974" s="2">
        <v>45333</v>
      </c>
    </row>
    <row r="975" spans="1:12" x14ac:dyDescent="0.35">
      <c r="A975" s="1" t="s">
        <v>1215</v>
      </c>
      <c r="B975" s="1" t="s">
        <v>483</v>
      </c>
      <c r="C975" s="1" t="s">
        <v>44</v>
      </c>
      <c r="D975" s="1" t="s">
        <v>45</v>
      </c>
      <c r="E975" s="1" t="s">
        <v>16</v>
      </c>
      <c r="F975" s="1" t="s">
        <v>25</v>
      </c>
      <c r="G975" s="1" t="s">
        <v>36</v>
      </c>
      <c r="H975" s="1">
        <v>12444</v>
      </c>
      <c r="I975" s="1" t="s">
        <v>33</v>
      </c>
      <c r="J975" s="1">
        <v>0.3</v>
      </c>
      <c r="K975" s="1">
        <v>13000</v>
      </c>
      <c r="L975" s="2">
        <v>45324</v>
      </c>
    </row>
    <row r="976" spans="1:12" x14ac:dyDescent="0.35">
      <c r="A976" s="1" t="s">
        <v>1216</v>
      </c>
      <c r="B976" s="1" t="s">
        <v>90</v>
      </c>
      <c r="C976" s="1" t="s">
        <v>30</v>
      </c>
      <c r="D976" s="1" t="s">
        <v>31</v>
      </c>
      <c r="E976" s="1" t="s">
        <v>32</v>
      </c>
      <c r="F976" s="1" t="s">
        <v>25</v>
      </c>
      <c r="G976" s="1" t="s">
        <v>36</v>
      </c>
      <c r="H976" s="1">
        <v>16414</v>
      </c>
      <c r="I976" s="1"/>
      <c r="J976" s="1"/>
      <c r="K976" s="1">
        <v>17000</v>
      </c>
      <c r="L976" s="2">
        <v>45323</v>
      </c>
    </row>
    <row r="977" spans="1:12" x14ac:dyDescent="0.35">
      <c r="A977" s="1" t="s">
        <v>1217</v>
      </c>
      <c r="B977" s="1" t="s">
        <v>168</v>
      </c>
      <c r="C977" s="1" t="s">
        <v>14</v>
      </c>
      <c r="D977" s="1" t="s">
        <v>15</v>
      </c>
      <c r="E977" s="1" t="s">
        <v>46</v>
      </c>
      <c r="F977" s="1" t="s">
        <v>39</v>
      </c>
      <c r="G977" s="1" t="s">
        <v>26</v>
      </c>
      <c r="H977" s="1">
        <v>14778</v>
      </c>
      <c r="I977" s="1" t="s">
        <v>27</v>
      </c>
      <c r="J977" s="1"/>
      <c r="K977" s="1">
        <v>14000</v>
      </c>
      <c r="L977" s="2">
        <v>45349</v>
      </c>
    </row>
    <row r="978" spans="1:12" x14ac:dyDescent="0.35">
      <c r="A978" s="1" t="s">
        <v>1218</v>
      </c>
      <c r="B978" s="1" t="s">
        <v>48</v>
      </c>
      <c r="C978" s="1" t="s">
        <v>30</v>
      </c>
      <c r="D978" s="1" t="s">
        <v>31</v>
      </c>
      <c r="E978" s="1" t="s">
        <v>16</v>
      </c>
      <c r="F978" s="1" t="s">
        <v>39</v>
      </c>
      <c r="G978" s="1" t="s">
        <v>18</v>
      </c>
      <c r="H978" s="1">
        <v>15771</v>
      </c>
      <c r="I978" s="1"/>
      <c r="J978" s="1"/>
      <c r="K978" s="1">
        <v>17000</v>
      </c>
      <c r="L978" s="2">
        <v>45297</v>
      </c>
    </row>
    <row r="979" spans="1:12" x14ac:dyDescent="0.35">
      <c r="A979" s="1" t="s">
        <v>1219</v>
      </c>
      <c r="B979" s="1" t="s">
        <v>66</v>
      </c>
      <c r="C979" s="1" t="s">
        <v>44</v>
      </c>
      <c r="D979" s="1" t="s">
        <v>45</v>
      </c>
      <c r="E979" s="1" t="s">
        <v>46</v>
      </c>
      <c r="F979" s="1" t="s">
        <v>25</v>
      </c>
      <c r="G979" s="1" t="s">
        <v>18</v>
      </c>
      <c r="H979" s="1">
        <v>11674</v>
      </c>
      <c r="I979" s="1" t="s">
        <v>33</v>
      </c>
      <c r="J979" s="1">
        <v>0.3</v>
      </c>
      <c r="K979" s="1">
        <v>13000</v>
      </c>
      <c r="L979" s="2">
        <v>45299</v>
      </c>
    </row>
    <row r="980" spans="1:12" x14ac:dyDescent="0.35">
      <c r="A980" s="1" t="s">
        <v>1220</v>
      </c>
      <c r="B980" s="1" t="s">
        <v>153</v>
      </c>
      <c r="C980" s="1" t="s">
        <v>61</v>
      </c>
      <c r="D980" s="1" t="s">
        <v>62</v>
      </c>
      <c r="E980" s="1" t="s">
        <v>32</v>
      </c>
      <c r="F980" s="1" t="s">
        <v>25</v>
      </c>
      <c r="G980" s="1" t="s">
        <v>26</v>
      </c>
      <c r="H980" s="1">
        <v>10899</v>
      </c>
      <c r="I980" s="1" t="s">
        <v>22</v>
      </c>
      <c r="J980" s="1">
        <v>0.1</v>
      </c>
      <c r="K980" s="1">
        <v>9000</v>
      </c>
      <c r="L980" s="2">
        <v>45310</v>
      </c>
    </row>
    <row r="981" spans="1:12" x14ac:dyDescent="0.35">
      <c r="A981" s="1" t="s">
        <v>1221</v>
      </c>
      <c r="B981" s="1" t="s">
        <v>274</v>
      </c>
      <c r="C981" s="1" t="s">
        <v>44</v>
      </c>
      <c r="D981" s="1" t="s">
        <v>45</v>
      </c>
      <c r="E981" s="1" t="s">
        <v>46</v>
      </c>
      <c r="F981" s="1" t="s">
        <v>17</v>
      </c>
      <c r="G981" s="1" t="s">
        <v>36</v>
      </c>
      <c r="H981" s="1">
        <v>12818</v>
      </c>
      <c r="I981" s="1" t="s">
        <v>22</v>
      </c>
      <c r="J981" s="1">
        <v>0.1</v>
      </c>
      <c r="K981" s="1">
        <v>13000</v>
      </c>
      <c r="L981" s="2">
        <v>45310</v>
      </c>
    </row>
    <row r="982" spans="1:12" x14ac:dyDescent="0.35">
      <c r="A982" s="1" t="s">
        <v>1222</v>
      </c>
      <c r="B982" s="1" t="s">
        <v>229</v>
      </c>
      <c r="C982" s="1" t="s">
        <v>14</v>
      </c>
      <c r="D982" s="1" t="s">
        <v>15</v>
      </c>
      <c r="E982" s="1" t="s">
        <v>32</v>
      </c>
      <c r="F982" s="1" t="s">
        <v>39</v>
      </c>
      <c r="G982" s="1" t="s">
        <v>26</v>
      </c>
      <c r="H982" s="1">
        <v>13375</v>
      </c>
      <c r="I982" s="1"/>
      <c r="J982" s="1"/>
      <c r="K982" s="1">
        <v>14000</v>
      </c>
      <c r="L982" s="2">
        <v>45329</v>
      </c>
    </row>
    <row r="983" spans="1:12" x14ac:dyDescent="0.35">
      <c r="A983" s="1" t="s">
        <v>1223</v>
      </c>
      <c r="B983" s="1" t="s">
        <v>150</v>
      </c>
      <c r="C983" s="1" t="s">
        <v>30</v>
      </c>
      <c r="D983" s="1" t="s">
        <v>31</v>
      </c>
      <c r="E983" s="1" t="s">
        <v>46</v>
      </c>
      <c r="F983" s="1" t="s">
        <v>39</v>
      </c>
      <c r="G983" s="1" t="s">
        <v>26</v>
      </c>
      <c r="H983" s="1">
        <v>17854</v>
      </c>
      <c r="I983" s="1" t="s">
        <v>27</v>
      </c>
      <c r="J983" s="1"/>
      <c r="K983" s="1">
        <v>17000</v>
      </c>
      <c r="L983" s="2">
        <v>45345</v>
      </c>
    </row>
    <row r="984" spans="1:12" x14ac:dyDescent="0.35">
      <c r="A984" s="1" t="s">
        <v>1224</v>
      </c>
      <c r="B984" s="1" t="s">
        <v>544</v>
      </c>
      <c r="C984" s="1" t="s">
        <v>61</v>
      </c>
      <c r="D984" s="1" t="s">
        <v>62</v>
      </c>
      <c r="E984" s="1" t="s">
        <v>46</v>
      </c>
      <c r="F984" s="1" t="s">
        <v>39</v>
      </c>
      <c r="G984" s="1" t="s">
        <v>18</v>
      </c>
      <c r="H984" s="1">
        <v>10679</v>
      </c>
      <c r="I984" s="1" t="s">
        <v>33</v>
      </c>
      <c r="J984" s="1">
        <v>0.3</v>
      </c>
      <c r="K984" s="1">
        <v>9000</v>
      </c>
      <c r="L984" s="2">
        <v>45302</v>
      </c>
    </row>
    <row r="985" spans="1:12" x14ac:dyDescent="0.35">
      <c r="A985" s="1" t="s">
        <v>1225</v>
      </c>
      <c r="B985" s="1" t="s">
        <v>1073</v>
      </c>
      <c r="C985" s="1" t="s">
        <v>44</v>
      </c>
      <c r="D985" s="1" t="s">
        <v>45</v>
      </c>
      <c r="E985" s="1" t="s">
        <v>46</v>
      </c>
      <c r="F985" s="1" t="s">
        <v>17</v>
      </c>
      <c r="G985" s="1" t="s">
        <v>36</v>
      </c>
      <c r="H985" s="1">
        <v>14152</v>
      </c>
      <c r="I985" s="1" t="s">
        <v>22</v>
      </c>
      <c r="J985" s="1">
        <v>0.1</v>
      </c>
      <c r="K985" s="1">
        <v>13000</v>
      </c>
      <c r="L985" s="2">
        <v>45301</v>
      </c>
    </row>
    <row r="986" spans="1:12" x14ac:dyDescent="0.35">
      <c r="A986" s="1" t="s">
        <v>1226</v>
      </c>
      <c r="B986" s="1" t="s">
        <v>1105</v>
      </c>
      <c r="C986" s="1" t="s">
        <v>61</v>
      </c>
      <c r="D986" s="1" t="s">
        <v>62</v>
      </c>
      <c r="E986" s="1" t="s">
        <v>32</v>
      </c>
      <c r="F986" s="1" t="s">
        <v>39</v>
      </c>
      <c r="G986" s="1" t="s">
        <v>18</v>
      </c>
      <c r="H986" s="1">
        <v>9915</v>
      </c>
      <c r="I986" s="1" t="s">
        <v>27</v>
      </c>
      <c r="J986" s="1"/>
      <c r="K986" s="1">
        <v>9000</v>
      </c>
      <c r="L986" s="2">
        <v>45310</v>
      </c>
    </row>
    <row r="987" spans="1:12" x14ac:dyDescent="0.35">
      <c r="A987" s="1" t="s">
        <v>1227</v>
      </c>
      <c r="B987" s="1" t="s">
        <v>175</v>
      </c>
      <c r="C987" s="1" t="s">
        <v>44</v>
      </c>
      <c r="D987" s="1" t="s">
        <v>45</v>
      </c>
      <c r="E987" s="1" t="s">
        <v>32</v>
      </c>
      <c r="F987" s="1" t="s">
        <v>25</v>
      </c>
      <c r="G987" s="1" t="s">
        <v>18</v>
      </c>
      <c r="H987" s="1">
        <v>11168</v>
      </c>
      <c r="I987" s="1" t="s">
        <v>33</v>
      </c>
      <c r="J987" s="1">
        <v>0.3</v>
      </c>
      <c r="K987" s="1">
        <v>13000</v>
      </c>
      <c r="L987" s="2">
        <v>45328</v>
      </c>
    </row>
    <row r="988" spans="1:12" x14ac:dyDescent="0.35">
      <c r="A988" s="1" t="s">
        <v>1228</v>
      </c>
      <c r="B988" s="1" t="s">
        <v>429</v>
      </c>
      <c r="C988" s="1" t="s">
        <v>30</v>
      </c>
      <c r="D988" s="1" t="s">
        <v>31</v>
      </c>
      <c r="E988" s="1" t="s">
        <v>46</v>
      </c>
      <c r="F988" s="1" t="s">
        <v>25</v>
      </c>
      <c r="G988" s="1" t="s">
        <v>18</v>
      </c>
      <c r="H988" s="1">
        <v>17303</v>
      </c>
      <c r="I988" s="1" t="s">
        <v>22</v>
      </c>
      <c r="J988" s="1">
        <v>0.1</v>
      </c>
      <c r="K988" s="1">
        <v>17000</v>
      </c>
      <c r="L988" s="2">
        <v>45334</v>
      </c>
    </row>
    <row r="989" spans="1:12" x14ac:dyDescent="0.35">
      <c r="A989" s="1" t="s">
        <v>1229</v>
      </c>
      <c r="B989" s="1" t="s">
        <v>282</v>
      </c>
      <c r="C989" s="1" t="s">
        <v>44</v>
      </c>
      <c r="D989" s="1" t="s">
        <v>45</v>
      </c>
      <c r="E989" s="1" t="s">
        <v>46</v>
      </c>
      <c r="F989" s="1" t="s">
        <v>17</v>
      </c>
      <c r="G989" s="1" t="s">
        <v>26</v>
      </c>
      <c r="H989" s="1">
        <v>14995</v>
      </c>
      <c r="I989" s="1" t="s">
        <v>19</v>
      </c>
      <c r="J989" s="1">
        <v>0.2</v>
      </c>
      <c r="K989" s="1">
        <v>13000</v>
      </c>
      <c r="L989" s="2">
        <v>45326</v>
      </c>
    </row>
    <row r="990" spans="1:12" x14ac:dyDescent="0.35">
      <c r="A990" s="1" t="s">
        <v>1230</v>
      </c>
      <c r="B990" s="1" t="s">
        <v>222</v>
      </c>
      <c r="C990" s="1" t="s">
        <v>14</v>
      </c>
      <c r="D990" s="1" t="s">
        <v>15</v>
      </c>
      <c r="E990" s="1" t="s">
        <v>46</v>
      </c>
      <c r="F990" s="1" t="s">
        <v>17</v>
      </c>
      <c r="G990" s="1" t="s">
        <v>18</v>
      </c>
      <c r="H990" s="1">
        <v>15882</v>
      </c>
      <c r="I990" s="1"/>
      <c r="J990" s="1"/>
      <c r="K990" s="1">
        <v>14000</v>
      </c>
      <c r="L990" s="2">
        <v>45351</v>
      </c>
    </row>
    <row r="991" spans="1:12" x14ac:dyDescent="0.35">
      <c r="A991" s="1" t="s">
        <v>1231</v>
      </c>
      <c r="B991" s="1" t="s">
        <v>728</v>
      </c>
      <c r="C991" s="1" t="s">
        <v>14</v>
      </c>
      <c r="D991" s="1" t="s">
        <v>15</v>
      </c>
      <c r="E991" s="1" t="s">
        <v>16</v>
      </c>
      <c r="F991" s="1" t="s">
        <v>39</v>
      </c>
      <c r="G991" s="1" t="s">
        <v>26</v>
      </c>
      <c r="H991" s="1">
        <v>13356</v>
      </c>
      <c r="I991" s="1" t="s">
        <v>33</v>
      </c>
      <c r="J991" s="1">
        <v>0.3</v>
      </c>
      <c r="K991" s="1">
        <v>14000</v>
      </c>
      <c r="L991" s="2">
        <v>45322</v>
      </c>
    </row>
    <row r="992" spans="1:12" x14ac:dyDescent="0.35">
      <c r="A992" s="1" t="s">
        <v>1232</v>
      </c>
      <c r="B992" s="1" t="s">
        <v>111</v>
      </c>
      <c r="C992" s="1" t="s">
        <v>44</v>
      </c>
      <c r="D992" s="1" t="s">
        <v>45</v>
      </c>
      <c r="E992" s="1" t="s">
        <v>16</v>
      </c>
      <c r="F992" s="1" t="s">
        <v>39</v>
      </c>
      <c r="G992" s="1" t="s">
        <v>36</v>
      </c>
      <c r="H992" s="1">
        <v>12387</v>
      </c>
      <c r="I992" s="1" t="s">
        <v>22</v>
      </c>
      <c r="J992" s="1">
        <v>0.1</v>
      </c>
      <c r="K992" s="1">
        <v>13000</v>
      </c>
      <c r="L992" s="2">
        <v>45338</v>
      </c>
    </row>
    <row r="993" spans="1:12" x14ac:dyDescent="0.35">
      <c r="A993" s="1" t="s">
        <v>1233</v>
      </c>
      <c r="B993" s="1" t="s">
        <v>711</v>
      </c>
      <c r="C993" s="1" t="s">
        <v>44</v>
      </c>
      <c r="D993" s="1" t="s">
        <v>45</v>
      </c>
      <c r="E993" s="1" t="s">
        <v>16</v>
      </c>
      <c r="F993" s="1" t="s">
        <v>39</v>
      </c>
      <c r="G993" s="1" t="s">
        <v>18</v>
      </c>
      <c r="H993" s="1">
        <v>12261</v>
      </c>
      <c r="I993" s="1" t="s">
        <v>22</v>
      </c>
      <c r="J993" s="1">
        <v>0.1</v>
      </c>
      <c r="K993" s="1">
        <v>13000</v>
      </c>
      <c r="L993" s="2">
        <v>45317</v>
      </c>
    </row>
    <row r="994" spans="1:12" x14ac:dyDescent="0.35">
      <c r="A994" s="1" t="s">
        <v>1234</v>
      </c>
      <c r="B994" s="1" t="s">
        <v>837</v>
      </c>
      <c r="C994" s="1" t="s">
        <v>44</v>
      </c>
      <c r="D994" s="1" t="s">
        <v>45</v>
      </c>
      <c r="E994" s="1" t="s">
        <v>46</v>
      </c>
      <c r="F994" s="1" t="s">
        <v>17</v>
      </c>
      <c r="G994" s="1" t="s">
        <v>18</v>
      </c>
      <c r="H994" s="1">
        <v>12336</v>
      </c>
      <c r="I994" s="1" t="s">
        <v>22</v>
      </c>
      <c r="J994" s="1">
        <v>0.1</v>
      </c>
      <c r="K994" s="1">
        <v>13000</v>
      </c>
      <c r="L994" s="2">
        <v>45330</v>
      </c>
    </row>
    <row r="995" spans="1:12" x14ac:dyDescent="0.35">
      <c r="A995" s="1" t="s">
        <v>1235</v>
      </c>
      <c r="B995" s="1" t="s">
        <v>239</v>
      </c>
      <c r="C995" s="1" t="s">
        <v>44</v>
      </c>
      <c r="D995" s="1" t="s">
        <v>45</v>
      </c>
      <c r="E995" s="1" t="s">
        <v>46</v>
      </c>
      <c r="F995" s="1" t="s">
        <v>25</v>
      </c>
      <c r="G995" s="1" t="s">
        <v>18</v>
      </c>
      <c r="H995" s="1">
        <v>11342</v>
      </c>
      <c r="I995" s="1" t="s">
        <v>27</v>
      </c>
      <c r="J995" s="1"/>
      <c r="K995" s="1">
        <v>13000</v>
      </c>
      <c r="L995" s="2">
        <v>45346</v>
      </c>
    </row>
    <row r="996" spans="1:12" x14ac:dyDescent="0.35">
      <c r="A996" s="1" t="s">
        <v>1236</v>
      </c>
      <c r="B996" s="1" t="s">
        <v>332</v>
      </c>
      <c r="C996" s="1" t="s">
        <v>14</v>
      </c>
      <c r="D996" s="1" t="s">
        <v>15</v>
      </c>
      <c r="E996" s="1" t="s">
        <v>16</v>
      </c>
      <c r="F996" s="1" t="s">
        <v>17</v>
      </c>
      <c r="G996" s="1" t="s">
        <v>18</v>
      </c>
      <c r="H996" s="1">
        <v>14008</v>
      </c>
      <c r="I996" s="1" t="s">
        <v>33</v>
      </c>
      <c r="J996" s="1">
        <v>0.3</v>
      </c>
      <c r="K996" s="1">
        <v>14000</v>
      </c>
      <c r="L996" s="2">
        <v>45330</v>
      </c>
    </row>
    <row r="997" spans="1:12" x14ac:dyDescent="0.35">
      <c r="A997" s="1" t="s">
        <v>1237</v>
      </c>
      <c r="B997" s="1" t="s">
        <v>86</v>
      </c>
      <c r="C997" s="1" t="s">
        <v>14</v>
      </c>
      <c r="D997" s="1" t="s">
        <v>15</v>
      </c>
      <c r="E997" s="1" t="s">
        <v>16</v>
      </c>
      <c r="F997" s="1" t="s">
        <v>17</v>
      </c>
      <c r="G997" s="1" t="s">
        <v>36</v>
      </c>
      <c r="H997" s="1">
        <v>12605</v>
      </c>
      <c r="I997" s="1"/>
      <c r="J997" s="1"/>
      <c r="K997" s="1">
        <v>14000</v>
      </c>
      <c r="L997" s="2">
        <v>45315</v>
      </c>
    </row>
    <row r="998" spans="1:12" x14ac:dyDescent="0.35">
      <c r="A998" s="1" t="s">
        <v>1238</v>
      </c>
      <c r="B998" s="1" t="s">
        <v>474</v>
      </c>
      <c r="C998" s="1" t="s">
        <v>14</v>
      </c>
      <c r="D998" s="1" t="s">
        <v>15</v>
      </c>
      <c r="E998" s="1" t="s">
        <v>46</v>
      </c>
      <c r="F998" s="1" t="s">
        <v>17</v>
      </c>
      <c r="G998" s="1" t="s">
        <v>36</v>
      </c>
      <c r="H998" s="1">
        <v>13261</v>
      </c>
      <c r="I998" s="1"/>
      <c r="J998" s="1"/>
      <c r="K998" s="1">
        <v>14000</v>
      </c>
      <c r="L998" s="2">
        <v>45347</v>
      </c>
    </row>
    <row r="999" spans="1:12" x14ac:dyDescent="0.35">
      <c r="A999" s="1" t="s">
        <v>1239</v>
      </c>
      <c r="B999" s="1" t="s">
        <v>905</v>
      </c>
      <c r="C999" s="1" t="s">
        <v>44</v>
      </c>
      <c r="D999" s="1" t="s">
        <v>45</v>
      </c>
      <c r="E999" s="1" t="s">
        <v>16</v>
      </c>
      <c r="F999" s="1" t="s">
        <v>17</v>
      </c>
      <c r="G999" s="1" t="s">
        <v>26</v>
      </c>
      <c r="H999" s="1">
        <v>12702</v>
      </c>
      <c r="I999" s="1"/>
      <c r="J999" s="1"/>
      <c r="K999" s="1">
        <v>13000</v>
      </c>
      <c r="L999" s="2">
        <v>45310</v>
      </c>
    </row>
    <row r="1000" spans="1:12" x14ac:dyDescent="0.35">
      <c r="A1000" s="1" t="s">
        <v>1240</v>
      </c>
      <c r="B1000" s="1" t="s">
        <v>135</v>
      </c>
      <c r="C1000" s="1" t="s">
        <v>61</v>
      </c>
      <c r="D1000" s="1" t="s">
        <v>62</v>
      </c>
      <c r="E1000" s="1" t="s">
        <v>16</v>
      </c>
      <c r="F1000" s="1" t="s">
        <v>17</v>
      </c>
      <c r="G1000" s="1" t="s">
        <v>18</v>
      </c>
      <c r="H1000" s="1">
        <v>10422</v>
      </c>
      <c r="I1000" s="1" t="s">
        <v>27</v>
      </c>
      <c r="J1000" s="1"/>
      <c r="K1000" s="1">
        <v>9000</v>
      </c>
      <c r="L1000" s="2">
        <v>45330</v>
      </c>
    </row>
    <row r="1001" spans="1:12" x14ac:dyDescent="0.35">
      <c r="A1001" s="1" t="s">
        <v>1241</v>
      </c>
      <c r="B1001" s="1" t="s">
        <v>843</v>
      </c>
      <c r="C1001" s="1" t="s">
        <v>44</v>
      </c>
      <c r="D1001" s="1" t="s">
        <v>45</v>
      </c>
      <c r="E1001" s="1" t="s">
        <v>46</v>
      </c>
      <c r="F1001" s="1" t="s">
        <v>17</v>
      </c>
      <c r="G1001" s="1" t="s">
        <v>26</v>
      </c>
      <c r="H1001" s="1">
        <v>12373</v>
      </c>
      <c r="I1001" s="1" t="s">
        <v>22</v>
      </c>
      <c r="J1001" s="1">
        <v>0.1</v>
      </c>
      <c r="K1001" s="1">
        <v>13000</v>
      </c>
      <c r="L1001" s="2">
        <v>45351</v>
      </c>
    </row>
  </sheetData>
  <pageMargins left="0.7" right="0.7" top="0.75" bottom="0.75" header="0.3" footer="0.3"/>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BB4E-EF12-45EF-8580-EDCB824E0674}">
  <dimension ref="A1:P1032"/>
  <sheetViews>
    <sheetView zoomScale="80" zoomScaleNormal="80" workbookViewId="0">
      <selection activeCell="O11" sqref="O11"/>
    </sheetView>
  </sheetViews>
  <sheetFormatPr defaultRowHeight="14.5" x14ac:dyDescent="0.35"/>
  <cols>
    <col min="1" max="1" width="11.26953125" customWidth="1"/>
    <col min="2" max="2" width="14.36328125" customWidth="1"/>
    <col min="3" max="3" width="10.54296875" customWidth="1"/>
    <col min="4" max="4" width="13.6328125" customWidth="1"/>
    <col min="5" max="5" width="9.453125" customWidth="1"/>
    <col min="6" max="6" width="13.54296875" customWidth="1"/>
    <col min="7" max="7" width="10" customWidth="1"/>
    <col min="8" max="8" width="16.7265625" customWidth="1"/>
    <col min="9" max="9" width="14.7265625" customWidth="1"/>
    <col min="10" max="10" width="16.81640625" customWidth="1"/>
    <col min="11" max="11" width="15.1796875" customWidth="1"/>
    <col min="12" max="12" width="14.08984375" customWidth="1"/>
    <col min="13" max="13" width="21.54296875" customWidth="1"/>
    <col min="15" max="15" width="12.453125" bestFit="1" customWidth="1"/>
    <col min="16" max="16" width="21.1796875" bestFit="1" customWidth="1"/>
    <col min="17" max="17" width="12.453125" bestFit="1" customWidth="1"/>
    <col min="18" max="18" width="21.1796875" bestFit="1" customWidth="1"/>
  </cols>
  <sheetData>
    <row r="1" spans="1:13" ht="19.5" x14ac:dyDescent="0.45">
      <c r="A1" s="49" t="s">
        <v>1264</v>
      </c>
      <c r="B1" s="48"/>
      <c r="C1" s="48"/>
      <c r="D1" s="48"/>
      <c r="E1" s="48"/>
      <c r="F1" s="48"/>
      <c r="G1" s="48"/>
      <c r="H1" s="48"/>
      <c r="I1" s="48"/>
      <c r="J1" s="48"/>
      <c r="K1" s="48"/>
      <c r="L1" s="48"/>
      <c r="M1" s="50"/>
    </row>
    <row r="2" spans="1:13" x14ac:dyDescent="0.35">
      <c r="A2" s="42"/>
      <c r="B2" s="43"/>
      <c r="C2" s="43"/>
      <c r="D2" s="43"/>
      <c r="E2" s="43"/>
      <c r="F2" s="43"/>
      <c r="G2" s="43"/>
      <c r="H2" s="43"/>
      <c r="I2" s="43"/>
      <c r="J2" s="43"/>
      <c r="K2" s="43"/>
      <c r="L2" s="43"/>
      <c r="M2" s="44"/>
    </row>
    <row r="3" spans="1:13" x14ac:dyDescent="0.35">
      <c r="A3" s="42"/>
      <c r="B3" s="43"/>
      <c r="C3" s="43"/>
      <c r="D3" s="43"/>
      <c r="E3" s="43"/>
      <c r="F3" s="43"/>
      <c r="G3" s="43"/>
      <c r="H3" s="43"/>
      <c r="I3" s="43"/>
      <c r="J3" s="43"/>
      <c r="K3" s="43"/>
      <c r="L3" s="43"/>
      <c r="M3" s="44"/>
    </row>
    <row r="4" spans="1:13" x14ac:dyDescent="0.35">
      <c r="A4" s="42"/>
      <c r="B4" s="43"/>
      <c r="C4" s="43"/>
      <c r="D4" s="43"/>
      <c r="E4" s="43"/>
      <c r="F4" s="43"/>
      <c r="G4" s="43"/>
      <c r="H4" s="43"/>
      <c r="I4" s="43"/>
      <c r="J4" s="43"/>
      <c r="K4" s="43"/>
      <c r="L4" s="43"/>
      <c r="M4" s="44"/>
    </row>
    <row r="5" spans="1:13" x14ac:dyDescent="0.35">
      <c r="A5" s="42"/>
      <c r="B5" s="43"/>
      <c r="C5" s="43"/>
      <c r="D5" s="43"/>
      <c r="E5" s="43"/>
      <c r="F5" s="43"/>
      <c r="G5" s="43"/>
      <c r="H5" s="43"/>
      <c r="I5" s="43"/>
      <c r="J5" s="43"/>
      <c r="K5" s="43"/>
      <c r="L5" s="43"/>
      <c r="M5" s="44"/>
    </row>
    <row r="6" spans="1:13" x14ac:dyDescent="0.35">
      <c r="A6" s="42"/>
      <c r="B6" s="43"/>
      <c r="C6" s="43"/>
      <c r="D6" s="43"/>
      <c r="E6" s="43"/>
      <c r="F6" s="43"/>
      <c r="G6" s="43"/>
      <c r="H6" s="43"/>
      <c r="I6" s="43"/>
      <c r="J6" s="43"/>
      <c r="K6" s="43"/>
      <c r="L6" s="43"/>
      <c r="M6" s="44"/>
    </row>
    <row r="7" spans="1:13" x14ac:dyDescent="0.35">
      <c r="A7" s="42"/>
      <c r="B7" s="43"/>
      <c r="C7" s="43"/>
      <c r="D7" s="43"/>
      <c r="E7" s="43"/>
      <c r="F7" s="43"/>
      <c r="G7" s="43"/>
      <c r="H7" s="43"/>
      <c r="I7" s="43"/>
      <c r="J7" s="43"/>
      <c r="K7" s="43"/>
      <c r="L7" s="43"/>
      <c r="M7" s="44"/>
    </row>
    <row r="8" spans="1:13" x14ac:dyDescent="0.35">
      <c r="A8" s="42"/>
      <c r="B8" s="43"/>
      <c r="C8" s="43"/>
      <c r="D8" s="43"/>
      <c r="E8" s="43"/>
      <c r="F8" s="43"/>
      <c r="G8" s="43"/>
      <c r="H8" s="43"/>
      <c r="I8" s="43"/>
      <c r="J8" s="43"/>
      <c r="K8" s="43"/>
      <c r="L8" s="43"/>
      <c r="M8" s="44"/>
    </row>
    <row r="9" spans="1:13" x14ac:dyDescent="0.35">
      <c r="A9" s="42"/>
      <c r="B9" s="43"/>
      <c r="C9" s="43"/>
      <c r="D9" s="43"/>
      <c r="E9" s="43"/>
      <c r="F9" s="43"/>
      <c r="G9" s="43"/>
      <c r="H9" s="43"/>
      <c r="I9" s="43"/>
      <c r="J9" s="43"/>
      <c r="K9" s="43"/>
      <c r="L9" s="43"/>
      <c r="M9" s="44"/>
    </row>
    <row r="10" spans="1:13" x14ac:dyDescent="0.35">
      <c r="A10" s="42"/>
      <c r="B10" s="43"/>
      <c r="C10" s="43"/>
      <c r="D10" s="43"/>
      <c r="E10" s="43"/>
      <c r="F10" s="43"/>
      <c r="G10" s="43"/>
      <c r="H10" s="43"/>
      <c r="I10" s="43"/>
      <c r="J10" s="43"/>
      <c r="K10" s="43"/>
      <c r="L10" s="43"/>
      <c r="M10" s="44"/>
    </row>
    <row r="11" spans="1:13" x14ac:dyDescent="0.35">
      <c r="A11" s="42"/>
      <c r="B11" s="43"/>
      <c r="C11" s="43"/>
      <c r="D11" s="43"/>
      <c r="E11" s="43"/>
      <c r="F11" s="43"/>
      <c r="G11" s="43"/>
      <c r="H11" s="43"/>
      <c r="I11" s="43"/>
      <c r="J11" s="43"/>
      <c r="K11" s="43"/>
      <c r="L11" s="43"/>
      <c r="M11" s="44"/>
    </row>
    <row r="12" spans="1:13" x14ac:dyDescent="0.35">
      <c r="A12" s="42"/>
      <c r="B12" s="43"/>
      <c r="C12" s="43"/>
      <c r="D12" s="43"/>
      <c r="E12" s="43"/>
      <c r="F12" s="43"/>
      <c r="G12" s="43"/>
      <c r="H12" s="43"/>
      <c r="I12" s="43"/>
      <c r="J12" s="43"/>
      <c r="K12" s="43"/>
      <c r="L12" s="43"/>
      <c r="M12" s="44"/>
    </row>
    <row r="13" spans="1:13" x14ac:dyDescent="0.35">
      <c r="A13" s="42"/>
      <c r="B13" s="43"/>
      <c r="C13" s="43"/>
      <c r="D13" s="43"/>
      <c r="E13" s="43"/>
      <c r="F13" s="43"/>
      <c r="G13" s="43"/>
      <c r="H13" s="43"/>
      <c r="I13" s="43"/>
      <c r="J13" s="43"/>
      <c r="K13" s="43"/>
      <c r="L13" s="43"/>
      <c r="M13" s="44"/>
    </row>
    <row r="14" spans="1:13" x14ac:dyDescent="0.35">
      <c r="A14" s="42"/>
      <c r="B14" s="43"/>
      <c r="C14" s="43"/>
      <c r="D14" s="43"/>
      <c r="E14" s="43"/>
      <c r="F14" s="43"/>
      <c r="G14" s="43"/>
      <c r="H14" s="43"/>
      <c r="I14" s="43"/>
      <c r="J14" s="43"/>
      <c r="K14" s="43"/>
      <c r="L14" s="43"/>
      <c r="M14" s="44"/>
    </row>
    <row r="15" spans="1:13" x14ac:dyDescent="0.35">
      <c r="A15" s="42"/>
      <c r="B15" s="43"/>
      <c r="C15" s="43"/>
      <c r="D15" s="43"/>
      <c r="E15" s="43"/>
      <c r="F15" s="43"/>
      <c r="G15" s="43"/>
      <c r="H15" s="43"/>
      <c r="I15" s="43"/>
      <c r="J15" s="43"/>
      <c r="K15" s="43"/>
      <c r="L15" s="43"/>
      <c r="M15" s="44"/>
    </row>
    <row r="16" spans="1:13" x14ac:dyDescent="0.35">
      <c r="A16" s="42"/>
      <c r="B16" s="43"/>
      <c r="C16" s="43"/>
      <c r="D16" s="43"/>
      <c r="E16" s="43"/>
      <c r="F16" s="43"/>
      <c r="G16" s="43"/>
      <c r="H16" s="43"/>
      <c r="I16" s="43"/>
      <c r="J16" s="43"/>
      <c r="K16" s="43"/>
      <c r="L16" s="43"/>
      <c r="M16" s="44"/>
    </row>
    <row r="17" spans="1:16" x14ac:dyDescent="0.35">
      <c r="A17" s="42"/>
      <c r="B17" s="43"/>
      <c r="C17" s="43"/>
      <c r="D17" s="43"/>
      <c r="E17" s="43"/>
      <c r="F17" s="43"/>
      <c r="G17" s="43"/>
      <c r="H17" s="43"/>
      <c r="I17" s="43"/>
      <c r="J17" s="43"/>
      <c r="K17" s="43"/>
      <c r="L17" s="43"/>
      <c r="M17" s="44"/>
    </row>
    <row r="18" spans="1:16" x14ac:dyDescent="0.35">
      <c r="A18" s="42"/>
      <c r="B18" s="43"/>
      <c r="C18" s="43"/>
      <c r="D18" s="43"/>
      <c r="E18" s="43"/>
      <c r="F18" s="43"/>
      <c r="G18" s="43"/>
      <c r="H18" s="43"/>
      <c r="I18" s="43"/>
      <c r="J18" s="43"/>
      <c r="K18" s="43"/>
      <c r="L18" s="43"/>
      <c r="M18" s="44"/>
    </row>
    <row r="19" spans="1:16" x14ac:dyDescent="0.35">
      <c r="A19" s="42"/>
      <c r="B19" s="43"/>
      <c r="C19" s="43"/>
      <c r="D19" s="43"/>
      <c r="E19" s="43"/>
      <c r="F19" s="43"/>
      <c r="G19" s="43"/>
      <c r="H19" s="43"/>
      <c r="I19" s="43"/>
      <c r="J19" s="43"/>
      <c r="K19" s="43"/>
      <c r="L19" s="43"/>
      <c r="M19" s="44"/>
    </row>
    <row r="20" spans="1:16" x14ac:dyDescent="0.35">
      <c r="A20" s="42"/>
      <c r="B20" s="43"/>
      <c r="C20" s="43"/>
      <c r="D20" s="43"/>
      <c r="E20" s="43"/>
      <c r="F20" s="43"/>
      <c r="G20" s="43"/>
      <c r="H20" s="43"/>
      <c r="I20" s="43"/>
      <c r="J20" s="43"/>
      <c r="K20" s="43"/>
      <c r="L20" s="43"/>
      <c r="M20" s="44"/>
    </row>
    <row r="21" spans="1:16" x14ac:dyDescent="0.35">
      <c r="A21" s="42"/>
      <c r="B21" s="43"/>
      <c r="C21" s="43"/>
      <c r="D21" s="43"/>
      <c r="E21" s="43"/>
      <c r="F21" s="43"/>
      <c r="G21" s="43"/>
      <c r="H21" s="43"/>
      <c r="I21" s="43"/>
      <c r="J21" s="43"/>
      <c r="K21" s="43"/>
      <c r="L21" s="43"/>
      <c r="M21" s="44"/>
    </row>
    <row r="22" spans="1:16" x14ac:dyDescent="0.35">
      <c r="A22" s="42"/>
      <c r="B22" s="43"/>
      <c r="C22" s="43"/>
      <c r="D22" s="43"/>
      <c r="E22" s="43"/>
      <c r="F22" s="43"/>
      <c r="G22" s="43"/>
      <c r="H22" s="43"/>
      <c r="I22" s="43"/>
      <c r="J22" s="43"/>
      <c r="K22" s="43"/>
      <c r="L22" s="43"/>
      <c r="M22" s="44"/>
    </row>
    <row r="23" spans="1:16" x14ac:dyDescent="0.35">
      <c r="A23" s="42"/>
      <c r="B23" s="43"/>
      <c r="C23" s="43"/>
      <c r="D23" s="43"/>
      <c r="E23" s="43"/>
      <c r="F23" s="43"/>
      <c r="G23" s="43"/>
      <c r="H23" s="43"/>
      <c r="I23" s="43"/>
      <c r="J23" s="43"/>
      <c r="K23" s="43"/>
      <c r="L23" s="43"/>
      <c r="M23" s="44"/>
    </row>
    <row r="24" spans="1:16" x14ac:dyDescent="0.35">
      <c r="A24" s="42"/>
      <c r="B24" s="43"/>
      <c r="C24" s="43"/>
      <c r="D24" s="43"/>
      <c r="E24" s="43"/>
      <c r="F24" s="43"/>
      <c r="G24" s="43"/>
      <c r="H24" s="43"/>
      <c r="I24" s="43"/>
      <c r="J24" s="43"/>
      <c r="K24" s="43"/>
      <c r="L24" s="43"/>
      <c r="M24" s="44"/>
    </row>
    <row r="25" spans="1:16" x14ac:dyDescent="0.35">
      <c r="A25" s="42"/>
      <c r="B25" s="43"/>
      <c r="C25" s="43"/>
      <c r="D25" s="43"/>
      <c r="E25" s="43"/>
      <c r="F25" s="43"/>
      <c r="G25" s="43"/>
      <c r="H25" s="43"/>
      <c r="I25" s="43"/>
      <c r="J25" s="43"/>
      <c r="K25" s="43"/>
      <c r="L25" s="43"/>
      <c r="M25" s="44"/>
    </row>
    <row r="26" spans="1:16" ht="15" thickBot="1" x14ac:dyDescent="0.4">
      <c r="A26" s="45"/>
      <c r="B26" s="46"/>
      <c r="C26" s="46"/>
      <c r="D26" s="46"/>
      <c r="E26" s="46"/>
      <c r="F26" s="46"/>
      <c r="G26" s="46"/>
      <c r="H26" s="46"/>
      <c r="I26" s="46"/>
      <c r="J26" s="46"/>
      <c r="K26" s="46"/>
      <c r="L26" s="46"/>
      <c r="M26" s="47"/>
    </row>
    <row r="30" spans="1:16" x14ac:dyDescent="0.35">
      <c r="A30" s="32" t="s">
        <v>0</v>
      </c>
      <c r="B30" s="28" t="s">
        <v>1</v>
      </c>
      <c r="C30" s="28" t="s">
        <v>2</v>
      </c>
      <c r="D30" s="28" t="s">
        <v>3</v>
      </c>
      <c r="E30" s="28" t="s">
        <v>4</v>
      </c>
      <c r="F30" s="28" t="s">
        <v>5</v>
      </c>
      <c r="G30" s="28" t="s">
        <v>6</v>
      </c>
      <c r="H30" s="28" t="s">
        <v>7</v>
      </c>
      <c r="I30" s="28" t="s">
        <v>8</v>
      </c>
      <c r="J30" s="28" t="s">
        <v>9</v>
      </c>
      <c r="K30" s="28" t="s">
        <v>10</v>
      </c>
      <c r="L30" s="28" t="s">
        <v>11</v>
      </c>
      <c r="M30" s="29" t="s">
        <v>1248</v>
      </c>
      <c r="O30" s="23" t="s">
        <v>1257</v>
      </c>
      <c r="P30" s="5" t="s">
        <v>1259</v>
      </c>
    </row>
    <row r="31" spans="1:16" x14ac:dyDescent="0.35">
      <c r="A31" s="33" t="s">
        <v>12</v>
      </c>
      <c r="B31" s="3" t="s">
        <v>13</v>
      </c>
      <c r="C31" s="3" t="s">
        <v>14</v>
      </c>
      <c r="D31" s="3" t="s">
        <v>15</v>
      </c>
      <c r="E31" s="3" t="s">
        <v>16</v>
      </c>
      <c r="F31" s="3" t="s">
        <v>17</v>
      </c>
      <c r="G31" s="3" t="s">
        <v>18</v>
      </c>
      <c r="H31" s="3">
        <v>12914</v>
      </c>
      <c r="I31" s="3" t="s">
        <v>19</v>
      </c>
      <c r="J31" s="3">
        <v>0.2</v>
      </c>
      <c r="K31" s="3">
        <v>14000</v>
      </c>
      <c r="L31" s="27">
        <v>45339</v>
      </c>
      <c r="M31" t="str">
        <f>IF(H31&gt;=K31,"Target Achieved","Below Target")</f>
        <v>Below Target</v>
      </c>
      <c r="O31" s="39" t="s">
        <v>15</v>
      </c>
      <c r="P31" s="37">
        <v>3507731</v>
      </c>
    </row>
    <row r="32" spans="1:16" x14ac:dyDescent="0.35">
      <c r="A32" s="33" t="s">
        <v>20</v>
      </c>
      <c r="B32" s="3" t="s">
        <v>21</v>
      </c>
      <c r="C32" s="3" t="s">
        <v>14</v>
      </c>
      <c r="D32" s="3" t="s">
        <v>15</v>
      </c>
      <c r="E32" s="3" t="s">
        <v>16</v>
      </c>
      <c r="F32" s="3" t="s">
        <v>17</v>
      </c>
      <c r="G32" s="3" t="s">
        <v>18</v>
      </c>
      <c r="H32" s="3">
        <v>12122</v>
      </c>
      <c r="I32" s="3" t="s">
        <v>22</v>
      </c>
      <c r="J32" s="3">
        <v>0.1</v>
      </c>
      <c r="K32" s="3">
        <v>14000</v>
      </c>
      <c r="L32" s="27">
        <v>45305</v>
      </c>
      <c r="M32" t="str">
        <f t="shared" ref="M32:M95" si="0">IF(H32&gt;=K32,"Target Achieved","Below Target")</f>
        <v>Below Target</v>
      </c>
      <c r="O32" s="40" t="s">
        <v>45</v>
      </c>
      <c r="P32" s="38">
        <v>3155748</v>
      </c>
    </row>
    <row r="33" spans="1:16" x14ac:dyDescent="0.35">
      <c r="A33" s="33" t="s">
        <v>23</v>
      </c>
      <c r="B33" s="3" t="s">
        <v>24</v>
      </c>
      <c r="C33" s="3" t="s">
        <v>14</v>
      </c>
      <c r="D33" s="3" t="s">
        <v>15</v>
      </c>
      <c r="E33" s="3" t="s">
        <v>16</v>
      </c>
      <c r="F33" s="3" t="s">
        <v>25</v>
      </c>
      <c r="G33" s="3" t="s">
        <v>26</v>
      </c>
      <c r="H33" s="3">
        <v>14661</v>
      </c>
      <c r="I33" s="3" t="s">
        <v>27</v>
      </c>
      <c r="J33" s="3"/>
      <c r="K33" s="3">
        <v>14000</v>
      </c>
      <c r="L33" s="27">
        <v>45318</v>
      </c>
      <c r="M33" t="str">
        <f t="shared" si="0"/>
        <v>Target Achieved</v>
      </c>
      <c r="O33" s="40" t="s">
        <v>31</v>
      </c>
      <c r="P33" s="38">
        <v>4540207</v>
      </c>
    </row>
    <row r="34" spans="1:16" x14ac:dyDescent="0.35">
      <c r="A34" s="33" t="s">
        <v>28</v>
      </c>
      <c r="B34" s="3" t="s">
        <v>29</v>
      </c>
      <c r="C34" s="3" t="s">
        <v>30</v>
      </c>
      <c r="D34" s="3" t="s">
        <v>31</v>
      </c>
      <c r="E34" s="3" t="s">
        <v>32</v>
      </c>
      <c r="F34" s="3" t="s">
        <v>25</v>
      </c>
      <c r="G34" s="3" t="s">
        <v>26</v>
      </c>
      <c r="H34" s="3">
        <v>16731</v>
      </c>
      <c r="I34" s="3" t="s">
        <v>33</v>
      </c>
      <c r="J34" s="3">
        <v>0.3</v>
      </c>
      <c r="K34" s="3">
        <v>17000</v>
      </c>
      <c r="L34" s="27">
        <v>45309</v>
      </c>
      <c r="M34" t="str">
        <f t="shared" si="0"/>
        <v>Below Target</v>
      </c>
      <c r="O34" s="41" t="s">
        <v>62</v>
      </c>
      <c r="P34" s="38">
        <v>2191607</v>
      </c>
    </row>
    <row r="35" spans="1:16" x14ac:dyDescent="0.35">
      <c r="A35" s="33" t="s">
        <v>34</v>
      </c>
      <c r="B35" s="3" t="s">
        <v>35</v>
      </c>
      <c r="C35" s="3" t="s">
        <v>30</v>
      </c>
      <c r="D35" s="3" t="s">
        <v>31</v>
      </c>
      <c r="E35" s="3" t="s">
        <v>32</v>
      </c>
      <c r="F35" s="3" t="s">
        <v>25</v>
      </c>
      <c r="G35" s="3" t="s">
        <v>36</v>
      </c>
      <c r="H35" s="3">
        <v>15396</v>
      </c>
      <c r="I35" s="3" t="s">
        <v>33</v>
      </c>
      <c r="J35" s="3">
        <v>0.3</v>
      </c>
      <c r="K35" s="3">
        <v>17000</v>
      </c>
      <c r="L35" s="27">
        <v>45346</v>
      </c>
      <c r="M35" t="str">
        <f t="shared" si="0"/>
        <v>Below Target</v>
      </c>
      <c r="O35" s="24" t="s">
        <v>1258</v>
      </c>
      <c r="P35" s="36">
        <v>13395293</v>
      </c>
    </row>
    <row r="36" spans="1:16" x14ac:dyDescent="0.35">
      <c r="A36" s="33" t="s">
        <v>37</v>
      </c>
      <c r="B36" s="3" t="s">
        <v>38</v>
      </c>
      <c r="C36" s="3" t="s">
        <v>30</v>
      </c>
      <c r="D36" s="3" t="s">
        <v>31</v>
      </c>
      <c r="E36" s="3" t="s">
        <v>32</v>
      </c>
      <c r="F36" s="3" t="s">
        <v>39</v>
      </c>
      <c r="G36" s="3" t="s">
        <v>36</v>
      </c>
      <c r="H36" s="3">
        <v>17196</v>
      </c>
      <c r="I36" s="3" t="s">
        <v>22</v>
      </c>
      <c r="J36" s="3">
        <v>0.1</v>
      </c>
      <c r="K36" s="3">
        <v>17000</v>
      </c>
      <c r="L36" s="27">
        <v>45351</v>
      </c>
      <c r="M36" t="str">
        <f t="shared" si="0"/>
        <v>Target Achieved</v>
      </c>
    </row>
    <row r="37" spans="1:16" x14ac:dyDescent="0.35">
      <c r="A37" s="33" t="s">
        <v>40</v>
      </c>
      <c r="B37" s="3" t="s">
        <v>41</v>
      </c>
      <c r="C37" s="3" t="s">
        <v>30</v>
      </c>
      <c r="D37" s="3" t="s">
        <v>31</v>
      </c>
      <c r="E37" s="3" t="s">
        <v>16</v>
      </c>
      <c r="F37" s="3" t="s">
        <v>39</v>
      </c>
      <c r="G37" s="3" t="s">
        <v>36</v>
      </c>
      <c r="H37" s="3">
        <v>17364</v>
      </c>
      <c r="I37" s="3" t="s">
        <v>19</v>
      </c>
      <c r="J37" s="3">
        <v>0.2</v>
      </c>
      <c r="K37" s="3">
        <v>17000</v>
      </c>
      <c r="L37" s="27">
        <v>45337</v>
      </c>
      <c r="M37" t="str">
        <f t="shared" si="0"/>
        <v>Target Achieved</v>
      </c>
      <c r="O37" s="34" t="s">
        <v>1257</v>
      </c>
      <c r="P37" s="5" t="s">
        <v>1259</v>
      </c>
    </row>
    <row r="38" spans="1:16" x14ac:dyDescent="0.35">
      <c r="A38" s="33" t="s">
        <v>42</v>
      </c>
      <c r="B38" s="3" t="s">
        <v>43</v>
      </c>
      <c r="C38" s="3" t="s">
        <v>44</v>
      </c>
      <c r="D38" s="3" t="s">
        <v>45</v>
      </c>
      <c r="E38" s="3" t="s">
        <v>46</v>
      </c>
      <c r="F38" s="3" t="s">
        <v>25</v>
      </c>
      <c r="G38" s="3" t="s">
        <v>18</v>
      </c>
      <c r="H38" s="3">
        <v>14549</v>
      </c>
      <c r="I38" s="3" t="s">
        <v>22</v>
      </c>
      <c r="J38" s="3">
        <v>0.1</v>
      </c>
      <c r="K38" s="3">
        <v>13000</v>
      </c>
      <c r="L38" s="27">
        <v>45316</v>
      </c>
      <c r="M38" t="str">
        <f t="shared" si="0"/>
        <v>Target Achieved</v>
      </c>
      <c r="O38" s="35" t="s">
        <v>1261</v>
      </c>
      <c r="P38" s="37">
        <v>6584355</v>
      </c>
    </row>
    <row r="39" spans="1:16" x14ac:dyDescent="0.35">
      <c r="A39" s="33" t="s">
        <v>47</v>
      </c>
      <c r="B39" s="3" t="s">
        <v>48</v>
      </c>
      <c r="C39" s="3" t="s">
        <v>30</v>
      </c>
      <c r="D39" s="3" t="s">
        <v>31</v>
      </c>
      <c r="E39" s="3" t="s">
        <v>32</v>
      </c>
      <c r="F39" s="3" t="s">
        <v>17</v>
      </c>
      <c r="G39" s="3" t="s">
        <v>36</v>
      </c>
      <c r="H39" s="3">
        <v>15858</v>
      </c>
      <c r="I39" s="3" t="s">
        <v>33</v>
      </c>
      <c r="J39" s="3">
        <v>0.3</v>
      </c>
      <c r="K39" s="3">
        <v>17000</v>
      </c>
      <c r="L39" s="27">
        <v>45336</v>
      </c>
      <c r="M39" t="str">
        <f t="shared" si="0"/>
        <v>Below Target</v>
      </c>
      <c r="O39" s="35" t="s">
        <v>1262</v>
      </c>
      <c r="P39" s="38">
        <v>6606168</v>
      </c>
    </row>
    <row r="40" spans="1:16" x14ac:dyDescent="0.35">
      <c r="A40" s="33" t="s">
        <v>49</v>
      </c>
      <c r="B40" s="3" t="s">
        <v>50</v>
      </c>
      <c r="C40" s="3" t="s">
        <v>14</v>
      </c>
      <c r="D40" s="3" t="s">
        <v>15</v>
      </c>
      <c r="E40" s="3" t="s">
        <v>16</v>
      </c>
      <c r="F40" s="3" t="s">
        <v>39</v>
      </c>
      <c r="G40" s="3" t="s">
        <v>18</v>
      </c>
      <c r="H40" s="3">
        <v>14187</v>
      </c>
      <c r="I40" s="3" t="s">
        <v>19</v>
      </c>
      <c r="J40" s="3">
        <v>0.2</v>
      </c>
      <c r="K40" s="3">
        <v>14000</v>
      </c>
      <c r="L40" s="27">
        <v>45302</v>
      </c>
      <c r="M40" t="str">
        <f t="shared" si="0"/>
        <v>Target Achieved</v>
      </c>
      <c r="O40" s="35" t="s">
        <v>1263</v>
      </c>
      <c r="P40" s="38">
        <v>204770</v>
      </c>
    </row>
    <row r="41" spans="1:16" x14ac:dyDescent="0.35">
      <c r="A41" s="33" t="s">
        <v>51</v>
      </c>
      <c r="B41" s="3" t="s">
        <v>52</v>
      </c>
      <c r="C41" s="3" t="s">
        <v>30</v>
      </c>
      <c r="D41" s="3" t="s">
        <v>31</v>
      </c>
      <c r="E41" s="3" t="s">
        <v>16</v>
      </c>
      <c r="F41" s="3" t="s">
        <v>39</v>
      </c>
      <c r="G41" s="3" t="s">
        <v>26</v>
      </c>
      <c r="H41" s="3">
        <v>15899</v>
      </c>
      <c r="I41" s="3" t="s">
        <v>33</v>
      </c>
      <c r="J41" s="3">
        <v>0.3</v>
      </c>
      <c r="K41" s="3">
        <v>17000</v>
      </c>
      <c r="L41" s="27">
        <v>45345</v>
      </c>
      <c r="M41" t="str">
        <f t="shared" si="0"/>
        <v>Below Target</v>
      </c>
      <c r="O41" s="24" t="s">
        <v>1258</v>
      </c>
      <c r="P41" s="36">
        <v>13395293</v>
      </c>
    </row>
    <row r="42" spans="1:16" x14ac:dyDescent="0.35">
      <c r="A42" s="33" t="s">
        <v>53</v>
      </c>
      <c r="B42" s="3" t="s">
        <v>54</v>
      </c>
      <c r="C42" s="3" t="s">
        <v>14</v>
      </c>
      <c r="D42" s="3" t="s">
        <v>15</v>
      </c>
      <c r="E42" s="3" t="s">
        <v>32</v>
      </c>
      <c r="F42" s="3" t="s">
        <v>25</v>
      </c>
      <c r="G42" s="3" t="s">
        <v>36</v>
      </c>
      <c r="H42" s="3">
        <v>13643</v>
      </c>
      <c r="I42" s="3" t="s">
        <v>33</v>
      </c>
      <c r="J42" s="3">
        <v>0.3</v>
      </c>
      <c r="K42" s="3">
        <v>14000</v>
      </c>
      <c r="L42" s="27">
        <v>45296</v>
      </c>
      <c r="M42" t="str">
        <f t="shared" si="0"/>
        <v>Below Target</v>
      </c>
    </row>
    <row r="43" spans="1:16" x14ac:dyDescent="0.35">
      <c r="A43" s="33" t="s">
        <v>55</v>
      </c>
      <c r="B43" s="3" t="s">
        <v>56</v>
      </c>
      <c r="C43" s="3" t="s">
        <v>30</v>
      </c>
      <c r="D43" s="3" t="s">
        <v>31</v>
      </c>
      <c r="E43" s="3" t="s">
        <v>32</v>
      </c>
      <c r="F43" s="3" t="s">
        <v>39</v>
      </c>
      <c r="G43" s="3" t="s">
        <v>36</v>
      </c>
      <c r="H43" s="3">
        <v>16620</v>
      </c>
      <c r="I43" s="3"/>
      <c r="J43" s="3"/>
      <c r="K43" s="3">
        <v>17000</v>
      </c>
      <c r="L43" s="27">
        <v>45301</v>
      </c>
      <c r="M43" t="str">
        <f t="shared" si="0"/>
        <v>Below Target</v>
      </c>
    </row>
    <row r="44" spans="1:16" x14ac:dyDescent="0.35">
      <c r="A44" s="33" t="s">
        <v>57</v>
      </c>
      <c r="B44" s="3" t="s">
        <v>58</v>
      </c>
      <c r="C44" s="3" t="s">
        <v>44</v>
      </c>
      <c r="D44" s="3" t="s">
        <v>45</v>
      </c>
      <c r="E44" s="3" t="s">
        <v>16</v>
      </c>
      <c r="F44" s="3" t="s">
        <v>39</v>
      </c>
      <c r="G44" s="3" t="s">
        <v>26</v>
      </c>
      <c r="H44" s="3">
        <v>12076</v>
      </c>
      <c r="I44" s="3" t="s">
        <v>27</v>
      </c>
      <c r="J44" s="3"/>
      <c r="K44" s="3">
        <v>13000</v>
      </c>
      <c r="L44" s="27">
        <v>45319</v>
      </c>
      <c r="M44" t="str">
        <f t="shared" si="0"/>
        <v>Below Target</v>
      </c>
    </row>
    <row r="45" spans="1:16" x14ac:dyDescent="0.35">
      <c r="A45" s="33" t="s">
        <v>59</v>
      </c>
      <c r="B45" s="3" t="s">
        <v>60</v>
      </c>
      <c r="C45" s="3" t="s">
        <v>61</v>
      </c>
      <c r="D45" s="3" t="s">
        <v>62</v>
      </c>
      <c r="E45" s="3" t="s">
        <v>46</v>
      </c>
      <c r="F45" s="3" t="s">
        <v>25</v>
      </c>
      <c r="G45" s="3" t="s">
        <v>18</v>
      </c>
      <c r="H45" s="3">
        <v>9087</v>
      </c>
      <c r="I45" s="3"/>
      <c r="J45" s="3"/>
      <c r="K45" s="3">
        <v>9000</v>
      </c>
      <c r="L45" s="27">
        <v>45297</v>
      </c>
      <c r="M45" t="str">
        <f t="shared" si="0"/>
        <v>Target Achieved</v>
      </c>
    </row>
    <row r="46" spans="1:16" x14ac:dyDescent="0.35">
      <c r="A46" s="33" t="s">
        <v>63</v>
      </c>
      <c r="B46" s="3" t="s">
        <v>64</v>
      </c>
      <c r="C46" s="3" t="s">
        <v>14</v>
      </c>
      <c r="D46" s="3" t="s">
        <v>15</v>
      </c>
      <c r="E46" s="3" t="s">
        <v>32</v>
      </c>
      <c r="F46" s="3" t="s">
        <v>39</v>
      </c>
      <c r="G46" s="3" t="s">
        <v>18</v>
      </c>
      <c r="H46" s="3">
        <v>15244</v>
      </c>
      <c r="I46" s="3"/>
      <c r="J46" s="3"/>
      <c r="K46" s="3">
        <v>14000</v>
      </c>
      <c r="L46" s="27">
        <v>45330</v>
      </c>
      <c r="M46" t="str">
        <f t="shared" si="0"/>
        <v>Target Achieved</v>
      </c>
    </row>
    <row r="47" spans="1:16" x14ac:dyDescent="0.35">
      <c r="A47" s="33" t="s">
        <v>65</v>
      </c>
      <c r="B47" s="3" t="s">
        <v>66</v>
      </c>
      <c r="C47" s="3" t="s">
        <v>61</v>
      </c>
      <c r="D47" s="3" t="s">
        <v>62</v>
      </c>
      <c r="E47" s="3" t="s">
        <v>16</v>
      </c>
      <c r="F47" s="3" t="s">
        <v>17</v>
      </c>
      <c r="G47" s="3" t="s">
        <v>26</v>
      </c>
      <c r="H47" s="3">
        <v>8029</v>
      </c>
      <c r="I47" s="3" t="s">
        <v>27</v>
      </c>
      <c r="J47" s="3"/>
      <c r="K47" s="3">
        <v>9000</v>
      </c>
      <c r="L47" s="27">
        <v>45347</v>
      </c>
      <c r="M47" t="str">
        <f t="shared" si="0"/>
        <v>Below Target</v>
      </c>
    </row>
    <row r="48" spans="1:16" x14ac:dyDescent="0.35">
      <c r="A48" s="33" t="s">
        <v>67</v>
      </c>
      <c r="B48" s="3" t="s">
        <v>68</v>
      </c>
      <c r="C48" s="3" t="s">
        <v>14</v>
      </c>
      <c r="D48" s="3" t="s">
        <v>15</v>
      </c>
      <c r="E48" s="3" t="s">
        <v>16</v>
      </c>
      <c r="F48" s="3" t="s">
        <v>39</v>
      </c>
      <c r="G48" s="3" t="s">
        <v>36</v>
      </c>
      <c r="H48" s="3">
        <v>15148</v>
      </c>
      <c r="I48" s="3" t="s">
        <v>33</v>
      </c>
      <c r="J48" s="3">
        <v>0.3</v>
      </c>
      <c r="K48" s="3">
        <v>14000</v>
      </c>
      <c r="L48" s="27">
        <v>45299</v>
      </c>
      <c r="M48" t="str">
        <f t="shared" si="0"/>
        <v>Target Achieved</v>
      </c>
    </row>
    <row r="49" spans="1:13" x14ac:dyDescent="0.35">
      <c r="A49" s="33" t="s">
        <v>69</v>
      </c>
      <c r="B49" s="3" t="s">
        <v>70</v>
      </c>
      <c r="C49" s="3" t="s">
        <v>44</v>
      </c>
      <c r="D49" s="3" t="s">
        <v>45</v>
      </c>
      <c r="E49" s="3" t="s">
        <v>46</v>
      </c>
      <c r="F49" s="3" t="s">
        <v>25</v>
      </c>
      <c r="G49" s="3" t="s">
        <v>26</v>
      </c>
      <c r="H49" s="3">
        <v>14587</v>
      </c>
      <c r="I49" s="3" t="s">
        <v>33</v>
      </c>
      <c r="J49" s="3">
        <v>0.3</v>
      </c>
      <c r="K49" s="3">
        <v>13000</v>
      </c>
      <c r="L49" s="27">
        <v>45324</v>
      </c>
      <c r="M49" t="str">
        <f t="shared" si="0"/>
        <v>Target Achieved</v>
      </c>
    </row>
    <row r="50" spans="1:13" x14ac:dyDescent="0.35">
      <c r="A50" s="33" t="s">
        <v>71</v>
      </c>
      <c r="B50" s="3" t="s">
        <v>72</v>
      </c>
      <c r="C50" s="3" t="s">
        <v>14</v>
      </c>
      <c r="D50" s="3" t="s">
        <v>15</v>
      </c>
      <c r="E50" s="3" t="s">
        <v>16</v>
      </c>
      <c r="F50" s="3" t="s">
        <v>17</v>
      </c>
      <c r="G50" s="3" t="s">
        <v>26</v>
      </c>
      <c r="H50" s="3">
        <v>14079</v>
      </c>
      <c r="I50" s="3" t="s">
        <v>27</v>
      </c>
      <c r="J50" s="3"/>
      <c r="K50" s="3">
        <v>14000</v>
      </c>
      <c r="L50" s="27">
        <v>45304</v>
      </c>
      <c r="M50" t="str">
        <f t="shared" si="0"/>
        <v>Target Achieved</v>
      </c>
    </row>
    <row r="51" spans="1:13" x14ac:dyDescent="0.35">
      <c r="A51" s="33" t="s">
        <v>73</v>
      </c>
      <c r="B51" s="3" t="s">
        <v>74</v>
      </c>
      <c r="C51" s="3" t="s">
        <v>44</v>
      </c>
      <c r="D51" s="3" t="s">
        <v>45</v>
      </c>
      <c r="E51" s="3" t="s">
        <v>16</v>
      </c>
      <c r="F51" s="3" t="s">
        <v>39</v>
      </c>
      <c r="G51" s="3" t="s">
        <v>18</v>
      </c>
      <c r="H51" s="3">
        <v>13453</v>
      </c>
      <c r="I51" s="3" t="s">
        <v>33</v>
      </c>
      <c r="J51" s="3">
        <v>0.3</v>
      </c>
      <c r="K51" s="3">
        <v>13000</v>
      </c>
      <c r="L51" s="27">
        <v>45323</v>
      </c>
      <c r="M51" t="str">
        <f t="shared" si="0"/>
        <v>Target Achieved</v>
      </c>
    </row>
    <row r="52" spans="1:13" x14ac:dyDescent="0.35">
      <c r="A52" s="33" t="s">
        <v>75</v>
      </c>
      <c r="B52" s="3" t="s">
        <v>76</v>
      </c>
      <c r="C52" s="3" t="s">
        <v>30</v>
      </c>
      <c r="D52" s="3" t="s">
        <v>31</v>
      </c>
      <c r="E52" s="3" t="s">
        <v>46</v>
      </c>
      <c r="F52" s="3" t="s">
        <v>25</v>
      </c>
      <c r="G52" s="3" t="s">
        <v>18</v>
      </c>
      <c r="H52" s="3">
        <v>15986</v>
      </c>
      <c r="I52" s="3" t="s">
        <v>27</v>
      </c>
      <c r="J52" s="3"/>
      <c r="K52" s="3">
        <v>17000</v>
      </c>
      <c r="L52" s="27">
        <v>45352</v>
      </c>
      <c r="M52" t="str">
        <f t="shared" si="0"/>
        <v>Below Target</v>
      </c>
    </row>
    <row r="53" spans="1:13" x14ac:dyDescent="0.35">
      <c r="A53" s="33" t="s">
        <v>77</v>
      </c>
      <c r="B53" s="3" t="s">
        <v>78</v>
      </c>
      <c r="C53" s="3" t="s">
        <v>61</v>
      </c>
      <c r="D53" s="3" t="s">
        <v>62</v>
      </c>
      <c r="E53" s="3" t="s">
        <v>32</v>
      </c>
      <c r="F53" s="3" t="s">
        <v>39</v>
      </c>
      <c r="G53" s="3" t="s">
        <v>18</v>
      </c>
      <c r="H53" s="3">
        <v>7525</v>
      </c>
      <c r="I53" s="3"/>
      <c r="J53" s="3"/>
      <c r="K53" s="3">
        <v>9000</v>
      </c>
      <c r="L53" s="27">
        <v>45352</v>
      </c>
      <c r="M53" t="str">
        <f t="shared" si="0"/>
        <v>Below Target</v>
      </c>
    </row>
    <row r="54" spans="1:13" x14ac:dyDescent="0.35">
      <c r="A54" s="33" t="s">
        <v>79</v>
      </c>
      <c r="B54" s="3" t="s">
        <v>80</v>
      </c>
      <c r="C54" s="3" t="s">
        <v>30</v>
      </c>
      <c r="D54" s="3" t="s">
        <v>31</v>
      </c>
      <c r="E54" s="3" t="s">
        <v>16</v>
      </c>
      <c r="F54" s="3" t="s">
        <v>39</v>
      </c>
      <c r="G54" s="3" t="s">
        <v>36</v>
      </c>
      <c r="H54" s="3">
        <v>18950</v>
      </c>
      <c r="I54" s="3" t="s">
        <v>19</v>
      </c>
      <c r="J54" s="3">
        <v>0.2</v>
      </c>
      <c r="K54" s="3">
        <v>17000</v>
      </c>
      <c r="L54" s="27">
        <v>45351</v>
      </c>
      <c r="M54" t="str">
        <f t="shared" si="0"/>
        <v>Target Achieved</v>
      </c>
    </row>
    <row r="55" spans="1:13" x14ac:dyDescent="0.35">
      <c r="A55" s="33" t="s">
        <v>81</v>
      </c>
      <c r="B55" s="3" t="s">
        <v>82</v>
      </c>
      <c r="C55" s="3" t="s">
        <v>44</v>
      </c>
      <c r="D55" s="3" t="s">
        <v>45</v>
      </c>
      <c r="E55" s="3" t="s">
        <v>16</v>
      </c>
      <c r="F55" s="3" t="s">
        <v>17</v>
      </c>
      <c r="G55" s="3" t="s">
        <v>36</v>
      </c>
      <c r="H55" s="3">
        <v>13751</v>
      </c>
      <c r="I55" s="3" t="s">
        <v>33</v>
      </c>
      <c r="J55" s="3">
        <v>0.3</v>
      </c>
      <c r="K55" s="3">
        <v>13000</v>
      </c>
      <c r="L55" s="27">
        <v>45320</v>
      </c>
      <c r="M55" t="str">
        <f t="shared" si="0"/>
        <v>Target Achieved</v>
      </c>
    </row>
    <row r="56" spans="1:13" x14ac:dyDescent="0.35">
      <c r="A56" s="33" t="s">
        <v>83</v>
      </c>
      <c r="B56" s="3" t="s">
        <v>84</v>
      </c>
      <c r="C56" s="3" t="s">
        <v>61</v>
      </c>
      <c r="D56" s="3" t="s">
        <v>62</v>
      </c>
      <c r="E56" s="3" t="s">
        <v>32</v>
      </c>
      <c r="F56" s="3" t="s">
        <v>25</v>
      </c>
      <c r="G56" s="3" t="s">
        <v>18</v>
      </c>
      <c r="H56" s="3">
        <v>7262</v>
      </c>
      <c r="I56" s="3" t="s">
        <v>33</v>
      </c>
      <c r="J56" s="3">
        <v>0.3</v>
      </c>
      <c r="K56" s="3">
        <v>9000</v>
      </c>
      <c r="L56" s="27">
        <v>45293</v>
      </c>
      <c r="M56" t="str">
        <f t="shared" si="0"/>
        <v>Below Target</v>
      </c>
    </row>
    <row r="57" spans="1:13" x14ac:dyDescent="0.35">
      <c r="A57" s="33" t="s">
        <v>85</v>
      </c>
      <c r="B57" s="3" t="s">
        <v>86</v>
      </c>
      <c r="C57" s="3" t="s">
        <v>44</v>
      </c>
      <c r="D57" s="3" t="s">
        <v>45</v>
      </c>
      <c r="E57" s="3" t="s">
        <v>16</v>
      </c>
      <c r="F57" s="3" t="s">
        <v>25</v>
      </c>
      <c r="G57" s="3" t="s">
        <v>18</v>
      </c>
      <c r="H57" s="3">
        <v>11290</v>
      </c>
      <c r="I57" s="3" t="s">
        <v>22</v>
      </c>
      <c r="J57" s="3">
        <v>0.1</v>
      </c>
      <c r="K57" s="3">
        <v>13000</v>
      </c>
      <c r="L57" s="27">
        <v>45306</v>
      </c>
      <c r="M57" t="str">
        <f t="shared" si="0"/>
        <v>Below Target</v>
      </c>
    </row>
    <row r="58" spans="1:13" x14ac:dyDescent="0.35">
      <c r="A58" s="33" t="s">
        <v>87</v>
      </c>
      <c r="B58" s="3" t="s">
        <v>43</v>
      </c>
      <c r="C58" s="3" t="s">
        <v>30</v>
      </c>
      <c r="D58" s="3" t="s">
        <v>31</v>
      </c>
      <c r="E58" s="3" t="s">
        <v>32</v>
      </c>
      <c r="F58" s="3" t="s">
        <v>39</v>
      </c>
      <c r="G58" s="3" t="s">
        <v>18</v>
      </c>
      <c r="H58" s="3">
        <v>16140</v>
      </c>
      <c r="I58" s="3"/>
      <c r="J58" s="3"/>
      <c r="K58" s="3">
        <v>17000</v>
      </c>
      <c r="L58" s="27">
        <v>45305</v>
      </c>
      <c r="M58" t="str">
        <f t="shared" si="0"/>
        <v>Below Target</v>
      </c>
    </row>
    <row r="59" spans="1:13" x14ac:dyDescent="0.35">
      <c r="A59" s="33" t="s">
        <v>88</v>
      </c>
      <c r="B59" s="3" t="s">
        <v>80</v>
      </c>
      <c r="C59" s="3" t="s">
        <v>61</v>
      </c>
      <c r="D59" s="3" t="s">
        <v>62</v>
      </c>
      <c r="E59" s="3" t="s">
        <v>32</v>
      </c>
      <c r="F59" s="3" t="s">
        <v>17</v>
      </c>
      <c r="G59" s="3" t="s">
        <v>36</v>
      </c>
      <c r="H59" s="3">
        <v>7779</v>
      </c>
      <c r="I59" s="3" t="s">
        <v>22</v>
      </c>
      <c r="J59" s="3">
        <v>0.1</v>
      </c>
      <c r="K59" s="3">
        <v>9000</v>
      </c>
      <c r="L59" s="27">
        <v>45298</v>
      </c>
      <c r="M59" t="str">
        <f t="shared" si="0"/>
        <v>Below Target</v>
      </c>
    </row>
    <row r="60" spans="1:13" x14ac:dyDescent="0.35">
      <c r="A60" s="33" t="s">
        <v>89</v>
      </c>
      <c r="B60" s="3" t="s">
        <v>90</v>
      </c>
      <c r="C60" s="3" t="s">
        <v>30</v>
      </c>
      <c r="D60" s="3" t="s">
        <v>31</v>
      </c>
      <c r="E60" s="3" t="s">
        <v>46</v>
      </c>
      <c r="F60" s="3" t="s">
        <v>17</v>
      </c>
      <c r="G60" s="3" t="s">
        <v>36</v>
      </c>
      <c r="H60" s="3">
        <v>18538</v>
      </c>
      <c r="I60" s="3" t="s">
        <v>22</v>
      </c>
      <c r="J60" s="3">
        <v>0.1</v>
      </c>
      <c r="K60" s="3">
        <v>17000</v>
      </c>
      <c r="L60" s="27">
        <v>45335</v>
      </c>
      <c r="M60" t="str">
        <f t="shared" si="0"/>
        <v>Target Achieved</v>
      </c>
    </row>
    <row r="61" spans="1:13" x14ac:dyDescent="0.35">
      <c r="A61" s="33" t="s">
        <v>91</v>
      </c>
      <c r="B61" s="3" t="s">
        <v>92</v>
      </c>
      <c r="C61" s="3" t="s">
        <v>14</v>
      </c>
      <c r="D61" s="3" t="s">
        <v>15</v>
      </c>
      <c r="E61" s="3" t="s">
        <v>32</v>
      </c>
      <c r="F61" s="3" t="s">
        <v>17</v>
      </c>
      <c r="G61" s="3" t="s">
        <v>26</v>
      </c>
      <c r="H61" s="3">
        <v>13389</v>
      </c>
      <c r="I61" s="3" t="s">
        <v>22</v>
      </c>
      <c r="J61" s="3">
        <v>0.1</v>
      </c>
      <c r="K61" s="3">
        <v>14000</v>
      </c>
      <c r="L61" s="27">
        <v>45307</v>
      </c>
      <c r="M61" t="str">
        <f t="shared" si="0"/>
        <v>Below Target</v>
      </c>
    </row>
    <row r="62" spans="1:13" x14ac:dyDescent="0.35">
      <c r="A62" s="33" t="s">
        <v>93</v>
      </c>
      <c r="B62" s="3" t="s">
        <v>94</v>
      </c>
      <c r="C62" s="3" t="s">
        <v>61</v>
      </c>
      <c r="D62" s="3" t="s">
        <v>62</v>
      </c>
      <c r="E62" s="3" t="s">
        <v>32</v>
      </c>
      <c r="F62" s="3" t="s">
        <v>17</v>
      </c>
      <c r="G62" s="3" t="s">
        <v>18</v>
      </c>
      <c r="H62" s="3">
        <v>8140</v>
      </c>
      <c r="I62" s="3"/>
      <c r="J62" s="3"/>
      <c r="K62" s="3">
        <v>9000</v>
      </c>
      <c r="L62" s="27">
        <v>45307</v>
      </c>
      <c r="M62" t="str">
        <f t="shared" si="0"/>
        <v>Below Target</v>
      </c>
    </row>
    <row r="63" spans="1:13" x14ac:dyDescent="0.35">
      <c r="A63" s="33" t="s">
        <v>95</v>
      </c>
      <c r="B63" s="3" t="s">
        <v>96</v>
      </c>
      <c r="C63" s="3" t="s">
        <v>61</v>
      </c>
      <c r="D63" s="3" t="s">
        <v>62</v>
      </c>
      <c r="E63" s="3" t="s">
        <v>16</v>
      </c>
      <c r="F63" s="3" t="s">
        <v>25</v>
      </c>
      <c r="G63" s="3" t="s">
        <v>18</v>
      </c>
      <c r="H63" s="3">
        <v>9671</v>
      </c>
      <c r="I63" s="3" t="s">
        <v>27</v>
      </c>
      <c r="J63" s="3"/>
      <c r="K63" s="3">
        <v>9000</v>
      </c>
      <c r="L63" s="27">
        <v>45345</v>
      </c>
      <c r="M63" t="str">
        <f t="shared" si="0"/>
        <v>Target Achieved</v>
      </c>
    </row>
    <row r="64" spans="1:13" x14ac:dyDescent="0.35">
      <c r="A64" s="33" t="s">
        <v>97</v>
      </c>
      <c r="B64" s="3" t="s">
        <v>76</v>
      </c>
      <c r="C64" s="3" t="s">
        <v>44</v>
      </c>
      <c r="D64" s="3" t="s">
        <v>45</v>
      </c>
      <c r="E64" s="3" t="s">
        <v>32</v>
      </c>
      <c r="F64" s="3" t="s">
        <v>17</v>
      </c>
      <c r="G64" s="3" t="s">
        <v>36</v>
      </c>
      <c r="H64" s="3">
        <v>12971</v>
      </c>
      <c r="I64" s="3" t="s">
        <v>19</v>
      </c>
      <c r="J64" s="3">
        <v>0.2</v>
      </c>
      <c r="K64" s="3">
        <v>13000</v>
      </c>
      <c r="L64" s="27">
        <v>45347</v>
      </c>
      <c r="M64" t="str">
        <f t="shared" si="0"/>
        <v>Below Target</v>
      </c>
    </row>
    <row r="65" spans="1:13" x14ac:dyDescent="0.35">
      <c r="A65" s="33" t="s">
        <v>98</v>
      </c>
      <c r="B65" s="3" t="s">
        <v>99</v>
      </c>
      <c r="C65" s="3" t="s">
        <v>44</v>
      </c>
      <c r="D65" s="3" t="s">
        <v>45</v>
      </c>
      <c r="E65" s="3" t="s">
        <v>46</v>
      </c>
      <c r="F65" s="3" t="s">
        <v>25</v>
      </c>
      <c r="G65" s="3" t="s">
        <v>36</v>
      </c>
      <c r="H65" s="3">
        <v>12086</v>
      </c>
      <c r="I65" s="3"/>
      <c r="J65" s="3"/>
      <c r="K65" s="3">
        <v>13000</v>
      </c>
      <c r="L65" s="27">
        <v>45310</v>
      </c>
      <c r="M65" t="str">
        <f t="shared" si="0"/>
        <v>Below Target</v>
      </c>
    </row>
    <row r="66" spans="1:13" x14ac:dyDescent="0.35">
      <c r="A66" s="33" t="s">
        <v>100</v>
      </c>
      <c r="B66" s="3" t="s">
        <v>101</v>
      </c>
      <c r="C66" s="3" t="s">
        <v>61</v>
      </c>
      <c r="D66" s="3" t="s">
        <v>62</v>
      </c>
      <c r="E66" s="3" t="s">
        <v>32</v>
      </c>
      <c r="F66" s="3" t="s">
        <v>25</v>
      </c>
      <c r="G66" s="3" t="s">
        <v>36</v>
      </c>
      <c r="H66" s="3">
        <v>7891</v>
      </c>
      <c r="I66" s="3" t="s">
        <v>22</v>
      </c>
      <c r="J66" s="3">
        <v>0.1</v>
      </c>
      <c r="K66" s="3">
        <v>9000</v>
      </c>
      <c r="L66" s="27">
        <v>45329</v>
      </c>
      <c r="M66" t="str">
        <f t="shared" si="0"/>
        <v>Below Target</v>
      </c>
    </row>
    <row r="67" spans="1:13" x14ac:dyDescent="0.35">
      <c r="A67" s="33" t="s">
        <v>102</v>
      </c>
      <c r="B67" s="3" t="s">
        <v>103</v>
      </c>
      <c r="C67" s="3" t="s">
        <v>14</v>
      </c>
      <c r="D67" s="3" t="s">
        <v>15</v>
      </c>
      <c r="E67" s="3" t="s">
        <v>16</v>
      </c>
      <c r="F67" s="3" t="s">
        <v>17</v>
      </c>
      <c r="G67" s="3" t="s">
        <v>18</v>
      </c>
      <c r="H67" s="3">
        <v>12205</v>
      </c>
      <c r="I67" s="3" t="s">
        <v>27</v>
      </c>
      <c r="J67" s="3"/>
      <c r="K67" s="3">
        <v>14000</v>
      </c>
      <c r="L67" s="27">
        <v>45322</v>
      </c>
      <c r="M67" t="str">
        <f t="shared" si="0"/>
        <v>Below Target</v>
      </c>
    </row>
    <row r="68" spans="1:13" x14ac:dyDescent="0.35">
      <c r="A68" s="33" t="s">
        <v>104</v>
      </c>
      <c r="B68" s="3" t="s">
        <v>105</v>
      </c>
      <c r="C68" s="3" t="s">
        <v>44</v>
      </c>
      <c r="D68" s="3" t="s">
        <v>45</v>
      </c>
      <c r="E68" s="3" t="s">
        <v>32</v>
      </c>
      <c r="F68" s="3" t="s">
        <v>39</v>
      </c>
      <c r="G68" s="3" t="s">
        <v>18</v>
      </c>
      <c r="H68" s="3">
        <v>14487</v>
      </c>
      <c r="I68" s="3" t="s">
        <v>19</v>
      </c>
      <c r="J68" s="3">
        <v>0.2</v>
      </c>
      <c r="K68" s="3">
        <v>13000</v>
      </c>
      <c r="L68" s="27">
        <v>45296</v>
      </c>
      <c r="M68" t="str">
        <f t="shared" si="0"/>
        <v>Target Achieved</v>
      </c>
    </row>
    <row r="69" spans="1:13" x14ac:dyDescent="0.35">
      <c r="A69" s="33" t="s">
        <v>106</v>
      </c>
      <c r="B69" s="3" t="s">
        <v>107</v>
      </c>
      <c r="C69" s="3" t="s">
        <v>44</v>
      </c>
      <c r="D69" s="3" t="s">
        <v>45</v>
      </c>
      <c r="E69" s="3" t="s">
        <v>46</v>
      </c>
      <c r="F69" s="3" t="s">
        <v>25</v>
      </c>
      <c r="G69" s="3" t="s">
        <v>26</v>
      </c>
      <c r="H69" s="3">
        <v>12008</v>
      </c>
      <c r="I69" s="3" t="s">
        <v>27</v>
      </c>
      <c r="J69" s="3"/>
      <c r="K69" s="3">
        <v>13000</v>
      </c>
      <c r="L69" s="27">
        <v>45330</v>
      </c>
      <c r="M69" t="str">
        <f t="shared" si="0"/>
        <v>Below Target</v>
      </c>
    </row>
    <row r="70" spans="1:13" x14ac:dyDescent="0.35">
      <c r="A70" s="33" t="s">
        <v>108</v>
      </c>
      <c r="B70" s="3" t="s">
        <v>109</v>
      </c>
      <c r="C70" s="3" t="s">
        <v>14</v>
      </c>
      <c r="D70" s="3" t="s">
        <v>15</v>
      </c>
      <c r="E70" s="3" t="s">
        <v>46</v>
      </c>
      <c r="F70" s="3" t="s">
        <v>39</v>
      </c>
      <c r="G70" s="3" t="s">
        <v>26</v>
      </c>
      <c r="H70" s="3">
        <v>14315</v>
      </c>
      <c r="I70" s="3" t="s">
        <v>27</v>
      </c>
      <c r="J70" s="3"/>
      <c r="K70" s="3">
        <v>14000</v>
      </c>
      <c r="L70" s="27">
        <v>45312</v>
      </c>
      <c r="M70" t="str">
        <f t="shared" si="0"/>
        <v>Target Achieved</v>
      </c>
    </row>
    <row r="71" spans="1:13" x14ac:dyDescent="0.35">
      <c r="A71" s="33" t="s">
        <v>110</v>
      </c>
      <c r="B71" s="3" t="s">
        <v>111</v>
      </c>
      <c r="C71" s="3" t="s">
        <v>44</v>
      </c>
      <c r="D71" s="3" t="s">
        <v>45</v>
      </c>
      <c r="E71" s="3" t="s">
        <v>16</v>
      </c>
      <c r="F71" s="3" t="s">
        <v>39</v>
      </c>
      <c r="G71" s="3" t="s">
        <v>36</v>
      </c>
      <c r="H71" s="3">
        <v>11977</v>
      </c>
      <c r="I71" s="3" t="s">
        <v>33</v>
      </c>
      <c r="J71" s="3">
        <v>0.3</v>
      </c>
      <c r="K71" s="3">
        <v>13000</v>
      </c>
      <c r="L71" s="27">
        <v>45317</v>
      </c>
      <c r="M71" t="str">
        <f t="shared" si="0"/>
        <v>Below Target</v>
      </c>
    </row>
    <row r="72" spans="1:13" x14ac:dyDescent="0.35">
      <c r="A72" s="33" t="s">
        <v>112</v>
      </c>
      <c r="B72" s="3" t="s">
        <v>113</v>
      </c>
      <c r="C72" s="3" t="s">
        <v>30</v>
      </c>
      <c r="D72" s="3" t="s">
        <v>31</v>
      </c>
      <c r="E72" s="3" t="s">
        <v>46</v>
      </c>
      <c r="F72" s="3" t="s">
        <v>17</v>
      </c>
      <c r="G72" s="3" t="s">
        <v>18</v>
      </c>
      <c r="H72" s="3">
        <v>15038</v>
      </c>
      <c r="I72" s="3"/>
      <c r="J72" s="3"/>
      <c r="K72" s="3">
        <v>17000</v>
      </c>
      <c r="L72" s="27">
        <v>45331</v>
      </c>
      <c r="M72" t="str">
        <f t="shared" si="0"/>
        <v>Below Target</v>
      </c>
    </row>
    <row r="73" spans="1:13" x14ac:dyDescent="0.35">
      <c r="A73" s="33" t="s">
        <v>114</v>
      </c>
      <c r="B73" s="3" t="s">
        <v>107</v>
      </c>
      <c r="C73" s="3" t="s">
        <v>14</v>
      </c>
      <c r="D73" s="3" t="s">
        <v>15</v>
      </c>
      <c r="E73" s="3" t="s">
        <v>16</v>
      </c>
      <c r="F73" s="3" t="s">
        <v>25</v>
      </c>
      <c r="G73" s="3" t="s">
        <v>26</v>
      </c>
      <c r="H73" s="3">
        <v>13086</v>
      </c>
      <c r="I73" s="3" t="s">
        <v>19</v>
      </c>
      <c r="J73" s="3">
        <v>0.2</v>
      </c>
      <c r="K73" s="3">
        <v>14000</v>
      </c>
      <c r="L73" s="27">
        <v>45351</v>
      </c>
      <c r="M73" t="str">
        <f t="shared" si="0"/>
        <v>Below Target</v>
      </c>
    </row>
    <row r="74" spans="1:13" x14ac:dyDescent="0.35">
      <c r="A74" s="33" t="s">
        <v>115</v>
      </c>
      <c r="B74" s="3" t="s">
        <v>116</v>
      </c>
      <c r="C74" s="3" t="s">
        <v>44</v>
      </c>
      <c r="D74" s="3" t="s">
        <v>45</v>
      </c>
      <c r="E74" s="3" t="s">
        <v>46</v>
      </c>
      <c r="F74" s="3" t="s">
        <v>17</v>
      </c>
      <c r="G74" s="3" t="s">
        <v>18</v>
      </c>
      <c r="H74" s="3">
        <v>12794</v>
      </c>
      <c r="I74" s="3" t="s">
        <v>27</v>
      </c>
      <c r="J74" s="3"/>
      <c r="K74" s="3">
        <v>13000</v>
      </c>
      <c r="L74" s="27">
        <v>45337</v>
      </c>
      <c r="M74" t="str">
        <f t="shared" si="0"/>
        <v>Below Target</v>
      </c>
    </row>
    <row r="75" spans="1:13" x14ac:dyDescent="0.35">
      <c r="A75" s="33" t="s">
        <v>117</v>
      </c>
      <c r="B75" s="3" t="s">
        <v>118</v>
      </c>
      <c r="C75" s="3" t="s">
        <v>14</v>
      </c>
      <c r="D75" s="3" t="s">
        <v>15</v>
      </c>
      <c r="E75" s="3" t="s">
        <v>16</v>
      </c>
      <c r="F75" s="3" t="s">
        <v>39</v>
      </c>
      <c r="G75" s="3" t="s">
        <v>36</v>
      </c>
      <c r="H75" s="3">
        <v>15816</v>
      </c>
      <c r="I75" s="3" t="s">
        <v>22</v>
      </c>
      <c r="J75" s="3">
        <v>0.1</v>
      </c>
      <c r="K75" s="3">
        <v>14000</v>
      </c>
      <c r="L75" s="27">
        <v>45352</v>
      </c>
      <c r="M75" t="str">
        <f t="shared" si="0"/>
        <v>Target Achieved</v>
      </c>
    </row>
    <row r="76" spans="1:13" x14ac:dyDescent="0.35">
      <c r="A76" s="33" t="s">
        <v>119</v>
      </c>
      <c r="B76" s="3" t="s">
        <v>120</v>
      </c>
      <c r="C76" s="3" t="s">
        <v>30</v>
      </c>
      <c r="D76" s="3" t="s">
        <v>31</v>
      </c>
      <c r="E76" s="3" t="s">
        <v>32</v>
      </c>
      <c r="F76" s="3" t="s">
        <v>25</v>
      </c>
      <c r="G76" s="3" t="s">
        <v>26</v>
      </c>
      <c r="H76" s="3">
        <v>17266</v>
      </c>
      <c r="I76" s="3" t="s">
        <v>19</v>
      </c>
      <c r="J76" s="3">
        <v>0.2</v>
      </c>
      <c r="K76" s="3">
        <v>17000</v>
      </c>
      <c r="L76" s="27">
        <v>45309</v>
      </c>
      <c r="M76" t="str">
        <f t="shared" si="0"/>
        <v>Target Achieved</v>
      </c>
    </row>
    <row r="77" spans="1:13" x14ac:dyDescent="0.35">
      <c r="A77" s="33" t="s">
        <v>121</v>
      </c>
      <c r="B77" s="3" t="s">
        <v>118</v>
      </c>
      <c r="C77" s="3" t="s">
        <v>44</v>
      </c>
      <c r="D77" s="3" t="s">
        <v>45</v>
      </c>
      <c r="E77" s="3" t="s">
        <v>16</v>
      </c>
      <c r="F77" s="3" t="s">
        <v>17</v>
      </c>
      <c r="G77" s="3" t="s">
        <v>18</v>
      </c>
      <c r="H77" s="3">
        <v>13815</v>
      </c>
      <c r="I77" s="3" t="s">
        <v>33</v>
      </c>
      <c r="J77" s="3">
        <v>0.3</v>
      </c>
      <c r="K77" s="3">
        <v>13000</v>
      </c>
      <c r="L77" s="27">
        <v>45324</v>
      </c>
      <c r="M77" t="str">
        <f t="shared" si="0"/>
        <v>Target Achieved</v>
      </c>
    </row>
    <row r="78" spans="1:13" x14ac:dyDescent="0.35">
      <c r="A78" s="33" t="s">
        <v>122</v>
      </c>
      <c r="B78" s="3" t="s">
        <v>123</v>
      </c>
      <c r="C78" s="3" t="s">
        <v>14</v>
      </c>
      <c r="D78" s="3" t="s">
        <v>15</v>
      </c>
      <c r="E78" s="3" t="s">
        <v>32</v>
      </c>
      <c r="F78" s="3" t="s">
        <v>39</v>
      </c>
      <c r="G78" s="3" t="s">
        <v>36</v>
      </c>
      <c r="H78" s="3">
        <v>15397</v>
      </c>
      <c r="I78" s="3" t="s">
        <v>33</v>
      </c>
      <c r="J78" s="3">
        <v>0.3</v>
      </c>
      <c r="K78" s="3">
        <v>14000</v>
      </c>
      <c r="L78" s="27">
        <v>45294</v>
      </c>
      <c r="M78" t="str">
        <f t="shared" si="0"/>
        <v>Target Achieved</v>
      </c>
    </row>
    <row r="79" spans="1:13" x14ac:dyDescent="0.35">
      <c r="A79" s="33" t="s">
        <v>124</v>
      </c>
      <c r="B79" s="3" t="s">
        <v>125</v>
      </c>
      <c r="C79" s="3" t="s">
        <v>44</v>
      </c>
      <c r="D79" s="3" t="s">
        <v>45</v>
      </c>
      <c r="E79" s="3" t="s">
        <v>16</v>
      </c>
      <c r="F79" s="3" t="s">
        <v>17</v>
      </c>
      <c r="G79" s="3" t="s">
        <v>18</v>
      </c>
      <c r="H79" s="3">
        <v>14036</v>
      </c>
      <c r="I79" s="3"/>
      <c r="J79" s="3"/>
      <c r="K79" s="3">
        <v>13000</v>
      </c>
      <c r="L79" s="27">
        <v>45327</v>
      </c>
      <c r="M79" t="str">
        <f t="shared" si="0"/>
        <v>Target Achieved</v>
      </c>
    </row>
    <row r="80" spans="1:13" x14ac:dyDescent="0.35">
      <c r="A80" s="33" t="s">
        <v>126</v>
      </c>
      <c r="B80" s="3" t="s">
        <v>127</v>
      </c>
      <c r="C80" s="3" t="s">
        <v>14</v>
      </c>
      <c r="D80" s="3" t="s">
        <v>15</v>
      </c>
      <c r="E80" s="3" t="s">
        <v>32</v>
      </c>
      <c r="F80" s="3" t="s">
        <v>25</v>
      </c>
      <c r="G80" s="3" t="s">
        <v>26</v>
      </c>
      <c r="H80" s="3">
        <v>15702</v>
      </c>
      <c r="I80" s="3" t="s">
        <v>19</v>
      </c>
      <c r="J80" s="3">
        <v>0.2</v>
      </c>
      <c r="K80" s="3">
        <v>14000</v>
      </c>
      <c r="L80" s="27">
        <v>45326</v>
      </c>
      <c r="M80" t="str">
        <f t="shared" si="0"/>
        <v>Target Achieved</v>
      </c>
    </row>
    <row r="81" spans="1:13" x14ac:dyDescent="0.35">
      <c r="A81" s="33" t="s">
        <v>128</v>
      </c>
      <c r="B81" s="3" t="s">
        <v>129</v>
      </c>
      <c r="C81" s="3" t="s">
        <v>30</v>
      </c>
      <c r="D81" s="3" t="s">
        <v>31</v>
      </c>
      <c r="E81" s="3" t="s">
        <v>16</v>
      </c>
      <c r="F81" s="3" t="s">
        <v>39</v>
      </c>
      <c r="G81" s="3" t="s">
        <v>18</v>
      </c>
      <c r="H81" s="3">
        <v>16760</v>
      </c>
      <c r="I81" s="3" t="s">
        <v>19</v>
      </c>
      <c r="J81" s="3">
        <v>0.2</v>
      </c>
      <c r="K81" s="3">
        <v>17000</v>
      </c>
      <c r="L81" s="27">
        <v>45294</v>
      </c>
      <c r="M81" t="str">
        <f t="shared" si="0"/>
        <v>Below Target</v>
      </c>
    </row>
    <row r="82" spans="1:13" x14ac:dyDescent="0.35">
      <c r="A82" s="33" t="s">
        <v>130</v>
      </c>
      <c r="B82" s="3" t="s">
        <v>131</v>
      </c>
      <c r="C82" s="3" t="s">
        <v>14</v>
      </c>
      <c r="D82" s="3" t="s">
        <v>15</v>
      </c>
      <c r="E82" s="3" t="s">
        <v>46</v>
      </c>
      <c r="F82" s="3" t="s">
        <v>25</v>
      </c>
      <c r="G82" s="3" t="s">
        <v>26</v>
      </c>
      <c r="H82" s="3">
        <v>13022</v>
      </c>
      <c r="I82" s="3" t="s">
        <v>22</v>
      </c>
      <c r="J82" s="3">
        <v>0.1</v>
      </c>
      <c r="K82" s="3">
        <v>14000</v>
      </c>
      <c r="L82" s="27">
        <v>45314</v>
      </c>
      <c r="M82" t="str">
        <f t="shared" si="0"/>
        <v>Below Target</v>
      </c>
    </row>
    <row r="83" spans="1:13" x14ac:dyDescent="0.35">
      <c r="A83" s="33" t="s">
        <v>132</v>
      </c>
      <c r="B83" s="3" t="s">
        <v>133</v>
      </c>
      <c r="C83" s="3" t="s">
        <v>61</v>
      </c>
      <c r="D83" s="3" t="s">
        <v>62</v>
      </c>
      <c r="E83" s="3" t="s">
        <v>16</v>
      </c>
      <c r="F83" s="3" t="s">
        <v>39</v>
      </c>
      <c r="G83" s="3" t="s">
        <v>18</v>
      </c>
      <c r="H83" s="3">
        <v>10791</v>
      </c>
      <c r="I83" s="3" t="s">
        <v>19</v>
      </c>
      <c r="J83" s="3">
        <v>0.2</v>
      </c>
      <c r="K83" s="3">
        <v>9000</v>
      </c>
      <c r="L83" s="27">
        <v>45347</v>
      </c>
      <c r="M83" t="str">
        <f t="shared" si="0"/>
        <v>Target Achieved</v>
      </c>
    </row>
    <row r="84" spans="1:13" x14ac:dyDescent="0.35">
      <c r="A84" s="33" t="s">
        <v>134</v>
      </c>
      <c r="B84" s="3" t="s">
        <v>135</v>
      </c>
      <c r="C84" s="3" t="s">
        <v>44</v>
      </c>
      <c r="D84" s="3" t="s">
        <v>45</v>
      </c>
      <c r="E84" s="3" t="s">
        <v>46</v>
      </c>
      <c r="F84" s="3" t="s">
        <v>25</v>
      </c>
      <c r="G84" s="3" t="s">
        <v>18</v>
      </c>
      <c r="H84" s="3">
        <v>14016</v>
      </c>
      <c r="I84" s="3" t="s">
        <v>33</v>
      </c>
      <c r="J84" s="3">
        <v>0.3</v>
      </c>
      <c r="K84" s="3">
        <v>13000</v>
      </c>
      <c r="L84" s="27">
        <v>45342</v>
      </c>
      <c r="M84" t="str">
        <f t="shared" si="0"/>
        <v>Target Achieved</v>
      </c>
    </row>
    <row r="85" spans="1:13" x14ac:dyDescent="0.35">
      <c r="A85" s="33" t="s">
        <v>136</v>
      </c>
      <c r="B85" s="3" t="s">
        <v>137</v>
      </c>
      <c r="C85" s="3" t="s">
        <v>44</v>
      </c>
      <c r="D85" s="3" t="s">
        <v>45</v>
      </c>
      <c r="E85" s="3" t="s">
        <v>46</v>
      </c>
      <c r="F85" s="3" t="s">
        <v>25</v>
      </c>
      <c r="G85" s="3" t="s">
        <v>26</v>
      </c>
      <c r="H85" s="3">
        <v>11442</v>
      </c>
      <c r="I85" s="3"/>
      <c r="J85" s="3"/>
      <c r="K85" s="3">
        <v>13000</v>
      </c>
      <c r="L85" s="27">
        <v>45347</v>
      </c>
      <c r="M85" t="str">
        <f t="shared" si="0"/>
        <v>Below Target</v>
      </c>
    </row>
    <row r="86" spans="1:13" x14ac:dyDescent="0.35">
      <c r="A86" s="33" t="s">
        <v>138</v>
      </c>
      <c r="B86" s="3" t="s">
        <v>129</v>
      </c>
      <c r="C86" s="3" t="s">
        <v>61</v>
      </c>
      <c r="D86" s="3" t="s">
        <v>62</v>
      </c>
      <c r="E86" s="3" t="s">
        <v>32</v>
      </c>
      <c r="F86" s="3" t="s">
        <v>25</v>
      </c>
      <c r="G86" s="3" t="s">
        <v>36</v>
      </c>
      <c r="H86" s="3">
        <v>8432</v>
      </c>
      <c r="I86" s="3" t="s">
        <v>33</v>
      </c>
      <c r="J86" s="3">
        <v>0.3</v>
      </c>
      <c r="K86" s="3">
        <v>9000</v>
      </c>
      <c r="L86" s="27">
        <v>45344</v>
      </c>
      <c r="M86" t="str">
        <f t="shared" si="0"/>
        <v>Below Target</v>
      </c>
    </row>
    <row r="87" spans="1:13" x14ac:dyDescent="0.35">
      <c r="A87" s="33" t="s">
        <v>139</v>
      </c>
      <c r="B87" s="3" t="s">
        <v>140</v>
      </c>
      <c r="C87" s="3" t="s">
        <v>44</v>
      </c>
      <c r="D87" s="3" t="s">
        <v>45</v>
      </c>
      <c r="E87" s="3" t="s">
        <v>32</v>
      </c>
      <c r="F87" s="3" t="s">
        <v>25</v>
      </c>
      <c r="G87" s="3" t="s">
        <v>26</v>
      </c>
      <c r="H87" s="3">
        <v>11791</v>
      </c>
      <c r="I87" s="3"/>
      <c r="J87" s="3"/>
      <c r="K87" s="3">
        <v>13000</v>
      </c>
      <c r="L87" s="27">
        <v>45313</v>
      </c>
      <c r="M87" t="str">
        <f t="shared" si="0"/>
        <v>Below Target</v>
      </c>
    </row>
    <row r="88" spans="1:13" x14ac:dyDescent="0.35">
      <c r="A88" s="33" t="s">
        <v>141</v>
      </c>
      <c r="B88" s="3" t="s">
        <v>142</v>
      </c>
      <c r="C88" s="3" t="s">
        <v>14</v>
      </c>
      <c r="D88" s="3" t="s">
        <v>15</v>
      </c>
      <c r="E88" s="3" t="s">
        <v>46</v>
      </c>
      <c r="F88" s="3" t="s">
        <v>17</v>
      </c>
      <c r="G88" s="3" t="s">
        <v>26</v>
      </c>
      <c r="H88" s="3">
        <v>14086</v>
      </c>
      <c r="I88" s="3"/>
      <c r="J88" s="3"/>
      <c r="K88" s="3">
        <v>14000</v>
      </c>
      <c r="L88" s="27">
        <v>45335</v>
      </c>
      <c r="M88" t="str">
        <f t="shared" si="0"/>
        <v>Target Achieved</v>
      </c>
    </row>
    <row r="89" spans="1:13" x14ac:dyDescent="0.35">
      <c r="A89" s="33" t="s">
        <v>143</v>
      </c>
      <c r="B89" s="3" t="s">
        <v>144</v>
      </c>
      <c r="C89" s="3" t="s">
        <v>30</v>
      </c>
      <c r="D89" s="3" t="s">
        <v>31</v>
      </c>
      <c r="E89" s="3" t="s">
        <v>32</v>
      </c>
      <c r="F89" s="3" t="s">
        <v>25</v>
      </c>
      <c r="G89" s="3" t="s">
        <v>36</v>
      </c>
      <c r="H89" s="3">
        <v>15731</v>
      </c>
      <c r="I89" s="3" t="s">
        <v>27</v>
      </c>
      <c r="J89" s="3"/>
      <c r="K89" s="3">
        <v>17000</v>
      </c>
      <c r="L89" s="27">
        <v>45308</v>
      </c>
      <c r="M89" t="str">
        <f t="shared" si="0"/>
        <v>Below Target</v>
      </c>
    </row>
    <row r="90" spans="1:13" x14ac:dyDescent="0.35">
      <c r="A90" s="33" t="s">
        <v>145</v>
      </c>
      <c r="B90" s="3" t="s">
        <v>76</v>
      </c>
      <c r="C90" s="3" t="s">
        <v>61</v>
      </c>
      <c r="D90" s="3" t="s">
        <v>62</v>
      </c>
      <c r="E90" s="3" t="s">
        <v>46</v>
      </c>
      <c r="F90" s="3" t="s">
        <v>39</v>
      </c>
      <c r="G90" s="3" t="s">
        <v>36</v>
      </c>
      <c r="H90" s="3">
        <v>8787</v>
      </c>
      <c r="I90" s="3" t="s">
        <v>27</v>
      </c>
      <c r="J90" s="3"/>
      <c r="K90" s="3">
        <v>9000</v>
      </c>
      <c r="L90" s="27">
        <v>45324</v>
      </c>
      <c r="M90" t="str">
        <f t="shared" si="0"/>
        <v>Below Target</v>
      </c>
    </row>
    <row r="91" spans="1:13" x14ac:dyDescent="0.35">
      <c r="A91" s="33" t="s">
        <v>146</v>
      </c>
      <c r="B91" s="3" t="s">
        <v>66</v>
      </c>
      <c r="C91" s="3" t="s">
        <v>44</v>
      </c>
      <c r="D91" s="3" t="s">
        <v>45</v>
      </c>
      <c r="E91" s="3" t="s">
        <v>46</v>
      </c>
      <c r="F91" s="3" t="s">
        <v>25</v>
      </c>
      <c r="G91" s="3" t="s">
        <v>26</v>
      </c>
      <c r="H91" s="3">
        <v>12786</v>
      </c>
      <c r="I91" s="3" t="s">
        <v>22</v>
      </c>
      <c r="J91" s="3">
        <v>0.1</v>
      </c>
      <c r="K91" s="3">
        <v>13000</v>
      </c>
      <c r="L91" s="27">
        <v>45325</v>
      </c>
      <c r="M91" t="str">
        <f t="shared" si="0"/>
        <v>Below Target</v>
      </c>
    </row>
    <row r="92" spans="1:13" x14ac:dyDescent="0.35">
      <c r="A92" s="33" t="s">
        <v>147</v>
      </c>
      <c r="B92" s="3" t="s">
        <v>148</v>
      </c>
      <c r="C92" s="3" t="s">
        <v>44</v>
      </c>
      <c r="D92" s="3" t="s">
        <v>45</v>
      </c>
      <c r="E92" s="3" t="s">
        <v>46</v>
      </c>
      <c r="F92" s="3" t="s">
        <v>17</v>
      </c>
      <c r="G92" s="3" t="s">
        <v>18</v>
      </c>
      <c r="H92" s="3">
        <v>14886</v>
      </c>
      <c r="I92" s="3" t="s">
        <v>33</v>
      </c>
      <c r="J92" s="3">
        <v>0.3</v>
      </c>
      <c r="K92" s="3">
        <v>13000</v>
      </c>
      <c r="L92" s="27">
        <v>45331</v>
      </c>
      <c r="M92" t="str">
        <f t="shared" si="0"/>
        <v>Target Achieved</v>
      </c>
    </row>
    <row r="93" spans="1:13" x14ac:dyDescent="0.35">
      <c r="A93" s="33" t="s">
        <v>149</v>
      </c>
      <c r="B93" s="3" t="s">
        <v>150</v>
      </c>
      <c r="C93" s="3" t="s">
        <v>14</v>
      </c>
      <c r="D93" s="3" t="s">
        <v>15</v>
      </c>
      <c r="E93" s="3" t="s">
        <v>16</v>
      </c>
      <c r="F93" s="3" t="s">
        <v>17</v>
      </c>
      <c r="G93" s="3" t="s">
        <v>26</v>
      </c>
      <c r="H93" s="3">
        <v>13266</v>
      </c>
      <c r="I93" s="3"/>
      <c r="J93" s="3"/>
      <c r="K93" s="3">
        <v>14000</v>
      </c>
      <c r="L93" s="27">
        <v>45312</v>
      </c>
      <c r="M93" t="str">
        <f t="shared" si="0"/>
        <v>Below Target</v>
      </c>
    </row>
    <row r="94" spans="1:13" x14ac:dyDescent="0.35">
      <c r="A94" s="33" t="s">
        <v>151</v>
      </c>
      <c r="B94" s="3" t="s">
        <v>101</v>
      </c>
      <c r="C94" s="3" t="s">
        <v>30</v>
      </c>
      <c r="D94" s="3" t="s">
        <v>31</v>
      </c>
      <c r="E94" s="3" t="s">
        <v>16</v>
      </c>
      <c r="F94" s="3" t="s">
        <v>25</v>
      </c>
      <c r="G94" s="3" t="s">
        <v>18</v>
      </c>
      <c r="H94" s="3">
        <v>16722</v>
      </c>
      <c r="I94" s="3"/>
      <c r="J94" s="3"/>
      <c r="K94" s="3">
        <v>17000</v>
      </c>
      <c r="L94" s="27">
        <v>45335</v>
      </c>
      <c r="M94" t="str">
        <f t="shared" si="0"/>
        <v>Below Target</v>
      </c>
    </row>
    <row r="95" spans="1:13" x14ac:dyDescent="0.35">
      <c r="A95" s="33" t="s">
        <v>152</v>
      </c>
      <c r="B95" s="3" t="s">
        <v>153</v>
      </c>
      <c r="C95" s="3" t="s">
        <v>30</v>
      </c>
      <c r="D95" s="3" t="s">
        <v>31</v>
      </c>
      <c r="E95" s="3" t="s">
        <v>46</v>
      </c>
      <c r="F95" s="3" t="s">
        <v>39</v>
      </c>
      <c r="G95" s="3" t="s">
        <v>18</v>
      </c>
      <c r="H95" s="3">
        <v>16244</v>
      </c>
      <c r="I95" s="3" t="s">
        <v>33</v>
      </c>
      <c r="J95" s="3">
        <v>0.3</v>
      </c>
      <c r="K95" s="3">
        <v>17000</v>
      </c>
      <c r="L95" s="27">
        <v>45305</v>
      </c>
      <c r="M95" t="str">
        <f t="shared" si="0"/>
        <v>Below Target</v>
      </c>
    </row>
    <row r="96" spans="1:13" x14ac:dyDescent="0.35">
      <c r="A96" s="33" t="s">
        <v>154</v>
      </c>
      <c r="B96" s="3" t="s">
        <v>155</v>
      </c>
      <c r="C96" s="3" t="s">
        <v>30</v>
      </c>
      <c r="D96" s="3" t="s">
        <v>31</v>
      </c>
      <c r="E96" s="3" t="s">
        <v>46</v>
      </c>
      <c r="F96" s="3" t="s">
        <v>17</v>
      </c>
      <c r="G96" s="3" t="s">
        <v>36</v>
      </c>
      <c r="H96" s="3">
        <v>17767</v>
      </c>
      <c r="I96" s="3" t="s">
        <v>19</v>
      </c>
      <c r="J96" s="3">
        <v>0.2</v>
      </c>
      <c r="K96" s="3">
        <v>17000</v>
      </c>
      <c r="L96" s="27">
        <v>45324</v>
      </c>
      <c r="M96" t="str">
        <f t="shared" ref="M96:M159" si="1">IF(H96&gt;=K96,"Target Achieved","Below Target")</f>
        <v>Target Achieved</v>
      </c>
    </row>
    <row r="97" spans="1:13" x14ac:dyDescent="0.35">
      <c r="A97" s="33" t="s">
        <v>156</v>
      </c>
      <c r="B97" s="3" t="s">
        <v>157</v>
      </c>
      <c r="C97" s="3" t="s">
        <v>44</v>
      </c>
      <c r="D97" s="3" t="s">
        <v>45</v>
      </c>
      <c r="E97" s="3" t="s">
        <v>16</v>
      </c>
      <c r="F97" s="3" t="s">
        <v>25</v>
      </c>
      <c r="G97" s="3" t="s">
        <v>36</v>
      </c>
      <c r="H97" s="3">
        <v>13111</v>
      </c>
      <c r="I97" s="3" t="s">
        <v>27</v>
      </c>
      <c r="J97" s="3"/>
      <c r="K97" s="3">
        <v>13000</v>
      </c>
      <c r="L97" s="27">
        <v>45313</v>
      </c>
      <c r="M97" t="str">
        <f t="shared" si="1"/>
        <v>Target Achieved</v>
      </c>
    </row>
    <row r="98" spans="1:13" x14ac:dyDescent="0.35">
      <c r="A98" s="33" t="s">
        <v>158</v>
      </c>
      <c r="B98" s="3" t="s">
        <v>159</v>
      </c>
      <c r="C98" s="3" t="s">
        <v>44</v>
      </c>
      <c r="D98" s="3" t="s">
        <v>45</v>
      </c>
      <c r="E98" s="3" t="s">
        <v>16</v>
      </c>
      <c r="F98" s="3" t="s">
        <v>17</v>
      </c>
      <c r="G98" s="3" t="s">
        <v>18</v>
      </c>
      <c r="H98" s="3">
        <v>14303</v>
      </c>
      <c r="I98" s="3" t="s">
        <v>19</v>
      </c>
      <c r="J98" s="3">
        <v>0.2</v>
      </c>
      <c r="K98" s="3">
        <v>13000</v>
      </c>
      <c r="L98" s="27">
        <v>45301</v>
      </c>
      <c r="M98" t="str">
        <f t="shared" si="1"/>
        <v>Target Achieved</v>
      </c>
    </row>
    <row r="99" spans="1:13" x14ac:dyDescent="0.35">
      <c r="A99" s="33" t="s">
        <v>160</v>
      </c>
      <c r="B99" s="3" t="s">
        <v>161</v>
      </c>
      <c r="C99" s="3" t="s">
        <v>44</v>
      </c>
      <c r="D99" s="3" t="s">
        <v>45</v>
      </c>
      <c r="E99" s="3" t="s">
        <v>46</v>
      </c>
      <c r="F99" s="3" t="s">
        <v>39</v>
      </c>
      <c r="G99" s="3" t="s">
        <v>18</v>
      </c>
      <c r="H99" s="3">
        <v>12865</v>
      </c>
      <c r="I99" s="3"/>
      <c r="J99" s="3"/>
      <c r="K99" s="3">
        <v>13000</v>
      </c>
      <c r="L99" s="27">
        <v>45348</v>
      </c>
      <c r="M99" t="str">
        <f t="shared" si="1"/>
        <v>Below Target</v>
      </c>
    </row>
    <row r="100" spans="1:13" x14ac:dyDescent="0.35">
      <c r="A100" s="33" t="s">
        <v>162</v>
      </c>
      <c r="B100" s="3" t="s">
        <v>163</v>
      </c>
      <c r="C100" s="3" t="s">
        <v>44</v>
      </c>
      <c r="D100" s="3" t="s">
        <v>45</v>
      </c>
      <c r="E100" s="3" t="s">
        <v>16</v>
      </c>
      <c r="F100" s="3" t="s">
        <v>39</v>
      </c>
      <c r="G100" s="3" t="s">
        <v>36</v>
      </c>
      <c r="H100" s="3">
        <v>13024</v>
      </c>
      <c r="I100" s="3"/>
      <c r="J100" s="3"/>
      <c r="K100" s="3">
        <v>13000</v>
      </c>
      <c r="L100" s="27">
        <v>45307</v>
      </c>
      <c r="M100" t="str">
        <f t="shared" si="1"/>
        <v>Target Achieved</v>
      </c>
    </row>
    <row r="101" spans="1:13" x14ac:dyDescent="0.35">
      <c r="A101" s="33" t="s">
        <v>164</v>
      </c>
      <c r="B101" s="3" t="s">
        <v>113</v>
      </c>
      <c r="C101" s="3" t="s">
        <v>14</v>
      </c>
      <c r="D101" s="3" t="s">
        <v>15</v>
      </c>
      <c r="E101" s="3" t="s">
        <v>32</v>
      </c>
      <c r="F101" s="3" t="s">
        <v>17</v>
      </c>
      <c r="G101" s="3" t="s">
        <v>18</v>
      </c>
      <c r="H101" s="3">
        <v>12720</v>
      </c>
      <c r="I101" s="3" t="s">
        <v>27</v>
      </c>
      <c r="J101" s="3"/>
      <c r="K101" s="3">
        <v>14000</v>
      </c>
      <c r="L101" s="27">
        <v>45321</v>
      </c>
      <c r="M101" t="str">
        <f t="shared" si="1"/>
        <v>Below Target</v>
      </c>
    </row>
    <row r="102" spans="1:13" x14ac:dyDescent="0.35">
      <c r="A102" s="33" t="s">
        <v>165</v>
      </c>
      <c r="B102" s="3" t="s">
        <v>166</v>
      </c>
      <c r="C102" s="3" t="s">
        <v>44</v>
      </c>
      <c r="D102" s="3" t="s">
        <v>45</v>
      </c>
      <c r="E102" s="3" t="s">
        <v>32</v>
      </c>
      <c r="F102" s="3" t="s">
        <v>17</v>
      </c>
      <c r="G102" s="3" t="s">
        <v>18</v>
      </c>
      <c r="H102" s="3">
        <v>14282</v>
      </c>
      <c r="I102" s="3"/>
      <c r="J102" s="3"/>
      <c r="K102" s="3">
        <v>13000</v>
      </c>
      <c r="L102" s="27">
        <v>45334</v>
      </c>
      <c r="M102" t="str">
        <f t="shared" si="1"/>
        <v>Target Achieved</v>
      </c>
    </row>
    <row r="103" spans="1:13" x14ac:dyDescent="0.35">
      <c r="A103" s="33" t="s">
        <v>167</v>
      </c>
      <c r="B103" s="3" t="s">
        <v>168</v>
      </c>
      <c r="C103" s="3" t="s">
        <v>30</v>
      </c>
      <c r="D103" s="3" t="s">
        <v>31</v>
      </c>
      <c r="E103" s="3" t="s">
        <v>46</v>
      </c>
      <c r="F103" s="3" t="s">
        <v>39</v>
      </c>
      <c r="G103" s="3" t="s">
        <v>26</v>
      </c>
      <c r="H103" s="3">
        <v>18653</v>
      </c>
      <c r="I103" s="3" t="s">
        <v>27</v>
      </c>
      <c r="J103" s="3"/>
      <c r="K103" s="3">
        <v>17000</v>
      </c>
      <c r="L103" s="27">
        <v>45319</v>
      </c>
      <c r="M103" t="str">
        <f t="shared" si="1"/>
        <v>Target Achieved</v>
      </c>
    </row>
    <row r="104" spans="1:13" x14ac:dyDescent="0.35">
      <c r="A104" s="33" t="s">
        <v>169</v>
      </c>
      <c r="B104" s="3" t="s">
        <v>144</v>
      </c>
      <c r="C104" s="3" t="s">
        <v>61</v>
      </c>
      <c r="D104" s="3" t="s">
        <v>62</v>
      </c>
      <c r="E104" s="3" t="s">
        <v>32</v>
      </c>
      <c r="F104" s="3" t="s">
        <v>39</v>
      </c>
      <c r="G104" s="3" t="s">
        <v>36</v>
      </c>
      <c r="H104" s="3">
        <v>8843</v>
      </c>
      <c r="I104" s="3" t="s">
        <v>33</v>
      </c>
      <c r="J104" s="3">
        <v>0.3</v>
      </c>
      <c r="K104" s="3">
        <v>9000</v>
      </c>
      <c r="L104" s="27">
        <v>45340</v>
      </c>
      <c r="M104" t="str">
        <f t="shared" si="1"/>
        <v>Below Target</v>
      </c>
    </row>
    <row r="105" spans="1:13" x14ac:dyDescent="0.35">
      <c r="A105" s="33" t="s">
        <v>170</v>
      </c>
      <c r="B105" s="3" t="s">
        <v>171</v>
      </c>
      <c r="C105" s="3" t="s">
        <v>30</v>
      </c>
      <c r="D105" s="3" t="s">
        <v>31</v>
      </c>
      <c r="E105" s="3" t="s">
        <v>16</v>
      </c>
      <c r="F105" s="3" t="s">
        <v>17</v>
      </c>
      <c r="G105" s="3" t="s">
        <v>26</v>
      </c>
      <c r="H105" s="3">
        <v>15979</v>
      </c>
      <c r="I105" s="3" t="s">
        <v>33</v>
      </c>
      <c r="J105" s="3">
        <v>0.3</v>
      </c>
      <c r="K105" s="3">
        <v>17000</v>
      </c>
      <c r="L105" s="27">
        <v>45320</v>
      </c>
      <c r="M105" t="str">
        <f t="shared" si="1"/>
        <v>Below Target</v>
      </c>
    </row>
    <row r="106" spans="1:13" x14ac:dyDescent="0.35">
      <c r="A106" s="33" t="s">
        <v>172</v>
      </c>
      <c r="B106" s="3" t="s">
        <v>173</v>
      </c>
      <c r="C106" s="3" t="s">
        <v>30</v>
      </c>
      <c r="D106" s="3" t="s">
        <v>31</v>
      </c>
      <c r="E106" s="3" t="s">
        <v>32</v>
      </c>
      <c r="F106" s="3" t="s">
        <v>17</v>
      </c>
      <c r="G106" s="3" t="s">
        <v>36</v>
      </c>
      <c r="H106" s="3">
        <v>16309</v>
      </c>
      <c r="I106" s="3" t="s">
        <v>27</v>
      </c>
      <c r="J106" s="3"/>
      <c r="K106" s="3">
        <v>17000</v>
      </c>
      <c r="L106" s="27">
        <v>45297</v>
      </c>
      <c r="M106" t="str">
        <f t="shared" si="1"/>
        <v>Below Target</v>
      </c>
    </row>
    <row r="107" spans="1:13" x14ac:dyDescent="0.35">
      <c r="A107" s="33" t="s">
        <v>174</v>
      </c>
      <c r="B107" s="3" t="s">
        <v>175</v>
      </c>
      <c r="C107" s="3" t="s">
        <v>44</v>
      </c>
      <c r="D107" s="3" t="s">
        <v>45</v>
      </c>
      <c r="E107" s="3" t="s">
        <v>46</v>
      </c>
      <c r="F107" s="3" t="s">
        <v>39</v>
      </c>
      <c r="G107" s="3" t="s">
        <v>18</v>
      </c>
      <c r="H107" s="3">
        <v>13893</v>
      </c>
      <c r="I107" s="3" t="s">
        <v>19</v>
      </c>
      <c r="J107" s="3">
        <v>0.2</v>
      </c>
      <c r="K107" s="3">
        <v>13000</v>
      </c>
      <c r="L107" s="27">
        <v>45296</v>
      </c>
      <c r="M107" t="str">
        <f t="shared" si="1"/>
        <v>Target Achieved</v>
      </c>
    </row>
    <row r="108" spans="1:13" x14ac:dyDescent="0.35">
      <c r="A108" s="33" t="s">
        <v>176</v>
      </c>
      <c r="B108" s="3" t="s">
        <v>177</v>
      </c>
      <c r="C108" s="3" t="s">
        <v>30</v>
      </c>
      <c r="D108" s="3" t="s">
        <v>31</v>
      </c>
      <c r="E108" s="3" t="s">
        <v>16</v>
      </c>
      <c r="F108" s="3" t="s">
        <v>17</v>
      </c>
      <c r="G108" s="3" t="s">
        <v>36</v>
      </c>
      <c r="H108" s="3">
        <v>15255</v>
      </c>
      <c r="I108" s="3" t="s">
        <v>19</v>
      </c>
      <c r="J108" s="3">
        <v>0.2</v>
      </c>
      <c r="K108" s="3">
        <v>17000</v>
      </c>
      <c r="L108" s="27">
        <v>45345</v>
      </c>
      <c r="M108" t="str">
        <f t="shared" si="1"/>
        <v>Below Target</v>
      </c>
    </row>
    <row r="109" spans="1:13" x14ac:dyDescent="0.35">
      <c r="A109" s="33" t="s">
        <v>178</v>
      </c>
      <c r="B109" s="3" t="s">
        <v>177</v>
      </c>
      <c r="C109" s="3" t="s">
        <v>14</v>
      </c>
      <c r="D109" s="3" t="s">
        <v>15</v>
      </c>
      <c r="E109" s="3" t="s">
        <v>16</v>
      </c>
      <c r="F109" s="3" t="s">
        <v>17</v>
      </c>
      <c r="G109" s="3" t="s">
        <v>36</v>
      </c>
      <c r="H109" s="3">
        <v>12024</v>
      </c>
      <c r="I109" s="3" t="s">
        <v>33</v>
      </c>
      <c r="J109" s="3">
        <v>0.3</v>
      </c>
      <c r="K109" s="3">
        <v>14000</v>
      </c>
      <c r="L109" s="27">
        <v>45311</v>
      </c>
      <c r="M109" t="str">
        <f t="shared" si="1"/>
        <v>Below Target</v>
      </c>
    </row>
    <row r="110" spans="1:13" x14ac:dyDescent="0.35">
      <c r="A110" s="33" t="s">
        <v>179</v>
      </c>
      <c r="B110" s="3" t="s">
        <v>180</v>
      </c>
      <c r="C110" s="3" t="s">
        <v>61</v>
      </c>
      <c r="D110" s="3" t="s">
        <v>62</v>
      </c>
      <c r="E110" s="3" t="s">
        <v>16</v>
      </c>
      <c r="F110" s="3" t="s">
        <v>39</v>
      </c>
      <c r="G110" s="3" t="s">
        <v>26</v>
      </c>
      <c r="H110" s="3">
        <v>9236</v>
      </c>
      <c r="I110" s="3" t="s">
        <v>27</v>
      </c>
      <c r="J110" s="3"/>
      <c r="K110" s="3">
        <v>9000</v>
      </c>
      <c r="L110" s="27">
        <v>45349</v>
      </c>
      <c r="M110" t="str">
        <f t="shared" si="1"/>
        <v>Target Achieved</v>
      </c>
    </row>
    <row r="111" spans="1:13" x14ac:dyDescent="0.35">
      <c r="A111" s="33" t="s">
        <v>181</v>
      </c>
      <c r="B111" s="3" t="s">
        <v>29</v>
      </c>
      <c r="C111" s="3" t="s">
        <v>44</v>
      </c>
      <c r="D111" s="3" t="s">
        <v>45</v>
      </c>
      <c r="E111" s="3" t="s">
        <v>46</v>
      </c>
      <c r="F111" s="3" t="s">
        <v>17</v>
      </c>
      <c r="G111" s="3" t="s">
        <v>36</v>
      </c>
      <c r="H111" s="3">
        <v>11118</v>
      </c>
      <c r="I111" s="3"/>
      <c r="J111" s="3"/>
      <c r="K111" s="3">
        <v>13000</v>
      </c>
      <c r="L111" s="27">
        <v>45313</v>
      </c>
      <c r="M111" t="str">
        <f t="shared" si="1"/>
        <v>Below Target</v>
      </c>
    </row>
    <row r="112" spans="1:13" x14ac:dyDescent="0.35">
      <c r="A112" s="33" t="s">
        <v>182</v>
      </c>
      <c r="B112" s="3" t="s">
        <v>92</v>
      </c>
      <c r="C112" s="3" t="s">
        <v>61</v>
      </c>
      <c r="D112" s="3" t="s">
        <v>62</v>
      </c>
      <c r="E112" s="3" t="s">
        <v>16</v>
      </c>
      <c r="F112" s="3" t="s">
        <v>25</v>
      </c>
      <c r="G112" s="3" t="s">
        <v>36</v>
      </c>
      <c r="H112" s="3">
        <v>10766</v>
      </c>
      <c r="I112" s="3" t="s">
        <v>19</v>
      </c>
      <c r="J112" s="3">
        <v>0.2</v>
      </c>
      <c r="K112" s="3">
        <v>9000</v>
      </c>
      <c r="L112" s="27">
        <v>45331</v>
      </c>
      <c r="M112" t="str">
        <f t="shared" si="1"/>
        <v>Target Achieved</v>
      </c>
    </row>
    <row r="113" spans="1:13" x14ac:dyDescent="0.35">
      <c r="A113" s="33" t="s">
        <v>183</v>
      </c>
      <c r="B113" s="3" t="s">
        <v>184</v>
      </c>
      <c r="C113" s="3" t="s">
        <v>61</v>
      </c>
      <c r="D113" s="3" t="s">
        <v>62</v>
      </c>
      <c r="E113" s="3" t="s">
        <v>16</v>
      </c>
      <c r="F113" s="3" t="s">
        <v>39</v>
      </c>
      <c r="G113" s="3" t="s">
        <v>26</v>
      </c>
      <c r="H113" s="3">
        <v>7111</v>
      </c>
      <c r="I113" s="3" t="s">
        <v>22</v>
      </c>
      <c r="J113" s="3">
        <v>0.1</v>
      </c>
      <c r="K113" s="3">
        <v>9000</v>
      </c>
      <c r="L113" s="27">
        <v>45333</v>
      </c>
      <c r="M113" t="str">
        <f t="shared" si="1"/>
        <v>Below Target</v>
      </c>
    </row>
    <row r="114" spans="1:13" x14ac:dyDescent="0.35">
      <c r="A114" s="33" t="s">
        <v>185</v>
      </c>
      <c r="B114" s="3" t="s">
        <v>186</v>
      </c>
      <c r="C114" s="3" t="s">
        <v>61</v>
      </c>
      <c r="D114" s="3" t="s">
        <v>62</v>
      </c>
      <c r="E114" s="3" t="s">
        <v>32</v>
      </c>
      <c r="F114" s="3" t="s">
        <v>25</v>
      </c>
      <c r="G114" s="3" t="s">
        <v>36</v>
      </c>
      <c r="H114" s="3">
        <v>8552</v>
      </c>
      <c r="I114" s="3" t="s">
        <v>33</v>
      </c>
      <c r="J114" s="3">
        <v>0.3</v>
      </c>
      <c r="K114" s="3">
        <v>9000</v>
      </c>
      <c r="L114" s="27">
        <v>45305</v>
      </c>
      <c r="M114" t="str">
        <f t="shared" si="1"/>
        <v>Below Target</v>
      </c>
    </row>
    <row r="115" spans="1:13" x14ac:dyDescent="0.35">
      <c r="A115" s="33" t="s">
        <v>187</v>
      </c>
      <c r="B115" s="3" t="s">
        <v>188</v>
      </c>
      <c r="C115" s="3" t="s">
        <v>30</v>
      </c>
      <c r="D115" s="3" t="s">
        <v>31</v>
      </c>
      <c r="E115" s="3" t="s">
        <v>46</v>
      </c>
      <c r="F115" s="3" t="s">
        <v>17</v>
      </c>
      <c r="G115" s="3" t="s">
        <v>36</v>
      </c>
      <c r="H115" s="3">
        <v>16033</v>
      </c>
      <c r="I115" s="3" t="s">
        <v>22</v>
      </c>
      <c r="J115" s="3">
        <v>0.1</v>
      </c>
      <c r="K115" s="3">
        <v>17000</v>
      </c>
      <c r="L115" s="27">
        <v>45322</v>
      </c>
      <c r="M115" t="str">
        <f t="shared" si="1"/>
        <v>Below Target</v>
      </c>
    </row>
    <row r="116" spans="1:13" x14ac:dyDescent="0.35">
      <c r="A116" s="33" t="s">
        <v>189</v>
      </c>
      <c r="B116" s="3" t="s">
        <v>190</v>
      </c>
      <c r="C116" s="3" t="s">
        <v>14</v>
      </c>
      <c r="D116" s="3" t="s">
        <v>15</v>
      </c>
      <c r="E116" s="3" t="s">
        <v>46</v>
      </c>
      <c r="F116" s="3" t="s">
        <v>25</v>
      </c>
      <c r="G116" s="3" t="s">
        <v>26</v>
      </c>
      <c r="H116" s="3">
        <v>12281</v>
      </c>
      <c r="I116" s="3" t="s">
        <v>22</v>
      </c>
      <c r="J116" s="3">
        <v>0.1</v>
      </c>
      <c r="K116" s="3">
        <v>14000</v>
      </c>
      <c r="L116" s="27">
        <v>45340</v>
      </c>
      <c r="M116" t="str">
        <f t="shared" si="1"/>
        <v>Below Target</v>
      </c>
    </row>
    <row r="117" spans="1:13" x14ac:dyDescent="0.35">
      <c r="A117" s="33" t="s">
        <v>191</v>
      </c>
      <c r="B117" s="3" t="s">
        <v>192</v>
      </c>
      <c r="C117" s="3" t="s">
        <v>44</v>
      </c>
      <c r="D117" s="3" t="s">
        <v>45</v>
      </c>
      <c r="E117" s="3" t="s">
        <v>32</v>
      </c>
      <c r="F117" s="3" t="s">
        <v>39</v>
      </c>
      <c r="G117" s="3" t="s">
        <v>18</v>
      </c>
      <c r="H117" s="3">
        <v>11977</v>
      </c>
      <c r="I117" s="3" t="s">
        <v>19</v>
      </c>
      <c r="J117" s="3">
        <v>0.2</v>
      </c>
      <c r="K117" s="3">
        <v>13000</v>
      </c>
      <c r="L117" s="27">
        <v>45322</v>
      </c>
      <c r="M117" t="str">
        <f t="shared" si="1"/>
        <v>Below Target</v>
      </c>
    </row>
    <row r="118" spans="1:13" x14ac:dyDescent="0.35">
      <c r="A118" s="33" t="s">
        <v>193</v>
      </c>
      <c r="B118" s="3" t="s">
        <v>13</v>
      </c>
      <c r="C118" s="3" t="s">
        <v>44</v>
      </c>
      <c r="D118" s="3" t="s">
        <v>45</v>
      </c>
      <c r="E118" s="3" t="s">
        <v>46</v>
      </c>
      <c r="F118" s="3" t="s">
        <v>39</v>
      </c>
      <c r="G118" s="3" t="s">
        <v>36</v>
      </c>
      <c r="H118" s="3">
        <v>14141</v>
      </c>
      <c r="I118" s="3" t="s">
        <v>33</v>
      </c>
      <c r="J118" s="3">
        <v>0.3</v>
      </c>
      <c r="K118" s="3">
        <v>13000</v>
      </c>
      <c r="L118" s="27">
        <v>45302</v>
      </c>
      <c r="M118" t="str">
        <f t="shared" si="1"/>
        <v>Target Achieved</v>
      </c>
    </row>
    <row r="119" spans="1:13" x14ac:dyDescent="0.35">
      <c r="A119" s="33" t="s">
        <v>194</v>
      </c>
      <c r="B119" s="3" t="s">
        <v>195</v>
      </c>
      <c r="C119" s="3" t="s">
        <v>14</v>
      </c>
      <c r="D119" s="3" t="s">
        <v>15</v>
      </c>
      <c r="E119" s="3" t="s">
        <v>32</v>
      </c>
      <c r="F119" s="3" t="s">
        <v>17</v>
      </c>
      <c r="G119" s="3" t="s">
        <v>18</v>
      </c>
      <c r="H119" s="3">
        <v>14370</v>
      </c>
      <c r="I119" s="3" t="s">
        <v>22</v>
      </c>
      <c r="J119" s="3">
        <v>0.1</v>
      </c>
      <c r="K119" s="3">
        <v>14000</v>
      </c>
      <c r="L119" s="27">
        <v>45351</v>
      </c>
      <c r="M119" t="str">
        <f t="shared" si="1"/>
        <v>Target Achieved</v>
      </c>
    </row>
    <row r="120" spans="1:13" x14ac:dyDescent="0.35">
      <c r="A120" s="33" t="s">
        <v>196</v>
      </c>
      <c r="B120" s="3" t="s">
        <v>118</v>
      </c>
      <c r="C120" s="3" t="s">
        <v>61</v>
      </c>
      <c r="D120" s="3" t="s">
        <v>62</v>
      </c>
      <c r="E120" s="3" t="s">
        <v>46</v>
      </c>
      <c r="F120" s="3" t="s">
        <v>39</v>
      </c>
      <c r="G120" s="3" t="s">
        <v>18</v>
      </c>
      <c r="H120" s="3">
        <v>7311</v>
      </c>
      <c r="I120" s="3" t="s">
        <v>27</v>
      </c>
      <c r="J120" s="3"/>
      <c r="K120" s="3">
        <v>9000</v>
      </c>
      <c r="L120" s="27">
        <v>45336</v>
      </c>
      <c r="M120" t="str">
        <f t="shared" si="1"/>
        <v>Below Target</v>
      </c>
    </row>
    <row r="121" spans="1:13" x14ac:dyDescent="0.35">
      <c r="A121" s="33" t="s">
        <v>197</v>
      </c>
      <c r="B121" s="3" t="s">
        <v>198</v>
      </c>
      <c r="C121" s="3" t="s">
        <v>44</v>
      </c>
      <c r="D121" s="3" t="s">
        <v>45</v>
      </c>
      <c r="E121" s="3" t="s">
        <v>32</v>
      </c>
      <c r="F121" s="3" t="s">
        <v>39</v>
      </c>
      <c r="G121" s="3" t="s">
        <v>36</v>
      </c>
      <c r="H121" s="3">
        <v>14482</v>
      </c>
      <c r="I121" s="3" t="s">
        <v>27</v>
      </c>
      <c r="J121" s="3"/>
      <c r="K121" s="3">
        <v>13000</v>
      </c>
      <c r="L121" s="27">
        <v>45343</v>
      </c>
      <c r="M121" t="str">
        <f t="shared" si="1"/>
        <v>Target Achieved</v>
      </c>
    </row>
    <row r="122" spans="1:13" x14ac:dyDescent="0.35">
      <c r="A122" s="33" t="s">
        <v>199</v>
      </c>
      <c r="B122" s="3" t="s">
        <v>200</v>
      </c>
      <c r="C122" s="3" t="s">
        <v>14</v>
      </c>
      <c r="D122" s="3" t="s">
        <v>15</v>
      </c>
      <c r="E122" s="3" t="s">
        <v>46</v>
      </c>
      <c r="F122" s="3" t="s">
        <v>39</v>
      </c>
      <c r="G122" s="3" t="s">
        <v>36</v>
      </c>
      <c r="H122" s="3">
        <v>14709</v>
      </c>
      <c r="I122" s="3" t="s">
        <v>33</v>
      </c>
      <c r="J122" s="3">
        <v>0.3</v>
      </c>
      <c r="K122" s="3">
        <v>14000</v>
      </c>
      <c r="L122" s="27">
        <v>45296</v>
      </c>
      <c r="M122" t="str">
        <f t="shared" si="1"/>
        <v>Target Achieved</v>
      </c>
    </row>
    <row r="123" spans="1:13" x14ac:dyDescent="0.35">
      <c r="A123" s="33" t="s">
        <v>201</v>
      </c>
      <c r="B123" s="3" t="s">
        <v>202</v>
      </c>
      <c r="C123" s="3" t="s">
        <v>30</v>
      </c>
      <c r="D123" s="3" t="s">
        <v>31</v>
      </c>
      <c r="E123" s="3" t="s">
        <v>32</v>
      </c>
      <c r="F123" s="3" t="s">
        <v>17</v>
      </c>
      <c r="G123" s="3" t="s">
        <v>36</v>
      </c>
      <c r="H123" s="3">
        <v>15432</v>
      </c>
      <c r="I123" s="3"/>
      <c r="J123" s="3"/>
      <c r="K123" s="3">
        <v>17000</v>
      </c>
      <c r="L123" s="27">
        <v>45315</v>
      </c>
      <c r="M123" t="str">
        <f t="shared" si="1"/>
        <v>Below Target</v>
      </c>
    </row>
    <row r="124" spans="1:13" x14ac:dyDescent="0.35">
      <c r="A124" s="33" t="s">
        <v>203</v>
      </c>
      <c r="B124" s="3" t="s">
        <v>204</v>
      </c>
      <c r="C124" s="3" t="s">
        <v>61</v>
      </c>
      <c r="D124" s="3" t="s">
        <v>62</v>
      </c>
      <c r="E124" s="3" t="s">
        <v>16</v>
      </c>
      <c r="F124" s="3" t="s">
        <v>25</v>
      </c>
      <c r="G124" s="3" t="s">
        <v>36</v>
      </c>
      <c r="H124" s="3">
        <v>7721</v>
      </c>
      <c r="I124" s="3" t="s">
        <v>27</v>
      </c>
      <c r="J124" s="3"/>
      <c r="K124" s="3">
        <v>9000</v>
      </c>
      <c r="L124" s="27">
        <v>45333</v>
      </c>
      <c r="M124" t="str">
        <f t="shared" si="1"/>
        <v>Below Target</v>
      </c>
    </row>
    <row r="125" spans="1:13" x14ac:dyDescent="0.35">
      <c r="A125" s="33" t="s">
        <v>205</v>
      </c>
      <c r="B125" s="3" t="s">
        <v>118</v>
      </c>
      <c r="C125" s="3" t="s">
        <v>61</v>
      </c>
      <c r="D125" s="3" t="s">
        <v>62</v>
      </c>
      <c r="E125" s="3" t="s">
        <v>46</v>
      </c>
      <c r="F125" s="3" t="s">
        <v>17</v>
      </c>
      <c r="G125" s="3" t="s">
        <v>26</v>
      </c>
      <c r="H125" s="3">
        <v>9426</v>
      </c>
      <c r="I125" s="3" t="s">
        <v>33</v>
      </c>
      <c r="J125" s="3">
        <v>0.3</v>
      </c>
      <c r="K125" s="3">
        <v>9000</v>
      </c>
      <c r="L125" s="27">
        <v>45312</v>
      </c>
      <c r="M125" t="str">
        <f t="shared" si="1"/>
        <v>Target Achieved</v>
      </c>
    </row>
    <row r="126" spans="1:13" x14ac:dyDescent="0.35">
      <c r="A126" s="33" t="s">
        <v>206</v>
      </c>
      <c r="B126" s="3" t="s">
        <v>207</v>
      </c>
      <c r="C126" s="3" t="s">
        <v>14</v>
      </c>
      <c r="D126" s="3" t="s">
        <v>15</v>
      </c>
      <c r="E126" s="3" t="s">
        <v>46</v>
      </c>
      <c r="F126" s="3" t="s">
        <v>17</v>
      </c>
      <c r="G126" s="3" t="s">
        <v>18</v>
      </c>
      <c r="H126" s="3">
        <v>15073</v>
      </c>
      <c r="I126" s="3"/>
      <c r="J126" s="3"/>
      <c r="K126" s="3">
        <v>14000</v>
      </c>
      <c r="L126" s="27">
        <v>45328</v>
      </c>
      <c r="M126" t="str">
        <f t="shared" si="1"/>
        <v>Target Achieved</v>
      </c>
    </row>
    <row r="127" spans="1:13" x14ac:dyDescent="0.35">
      <c r="A127" s="33" t="s">
        <v>208</v>
      </c>
      <c r="B127" s="3" t="s">
        <v>209</v>
      </c>
      <c r="C127" s="3" t="s">
        <v>61</v>
      </c>
      <c r="D127" s="3" t="s">
        <v>62</v>
      </c>
      <c r="E127" s="3" t="s">
        <v>46</v>
      </c>
      <c r="F127" s="3" t="s">
        <v>25</v>
      </c>
      <c r="G127" s="3" t="s">
        <v>36</v>
      </c>
      <c r="H127" s="3">
        <v>10485</v>
      </c>
      <c r="I127" s="3" t="s">
        <v>33</v>
      </c>
      <c r="J127" s="3">
        <v>0.3</v>
      </c>
      <c r="K127" s="3">
        <v>9000</v>
      </c>
      <c r="L127" s="27">
        <v>45303</v>
      </c>
      <c r="M127" t="str">
        <f t="shared" si="1"/>
        <v>Target Achieved</v>
      </c>
    </row>
    <row r="128" spans="1:13" x14ac:dyDescent="0.35">
      <c r="A128" s="33" t="s">
        <v>210</v>
      </c>
      <c r="B128" s="3" t="s">
        <v>211</v>
      </c>
      <c r="C128" s="3" t="s">
        <v>30</v>
      </c>
      <c r="D128" s="3" t="s">
        <v>31</v>
      </c>
      <c r="E128" s="3" t="s">
        <v>46</v>
      </c>
      <c r="F128" s="3" t="s">
        <v>17</v>
      </c>
      <c r="G128" s="3" t="s">
        <v>36</v>
      </c>
      <c r="H128" s="3">
        <v>18605</v>
      </c>
      <c r="I128" s="3" t="s">
        <v>27</v>
      </c>
      <c r="J128" s="3"/>
      <c r="K128" s="3">
        <v>17000</v>
      </c>
      <c r="L128" s="27">
        <v>45336</v>
      </c>
      <c r="M128" t="str">
        <f t="shared" si="1"/>
        <v>Target Achieved</v>
      </c>
    </row>
    <row r="129" spans="1:13" x14ac:dyDescent="0.35">
      <c r="A129" s="33" t="s">
        <v>212</v>
      </c>
      <c r="B129" s="3" t="s">
        <v>111</v>
      </c>
      <c r="C129" s="3" t="s">
        <v>14</v>
      </c>
      <c r="D129" s="3" t="s">
        <v>15</v>
      </c>
      <c r="E129" s="3" t="s">
        <v>16</v>
      </c>
      <c r="F129" s="3" t="s">
        <v>25</v>
      </c>
      <c r="G129" s="3" t="s">
        <v>18</v>
      </c>
      <c r="H129" s="3">
        <v>12988</v>
      </c>
      <c r="I129" s="3"/>
      <c r="J129" s="3"/>
      <c r="K129" s="3">
        <v>14000</v>
      </c>
      <c r="L129" s="27">
        <v>45323</v>
      </c>
      <c r="M129" t="str">
        <f t="shared" si="1"/>
        <v>Below Target</v>
      </c>
    </row>
    <row r="130" spans="1:13" x14ac:dyDescent="0.35">
      <c r="A130" s="33" t="s">
        <v>213</v>
      </c>
      <c r="B130" s="3" t="s">
        <v>82</v>
      </c>
      <c r="C130" s="3" t="s">
        <v>44</v>
      </c>
      <c r="D130" s="3" t="s">
        <v>45</v>
      </c>
      <c r="E130" s="3" t="s">
        <v>16</v>
      </c>
      <c r="F130" s="3" t="s">
        <v>17</v>
      </c>
      <c r="G130" s="3" t="s">
        <v>26</v>
      </c>
      <c r="H130" s="3">
        <v>13915</v>
      </c>
      <c r="I130" s="3"/>
      <c r="J130" s="3"/>
      <c r="K130" s="3">
        <v>13000</v>
      </c>
      <c r="L130" s="27">
        <v>45320</v>
      </c>
      <c r="M130" t="str">
        <f t="shared" si="1"/>
        <v>Target Achieved</v>
      </c>
    </row>
    <row r="131" spans="1:13" x14ac:dyDescent="0.35">
      <c r="A131" s="33" t="s">
        <v>214</v>
      </c>
      <c r="B131" s="3" t="s">
        <v>64</v>
      </c>
      <c r="C131" s="3" t="s">
        <v>14</v>
      </c>
      <c r="D131" s="3" t="s">
        <v>15</v>
      </c>
      <c r="E131" s="3" t="s">
        <v>46</v>
      </c>
      <c r="F131" s="3" t="s">
        <v>25</v>
      </c>
      <c r="G131" s="3" t="s">
        <v>36</v>
      </c>
      <c r="H131" s="3">
        <v>14833</v>
      </c>
      <c r="I131" s="3" t="s">
        <v>19</v>
      </c>
      <c r="J131" s="3">
        <v>0.2</v>
      </c>
      <c r="K131" s="3">
        <v>14000</v>
      </c>
      <c r="L131" s="27">
        <v>45311</v>
      </c>
      <c r="M131" t="str">
        <f t="shared" si="1"/>
        <v>Target Achieved</v>
      </c>
    </row>
    <row r="132" spans="1:13" x14ac:dyDescent="0.35">
      <c r="A132" s="33" t="s">
        <v>215</v>
      </c>
      <c r="B132" s="3" t="s">
        <v>163</v>
      </c>
      <c r="C132" s="3" t="s">
        <v>30</v>
      </c>
      <c r="D132" s="3" t="s">
        <v>31</v>
      </c>
      <c r="E132" s="3" t="s">
        <v>46</v>
      </c>
      <c r="F132" s="3" t="s">
        <v>39</v>
      </c>
      <c r="G132" s="3" t="s">
        <v>26</v>
      </c>
      <c r="H132" s="3">
        <v>16408</v>
      </c>
      <c r="I132" s="3"/>
      <c r="J132" s="3"/>
      <c r="K132" s="3">
        <v>17000</v>
      </c>
      <c r="L132" s="27">
        <v>45339</v>
      </c>
      <c r="M132" t="str">
        <f t="shared" si="1"/>
        <v>Below Target</v>
      </c>
    </row>
    <row r="133" spans="1:13" x14ac:dyDescent="0.35">
      <c r="A133" s="33" t="s">
        <v>216</v>
      </c>
      <c r="B133" s="3" t="s">
        <v>217</v>
      </c>
      <c r="C133" s="3" t="s">
        <v>30</v>
      </c>
      <c r="D133" s="3" t="s">
        <v>31</v>
      </c>
      <c r="E133" s="3" t="s">
        <v>16</v>
      </c>
      <c r="F133" s="3" t="s">
        <v>17</v>
      </c>
      <c r="G133" s="3" t="s">
        <v>36</v>
      </c>
      <c r="H133" s="3">
        <v>16255</v>
      </c>
      <c r="I133" s="3" t="s">
        <v>33</v>
      </c>
      <c r="J133" s="3">
        <v>0.3</v>
      </c>
      <c r="K133" s="3">
        <v>17000</v>
      </c>
      <c r="L133" s="27">
        <v>45306</v>
      </c>
      <c r="M133" t="str">
        <f t="shared" si="1"/>
        <v>Below Target</v>
      </c>
    </row>
    <row r="134" spans="1:13" x14ac:dyDescent="0.35">
      <c r="A134" s="33" t="s">
        <v>218</v>
      </c>
      <c r="B134" s="3" t="s">
        <v>173</v>
      </c>
      <c r="C134" s="3" t="s">
        <v>44</v>
      </c>
      <c r="D134" s="3" t="s">
        <v>45</v>
      </c>
      <c r="E134" s="3" t="s">
        <v>46</v>
      </c>
      <c r="F134" s="3" t="s">
        <v>25</v>
      </c>
      <c r="G134" s="3" t="s">
        <v>26</v>
      </c>
      <c r="H134" s="3">
        <v>13194</v>
      </c>
      <c r="I134" s="3" t="s">
        <v>19</v>
      </c>
      <c r="J134" s="3">
        <v>0.2</v>
      </c>
      <c r="K134" s="3">
        <v>13000</v>
      </c>
      <c r="L134" s="27">
        <v>45304</v>
      </c>
      <c r="M134" t="str">
        <f t="shared" si="1"/>
        <v>Target Achieved</v>
      </c>
    </row>
    <row r="135" spans="1:13" x14ac:dyDescent="0.35">
      <c r="A135" s="33" t="s">
        <v>219</v>
      </c>
      <c r="B135" s="3" t="s">
        <v>220</v>
      </c>
      <c r="C135" s="3" t="s">
        <v>61</v>
      </c>
      <c r="D135" s="3" t="s">
        <v>62</v>
      </c>
      <c r="E135" s="3" t="s">
        <v>46</v>
      </c>
      <c r="F135" s="3" t="s">
        <v>39</v>
      </c>
      <c r="G135" s="3" t="s">
        <v>26</v>
      </c>
      <c r="H135" s="3">
        <v>11000</v>
      </c>
      <c r="I135" s="3" t="s">
        <v>27</v>
      </c>
      <c r="J135" s="3"/>
      <c r="K135" s="3">
        <v>9000</v>
      </c>
      <c r="L135" s="27">
        <v>45330</v>
      </c>
      <c r="M135" t="str">
        <f t="shared" si="1"/>
        <v>Target Achieved</v>
      </c>
    </row>
    <row r="136" spans="1:13" x14ac:dyDescent="0.35">
      <c r="A136" s="33" t="s">
        <v>221</v>
      </c>
      <c r="B136" s="3" t="s">
        <v>222</v>
      </c>
      <c r="C136" s="3" t="s">
        <v>44</v>
      </c>
      <c r="D136" s="3" t="s">
        <v>45</v>
      </c>
      <c r="E136" s="3" t="s">
        <v>46</v>
      </c>
      <c r="F136" s="3" t="s">
        <v>25</v>
      </c>
      <c r="G136" s="3" t="s">
        <v>36</v>
      </c>
      <c r="H136" s="3">
        <v>11734</v>
      </c>
      <c r="I136" s="3" t="s">
        <v>33</v>
      </c>
      <c r="J136" s="3">
        <v>0.3</v>
      </c>
      <c r="K136" s="3">
        <v>13000</v>
      </c>
      <c r="L136" s="27">
        <v>45292</v>
      </c>
      <c r="M136" t="str">
        <f t="shared" si="1"/>
        <v>Below Target</v>
      </c>
    </row>
    <row r="137" spans="1:13" x14ac:dyDescent="0.35">
      <c r="A137" s="33" t="s">
        <v>223</v>
      </c>
      <c r="B137" s="3" t="s">
        <v>103</v>
      </c>
      <c r="C137" s="3" t="s">
        <v>44</v>
      </c>
      <c r="D137" s="3" t="s">
        <v>45</v>
      </c>
      <c r="E137" s="3" t="s">
        <v>46</v>
      </c>
      <c r="F137" s="3" t="s">
        <v>25</v>
      </c>
      <c r="G137" s="3" t="s">
        <v>18</v>
      </c>
      <c r="H137" s="3">
        <v>13266</v>
      </c>
      <c r="I137" s="3" t="s">
        <v>33</v>
      </c>
      <c r="J137" s="3">
        <v>0.3</v>
      </c>
      <c r="K137" s="3">
        <v>13000</v>
      </c>
      <c r="L137" s="27">
        <v>45336</v>
      </c>
      <c r="M137" t="str">
        <f t="shared" si="1"/>
        <v>Target Achieved</v>
      </c>
    </row>
    <row r="138" spans="1:13" x14ac:dyDescent="0.35">
      <c r="A138" s="33" t="s">
        <v>224</v>
      </c>
      <c r="B138" s="3" t="s">
        <v>113</v>
      </c>
      <c r="C138" s="3" t="s">
        <v>61</v>
      </c>
      <c r="D138" s="3" t="s">
        <v>62</v>
      </c>
      <c r="E138" s="3" t="s">
        <v>32</v>
      </c>
      <c r="F138" s="3" t="s">
        <v>25</v>
      </c>
      <c r="G138" s="3" t="s">
        <v>26</v>
      </c>
      <c r="H138" s="3">
        <v>8164</v>
      </c>
      <c r="I138" s="3"/>
      <c r="J138" s="3"/>
      <c r="K138" s="3">
        <v>9000</v>
      </c>
      <c r="L138" s="27">
        <v>45322</v>
      </c>
      <c r="M138" t="str">
        <f t="shared" si="1"/>
        <v>Below Target</v>
      </c>
    </row>
    <row r="139" spans="1:13" x14ac:dyDescent="0.35">
      <c r="A139" s="33" t="s">
        <v>225</v>
      </c>
      <c r="B139" s="3" t="s">
        <v>188</v>
      </c>
      <c r="C139" s="3" t="s">
        <v>44</v>
      </c>
      <c r="D139" s="3" t="s">
        <v>45</v>
      </c>
      <c r="E139" s="3" t="s">
        <v>32</v>
      </c>
      <c r="F139" s="3" t="s">
        <v>17</v>
      </c>
      <c r="G139" s="3" t="s">
        <v>36</v>
      </c>
      <c r="H139" s="3">
        <v>11467</v>
      </c>
      <c r="I139" s="3" t="s">
        <v>22</v>
      </c>
      <c r="J139" s="3">
        <v>0.1</v>
      </c>
      <c r="K139" s="3">
        <v>13000</v>
      </c>
      <c r="L139" s="27">
        <v>45317</v>
      </c>
      <c r="M139" t="str">
        <f t="shared" si="1"/>
        <v>Below Target</v>
      </c>
    </row>
    <row r="140" spans="1:13" x14ac:dyDescent="0.35">
      <c r="A140" s="33" t="s">
        <v>226</v>
      </c>
      <c r="B140" s="3" t="s">
        <v>227</v>
      </c>
      <c r="C140" s="3" t="s">
        <v>14</v>
      </c>
      <c r="D140" s="3" t="s">
        <v>15</v>
      </c>
      <c r="E140" s="3" t="s">
        <v>32</v>
      </c>
      <c r="F140" s="3" t="s">
        <v>25</v>
      </c>
      <c r="G140" s="3" t="s">
        <v>26</v>
      </c>
      <c r="H140" s="3">
        <v>15887</v>
      </c>
      <c r="I140" s="3" t="s">
        <v>33</v>
      </c>
      <c r="J140" s="3">
        <v>0.3</v>
      </c>
      <c r="K140" s="3">
        <v>14000</v>
      </c>
      <c r="L140" s="27">
        <v>45297</v>
      </c>
      <c r="M140" t="str">
        <f t="shared" si="1"/>
        <v>Target Achieved</v>
      </c>
    </row>
    <row r="141" spans="1:13" x14ac:dyDescent="0.35">
      <c r="A141" s="33" t="s">
        <v>228</v>
      </c>
      <c r="B141" s="3" t="s">
        <v>229</v>
      </c>
      <c r="C141" s="3" t="s">
        <v>61</v>
      </c>
      <c r="D141" s="3" t="s">
        <v>62</v>
      </c>
      <c r="E141" s="3" t="s">
        <v>16</v>
      </c>
      <c r="F141" s="3" t="s">
        <v>39</v>
      </c>
      <c r="G141" s="3" t="s">
        <v>26</v>
      </c>
      <c r="H141" s="3">
        <v>7924</v>
      </c>
      <c r="I141" s="3" t="s">
        <v>27</v>
      </c>
      <c r="J141" s="3"/>
      <c r="K141" s="3">
        <v>9000</v>
      </c>
      <c r="L141" s="27">
        <v>45316</v>
      </c>
      <c r="M141" t="str">
        <f t="shared" si="1"/>
        <v>Below Target</v>
      </c>
    </row>
    <row r="142" spans="1:13" x14ac:dyDescent="0.35">
      <c r="A142" s="33" t="s">
        <v>230</v>
      </c>
      <c r="B142" s="3" t="s">
        <v>231</v>
      </c>
      <c r="C142" s="3" t="s">
        <v>30</v>
      </c>
      <c r="D142" s="3" t="s">
        <v>31</v>
      </c>
      <c r="E142" s="3" t="s">
        <v>16</v>
      </c>
      <c r="F142" s="3" t="s">
        <v>17</v>
      </c>
      <c r="G142" s="3" t="s">
        <v>36</v>
      </c>
      <c r="H142" s="3">
        <v>17329</v>
      </c>
      <c r="I142" s="3" t="s">
        <v>27</v>
      </c>
      <c r="J142" s="3"/>
      <c r="K142" s="3">
        <v>17000</v>
      </c>
      <c r="L142" s="27">
        <v>45295</v>
      </c>
      <c r="M142" t="str">
        <f t="shared" si="1"/>
        <v>Target Achieved</v>
      </c>
    </row>
    <row r="143" spans="1:13" x14ac:dyDescent="0.35">
      <c r="A143" s="33" t="s">
        <v>232</v>
      </c>
      <c r="B143" s="3" t="s">
        <v>233</v>
      </c>
      <c r="C143" s="3" t="s">
        <v>14</v>
      </c>
      <c r="D143" s="3" t="s">
        <v>15</v>
      </c>
      <c r="E143" s="3" t="s">
        <v>32</v>
      </c>
      <c r="F143" s="3" t="s">
        <v>39</v>
      </c>
      <c r="G143" s="3" t="s">
        <v>18</v>
      </c>
      <c r="H143" s="3">
        <v>13083</v>
      </c>
      <c r="I143" s="3" t="s">
        <v>22</v>
      </c>
      <c r="J143" s="3">
        <v>0.1</v>
      </c>
      <c r="K143" s="3">
        <v>14000</v>
      </c>
      <c r="L143" s="27">
        <v>45302</v>
      </c>
      <c r="M143" t="str">
        <f t="shared" si="1"/>
        <v>Below Target</v>
      </c>
    </row>
    <row r="144" spans="1:13" x14ac:dyDescent="0.35">
      <c r="A144" s="33" t="s">
        <v>234</v>
      </c>
      <c r="B144" s="3" t="s">
        <v>235</v>
      </c>
      <c r="C144" s="3" t="s">
        <v>14</v>
      </c>
      <c r="D144" s="3" t="s">
        <v>15</v>
      </c>
      <c r="E144" s="3" t="s">
        <v>32</v>
      </c>
      <c r="F144" s="3" t="s">
        <v>25</v>
      </c>
      <c r="G144" s="3" t="s">
        <v>36</v>
      </c>
      <c r="H144" s="3">
        <v>13845</v>
      </c>
      <c r="I144" s="3" t="s">
        <v>27</v>
      </c>
      <c r="J144" s="3"/>
      <c r="K144" s="3">
        <v>14000</v>
      </c>
      <c r="L144" s="27">
        <v>45322</v>
      </c>
      <c r="M144" t="str">
        <f t="shared" si="1"/>
        <v>Below Target</v>
      </c>
    </row>
    <row r="145" spans="1:13" x14ac:dyDescent="0.35">
      <c r="A145" s="33" t="s">
        <v>236</v>
      </c>
      <c r="B145" s="3" t="s">
        <v>237</v>
      </c>
      <c r="C145" s="3" t="s">
        <v>44</v>
      </c>
      <c r="D145" s="3" t="s">
        <v>45</v>
      </c>
      <c r="E145" s="3" t="s">
        <v>46</v>
      </c>
      <c r="F145" s="3" t="s">
        <v>39</v>
      </c>
      <c r="G145" s="3" t="s">
        <v>36</v>
      </c>
      <c r="H145" s="3">
        <v>13879</v>
      </c>
      <c r="I145" s="3"/>
      <c r="J145" s="3"/>
      <c r="K145" s="3">
        <v>13000</v>
      </c>
      <c r="L145" s="27">
        <v>45296</v>
      </c>
      <c r="M145" t="str">
        <f t="shared" si="1"/>
        <v>Target Achieved</v>
      </c>
    </row>
    <row r="146" spans="1:13" x14ac:dyDescent="0.35">
      <c r="A146" s="33" t="s">
        <v>238</v>
      </c>
      <c r="B146" s="3" t="s">
        <v>239</v>
      </c>
      <c r="C146" s="3" t="s">
        <v>30</v>
      </c>
      <c r="D146" s="3" t="s">
        <v>31</v>
      </c>
      <c r="E146" s="3" t="s">
        <v>16</v>
      </c>
      <c r="F146" s="3" t="s">
        <v>39</v>
      </c>
      <c r="G146" s="3" t="s">
        <v>26</v>
      </c>
      <c r="H146" s="3">
        <v>18292</v>
      </c>
      <c r="I146" s="3" t="s">
        <v>19</v>
      </c>
      <c r="J146" s="3">
        <v>0.2</v>
      </c>
      <c r="K146" s="3">
        <v>17000</v>
      </c>
      <c r="L146" s="27">
        <v>45319</v>
      </c>
      <c r="M146" t="str">
        <f t="shared" si="1"/>
        <v>Target Achieved</v>
      </c>
    </row>
    <row r="147" spans="1:13" x14ac:dyDescent="0.35">
      <c r="A147" s="33" t="s">
        <v>240</v>
      </c>
      <c r="B147" s="3" t="s">
        <v>241</v>
      </c>
      <c r="C147" s="3" t="s">
        <v>44</v>
      </c>
      <c r="D147" s="3" t="s">
        <v>45</v>
      </c>
      <c r="E147" s="3" t="s">
        <v>16</v>
      </c>
      <c r="F147" s="3" t="s">
        <v>25</v>
      </c>
      <c r="G147" s="3" t="s">
        <v>36</v>
      </c>
      <c r="H147" s="3">
        <v>14385</v>
      </c>
      <c r="I147" s="3" t="s">
        <v>19</v>
      </c>
      <c r="J147" s="3">
        <v>0.2</v>
      </c>
      <c r="K147" s="3">
        <v>13000</v>
      </c>
      <c r="L147" s="27">
        <v>45296</v>
      </c>
      <c r="M147" t="str">
        <f t="shared" si="1"/>
        <v>Target Achieved</v>
      </c>
    </row>
    <row r="148" spans="1:13" x14ac:dyDescent="0.35">
      <c r="A148" s="33" t="s">
        <v>242</v>
      </c>
      <c r="B148" s="3" t="s">
        <v>243</v>
      </c>
      <c r="C148" s="3" t="s">
        <v>30</v>
      </c>
      <c r="D148" s="3" t="s">
        <v>31</v>
      </c>
      <c r="E148" s="3" t="s">
        <v>16</v>
      </c>
      <c r="F148" s="3" t="s">
        <v>39</v>
      </c>
      <c r="G148" s="3" t="s">
        <v>26</v>
      </c>
      <c r="H148" s="3">
        <v>18773</v>
      </c>
      <c r="I148" s="3" t="s">
        <v>33</v>
      </c>
      <c r="J148" s="3">
        <v>0.3</v>
      </c>
      <c r="K148" s="3">
        <v>17000</v>
      </c>
      <c r="L148" s="27">
        <v>45320</v>
      </c>
      <c r="M148" t="str">
        <f t="shared" si="1"/>
        <v>Target Achieved</v>
      </c>
    </row>
    <row r="149" spans="1:13" x14ac:dyDescent="0.35">
      <c r="A149" s="33" t="s">
        <v>244</v>
      </c>
      <c r="B149" s="3" t="s">
        <v>245</v>
      </c>
      <c r="C149" s="3" t="s">
        <v>30</v>
      </c>
      <c r="D149" s="3" t="s">
        <v>31</v>
      </c>
      <c r="E149" s="3" t="s">
        <v>16</v>
      </c>
      <c r="F149" s="3" t="s">
        <v>17</v>
      </c>
      <c r="G149" s="3" t="s">
        <v>36</v>
      </c>
      <c r="H149" s="3">
        <v>17049</v>
      </c>
      <c r="I149" s="3" t="s">
        <v>27</v>
      </c>
      <c r="J149" s="3"/>
      <c r="K149" s="3">
        <v>17000</v>
      </c>
      <c r="L149" s="27">
        <v>45323</v>
      </c>
      <c r="M149" t="str">
        <f t="shared" si="1"/>
        <v>Target Achieved</v>
      </c>
    </row>
    <row r="150" spans="1:13" x14ac:dyDescent="0.35">
      <c r="A150" s="33" t="s">
        <v>246</v>
      </c>
      <c r="B150" s="3" t="s">
        <v>227</v>
      </c>
      <c r="C150" s="3" t="s">
        <v>14</v>
      </c>
      <c r="D150" s="3" t="s">
        <v>15</v>
      </c>
      <c r="E150" s="3" t="s">
        <v>46</v>
      </c>
      <c r="F150" s="3" t="s">
        <v>39</v>
      </c>
      <c r="G150" s="3" t="s">
        <v>36</v>
      </c>
      <c r="H150" s="3">
        <v>14472</v>
      </c>
      <c r="I150" s="3" t="s">
        <v>33</v>
      </c>
      <c r="J150" s="3">
        <v>0.3</v>
      </c>
      <c r="K150" s="3">
        <v>14000</v>
      </c>
      <c r="L150" s="27">
        <v>45293</v>
      </c>
      <c r="M150" t="str">
        <f t="shared" si="1"/>
        <v>Target Achieved</v>
      </c>
    </row>
    <row r="151" spans="1:13" x14ac:dyDescent="0.35">
      <c r="A151" s="33" t="s">
        <v>247</v>
      </c>
      <c r="B151" s="3" t="s">
        <v>248</v>
      </c>
      <c r="C151" s="3" t="s">
        <v>14</v>
      </c>
      <c r="D151" s="3" t="s">
        <v>15</v>
      </c>
      <c r="E151" s="3" t="s">
        <v>16</v>
      </c>
      <c r="F151" s="3" t="s">
        <v>17</v>
      </c>
      <c r="G151" s="3" t="s">
        <v>26</v>
      </c>
      <c r="H151" s="3">
        <v>12164</v>
      </c>
      <c r="I151" s="3" t="s">
        <v>19</v>
      </c>
      <c r="J151" s="3">
        <v>0.2</v>
      </c>
      <c r="K151" s="3">
        <v>14000</v>
      </c>
      <c r="L151" s="27">
        <v>45322</v>
      </c>
      <c r="M151" t="str">
        <f t="shared" si="1"/>
        <v>Below Target</v>
      </c>
    </row>
    <row r="152" spans="1:13" x14ac:dyDescent="0.35">
      <c r="A152" s="33" t="s">
        <v>249</v>
      </c>
      <c r="B152" s="3" t="s">
        <v>202</v>
      </c>
      <c r="C152" s="3" t="s">
        <v>61</v>
      </c>
      <c r="D152" s="3" t="s">
        <v>62</v>
      </c>
      <c r="E152" s="3" t="s">
        <v>46</v>
      </c>
      <c r="F152" s="3" t="s">
        <v>25</v>
      </c>
      <c r="G152" s="3" t="s">
        <v>26</v>
      </c>
      <c r="H152" s="3">
        <v>8785</v>
      </c>
      <c r="I152" s="3"/>
      <c r="J152" s="3"/>
      <c r="K152" s="3">
        <v>9000</v>
      </c>
      <c r="L152" s="27">
        <v>45297</v>
      </c>
      <c r="M152" t="str">
        <f t="shared" si="1"/>
        <v>Below Target</v>
      </c>
    </row>
    <row r="153" spans="1:13" x14ac:dyDescent="0.35">
      <c r="A153" s="33" t="s">
        <v>250</v>
      </c>
      <c r="B153" s="3" t="s">
        <v>188</v>
      </c>
      <c r="C153" s="3" t="s">
        <v>61</v>
      </c>
      <c r="D153" s="3" t="s">
        <v>62</v>
      </c>
      <c r="E153" s="3" t="s">
        <v>46</v>
      </c>
      <c r="F153" s="3" t="s">
        <v>17</v>
      </c>
      <c r="G153" s="3" t="s">
        <v>26</v>
      </c>
      <c r="H153" s="3">
        <v>7428</v>
      </c>
      <c r="I153" s="3" t="s">
        <v>19</v>
      </c>
      <c r="J153" s="3">
        <v>0.2</v>
      </c>
      <c r="K153" s="3">
        <v>9000</v>
      </c>
      <c r="L153" s="27">
        <v>45313</v>
      </c>
      <c r="M153" t="str">
        <f t="shared" si="1"/>
        <v>Below Target</v>
      </c>
    </row>
    <row r="154" spans="1:13" x14ac:dyDescent="0.35">
      <c r="A154" s="33" t="s">
        <v>251</v>
      </c>
      <c r="B154" s="3" t="s">
        <v>101</v>
      </c>
      <c r="C154" s="3" t="s">
        <v>61</v>
      </c>
      <c r="D154" s="3" t="s">
        <v>62</v>
      </c>
      <c r="E154" s="3" t="s">
        <v>46</v>
      </c>
      <c r="F154" s="3" t="s">
        <v>39</v>
      </c>
      <c r="G154" s="3" t="s">
        <v>36</v>
      </c>
      <c r="H154" s="3">
        <v>10332</v>
      </c>
      <c r="I154" s="3" t="s">
        <v>27</v>
      </c>
      <c r="J154" s="3"/>
      <c r="K154" s="3">
        <v>9000</v>
      </c>
      <c r="L154" s="27">
        <v>45294</v>
      </c>
      <c r="M154" t="str">
        <f t="shared" si="1"/>
        <v>Target Achieved</v>
      </c>
    </row>
    <row r="155" spans="1:13" x14ac:dyDescent="0.35">
      <c r="A155" s="33" t="s">
        <v>252</v>
      </c>
      <c r="B155" s="3" t="s">
        <v>227</v>
      </c>
      <c r="C155" s="3" t="s">
        <v>30</v>
      </c>
      <c r="D155" s="3" t="s">
        <v>31</v>
      </c>
      <c r="E155" s="3" t="s">
        <v>46</v>
      </c>
      <c r="F155" s="3" t="s">
        <v>17</v>
      </c>
      <c r="G155" s="3" t="s">
        <v>18</v>
      </c>
      <c r="H155" s="3">
        <v>18973</v>
      </c>
      <c r="I155" s="3"/>
      <c r="J155" s="3"/>
      <c r="K155" s="3">
        <v>17000</v>
      </c>
      <c r="L155" s="27">
        <v>45347</v>
      </c>
      <c r="M155" t="str">
        <f t="shared" si="1"/>
        <v>Target Achieved</v>
      </c>
    </row>
    <row r="156" spans="1:13" x14ac:dyDescent="0.35">
      <c r="A156" s="33" t="s">
        <v>253</v>
      </c>
      <c r="B156" s="3" t="s">
        <v>105</v>
      </c>
      <c r="C156" s="3" t="s">
        <v>14</v>
      </c>
      <c r="D156" s="3" t="s">
        <v>15</v>
      </c>
      <c r="E156" s="3" t="s">
        <v>16</v>
      </c>
      <c r="F156" s="3" t="s">
        <v>39</v>
      </c>
      <c r="G156" s="3" t="s">
        <v>36</v>
      </c>
      <c r="H156" s="3">
        <v>13692</v>
      </c>
      <c r="I156" s="3" t="s">
        <v>22</v>
      </c>
      <c r="J156" s="3">
        <v>0.1</v>
      </c>
      <c r="K156" s="3">
        <v>14000</v>
      </c>
      <c r="L156" s="27">
        <v>45304</v>
      </c>
      <c r="M156" t="str">
        <f t="shared" si="1"/>
        <v>Below Target</v>
      </c>
    </row>
    <row r="157" spans="1:13" x14ac:dyDescent="0.35">
      <c r="A157" s="33" t="s">
        <v>254</v>
      </c>
      <c r="B157" s="3" t="s">
        <v>217</v>
      </c>
      <c r="C157" s="3" t="s">
        <v>61</v>
      </c>
      <c r="D157" s="3" t="s">
        <v>62</v>
      </c>
      <c r="E157" s="3" t="s">
        <v>16</v>
      </c>
      <c r="F157" s="3" t="s">
        <v>17</v>
      </c>
      <c r="G157" s="3" t="s">
        <v>18</v>
      </c>
      <c r="H157" s="3">
        <v>7833</v>
      </c>
      <c r="I157" s="3" t="s">
        <v>33</v>
      </c>
      <c r="J157" s="3">
        <v>0.3</v>
      </c>
      <c r="K157" s="3">
        <v>9000</v>
      </c>
      <c r="L157" s="27">
        <v>45327</v>
      </c>
      <c r="M157" t="str">
        <f t="shared" si="1"/>
        <v>Below Target</v>
      </c>
    </row>
    <row r="158" spans="1:13" x14ac:dyDescent="0.35">
      <c r="A158" s="33" t="s">
        <v>255</v>
      </c>
      <c r="B158" s="3" t="s">
        <v>256</v>
      </c>
      <c r="C158" s="3" t="s">
        <v>61</v>
      </c>
      <c r="D158" s="3" t="s">
        <v>62</v>
      </c>
      <c r="E158" s="3" t="s">
        <v>16</v>
      </c>
      <c r="F158" s="3" t="s">
        <v>17</v>
      </c>
      <c r="G158" s="3" t="s">
        <v>18</v>
      </c>
      <c r="H158" s="3">
        <v>7118</v>
      </c>
      <c r="I158" s="3" t="s">
        <v>27</v>
      </c>
      <c r="J158" s="3"/>
      <c r="K158" s="3">
        <v>9000</v>
      </c>
      <c r="L158" s="27">
        <v>45343</v>
      </c>
      <c r="M158" t="str">
        <f t="shared" si="1"/>
        <v>Below Target</v>
      </c>
    </row>
    <row r="159" spans="1:13" x14ac:dyDescent="0.35">
      <c r="A159" s="33" t="s">
        <v>257</v>
      </c>
      <c r="B159" s="3" t="s">
        <v>220</v>
      </c>
      <c r="C159" s="3" t="s">
        <v>44</v>
      </c>
      <c r="D159" s="3" t="s">
        <v>45</v>
      </c>
      <c r="E159" s="3" t="s">
        <v>46</v>
      </c>
      <c r="F159" s="3" t="s">
        <v>39</v>
      </c>
      <c r="G159" s="3" t="s">
        <v>18</v>
      </c>
      <c r="H159" s="3">
        <v>13262</v>
      </c>
      <c r="I159" s="3"/>
      <c r="J159" s="3"/>
      <c r="K159" s="3">
        <v>13000</v>
      </c>
      <c r="L159" s="27">
        <v>45297</v>
      </c>
      <c r="M159" t="str">
        <f t="shared" si="1"/>
        <v>Target Achieved</v>
      </c>
    </row>
    <row r="160" spans="1:13" x14ac:dyDescent="0.35">
      <c r="A160" s="33" t="s">
        <v>258</v>
      </c>
      <c r="B160" s="3" t="s">
        <v>171</v>
      </c>
      <c r="C160" s="3" t="s">
        <v>14</v>
      </c>
      <c r="D160" s="3" t="s">
        <v>15</v>
      </c>
      <c r="E160" s="3" t="s">
        <v>46</v>
      </c>
      <c r="F160" s="3" t="s">
        <v>25</v>
      </c>
      <c r="G160" s="3" t="s">
        <v>26</v>
      </c>
      <c r="H160" s="3">
        <v>15408</v>
      </c>
      <c r="I160" s="3" t="s">
        <v>19</v>
      </c>
      <c r="J160" s="3">
        <v>0.2</v>
      </c>
      <c r="K160" s="3">
        <v>14000</v>
      </c>
      <c r="L160" s="27">
        <v>45323</v>
      </c>
      <c r="M160" t="str">
        <f t="shared" ref="M160:M223" si="2">IF(H160&gt;=K160,"Target Achieved","Below Target")</f>
        <v>Target Achieved</v>
      </c>
    </row>
    <row r="161" spans="1:13" x14ac:dyDescent="0.35">
      <c r="A161" s="33" t="s">
        <v>259</v>
      </c>
      <c r="B161" s="3" t="s">
        <v>260</v>
      </c>
      <c r="C161" s="3" t="s">
        <v>30</v>
      </c>
      <c r="D161" s="3" t="s">
        <v>31</v>
      </c>
      <c r="E161" s="3" t="s">
        <v>16</v>
      </c>
      <c r="F161" s="3" t="s">
        <v>39</v>
      </c>
      <c r="G161" s="3" t="s">
        <v>36</v>
      </c>
      <c r="H161" s="3">
        <v>16701</v>
      </c>
      <c r="I161" s="3"/>
      <c r="J161" s="3"/>
      <c r="K161" s="3">
        <v>17000</v>
      </c>
      <c r="L161" s="27">
        <v>45322</v>
      </c>
      <c r="M161" t="str">
        <f t="shared" si="2"/>
        <v>Below Target</v>
      </c>
    </row>
    <row r="162" spans="1:13" x14ac:dyDescent="0.35">
      <c r="A162" s="33" t="s">
        <v>261</v>
      </c>
      <c r="B162" s="3" t="s">
        <v>29</v>
      </c>
      <c r="C162" s="3" t="s">
        <v>44</v>
      </c>
      <c r="D162" s="3" t="s">
        <v>45</v>
      </c>
      <c r="E162" s="3" t="s">
        <v>46</v>
      </c>
      <c r="F162" s="3" t="s">
        <v>25</v>
      </c>
      <c r="G162" s="3" t="s">
        <v>26</v>
      </c>
      <c r="H162" s="3">
        <v>13081</v>
      </c>
      <c r="I162" s="3" t="s">
        <v>19</v>
      </c>
      <c r="J162" s="3">
        <v>0.2</v>
      </c>
      <c r="K162" s="3">
        <v>13000</v>
      </c>
      <c r="L162" s="27">
        <v>45347</v>
      </c>
      <c r="M162" t="str">
        <f t="shared" si="2"/>
        <v>Target Achieved</v>
      </c>
    </row>
    <row r="163" spans="1:13" x14ac:dyDescent="0.35">
      <c r="A163" s="33" t="s">
        <v>262</v>
      </c>
      <c r="B163" s="3" t="s">
        <v>263</v>
      </c>
      <c r="C163" s="3" t="s">
        <v>61</v>
      </c>
      <c r="D163" s="3" t="s">
        <v>62</v>
      </c>
      <c r="E163" s="3" t="s">
        <v>46</v>
      </c>
      <c r="F163" s="3" t="s">
        <v>39</v>
      </c>
      <c r="G163" s="3" t="s">
        <v>36</v>
      </c>
      <c r="H163" s="3">
        <v>10360</v>
      </c>
      <c r="I163" s="3" t="s">
        <v>22</v>
      </c>
      <c r="J163" s="3">
        <v>0.1</v>
      </c>
      <c r="K163" s="3">
        <v>9000</v>
      </c>
      <c r="L163" s="27">
        <v>45310</v>
      </c>
      <c r="M163" t="str">
        <f t="shared" si="2"/>
        <v>Target Achieved</v>
      </c>
    </row>
    <row r="164" spans="1:13" x14ac:dyDescent="0.35">
      <c r="A164" s="33" t="s">
        <v>264</v>
      </c>
      <c r="B164" s="3" t="s">
        <v>265</v>
      </c>
      <c r="C164" s="3" t="s">
        <v>61</v>
      </c>
      <c r="D164" s="3" t="s">
        <v>62</v>
      </c>
      <c r="E164" s="3" t="s">
        <v>32</v>
      </c>
      <c r="F164" s="3" t="s">
        <v>17</v>
      </c>
      <c r="G164" s="3" t="s">
        <v>26</v>
      </c>
      <c r="H164" s="3">
        <v>8983</v>
      </c>
      <c r="I164" s="3" t="s">
        <v>33</v>
      </c>
      <c r="J164" s="3">
        <v>0.3</v>
      </c>
      <c r="K164" s="3">
        <v>9000</v>
      </c>
      <c r="L164" s="27">
        <v>45313</v>
      </c>
      <c r="M164" t="str">
        <f t="shared" si="2"/>
        <v>Below Target</v>
      </c>
    </row>
    <row r="165" spans="1:13" x14ac:dyDescent="0.35">
      <c r="A165" s="33" t="s">
        <v>266</v>
      </c>
      <c r="B165" s="3" t="s">
        <v>82</v>
      </c>
      <c r="C165" s="3" t="s">
        <v>61</v>
      </c>
      <c r="D165" s="3" t="s">
        <v>62</v>
      </c>
      <c r="E165" s="3" t="s">
        <v>46</v>
      </c>
      <c r="F165" s="3" t="s">
        <v>17</v>
      </c>
      <c r="G165" s="3" t="s">
        <v>18</v>
      </c>
      <c r="H165" s="3">
        <v>9856</v>
      </c>
      <c r="I165" s="3" t="s">
        <v>19</v>
      </c>
      <c r="J165" s="3">
        <v>0.2</v>
      </c>
      <c r="K165" s="3">
        <v>9000</v>
      </c>
      <c r="L165" s="27">
        <v>45328</v>
      </c>
      <c r="M165" t="str">
        <f t="shared" si="2"/>
        <v>Target Achieved</v>
      </c>
    </row>
    <row r="166" spans="1:13" x14ac:dyDescent="0.35">
      <c r="A166" s="33" t="s">
        <v>267</v>
      </c>
      <c r="B166" s="3" t="s">
        <v>268</v>
      </c>
      <c r="C166" s="3" t="s">
        <v>61</v>
      </c>
      <c r="D166" s="3" t="s">
        <v>62</v>
      </c>
      <c r="E166" s="3" t="s">
        <v>32</v>
      </c>
      <c r="F166" s="3" t="s">
        <v>17</v>
      </c>
      <c r="G166" s="3" t="s">
        <v>26</v>
      </c>
      <c r="H166" s="3">
        <v>8937</v>
      </c>
      <c r="I166" s="3"/>
      <c r="J166" s="3"/>
      <c r="K166" s="3">
        <v>9000</v>
      </c>
      <c r="L166" s="27">
        <v>45316</v>
      </c>
      <c r="M166" t="str">
        <f t="shared" si="2"/>
        <v>Below Target</v>
      </c>
    </row>
    <row r="167" spans="1:13" x14ac:dyDescent="0.35">
      <c r="A167" s="33" t="s">
        <v>269</v>
      </c>
      <c r="B167" s="3" t="s">
        <v>270</v>
      </c>
      <c r="C167" s="3" t="s">
        <v>44</v>
      </c>
      <c r="D167" s="3" t="s">
        <v>45</v>
      </c>
      <c r="E167" s="3" t="s">
        <v>46</v>
      </c>
      <c r="F167" s="3" t="s">
        <v>25</v>
      </c>
      <c r="G167" s="3" t="s">
        <v>18</v>
      </c>
      <c r="H167" s="3">
        <v>13057</v>
      </c>
      <c r="I167" s="3" t="s">
        <v>27</v>
      </c>
      <c r="J167" s="3"/>
      <c r="K167" s="3">
        <v>13000</v>
      </c>
      <c r="L167" s="27">
        <v>45313</v>
      </c>
      <c r="M167" t="str">
        <f t="shared" si="2"/>
        <v>Target Achieved</v>
      </c>
    </row>
    <row r="168" spans="1:13" x14ac:dyDescent="0.35">
      <c r="A168" s="33" t="s">
        <v>271</v>
      </c>
      <c r="B168" s="3" t="s">
        <v>96</v>
      </c>
      <c r="C168" s="3" t="s">
        <v>61</v>
      </c>
      <c r="D168" s="3" t="s">
        <v>62</v>
      </c>
      <c r="E168" s="3" t="s">
        <v>32</v>
      </c>
      <c r="F168" s="3" t="s">
        <v>39</v>
      </c>
      <c r="G168" s="3" t="s">
        <v>36</v>
      </c>
      <c r="H168" s="3">
        <v>7062</v>
      </c>
      <c r="I168" s="3" t="s">
        <v>19</v>
      </c>
      <c r="J168" s="3">
        <v>0.2</v>
      </c>
      <c r="K168" s="3">
        <v>9000</v>
      </c>
      <c r="L168" s="27">
        <v>45318</v>
      </c>
      <c r="M168" t="str">
        <f t="shared" si="2"/>
        <v>Below Target</v>
      </c>
    </row>
    <row r="169" spans="1:13" x14ac:dyDescent="0.35">
      <c r="A169" s="33" t="s">
        <v>272</v>
      </c>
      <c r="B169" s="3" t="s">
        <v>198</v>
      </c>
      <c r="C169" s="3" t="s">
        <v>44</v>
      </c>
      <c r="D169" s="3" t="s">
        <v>45</v>
      </c>
      <c r="E169" s="3" t="s">
        <v>32</v>
      </c>
      <c r="F169" s="3" t="s">
        <v>17</v>
      </c>
      <c r="G169" s="3" t="s">
        <v>36</v>
      </c>
      <c r="H169" s="3">
        <v>12386</v>
      </c>
      <c r="I169" s="3" t="s">
        <v>27</v>
      </c>
      <c r="J169" s="3"/>
      <c r="K169" s="3">
        <v>13000</v>
      </c>
      <c r="L169" s="27">
        <v>45336</v>
      </c>
      <c r="M169" t="str">
        <f t="shared" si="2"/>
        <v>Below Target</v>
      </c>
    </row>
    <row r="170" spans="1:13" x14ac:dyDescent="0.35">
      <c r="A170" s="33" t="s">
        <v>273</v>
      </c>
      <c r="B170" s="3" t="s">
        <v>274</v>
      </c>
      <c r="C170" s="3" t="s">
        <v>14</v>
      </c>
      <c r="D170" s="3" t="s">
        <v>15</v>
      </c>
      <c r="E170" s="3" t="s">
        <v>46</v>
      </c>
      <c r="F170" s="3" t="s">
        <v>39</v>
      </c>
      <c r="G170" s="3" t="s">
        <v>26</v>
      </c>
      <c r="H170" s="3">
        <v>13556</v>
      </c>
      <c r="I170" s="3" t="s">
        <v>33</v>
      </c>
      <c r="J170" s="3">
        <v>0.3</v>
      </c>
      <c r="K170" s="3">
        <v>14000</v>
      </c>
      <c r="L170" s="27">
        <v>45332</v>
      </c>
      <c r="M170" t="str">
        <f t="shared" si="2"/>
        <v>Below Target</v>
      </c>
    </row>
    <row r="171" spans="1:13" x14ac:dyDescent="0.35">
      <c r="A171" s="33" t="s">
        <v>275</v>
      </c>
      <c r="B171" s="3" t="s">
        <v>276</v>
      </c>
      <c r="C171" s="3" t="s">
        <v>61</v>
      </c>
      <c r="D171" s="3" t="s">
        <v>62</v>
      </c>
      <c r="E171" s="3" t="s">
        <v>16</v>
      </c>
      <c r="F171" s="3" t="s">
        <v>25</v>
      </c>
      <c r="G171" s="3" t="s">
        <v>26</v>
      </c>
      <c r="H171" s="3">
        <v>7280</v>
      </c>
      <c r="I171" s="3" t="s">
        <v>19</v>
      </c>
      <c r="J171" s="3">
        <v>0.2</v>
      </c>
      <c r="K171" s="3">
        <v>9000</v>
      </c>
      <c r="L171" s="27">
        <v>45332</v>
      </c>
      <c r="M171" t="str">
        <f t="shared" si="2"/>
        <v>Below Target</v>
      </c>
    </row>
    <row r="172" spans="1:13" x14ac:dyDescent="0.35">
      <c r="A172" s="33" t="s">
        <v>277</v>
      </c>
      <c r="B172" s="3" t="s">
        <v>278</v>
      </c>
      <c r="C172" s="3" t="s">
        <v>44</v>
      </c>
      <c r="D172" s="3" t="s">
        <v>45</v>
      </c>
      <c r="E172" s="3" t="s">
        <v>16</v>
      </c>
      <c r="F172" s="3" t="s">
        <v>25</v>
      </c>
      <c r="G172" s="3" t="s">
        <v>36</v>
      </c>
      <c r="H172" s="3">
        <v>11403</v>
      </c>
      <c r="I172" s="3" t="s">
        <v>22</v>
      </c>
      <c r="J172" s="3">
        <v>0.1</v>
      </c>
      <c r="K172" s="3">
        <v>13000</v>
      </c>
      <c r="L172" s="27">
        <v>45320</v>
      </c>
      <c r="M172" t="str">
        <f t="shared" si="2"/>
        <v>Below Target</v>
      </c>
    </row>
    <row r="173" spans="1:13" x14ac:dyDescent="0.35">
      <c r="A173" s="33" t="s">
        <v>279</v>
      </c>
      <c r="B173" s="3" t="s">
        <v>280</v>
      </c>
      <c r="C173" s="3" t="s">
        <v>30</v>
      </c>
      <c r="D173" s="3" t="s">
        <v>31</v>
      </c>
      <c r="E173" s="3" t="s">
        <v>32</v>
      </c>
      <c r="F173" s="3" t="s">
        <v>25</v>
      </c>
      <c r="G173" s="3" t="s">
        <v>36</v>
      </c>
      <c r="H173" s="3">
        <v>18261</v>
      </c>
      <c r="I173" s="3" t="s">
        <v>22</v>
      </c>
      <c r="J173" s="3">
        <v>0.1</v>
      </c>
      <c r="K173" s="3">
        <v>17000</v>
      </c>
      <c r="L173" s="27">
        <v>45310</v>
      </c>
      <c r="M173" t="str">
        <f t="shared" si="2"/>
        <v>Target Achieved</v>
      </c>
    </row>
    <row r="174" spans="1:13" x14ac:dyDescent="0.35">
      <c r="A174" s="33" t="s">
        <v>281</v>
      </c>
      <c r="B174" s="3" t="s">
        <v>282</v>
      </c>
      <c r="C174" s="3" t="s">
        <v>61</v>
      </c>
      <c r="D174" s="3" t="s">
        <v>62</v>
      </c>
      <c r="E174" s="3" t="s">
        <v>32</v>
      </c>
      <c r="F174" s="3" t="s">
        <v>25</v>
      </c>
      <c r="G174" s="3" t="s">
        <v>26</v>
      </c>
      <c r="H174" s="3">
        <v>8687</v>
      </c>
      <c r="I174" s="3" t="s">
        <v>27</v>
      </c>
      <c r="J174" s="3"/>
      <c r="K174" s="3">
        <v>9000</v>
      </c>
      <c r="L174" s="27">
        <v>45335</v>
      </c>
      <c r="M174" t="str">
        <f t="shared" si="2"/>
        <v>Below Target</v>
      </c>
    </row>
    <row r="175" spans="1:13" x14ac:dyDescent="0.35">
      <c r="A175" s="33" t="s">
        <v>283</v>
      </c>
      <c r="B175" s="3" t="s">
        <v>72</v>
      </c>
      <c r="C175" s="3" t="s">
        <v>44</v>
      </c>
      <c r="D175" s="3" t="s">
        <v>45</v>
      </c>
      <c r="E175" s="3" t="s">
        <v>32</v>
      </c>
      <c r="F175" s="3" t="s">
        <v>25</v>
      </c>
      <c r="G175" s="3" t="s">
        <v>26</v>
      </c>
      <c r="H175" s="3">
        <v>14566</v>
      </c>
      <c r="I175" s="3"/>
      <c r="J175" s="3"/>
      <c r="K175" s="3">
        <v>13000</v>
      </c>
      <c r="L175" s="27">
        <v>45331</v>
      </c>
      <c r="M175" t="str">
        <f t="shared" si="2"/>
        <v>Target Achieved</v>
      </c>
    </row>
    <row r="176" spans="1:13" x14ac:dyDescent="0.35">
      <c r="A176" s="33" t="s">
        <v>284</v>
      </c>
      <c r="B176" s="3" t="s">
        <v>239</v>
      </c>
      <c r="C176" s="3" t="s">
        <v>61</v>
      </c>
      <c r="D176" s="3" t="s">
        <v>62</v>
      </c>
      <c r="E176" s="3" t="s">
        <v>16</v>
      </c>
      <c r="F176" s="3" t="s">
        <v>25</v>
      </c>
      <c r="G176" s="3" t="s">
        <v>18</v>
      </c>
      <c r="H176" s="3">
        <v>8888</v>
      </c>
      <c r="I176" s="3" t="s">
        <v>33</v>
      </c>
      <c r="J176" s="3">
        <v>0.3</v>
      </c>
      <c r="K176" s="3">
        <v>9000</v>
      </c>
      <c r="L176" s="27">
        <v>45321</v>
      </c>
      <c r="M176" t="str">
        <f t="shared" si="2"/>
        <v>Below Target</v>
      </c>
    </row>
    <row r="177" spans="1:13" x14ac:dyDescent="0.35">
      <c r="A177" s="33" t="s">
        <v>285</v>
      </c>
      <c r="B177" s="3" t="s">
        <v>286</v>
      </c>
      <c r="C177" s="3" t="s">
        <v>14</v>
      </c>
      <c r="D177" s="3" t="s">
        <v>15</v>
      </c>
      <c r="E177" s="3" t="s">
        <v>46</v>
      </c>
      <c r="F177" s="3" t="s">
        <v>17</v>
      </c>
      <c r="G177" s="3" t="s">
        <v>26</v>
      </c>
      <c r="H177" s="3">
        <v>14238</v>
      </c>
      <c r="I177" s="3" t="s">
        <v>19</v>
      </c>
      <c r="J177" s="3">
        <v>0.2</v>
      </c>
      <c r="K177" s="3">
        <v>14000</v>
      </c>
      <c r="L177" s="27">
        <v>45296</v>
      </c>
      <c r="M177" t="str">
        <f t="shared" si="2"/>
        <v>Target Achieved</v>
      </c>
    </row>
    <row r="178" spans="1:13" x14ac:dyDescent="0.35">
      <c r="A178" s="33" t="s">
        <v>287</v>
      </c>
      <c r="B178" s="3" t="s">
        <v>188</v>
      </c>
      <c r="C178" s="3" t="s">
        <v>30</v>
      </c>
      <c r="D178" s="3" t="s">
        <v>31</v>
      </c>
      <c r="E178" s="3" t="s">
        <v>16</v>
      </c>
      <c r="F178" s="3" t="s">
        <v>17</v>
      </c>
      <c r="G178" s="3" t="s">
        <v>26</v>
      </c>
      <c r="H178" s="3">
        <v>16024</v>
      </c>
      <c r="I178" s="3"/>
      <c r="J178" s="3"/>
      <c r="K178" s="3">
        <v>17000</v>
      </c>
      <c r="L178" s="27">
        <v>45346</v>
      </c>
      <c r="M178" t="str">
        <f t="shared" si="2"/>
        <v>Below Target</v>
      </c>
    </row>
    <row r="179" spans="1:13" x14ac:dyDescent="0.35">
      <c r="A179" s="33" t="s">
        <v>288</v>
      </c>
      <c r="B179" s="3" t="s">
        <v>289</v>
      </c>
      <c r="C179" s="3" t="s">
        <v>61</v>
      </c>
      <c r="D179" s="3" t="s">
        <v>62</v>
      </c>
      <c r="E179" s="3" t="s">
        <v>46</v>
      </c>
      <c r="F179" s="3" t="s">
        <v>25</v>
      </c>
      <c r="G179" s="3" t="s">
        <v>18</v>
      </c>
      <c r="H179" s="3">
        <v>8562</v>
      </c>
      <c r="I179" s="3" t="s">
        <v>27</v>
      </c>
      <c r="J179" s="3"/>
      <c r="K179" s="3">
        <v>9000</v>
      </c>
      <c r="L179" s="27">
        <v>45314</v>
      </c>
      <c r="M179" t="str">
        <f t="shared" si="2"/>
        <v>Below Target</v>
      </c>
    </row>
    <row r="180" spans="1:13" x14ac:dyDescent="0.35">
      <c r="A180" s="33" t="s">
        <v>290</v>
      </c>
      <c r="B180" s="3" t="s">
        <v>291</v>
      </c>
      <c r="C180" s="3" t="s">
        <v>30</v>
      </c>
      <c r="D180" s="3" t="s">
        <v>31</v>
      </c>
      <c r="E180" s="3" t="s">
        <v>32</v>
      </c>
      <c r="F180" s="3" t="s">
        <v>39</v>
      </c>
      <c r="G180" s="3" t="s">
        <v>36</v>
      </c>
      <c r="H180" s="3">
        <v>16124</v>
      </c>
      <c r="I180" s="3" t="s">
        <v>22</v>
      </c>
      <c r="J180" s="3">
        <v>0.1</v>
      </c>
      <c r="K180" s="3">
        <v>17000</v>
      </c>
      <c r="L180" s="27">
        <v>45328</v>
      </c>
      <c r="M180" t="str">
        <f t="shared" si="2"/>
        <v>Below Target</v>
      </c>
    </row>
    <row r="181" spans="1:13" x14ac:dyDescent="0.35">
      <c r="A181" s="33" t="s">
        <v>292</v>
      </c>
      <c r="B181" s="3" t="s">
        <v>198</v>
      </c>
      <c r="C181" s="3" t="s">
        <v>14</v>
      </c>
      <c r="D181" s="3" t="s">
        <v>15</v>
      </c>
      <c r="E181" s="3" t="s">
        <v>16</v>
      </c>
      <c r="F181" s="3" t="s">
        <v>39</v>
      </c>
      <c r="G181" s="3" t="s">
        <v>36</v>
      </c>
      <c r="H181" s="3">
        <v>15411</v>
      </c>
      <c r="I181" s="3" t="s">
        <v>33</v>
      </c>
      <c r="J181" s="3">
        <v>0.3</v>
      </c>
      <c r="K181" s="3">
        <v>14000</v>
      </c>
      <c r="L181" s="27">
        <v>45341</v>
      </c>
      <c r="M181" t="str">
        <f t="shared" si="2"/>
        <v>Target Achieved</v>
      </c>
    </row>
    <row r="182" spans="1:13" x14ac:dyDescent="0.35">
      <c r="A182" s="33" t="s">
        <v>293</v>
      </c>
      <c r="B182" s="3" t="s">
        <v>294</v>
      </c>
      <c r="C182" s="3" t="s">
        <v>30</v>
      </c>
      <c r="D182" s="3" t="s">
        <v>31</v>
      </c>
      <c r="E182" s="3" t="s">
        <v>32</v>
      </c>
      <c r="F182" s="3" t="s">
        <v>39</v>
      </c>
      <c r="G182" s="3" t="s">
        <v>18</v>
      </c>
      <c r="H182" s="3">
        <v>17543</v>
      </c>
      <c r="I182" s="3" t="s">
        <v>33</v>
      </c>
      <c r="J182" s="3">
        <v>0.3</v>
      </c>
      <c r="K182" s="3">
        <v>17000</v>
      </c>
      <c r="L182" s="27">
        <v>45335</v>
      </c>
      <c r="M182" t="str">
        <f t="shared" si="2"/>
        <v>Target Achieved</v>
      </c>
    </row>
    <row r="183" spans="1:13" x14ac:dyDescent="0.35">
      <c r="A183" s="33" t="s">
        <v>295</v>
      </c>
      <c r="B183" s="3" t="s">
        <v>296</v>
      </c>
      <c r="C183" s="3" t="s">
        <v>44</v>
      </c>
      <c r="D183" s="3" t="s">
        <v>45</v>
      </c>
      <c r="E183" s="3" t="s">
        <v>16</v>
      </c>
      <c r="F183" s="3" t="s">
        <v>25</v>
      </c>
      <c r="G183" s="3" t="s">
        <v>26</v>
      </c>
      <c r="H183" s="3">
        <v>13647</v>
      </c>
      <c r="I183" s="3" t="s">
        <v>22</v>
      </c>
      <c r="J183" s="3">
        <v>0.1</v>
      </c>
      <c r="K183" s="3">
        <v>13000</v>
      </c>
      <c r="L183" s="27">
        <v>45311</v>
      </c>
      <c r="M183" t="str">
        <f t="shared" si="2"/>
        <v>Target Achieved</v>
      </c>
    </row>
    <row r="184" spans="1:13" x14ac:dyDescent="0.35">
      <c r="A184" s="33" t="s">
        <v>297</v>
      </c>
      <c r="B184" s="3" t="s">
        <v>298</v>
      </c>
      <c r="C184" s="3" t="s">
        <v>14</v>
      </c>
      <c r="D184" s="3" t="s">
        <v>15</v>
      </c>
      <c r="E184" s="3" t="s">
        <v>16</v>
      </c>
      <c r="F184" s="3" t="s">
        <v>17</v>
      </c>
      <c r="G184" s="3" t="s">
        <v>26</v>
      </c>
      <c r="H184" s="3">
        <v>12538</v>
      </c>
      <c r="I184" s="3" t="s">
        <v>22</v>
      </c>
      <c r="J184" s="3">
        <v>0.1</v>
      </c>
      <c r="K184" s="3">
        <v>14000</v>
      </c>
      <c r="L184" s="27">
        <v>45350</v>
      </c>
      <c r="M184" t="str">
        <f t="shared" si="2"/>
        <v>Below Target</v>
      </c>
    </row>
    <row r="185" spans="1:13" x14ac:dyDescent="0.35">
      <c r="A185" s="33" t="s">
        <v>299</v>
      </c>
      <c r="B185" s="3" t="s">
        <v>131</v>
      </c>
      <c r="C185" s="3" t="s">
        <v>61</v>
      </c>
      <c r="D185" s="3" t="s">
        <v>62</v>
      </c>
      <c r="E185" s="3" t="s">
        <v>32</v>
      </c>
      <c r="F185" s="3" t="s">
        <v>25</v>
      </c>
      <c r="G185" s="3" t="s">
        <v>18</v>
      </c>
      <c r="H185" s="3">
        <v>10221</v>
      </c>
      <c r="I185" s="3" t="s">
        <v>27</v>
      </c>
      <c r="J185" s="3"/>
      <c r="K185" s="3">
        <v>9000</v>
      </c>
      <c r="L185" s="27">
        <v>45348</v>
      </c>
      <c r="M185" t="str">
        <f t="shared" si="2"/>
        <v>Target Achieved</v>
      </c>
    </row>
    <row r="186" spans="1:13" x14ac:dyDescent="0.35">
      <c r="A186" s="33" t="s">
        <v>300</v>
      </c>
      <c r="B186" s="3" t="s">
        <v>301</v>
      </c>
      <c r="C186" s="3" t="s">
        <v>30</v>
      </c>
      <c r="D186" s="3" t="s">
        <v>31</v>
      </c>
      <c r="E186" s="3" t="s">
        <v>32</v>
      </c>
      <c r="F186" s="3" t="s">
        <v>17</v>
      </c>
      <c r="G186" s="3" t="s">
        <v>36</v>
      </c>
      <c r="H186" s="3">
        <v>18962</v>
      </c>
      <c r="I186" s="3" t="s">
        <v>33</v>
      </c>
      <c r="J186" s="3">
        <v>0.3</v>
      </c>
      <c r="K186" s="3">
        <v>17000</v>
      </c>
      <c r="L186" s="27">
        <v>45339</v>
      </c>
      <c r="M186" t="str">
        <f t="shared" si="2"/>
        <v>Target Achieved</v>
      </c>
    </row>
    <row r="187" spans="1:13" x14ac:dyDescent="0.35">
      <c r="A187" s="33" t="s">
        <v>302</v>
      </c>
      <c r="B187" s="3" t="s">
        <v>303</v>
      </c>
      <c r="C187" s="3" t="s">
        <v>14</v>
      </c>
      <c r="D187" s="3" t="s">
        <v>15</v>
      </c>
      <c r="E187" s="3" t="s">
        <v>46</v>
      </c>
      <c r="F187" s="3" t="s">
        <v>25</v>
      </c>
      <c r="G187" s="3" t="s">
        <v>18</v>
      </c>
      <c r="H187" s="3">
        <v>15089</v>
      </c>
      <c r="I187" s="3" t="s">
        <v>19</v>
      </c>
      <c r="J187" s="3">
        <v>0.2</v>
      </c>
      <c r="K187" s="3">
        <v>14000</v>
      </c>
      <c r="L187" s="27">
        <v>45347</v>
      </c>
      <c r="M187" t="str">
        <f t="shared" si="2"/>
        <v>Target Achieved</v>
      </c>
    </row>
    <row r="188" spans="1:13" x14ac:dyDescent="0.35">
      <c r="A188" s="33" t="s">
        <v>304</v>
      </c>
      <c r="B188" s="3" t="s">
        <v>305</v>
      </c>
      <c r="C188" s="3" t="s">
        <v>61</v>
      </c>
      <c r="D188" s="3" t="s">
        <v>62</v>
      </c>
      <c r="E188" s="3" t="s">
        <v>16</v>
      </c>
      <c r="F188" s="3" t="s">
        <v>17</v>
      </c>
      <c r="G188" s="3" t="s">
        <v>18</v>
      </c>
      <c r="H188" s="3">
        <v>10238</v>
      </c>
      <c r="I188" s="3"/>
      <c r="J188" s="3"/>
      <c r="K188" s="3">
        <v>9000</v>
      </c>
      <c r="L188" s="27">
        <v>45292</v>
      </c>
      <c r="M188" t="str">
        <f t="shared" si="2"/>
        <v>Target Achieved</v>
      </c>
    </row>
    <row r="189" spans="1:13" x14ac:dyDescent="0.35">
      <c r="A189" s="33" t="s">
        <v>306</v>
      </c>
      <c r="B189" s="3" t="s">
        <v>307</v>
      </c>
      <c r="C189" s="3" t="s">
        <v>14</v>
      </c>
      <c r="D189" s="3" t="s">
        <v>15</v>
      </c>
      <c r="E189" s="3" t="s">
        <v>46</v>
      </c>
      <c r="F189" s="3" t="s">
        <v>17</v>
      </c>
      <c r="G189" s="3" t="s">
        <v>26</v>
      </c>
      <c r="H189" s="3">
        <v>15067</v>
      </c>
      <c r="I189" s="3" t="s">
        <v>33</v>
      </c>
      <c r="J189" s="3">
        <v>0.3</v>
      </c>
      <c r="K189" s="3">
        <v>14000</v>
      </c>
      <c r="L189" s="27">
        <v>45329</v>
      </c>
      <c r="M189" t="str">
        <f t="shared" si="2"/>
        <v>Target Achieved</v>
      </c>
    </row>
    <row r="190" spans="1:13" x14ac:dyDescent="0.35">
      <c r="A190" s="33" t="s">
        <v>308</v>
      </c>
      <c r="B190" s="3" t="s">
        <v>309</v>
      </c>
      <c r="C190" s="3" t="s">
        <v>30</v>
      </c>
      <c r="D190" s="3" t="s">
        <v>31</v>
      </c>
      <c r="E190" s="3" t="s">
        <v>32</v>
      </c>
      <c r="F190" s="3" t="s">
        <v>39</v>
      </c>
      <c r="G190" s="3" t="s">
        <v>18</v>
      </c>
      <c r="H190" s="3">
        <v>16931</v>
      </c>
      <c r="I190" s="3" t="s">
        <v>22</v>
      </c>
      <c r="J190" s="3">
        <v>0.1</v>
      </c>
      <c r="K190" s="3">
        <v>17000</v>
      </c>
      <c r="L190" s="27">
        <v>45331</v>
      </c>
      <c r="M190" t="str">
        <f t="shared" si="2"/>
        <v>Below Target</v>
      </c>
    </row>
    <row r="191" spans="1:13" x14ac:dyDescent="0.35">
      <c r="A191" s="33" t="s">
        <v>310</v>
      </c>
      <c r="B191" s="3" t="s">
        <v>84</v>
      </c>
      <c r="C191" s="3" t="s">
        <v>30</v>
      </c>
      <c r="D191" s="3" t="s">
        <v>31</v>
      </c>
      <c r="E191" s="3" t="s">
        <v>16</v>
      </c>
      <c r="F191" s="3" t="s">
        <v>25</v>
      </c>
      <c r="G191" s="3" t="s">
        <v>26</v>
      </c>
      <c r="H191" s="3">
        <v>15258</v>
      </c>
      <c r="I191" s="3"/>
      <c r="J191" s="3"/>
      <c r="K191" s="3">
        <v>17000</v>
      </c>
      <c r="L191" s="27">
        <v>45350</v>
      </c>
      <c r="M191" t="str">
        <f t="shared" si="2"/>
        <v>Below Target</v>
      </c>
    </row>
    <row r="192" spans="1:13" x14ac:dyDescent="0.35">
      <c r="A192" s="33" t="s">
        <v>311</v>
      </c>
      <c r="B192" s="3" t="s">
        <v>265</v>
      </c>
      <c r="C192" s="3" t="s">
        <v>61</v>
      </c>
      <c r="D192" s="3" t="s">
        <v>62</v>
      </c>
      <c r="E192" s="3" t="s">
        <v>32</v>
      </c>
      <c r="F192" s="3" t="s">
        <v>25</v>
      </c>
      <c r="G192" s="3" t="s">
        <v>18</v>
      </c>
      <c r="H192" s="3">
        <v>10875</v>
      </c>
      <c r="I192" s="3" t="s">
        <v>22</v>
      </c>
      <c r="J192" s="3">
        <v>0.1</v>
      </c>
      <c r="K192" s="3">
        <v>9000</v>
      </c>
      <c r="L192" s="27">
        <v>45311</v>
      </c>
      <c r="M192" t="str">
        <f t="shared" si="2"/>
        <v>Target Achieved</v>
      </c>
    </row>
    <row r="193" spans="1:13" x14ac:dyDescent="0.35">
      <c r="A193" s="33" t="s">
        <v>312</v>
      </c>
      <c r="B193" s="3" t="s">
        <v>227</v>
      </c>
      <c r="C193" s="3" t="s">
        <v>14</v>
      </c>
      <c r="D193" s="3" t="s">
        <v>15</v>
      </c>
      <c r="E193" s="3" t="s">
        <v>32</v>
      </c>
      <c r="F193" s="3" t="s">
        <v>39</v>
      </c>
      <c r="G193" s="3" t="s">
        <v>18</v>
      </c>
      <c r="H193" s="3">
        <v>13591</v>
      </c>
      <c r="I193" s="3"/>
      <c r="J193" s="3"/>
      <c r="K193" s="3">
        <v>14000</v>
      </c>
      <c r="L193" s="27">
        <v>45315</v>
      </c>
      <c r="M193" t="str">
        <f t="shared" si="2"/>
        <v>Below Target</v>
      </c>
    </row>
    <row r="194" spans="1:13" x14ac:dyDescent="0.35">
      <c r="A194" s="33" t="s">
        <v>313</v>
      </c>
      <c r="B194" s="3" t="s">
        <v>305</v>
      </c>
      <c r="C194" s="3" t="s">
        <v>61</v>
      </c>
      <c r="D194" s="3" t="s">
        <v>62</v>
      </c>
      <c r="E194" s="3" t="s">
        <v>16</v>
      </c>
      <c r="F194" s="3" t="s">
        <v>39</v>
      </c>
      <c r="G194" s="3" t="s">
        <v>26</v>
      </c>
      <c r="H194" s="3">
        <v>7632</v>
      </c>
      <c r="I194" s="3"/>
      <c r="J194" s="3"/>
      <c r="K194" s="3">
        <v>9000</v>
      </c>
      <c r="L194" s="27">
        <v>45333</v>
      </c>
      <c r="M194" t="str">
        <f t="shared" si="2"/>
        <v>Below Target</v>
      </c>
    </row>
    <row r="195" spans="1:13" x14ac:dyDescent="0.35">
      <c r="A195" s="33" t="s">
        <v>314</v>
      </c>
      <c r="B195" s="3" t="s">
        <v>159</v>
      </c>
      <c r="C195" s="3" t="s">
        <v>61</v>
      </c>
      <c r="D195" s="3" t="s">
        <v>62</v>
      </c>
      <c r="E195" s="3" t="s">
        <v>16</v>
      </c>
      <c r="F195" s="3" t="s">
        <v>17</v>
      </c>
      <c r="G195" s="3" t="s">
        <v>36</v>
      </c>
      <c r="H195" s="3">
        <v>7134</v>
      </c>
      <c r="I195" s="3" t="s">
        <v>33</v>
      </c>
      <c r="J195" s="3">
        <v>0.3</v>
      </c>
      <c r="K195" s="3">
        <v>9000</v>
      </c>
      <c r="L195" s="27">
        <v>45305</v>
      </c>
      <c r="M195" t="str">
        <f t="shared" si="2"/>
        <v>Below Target</v>
      </c>
    </row>
    <row r="196" spans="1:13" x14ac:dyDescent="0.35">
      <c r="A196" s="33" t="s">
        <v>315</v>
      </c>
      <c r="B196" s="3" t="s">
        <v>231</v>
      </c>
      <c r="C196" s="3" t="s">
        <v>44</v>
      </c>
      <c r="D196" s="3" t="s">
        <v>45</v>
      </c>
      <c r="E196" s="3" t="s">
        <v>46</v>
      </c>
      <c r="F196" s="3" t="s">
        <v>25</v>
      </c>
      <c r="G196" s="3" t="s">
        <v>26</v>
      </c>
      <c r="H196" s="3">
        <v>12504</v>
      </c>
      <c r="I196" s="3" t="s">
        <v>27</v>
      </c>
      <c r="J196" s="3"/>
      <c r="K196" s="3">
        <v>13000</v>
      </c>
      <c r="L196" s="27">
        <v>45349</v>
      </c>
      <c r="M196" t="str">
        <f t="shared" si="2"/>
        <v>Below Target</v>
      </c>
    </row>
    <row r="197" spans="1:13" x14ac:dyDescent="0.35">
      <c r="A197" s="33" t="s">
        <v>316</v>
      </c>
      <c r="B197" s="3" t="s">
        <v>317</v>
      </c>
      <c r="C197" s="3" t="s">
        <v>14</v>
      </c>
      <c r="D197" s="3" t="s">
        <v>15</v>
      </c>
      <c r="E197" s="3" t="s">
        <v>46</v>
      </c>
      <c r="F197" s="3" t="s">
        <v>17</v>
      </c>
      <c r="G197" s="3" t="s">
        <v>18</v>
      </c>
      <c r="H197" s="3">
        <v>15965</v>
      </c>
      <c r="I197" s="3" t="s">
        <v>22</v>
      </c>
      <c r="J197" s="3">
        <v>0.1</v>
      </c>
      <c r="K197" s="3">
        <v>14000</v>
      </c>
      <c r="L197" s="27">
        <v>45352</v>
      </c>
      <c r="M197" t="str">
        <f t="shared" si="2"/>
        <v>Target Achieved</v>
      </c>
    </row>
    <row r="198" spans="1:13" x14ac:dyDescent="0.35">
      <c r="A198" s="33" t="s">
        <v>318</v>
      </c>
      <c r="B198" s="3" t="s">
        <v>319</v>
      </c>
      <c r="C198" s="3" t="s">
        <v>61</v>
      </c>
      <c r="D198" s="3" t="s">
        <v>62</v>
      </c>
      <c r="E198" s="3" t="s">
        <v>32</v>
      </c>
      <c r="F198" s="3" t="s">
        <v>39</v>
      </c>
      <c r="G198" s="3" t="s">
        <v>18</v>
      </c>
      <c r="H198" s="3">
        <v>9628</v>
      </c>
      <c r="I198" s="3" t="s">
        <v>27</v>
      </c>
      <c r="J198" s="3"/>
      <c r="K198" s="3">
        <v>9000</v>
      </c>
      <c r="L198" s="27">
        <v>45293</v>
      </c>
      <c r="M198" t="str">
        <f t="shared" si="2"/>
        <v>Target Achieved</v>
      </c>
    </row>
    <row r="199" spans="1:13" x14ac:dyDescent="0.35">
      <c r="A199" s="33" t="s">
        <v>320</v>
      </c>
      <c r="B199" s="3" t="s">
        <v>321</v>
      </c>
      <c r="C199" s="3" t="s">
        <v>30</v>
      </c>
      <c r="D199" s="3" t="s">
        <v>31</v>
      </c>
      <c r="E199" s="3" t="s">
        <v>32</v>
      </c>
      <c r="F199" s="3" t="s">
        <v>25</v>
      </c>
      <c r="G199" s="3" t="s">
        <v>26</v>
      </c>
      <c r="H199" s="3">
        <v>15840</v>
      </c>
      <c r="I199" s="3" t="s">
        <v>22</v>
      </c>
      <c r="J199" s="3">
        <v>0.1</v>
      </c>
      <c r="K199" s="3">
        <v>17000</v>
      </c>
      <c r="L199" s="27">
        <v>45345</v>
      </c>
      <c r="M199" t="str">
        <f t="shared" si="2"/>
        <v>Below Target</v>
      </c>
    </row>
    <row r="200" spans="1:13" x14ac:dyDescent="0.35">
      <c r="A200" s="33" t="s">
        <v>322</v>
      </c>
      <c r="B200" s="3" t="s">
        <v>133</v>
      </c>
      <c r="C200" s="3" t="s">
        <v>44</v>
      </c>
      <c r="D200" s="3" t="s">
        <v>45</v>
      </c>
      <c r="E200" s="3" t="s">
        <v>16</v>
      </c>
      <c r="F200" s="3" t="s">
        <v>25</v>
      </c>
      <c r="G200" s="3" t="s">
        <v>18</v>
      </c>
      <c r="H200" s="3">
        <v>12345</v>
      </c>
      <c r="I200" s="3" t="s">
        <v>19</v>
      </c>
      <c r="J200" s="3">
        <v>0.2</v>
      </c>
      <c r="K200" s="3">
        <v>13000</v>
      </c>
      <c r="L200" s="27">
        <v>45342</v>
      </c>
      <c r="M200" t="str">
        <f t="shared" si="2"/>
        <v>Below Target</v>
      </c>
    </row>
    <row r="201" spans="1:13" x14ac:dyDescent="0.35">
      <c r="A201" s="33" t="s">
        <v>323</v>
      </c>
      <c r="B201" s="3" t="s">
        <v>60</v>
      </c>
      <c r="C201" s="3" t="s">
        <v>14</v>
      </c>
      <c r="D201" s="3" t="s">
        <v>15</v>
      </c>
      <c r="E201" s="3" t="s">
        <v>46</v>
      </c>
      <c r="F201" s="3" t="s">
        <v>25</v>
      </c>
      <c r="G201" s="3" t="s">
        <v>18</v>
      </c>
      <c r="H201" s="3">
        <v>14212</v>
      </c>
      <c r="I201" s="3" t="s">
        <v>33</v>
      </c>
      <c r="J201" s="3">
        <v>0.3</v>
      </c>
      <c r="K201" s="3">
        <v>14000</v>
      </c>
      <c r="L201" s="27">
        <v>45343</v>
      </c>
      <c r="M201" t="str">
        <f t="shared" si="2"/>
        <v>Target Achieved</v>
      </c>
    </row>
    <row r="202" spans="1:13" x14ac:dyDescent="0.35">
      <c r="A202" s="33" t="s">
        <v>324</v>
      </c>
      <c r="B202" s="3" t="s">
        <v>325</v>
      </c>
      <c r="C202" s="3" t="s">
        <v>14</v>
      </c>
      <c r="D202" s="3" t="s">
        <v>15</v>
      </c>
      <c r="E202" s="3" t="s">
        <v>32</v>
      </c>
      <c r="F202" s="3" t="s">
        <v>25</v>
      </c>
      <c r="G202" s="3" t="s">
        <v>36</v>
      </c>
      <c r="H202" s="3">
        <v>15235</v>
      </c>
      <c r="I202" s="3" t="s">
        <v>19</v>
      </c>
      <c r="J202" s="3">
        <v>0.2</v>
      </c>
      <c r="K202" s="3">
        <v>14000</v>
      </c>
      <c r="L202" s="27">
        <v>45329</v>
      </c>
      <c r="M202" t="str">
        <f t="shared" si="2"/>
        <v>Target Achieved</v>
      </c>
    </row>
    <row r="203" spans="1:13" x14ac:dyDescent="0.35">
      <c r="A203" s="33" t="s">
        <v>326</v>
      </c>
      <c r="B203" s="3" t="s">
        <v>327</v>
      </c>
      <c r="C203" s="3" t="s">
        <v>44</v>
      </c>
      <c r="D203" s="3" t="s">
        <v>45</v>
      </c>
      <c r="E203" s="3" t="s">
        <v>46</v>
      </c>
      <c r="F203" s="3" t="s">
        <v>25</v>
      </c>
      <c r="G203" s="3" t="s">
        <v>18</v>
      </c>
      <c r="H203" s="3">
        <v>14038</v>
      </c>
      <c r="I203" s="3"/>
      <c r="J203" s="3"/>
      <c r="K203" s="3">
        <v>13000</v>
      </c>
      <c r="L203" s="27">
        <v>45325</v>
      </c>
      <c r="M203" t="str">
        <f t="shared" si="2"/>
        <v>Target Achieved</v>
      </c>
    </row>
    <row r="204" spans="1:13" x14ac:dyDescent="0.35">
      <c r="A204" s="33" t="s">
        <v>328</v>
      </c>
      <c r="B204" s="3" t="s">
        <v>173</v>
      </c>
      <c r="C204" s="3" t="s">
        <v>14</v>
      </c>
      <c r="D204" s="3" t="s">
        <v>15</v>
      </c>
      <c r="E204" s="3" t="s">
        <v>46</v>
      </c>
      <c r="F204" s="3" t="s">
        <v>17</v>
      </c>
      <c r="G204" s="3" t="s">
        <v>36</v>
      </c>
      <c r="H204" s="3">
        <v>14102</v>
      </c>
      <c r="I204" s="3" t="s">
        <v>27</v>
      </c>
      <c r="J204" s="3"/>
      <c r="K204" s="3">
        <v>14000</v>
      </c>
      <c r="L204" s="27">
        <v>45298</v>
      </c>
      <c r="M204" t="str">
        <f t="shared" si="2"/>
        <v>Target Achieved</v>
      </c>
    </row>
    <row r="205" spans="1:13" x14ac:dyDescent="0.35">
      <c r="A205" s="33" t="s">
        <v>329</v>
      </c>
      <c r="B205" s="3" t="s">
        <v>330</v>
      </c>
      <c r="C205" s="3" t="s">
        <v>44</v>
      </c>
      <c r="D205" s="3" t="s">
        <v>45</v>
      </c>
      <c r="E205" s="3" t="s">
        <v>16</v>
      </c>
      <c r="F205" s="3" t="s">
        <v>25</v>
      </c>
      <c r="G205" s="3" t="s">
        <v>26</v>
      </c>
      <c r="H205" s="3">
        <v>14208</v>
      </c>
      <c r="I205" s="3" t="s">
        <v>27</v>
      </c>
      <c r="J205" s="3"/>
      <c r="K205" s="3">
        <v>13000</v>
      </c>
      <c r="L205" s="27">
        <v>45311</v>
      </c>
      <c r="M205" t="str">
        <f t="shared" si="2"/>
        <v>Target Achieved</v>
      </c>
    </row>
    <row r="206" spans="1:13" x14ac:dyDescent="0.35">
      <c r="A206" s="33" t="s">
        <v>331</v>
      </c>
      <c r="B206" s="3" t="s">
        <v>332</v>
      </c>
      <c r="C206" s="3" t="s">
        <v>14</v>
      </c>
      <c r="D206" s="3" t="s">
        <v>15</v>
      </c>
      <c r="E206" s="3" t="s">
        <v>32</v>
      </c>
      <c r="F206" s="3" t="s">
        <v>17</v>
      </c>
      <c r="G206" s="3" t="s">
        <v>36</v>
      </c>
      <c r="H206" s="3">
        <v>13746</v>
      </c>
      <c r="I206" s="3" t="s">
        <v>22</v>
      </c>
      <c r="J206" s="3">
        <v>0.1</v>
      </c>
      <c r="K206" s="3">
        <v>14000</v>
      </c>
      <c r="L206" s="27">
        <v>45323</v>
      </c>
      <c r="M206" t="str">
        <f t="shared" si="2"/>
        <v>Below Target</v>
      </c>
    </row>
    <row r="207" spans="1:13" x14ac:dyDescent="0.35">
      <c r="A207" s="33" t="s">
        <v>333</v>
      </c>
      <c r="B207" s="3" t="s">
        <v>334</v>
      </c>
      <c r="C207" s="3" t="s">
        <v>14</v>
      </c>
      <c r="D207" s="3" t="s">
        <v>15</v>
      </c>
      <c r="E207" s="3" t="s">
        <v>32</v>
      </c>
      <c r="F207" s="3" t="s">
        <v>17</v>
      </c>
      <c r="G207" s="3" t="s">
        <v>26</v>
      </c>
      <c r="H207" s="3">
        <v>12607</v>
      </c>
      <c r="I207" s="3" t="s">
        <v>22</v>
      </c>
      <c r="J207" s="3">
        <v>0.1</v>
      </c>
      <c r="K207" s="3">
        <v>14000</v>
      </c>
      <c r="L207" s="27">
        <v>45300</v>
      </c>
      <c r="M207" t="str">
        <f t="shared" si="2"/>
        <v>Below Target</v>
      </c>
    </row>
    <row r="208" spans="1:13" x14ac:dyDescent="0.35">
      <c r="A208" s="33" t="s">
        <v>335</v>
      </c>
      <c r="B208" s="3" t="s">
        <v>118</v>
      </c>
      <c r="C208" s="3" t="s">
        <v>30</v>
      </c>
      <c r="D208" s="3" t="s">
        <v>31</v>
      </c>
      <c r="E208" s="3" t="s">
        <v>46</v>
      </c>
      <c r="F208" s="3" t="s">
        <v>39</v>
      </c>
      <c r="G208" s="3" t="s">
        <v>26</v>
      </c>
      <c r="H208" s="3">
        <v>16207</v>
      </c>
      <c r="I208" s="3"/>
      <c r="J208" s="3"/>
      <c r="K208" s="3">
        <v>17000</v>
      </c>
      <c r="L208" s="27">
        <v>45324</v>
      </c>
      <c r="M208" t="str">
        <f t="shared" si="2"/>
        <v>Below Target</v>
      </c>
    </row>
    <row r="209" spans="1:13" x14ac:dyDescent="0.35">
      <c r="A209" s="33" t="s">
        <v>336</v>
      </c>
      <c r="B209" s="3" t="s">
        <v>337</v>
      </c>
      <c r="C209" s="3" t="s">
        <v>14</v>
      </c>
      <c r="D209" s="3" t="s">
        <v>15</v>
      </c>
      <c r="E209" s="3" t="s">
        <v>16</v>
      </c>
      <c r="F209" s="3" t="s">
        <v>25</v>
      </c>
      <c r="G209" s="3" t="s">
        <v>26</v>
      </c>
      <c r="H209" s="3">
        <v>14666</v>
      </c>
      <c r="I209" s="3" t="s">
        <v>27</v>
      </c>
      <c r="J209" s="3"/>
      <c r="K209" s="3">
        <v>14000</v>
      </c>
      <c r="L209" s="27">
        <v>45338</v>
      </c>
      <c r="M209" t="str">
        <f t="shared" si="2"/>
        <v>Target Achieved</v>
      </c>
    </row>
    <row r="210" spans="1:13" x14ac:dyDescent="0.35">
      <c r="A210" s="33" t="s">
        <v>338</v>
      </c>
      <c r="B210" s="3" t="s">
        <v>207</v>
      </c>
      <c r="C210" s="3" t="s">
        <v>61</v>
      </c>
      <c r="D210" s="3" t="s">
        <v>62</v>
      </c>
      <c r="E210" s="3" t="s">
        <v>46</v>
      </c>
      <c r="F210" s="3" t="s">
        <v>25</v>
      </c>
      <c r="G210" s="3" t="s">
        <v>36</v>
      </c>
      <c r="H210" s="3">
        <v>8388</v>
      </c>
      <c r="I210" s="3"/>
      <c r="J210" s="3"/>
      <c r="K210" s="3">
        <v>9000</v>
      </c>
      <c r="L210" s="27">
        <v>45317</v>
      </c>
      <c r="M210" t="str">
        <f t="shared" si="2"/>
        <v>Below Target</v>
      </c>
    </row>
    <row r="211" spans="1:13" x14ac:dyDescent="0.35">
      <c r="A211" s="33" t="s">
        <v>339</v>
      </c>
      <c r="B211" s="3" t="s">
        <v>101</v>
      </c>
      <c r="C211" s="3" t="s">
        <v>14</v>
      </c>
      <c r="D211" s="3" t="s">
        <v>15</v>
      </c>
      <c r="E211" s="3" t="s">
        <v>46</v>
      </c>
      <c r="F211" s="3" t="s">
        <v>17</v>
      </c>
      <c r="G211" s="3" t="s">
        <v>36</v>
      </c>
      <c r="H211" s="3">
        <v>14724</v>
      </c>
      <c r="I211" s="3" t="s">
        <v>33</v>
      </c>
      <c r="J211" s="3">
        <v>0.3</v>
      </c>
      <c r="K211" s="3">
        <v>14000</v>
      </c>
      <c r="L211" s="27">
        <v>45315</v>
      </c>
      <c r="M211" t="str">
        <f t="shared" si="2"/>
        <v>Target Achieved</v>
      </c>
    </row>
    <row r="212" spans="1:13" x14ac:dyDescent="0.35">
      <c r="A212" s="33" t="s">
        <v>340</v>
      </c>
      <c r="B212" s="3" t="s">
        <v>113</v>
      </c>
      <c r="C212" s="3" t="s">
        <v>61</v>
      </c>
      <c r="D212" s="3" t="s">
        <v>62</v>
      </c>
      <c r="E212" s="3" t="s">
        <v>32</v>
      </c>
      <c r="F212" s="3" t="s">
        <v>25</v>
      </c>
      <c r="G212" s="3" t="s">
        <v>18</v>
      </c>
      <c r="H212" s="3">
        <v>7381</v>
      </c>
      <c r="I212" s="3"/>
      <c r="J212" s="3"/>
      <c r="K212" s="3">
        <v>9000</v>
      </c>
      <c r="L212" s="27">
        <v>45298</v>
      </c>
      <c r="M212" t="str">
        <f t="shared" si="2"/>
        <v>Below Target</v>
      </c>
    </row>
    <row r="213" spans="1:13" x14ac:dyDescent="0.35">
      <c r="A213" s="33" t="s">
        <v>341</v>
      </c>
      <c r="B213" s="3" t="s">
        <v>342</v>
      </c>
      <c r="C213" s="3" t="s">
        <v>30</v>
      </c>
      <c r="D213" s="3" t="s">
        <v>31</v>
      </c>
      <c r="E213" s="3" t="s">
        <v>32</v>
      </c>
      <c r="F213" s="3" t="s">
        <v>39</v>
      </c>
      <c r="G213" s="3" t="s">
        <v>18</v>
      </c>
      <c r="H213" s="3">
        <v>17402</v>
      </c>
      <c r="I213" s="3" t="s">
        <v>27</v>
      </c>
      <c r="J213" s="3"/>
      <c r="K213" s="3">
        <v>17000</v>
      </c>
      <c r="L213" s="27">
        <v>45327</v>
      </c>
      <c r="M213" t="str">
        <f t="shared" si="2"/>
        <v>Target Achieved</v>
      </c>
    </row>
    <row r="214" spans="1:13" x14ac:dyDescent="0.35">
      <c r="A214" s="33" t="s">
        <v>343</v>
      </c>
      <c r="B214" s="3" t="s">
        <v>150</v>
      </c>
      <c r="C214" s="3" t="s">
        <v>14</v>
      </c>
      <c r="D214" s="3" t="s">
        <v>15</v>
      </c>
      <c r="E214" s="3" t="s">
        <v>46</v>
      </c>
      <c r="F214" s="3" t="s">
        <v>17</v>
      </c>
      <c r="G214" s="3" t="s">
        <v>26</v>
      </c>
      <c r="H214" s="3">
        <v>15854</v>
      </c>
      <c r="I214" s="3"/>
      <c r="J214" s="3"/>
      <c r="K214" s="3">
        <v>14000</v>
      </c>
      <c r="L214" s="27">
        <v>45347</v>
      </c>
      <c r="M214" t="str">
        <f t="shared" si="2"/>
        <v>Target Achieved</v>
      </c>
    </row>
    <row r="215" spans="1:13" x14ac:dyDescent="0.35">
      <c r="A215" s="33" t="s">
        <v>344</v>
      </c>
      <c r="B215" s="3" t="s">
        <v>260</v>
      </c>
      <c r="C215" s="3" t="s">
        <v>14</v>
      </c>
      <c r="D215" s="3" t="s">
        <v>15</v>
      </c>
      <c r="E215" s="3" t="s">
        <v>46</v>
      </c>
      <c r="F215" s="3" t="s">
        <v>39</v>
      </c>
      <c r="G215" s="3" t="s">
        <v>36</v>
      </c>
      <c r="H215" s="3">
        <v>13440</v>
      </c>
      <c r="I215" s="3" t="s">
        <v>22</v>
      </c>
      <c r="J215" s="3">
        <v>0.1</v>
      </c>
      <c r="K215" s="3">
        <v>14000</v>
      </c>
      <c r="L215" s="27">
        <v>45328</v>
      </c>
      <c r="M215" t="str">
        <f t="shared" si="2"/>
        <v>Below Target</v>
      </c>
    </row>
    <row r="216" spans="1:13" x14ac:dyDescent="0.35">
      <c r="A216" s="33" t="s">
        <v>345</v>
      </c>
      <c r="B216" s="3" t="s">
        <v>346</v>
      </c>
      <c r="C216" s="3" t="s">
        <v>44</v>
      </c>
      <c r="D216" s="3" t="s">
        <v>45</v>
      </c>
      <c r="E216" s="3" t="s">
        <v>16</v>
      </c>
      <c r="F216" s="3" t="s">
        <v>17</v>
      </c>
      <c r="G216" s="3" t="s">
        <v>18</v>
      </c>
      <c r="H216" s="3">
        <v>14470</v>
      </c>
      <c r="I216" s="3" t="s">
        <v>22</v>
      </c>
      <c r="J216" s="3">
        <v>0.1</v>
      </c>
      <c r="K216" s="3">
        <v>13000</v>
      </c>
      <c r="L216" s="27">
        <v>45314</v>
      </c>
      <c r="M216" t="str">
        <f t="shared" si="2"/>
        <v>Target Achieved</v>
      </c>
    </row>
    <row r="217" spans="1:13" x14ac:dyDescent="0.35">
      <c r="A217" s="33" t="s">
        <v>347</v>
      </c>
      <c r="B217" s="3" t="s">
        <v>144</v>
      </c>
      <c r="C217" s="3" t="s">
        <v>30</v>
      </c>
      <c r="D217" s="3" t="s">
        <v>31</v>
      </c>
      <c r="E217" s="3" t="s">
        <v>32</v>
      </c>
      <c r="F217" s="3" t="s">
        <v>17</v>
      </c>
      <c r="G217" s="3" t="s">
        <v>26</v>
      </c>
      <c r="H217" s="3">
        <v>15926</v>
      </c>
      <c r="I217" s="3"/>
      <c r="J217" s="3"/>
      <c r="K217" s="3">
        <v>17000</v>
      </c>
      <c r="L217" s="27">
        <v>45346</v>
      </c>
      <c r="M217" t="str">
        <f t="shared" si="2"/>
        <v>Below Target</v>
      </c>
    </row>
    <row r="218" spans="1:13" x14ac:dyDescent="0.35">
      <c r="A218" s="33" t="s">
        <v>348</v>
      </c>
      <c r="B218" s="3" t="s">
        <v>82</v>
      </c>
      <c r="C218" s="3" t="s">
        <v>14</v>
      </c>
      <c r="D218" s="3" t="s">
        <v>15</v>
      </c>
      <c r="E218" s="3" t="s">
        <v>16</v>
      </c>
      <c r="F218" s="3" t="s">
        <v>39</v>
      </c>
      <c r="G218" s="3" t="s">
        <v>26</v>
      </c>
      <c r="H218" s="3">
        <v>13095</v>
      </c>
      <c r="I218" s="3" t="s">
        <v>22</v>
      </c>
      <c r="J218" s="3">
        <v>0.1</v>
      </c>
      <c r="K218" s="3">
        <v>14000</v>
      </c>
      <c r="L218" s="27">
        <v>45303</v>
      </c>
      <c r="M218" t="str">
        <f t="shared" si="2"/>
        <v>Below Target</v>
      </c>
    </row>
    <row r="219" spans="1:13" x14ac:dyDescent="0.35">
      <c r="A219" s="33" t="s">
        <v>349</v>
      </c>
      <c r="B219" s="3" t="s">
        <v>350</v>
      </c>
      <c r="C219" s="3" t="s">
        <v>30</v>
      </c>
      <c r="D219" s="3" t="s">
        <v>31</v>
      </c>
      <c r="E219" s="3" t="s">
        <v>46</v>
      </c>
      <c r="F219" s="3" t="s">
        <v>17</v>
      </c>
      <c r="G219" s="3" t="s">
        <v>18</v>
      </c>
      <c r="H219" s="3">
        <v>15743</v>
      </c>
      <c r="I219" s="3" t="s">
        <v>19</v>
      </c>
      <c r="J219" s="3">
        <v>0.2</v>
      </c>
      <c r="K219" s="3">
        <v>17000</v>
      </c>
      <c r="L219" s="27">
        <v>45328</v>
      </c>
      <c r="M219" t="str">
        <f t="shared" si="2"/>
        <v>Below Target</v>
      </c>
    </row>
    <row r="220" spans="1:13" x14ac:dyDescent="0.35">
      <c r="A220" s="33" t="s">
        <v>351</v>
      </c>
      <c r="B220" s="3" t="s">
        <v>90</v>
      </c>
      <c r="C220" s="3" t="s">
        <v>14</v>
      </c>
      <c r="D220" s="3" t="s">
        <v>15</v>
      </c>
      <c r="E220" s="3" t="s">
        <v>32</v>
      </c>
      <c r="F220" s="3" t="s">
        <v>39</v>
      </c>
      <c r="G220" s="3" t="s">
        <v>26</v>
      </c>
      <c r="H220" s="3">
        <v>15980</v>
      </c>
      <c r="I220" s="3" t="s">
        <v>22</v>
      </c>
      <c r="J220" s="3">
        <v>0.1</v>
      </c>
      <c r="K220" s="3">
        <v>14000</v>
      </c>
      <c r="L220" s="27">
        <v>45297</v>
      </c>
      <c r="M220" t="str">
        <f t="shared" si="2"/>
        <v>Target Achieved</v>
      </c>
    </row>
    <row r="221" spans="1:13" x14ac:dyDescent="0.35">
      <c r="A221" s="33" t="s">
        <v>352</v>
      </c>
      <c r="B221" s="3" t="s">
        <v>103</v>
      </c>
      <c r="C221" s="3" t="s">
        <v>44</v>
      </c>
      <c r="D221" s="3" t="s">
        <v>45</v>
      </c>
      <c r="E221" s="3" t="s">
        <v>46</v>
      </c>
      <c r="F221" s="3" t="s">
        <v>17</v>
      </c>
      <c r="G221" s="3" t="s">
        <v>36</v>
      </c>
      <c r="H221" s="3">
        <v>12396</v>
      </c>
      <c r="I221" s="3" t="s">
        <v>19</v>
      </c>
      <c r="J221" s="3">
        <v>0.2</v>
      </c>
      <c r="K221" s="3">
        <v>13000</v>
      </c>
      <c r="L221" s="27">
        <v>45315</v>
      </c>
      <c r="M221" t="str">
        <f t="shared" si="2"/>
        <v>Below Target</v>
      </c>
    </row>
    <row r="222" spans="1:13" x14ac:dyDescent="0.35">
      <c r="A222" s="33" t="s">
        <v>353</v>
      </c>
      <c r="B222" s="3" t="s">
        <v>350</v>
      </c>
      <c r="C222" s="3" t="s">
        <v>30</v>
      </c>
      <c r="D222" s="3" t="s">
        <v>31</v>
      </c>
      <c r="E222" s="3" t="s">
        <v>16</v>
      </c>
      <c r="F222" s="3" t="s">
        <v>39</v>
      </c>
      <c r="G222" s="3" t="s">
        <v>18</v>
      </c>
      <c r="H222" s="3">
        <v>18618</v>
      </c>
      <c r="I222" s="3" t="s">
        <v>22</v>
      </c>
      <c r="J222" s="3">
        <v>0.1</v>
      </c>
      <c r="K222" s="3">
        <v>17000</v>
      </c>
      <c r="L222" s="27">
        <v>45301</v>
      </c>
      <c r="M222" t="str">
        <f t="shared" si="2"/>
        <v>Target Achieved</v>
      </c>
    </row>
    <row r="223" spans="1:13" x14ac:dyDescent="0.35">
      <c r="A223" s="33" t="s">
        <v>354</v>
      </c>
      <c r="B223" s="3" t="s">
        <v>135</v>
      </c>
      <c r="C223" s="3" t="s">
        <v>14</v>
      </c>
      <c r="D223" s="3" t="s">
        <v>15</v>
      </c>
      <c r="E223" s="3" t="s">
        <v>16</v>
      </c>
      <c r="F223" s="3" t="s">
        <v>25</v>
      </c>
      <c r="G223" s="3" t="s">
        <v>36</v>
      </c>
      <c r="H223" s="3">
        <v>13814</v>
      </c>
      <c r="I223" s="3"/>
      <c r="J223" s="3"/>
      <c r="K223" s="3">
        <v>14000</v>
      </c>
      <c r="L223" s="27">
        <v>45323</v>
      </c>
      <c r="M223" t="str">
        <f t="shared" si="2"/>
        <v>Below Target</v>
      </c>
    </row>
    <row r="224" spans="1:13" x14ac:dyDescent="0.35">
      <c r="A224" s="33" t="s">
        <v>355</v>
      </c>
      <c r="B224" s="3" t="s">
        <v>356</v>
      </c>
      <c r="C224" s="3" t="s">
        <v>61</v>
      </c>
      <c r="D224" s="3" t="s">
        <v>62</v>
      </c>
      <c r="E224" s="3" t="s">
        <v>46</v>
      </c>
      <c r="F224" s="3" t="s">
        <v>25</v>
      </c>
      <c r="G224" s="3" t="s">
        <v>26</v>
      </c>
      <c r="H224" s="3">
        <v>7466</v>
      </c>
      <c r="I224" s="3" t="s">
        <v>33</v>
      </c>
      <c r="J224" s="3">
        <v>0.3</v>
      </c>
      <c r="K224" s="3">
        <v>9000</v>
      </c>
      <c r="L224" s="27">
        <v>45319</v>
      </c>
      <c r="M224" t="str">
        <f t="shared" ref="M224:M287" si="3">IF(H224&gt;=K224,"Target Achieved","Below Target")</f>
        <v>Below Target</v>
      </c>
    </row>
    <row r="225" spans="1:13" x14ac:dyDescent="0.35">
      <c r="A225" s="33" t="s">
        <v>357</v>
      </c>
      <c r="B225" s="3" t="s">
        <v>263</v>
      </c>
      <c r="C225" s="3" t="s">
        <v>61</v>
      </c>
      <c r="D225" s="3" t="s">
        <v>62</v>
      </c>
      <c r="E225" s="3" t="s">
        <v>16</v>
      </c>
      <c r="F225" s="3" t="s">
        <v>39</v>
      </c>
      <c r="G225" s="3" t="s">
        <v>36</v>
      </c>
      <c r="H225" s="3">
        <v>7186</v>
      </c>
      <c r="I225" s="3" t="s">
        <v>19</v>
      </c>
      <c r="J225" s="3">
        <v>0.2</v>
      </c>
      <c r="K225" s="3">
        <v>9000</v>
      </c>
      <c r="L225" s="27">
        <v>45317</v>
      </c>
      <c r="M225" t="str">
        <f t="shared" si="3"/>
        <v>Below Target</v>
      </c>
    </row>
    <row r="226" spans="1:13" x14ac:dyDescent="0.35">
      <c r="A226" s="33" t="s">
        <v>358</v>
      </c>
      <c r="B226" s="3" t="s">
        <v>359</v>
      </c>
      <c r="C226" s="3" t="s">
        <v>14</v>
      </c>
      <c r="D226" s="3" t="s">
        <v>15</v>
      </c>
      <c r="E226" s="3" t="s">
        <v>32</v>
      </c>
      <c r="F226" s="3" t="s">
        <v>17</v>
      </c>
      <c r="G226" s="3" t="s">
        <v>18</v>
      </c>
      <c r="H226" s="3">
        <v>15143</v>
      </c>
      <c r="I226" s="3" t="s">
        <v>19</v>
      </c>
      <c r="J226" s="3">
        <v>0.2</v>
      </c>
      <c r="K226" s="3">
        <v>14000</v>
      </c>
      <c r="L226" s="27">
        <v>45340</v>
      </c>
      <c r="M226" t="str">
        <f t="shared" si="3"/>
        <v>Target Achieved</v>
      </c>
    </row>
    <row r="227" spans="1:13" x14ac:dyDescent="0.35">
      <c r="A227" s="33" t="s">
        <v>360</v>
      </c>
      <c r="B227" s="3" t="s">
        <v>361</v>
      </c>
      <c r="C227" s="3" t="s">
        <v>30</v>
      </c>
      <c r="D227" s="3" t="s">
        <v>31</v>
      </c>
      <c r="E227" s="3" t="s">
        <v>32</v>
      </c>
      <c r="F227" s="3" t="s">
        <v>25</v>
      </c>
      <c r="G227" s="3" t="s">
        <v>36</v>
      </c>
      <c r="H227" s="3">
        <v>18059</v>
      </c>
      <c r="I227" s="3"/>
      <c r="J227" s="3"/>
      <c r="K227" s="3">
        <v>17000</v>
      </c>
      <c r="L227" s="27">
        <v>45303</v>
      </c>
      <c r="M227" t="str">
        <f t="shared" si="3"/>
        <v>Target Achieved</v>
      </c>
    </row>
    <row r="228" spans="1:13" x14ac:dyDescent="0.35">
      <c r="A228" s="33" t="s">
        <v>362</v>
      </c>
      <c r="B228" s="3" t="s">
        <v>363</v>
      </c>
      <c r="C228" s="3" t="s">
        <v>44</v>
      </c>
      <c r="D228" s="3" t="s">
        <v>45</v>
      </c>
      <c r="E228" s="3" t="s">
        <v>16</v>
      </c>
      <c r="F228" s="3" t="s">
        <v>39</v>
      </c>
      <c r="G228" s="3" t="s">
        <v>26</v>
      </c>
      <c r="H228" s="3">
        <v>14302</v>
      </c>
      <c r="I228" s="3" t="s">
        <v>33</v>
      </c>
      <c r="J228" s="3">
        <v>0.3</v>
      </c>
      <c r="K228" s="3">
        <v>13000</v>
      </c>
      <c r="L228" s="27">
        <v>45296</v>
      </c>
      <c r="M228" t="str">
        <f t="shared" si="3"/>
        <v>Target Achieved</v>
      </c>
    </row>
    <row r="229" spans="1:13" x14ac:dyDescent="0.35">
      <c r="A229" s="33" t="s">
        <v>364</v>
      </c>
      <c r="B229" s="3" t="s">
        <v>309</v>
      </c>
      <c r="C229" s="3" t="s">
        <v>14</v>
      </c>
      <c r="D229" s="3" t="s">
        <v>15</v>
      </c>
      <c r="E229" s="3" t="s">
        <v>46</v>
      </c>
      <c r="F229" s="3" t="s">
        <v>25</v>
      </c>
      <c r="G229" s="3" t="s">
        <v>36</v>
      </c>
      <c r="H229" s="3">
        <v>15773</v>
      </c>
      <c r="I229" s="3" t="s">
        <v>22</v>
      </c>
      <c r="J229" s="3">
        <v>0.1</v>
      </c>
      <c r="K229" s="3">
        <v>14000</v>
      </c>
      <c r="L229" s="27">
        <v>45347</v>
      </c>
      <c r="M229" t="str">
        <f t="shared" si="3"/>
        <v>Target Achieved</v>
      </c>
    </row>
    <row r="230" spans="1:13" x14ac:dyDescent="0.35">
      <c r="A230" s="33" t="s">
        <v>365</v>
      </c>
      <c r="B230" s="3" t="s">
        <v>38</v>
      </c>
      <c r="C230" s="3" t="s">
        <v>61</v>
      </c>
      <c r="D230" s="3" t="s">
        <v>62</v>
      </c>
      <c r="E230" s="3" t="s">
        <v>16</v>
      </c>
      <c r="F230" s="3" t="s">
        <v>17</v>
      </c>
      <c r="G230" s="3" t="s">
        <v>26</v>
      </c>
      <c r="H230" s="3">
        <v>9622</v>
      </c>
      <c r="I230" s="3"/>
      <c r="J230" s="3"/>
      <c r="K230" s="3">
        <v>9000</v>
      </c>
      <c r="L230" s="27">
        <v>45310</v>
      </c>
      <c r="M230" t="str">
        <f t="shared" si="3"/>
        <v>Target Achieved</v>
      </c>
    </row>
    <row r="231" spans="1:13" x14ac:dyDescent="0.35">
      <c r="A231" s="33" t="s">
        <v>366</v>
      </c>
      <c r="B231" s="3" t="s">
        <v>66</v>
      </c>
      <c r="C231" s="3" t="s">
        <v>14</v>
      </c>
      <c r="D231" s="3" t="s">
        <v>15</v>
      </c>
      <c r="E231" s="3" t="s">
        <v>46</v>
      </c>
      <c r="F231" s="3" t="s">
        <v>25</v>
      </c>
      <c r="G231" s="3" t="s">
        <v>26</v>
      </c>
      <c r="H231" s="3">
        <v>13884</v>
      </c>
      <c r="I231" s="3" t="s">
        <v>33</v>
      </c>
      <c r="J231" s="3">
        <v>0.3</v>
      </c>
      <c r="K231" s="3">
        <v>14000</v>
      </c>
      <c r="L231" s="27">
        <v>45297</v>
      </c>
      <c r="M231" t="str">
        <f t="shared" si="3"/>
        <v>Below Target</v>
      </c>
    </row>
    <row r="232" spans="1:13" x14ac:dyDescent="0.35">
      <c r="A232" s="33" t="s">
        <v>367</v>
      </c>
      <c r="B232" s="3" t="s">
        <v>309</v>
      </c>
      <c r="C232" s="3" t="s">
        <v>14</v>
      </c>
      <c r="D232" s="3" t="s">
        <v>15</v>
      </c>
      <c r="E232" s="3" t="s">
        <v>32</v>
      </c>
      <c r="F232" s="3" t="s">
        <v>17</v>
      </c>
      <c r="G232" s="3" t="s">
        <v>26</v>
      </c>
      <c r="H232" s="3">
        <v>13640</v>
      </c>
      <c r="I232" s="3" t="s">
        <v>27</v>
      </c>
      <c r="J232" s="3"/>
      <c r="K232" s="3">
        <v>14000</v>
      </c>
      <c r="L232" s="27">
        <v>45297</v>
      </c>
      <c r="M232" t="str">
        <f t="shared" si="3"/>
        <v>Below Target</v>
      </c>
    </row>
    <row r="233" spans="1:13" x14ac:dyDescent="0.35">
      <c r="A233" s="33" t="s">
        <v>368</v>
      </c>
      <c r="B233" s="3" t="s">
        <v>309</v>
      </c>
      <c r="C233" s="3" t="s">
        <v>30</v>
      </c>
      <c r="D233" s="3" t="s">
        <v>31</v>
      </c>
      <c r="E233" s="3" t="s">
        <v>16</v>
      </c>
      <c r="F233" s="3" t="s">
        <v>17</v>
      </c>
      <c r="G233" s="3" t="s">
        <v>18</v>
      </c>
      <c r="H233" s="3">
        <v>16364</v>
      </c>
      <c r="I233" s="3" t="s">
        <v>19</v>
      </c>
      <c r="J233" s="3">
        <v>0.2</v>
      </c>
      <c r="K233" s="3">
        <v>17000</v>
      </c>
      <c r="L233" s="27">
        <v>45296</v>
      </c>
      <c r="M233" t="str">
        <f t="shared" si="3"/>
        <v>Below Target</v>
      </c>
    </row>
    <row r="234" spans="1:13" x14ac:dyDescent="0.35">
      <c r="A234" s="33" t="s">
        <v>369</v>
      </c>
      <c r="B234" s="3" t="s">
        <v>202</v>
      </c>
      <c r="C234" s="3" t="s">
        <v>14</v>
      </c>
      <c r="D234" s="3" t="s">
        <v>15</v>
      </c>
      <c r="E234" s="3" t="s">
        <v>16</v>
      </c>
      <c r="F234" s="3" t="s">
        <v>39</v>
      </c>
      <c r="G234" s="3" t="s">
        <v>18</v>
      </c>
      <c r="H234" s="3">
        <v>15710</v>
      </c>
      <c r="I234" s="3" t="s">
        <v>33</v>
      </c>
      <c r="J234" s="3">
        <v>0.3</v>
      </c>
      <c r="K234" s="3">
        <v>14000</v>
      </c>
      <c r="L234" s="27">
        <v>45314</v>
      </c>
      <c r="M234" t="str">
        <f t="shared" si="3"/>
        <v>Target Achieved</v>
      </c>
    </row>
    <row r="235" spans="1:13" x14ac:dyDescent="0.35">
      <c r="A235" s="33" t="s">
        <v>370</v>
      </c>
      <c r="B235" s="3" t="s">
        <v>371</v>
      </c>
      <c r="C235" s="3" t="s">
        <v>44</v>
      </c>
      <c r="D235" s="3" t="s">
        <v>45</v>
      </c>
      <c r="E235" s="3" t="s">
        <v>32</v>
      </c>
      <c r="F235" s="3" t="s">
        <v>25</v>
      </c>
      <c r="G235" s="3" t="s">
        <v>18</v>
      </c>
      <c r="H235" s="3">
        <v>12048</v>
      </c>
      <c r="I235" s="3" t="s">
        <v>19</v>
      </c>
      <c r="J235" s="3">
        <v>0.2</v>
      </c>
      <c r="K235" s="3">
        <v>13000</v>
      </c>
      <c r="L235" s="27">
        <v>45303</v>
      </c>
      <c r="M235" t="str">
        <f t="shared" si="3"/>
        <v>Below Target</v>
      </c>
    </row>
    <row r="236" spans="1:13" x14ac:dyDescent="0.35">
      <c r="A236" s="33" t="s">
        <v>372</v>
      </c>
      <c r="B236" s="3" t="s">
        <v>373</v>
      </c>
      <c r="C236" s="3" t="s">
        <v>14</v>
      </c>
      <c r="D236" s="3" t="s">
        <v>15</v>
      </c>
      <c r="E236" s="3" t="s">
        <v>32</v>
      </c>
      <c r="F236" s="3" t="s">
        <v>39</v>
      </c>
      <c r="G236" s="3" t="s">
        <v>36</v>
      </c>
      <c r="H236" s="3">
        <v>13900</v>
      </c>
      <c r="I236" s="3" t="s">
        <v>27</v>
      </c>
      <c r="J236" s="3"/>
      <c r="K236" s="3">
        <v>14000</v>
      </c>
      <c r="L236" s="27">
        <v>45340</v>
      </c>
      <c r="M236" t="str">
        <f t="shared" si="3"/>
        <v>Below Target</v>
      </c>
    </row>
    <row r="237" spans="1:13" x14ac:dyDescent="0.35">
      <c r="A237" s="33" t="s">
        <v>374</v>
      </c>
      <c r="B237" s="3" t="s">
        <v>356</v>
      </c>
      <c r="C237" s="3" t="s">
        <v>30</v>
      </c>
      <c r="D237" s="3" t="s">
        <v>31</v>
      </c>
      <c r="E237" s="3" t="s">
        <v>16</v>
      </c>
      <c r="F237" s="3" t="s">
        <v>17</v>
      </c>
      <c r="G237" s="3" t="s">
        <v>18</v>
      </c>
      <c r="H237" s="3">
        <v>16801</v>
      </c>
      <c r="I237" s="3" t="s">
        <v>22</v>
      </c>
      <c r="J237" s="3">
        <v>0.1</v>
      </c>
      <c r="K237" s="3">
        <v>17000</v>
      </c>
      <c r="L237" s="27">
        <v>45322</v>
      </c>
      <c r="M237" t="str">
        <f t="shared" si="3"/>
        <v>Below Target</v>
      </c>
    </row>
    <row r="238" spans="1:13" x14ac:dyDescent="0.35">
      <c r="A238" s="33" t="s">
        <v>375</v>
      </c>
      <c r="B238" s="3" t="s">
        <v>332</v>
      </c>
      <c r="C238" s="3" t="s">
        <v>30</v>
      </c>
      <c r="D238" s="3" t="s">
        <v>31</v>
      </c>
      <c r="E238" s="3" t="s">
        <v>46</v>
      </c>
      <c r="F238" s="3" t="s">
        <v>39</v>
      </c>
      <c r="G238" s="3" t="s">
        <v>18</v>
      </c>
      <c r="H238" s="3">
        <v>16441</v>
      </c>
      <c r="I238" s="3" t="s">
        <v>27</v>
      </c>
      <c r="J238" s="3"/>
      <c r="K238" s="3">
        <v>17000</v>
      </c>
      <c r="L238" s="27">
        <v>45296</v>
      </c>
      <c r="M238" t="str">
        <f t="shared" si="3"/>
        <v>Below Target</v>
      </c>
    </row>
    <row r="239" spans="1:13" x14ac:dyDescent="0.35">
      <c r="A239" s="33" t="s">
        <v>376</v>
      </c>
      <c r="B239" s="3" t="s">
        <v>48</v>
      </c>
      <c r="C239" s="3" t="s">
        <v>61</v>
      </c>
      <c r="D239" s="3" t="s">
        <v>62</v>
      </c>
      <c r="E239" s="3" t="s">
        <v>32</v>
      </c>
      <c r="F239" s="3" t="s">
        <v>25</v>
      </c>
      <c r="G239" s="3" t="s">
        <v>36</v>
      </c>
      <c r="H239" s="3">
        <v>10406</v>
      </c>
      <c r="I239" s="3" t="s">
        <v>33</v>
      </c>
      <c r="J239" s="3">
        <v>0.3</v>
      </c>
      <c r="K239" s="3">
        <v>9000</v>
      </c>
      <c r="L239" s="27">
        <v>45296</v>
      </c>
      <c r="M239" t="str">
        <f t="shared" si="3"/>
        <v>Target Achieved</v>
      </c>
    </row>
    <row r="240" spans="1:13" x14ac:dyDescent="0.35">
      <c r="A240" s="33" t="s">
        <v>377</v>
      </c>
      <c r="B240" s="3" t="s">
        <v>204</v>
      </c>
      <c r="C240" s="3" t="s">
        <v>14</v>
      </c>
      <c r="D240" s="3" t="s">
        <v>15</v>
      </c>
      <c r="E240" s="3" t="s">
        <v>16</v>
      </c>
      <c r="F240" s="3" t="s">
        <v>39</v>
      </c>
      <c r="G240" s="3" t="s">
        <v>26</v>
      </c>
      <c r="H240" s="3">
        <v>13574</v>
      </c>
      <c r="I240" s="3"/>
      <c r="J240" s="3"/>
      <c r="K240" s="3">
        <v>14000</v>
      </c>
      <c r="L240" s="27">
        <v>45329</v>
      </c>
      <c r="M240" t="str">
        <f t="shared" si="3"/>
        <v>Below Target</v>
      </c>
    </row>
    <row r="241" spans="1:13" x14ac:dyDescent="0.35">
      <c r="A241" s="33" t="s">
        <v>378</v>
      </c>
      <c r="B241" s="3" t="s">
        <v>82</v>
      </c>
      <c r="C241" s="3" t="s">
        <v>14</v>
      </c>
      <c r="D241" s="3" t="s">
        <v>15</v>
      </c>
      <c r="E241" s="3" t="s">
        <v>46</v>
      </c>
      <c r="F241" s="3" t="s">
        <v>39</v>
      </c>
      <c r="G241" s="3" t="s">
        <v>26</v>
      </c>
      <c r="H241" s="3">
        <v>12771</v>
      </c>
      <c r="I241" s="3" t="s">
        <v>33</v>
      </c>
      <c r="J241" s="3">
        <v>0.3</v>
      </c>
      <c r="K241" s="3">
        <v>14000</v>
      </c>
      <c r="L241" s="27">
        <v>45330</v>
      </c>
      <c r="M241" t="str">
        <f t="shared" si="3"/>
        <v>Below Target</v>
      </c>
    </row>
    <row r="242" spans="1:13" x14ac:dyDescent="0.35">
      <c r="A242" s="33" t="s">
        <v>379</v>
      </c>
      <c r="B242" s="3" t="s">
        <v>330</v>
      </c>
      <c r="C242" s="3" t="s">
        <v>44</v>
      </c>
      <c r="D242" s="3" t="s">
        <v>45</v>
      </c>
      <c r="E242" s="3" t="s">
        <v>32</v>
      </c>
      <c r="F242" s="3" t="s">
        <v>17</v>
      </c>
      <c r="G242" s="3" t="s">
        <v>18</v>
      </c>
      <c r="H242" s="3">
        <v>14321</v>
      </c>
      <c r="I242" s="3" t="s">
        <v>33</v>
      </c>
      <c r="J242" s="3">
        <v>0.3</v>
      </c>
      <c r="K242" s="3">
        <v>13000</v>
      </c>
      <c r="L242" s="27">
        <v>45337</v>
      </c>
      <c r="M242" t="str">
        <f t="shared" si="3"/>
        <v>Target Achieved</v>
      </c>
    </row>
    <row r="243" spans="1:13" x14ac:dyDescent="0.35">
      <c r="A243" s="33" t="s">
        <v>380</v>
      </c>
      <c r="B243" s="3" t="s">
        <v>241</v>
      </c>
      <c r="C243" s="3" t="s">
        <v>44</v>
      </c>
      <c r="D243" s="3" t="s">
        <v>45</v>
      </c>
      <c r="E243" s="3" t="s">
        <v>32</v>
      </c>
      <c r="F243" s="3" t="s">
        <v>25</v>
      </c>
      <c r="G243" s="3" t="s">
        <v>26</v>
      </c>
      <c r="H243" s="3">
        <v>12793</v>
      </c>
      <c r="I243" s="3"/>
      <c r="J243" s="3"/>
      <c r="K243" s="3">
        <v>13000</v>
      </c>
      <c r="L243" s="27">
        <v>45325</v>
      </c>
      <c r="M243" t="str">
        <f t="shared" si="3"/>
        <v>Below Target</v>
      </c>
    </row>
    <row r="244" spans="1:13" x14ac:dyDescent="0.35">
      <c r="A244" s="33" t="s">
        <v>381</v>
      </c>
      <c r="B244" s="3" t="s">
        <v>382</v>
      </c>
      <c r="C244" s="3" t="s">
        <v>44</v>
      </c>
      <c r="D244" s="3" t="s">
        <v>45</v>
      </c>
      <c r="E244" s="3" t="s">
        <v>46</v>
      </c>
      <c r="F244" s="3" t="s">
        <v>17</v>
      </c>
      <c r="G244" s="3" t="s">
        <v>36</v>
      </c>
      <c r="H244" s="3">
        <v>12586</v>
      </c>
      <c r="I244" s="3"/>
      <c r="J244" s="3"/>
      <c r="K244" s="3">
        <v>13000</v>
      </c>
      <c r="L244" s="27">
        <v>45341</v>
      </c>
      <c r="M244" t="str">
        <f t="shared" si="3"/>
        <v>Below Target</v>
      </c>
    </row>
    <row r="245" spans="1:13" x14ac:dyDescent="0.35">
      <c r="A245" s="33" t="s">
        <v>383</v>
      </c>
      <c r="B245" s="3" t="s">
        <v>150</v>
      </c>
      <c r="C245" s="3" t="s">
        <v>14</v>
      </c>
      <c r="D245" s="3" t="s">
        <v>15</v>
      </c>
      <c r="E245" s="3" t="s">
        <v>16</v>
      </c>
      <c r="F245" s="3" t="s">
        <v>39</v>
      </c>
      <c r="G245" s="3" t="s">
        <v>36</v>
      </c>
      <c r="H245" s="3">
        <v>12269</v>
      </c>
      <c r="I245" s="3" t="s">
        <v>33</v>
      </c>
      <c r="J245" s="3">
        <v>0.3</v>
      </c>
      <c r="K245" s="3">
        <v>14000</v>
      </c>
      <c r="L245" s="27">
        <v>45298</v>
      </c>
      <c r="M245" t="str">
        <f t="shared" si="3"/>
        <v>Below Target</v>
      </c>
    </row>
    <row r="246" spans="1:13" x14ac:dyDescent="0.35">
      <c r="A246" s="33" t="s">
        <v>384</v>
      </c>
      <c r="B246" s="3" t="s">
        <v>202</v>
      </c>
      <c r="C246" s="3" t="s">
        <v>61</v>
      </c>
      <c r="D246" s="3" t="s">
        <v>62</v>
      </c>
      <c r="E246" s="3" t="s">
        <v>46</v>
      </c>
      <c r="F246" s="3" t="s">
        <v>17</v>
      </c>
      <c r="G246" s="3" t="s">
        <v>26</v>
      </c>
      <c r="H246" s="3">
        <v>10488</v>
      </c>
      <c r="I246" s="3" t="s">
        <v>27</v>
      </c>
      <c r="J246" s="3"/>
      <c r="K246" s="3">
        <v>9000</v>
      </c>
      <c r="L246" s="27">
        <v>45347</v>
      </c>
      <c r="M246" t="str">
        <f t="shared" si="3"/>
        <v>Target Achieved</v>
      </c>
    </row>
    <row r="247" spans="1:13" x14ac:dyDescent="0.35">
      <c r="A247" s="33" t="s">
        <v>385</v>
      </c>
      <c r="B247" s="3" t="s">
        <v>74</v>
      </c>
      <c r="C247" s="3" t="s">
        <v>14</v>
      </c>
      <c r="D247" s="3" t="s">
        <v>15</v>
      </c>
      <c r="E247" s="3" t="s">
        <v>16</v>
      </c>
      <c r="F247" s="3" t="s">
        <v>39</v>
      </c>
      <c r="G247" s="3" t="s">
        <v>18</v>
      </c>
      <c r="H247" s="3">
        <v>15754</v>
      </c>
      <c r="I247" s="3" t="s">
        <v>33</v>
      </c>
      <c r="J247" s="3">
        <v>0.3</v>
      </c>
      <c r="K247" s="3">
        <v>14000</v>
      </c>
      <c r="L247" s="27">
        <v>45311</v>
      </c>
      <c r="M247" t="str">
        <f t="shared" si="3"/>
        <v>Target Achieved</v>
      </c>
    </row>
    <row r="248" spans="1:13" x14ac:dyDescent="0.35">
      <c r="A248" s="33" t="s">
        <v>386</v>
      </c>
      <c r="B248" s="3" t="s">
        <v>305</v>
      </c>
      <c r="C248" s="3" t="s">
        <v>61</v>
      </c>
      <c r="D248" s="3" t="s">
        <v>62</v>
      </c>
      <c r="E248" s="3" t="s">
        <v>32</v>
      </c>
      <c r="F248" s="3" t="s">
        <v>39</v>
      </c>
      <c r="G248" s="3" t="s">
        <v>26</v>
      </c>
      <c r="H248" s="3">
        <v>10842</v>
      </c>
      <c r="I248" s="3" t="s">
        <v>22</v>
      </c>
      <c r="J248" s="3">
        <v>0.1</v>
      </c>
      <c r="K248" s="3">
        <v>9000</v>
      </c>
      <c r="L248" s="27">
        <v>45311</v>
      </c>
      <c r="M248" t="str">
        <f t="shared" si="3"/>
        <v>Target Achieved</v>
      </c>
    </row>
    <row r="249" spans="1:13" x14ac:dyDescent="0.35">
      <c r="A249" s="33" t="s">
        <v>387</v>
      </c>
      <c r="B249" s="3" t="s">
        <v>388</v>
      </c>
      <c r="C249" s="3" t="s">
        <v>30</v>
      </c>
      <c r="D249" s="3" t="s">
        <v>31</v>
      </c>
      <c r="E249" s="3" t="s">
        <v>32</v>
      </c>
      <c r="F249" s="3" t="s">
        <v>39</v>
      </c>
      <c r="G249" s="3" t="s">
        <v>26</v>
      </c>
      <c r="H249" s="3">
        <v>18395</v>
      </c>
      <c r="I249" s="3" t="s">
        <v>27</v>
      </c>
      <c r="J249" s="3"/>
      <c r="K249" s="3">
        <v>17000</v>
      </c>
      <c r="L249" s="27">
        <v>45297</v>
      </c>
      <c r="M249" t="str">
        <f t="shared" si="3"/>
        <v>Target Achieved</v>
      </c>
    </row>
    <row r="250" spans="1:13" x14ac:dyDescent="0.35">
      <c r="A250" s="33" t="s">
        <v>389</v>
      </c>
      <c r="B250" s="3" t="s">
        <v>92</v>
      </c>
      <c r="C250" s="3" t="s">
        <v>61</v>
      </c>
      <c r="D250" s="3" t="s">
        <v>62</v>
      </c>
      <c r="E250" s="3" t="s">
        <v>16</v>
      </c>
      <c r="F250" s="3" t="s">
        <v>17</v>
      </c>
      <c r="G250" s="3" t="s">
        <v>18</v>
      </c>
      <c r="H250" s="3">
        <v>8485</v>
      </c>
      <c r="I250" s="3" t="s">
        <v>33</v>
      </c>
      <c r="J250" s="3">
        <v>0.3</v>
      </c>
      <c r="K250" s="3">
        <v>9000</v>
      </c>
      <c r="L250" s="27">
        <v>45303</v>
      </c>
      <c r="M250" t="str">
        <f t="shared" si="3"/>
        <v>Below Target</v>
      </c>
    </row>
    <row r="251" spans="1:13" x14ac:dyDescent="0.35">
      <c r="A251" s="33" t="s">
        <v>390</v>
      </c>
      <c r="B251" s="3" t="s">
        <v>391</v>
      </c>
      <c r="C251" s="3" t="s">
        <v>61</v>
      </c>
      <c r="D251" s="3" t="s">
        <v>62</v>
      </c>
      <c r="E251" s="3" t="s">
        <v>32</v>
      </c>
      <c r="F251" s="3" t="s">
        <v>25</v>
      </c>
      <c r="G251" s="3" t="s">
        <v>18</v>
      </c>
      <c r="H251" s="3">
        <v>7634</v>
      </c>
      <c r="I251" s="3" t="s">
        <v>22</v>
      </c>
      <c r="J251" s="3">
        <v>0.1</v>
      </c>
      <c r="K251" s="3">
        <v>9000</v>
      </c>
      <c r="L251" s="27">
        <v>45310</v>
      </c>
      <c r="M251" t="str">
        <f t="shared" si="3"/>
        <v>Below Target</v>
      </c>
    </row>
    <row r="252" spans="1:13" x14ac:dyDescent="0.35">
      <c r="A252" s="33" t="s">
        <v>392</v>
      </c>
      <c r="B252" s="3" t="s">
        <v>393</v>
      </c>
      <c r="C252" s="3" t="s">
        <v>14</v>
      </c>
      <c r="D252" s="3" t="s">
        <v>15</v>
      </c>
      <c r="E252" s="3" t="s">
        <v>16</v>
      </c>
      <c r="F252" s="3" t="s">
        <v>39</v>
      </c>
      <c r="G252" s="3" t="s">
        <v>26</v>
      </c>
      <c r="H252" s="3">
        <v>15619</v>
      </c>
      <c r="I252" s="3" t="s">
        <v>27</v>
      </c>
      <c r="J252" s="3"/>
      <c r="K252" s="3">
        <v>14000</v>
      </c>
      <c r="L252" s="27">
        <v>45294</v>
      </c>
      <c r="M252" t="str">
        <f t="shared" si="3"/>
        <v>Target Achieved</v>
      </c>
    </row>
    <row r="253" spans="1:13" x14ac:dyDescent="0.35">
      <c r="A253" s="33" t="s">
        <v>394</v>
      </c>
      <c r="B253" s="3" t="s">
        <v>317</v>
      </c>
      <c r="C253" s="3" t="s">
        <v>44</v>
      </c>
      <c r="D253" s="3" t="s">
        <v>45</v>
      </c>
      <c r="E253" s="3" t="s">
        <v>16</v>
      </c>
      <c r="F253" s="3" t="s">
        <v>17</v>
      </c>
      <c r="G253" s="3" t="s">
        <v>18</v>
      </c>
      <c r="H253" s="3">
        <v>11664</v>
      </c>
      <c r="I253" s="3" t="s">
        <v>19</v>
      </c>
      <c r="J253" s="3">
        <v>0.2</v>
      </c>
      <c r="K253" s="3">
        <v>13000</v>
      </c>
      <c r="L253" s="27">
        <v>45345</v>
      </c>
      <c r="M253" t="str">
        <f t="shared" si="3"/>
        <v>Below Target</v>
      </c>
    </row>
    <row r="254" spans="1:13" x14ac:dyDescent="0.35">
      <c r="A254" s="33" t="s">
        <v>395</v>
      </c>
      <c r="B254" s="3" t="s">
        <v>276</v>
      </c>
      <c r="C254" s="3" t="s">
        <v>44</v>
      </c>
      <c r="D254" s="3" t="s">
        <v>45</v>
      </c>
      <c r="E254" s="3" t="s">
        <v>16</v>
      </c>
      <c r="F254" s="3" t="s">
        <v>17</v>
      </c>
      <c r="G254" s="3" t="s">
        <v>18</v>
      </c>
      <c r="H254" s="3">
        <v>12682</v>
      </c>
      <c r="I254" s="3" t="s">
        <v>33</v>
      </c>
      <c r="J254" s="3">
        <v>0.3</v>
      </c>
      <c r="K254" s="3">
        <v>13000</v>
      </c>
      <c r="L254" s="27">
        <v>45335</v>
      </c>
      <c r="M254" t="str">
        <f t="shared" si="3"/>
        <v>Below Target</v>
      </c>
    </row>
    <row r="255" spans="1:13" x14ac:dyDescent="0.35">
      <c r="A255" s="33" t="s">
        <v>396</v>
      </c>
      <c r="B255" s="3" t="s">
        <v>397</v>
      </c>
      <c r="C255" s="3" t="s">
        <v>61</v>
      </c>
      <c r="D255" s="3" t="s">
        <v>62</v>
      </c>
      <c r="E255" s="3" t="s">
        <v>16</v>
      </c>
      <c r="F255" s="3" t="s">
        <v>17</v>
      </c>
      <c r="G255" s="3" t="s">
        <v>26</v>
      </c>
      <c r="H255" s="3">
        <v>10210</v>
      </c>
      <c r="I255" s="3"/>
      <c r="J255" s="3"/>
      <c r="K255" s="3">
        <v>9000</v>
      </c>
      <c r="L255" s="27">
        <v>45306</v>
      </c>
      <c r="M255" t="str">
        <f t="shared" si="3"/>
        <v>Target Achieved</v>
      </c>
    </row>
    <row r="256" spans="1:13" x14ac:dyDescent="0.35">
      <c r="A256" s="33" t="s">
        <v>398</v>
      </c>
      <c r="B256" s="3" t="s">
        <v>346</v>
      </c>
      <c r="C256" s="3" t="s">
        <v>30</v>
      </c>
      <c r="D256" s="3" t="s">
        <v>31</v>
      </c>
      <c r="E256" s="3" t="s">
        <v>46</v>
      </c>
      <c r="F256" s="3" t="s">
        <v>25</v>
      </c>
      <c r="G256" s="3" t="s">
        <v>36</v>
      </c>
      <c r="H256" s="3">
        <v>17778</v>
      </c>
      <c r="I256" s="3" t="s">
        <v>27</v>
      </c>
      <c r="J256" s="3"/>
      <c r="K256" s="3">
        <v>17000</v>
      </c>
      <c r="L256" s="27">
        <v>45320</v>
      </c>
      <c r="M256" t="str">
        <f t="shared" si="3"/>
        <v>Target Achieved</v>
      </c>
    </row>
    <row r="257" spans="1:13" x14ac:dyDescent="0.35">
      <c r="A257" s="33" t="s">
        <v>399</v>
      </c>
      <c r="B257" s="3" t="s">
        <v>157</v>
      </c>
      <c r="C257" s="3" t="s">
        <v>30</v>
      </c>
      <c r="D257" s="3" t="s">
        <v>31</v>
      </c>
      <c r="E257" s="3" t="s">
        <v>46</v>
      </c>
      <c r="F257" s="3" t="s">
        <v>39</v>
      </c>
      <c r="G257" s="3" t="s">
        <v>26</v>
      </c>
      <c r="H257" s="3">
        <v>16714</v>
      </c>
      <c r="I257" s="3" t="s">
        <v>19</v>
      </c>
      <c r="J257" s="3">
        <v>0.2</v>
      </c>
      <c r="K257" s="3">
        <v>17000</v>
      </c>
      <c r="L257" s="27">
        <v>45344</v>
      </c>
      <c r="M257" t="str">
        <f t="shared" si="3"/>
        <v>Below Target</v>
      </c>
    </row>
    <row r="258" spans="1:13" x14ac:dyDescent="0.35">
      <c r="A258" s="33" t="s">
        <v>400</v>
      </c>
      <c r="B258" s="3" t="s">
        <v>401</v>
      </c>
      <c r="C258" s="3" t="s">
        <v>44</v>
      </c>
      <c r="D258" s="3" t="s">
        <v>45</v>
      </c>
      <c r="E258" s="3" t="s">
        <v>46</v>
      </c>
      <c r="F258" s="3" t="s">
        <v>25</v>
      </c>
      <c r="G258" s="3" t="s">
        <v>26</v>
      </c>
      <c r="H258" s="3">
        <v>12968</v>
      </c>
      <c r="I258" s="3" t="s">
        <v>33</v>
      </c>
      <c r="J258" s="3">
        <v>0.3</v>
      </c>
      <c r="K258" s="3">
        <v>13000</v>
      </c>
      <c r="L258" s="27">
        <v>45327</v>
      </c>
      <c r="M258" t="str">
        <f t="shared" si="3"/>
        <v>Below Target</v>
      </c>
    </row>
    <row r="259" spans="1:13" x14ac:dyDescent="0.35">
      <c r="A259" s="33" t="s">
        <v>402</v>
      </c>
      <c r="B259" s="3" t="s">
        <v>403</v>
      </c>
      <c r="C259" s="3" t="s">
        <v>14</v>
      </c>
      <c r="D259" s="3" t="s">
        <v>15</v>
      </c>
      <c r="E259" s="3" t="s">
        <v>46</v>
      </c>
      <c r="F259" s="3" t="s">
        <v>25</v>
      </c>
      <c r="G259" s="3" t="s">
        <v>18</v>
      </c>
      <c r="H259" s="3">
        <v>13117</v>
      </c>
      <c r="I259" s="3"/>
      <c r="J259" s="3"/>
      <c r="K259" s="3">
        <v>14000</v>
      </c>
      <c r="L259" s="27">
        <v>45349</v>
      </c>
      <c r="M259" t="str">
        <f t="shared" si="3"/>
        <v>Below Target</v>
      </c>
    </row>
    <row r="260" spans="1:13" x14ac:dyDescent="0.35">
      <c r="A260" s="33" t="s">
        <v>404</v>
      </c>
      <c r="B260" s="3" t="s">
        <v>80</v>
      </c>
      <c r="C260" s="3" t="s">
        <v>61</v>
      </c>
      <c r="D260" s="3" t="s">
        <v>62</v>
      </c>
      <c r="E260" s="3" t="s">
        <v>32</v>
      </c>
      <c r="F260" s="3" t="s">
        <v>25</v>
      </c>
      <c r="G260" s="3" t="s">
        <v>36</v>
      </c>
      <c r="H260" s="3">
        <v>10623</v>
      </c>
      <c r="I260" s="3" t="s">
        <v>33</v>
      </c>
      <c r="J260" s="3">
        <v>0.3</v>
      </c>
      <c r="K260" s="3">
        <v>9000</v>
      </c>
      <c r="L260" s="27">
        <v>45351</v>
      </c>
      <c r="M260" t="str">
        <f t="shared" si="3"/>
        <v>Target Achieved</v>
      </c>
    </row>
    <row r="261" spans="1:13" x14ac:dyDescent="0.35">
      <c r="A261" s="33" t="s">
        <v>405</v>
      </c>
      <c r="B261" s="3" t="s">
        <v>406</v>
      </c>
      <c r="C261" s="3" t="s">
        <v>14</v>
      </c>
      <c r="D261" s="3" t="s">
        <v>15</v>
      </c>
      <c r="E261" s="3" t="s">
        <v>46</v>
      </c>
      <c r="F261" s="3" t="s">
        <v>39</v>
      </c>
      <c r="G261" s="3" t="s">
        <v>36</v>
      </c>
      <c r="H261" s="3">
        <v>12965</v>
      </c>
      <c r="I261" s="3"/>
      <c r="J261" s="3"/>
      <c r="K261" s="3">
        <v>14000</v>
      </c>
      <c r="L261" s="27">
        <v>45297</v>
      </c>
      <c r="M261" t="str">
        <f t="shared" si="3"/>
        <v>Below Target</v>
      </c>
    </row>
    <row r="262" spans="1:13" x14ac:dyDescent="0.35">
      <c r="A262" s="33" t="s">
        <v>407</v>
      </c>
      <c r="B262" s="3" t="s">
        <v>408</v>
      </c>
      <c r="C262" s="3" t="s">
        <v>14</v>
      </c>
      <c r="D262" s="3" t="s">
        <v>15</v>
      </c>
      <c r="E262" s="3" t="s">
        <v>46</v>
      </c>
      <c r="F262" s="3" t="s">
        <v>25</v>
      </c>
      <c r="G262" s="3" t="s">
        <v>26</v>
      </c>
      <c r="H262" s="3">
        <v>14662</v>
      </c>
      <c r="I262" s="3" t="s">
        <v>33</v>
      </c>
      <c r="J262" s="3">
        <v>0.3</v>
      </c>
      <c r="K262" s="3">
        <v>14000</v>
      </c>
      <c r="L262" s="27">
        <v>45342</v>
      </c>
      <c r="M262" t="str">
        <f t="shared" si="3"/>
        <v>Target Achieved</v>
      </c>
    </row>
    <row r="263" spans="1:13" x14ac:dyDescent="0.35">
      <c r="A263" s="33" t="s">
        <v>409</v>
      </c>
      <c r="B263" s="3" t="s">
        <v>175</v>
      </c>
      <c r="C263" s="3" t="s">
        <v>14</v>
      </c>
      <c r="D263" s="3" t="s">
        <v>15</v>
      </c>
      <c r="E263" s="3" t="s">
        <v>46</v>
      </c>
      <c r="F263" s="3" t="s">
        <v>17</v>
      </c>
      <c r="G263" s="3" t="s">
        <v>26</v>
      </c>
      <c r="H263" s="3">
        <v>15404</v>
      </c>
      <c r="I263" s="3" t="s">
        <v>19</v>
      </c>
      <c r="J263" s="3">
        <v>0.2</v>
      </c>
      <c r="K263" s="3">
        <v>14000</v>
      </c>
      <c r="L263" s="27">
        <v>45340</v>
      </c>
      <c r="M263" t="str">
        <f t="shared" si="3"/>
        <v>Target Achieved</v>
      </c>
    </row>
    <row r="264" spans="1:13" x14ac:dyDescent="0.35">
      <c r="A264" s="33" t="s">
        <v>410</v>
      </c>
      <c r="B264" s="3" t="s">
        <v>334</v>
      </c>
      <c r="C264" s="3" t="s">
        <v>61</v>
      </c>
      <c r="D264" s="3" t="s">
        <v>62</v>
      </c>
      <c r="E264" s="3" t="s">
        <v>16</v>
      </c>
      <c r="F264" s="3" t="s">
        <v>25</v>
      </c>
      <c r="G264" s="3" t="s">
        <v>18</v>
      </c>
      <c r="H264" s="3">
        <v>7077</v>
      </c>
      <c r="I264" s="3" t="s">
        <v>33</v>
      </c>
      <c r="J264" s="3">
        <v>0.3</v>
      </c>
      <c r="K264" s="3">
        <v>9000</v>
      </c>
      <c r="L264" s="27">
        <v>45305</v>
      </c>
      <c r="M264" t="str">
        <f t="shared" si="3"/>
        <v>Below Target</v>
      </c>
    </row>
    <row r="265" spans="1:13" x14ac:dyDescent="0.35">
      <c r="A265" s="33" t="s">
        <v>411</v>
      </c>
      <c r="B265" s="3" t="s">
        <v>412</v>
      </c>
      <c r="C265" s="3" t="s">
        <v>61</v>
      </c>
      <c r="D265" s="3" t="s">
        <v>62</v>
      </c>
      <c r="E265" s="3" t="s">
        <v>32</v>
      </c>
      <c r="F265" s="3" t="s">
        <v>17</v>
      </c>
      <c r="G265" s="3" t="s">
        <v>18</v>
      </c>
      <c r="H265" s="3">
        <v>8233</v>
      </c>
      <c r="I265" s="3" t="s">
        <v>22</v>
      </c>
      <c r="J265" s="3">
        <v>0.1</v>
      </c>
      <c r="K265" s="3">
        <v>9000</v>
      </c>
      <c r="L265" s="27">
        <v>45295</v>
      </c>
      <c r="M265" t="str">
        <f t="shared" si="3"/>
        <v>Below Target</v>
      </c>
    </row>
    <row r="266" spans="1:13" x14ac:dyDescent="0.35">
      <c r="A266" s="33" t="s">
        <v>413</v>
      </c>
      <c r="B266" s="3" t="s">
        <v>414</v>
      </c>
      <c r="C266" s="3" t="s">
        <v>61</v>
      </c>
      <c r="D266" s="3" t="s">
        <v>62</v>
      </c>
      <c r="E266" s="3" t="s">
        <v>32</v>
      </c>
      <c r="F266" s="3" t="s">
        <v>25</v>
      </c>
      <c r="G266" s="3" t="s">
        <v>36</v>
      </c>
      <c r="H266" s="3">
        <v>9444</v>
      </c>
      <c r="I266" s="3" t="s">
        <v>27</v>
      </c>
      <c r="J266" s="3"/>
      <c r="K266" s="3">
        <v>9000</v>
      </c>
      <c r="L266" s="27">
        <v>45293</v>
      </c>
      <c r="M266" t="str">
        <f t="shared" si="3"/>
        <v>Target Achieved</v>
      </c>
    </row>
    <row r="267" spans="1:13" x14ac:dyDescent="0.35">
      <c r="A267" s="33" t="s">
        <v>415</v>
      </c>
      <c r="B267" s="3" t="s">
        <v>416</v>
      </c>
      <c r="C267" s="3" t="s">
        <v>44</v>
      </c>
      <c r="D267" s="3" t="s">
        <v>45</v>
      </c>
      <c r="E267" s="3" t="s">
        <v>16</v>
      </c>
      <c r="F267" s="3" t="s">
        <v>25</v>
      </c>
      <c r="G267" s="3" t="s">
        <v>36</v>
      </c>
      <c r="H267" s="3">
        <v>12758</v>
      </c>
      <c r="I267" s="3" t="s">
        <v>22</v>
      </c>
      <c r="J267" s="3">
        <v>0.1</v>
      </c>
      <c r="K267" s="3">
        <v>13000</v>
      </c>
      <c r="L267" s="27">
        <v>45331</v>
      </c>
      <c r="M267" t="str">
        <f t="shared" si="3"/>
        <v>Below Target</v>
      </c>
    </row>
    <row r="268" spans="1:13" x14ac:dyDescent="0.35">
      <c r="A268" s="33" t="s">
        <v>417</v>
      </c>
      <c r="B268" s="3" t="s">
        <v>408</v>
      </c>
      <c r="C268" s="3" t="s">
        <v>61</v>
      </c>
      <c r="D268" s="3" t="s">
        <v>62</v>
      </c>
      <c r="E268" s="3" t="s">
        <v>32</v>
      </c>
      <c r="F268" s="3" t="s">
        <v>39</v>
      </c>
      <c r="G268" s="3" t="s">
        <v>26</v>
      </c>
      <c r="H268" s="3">
        <v>7350</v>
      </c>
      <c r="I268" s="3" t="s">
        <v>27</v>
      </c>
      <c r="J268" s="3"/>
      <c r="K268" s="3">
        <v>9000</v>
      </c>
      <c r="L268" s="27">
        <v>45315</v>
      </c>
      <c r="M268" t="str">
        <f t="shared" si="3"/>
        <v>Below Target</v>
      </c>
    </row>
    <row r="269" spans="1:13" x14ac:dyDescent="0.35">
      <c r="A269" s="33" t="s">
        <v>418</v>
      </c>
      <c r="B269" s="3" t="s">
        <v>241</v>
      </c>
      <c r="C269" s="3" t="s">
        <v>14</v>
      </c>
      <c r="D269" s="3" t="s">
        <v>15</v>
      </c>
      <c r="E269" s="3" t="s">
        <v>46</v>
      </c>
      <c r="F269" s="3" t="s">
        <v>17</v>
      </c>
      <c r="G269" s="3" t="s">
        <v>18</v>
      </c>
      <c r="H269" s="3">
        <v>14603</v>
      </c>
      <c r="I269" s="3"/>
      <c r="J269" s="3"/>
      <c r="K269" s="3">
        <v>14000</v>
      </c>
      <c r="L269" s="27">
        <v>45315</v>
      </c>
      <c r="M269" t="str">
        <f t="shared" si="3"/>
        <v>Target Achieved</v>
      </c>
    </row>
    <row r="270" spans="1:13" x14ac:dyDescent="0.35">
      <c r="A270" s="33" t="s">
        <v>419</v>
      </c>
      <c r="B270" s="3" t="s">
        <v>350</v>
      </c>
      <c r="C270" s="3" t="s">
        <v>14</v>
      </c>
      <c r="D270" s="3" t="s">
        <v>15</v>
      </c>
      <c r="E270" s="3" t="s">
        <v>46</v>
      </c>
      <c r="F270" s="3" t="s">
        <v>25</v>
      </c>
      <c r="G270" s="3" t="s">
        <v>36</v>
      </c>
      <c r="H270" s="3">
        <v>12987</v>
      </c>
      <c r="I270" s="3" t="s">
        <v>22</v>
      </c>
      <c r="J270" s="3">
        <v>0.1</v>
      </c>
      <c r="K270" s="3">
        <v>14000</v>
      </c>
      <c r="L270" s="27">
        <v>45341</v>
      </c>
      <c r="M270" t="str">
        <f t="shared" si="3"/>
        <v>Below Target</v>
      </c>
    </row>
    <row r="271" spans="1:13" x14ac:dyDescent="0.35">
      <c r="A271" s="33" t="s">
        <v>420</v>
      </c>
      <c r="B271" s="3" t="s">
        <v>233</v>
      </c>
      <c r="C271" s="3" t="s">
        <v>30</v>
      </c>
      <c r="D271" s="3" t="s">
        <v>31</v>
      </c>
      <c r="E271" s="3" t="s">
        <v>32</v>
      </c>
      <c r="F271" s="3" t="s">
        <v>25</v>
      </c>
      <c r="G271" s="3" t="s">
        <v>36</v>
      </c>
      <c r="H271" s="3">
        <v>17236</v>
      </c>
      <c r="I271" s="3" t="s">
        <v>33</v>
      </c>
      <c r="J271" s="3">
        <v>0.3</v>
      </c>
      <c r="K271" s="3">
        <v>17000</v>
      </c>
      <c r="L271" s="27">
        <v>45344</v>
      </c>
      <c r="M271" t="str">
        <f t="shared" si="3"/>
        <v>Target Achieved</v>
      </c>
    </row>
    <row r="272" spans="1:13" x14ac:dyDescent="0.35">
      <c r="A272" s="33" t="s">
        <v>421</v>
      </c>
      <c r="B272" s="3" t="s">
        <v>422</v>
      </c>
      <c r="C272" s="3" t="s">
        <v>61</v>
      </c>
      <c r="D272" s="3" t="s">
        <v>62</v>
      </c>
      <c r="E272" s="3" t="s">
        <v>16</v>
      </c>
      <c r="F272" s="3" t="s">
        <v>17</v>
      </c>
      <c r="G272" s="3" t="s">
        <v>26</v>
      </c>
      <c r="H272" s="3">
        <v>7746</v>
      </c>
      <c r="I272" s="3" t="s">
        <v>19</v>
      </c>
      <c r="J272" s="3">
        <v>0.2</v>
      </c>
      <c r="K272" s="3">
        <v>9000</v>
      </c>
      <c r="L272" s="27">
        <v>45296</v>
      </c>
      <c r="M272" t="str">
        <f t="shared" si="3"/>
        <v>Below Target</v>
      </c>
    </row>
    <row r="273" spans="1:13" x14ac:dyDescent="0.35">
      <c r="A273" s="33" t="s">
        <v>423</v>
      </c>
      <c r="B273" s="3" t="s">
        <v>276</v>
      </c>
      <c r="C273" s="3" t="s">
        <v>61</v>
      </c>
      <c r="D273" s="3" t="s">
        <v>62</v>
      </c>
      <c r="E273" s="3" t="s">
        <v>32</v>
      </c>
      <c r="F273" s="3" t="s">
        <v>17</v>
      </c>
      <c r="G273" s="3" t="s">
        <v>18</v>
      </c>
      <c r="H273" s="3">
        <v>7179</v>
      </c>
      <c r="I273" s="3" t="s">
        <v>19</v>
      </c>
      <c r="J273" s="3">
        <v>0.2</v>
      </c>
      <c r="K273" s="3">
        <v>9000</v>
      </c>
      <c r="L273" s="27">
        <v>45348</v>
      </c>
      <c r="M273" t="str">
        <f t="shared" si="3"/>
        <v>Below Target</v>
      </c>
    </row>
    <row r="274" spans="1:13" x14ac:dyDescent="0.35">
      <c r="A274" s="33" t="s">
        <v>424</v>
      </c>
      <c r="B274" s="3" t="s">
        <v>125</v>
      </c>
      <c r="C274" s="3" t="s">
        <v>30</v>
      </c>
      <c r="D274" s="3" t="s">
        <v>31</v>
      </c>
      <c r="E274" s="3" t="s">
        <v>16</v>
      </c>
      <c r="F274" s="3" t="s">
        <v>17</v>
      </c>
      <c r="G274" s="3" t="s">
        <v>26</v>
      </c>
      <c r="H274" s="3">
        <v>16939</v>
      </c>
      <c r="I274" s="3" t="s">
        <v>33</v>
      </c>
      <c r="J274" s="3">
        <v>0.3</v>
      </c>
      <c r="K274" s="3">
        <v>17000</v>
      </c>
      <c r="L274" s="27">
        <v>45294</v>
      </c>
      <c r="M274" t="str">
        <f t="shared" si="3"/>
        <v>Below Target</v>
      </c>
    </row>
    <row r="275" spans="1:13" x14ac:dyDescent="0.35">
      <c r="A275" s="33" t="s">
        <v>425</v>
      </c>
      <c r="B275" s="3" t="s">
        <v>426</v>
      </c>
      <c r="C275" s="3" t="s">
        <v>44</v>
      </c>
      <c r="D275" s="3" t="s">
        <v>45</v>
      </c>
      <c r="E275" s="3" t="s">
        <v>46</v>
      </c>
      <c r="F275" s="3" t="s">
        <v>17</v>
      </c>
      <c r="G275" s="3" t="s">
        <v>18</v>
      </c>
      <c r="H275" s="3">
        <v>14546</v>
      </c>
      <c r="I275" s="3" t="s">
        <v>33</v>
      </c>
      <c r="J275" s="3">
        <v>0.3</v>
      </c>
      <c r="K275" s="3">
        <v>13000</v>
      </c>
      <c r="L275" s="27">
        <v>45309</v>
      </c>
      <c r="M275" t="str">
        <f t="shared" si="3"/>
        <v>Target Achieved</v>
      </c>
    </row>
    <row r="276" spans="1:13" x14ac:dyDescent="0.35">
      <c r="A276" s="33" t="s">
        <v>427</v>
      </c>
      <c r="B276" s="3" t="s">
        <v>200</v>
      </c>
      <c r="C276" s="3" t="s">
        <v>30</v>
      </c>
      <c r="D276" s="3" t="s">
        <v>31</v>
      </c>
      <c r="E276" s="3" t="s">
        <v>46</v>
      </c>
      <c r="F276" s="3" t="s">
        <v>17</v>
      </c>
      <c r="G276" s="3" t="s">
        <v>26</v>
      </c>
      <c r="H276" s="3">
        <v>16801</v>
      </c>
      <c r="I276" s="3"/>
      <c r="J276" s="3"/>
      <c r="K276" s="3">
        <v>17000</v>
      </c>
      <c r="L276" s="27">
        <v>45313</v>
      </c>
      <c r="M276" t="str">
        <f t="shared" si="3"/>
        <v>Below Target</v>
      </c>
    </row>
    <row r="277" spans="1:13" x14ac:dyDescent="0.35">
      <c r="A277" s="33" t="s">
        <v>428</v>
      </c>
      <c r="B277" s="3" t="s">
        <v>429</v>
      </c>
      <c r="C277" s="3" t="s">
        <v>61</v>
      </c>
      <c r="D277" s="3" t="s">
        <v>62</v>
      </c>
      <c r="E277" s="3" t="s">
        <v>46</v>
      </c>
      <c r="F277" s="3" t="s">
        <v>39</v>
      </c>
      <c r="G277" s="3" t="s">
        <v>36</v>
      </c>
      <c r="H277" s="3">
        <v>10281</v>
      </c>
      <c r="I277" s="3" t="s">
        <v>22</v>
      </c>
      <c r="J277" s="3">
        <v>0.1</v>
      </c>
      <c r="K277" s="3">
        <v>9000</v>
      </c>
      <c r="L277" s="27">
        <v>45338</v>
      </c>
      <c r="M277" t="str">
        <f t="shared" si="3"/>
        <v>Target Achieved</v>
      </c>
    </row>
    <row r="278" spans="1:13" x14ac:dyDescent="0.35">
      <c r="A278" s="33" t="s">
        <v>430</v>
      </c>
      <c r="B278" s="3" t="s">
        <v>41</v>
      </c>
      <c r="C278" s="3" t="s">
        <v>61</v>
      </c>
      <c r="D278" s="3" t="s">
        <v>62</v>
      </c>
      <c r="E278" s="3" t="s">
        <v>16</v>
      </c>
      <c r="F278" s="3" t="s">
        <v>25</v>
      </c>
      <c r="G278" s="3" t="s">
        <v>26</v>
      </c>
      <c r="H278" s="3">
        <v>8203</v>
      </c>
      <c r="I278" s="3" t="s">
        <v>33</v>
      </c>
      <c r="J278" s="3">
        <v>0.3</v>
      </c>
      <c r="K278" s="3">
        <v>9000</v>
      </c>
      <c r="L278" s="27">
        <v>45298</v>
      </c>
      <c r="M278" t="str">
        <f t="shared" si="3"/>
        <v>Below Target</v>
      </c>
    </row>
    <row r="279" spans="1:13" x14ac:dyDescent="0.35">
      <c r="A279" s="33" t="s">
        <v>431</v>
      </c>
      <c r="B279" s="3" t="s">
        <v>432</v>
      </c>
      <c r="C279" s="3" t="s">
        <v>30</v>
      </c>
      <c r="D279" s="3" t="s">
        <v>31</v>
      </c>
      <c r="E279" s="3" t="s">
        <v>46</v>
      </c>
      <c r="F279" s="3" t="s">
        <v>17</v>
      </c>
      <c r="G279" s="3" t="s">
        <v>26</v>
      </c>
      <c r="H279" s="3">
        <v>17939</v>
      </c>
      <c r="I279" s="3"/>
      <c r="J279" s="3"/>
      <c r="K279" s="3">
        <v>17000</v>
      </c>
      <c r="L279" s="27">
        <v>45302</v>
      </c>
      <c r="M279" t="str">
        <f t="shared" si="3"/>
        <v>Target Achieved</v>
      </c>
    </row>
    <row r="280" spans="1:13" x14ac:dyDescent="0.35">
      <c r="A280" s="33" t="s">
        <v>433</v>
      </c>
      <c r="B280" s="3" t="s">
        <v>334</v>
      </c>
      <c r="C280" s="3" t="s">
        <v>30</v>
      </c>
      <c r="D280" s="3" t="s">
        <v>31</v>
      </c>
      <c r="E280" s="3" t="s">
        <v>46</v>
      </c>
      <c r="F280" s="3" t="s">
        <v>25</v>
      </c>
      <c r="G280" s="3" t="s">
        <v>26</v>
      </c>
      <c r="H280" s="3">
        <v>18563</v>
      </c>
      <c r="I280" s="3" t="s">
        <v>33</v>
      </c>
      <c r="J280" s="3">
        <v>0.3</v>
      </c>
      <c r="K280" s="3">
        <v>17000</v>
      </c>
      <c r="L280" s="27">
        <v>45331</v>
      </c>
      <c r="M280" t="str">
        <f t="shared" si="3"/>
        <v>Target Achieved</v>
      </c>
    </row>
    <row r="281" spans="1:13" x14ac:dyDescent="0.35">
      <c r="A281" s="33" t="s">
        <v>434</v>
      </c>
      <c r="B281" s="3" t="s">
        <v>435</v>
      </c>
      <c r="C281" s="3" t="s">
        <v>14</v>
      </c>
      <c r="D281" s="3" t="s">
        <v>15</v>
      </c>
      <c r="E281" s="3" t="s">
        <v>32</v>
      </c>
      <c r="F281" s="3" t="s">
        <v>39</v>
      </c>
      <c r="G281" s="3" t="s">
        <v>26</v>
      </c>
      <c r="H281" s="3">
        <v>13663</v>
      </c>
      <c r="I281" s="3" t="s">
        <v>33</v>
      </c>
      <c r="J281" s="3">
        <v>0.3</v>
      </c>
      <c r="K281" s="3">
        <v>14000</v>
      </c>
      <c r="L281" s="27">
        <v>45324</v>
      </c>
      <c r="M281" t="str">
        <f t="shared" si="3"/>
        <v>Below Target</v>
      </c>
    </row>
    <row r="282" spans="1:13" x14ac:dyDescent="0.35">
      <c r="A282" s="33" t="s">
        <v>436</v>
      </c>
      <c r="B282" s="3" t="s">
        <v>296</v>
      </c>
      <c r="C282" s="3" t="s">
        <v>44</v>
      </c>
      <c r="D282" s="3" t="s">
        <v>45</v>
      </c>
      <c r="E282" s="3" t="s">
        <v>32</v>
      </c>
      <c r="F282" s="3" t="s">
        <v>25</v>
      </c>
      <c r="G282" s="3" t="s">
        <v>26</v>
      </c>
      <c r="H282" s="3">
        <v>13777</v>
      </c>
      <c r="I282" s="3"/>
      <c r="J282" s="3"/>
      <c r="K282" s="3">
        <v>13000</v>
      </c>
      <c r="L282" s="27">
        <v>45294</v>
      </c>
      <c r="M282" t="str">
        <f t="shared" si="3"/>
        <v>Target Achieved</v>
      </c>
    </row>
    <row r="283" spans="1:13" x14ac:dyDescent="0.35">
      <c r="A283" s="33" t="s">
        <v>437</v>
      </c>
      <c r="B283" s="3" t="s">
        <v>325</v>
      </c>
      <c r="C283" s="3" t="s">
        <v>44</v>
      </c>
      <c r="D283" s="3" t="s">
        <v>45</v>
      </c>
      <c r="E283" s="3" t="s">
        <v>16</v>
      </c>
      <c r="F283" s="3" t="s">
        <v>17</v>
      </c>
      <c r="G283" s="3" t="s">
        <v>36</v>
      </c>
      <c r="H283" s="3">
        <v>12568</v>
      </c>
      <c r="I283" s="3" t="s">
        <v>27</v>
      </c>
      <c r="J283" s="3"/>
      <c r="K283" s="3">
        <v>13000</v>
      </c>
      <c r="L283" s="27">
        <v>45294</v>
      </c>
      <c r="M283" t="str">
        <f t="shared" si="3"/>
        <v>Below Target</v>
      </c>
    </row>
    <row r="284" spans="1:13" x14ac:dyDescent="0.35">
      <c r="A284" s="33" t="s">
        <v>438</v>
      </c>
      <c r="B284" s="3" t="s">
        <v>373</v>
      </c>
      <c r="C284" s="3" t="s">
        <v>61</v>
      </c>
      <c r="D284" s="3" t="s">
        <v>62</v>
      </c>
      <c r="E284" s="3" t="s">
        <v>46</v>
      </c>
      <c r="F284" s="3" t="s">
        <v>17</v>
      </c>
      <c r="G284" s="3" t="s">
        <v>36</v>
      </c>
      <c r="H284" s="3">
        <v>10125</v>
      </c>
      <c r="I284" s="3" t="s">
        <v>22</v>
      </c>
      <c r="J284" s="3">
        <v>0.1</v>
      </c>
      <c r="K284" s="3">
        <v>9000</v>
      </c>
      <c r="L284" s="27">
        <v>45328</v>
      </c>
      <c r="M284" t="str">
        <f t="shared" si="3"/>
        <v>Target Achieved</v>
      </c>
    </row>
    <row r="285" spans="1:13" x14ac:dyDescent="0.35">
      <c r="A285" s="33" t="s">
        <v>439</v>
      </c>
      <c r="B285" s="3" t="s">
        <v>440</v>
      </c>
      <c r="C285" s="3" t="s">
        <v>30</v>
      </c>
      <c r="D285" s="3" t="s">
        <v>31</v>
      </c>
      <c r="E285" s="3" t="s">
        <v>46</v>
      </c>
      <c r="F285" s="3" t="s">
        <v>17</v>
      </c>
      <c r="G285" s="3" t="s">
        <v>26</v>
      </c>
      <c r="H285" s="3">
        <v>16141</v>
      </c>
      <c r="I285" s="3" t="s">
        <v>19</v>
      </c>
      <c r="J285" s="3">
        <v>0.2</v>
      </c>
      <c r="K285" s="3">
        <v>17000</v>
      </c>
      <c r="L285" s="27">
        <v>45299</v>
      </c>
      <c r="M285" t="str">
        <f t="shared" si="3"/>
        <v>Below Target</v>
      </c>
    </row>
    <row r="286" spans="1:13" x14ac:dyDescent="0.35">
      <c r="A286" s="33" t="s">
        <v>441</v>
      </c>
      <c r="B286" s="3" t="s">
        <v>190</v>
      </c>
      <c r="C286" s="3" t="s">
        <v>44</v>
      </c>
      <c r="D286" s="3" t="s">
        <v>45</v>
      </c>
      <c r="E286" s="3" t="s">
        <v>46</v>
      </c>
      <c r="F286" s="3" t="s">
        <v>39</v>
      </c>
      <c r="G286" s="3" t="s">
        <v>36</v>
      </c>
      <c r="H286" s="3">
        <v>14741</v>
      </c>
      <c r="I286" s="3" t="s">
        <v>27</v>
      </c>
      <c r="J286" s="3"/>
      <c r="K286" s="3">
        <v>13000</v>
      </c>
      <c r="L286" s="27">
        <v>45299</v>
      </c>
      <c r="M286" t="str">
        <f t="shared" si="3"/>
        <v>Target Achieved</v>
      </c>
    </row>
    <row r="287" spans="1:13" x14ac:dyDescent="0.35">
      <c r="A287" s="33" t="s">
        <v>442</v>
      </c>
      <c r="B287" s="3" t="s">
        <v>443</v>
      </c>
      <c r="C287" s="3" t="s">
        <v>30</v>
      </c>
      <c r="D287" s="3" t="s">
        <v>31</v>
      </c>
      <c r="E287" s="3" t="s">
        <v>16</v>
      </c>
      <c r="F287" s="3" t="s">
        <v>17</v>
      </c>
      <c r="G287" s="3" t="s">
        <v>18</v>
      </c>
      <c r="H287" s="3">
        <v>17506</v>
      </c>
      <c r="I287" s="3" t="s">
        <v>33</v>
      </c>
      <c r="J287" s="3">
        <v>0.3</v>
      </c>
      <c r="K287" s="3">
        <v>17000</v>
      </c>
      <c r="L287" s="27">
        <v>45336</v>
      </c>
      <c r="M287" t="str">
        <f t="shared" si="3"/>
        <v>Target Achieved</v>
      </c>
    </row>
    <row r="288" spans="1:13" x14ac:dyDescent="0.35">
      <c r="A288" s="33" t="s">
        <v>444</v>
      </c>
      <c r="B288" s="3" t="s">
        <v>445</v>
      </c>
      <c r="C288" s="3" t="s">
        <v>44</v>
      </c>
      <c r="D288" s="3" t="s">
        <v>45</v>
      </c>
      <c r="E288" s="3" t="s">
        <v>32</v>
      </c>
      <c r="F288" s="3" t="s">
        <v>25</v>
      </c>
      <c r="G288" s="3" t="s">
        <v>18</v>
      </c>
      <c r="H288" s="3">
        <v>12851</v>
      </c>
      <c r="I288" s="3" t="s">
        <v>19</v>
      </c>
      <c r="J288" s="3">
        <v>0.2</v>
      </c>
      <c r="K288" s="3">
        <v>13000</v>
      </c>
      <c r="L288" s="27">
        <v>45349</v>
      </c>
      <c r="M288" t="str">
        <f t="shared" ref="M288:M351" si="4">IF(H288&gt;=K288,"Target Achieved","Below Target")</f>
        <v>Below Target</v>
      </c>
    </row>
    <row r="289" spans="1:13" x14ac:dyDescent="0.35">
      <c r="A289" s="33" t="s">
        <v>446</v>
      </c>
      <c r="B289" s="3" t="s">
        <v>334</v>
      </c>
      <c r="C289" s="3" t="s">
        <v>14</v>
      </c>
      <c r="D289" s="3" t="s">
        <v>15</v>
      </c>
      <c r="E289" s="3" t="s">
        <v>16</v>
      </c>
      <c r="F289" s="3" t="s">
        <v>17</v>
      </c>
      <c r="G289" s="3" t="s">
        <v>26</v>
      </c>
      <c r="H289" s="3">
        <v>13423</v>
      </c>
      <c r="I289" s="3" t="s">
        <v>22</v>
      </c>
      <c r="J289" s="3">
        <v>0.1</v>
      </c>
      <c r="K289" s="3">
        <v>14000</v>
      </c>
      <c r="L289" s="27">
        <v>45327</v>
      </c>
      <c r="M289" t="str">
        <f t="shared" si="4"/>
        <v>Below Target</v>
      </c>
    </row>
    <row r="290" spans="1:13" x14ac:dyDescent="0.35">
      <c r="A290" s="33" t="s">
        <v>447</v>
      </c>
      <c r="B290" s="3" t="s">
        <v>448</v>
      </c>
      <c r="C290" s="3" t="s">
        <v>30</v>
      </c>
      <c r="D290" s="3" t="s">
        <v>31</v>
      </c>
      <c r="E290" s="3" t="s">
        <v>32</v>
      </c>
      <c r="F290" s="3" t="s">
        <v>39</v>
      </c>
      <c r="G290" s="3" t="s">
        <v>26</v>
      </c>
      <c r="H290" s="3">
        <v>18798</v>
      </c>
      <c r="I290" s="3" t="s">
        <v>19</v>
      </c>
      <c r="J290" s="3">
        <v>0.2</v>
      </c>
      <c r="K290" s="3">
        <v>17000</v>
      </c>
      <c r="L290" s="27">
        <v>45342</v>
      </c>
      <c r="M290" t="str">
        <f t="shared" si="4"/>
        <v>Target Achieved</v>
      </c>
    </row>
    <row r="291" spans="1:13" x14ac:dyDescent="0.35">
      <c r="A291" s="33" t="s">
        <v>449</v>
      </c>
      <c r="B291" s="3" t="s">
        <v>301</v>
      </c>
      <c r="C291" s="3" t="s">
        <v>44</v>
      </c>
      <c r="D291" s="3" t="s">
        <v>45</v>
      </c>
      <c r="E291" s="3" t="s">
        <v>32</v>
      </c>
      <c r="F291" s="3" t="s">
        <v>25</v>
      </c>
      <c r="G291" s="3" t="s">
        <v>18</v>
      </c>
      <c r="H291" s="3">
        <v>11969</v>
      </c>
      <c r="I291" s="3"/>
      <c r="J291" s="3"/>
      <c r="K291" s="3">
        <v>13000</v>
      </c>
      <c r="L291" s="27">
        <v>45293</v>
      </c>
      <c r="M291" t="str">
        <f t="shared" si="4"/>
        <v>Below Target</v>
      </c>
    </row>
    <row r="292" spans="1:13" x14ac:dyDescent="0.35">
      <c r="A292" s="33" t="s">
        <v>450</v>
      </c>
      <c r="B292" s="3" t="s">
        <v>301</v>
      </c>
      <c r="C292" s="3" t="s">
        <v>30</v>
      </c>
      <c r="D292" s="3" t="s">
        <v>31</v>
      </c>
      <c r="E292" s="3" t="s">
        <v>46</v>
      </c>
      <c r="F292" s="3" t="s">
        <v>39</v>
      </c>
      <c r="G292" s="3" t="s">
        <v>18</v>
      </c>
      <c r="H292" s="3">
        <v>17506</v>
      </c>
      <c r="I292" s="3" t="s">
        <v>22</v>
      </c>
      <c r="J292" s="3">
        <v>0.1</v>
      </c>
      <c r="K292" s="3">
        <v>17000</v>
      </c>
      <c r="L292" s="27">
        <v>45296</v>
      </c>
      <c r="M292" t="str">
        <f t="shared" si="4"/>
        <v>Target Achieved</v>
      </c>
    </row>
    <row r="293" spans="1:13" x14ac:dyDescent="0.35">
      <c r="A293" s="33" t="s">
        <v>451</v>
      </c>
      <c r="B293" s="3" t="s">
        <v>70</v>
      </c>
      <c r="C293" s="3" t="s">
        <v>61</v>
      </c>
      <c r="D293" s="3" t="s">
        <v>62</v>
      </c>
      <c r="E293" s="3" t="s">
        <v>16</v>
      </c>
      <c r="F293" s="3" t="s">
        <v>17</v>
      </c>
      <c r="G293" s="3" t="s">
        <v>36</v>
      </c>
      <c r="H293" s="3">
        <v>10372</v>
      </c>
      <c r="I293" s="3" t="s">
        <v>27</v>
      </c>
      <c r="J293" s="3"/>
      <c r="K293" s="3">
        <v>9000</v>
      </c>
      <c r="L293" s="27">
        <v>45296</v>
      </c>
      <c r="M293" t="str">
        <f t="shared" si="4"/>
        <v>Target Achieved</v>
      </c>
    </row>
    <row r="294" spans="1:13" x14ac:dyDescent="0.35">
      <c r="A294" s="33" t="s">
        <v>452</v>
      </c>
      <c r="B294" s="3" t="s">
        <v>74</v>
      </c>
      <c r="C294" s="3" t="s">
        <v>14</v>
      </c>
      <c r="D294" s="3" t="s">
        <v>15</v>
      </c>
      <c r="E294" s="3" t="s">
        <v>46</v>
      </c>
      <c r="F294" s="3" t="s">
        <v>17</v>
      </c>
      <c r="G294" s="3" t="s">
        <v>26</v>
      </c>
      <c r="H294" s="3">
        <v>14119</v>
      </c>
      <c r="I294" s="3" t="s">
        <v>33</v>
      </c>
      <c r="J294" s="3">
        <v>0.3</v>
      </c>
      <c r="K294" s="3">
        <v>14000</v>
      </c>
      <c r="L294" s="27">
        <v>45300</v>
      </c>
      <c r="M294" t="str">
        <f t="shared" si="4"/>
        <v>Target Achieved</v>
      </c>
    </row>
    <row r="295" spans="1:13" x14ac:dyDescent="0.35">
      <c r="A295" s="33" t="s">
        <v>453</v>
      </c>
      <c r="B295" s="3" t="s">
        <v>454</v>
      </c>
      <c r="C295" s="3" t="s">
        <v>44</v>
      </c>
      <c r="D295" s="3" t="s">
        <v>45</v>
      </c>
      <c r="E295" s="3" t="s">
        <v>32</v>
      </c>
      <c r="F295" s="3" t="s">
        <v>17</v>
      </c>
      <c r="G295" s="3" t="s">
        <v>26</v>
      </c>
      <c r="H295" s="3">
        <v>14730</v>
      </c>
      <c r="I295" s="3" t="s">
        <v>22</v>
      </c>
      <c r="J295" s="3">
        <v>0.1</v>
      </c>
      <c r="K295" s="3">
        <v>13000</v>
      </c>
      <c r="L295" s="27">
        <v>45345</v>
      </c>
      <c r="M295" t="str">
        <f t="shared" si="4"/>
        <v>Target Achieved</v>
      </c>
    </row>
    <row r="296" spans="1:13" x14ac:dyDescent="0.35">
      <c r="A296" s="33" t="s">
        <v>455</v>
      </c>
      <c r="B296" s="3" t="s">
        <v>241</v>
      </c>
      <c r="C296" s="3" t="s">
        <v>44</v>
      </c>
      <c r="D296" s="3" t="s">
        <v>45</v>
      </c>
      <c r="E296" s="3" t="s">
        <v>46</v>
      </c>
      <c r="F296" s="3" t="s">
        <v>25</v>
      </c>
      <c r="G296" s="3" t="s">
        <v>18</v>
      </c>
      <c r="H296" s="3">
        <v>12321</v>
      </c>
      <c r="I296" s="3" t="s">
        <v>19</v>
      </c>
      <c r="J296" s="3">
        <v>0.2</v>
      </c>
      <c r="K296" s="3">
        <v>13000</v>
      </c>
      <c r="L296" s="27">
        <v>45314</v>
      </c>
      <c r="M296" t="str">
        <f t="shared" si="4"/>
        <v>Below Target</v>
      </c>
    </row>
    <row r="297" spans="1:13" x14ac:dyDescent="0.35">
      <c r="A297" s="33" t="s">
        <v>456</v>
      </c>
      <c r="B297" s="3" t="s">
        <v>448</v>
      </c>
      <c r="C297" s="3" t="s">
        <v>14</v>
      </c>
      <c r="D297" s="3" t="s">
        <v>15</v>
      </c>
      <c r="E297" s="3" t="s">
        <v>46</v>
      </c>
      <c r="F297" s="3" t="s">
        <v>25</v>
      </c>
      <c r="G297" s="3" t="s">
        <v>26</v>
      </c>
      <c r="H297" s="3">
        <v>15917</v>
      </c>
      <c r="I297" s="3" t="s">
        <v>27</v>
      </c>
      <c r="J297" s="3"/>
      <c r="K297" s="3">
        <v>14000</v>
      </c>
      <c r="L297" s="27">
        <v>45309</v>
      </c>
      <c r="M297" t="str">
        <f t="shared" si="4"/>
        <v>Target Achieved</v>
      </c>
    </row>
    <row r="298" spans="1:13" x14ac:dyDescent="0.35">
      <c r="A298" s="33" t="s">
        <v>457</v>
      </c>
      <c r="B298" s="3" t="s">
        <v>113</v>
      </c>
      <c r="C298" s="3" t="s">
        <v>30</v>
      </c>
      <c r="D298" s="3" t="s">
        <v>31</v>
      </c>
      <c r="E298" s="3" t="s">
        <v>16</v>
      </c>
      <c r="F298" s="3" t="s">
        <v>39</v>
      </c>
      <c r="G298" s="3" t="s">
        <v>18</v>
      </c>
      <c r="H298" s="3">
        <v>17058</v>
      </c>
      <c r="I298" s="3" t="s">
        <v>19</v>
      </c>
      <c r="J298" s="3">
        <v>0.2</v>
      </c>
      <c r="K298" s="3">
        <v>17000</v>
      </c>
      <c r="L298" s="27">
        <v>45329</v>
      </c>
      <c r="M298" t="str">
        <f t="shared" si="4"/>
        <v>Target Achieved</v>
      </c>
    </row>
    <row r="299" spans="1:13" x14ac:dyDescent="0.35">
      <c r="A299" s="33" t="s">
        <v>458</v>
      </c>
      <c r="B299" s="3" t="s">
        <v>373</v>
      </c>
      <c r="C299" s="3" t="s">
        <v>44</v>
      </c>
      <c r="D299" s="3" t="s">
        <v>45</v>
      </c>
      <c r="E299" s="3" t="s">
        <v>16</v>
      </c>
      <c r="F299" s="3" t="s">
        <v>39</v>
      </c>
      <c r="G299" s="3" t="s">
        <v>26</v>
      </c>
      <c r="H299" s="3">
        <v>14694</v>
      </c>
      <c r="I299" s="3" t="s">
        <v>27</v>
      </c>
      <c r="J299" s="3"/>
      <c r="K299" s="3">
        <v>13000</v>
      </c>
      <c r="L299" s="27">
        <v>45313</v>
      </c>
      <c r="M299" t="str">
        <f t="shared" si="4"/>
        <v>Target Achieved</v>
      </c>
    </row>
    <row r="300" spans="1:13" x14ac:dyDescent="0.35">
      <c r="A300" s="33" t="s">
        <v>459</v>
      </c>
      <c r="B300" s="3" t="s">
        <v>460</v>
      </c>
      <c r="C300" s="3" t="s">
        <v>14</v>
      </c>
      <c r="D300" s="3" t="s">
        <v>15</v>
      </c>
      <c r="E300" s="3" t="s">
        <v>32</v>
      </c>
      <c r="F300" s="3" t="s">
        <v>25</v>
      </c>
      <c r="G300" s="3" t="s">
        <v>18</v>
      </c>
      <c r="H300" s="3">
        <v>15885</v>
      </c>
      <c r="I300" s="3" t="s">
        <v>27</v>
      </c>
      <c r="J300" s="3"/>
      <c r="K300" s="3">
        <v>14000</v>
      </c>
      <c r="L300" s="27">
        <v>45308</v>
      </c>
      <c r="M300" t="str">
        <f t="shared" si="4"/>
        <v>Target Achieved</v>
      </c>
    </row>
    <row r="301" spans="1:13" x14ac:dyDescent="0.35">
      <c r="A301" s="33" t="s">
        <v>461</v>
      </c>
      <c r="B301" s="3" t="s">
        <v>239</v>
      </c>
      <c r="C301" s="3" t="s">
        <v>61</v>
      </c>
      <c r="D301" s="3" t="s">
        <v>62</v>
      </c>
      <c r="E301" s="3" t="s">
        <v>16</v>
      </c>
      <c r="F301" s="3" t="s">
        <v>39</v>
      </c>
      <c r="G301" s="3" t="s">
        <v>18</v>
      </c>
      <c r="H301" s="3">
        <v>9039</v>
      </c>
      <c r="I301" s="3" t="s">
        <v>27</v>
      </c>
      <c r="J301" s="3"/>
      <c r="K301" s="3">
        <v>9000</v>
      </c>
      <c r="L301" s="27">
        <v>45310</v>
      </c>
      <c r="M301" t="str">
        <f t="shared" si="4"/>
        <v>Target Achieved</v>
      </c>
    </row>
    <row r="302" spans="1:13" x14ac:dyDescent="0.35">
      <c r="A302" s="33" t="s">
        <v>462</v>
      </c>
      <c r="B302" s="3" t="s">
        <v>278</v>
      </c>
      <c r="C302" s="3" t="s">
        <v>61</v>
      </c>
      <c r="D302" s="3" t="s">
        <v>62</v>
      </c>
      <c r="E302" s="3" t="s">
        <v>32</v>
      </c>
      <c r="F302" s="3" t="s">
        <v>39</v>
      </c>
      <c r="G302" s="3" t="s">
        <v>36</v>
      </c>
      <c r="H302" s="3">
        <v>8218</v>
      </c>
      <c r="I302" s="3"/>
      <c r="J302" s="3"/>
      <c r="K302" s="3">
        <v>9000</v>
      </c>
      <c r="L302" s="27">
        <v>45296</v>
      </c>
      <c r="M302" t="str">
        <f t="shared" si="4"/>
        <v>Below Target</v>
      </c>
    </row>
    <row r="303" spans="1:13" x14ac:dyDescent="0.35">
      <c r="A303" s="33" t="s">
        <v>463</v>
      </c>
      <c r="B303" s="3" t="s">
        <v>464</v>
      </c>
      <c r="C303" s="3" t="s">
        <v>44</v>
      </c>
      <c r="D303" s="3" t="s">
        <v>45</v>
      </c>
      <c r="E303" s="3" t="s">
        <v>46</v>
      </c>
      <c r="F303" s="3" t="s">
        <v>17</v>
      </c>
      <c r="G303" s="3" t="s">
        <v>36</v>
      </c>
      <c r="H303" s="3">
        <v>12902</v>
      </c>
      <c r="I303" s="3" t="s">
        <v>19</v>
      </c>
      <c r="J303" s="3">
        <v>0.2</v>
      </c>
      <c r="K303" s="3">
        <v>13000</v>
      </c>
      <c r="L303" s="27">
        <v>45313</v>
      </c>
      <c r="M303" t="str">
        <f t="shared" si="4"/>
        <v>Below Target</v>
      </c>
    </row>
    <row r="304" spans="1:13" x14ac:dyDescent="0.35">
      <c r="A304" s="33" t="s">
        <v>465</v>
      </c>
      <c r="B304" s="3" t="s">
        <v>373</v>
      </c>
      <c r="C304" s="3" t="s">
        <v>30</v>
      </c>
      <c r="D304" s="3" t="s">
        <v>31</v>
      </c>
      <c r="E304" s="3" t="s">
        <v>16</v>
      </c>
      <c r="F304" s="3" t="s">
        <v>17</v>
      </c>
      <c r="G304" s="3" t="s">
        <v>26</v>
      </c>
      <c r="H304" s="3">
        <v>18525</v>
      </c>
      <c r="I304" s="3" t="s">
        <v>33</v>
      </c>
      <c r="J304" s="3">
        <v>0.3</v>
      </c>
      <c r="K304" s="3">
        <v>17000</v>
      </c>
      <c r="L304" s="27">
        <v>45317</v>
      </c>
      <c r="M304" t="str">
        <f t="shared" si="4"/>
        <v>Target Achieved</v>
      </c>
    </row>
    <row r="305" spans="1:13" x14ac:dyDescent="0.35">
      <c r="A305" s="33" t="s">
        <v>466</v>
      </c>
      <c r="B305" s="3" t="s">
        <v>135</v>
      </c>
      <c r="C305" s="3" t="s">
        <v>30</v>
      </c>
      <c r="D305" s="3" t="s">
        <v>31</v>
      </c>
      <c r="E305" s="3" t="s">
        <v>16</v>
      </c>
      <c r="F305" s="3" t="s">
        <v>39</v>
      </c>
      <c r="G305" s="3" t="s">
        <v>18</v>
      </c>
      <c r="H305" s="3">
        <v>16307</v>
      </c>
      <c r="I305" s="3" t="s">
        <v>19</v>
      </c>
      <c r="J305" s="3">
        <v>0.2</v>
      </c>
      <c r="K305" s="3">
        <v>17000</v>
      </c>
      <c r="L305" s="27">
        <v>45321</v>
      </c>
      <c r="M305" t="str">
        <f t="shared" si="4"/>
        <v>Below Target</v>
      </c>
    </row>
    <row r="306" spans="1:13" x14ac:dyDescent="0.35">
      <c r="A306" s="33" t="s">
        <v>467</v>
      </c>
      <c r="B306" s="3" t="s">
        <v>263</v>
      </c>
      <c r="C306" s="3" t="s">
        <v>61</v>
      </c>
      <c r="D306" s="3" t="s">
        <v>62</v>
      </c>
      <c r="E306" s="3" t="s">
        <v>32</v>
      </c>
      <c r="F306" s="3" t="s">
        <v>25</v>
      </c>
      <c r="G306" s="3" t="s">
        <v>18</v>
      </c>
      <c r="H306" s="3">
        <v>7207</v>
      </c>
      <c r="I306" s="3" t="s">
        <v>33</v>
      </c>
      <c r="J306" s="3">
        <v>0.3</v>
      </c>
      <c r="K306" s="3">
        <v>9000</v>
      </c>
      <c r="L306" s="27">
        <v>45352</v>
      </c>
      <c r="M306" t="str">
        <f t="shared" si="4"/>
        <v>Below Target</v>
      </c>
    </row>
    <row r="307" spans="1:13" x14ac:dyDescent="0.35">
      <c r="A307" s="33" t="s">
        <v>468</v>
      </c>
      <c r="B307" s="3" t="s">
        <v>309</v>
      </c>
      <c r="C307" s="3" t="s">
        <v>61</v>
      </c>
      <c r="D307" s="3" t="s">
        <v>62</v>
      </c>
      <c r="E307" s="3" t="s">
        <v>32</v>
      </c>
      <c r="F307" s="3" t="s">
        <v>25</v>
      </c>
      <c r="G307" s="3" t="s">
        <v>36</v>
      </c>
      <c r="H307" s="3">
        <v>10824</v>
      </c>
      <c r="I307" s="3" t="s">
        <v>27</v>
      </c>
      <c r="J307" s="3"/>
      <c r="K307" s="3">
        <v>9000</v>
      </c>
      <c r="L307" s="27">
        <v>45338</v>
      </c>
      <c r="M307" t="str">
        <f t="shared" si="4"/>
        <v>Target Achieved</v>
      </c>
    </row>
    <row r="308" spans="1:13" x14ac:dyDescent="0.35">
      <c r="A308" s="33" t="s">
        <v>469</v>
      </c>
      <c r="B308" s="3" t="s">
        <v>408</v>
      </c>
      <c r="C308" s="3" t="s">
        <v>44</v>
      </c>
      <c r="D308" s="3" t="s">
        <v>45</v>
      </c>
      <c r="E308" s="3" t="s">
        <v>46</v>
      </c>
      <c r="F308" s="3" t="s">
        <v>39</v>
      </c>
      <c r="G308" s="3" t="s">
        <v>36</v>
      </c>
      <c r="H308" s="3">
        <v>13042</v>
      </c>
      <c r="I308" s="3" t="s">
        <v>33</v>
      </c>
      <c r="J308" s="3">
        <v>0.3</v>
      </c>
      <c r="K308" s="3">
        <v>13000</v>
      </c>
      <c r="L308" s="27">
        <v>45323</v>
      </c>
      <c r="M308" t="str">
        <f t="shared" si="4"/>
        <v>Target Achieved</v>
      </c>
    </row>
    <row r="309" spans="1:13" x14ac:dyDescent="0.35">
      <c r="A309" s="33" t="s">
        <v>470</v>
      </c>
      <c r="B309" s="3" t="s">
        <v>76</v>
      </c>
      <c r="C309" s="3" t="s">
        <v>61</v>
      </c>
      <c r="D309" s="3" t="s">
        <v>62</v>
      </c>
      <c r="E309" s="3" t="s">
        <v>16</v>
      </c>
      <c r="F309" s="3" t="s">
        <v>17</v>
      </c>
      <c r="G309" s="3" t="s">
        <v>18</v>
      </c>
      <c r="H309" s="3">
        <v>7881</v>
      </c>
      <c r="I309" s="3" t="s">
        <v>27</v>
      </c>
      <c r="J309" s="3"/>
      <c r="K309" s="3">
        <v>9000</v>
      </c>
      <c r="L309" s="27">
        <v>45314</v>
      </c>
      <c r="M309" t="str">
        <f t="shared" si="4"/>
        <v>Below Target</v>
      </c>
    </row>
    <row r="310" spans="1:13" x14ac:dyDescent="0.35">
      <c r="A310" s="33" t="s">
        <v>471</v>
      </c>
      <c r="B310" s="3" t="s">
        <v>161</v>
      </c>
      <c r="C310" s="3" t="s">
        <v>30</v>
      </c>
      <c r="D310" s="3" t="s">
        <v>31</v>
      </c>
      <c r="E310" s="3" t="s">
        <v>46</v>
      </c>
      <c r="F310" s="3" t="s">
        <v>39</v>
      </c>
      <c r="G310" s="3" t="s">
        <v>26</v>
      </c>
      <c r="H310" s="3">
        <v>17754</v>
      </c>
      <c r="I310" s="3"/>
      <c r="J310" s="3"/>
      <c r="K310" s="3">
        <v>17000</v>
      </c>
      <c r="L310" s="27">
        <v>45310</v>
      </c>
      <c r="M310" t="str">
        <f t="shared" si="4"/>
        <v>Target Achieved</v>
      </c>
    </row>
    <row r="311" spans="1:13" x14ac:dyDescent="0.35">
      <c r="A311" s="33" t="s">
        <v>472</v>
      </c>
      <c r="B311" s="3" t="s">
        <v>184</v>
      </c>
      <c r="C311" s="3" t="s">
        <v>14</v>
      </c>
      <c r="D311" s="3" t="s">
        <v>15</v>
      </c>
      <c r="E311" s="3" t="s">
        <v>46</v>
      </c>
      <c r="F311" s="3" t="s">
        <v>25</v>
      </c>
      <c r="G311" s="3" t="s">
        <v>36</v>
      </c>
      <c r="H311" s="3">
        <v>14979</v>
      </c>
      <c r="I311" s="3" t="s">
        <v>33</v>
      </c>
      <c r="J311" s="3">
        <v>0.3</v>
      </c>
      <c r="K311" s="3">
        <v>14000</v>
      </c>
      <c r="L311" s="27">
        <v>45340</v>
      </c>
      <c r="M311" t="str">
        <f t="shared" si="4"/>
        <v>Target Achieved</v>
      </c>
    </row>
    <row r="312" spans="1:13" x14ac:dyDescent="0.35">
      <c r="A312" s="33" t="s">
        <v>473</v>
      </c>
      <c r="B312" s="3" t="s">
        <v>474</v>
      </c>
      <c r="C312" s="3" t="s">
        <v>14</v>
      </c>
      <c r="D312" s="3" t="s">
        <v>15</v>
      </c>
      <c r="E312" s="3" t="s">
        <v>46</v>
      </c>
      <c r="F312" s="3" t="s">
        <v>25</v>
      </c>
      <c r="G312" s="3" t="s">
        <v>26</v>
      </c>
      <c r="H312" s="3">
        <v>14301</v>
      </c>
      <c r="I312" s="3" t="s">
        <v>19</v>
      </c>
      <c r="J312" s="3">
        <v>0.2</v>
      </c>
      <c r="K312" s="3">
        <v>14000</v>
      </c>
      <c r="L312" s="27">
        <v>45315</v>
      </c>
      <c r="M312" t="str">
        <f t="shared" si="4"/>
        <v>Target Achieved</v>
      </c>
    </row>
    <row r="313" spans="1:13" x14ac:dyDescent="0.35">
      <c r="A313" s="33" t="s">
        <v>475</v>
      </c>
      <c r="B313" s="3" t="s">
        <v>448</v>
      </c>
      <c r="C313" s="3" t="s">
        <v>14</v>
      </c>
      <c r="D313" s="3" t="s">
        <v>15</v>
      </c>
      <c r="E313" s="3" t="s">
        <v>46</v>
      </c>
      <c r="F313" s="3" t="s">
        <v>39</v>
      </c>
      <c r="G313" s="3" t="s">
        <v>36</v>
      </c>
      <c r="H313" s="3">
        <v>15130</v>
      </c>
      <c r="I313" s="3" t="s">
        <v>27</v>
      </c>
      <c r="J313" s="3"/>
      <c r="K313" s="3">
        <v>14000</v>
      </c>
      <c r="L313" s="27">
        <v>45309</v>
      </c>
      <c r="M313" t="str">
        <f t="shared" si="4"/>
        <v>Target Achieved</v>
      </c>
    </row>
    <row r="314" spans="1:13" x14ac:dyDescent="0.35">
      <c r="A314" s="33" t="s">
        <v>476</v>
      </c>
      <c r="B314" s="3" t="s">
        <v>460</v>
      </c>
      <c r="C314" s="3" t="s">
        <v>14</v>
      </c>
      <c r="D314" s="3" t="s">
        <v>15</v>
      </c>
      <c r="E314" s="3" t="s">
        <v>32</v>
      </c>
      <c r="F314" s="3" t="s">
        <v>25</v>
      </c>
      <c r="G314" s="3" t="s">
        <v>36</v>
      </c>
      <c r="H314" s="3">
        <v>13528</v>
      </c>
      <c r="I314" s="3" t="s">
        <v>33</v>
      </c>
      <c r="J314" s="3">
        <v>0.3</v>
      </c>
      <c r="K314" s="3">
        <v>14000</v>
      </c>
      <c r="L314" s="27">
        <v>45327</v>
      </c>
      <c r="M314" t="str">
        <f t="shared" si="4"/>
        <v>Below Target</v>
      </c>
    </row>
    <row r="315" spans="1:13" x14ac:dyDescent="0.35">
      <c r="A315" s="33" t="s">
        <v>477</v>
      </c>
      <c r="B315" s="3" t="s">
        <v>478</v>
      </c>
      <c r="C315" s="3" t="s">
        <v>44</v>
      </c>
      <c r="D315" s="3" t="s">
        <v>45</v>
      </c>
      <c r="E315" s="3" t="s">
        <v>32</v>
      </c>
      <c r="F315" s="3" t="s">
        <v>39</v>
      </c>
      <c r="G315" s="3" t="s">
        <v>26</v>
      </c>
      <c r="H315" s="3">
        <v>12644</v>
      </c>
      <c r="I315" s="3" t="s">
        <v>27</v>
      </c>
      <c r="J315" s="3"/>
      <c r="K315" s="3">
        <v>13000</v>
      </c>
      <c r="L315" s="27">
        <v>45294</v>
      </c>
      <c r="M315" t="str">
        <f t="shared" si="4"/>
        <v>Below Target</v>
      </c>
    </row>
    <row r="316" spans="1:13" x14ac:dyDescent="0.35">
      <c r="A316" s="33" t="s">
        <v>479</v>
      </c>
      <c r="B316" s="3" t="s">
        <v>161</v>
      </c>
      <c r="C316" s="3" t="s">
        <v>44</v>
      </c>
      <c r="D316" s="3" t="s">
        <v>45</v>
      </c>
      <c r="E316" s="3" t="s">
        <v>16</v>
      </c>
      <c r="F316" s="3" t="s">
        <v>17</v>
      </c>
      <c r="G316" s="3" t="s">
        <v>36</v>
      </c>
      <c r="H316" s="3">
        <v>13127</v>
      </c>
      <c r="I316" s="3"/>
      <c r="J316" s="3"/>
      <c r="K316" s="3">
        <v>13000</v>
      </c>
      <c r="L316" s="27">
        <v>45301</v>
      </c>
      <c r="M316" t="str">
        <f t="shared" si="4"/>
        <v>Target Achieved</v>
      </c>
    </row>
    <row r="317" spans="1:13" x14ac:dyDescent="0.35">
      <c r="A317" s="33" t="s">
        <v>480</v>
      </c>
      <c r="B317" s="3" t="s">
        <v>86</v>
      </c>
      <c r="C317" s="3" t="s">
        <v>44</v>
      </c>
      <c r="D317" s="3" t="s">
        <v>45</v>
      </c>
      <c r="E317" s="3" t="s">
        <v>46</v>
      </c>
      <c r="F317" s="3" t="s">
        <v>39</v>
      </c>
      <c r="G317" s="3" t="s">
        <v>36</v>
      </c>
      <c r="H317" s="3">
        <v>11665</v>
      </c>
      <c r="I317" s="3"/>
      <c r="J317" s="3"/>
      <c r="K317" s="3">
        <v>13000</v>
      </c>
      <c r="L317" s="27">
        <v>45331</v>
      </c>
      <c r="M317" t="str">
        <f t="shared" si="4"/>
        <v>Below Target</v>
      </c>
    </row>
    <row r="318" spans="1:13" x14ac:dyDescent="0.35">
      <c r="A318" s="33" t="s">
        <v>481</v>
      </c>
      <c r="B318" s="3" t="s">
        <v>371</v>
      </c>
      <c r="C318" s="3" t="s">
        <v>30</v>
      </c>
      <c r="D318" s="3" t="s">
        <v>31</v>
      </c>
      <c r="E318" s="3" t="s">
        <v>16</v>
      </c>
      <c r="F318" s="3" t="s">
        <v>17</v>
      </c>
      <c r="G318" s="3" t="s">
        <v>26</v>
      </c>
      <c r="H318" s="3">
        <v>18392</v>
      </c>
      <c r="I318" s="3" t="s">
        <v>27</v>
      </c>
      <c r="J318" s="3"/>
      <c r="K318" s="3">
        <v>17000</v>
      </c>
      <c r="L318" s="27">
        <v>45326</v>
      </c>
      <c r="M318" t="str">
        <f t="shared" si="4"/>
        <v>Target Achieved</v>
      </c>
    </row>
    <row r="319" spans="1:13" x14ac:dyDescent="0.35">
      <c r="A319" s="33" t="s">
        <v>482</v>
      </c>
      <c r="B319" s="3" t="s">
        <v>483</v>
      </c>
      <c r="C319" s="3" t="s">
        <v>30</v>
      </c>
      <c r="D319" s="3" t="s">
        <v>31</v>
      </c>
      <c r="E319" s="3" t="s">
        <v>46</v>
      </c>
      <c r="F319" s="3" t="s">
        <v>25</v>
      </c>
      <c r="G319" s="3" t="s">
        <v>36</v>
      </c>
      <c r="H319" s="3">
        <v>16356</v>
      </c>
      <c r="I319" s="3" t="s">
        <v>22</v>
      </c>
      <c r="J319" s="3">
        <v>0.1</v>
      </c>
      <c r="K319" s="3">
        <v>17000</v>
      </c>
      <c r="L319" s="27">
        <v>45318</v>
      </c>
      <c r="M319" t="str">
        <f t="shared" si="4"/>
        <v>Below Target</v>
      </c>
    </row>
    <row r="320" spans="1:13" x14ac:dyDescent="0.35">
      <c r="A320" s="33" t="s">
        <v>484</v>
      </c>
      <c r="B320" s="3" t="s">
        <v>291</v>
      </c>
      <c r="C320" s="3" t="s">
        <v>14</v>
      </c>
      <c r="D320" s="3" t="s">
        <v>15</v>
      </c>
      <c r="E320" s="3" t="s">
        <v>16</v>
      </c>
      <c r="F320" s="3" t="s">
        <v>17</v>
      </c>
      <c r="G320" s="3" t="s">
        <v>36</v>
      </c>
      <c r="H320" s="3">
        <v>15961</v>
      </c>
      <c r="I320" s="3" t="s">
        <v>27</v>
      </c>
      <c r="J320" s="3"/>
      <c r="K320" s="3">
        <v>14000</v>
      </c>
      <c r="L320" s="27">
        <v>45328</v>
      </c>
      <c r="M320" t="str">
        <f t="shared" si="4"/>
        <v>Target Achieved</v>
      </c>
    </row>
    <row r="321" spans="1:13" x14ac:dyDescent="0.35">
      <c r="A321" s="33" t="s">
        <v>485</v>
      </c>
      <c r="B321" s="3" t="s">
        <v>220</v>
      </c>
      <c r="C321" s="3" t="s">
        <v>14</v>
      </c>
      <c r="D321" s="3" t="s">
        <v>15</v>
      </c>
      <c r="E321" s="3" t="s">
        <v>16</v>
      </c>
      <c r="F321" s="3" t="s">
        <v>17</v>
      </c>
      <c r="G321" s="3" t="s">
        <v>18</v>
      </c>
      <c r="H321" s="3">
        <v>14147</v>
      </c>
      <c r="I321" s="3" t="s">
        <v>27</v>
      </c>
      <c r="J321" s="3"/>
      <c r="K321" s="3">
        <v>14000</v>
      </c>
      <c r="L321" s="27">
        <v>45341</v>
      </c>
      <c r="M321" t="str">
        <f t="shared" si="4"/>
        <v>Target Achieved</v>
      </c>
    </row>
    <row r="322" spans="1:13" x14ac:dyDescent="0.35">
      <c r="A322" s="33" t="s">
        <v>486</v>
      </c>
      <c r="B322" s="3" t="s">
        <v>487</v>
      </c>
      <c r="C322" s="3" t="s">
        <v>44</v>
      </c>
      <c r="D322" s="3" t="s">
        <v>45</v>
      </c>
      <c r="E322" s="3" t="s">
        <v>16</v>
      </c>
      <c r="F322" s="3" t="s">
        <v>25</v>
      </c>
      <c r="G322" s="3" t="s">
        <v>18</v>
      </c>
      <c r="H322" s="3">
        <v>13345</v>
      </c>
      <c r="I322" s="3" t="s">
        <v>22</v>
      </c>
      <c r="J322" s="3">
        <v>0.1</v>
      </c>
      <c r="K322" s="3">
        <v>13000</v>
      </c>
      <c r="L322" s="27">
        <v>45304</v>
      </c>
      <c r="M322" t="str">
        <f t="shared" si="4"/>
        <v>Target Achieved</v>
      </c>
    </row>
    <row r="323" spans="1:13" x14ac:dyDescent="0.35">
      <c r="A323" s="33" t="s">
        <v>488</v>
      </c>
      <c r="B323" s="3" t="s">
        <v>489</v>
      </c>
      <c r="C323" s="3" t="s">
        <v>30</v>
      </c>
      <c r="D323" s="3" t="s">
        <v>31</v>
      </c>
      <c r="E323" s="3" t="s">
        <v>46</v>
      </c>
      <c r="F323" s="3" t="s">
        <v>25</v>
      </c>
      <c r="G323" s="3" t="s">
        <v>36</v>
      </c>
      <c r="H323" s="3">
        <v>17828</v>
      </c>
      <c r="I323" s="3" t="s">
        <v>19</v>
      </c>
      <c r="J323" s="3">
        <v>0.2</v>
      </c>
      <c r="K323" s="3">
        <v>17000</v>
      </c>
      <c r="L323" s="27">
        <v>45318</v>
      </c>
      <c r="M323" t="str">
        <f t="shared" si="4"/>
        <v>Target Achieved</v>
      </c>
    </row>
    <row r="324" spans="1:13" x14ac:dyDescent="0.35">
      <c r="A324" s="33" t="s">
        <v>490</v>
      </c>
      <c r="B324" s="3" t="s">
        <v>82</v>
      </c>
      <c r="C324" s="3" t="s">
        <v>61</v>
      </c>
      <c r="D324" s="3" t="s">
        <v>62</v>
      </c>
      <c r="E324" s="3" t="s">
        <v>16</v>
      </c>
      <c r="F324" s="3" t="s">
        <v>39</v>
      </c>
      <c r="G324" s="3" t="s">
        <v>18</v>
      </c>
      <c r="H324" s="3">
        <v>9890</v>
      </c>
      <c r="I324" s="3" t="s">
        <v>19</v>
      </c>
      <c r="J324" s="3">
        <v>0.2</v>
      </c>
      <c r="K324" s="3">
        <v>9000</v>
      </c>
      <c r="L324" s="27">
        <v>45325</v>
      </c>
      <c r="M324" t="str">
        <f t="shared" si="4"/>
        <v>Target Achieved</v>
      </c>
    </row>
    <row r="325" spans="1:13" x14ac:dyDescent="0.35">
      <c r="A325" s="33" t="s">
        <v>491</v>
      </c>
      <c r="B325" s="3" t="s">
        <v>24</v>
      </c>
      <c r="C325" s="3" t="s">
        <v>30</v>
      </c>
      <c r="D325" s="3" t="s">
        <v>31</v>
      </c>
      <c r="E325" s="3" t="s">
        <v>16</v>
      </c>
      <c r="F325" s="3" t="s">
        <v>17</v>
      </c>
      <c r="G325" s="3" t="s">
        <v>26</v>
      </c>
      <c r="H325" s="3">
        <v>16543</v>
      </c>
      <c r="I325" s="3" t="s">
        <v>33</v>
      </c>
      <c r="J325" s="3">
        <v>0.3</v>
      </c>
      <c r="K325" s="3">
        <v>17000</v>
      </c>
      <c r="L325" s="27">
        <v>45303</v>
      </c>
      <c r="M325" t="str">
        <f t="shared" si="4"/>
        <v>Below Target</v>
      </c>
    </row>
    <row r="326" spans="1:13" x14ac:dyDescent="0.35">
      <c r="A326" s="33" t="s">
        <v>492</v>
      </c>
      <c r="B326" s="3" t="s">
        <v>330</v>
      </c>
      <c r="C326" s="3" t="s">
        <v>30</v>
      </c>
      <c r="D326" s="3" t="s">
        <v>31</v>
      </c>
      <c r="E326" s="3" t="s">
        <v>16</v>
      </c>
      <c r="F326" s="3" t="s">
        <v>17</v>
      </c>
      <c r="G326" s="3" t="s">
        <v>26</v>
      </c>
      <c r="H326" s="3">
        <v>18162</v>
      </c>
      <c r="I326" s="3" t="s">
        <v>33</v>
      </c>
      <c r="J326" s="3">
        <v>0.3</v>
      </c>
      <c r="K326" s="3">
        <v>17000</v>
      </c>
      <c r="L326" s="27">
        <v>45331</v>
      </c>
      <c r="M326" t="str">
        <f t="shared" si="4"/>
        <v>Target Achieved</v>
      </c>
    </row>
    <row r="327" spans="1:13" x14ac:dyDescent="0.35">
      <c r="A327" s="33" t="s">
        <v>493</v>
      </c>
      <c r="B327" s="3" t="s">
        <v>211</v>
      </c>
      <c r="C327" s="3" t="s">
        <v>44</v>
      </c>
      <c r="D327" s="3" t="s">
        <v>45</v>
      </c>
      <c r="E327" s="3" t="s">
        <v>46</v>
      </c>
      <c r="F327" s="3" t="s">
        <v>39</v>
      </c>
      <c r="G327" s="3" t="s">
        <v>36</v>
      </c>
      <c r="H327" s="3">
        <v>11921</v>
      </c>
      <c r="I327" s="3" t="s">
        <v>33</v>
      </c>
      <c r="J327" s="3">
        <v>0.3</v>
      </c>
      <c r="K327" s="3">
        <v>13000</v>
      </c>
      <c r="L327" s="27">
        <v>45341</v>
      </c>
      <c r="M327" t="str">
        <f t="shared" si="4"/>
        <v>Below Target</v>
      </c>
    </row>
    <row r="328" spans="1:13" x14ac:dyDescent="0.35">
      <c r="A328" s="33" t="s">
        <v>494</v>
      </c>
      <c r="B328" s="3" t="s">
        <v>350</v>
      </c>
      <c r="C328" s="3" t="s">
        <v>44</v>
      </c>
      <c r="D328" s="3" t="s">
        <v>45</v>
      </c>
      <c r="E328" s="3" t="s">
        <v>16</v>
      </c>
      <c r="F328" s="3" t="s">
        <v>39</v>
      </c>
      <c r="G328" s="3" t="s">
        <v>36</v>
      </c>
      <c r="H328" s="3">
        <v>12298</v>
      </c>
      <c r="I328" s="3"/>
      <c r="J328" s="3"/>
      <c r="K328" s="3">
        <v>13000</v>
      </c>
      <c r="L328" s="27">
        <v>45314</v>
      </c>
      <c r="M328" t="str">
        <f t="shared" si="4"/>
        <v>Below Target</v>
      </c>
    </row>
    <row r="329" spans="1:13" x14ac:dyDescent="0.35">
      <c r="A329" s="33" t="s">
        <v>495</v>
      </c>
      <c r="B329" s="3" t="s">
        <v>82</v>
      </c>
      <c r="C329" s="3" t="s">
        <v>30</v>
      </c>
      <c r="D329" s="3" t="s">
        <v>31</v>
      </c>
      <c r="E329" s="3" t="s">
        <v>46</v>
      </c>
      <c r="F329" s="3" t="s">
        <v>25</v>
      </c>
      <c r="G329" s="3" t="s">
        <v>26</v>
      </c>
      <c r="H329" s="3">
        <v>17771</v>
      </c>
      <c r="I329" s="3" t="s">
        <v>27</v>
      </c>
      <c r="J329" s="3"/>
      <c r="K329" s="3">
        <v>17000</v>
      </c>
      <c r="L329" s="27">
        <v>45316</v>
      </c>
      <c r="M329" t="str">
        <f t="shared" si="4"/>
        <v>Target Achieved</v>
      </c>
    </row>
    <row r="330" spans="1:13" x14ac:dyDescent="0.35">
      <c r="A330" s="33" t="s">
        <v>496</v>
      </c>
      <c r="B330" s="3" t="s">
        <v>137</v>
      </c>
      <c r="C330" s="3" t="s">
        <v>30</v>
      </c>
      <c r="D330" s="3" t="s">
        <v>31</v>
      </c>
      <c r="E330" s="3" t="s">
        <v>32</v>
      </c>
      <c r="F330" s="3" t="s">
        <v>17</v>
      </c>
      <c r="G330" s="3" t="s">
        <v>18</v>
      </c>
      <c r="H330" s="3">
        <v>16178</v>
      </c>
      <c r="I330" s="3" t="s">
        <v>22</v>
      </c>
      <c r="J330" s="3">
        <v>0.1</v>
      </c>
      <c r="K330" s="3">
        <v>17000</v>
      </c>
      <c r="L330" s="27">
        <v>45314</v>
      </c>
      <c r="M330" t="str">
        <f t="shared" si="4"/>
        <v>Below Target</v>
      </c>
    </row>
    <row r="331" spans="1:13" x14ac:dyDescent="0.35">
      <c r="A331" s="33" t="s">
        <v>497</v>
      </c>
      <c r="B331" s="3" t="s">
        <v>445</v>
      </c>
      <c r="C331" s="3" t="s">
        <v>30</v>
      </c>
      <c r="D331" s="3" t="s">
        <v>31</v>
      </c>
      <c r="E331" s="3" t="s">
        <v>16</v>
      </c>
      <c r="F331" s="3" t="s">
        <v>17</v>
      </c>
      <c r="G331" s="3" t="s">
        <v>18</v>
      </c>
      <c r="H331" s="3">
        <v>15827</v>
      </c>
      <c r="I331" s="3" t="s">
        <v>27</v>
      </c>
      <c r="J331" s="3"/>
      <c r="K331" s="3">
        <v>17000</v>
      </c>
      <c r="L331" s="27">
        <v>45309</v>
      </c>
      <c r="M331" t="str">
        <f t="shared" si="4"/>
        <v>Below Target</v>
      </c>
    </row>
    <row r="332" spans="1:13" x14ac:dyDescent="0.35">
      <c r="A332" s="33" t="s">
        <v>498</v>
      </c>
      <c r="B332" s="3" t="s">
        <v>84</v>
      </c>
      <c r="C332" s="3" t="s">
        <v>30</v>
      </c>
      <c r="D332" s="3" t="s">
        <v>31</v>
      </c>
      <c r="E332" s="3" t="s">
        <v>32</v>
      </c>
      <c r="F332" s="3" t="s">
        <v>25</v>
      </c>
      <c r="G332" s="3" t="s">
        <v>26</v>
      </c>
      <c r="H332" s="3">
        <v>18034</v>
      </c>
      <c r="I332" s="3" t="s">
        <v>27</v>
      </c>
      <c r="J332" s="3"/>
      <c r="K332" s="3">
        <v>17000</v>
      </c>
      <c r="L332" s="27">
        <v>45307</v>
      </c>
      <c r="M332" t="str">
        <f t="shared" si="4"/>
        <v>Target Achieved</v>
      </c>
    </row>
    <row r="333" spans="1:13" x14ac:dyDescent="0.35">
      <c r="A333" s="33" t="s">
        <v>499</v>
      </c>
      <c r="B333" s="3" t="s">
        <v>500</v>
      </c>
      <c r="C333" s="3" t="s">
        <v>44</v>
      </c>
      <c r="D333" s="3" t="s">
        <v>45</v>
      </c>
      <c r="E333" s="3" t="s">
        <v>16</v>
      </c>
      <c r="F333" s="3" t="s">
        <v>25</v>
      </c>
      <c r="G333" s="3" t="s">
        <v>18</v>
      </c>
      <c r="H333" s="3">
        <v>11410</v>
      </c>
      <c r="I333" s="3"/>
      <c r="J333" s="3"/>
      <c r="K333" s="3">
        <v>13000</v>
      </c>
      <c r="L333" s="27">
        <v>45313</v>
      </c>
      <c r="M333" t="str">
        <f t="shared" si="4"/>
        <v>Below Target</v>
      </c>
    </row>
    <row r="334" spans="1:13" x14ac:dyDescent="0.35">
      <c r="A334" s="33" t="s">
        <v>501</v>
      </c>
      <c r="B334" s="3" t="s">
        <v>334</v>
      </c>
      <c r="C334" s="3" t="s">
        <v>14</v>
      </c>
      <c r="D334" s="3" t="s">
        <v>15</v>
      </c>
      <c r="E334" s="3" t="s">
        <v>16</v>
      </c>
      <c r="F334" s="3" t="s">
        <v>25</v>
      </c>
      <c r="G334" s="3" t="s">
        <v>18</v>
      </c>
      <c r="H334" s="3">
        <v>15950</v>
      </c>
      <c r="I334" s="3" t="s">
        <v>27</v>
      </c>
      <c r="J334" s="3"/>
      <c r="K334" s="3">
        <v>14000</v>
      </c>
      <c r="L334" s="27">
        <v>45351</v>
      </c>
      <c r="M334" t="str">
        <f t="shared" si="4"/>
        <v>Target Achieved</v>
      </c>
    </row>
    <row r="335" spans="1:13" x14ac:dyDescent="0.35">
      <c r="A335" s="33" t="s">
        <v>502</v>
      </c>
      <c r="B335" s="3" t="s">
        <v>363</v>
      </c>
      <c r="C335" s="3" t="s">
        <v>61</v>
      </c>
      <c r="D335" s="3" t="s">
        <v>62</v>
      </c>
      <c r="E335" s="3" t="s">
        <v>46</v>
      </c>
      <c r="F335" s="3" t="s">
        <v>39</v>
      </c>
      <c r="G335" s="3" t="s">
        <v>18</v>
      </c>
      <c r="H335" s="3">
        <v>10096</v>
      </c>
      <c r="I335" s="3" t="s">
        <v>33</v>
      </c>
      <c r="J335" s="3">
        <v>0.3</v>
      </c>
      <c r="K335" s="3">
        <v>9000</v>
      </c>
      <c r="L335" s="27">
        <v>45312</v>
      </c>
      <c r="M335" t="str">
        <f t="shared" si="4"/>
        <v>Target Achieved</v>
      </c>
    </row>
    <row r="336" spans="1:13" x14ac:dyDescent="0.35">
      <c r="A336" s="33" t="s">
        <v>503</v>
      </c>
      <c r="B336" s="3" t="s">
        <v>286</v>
      </c>
      <c r="C336" s="3" t="s">
        <v>14</v>
      </c>
      <c r="D336" s="3" t="s">
        <v>15</v>
      </c>
      <c r="E336" s="3" t="s">
        <v>32</v>
      </c>
      <c r="F336" s="3" t="s">
        <v>39</v>
      </c>
      <c r="G336" s="3" t="s">
        <v>26</v>
      </c>
      <c r="H336" s="3">
        <v>12951</v>
      </c>
      <c r="I336" s="3" t="s">
        <v>27</v>
      </c>
      <c r="J336" s="3"/>
      <c r="K336" s="3">
        <v>14000</v>
      </c>
      <c r="L336" s="27">
        <v>45339</v>
      </c>
      <c r="M336" t="str">
        <f t="shared" si="4"/>
        <v>Below Target</v>
      </c>
    </row>
    <row r="337" spans="1:13" x14ac:dyDescent="0.35">
      <c r="A337" s="33" t="s">
        <v>504</v>
      </c>
      <c r="B337" s="3" t="s">
        <v>371</v>
      </c>
      <c r="C337" s="3" t="s">
        <v>14</v>
      </c>
      <c r="D337" s="3" t="s">
        <v>15</v>
      </c>
      <c r="E337" s="3" t="s">
        <v>32</v>
      </c>
      <c r="F337" s="3" t="s">
        <v>17</v>
      </c>
      <c r="G337" s="3" t="s">
        <v>18</v>
      </c>
      <c r="H337" s="3">
        <v>15825</v>
      </c>
      <c r="I337" s="3" t="s">
        <v>22</v>
      </c>
      <c r="J337" s="3">
        <v>0.1</v>
      </c>
      <c r="K337" s="3">
        <v>14000</v>
      </c>
      <c r="L337" s="27">
        <v>45345</v>
      </c>
      <c r="M337" t="str">
        <f t="shared" si="4"/>
        <v>Target Achieved</v>
      </c>
    </row>
    <row r="338" spans="1:13" x14ac:dyDescent="0.35">
      <c r="A338" s="33" t="s">
        <v>505</v>
      </c>
      <c r="B338" s="3" t="s">
        <v>155</v>
      </c>
      <c r="C338" s="3" t="s">
        <v>61</v>
      </c>
      <c r="D338" s="3" t="s">
        <v>62</v>
      </c>
      <c r="E338" s="3" t="s">
        <v>32</v>
      </c>
      <c r="F338" s="3" t="s">
        <v>39</v>
      </c>
      <c r="G338" s="3" t="s">
        <v>36</v>
      </c>
      <c r="H338" s="3">
        <v>10591</v>
      </c>
      <c r="I338" s="3" t="s">
        <v>22</v>
      </c>
      <c r="J338" s="3">
        <v>0.1</v>
      </c>
      <c r="K338" s="3">
        <v>9000</v>
      </c>
      <c r="L338" s="27">
        <v>45292</v>
      </c>
      <c r="M338" t="str">
        <f t="shared" si="4"/>
        <v>Target Achieved</v>
      </c>
    </row>
    <row r="339" spans="1:13" x14ac:dyDescent="0.35">
      <c r="A339" s="33" t="s">
        <v>506</v>
      </c>
      <c r="B339" s="3" t="s">
        <v>118</v>
      </c>
      <c r="C339" s="3" t="s">
        <v>14</v>
      </c>
      <c r="D339" s="3" t="s">
        <v>15</v>
      </c>
      <c r="E339" s="3" t="s">
        <v>46</v>
      </c>
      <c r="F339" s="3" t="s">
        <v>17</v>
      </c>
      <c r="G339" s="3" t="s">
        <v>36</v>
      </c>
      <c r="H339" s="3">
        <v>14626</v>
      </c>
      <c r="I339" s="3" t="s">
        <v>27</v>
      </c>
      <c r="J339" s="3"/>
      <c r="K339" s="3">
        <v>14000</v>
      </c>
      <c r="L339" s="27">
        <v>45325</v>
      </c>
      <c r="M339" t="str">
        <f t="shared" si="4"/>
        <v>Target Achieved</v>
      </c>
    </row>
    <row r="340" spans="1:13" x14ac:dyDescent="0.35">
      <c r="A340" s="33" t="s">
        <v>507</v>
      </c>
      <c r="B340" s="3" t="s">
        <v>508</v>
      </c>
      <c r="C340" s="3" t="s">
        <v>61</v>
      </c>
      <c r="D340" s="3" t="s">
        <v>62</v>
      </c>
      <c r="E340" s="3" t="s">
        <v>46</v>
      </c>
      <c r="F340" s="3" t="s">
        <v>25</v>
      </c>
      <c r="G340" s="3" t="s">
        <v>18</v>
      </c>
      <c r="H340" s="3">
        <v>8354</v>
      </c>
      <c r="I340" s="3" t="s">
        <v>19</v>
      </c>
      <c r="J340" s="3">
        <v>0.2</v>
      </c>
      <c r="K340" s="3">
        <v>9000</v>
      </c>
      <c r="L340" s="27">
        <v>45338</v>
      </c>
      <c r="M340" t="str">
        <f t="shared" si="4"/>
        <v>Below Target</v>
      </c>
    </row>
    <row r="341" spans="1:13" x14ac:dyDescent="0.35">
      <c r="A341" s="33" t="s">
        <v>509</v>
      </c>
      <c r="B341" s="3" t="s">
        <v>332</v>
      </c>
      <c r="C341" s="3" t="s">
        <v>30</v>
      </c>
      <c r="D341" s="3" t="s">
        <v>31</v>
      </c>
      <c r="E341" s="3" t="s">
        <v>16</v>
      </c>
      <c r="F341" s="3" t="s">
        <v>25</v>
      </c>
      <c r="G341" s="3" t="s">
        <v>18</v>
      </c>
      <c r="H341" s="3">
        <v>18017</v>
      </c>
      <c r="I341" s="3" t="s">
        <v>33</v>
      </c>
      <c r="J341" s="3">
        <v>0.3</v>
      </c>
      <c r="K341" s="3">
        <v>17000</v>
      </c>
      <c r="L341" s="27">
        <v>45342</v>
      </c>
      <c r="M341" t="str">
        <f t="shared" si="4"/>
        <v>Target Achieved</v>
      </c>
    </row>
    <row r="342" spans="1:13" x14ac:dyDescent="0.35">
      <c r="A342" s="33" t="s">
        <v>510</v>
      </c>
      <c r="B342" s="3" t="s">
        <v>118</v>
      </c>
      <c r="C342" s="3" t="s">
        <v>44</v>
      </c>
      <c r="D342" s="3" t="s">
        <v>45</v>
      </c>
      <c r="E342" s="3" t="s">
        <v>32</v>
      </c>
      <c r="F342" s="3" t="s">
        <v>39</v>
      </c>
      <c r="G342" s="3" t="s">
        <v>26</v>
      </c>
      <c r="H342" s="3">
        <v>14674</v>
      </c>
      <c r="I342" s="3"/>
      <c r="J342" s="3"/>
      <c r="K342" s="3">
        <v>13000</v>
      </c>
      <c r="L342" s="27">
        <v>45344</v>
      </c>
      <c r="M342" t="str">
        <f t="shared" si="4"/>
        <v>Target Achieved</v>
      </c>
    </row>
    <row r="343" spans="1:13" x14ac:dyDescent="0.35">
      <c r="A343" s="33" t="s">
        <v>511</v>
      </c>
      <c r="B343" s="3" t="s">
        <v>512</v>
      </c>
      <c r="C343" s="3" t="s">
        <v>30</v>
      </c>
      <c r="D343" s="3" t="s">
        <v>31</v>
      </c>
      <c r="E343" s="3" t="s">
        <v>32</v>
      </c>
      <c r="F343" s="3" t="s">
        <v>17</v>
      </c>
      <c r="G343" s="3" t="s">
        <v>26</v>
      </c>
      <c r="H343" s="3">
        <v>15390</v>
      </c>
      <c r="I343" s="3" t="s">
        <v>19</v>
      </c>
      <c r="J343" s="3">
        <v>0.2</v>
      </c>
      <c r="K343" s="3">
        <v>17000</v>
      </c>
      <c r="L343" s="27">
        <v>45300</v>
      </c>
      <c r="M343" t="str">
        <f t="shared" si="4"/>
        <v>Below Target</v>
      </c>
    </row>
    <row r="344" spans="1:13" x14ac:dyDescent="0.35">
      <c r="A344" s="33" t="s">
        <v>513</v>
      </c>
      <c r="B344" s="3" t="s">
        <v>188</v>
      </c>
      <c r="C344" s="3" t="s">
        <v>44</v>
      </c>
      <c r="D344" s="3" t="s">
        <v>45</v>
      </c>
      <c r="E344" s="3" t="s">
        <v>32</v>
      </c>
      <c r="F344" s="3" t="s">
        <v>17</v>
      </c>
      <c r="G344" s="3" t="s">
        <v>36</v>
      </c>
      <c r="H344" s="3">
        <v>11964</v>
      </c>
      <c r="I344" s="3"/>
      <c r="J344" s="3"/>
      <c r="K344" s="3">
        <v>13000</v>
      </c>
      <c r="L344" s="27">
        <v>45340</v>
      </c>
      <c r="M344" t="str">
        <f t="shared" si="4"/>
        <v>Below Target</v>
      </c>
    </row>
    <row r="345" spans="1:13" x14ac:dyDescent="0.35">
      <c r="A345" s="33" t="s">
        <v>514</v>
      </c>
      <c r="B345" s="3" t="s">
        <v>131</v>
      </c>
      <c r="C345" s="3" t="s">
        <v>30</v>
      </c>
      <c r="D345" s="3" t="s">
        <v>31</v>
      </c>
      <c r="E345" s="3" t="s">
        <v>16</v>
      </c>
      <c r="F345" s="3" t="s">
        <v>39</v>
      </c>
      <c r="G345" s="3" t="s">
        <v>26</v>
      </c>
      <c r="H345" s="3">
        <v>15046</v>
      </c>
      <c r="I345" s="3" t="s">
        <v>33</v>
      </c>
      <c r="J345" s="3">
        <v>0.3</v>
      </c>
      <c r="K345" s="3">
        <v>17000</v>
      </c>
      <c r="L345" s="27">
        <v>45333</v>
      </c>
      <c r="M345" t="str">
        <f t="shared" si="4"/>
        <v>Below Target</v>
      </c>
    </row>
    <row r="346" spans="1:13" x14ac:dyDescent="0.35">
      <c r="A346" s="33" t="s">
        <v>515</v>
      </c>
      <c r="B346" s="3" t="s">
        <v>516</v>
      </c>
      <c r="C346" s="3" t="s">
        <v>44</v>
      </c>
      <c r="D346" s="3" t="s">
        <v>45</v>
      </c>
      <c r="E346" s="3" t="s">
        <v>32</v>
      </c>
      <c r="F346" s="3" t="s">
        <v>39</v>
      </c>
      <c r="G346" s="3" t="s">
        <v>18</v>
      </c>
      <c r="H346" s="3">
        <v>12906</v>
      </c>
      <c r="I346" s="3" t="s">
        <v>33</v>
      </c>
      <c r="J346" s="3">
        <v>0.3</v>
      </c>
      <c r="K346" s="3">
        <v>13000</v>
      </c>
      <c r="L346" s="27">
        <v>45302</v>
      </c>
      <c r="M346" t="str">
        <f t="shared" si="4"/>
        <v>Below Target</v>
      </c>
    </row>
    <row r="347" spans="1:13" x14ac:dyDescent="0.35">
      <c r="A347" s="33" t="s">
        <v>517</v>
      </c>
      <c r="B347" s="3" t="s">
        <v>274</v>
      </c>
      <c r="C347" s="3" t="s">
        <v>30</v>
      </c>
      <c r="D347" s="3" t="s">
        <v>31</v>
      </c>
      <c r="E347" s="3" t="s">
        <v>16</v>
      </c>
      <c r="F347" s="3" t="s">
        <v>25</v>
      </c>
      <c r="G347" s="3" t="s">
        <v>26</v>
      </c>
      <c r="H347" s="3">
        <v>18752</v>
      </c>
      <c r="I347" s="3" t="s">
        <v>33</v>
      </c>
      <c r="J347" s="3">
        <v>0.3</v>
      </c>
      <c r="K347" s="3">
        <v>17000</v>
      </c>
      <c r="L347" s="27">
        <v>45315</v>
      </c>
      <c r="M347" t="str">
        <f t="shared" si="4"/>
        <v>Target Achieved</v>
      </c>
    </row>
    <row r="348" spans="1:13" x14ac:dyDescent="0.35">
      <c r="A348" s="33" t="s">
        <v>518</v>
      </c>
      <c r="B348" s="3" t="s">
        <v>519</v>
      </c>
      <c r="C348" s="3" t="s">
        <v>44</v>
      </c>
      <c r="D348" s="3" t="s">
        <v>45</v>
      </c>
      <c r="E348" s="3" t="s">
        <v>32</v>
      </c>
      <c r="F348" s="3" t="s">
        <v>17</v>
      </c>
      <c r="G348" s="3" t="s">
        <v>18</v>
      </c>
      <c r="H348" s="3">
        <v>12863</v>
      </c>
      <c r="I348" s="3" t="s">
        <v>27</v>
      </c>
      <c r="J348" s="3"/>
      <c r="K348" s="3">
        <v>13000</v>
      </c>
      <c r="L348" s="27">
        <v>45315</v>
      </c>
      <c r="M348" t="str">
        <f t="shared" si="4"/>
        <v>Below Target</v>
      </c>
    </row>
    <row r="349" spans="1:13" x14ac:dyDescent="0.35">
      <c r="A349" s="33" t="s">
        <v>520</v>
      </c>
      <c r="B349" s="3" t="s">
        <v>101</v>
      </c>
      <c r="C349" s="3" t="s">
        <v>61</v>
      </c>
      <c r="D349" s="3" t="s">
        <v>62</v>
      </c>
      <c r="E349" s="3" t="s">
        <v>16</v>
      </c>
      <c r="F349" s="3" t="s">
        <v>39</v>
      </c>
      <c r="G349" s="3" t="s">
        <v>18</v>
      </c>
      <c r="H349" s="3">
        <v>10120</v>
      </c>
      <c r="I349" s="3" t="s">
        <v>19</v>
      </c>
      <c r="J349" s="3">
        <v>0.2</v>
      </c>
      <c r="K349" s="3">
        <v>9000</v>
      </c>
      <c r="L349" s="27">
        <v>45335</v>
      </c>
      <c r="M349" t="str">
        <f t="shared" si="4"/>
        <v>Target Achieved</v>
      </c>
    </row>
    <row r="350" spans="1:13" x14ac:dyDescent="0.35">
      <c r="A350" s="33" t="s">
        <v>521</v>
      </c>
      <c r="B350" s="3" t="s">
        <v>522</v>
      </c>
      <c r="C350" s="3" t="s">
        <v>14</v>
      </c>
      <c r="D350" s="3" t="s">
        <v>15</v>
      </c>
      <c r="E350" s="3" t="s">
        <v>16</v>
      </c>
      <c r="F350" s="3" t="s">
        <v>17</v>
      </c>
      <c r="G350" s="3" t="s">
        <v>26</v>
      </c>
      <c r="H350" s="3">
        <v>14882</v>
      </c>
      <c r="I350" s="3" t="s">
        <v>33</v>
      </c>
      <c r="J350" s="3">
        <v>0.3</v>
      </c>
      <c r="K350" s="3">
        <v>14000</v>
      </c>
      <c r="L350" s="27">
        <v>45296</v>
      </c>
      <c r="M350" t="str">
        <f t="shared" si="4"/>
        <v>Target Achieved</v>
      </c>
    </row>
    <row r="351" spans="1:13" x14ac:dyDescent="0.35">
      <c r="A351" s="33" t="s">
        <v>523</v>
      </c>
      <c r="B351" s="3" t="s">
        <v>60</v>
      </c>
      <c r="C351" s="3" t="s">
        <v>14</v>
      </c>
      <c r="D351" s="3" t="s">
        <v>15</v>
      </c>
      <c r="E351" s="3" t="s">
        <v>32</v>
      </c>
      <c r="F351" s="3" t="s">
        <v>39</v>
      </c>
      <c r="G351" s="3" t="s">
        <v>26</v>
      </c>
      <c r="H351" s="3">
        <v>12828</v>
      </c>
      <c r="I351" s="3" t="s">
        <v>27</v>
      </c>
      <c r="J351" s="3"/>
      <c r="K351" s="3">
        <v>14000</v>
      </c>
      <c r="L351" s="27">
        <v>45326</v>
      </c>
      <c r="M351" t="str">
        <f t="shared" si="4"/>
        <v>Below Target</v>
      </c>
    </row>
    <row r="352" spans="1:13" x14ac:dyDescent="0.35">
      <c r="A352" s="33" t="s">
        <v>524</v>
      </c>
      <c r="B352" s="3" t="s">
        <v>175</v>
      </c>
      <c r="C352" s="3" t="s">
        <v>30</v>
      </c>
      <c r="D352" s="3" t="s">
        <v>31</v>
      </c>
      <c r="E352" s="3" t="s">
        <v>16</v>
      </c>
      <c r="F352" s="3" t="s">
        <v>17</v>
      </c>
      <c r="G352" s="3" t="s">
        <v>18</v>
      </c>
      <c r="H352" s="3">
        <v>17786</v>
      </c>
      <c r="I352" s="3" t="s">
        <v>19</v>
      </c>
      <c r="J352" s="3">
        <v>0.2</v>
      </c>
      <c r="K352" s="3">
        <v>17000</v>
      </c>
      <c r="L352" s="27">
        <v>45337</v>
      </c>
      <c r="M352" t="str">
        <f t="shared" ref="M352:M415" si="5">IF(H352&gt;=K352,"Target Achieved","Below Target")</f>
        <v>Target Achieved</v>
      </c>
    </row>
    <row r="353" spans="1:13" x14ac:dyDescent="0.35">
      <c r="A353" s="33" t="s">
        <v>525</v>
      </c>
      <c r="B353" s="3" t="s">
        <v>356</v>
      </c>
      <c r="C353" s="3" t="s">
        <v>14</v>
      </c>
      <c r="D353" s="3" t="s">
        <v>15</v>
      </c>
      <c r="E353" s="3" t="s">
        <v>16</v>
      </c>
      <c r="F353" s="3" t="s">
        <v>17</v>
      </c>
      <c r="G353" s="3" t="s">
        <v>18</v>
      </c>
      <c r="H353" s="3">
        <v>13857</v>
      </c>
      <c r="I353" s="3" t="s">
        <v>19</v>
      </c>
      <c r="J353" s="3">
        <v>0.2</v>
      </c>
      <c r="K353" s="3">
        <v>14000</v>
      </c>
      <c r="L353" s="27">
        <v>45324</v>
      </c>
      <c r="M353" t="str">
        <f t="shared" si="5"/>
        <v>Below Target</v>
      </c>
    </row>
    <row r="354" spans="1:13" x14ac:dyDescent="0.35">
      <c r="A354" s="33" t="s">
        <v>526</v>
      </c>
      <c r="B354" s="3" t="s">
        <v>527</v>
      </c>
      <c r="C354" s="3" t="s">
        <v>14</v>
      </c>
      <c r="D354" s="3" t="s">
        <v>15</v>
      </c>
      <c r="E354" s="3" t="s">
        <v>16</v>
      </c>
      <c r="F354" s="3" t="s">
        <v>17</v>
      </c>
      <c r="G354" s="3" t="s">
        <v>26</v>
      </c>
      <c r="H354" s="3">
        <v>15305</v>
      </c>
      <c r="I354" s="3" t="s">
        <v>33</v>
      </c>
      <c r="J354" s="3">
        <v>0.3</v>
      </c>
      <c r="K354" s="3">
        <v>14000</v>
      </c>
      <c r="L354" s="27">
        <v>45338</v>
      </c>
      <c r="M354" t="str">
        <f t="shared" si="5"/>
        <v>Target Achieved</v>
      </c>
    </row>
    <row r="355" spans="1:13" x14ac:dyDescent="0.35">
      <c r="A355" s="33" t="s">
        <v>528</v>
      </c>
      <c r="B355" s="3" t="s">
        <v>406</v>
      </c>
      <c r="C355" s="3" t="s">
        <v>30</v>
      </c>
      <c r="D355" s="3" t="s">
        <v>31</v>
      </c>
      <c r="E355" s="3" t="s">
        <v>32</v>
      </c>
      <c r="F355" s="3" t="s">
        <v>39</v>
      </c>
      <c r="G355" s="3" t="s">
        <v>18</v>
      </c>
      <c r="H355" s="3">
        <v>17368</v>
      </c>
      <c r="I355" s="3" t="s">
        <v>22</v>
      </c>
      <c r="J355" s="3">
        <v>0.1</v>
      </c>
      <c r="K355" s="3">
        <v>17000</v>
      </c>
      <c r="L355" s="27">
        <v>45294</v>
      </c>
      <c r="M355" t="str">
        <f t="shared" si="5"/>
        <v>Target Achieved</v>
      </c>
    </row>
    <row r="356" spans="1:13" x14ac:dyDescent="0.35">
      <c r="A356" s="33" t="s">
        <v>529</v>
      </c>
      <c r="B356" s="3" t="s">
        <v>474</v>
      </c>
      <c r="C356" s="3" t="s">
        <v>14</v>
      </c>
      <c r="D356" s="3" t="s">
        <v>15</v>
      </c>
      <c r="E356" s="3" t="s">
        <v>16</v>
      </c>
      <c r="F356" s="3" t="s">
        <v>25</v>
      </c>
      <c r="G356" s="3" t="s">
        <v>18</v>
      </c>
      <c r="H356" s="3">
        <v>15824</v>
      </c>
      <c r="I356" s="3"/>
      <c r="J356" s="3"/>
      <c r="K356" s="3">
        <v>14000</v>
      </c>
      <c r="L356" s="27">
        <v>45294</v>
      </c>
      <c r="M356" t="str">
        <f t="shared" si="5"/>
        <v>Target Achieved</v>
      </c>
    </row>
    <row r="357" spans="1:13" x14ac:dyDescent="0.35">
      <c r="A357" s="33" t="s">
        <v>530</v>
      </c>
      <c r="B357" s="3" t="s">
        <v>70</v>
      </c>
      <c r="C357" s="3" t="s">
        <v>44</v>
      </c>
      <c r="D357" s="3" t="s">
        <v>45</v>
      </c>
      <c r="E357" s="3" t="s">
        <v>32</v>
      </c>
      <c r="F357" s="3" t="s">
        <v>39</v>
      </c>
      <c r="G357" s="3" t="s">
        <v>26</v>
      </c>
      <c r="H357" s="3">
        <v>13645</v>
      </c>
      <c r="I357" s="3"/>
      <c r="J357" s="3"/>
      <c r="K357" s="3">
        <v>13000</v>
      </c>
      <c r="L357" s="27">
        <v>45315</v>
      </c>
      <c r="M357" t="str">
        <f t="shared" si="5"/>
        <v>Target Achieved</v>
      </c>
    </row>
    <row r="358" spans="1:13" x14ac:dyDescent="0.35">
      <c r="A358" s="33" t="s">
        <v>531</v>
      </c>
      <c r="B358" s="3" t="s">
        <v>137</v>
      </c>
      <c r="C358" s="3" t="s">
        <v>61</v>
      </c>
      <c r="D358" s="3" t="s">
        <v>62</v>
      </c>
      <c r="E358" s="3" t="s">
        <v>46</v>
      </c>
      <c r="F358" s="3" t="s">
        <v>17</v>
      </c>
      <c r="G358" s="3" t="s">
        <v>18</v>
      </c>
      <c r="H358" s="3">
        <v>9796</v>
      </c>
      <c r="I358" s="3" t="s">
        <v>27</v>
      </c>
      <c r="J358" s="3"/>
      <c r="K358" s="3">
        <v>9000</v>
      </c>
      <c r="L358" s="27">
        <v>45300</v>
      </c>
      <c r="M358" t="str">
        <f t="shared" si="5"/>
        <v>Target Achieved</v>
      </c>
    </row>
    <row r="359" spans="1:13" x14ac:dyDescent="0.35">
      <c r="A359" s="33" t="s">
        <v>532</v>
      </c>
      <c r="B359" s="3" t="s">
        <v>204</v>
      </c>
      <c r="C359" s="3" t="s">
        <v>30</v>
      </c>
      <c r="D359" s="3" t="s">
        <v>31</v>
      </c>
      <c r="E359" s="3" t="s">
        <v>32</v>
      </c>
      <c r="F359" s="3" t="s">
        <v>25</v>
      </c>
      <c r="G359" s="3" t="s">
        <v>26</v>
      </c>
      <c r="H359" s="3">
        <v>16609</v>
      </c>
      <c r="I359" s="3" t="s">
        <v>27</v>
      </c>
      <c r="J359" s="3"/>
      <c r="K359" s="3">
        <v>17000</v>
      </c>
      <c r="L359" s="27">
        <v>45300</v>
      </c>
      <c r="M359" t="str">
        <f t="shared" si="5"/>
        <v>Below Target</v>
      </c>
    </row>
    <row r="360" spans="1:13" x14ac:dyDescent="0.35">
      <c r="A360" s="33" t="s">
        <v>533</v>
      </c>
      <c r="B360" s="3" t="s">
        <v>397</v>
      </c>
      <c r="C360" s="3" t="s">
        <v>14</v>
      </c>
      <c r="D360" s="3" t="s">
        <v>15</v>
      </c>
      <c r="E360" s="3" t="s">
        <v>32</v>
      </c>
      <c r="F360" s="3" t="s">
        <v>17</v>
      </c>
      <c r="G360" s="3" t="s">
        <v>36</v>
      </c>
      <c r="H360" s="3">
        <v>14758</v>
      </c>
      <c r="I360" s="3" t="s">
        <v>27</v>
      </c>
      <c r="J360" s="3"/>
      <c r="K360" s="3">
        <v>14000</v>
      </c>
      <c r="L360" s="27">
        <v>45319</v>
      </c>
      <c r="M360" t="str">
        <f t="shared" si="5"/>
        <v>Target Achieved</v>
      </c>
    </row>
    <row r="361" spans="1:13" x14ac:dyDescent="0.35">
      <c r="A361" s="33" t="s">
        <v>534</v>
      </c>
      <c r="B361" s="3" t="s">
        <v>388</v>
      </c>
      <c r="C361" s="3" t="s">
        <v>44</v>
      </c>
      <c r="D361" s="3" t="s">
        <v>45</v>
      </c>
      <c r="E361" s="3" t="s">
        <v>32</v>
      </c>
      <c r="F361" s="3" t="s">
        <v>17</v>
      </c>
      <c r="G361" s="3" t="s">
        <v>36</v>
      </c>
      <c r="H361" s="3">
        <v>11635</v>
      </c>
      <c r="I361" s="3" t="s">
        <v>33</v>
      </c>
      <c r="J361" s="3">
        <v>0.3</v>
      </c>
      <c r="K361" s="3">
        <v>13000</v>
      </c>
      <c r="L361" s="27">
        <v>45304</v>
      </c>
      <c r="M361" t="str">
        <f t="shared" si="5"/>
        <v>Below Target</v>
      </c>
    </row>
    <row r="362" spans="1:13" x14ac:dyDescent="0.35">
      <c r="A362" s="33" t="s">
        <v>535</v>
      </c>
      <c r="B362" s="3" t="s">
        <v>260</v>
      </c>
      <c r="C362" s="3" t="s">
        <v>14</v>
      </c>
      <c r="D362" s="3" t="s">
        <v>15</v>
      </c>
      <c r="E362" s="3" t="s">
        <v>32</v>
      </c>
      <c r="F362" s="3" t="s">
        <v>39</v>
      </c>
      <c r="G362" s="3" t="s">
        <v>36</v>
      </c>
      <c r="H362" s="3">
        <v>14518</v>
      </c>
      <c r="I362" s="3" t="s">
        <v>22</v>
      </c>
      <c r="J362" s="3">
        <v>0.1</v>
      </c>
      <c r="K362" s="3">
        <v>14000</v>
      </c>
      <c r="L362" s="27">
        <v>45307</v>
      </c>
      <c r="M362" t="str">
        <f t="shared" si="5"/>
        <v>Target Achieved</v>
      </c>
    </row>
    <row r="363" spans="1:13" x14ac:dyDescent="0.35">
      <c r="A363" s="33" t="s">
        <v>536</v>
      </c>
      <c r="B363" s="3" t="s">
        <v>229</v>
      </c>
      <c r="C363" s="3" t="s">
        <v>14</v>
      </c>
      <c r="D363" s="3" t="s">
        <v>15</v>
      </c>
      <c r="E363" s="3" t="s">
        <v>16</v>
      </c>
      <c r="F363" s="3" t="s">
        <v>25</v>
      </c>
      <c r="G363" s="3" t="s">
        <v>36</v>
      </c>
      <c r="H363" s="3">
        <v>14448</v>
      </c>
      <c r="I363" s="3" t="s">
        <v>22</v>
      </c>
      <c r="J363" s="3">
        <v>0.1</v>
      </c>
      <c r="K363" s="3">
        <v>14000</v>
      </c>
      <c r="L363" s="27">
        <v>45307</v>
      </c>
      <c r="M363" t="str">
        <f t="shared" si="5"/>
        <v>Target Achieved</v>
      </c>
    </row>
    <row r="364" spans="1:13" x14ac:dyDescent="0.35">
      <c r="A364" s="33" t="s">
        <v>537</v>
      </c>
      <c r="B364" s="3" t="s">
        <v>464</v>
      </c>
      <c r="C364" s="3" t="s">
        <v>61</v>
      </c>
      <c r="D364" s="3" t="s">
        <v>62</v>
      </c>
      <c r="E364" s="3" t="s">
        <v>46</v>
      </c>
      <c r="F364" s="3" t="s">
        <v>25</v>
      </c>
      <c r="G364" s="3" t="s">
        <v>26</v>
      </c>
      <c r="H364" s="3">
        <v>7889</v>
      </c>
      <c r="I364" s="3" t="s">
        <v>22</v>
      </c>
      <c r="J364" s="3">
        <v>0.1</v>
      </c>
      <c r="K364" s="3">
        <v>9000</v>
      </c>
      <c r="L364" s="27">
        <v>45300</v>
      </c>
      <c r="M364" t="str">
        <f t="shared" si="5"/>
        <v>Below Target</v>
      </c>
    </row>
    <row r="365" spans="1:13" x14ac:dyDescent="0.35">
      <c r="A365" s="33" t="s">
        <v>538</v>
      </c>
      <c r="B365" s="3" t="s">
        <v>448</v>
      </c>
      <c r="C365" s="3" t="s">
        <v>44</v>
      </c>
      <c r="D365" s="3" t="s">
        <v>45</v>
      </c>
      <c r="E365" s="3" t="s">
        <v>16</v>
      </c>
      <c r="F365" s="3" t="s">
        <v>39</v>
      </c>
      <c r="G365" s="3" t="s">
        <v>36</v>
      </c>
      <c r="H365" s="3">
        <v>13365</v>
      </c>
      <c r="I365" s="3" t="s">
        <v>27</v>
      </c>
      <c r="J365" s="3"/>
      <c r="K365" s="3">
        <v>13000</v>
      </c>
      <c r="L365" s="27">
        <v>45341</v>
      </c>
      <c r="M365" t="str">
        <f t="shared" si="5"/>
        <v>Target Achieved</v>
      </c>
    </row>
    <row r="366" spans="1:13" x14ac:dyDescent="0.35">
      <c r="A366" s="33" t="s">
        <v>539</v>
      </c>
      <c r="B366" s="3" t="s">
        <v>204</v>
      </c>
      <c r="C366" s="3" t="s">
        <v>30</v>
      </c>
      <c r="D366" s="3" t="s">
        <v>31</v>
      </c>
      <c r="E366" s="3" t="s">
        <v>32</v>
      </c>
      <c r="F366" s="3" t="s">
        <v>17</v>
      </c>
      <c r="G366" s="3" t="s">
        <v>18</v>
      </c>
      <c r="H366" s="3">
        <v>17704</v>
      </c>
      <c r="I366" s="3" t="s">
        <v>27</v>
      </c>
      <c r="J366" s="3"/>
      <c r="K366" s="3">
        <v>17000</v>
      </c>
      <c r="L366" s="27">
        <v>45306</v>
      </c>
      <c r="M366" t="str">
        <f t="shared" si="5"/>
        <v>Target Achieved</v>
      </c>
    </row>
    <row r="367" spans="1:13" x14ac:dyDescent="0.35">
      <c r="A367" s="33" t="s">
        <v>540</v>
      </c>
      <c r="B367" s="3" t="s">
        <v>435</v>
      </c>
      <c r="C367" s="3" t="s">
        <v>30</v>
      </c>
      <c r="D367" s="3" t="s">
        <v>31</v>
      </c>
      <c r="E367" s="3" t="s">
        <v>32</v>
      </c>
      <c r="F367" s="3" t="s">
        <v>39</v>
      </c>
      <c r="G367" s="3" t="s">
        <v>26</v>
      </c>
      <c r="H367" s="3">
        <v>18603</v>
      </c>
      <c r="I367" s="3" t="s">
        <v>19</v>
      </c>
      <c r="J367" s="3">
        <v>0.2</v>
      </c>
      <c r="K367" s="3">
        <v>17000</v>
      </c>
      <c r="L367" s="27">
        <v>45332</v>
      </c>
      <c r="M367" t="str">
        <f t="shared" si="5"/>
        <v>Target Achieved</v>
      </c>
    </row>
    <row r="368" spans="1:13" x14ac:dyDescent="0.35">
      <c r="A368" s="33" t="s">
        <v>541</v>
      </c>
      <c r="B368" s="3" t="s">
        <v>90</v>
      </c>
      <c r="C368" s="3" t="s">
        <v>61</v>
      </c>
      <c r="D368" s="3" t="s">
        <v>62</v>
      </c>
      <c r="E368" s="3" t="s">
        <v>32</v>
      </c>
      <c r="F368" s="3" t="s">
        <v>17</v>
      </c>
      <c r="G368" s="3" t="s">
        <v>26</v>
      </c>
      <c r="H368" s="3">
        <v>9749</v>
      </c>
      <c r="I368" s="3"/>
      <c r="J368" s="3"/>
      <c r="K368" s="3">
        <v>9000</v>
      </c>
      <c r="L368" s="27">
        <v>45342</v>
      </c>
      <c r="M368" t="str">
        <f t="shared" si="5"/>
        <v>Target Achieved</v>
      </c>
    </row>
    <row r="369" spans="1:13" x14ac:dyDescent="0.35">
      <c r="A369" s="33" t="s">
        <v>542</v>
      </c>
      <c r="B369" s="3" t="s">
        <v>217</v>
      </c>
      <c r="C369" s="3" t="s">
        <v>61</v>
      </c>
      <c r="D369" s="3" t="s">
        <v>62</v>
      </c>
      <c r="E369" s="3" t="s">
        <v>46</v>
      </c>
      <c r="F369" s="3" t="s">
        <v>25</v>
      </c>
      <c r="G369" s="3" t="s">
        <v>36</v>
      </c>
      <c r="H369" s="3">
        <v>8541</v>
      </c>
      <c r="I369" s="3" t="s">
        <v>19</v>
      </c>
      <c r="J369" s="3">
        <v>0.2</v>
      </c>
      <c r="K369" s="3">
        <v>9000</v>
      </c>
      <c r="L369" s="27">
        <v>45340</v>
      </c>
      <c r="M369" t="str">
        <f t="shared" si="5"/>
        <v>Below Target</v>
      </c>
    </row>
    <row r="370" spans="1:13" x14ac:dyDescent="0.35">
      <c r="A370" s="33" t="s">
        <v>543</v>
      </c>
      <c r="B370" s="3" t="s">
        <v>544</v>
      </c>
      <c r="C370" s="3" t="s">
        <v>44</v>
      </c>
      <c r="D370" s="3" t="s">
        <v>45</v>
      </c>
      <c r="E370" s="3" t="s">
        <v>32</v>
      </c>
      <c r="F370" s="3" t="s">
        <v>17</v>
      </c>
      <c r="G370" s="3" t="s">
        <v>26</v>
      </c>
      <c r="H370" s="3">
        <v>11591</v>
      </c>
      <c r="I370" s="3"/>
      <c r="J370" s="3"/>
      <c r="K370" s="3">
        <v>13000</v>
      </c>
      <c r="L370" s="27">
        <v>45350</v>
      </c>
      <c r="M370" t="str">
        <f t="shared" si="5"/>
        <v>Below Target</v>
      </c>
    </row>
    <row r="371" spans="1:13" x14ac:dyDescent="0.35">
      <c r="A371" s="33" t="s">
        <v>545</v>
      </c>
      <c r="B371" s="3" t="s">
        <v>166</v>
      </c>
      <c r="C371" s="3" t="s">
        <v>61</v>
      </c>
      <c r="D371" s="3" t="s">
        <v>62</v>
      </c>
      <c r="E371" s="3" t="s">
        <v>46</v>
      </c>
      <c r="F371" s="3" t="s">
        <v>39</v>
      </c>
      <c r="G371" s="3" t="s">
        <v>26</v>
      </c>
      <c r="H371" s="3">
        <v>7549</v>
      </c>
      <c r="I371" s="3"/>
      <c r="J371" s="3"/>
      <c r="K371" s="3">
        <v>9000</v>
      </c>
      <c r="L371" s="27">
        <v>45307</v>
      </c>
      <c r="M371" t="str">
        <f t="shared" si="5"/>
        <v>Below Target</v>
      </c>
    </row>
    <row r="372" spans="1:13" x14ac:dyDescent="0.35">
      <c r="A372" s="33" t="s">
        <v>546</v>
      </c>
      <c r="B372" s="3" t="s">
        <v>289</v>
      </c>
      <c r="C372" s="3" t="s">
        <v>30</v>
      </c>
      <c r="D372" s="3" t="s">
        <v>31</v>
      </c>
      <c r="E372" s="3" t="s">
        <v>16</v>
      </c>
      <c r="F372" s="3" t="s">
        <v>25</v>
      </c>
      <c r="G372" s="3" t="s">
        <v>36</v>
      </c>
      <c r="H372" s="3">
        <v>18469</v>
      </c>
      <c r="I372" s="3" t="s">
        <v>33</v>
      </c>
      <c r="J372" s="3">
        <v>0.3</v>
      </c>
      <c r="K372" s="3">
        <v>17000</v>
      </c>
      <c r="L372" s="27">
        <v>45297</v>
      </c>
      <c r="M372" t="str">
        <f t="shared" si="5"/>
        <v>Target Achieved</v>
      </c>
    </row>
    <row r="373" spans="1:13" x14ac:dyDescent="0.35">
      <c r="A373" s="33" t="s">
        <v>547</v>
      </c>
      <c r="B373" s="3" t="s">
        <v>548</v>
      </c>
      <c r="C373" s="3" t="s">
        <v>44</v>
      </c>
      <c r="D373" s="3" t="s">
        <v>45</v>
      </c>
      <c r="E373" s="3" t="s">
        <v>32</v>
      </c>
      <c r="F373" s="3" t="s">
        <v>17</v>
      </c>
      <c r="G373" s="3" t="s">
        <v>36</v>
      </c>
      <c r="H373" s="3">
        <v>13759</v>
      </c>
      <c r="I373" s="3" t="s">
        <v>27</v>
      </c>
      <c r="J373" s="3"/>
      <c r="K373" s="3">
        <v>13000</v>
      </c>
      <c r="L373" s="27">
        <v>45330</v>
      </c>
      <c r="M373" t="str">
        <f t="shared" si="5"/>
        <v>Target Achieved</v>
      </c>
    </row>
    <row r="374" spans="1:13" x14ac:dyDescent="0.35">
      <c r="A374" s="33" t="s">
        <v>549</v>
      </c>
      <c r="B374" s="3" t="s">
        <v>129</v>
      </c>
      <c r="C374" s="3" t="s">
        <v>14</v>
      </c>
      <c r="D374" s="3" t="s">
        <v>15</v>
      </c>
      <c r="E374" s="3" t="s">
        <v>32</v>
      </c>
      <c r="F374" s="3" t="s">
        <v>39</v>
      </c>
      <c r="G374" s="3" t="s">
        <v>26</v>
      </c>
      <c r="H374" s="3">
        <v>14750</v>
      </c>
      <c r="I374" s="3" t="s">
        <v>27</v>
      </c>
      <c r="J374" s="3"/>
      <c r="K374" s="3">
        <v>14000</v>
      </c>
      <c r="L374" s="27">
        <v>45305</v>
      </c>
      <c r="M374" t="str">
        <f t="shared" si="5"/>
        <v>Target Achieved</v>
      </c>
    </row>
    <row r="375" spans="1:13" x14ac:dyDescent="0.35">
      <c r="A375" s="33" t="s">
        <v>550</v>
      </c>
      <c r="B375" s="3" t="s">
        <v>211</v>
      </c>
      <c r="C375" s="3" t="s">
        <v>30</v>
      </c>
      <c r="D375" s="3" t="s">
        <v>31</v>
      </c>
      <c r="E375" s="3" t="s">
        <v>46</v>
      </c>
      <c r="F375" s="3" t="s">
        <v>25</v>
      </c>
      <c r="G375" s="3" t="s">
        <v>18</v>
      </c>
      <c r="H375" s="3">
        <v>18838</v>
      </c>
      <c r="I375" s="3" t="s">
        <v>19</v>
      </c>
      <c r="J375" s="3">
        <v>0.2</v>
      </c>
      <c r="K375" s="3">
        <v>17000</v>
      </c>
      <c r="L375" s="27">
        <v>45339</v>
      </c>
      <c r="M375" t="str">
        <f t="shared" si="5"/>
        <v>Target Achieved</v>
      </c>
    </row>
    <row r="376" spans="1:13" x14ac:dyDescent="0.35">
      <c r="A376" s="33" t="s">
        <v>551</v>
      </c>
      <c r="B376" s="3" t="s">
        <v>173</v>
      </c>
      <c r="C376" s="3" t="s">
        <v>61</v>
      </c>
      <c r="D376" s="3" t="s">
        <v>62</v>
      </c>
      <c r="E376" s="3" t="s">
        <v>32</v>
      </c>
      <c r="F376" s="3" t="s">
        <v>39</v>
      </c>
      <c r="G376" s="3" t="s">
        <v>26</v>
      </c>
      <c r="H376" s="3">
        <v>9882</v>
      </c>
      <c r="I376" s="3" t="s">
        <v>19</v>
      </c>
      <c r="J376" s="3">
        <v>0.2</v>
      </c>
      <c r="K376" s="3">
        <v>9000</v>
      </c>
      <c r="L376" s="27">
        <v>45317</v>
      </c>
      <c r="M376" t="str">
        <f t="shared" si="5"/>
        <v>Target Achieved</v>
      </c>
    </row>
    <row r="377" spans="1:13" x14ac:dyDescent="0.35">
      <c r="A377" s="33" t="s">
        <v>552</v>
      </c>
      <c r="B377" s="3" t="s">
        <v>553</v>
      </c>
      <c r="C377" s="3" t="s">
        <v>30</v>
      </c>
      <c r="D377" s="3" t="s">
        <v>31</v>
      </c>
      <c r="E377" s="3" t="s">
        <v>46</v>
      </c>
      <c r="F377" s="3" t="s">
        <v>17</v>
      </c>
      <c r="G377" s="3" t="s">
        <v>36</v>
      </c>
      <c r="H377" s="3">
        <v>17185</v>
      </c>
      <c r="I377" s="3" t="s">
        <v>33</v>
      </c>
      <c r="J377" s="3">
        <v>0.3</v>
      </c>
      <c r="K377" s="3">
        <v>17000</v>
      </c>
      <c r="L377" s="27">
        <v>45311</v>
      </c>
      <c r="M377" t="str">
        <f t="shared" si="5"/>
        <v>Target Achieved</v>
      </c>
    </row>
    <row r="378" spans="1:13" x14ac:dyDescent="0.35">
      <c r="A378" s="33" t="s">
        <v>554</v>
      </c>
      <c r="B378" s="3" t="s">
        <v>131</v>
      </c>
      <c r="C378" s="3" t="s">
        <v>61</v>
      </c>
      <c r="D378" s="3" t="s">
        <v>62</v>
      </c>
      <c r="E378" s="3" t="s">
        <v>46</v>
      </c>
      <c r="F378" s="3" t="s">
        <v>25</v>
      </c>
      <c r="G378" s="3" t="s">
        <v>26</v>
      </c>
      <c r="H378" s="3">
        <v>8923</v>
      </c>
      <c r="I378" s="3" t="s">
        <v>33</v>
      </c>
      <c r="J378" s="3">
        <v>0.3</v>
      </c>
      <c r="K378" s="3">
        <v>9000</v>
      </c>
      <c r="L378" s="27">
        <v>45350</v>
      </c>
      <c r="M378" t="str">
        <f t="shared" si="5"/>
        <v>Below Target</v>
      </c>
    </row>
    <row r="379" spans="1:13" x14ac:dyDescent="0.35">
      <c r="A379" s="33" t="s">
        <v>555</v>
      </c>
      <c r="B379" s="3" t="s">
        <v>391</v>
      </c>
      <c r="C379" s="3" t="s">
        <v>30</v>
      </c>
      <c r="D379" s="3" t="s">
        <v>31</v>
      </c>
      <c r="E379" s="3" t="s">
        <v>46</v>
      </c>
      <c r="F379" s="3" t="s">
        <v>25</v>
      </c>
      <c r="G379" s="3" t="s">
        <v>26</v>
      </c>
      <c r="H379" s="3">
        <v>18539</v>
      </c>
      <c r="I379" s="3" t="s">
        <v>19</v>
      </c>
      <c r="J379" s="3">
        <v>0.2</v>
      </c>
      <c r="K379" s="3">
        <v>17000</v>
      </c>
      <c r="L379" s="27">
        <v>45339</v>
      </c>
      <c r="M379" t="str">
        <f t="shared" si="5"/>
        <v>Target Achieved</v>
      </c>
    </row>
    <row r="380" spans="1:13" x14ac:dyDescent="0.35">
      <c r="A380" s="33" t="s">
        <v>556</v>
      </c>
      <c r="B380" s="3" t="s">
        <v>557</v>
      </c>
      <c r="C380" s="3" t="s">
        <v>30</v>
      </c>
      <c r="D380" s="3" t="s">
        <v>31</v>
      </c>
      <c r="E380" s="3" t="s">
        <v>16</v>
      </c>
      <c r="F380" s="3" t="s">
        <v>39</v>
      </c>
      <c r="G380" s="3" t="s">
        <v>26</v>
      </c>
      <c r="H380" s="3">
        <v>17949</v>
      </c>
      <c r="I380" s="3"/>
      <c r="J380" s="3"/>
      <c r="K380" s="3">
        <v>17000</v>
      </c>
      <c r="L380" s="27">
        <v>45310</v>
      </c>
      <c r="M380" t="str">
        <f t="shared" si="5"/>
        <v>Target Achieved</v>
      </c>
    </row>
    <row r="381" spans="1:13" x14ac:dyDescent="0.35">
      <c r="A381" s="33" t="s">
        <v>558</v>
      </c>
      <c r="B381" s="3" t="s">
        <v>35</v>
      </c>
      <c r="C381" s="3" t="s">
        <v>30</v>
      </c>
      <c r="D381" s="3" t="s">
        <v>31</v>
      </c>
      <c r="E381" s="3" t="s">
        <v>32</v>
      </c>
      <c r="F381" s="3" t="s">
        <v>17</v>
      </c>
      <c r="G381" s="3" t="s">
        <v>26</v>
      </c>
      <c r="H381" s="3">
        <v>18413</v>
      </c>
      <c r="I381" s="3" t="s">
        <v>19</v>
      </c>
      <c r="J381" s="3">
        <v>0.2</v>
      </c>
      <c r="K381" s="3">
        <v>17000</v>
      </c>
      <c r="L381" s="27">
        <v>45323</v>
      </c>
      <c r="M381" t="str">
        <f t="shared" si="5"/>
        <v>Target Achieved</v>
      </c>
    </row>
    <row r="382" spans="1:13" x14ac:dyDescent="0.35">
      <c r="A382" s="33" t="s">
        <v>559</v>
      </c>
      <c r="B382" s="3" t="s">
        <v>202</v>
      </c>
      <c r="C382" s="3" t="s">
        <v>30</v>
      </c>
      <c r="D382" s="3" t="s">
        <v>31</v>
      </c>
      <c r="E382" s="3" t="s">
        <v>46</v>
      </c>
      <c r="F382" s="3" t="s">
        <v>17</v>
      </c>
      <c r="G382" s="3" t="s">
        <v>26</v>
      </c>
      <c r="H382" s="3">
        <v>17628</v>
      </c>
      <c r="I382" s="3"/>
      <c r="J382" s="3"/>
      <c r="K382" s="3">
        <v>17000</v>
      </c>
      <c r="L382" s="27">
        <v>45321</v>
      </c>
      <c r="M382" t="str">
        <f t="shared" si="5"/>
        <v>Target Achieved</v>
      </c>
    </row>
    <row r="383" spans="1:13" x14ac:dyDescent="0.35">
      <c r="A383" s="33" t="s">
        <v>560</v>
      </c>
      <c r="B383" s="3" t="s">
        <v>280</v>
      </c>
      <c r="C383" s="3" t="s">
        <v>30</v>
      </c>
      <c r="D383" s="3" t="s">
        <v>31</v>
      </c>
      <c r="E383" s="3" t="s">
        <v>32</v>
      </c>
      <c r="F383" s="3" t="s">
        <v>25</v>
      </c>
      <c r="G383" s="3" t="s">
        <v>26</v>
      </c>
      <c r="H383" s="3">
        <v>17238</v>
      </c>
      <c r="I383" s="3"/>
      <c r="J383" s="3"/>
      <c r="K383" s="3">
        <v>17000</v>
      </c>
      <c r="L383" s="27">
        <v>45303</v>
      </c>
      <c r="M383" t="str">
        <f t="shared" si="5"/>
        <v>Target Achieved</v>
      </c>
    </row>
    <row r="384" spans="1:13" x14ac:dyDescent="0.35">
      <c r="A384" s="33" t="s">
        <v>561</v>
      </c>
      <c r="B384" s="3" t="s">
        <v>84</v>
      </c>
      <c r="C384" s="3" t="s">
        <v>14</v>
      </c>
      <c r="D384" s="3" t="s">
        <v>15</v>
      </c>
      <c r="E384" s="3" t="s">
        <v>16</v>
      </c>
      <c r="F384" s="3" t="s">
        <v>25</v>
      </c>
      <c r="G384" s="3" t="s">
        <v>18</v>
      </c>
      <c r="H384" s="3">
        <v>15871</v>
      </c>
      <c r="I384" s="3" t="s">
        <v>22</v>
      </c>
      <c r="J384" s="3">
        <v>0.1</v>
      </c>
      <c r="K384" s="3">
        <v>14000</v>
      </c>
      <c r="L384" s="27">
        <v>45340</v>
      </c>
      <c r="M384" t="str">
        <f t="shared" si="5"/>
        <v>Target Achieved</v>
      </c>
    </row>
    <row r="385" spans="1:13" x14ac:dyDescent="0.35">
      <c r="A385" s="33" t="s">
        <v>562</v>
      </c>
      <c r="B385" s="3" t="s">
        <v>406</v>
      </c>
      <c r="C385" s="3" t="s">
        <v>44</v>
      </c>
      <c r="D385" s="3" t="s">
        <v>45</v>
      </c>
      <c r="E385" s="3" t="s">
        <v>16</v>
      </c>
      <c r="F385" s="3" t="s">
        <v>25</v>
      </c>
      <c r="G385" s="3" t="s">
        <v>18</v>
      </c>
      <c r="H385" s="3">
        <v>13896</v>
      </c>
      <c r="I385" s="3" t="s">
        <v>19</v>
      </c>
      <c r="J385" s="3">
        <v>0.2</v>
      </c>
      <c r="K385" s="3">
        <v>13000</v>
      </c>
      <c r="L385" s="27">
        <v>45292</v>
      </c>
      <c r="M385" t="str">
        <f t="shared" si="5"/>
        <v>Target Achieved</v>
      </c>
    </row>
    <row r="386" spans="1:13" x14ac:dyDescent="0.35">
      <c r="A386" s="33" t="s">
        <v>563</v>
      </c>
      <c r="B386" s="3" t="s">
        <v>24</v>
      </c>
      <c r="C386" s="3" t="s">
        <v>61</v>
      </c>
      <c r="D386" s="3" t="s">
        <v>62</v>
      </c>
      <c r="E386" s="3" t="s">
        <v>46</v>
      </c>
      <c r="F386" s="3" t="s">
        <v>25</v>
      </c>
      <c r="G386" s="3" t="s">
        <v>26</v>
      </c>
      <c r="H386" s="3">
        <v>9612</v>
      </c>
      <c r="I386" s="3" t="s">
        <v>27</v>
      </c>
      <c r="J386" s="3"/>
      <c r="K386" s="3">
        <v>9000</v>
      </c>
      <c r="L386" s="27">
        <v>45350</v>
      </c>
      <c r="M386" t="str">
        <f t="shared" si="5"/>
        <v>Target Achieved</v>
      </c>
    </row>
    <row r="387" spans="1:13" x14ac:dyDescent="0.35">
      <c r="A387" s="33" t="s">
        <v>564</v>
      </c>
      <c r="B387" s="3" t="s">
        <v>332</v>
      </c>
      <c r="C387" s="3" t="s">
        <v>61</v>
      </c>
      <c r="D387" s="3" t="s">
        <v>62</v>
      </c>
      <c r="E387" s="3" t="s">
        <v>32</v>
      </c>
      <c r="F387" s="3" t="s">
        <v>25</v>
      </c>
      <c r="G387" s="3" t="s">
        <v>26</v>
      </c>
      <c r="H387" s="3">
        <v>9259</v>
      </c>
      <c r="I387" s="3"/>
      <c r="J387" s="3"/>
      <c r="K387" s="3">
        <v>9000</v>
      </c>
      <c r="L387" s="27">
        <v>45292</v>
      </c>
      <c r="M387" t="str">
        <f t="shared" si="5"/>
        <v>Target Achieved</v>
      </c>
    </row>
    <row r="388" spans="1:13" x14ac:dyDescent="0.35">
      <c r="A388" s="33" t="s">
        <v>565</v>
      </c>
      <c r="B388" s="3" t="s">
        <v>166</v>
      </c>
      <c r="C388" s="3" t="s">
        <v>30</v>
      </c>
      <c r="D388" s="3" t="s">
        <v>31</v>
      </c>
      <c r="E388" s="3" t="s">
        <v>16</v>
      </c>
      <c r="F388" s="3" t="s">
        <v>17</v>
      </c>
      <c r="G388" s="3" t="s">
        <v>18</v>
      </c>
      <c r="H388" s="3">
        <v>17057</v>
      </c>
      <c r="I388" s="3"/>
      <c r="J388" s="3"/>
      <c r="K388" s="3">
        <v>17000</v>
      </c>
      <c r="L388" s="27">
        <v>45343</v>
      </c>
      <c r="M388" t="str">
        <f t="shared" si="5"/>
        <v>Target Achieved</v>
      </c>
    </row>
    <row r="389" spans="1:13" x14ac:dyDescent="0.35">
      <c r="A389" s="33" t="s">
        <v>566</v>
      </c>
      <c r="B389" s="3" t="s">
        <v>120</v>
      </c>
      <c r="C389" s="3" t="s">
        <v>14</v>
      </c>
      <c r="D389" s="3" t="s">
        <v>15</v>
      </c>
      <c r="E389" s="3" t="s">
        <v>32</v>
      </c>
      <c r="F389" s="3" t="s">
        <v>39</v>
      </c>
      <c r="G389" s="3" t="s">
        <v>18</v>
      </c>
      <c r="H389" s="3">
        <v>12987</v>
      </c>
      <c r="I389" s="3" t="s">
        <v>19</v>
      </c>
      <c r="J389" s="3">
        <v>0.2</v>
      </c>
      <c r="K389" s="3">
        <v>14000</v>
      </c>
      <c r="L389" s="27">
        <v>45331</v>
      </c>
      <c r="M389" t="str">
        <f t="shared" si="5"/>
        <v>Below Target</v>
      </c>
    </row>
    <row r="390" spans="1:13" x14ac:dyDescent="0.35">
      <c r="A390" s="33" t="s">
        <v>567</v>
      </c>
      <c r="B390" s="3" t="s">
        <v>448</v>
      </c>
      <c r="C390" s="3" t="s">
        <v>30</v>
      </c>
      <c r="D390" s="3" t="s">
        <v>31</v>
      </c>
      <c r="E390" s="3" t="s">
        <v>46</v>
      </c>
      <c r="F390" s="3" t="s">
        <v>17</v>
      </c>
      <c r="G390" s="3" t="s">
        <v>18</v>
      </c>
      <c r="H390" s="3">
        <v>16528</v>
      </c>
      <c r="I390" s="3"/>
      <c r="J390" s="3"/>
      <c r="K390" s="3">
        <v>17000</v>
      </c>
      <c r="L390" s="27">
        <v>45321</v>
      </c>
      <c r="M390" t="str">
        <f t="shared" si="5"/>
        <v>Below Target</v>
      </c>
    </row>
    <row r="391" spans="1:13" x14ac:dyDescent="0.35">
      <c r="A391" s="33" t="s">
        <v>568</v>
      </c>
      <c r="B391" s="3" t="s">
        <v>519</v>
      </c>
      <c r="C391" s="3" t="s">
        <v>44</v>
      </c>
      <c r="D391" s="3" t="s">
        <v>45</v>
      </c>
      <c r="E391" s="3" t="s">
        <v>46</v>
      </c>
      <c r="F391" s="3" t="s">
        <v>39</v>
      </c>
      <c r="G391" s="3" t="s">
        <v>18</v>
      </c>
      <c r="H391" s="3">
        <v>13677</v>
      </c>
      <c r="I391" s="3" t="s">
        <v>22</v>
      </c>
      <c r="J391" s="3">
        <v>0.1</v>
      </c>
      <c r="K391" s="3">
        <v>13000</v>
      </c>
      <c r="L391" s="27">
        <v>45297</v>
      </c>
      <c r="M391" t="str">
        <f t="shared" si="5"/>
        <v>Target Achieved</v>
      </c>
    </row>
    <row r="392" spans="1:13" x14ac:dyDescent="0.35">
      <c r="A392" s="33" t="s">
        <v>569</v>
      </c>
      <c r="B392" s="3" t="s">
        <v>177</v>
      </c>
      <c r="C392" s="3" t="s">
        <v>61</v>
      </c>
      <c r="D392" s="3" t="s">
        <v>62</v>
      </c>
      <c r="E392" s="3" t="s">
        <v>16</v>
      </c>
      <c r="F392" s="3" t="s">
        <v>17</v>
      </c>
      <c r="G392" s="3" t="s">
        <v>18</v>
      </c>
      <c r="H392" s="3">
        <v>9608</v>
      </c>
      <c r="I392" s="3" t="s">
        <v>22</v>
      </c>
      <c r="J392" s="3">
        <v>0.1</v>
      </c>
      <c r="K392" s="3">
        <v>9000</v>
      </c>
      <c r="L392" s="27">
        <v>45336</v>
      </c>
      <c r="M392" t="str">
        <f t="shared" si="5"/>
        <v>Target Achieved</v>
      </c>
    </row>
    <row r="393" spans="1:13" x14ac:dyDescent="0.35">
      <c r="A393" s="33" t="s">
        <v>570</v>
      </c>
      <c r="B393" s="3" t="s">
        <v>325</v>
      </c>
      <c r="C393" s="3" t="s">
        <v>61</v>
      </c>
      <c r="D393" s="3" t="s">
        <v>62</v>
      </c>
      <c r="E393" s="3" t="s">
        <v>46</v>
      </c>
      <c r="F393" s="3" t="s">
        <v>39</v>
      </c>
      <c r="G393" s="3" t="s">
        <v>36</v>
      </c>
      <c r="H393" s="3">
        <v>9317</v>
      </c>
      <c r="I393" s="3" t="s">
        <v>22</v>
      </c>
      <c r="J393" s="3">
        <v>0.1</v>
      </c>
      <c r="K393" s="3">
        <v>9000</v>
      </c>
      <c r="L393" s="27">
        <v>45349</v>
      </c>
      <c r="M393" t="str">
        <f t="shared" si="5"/>
        <v>Target Achieved</v>
      </c>
    </row>
    <row r="394" spans="1:13" x14ac:dyDescent="0.35">
      <c r="A394" s="33" t="s">
        <v>571</v>
      </c>
      <c r="B394" s="3" t="s">
        <v>184</v>
      </c>
      <c r="C394" s="3" t="s">
        <v>44</v>
      </c>
      <c r="D394" s="3" t="s">
        <v>45</v>
      </c>
      <c r="E394" s="3" t="s">
        <v>32</v>
      </c>
      <c r="F394" s="3" t="s">
        <v>39</v>
      </c>
      <c r="G394" s="3" t="s">
        <v>26</v>
      </c>
      <c r="H394" s="3">
        <v>12947</v>
      </c>
      <c r="I394" s="3" t="s">
        <v>33</v>
      </c>
      <c r="J394" s="3">
        <v>0.3</v>
      </c>
      <c r="K394" s="3">
        <v>13000</v>
      </c>
      <c r="L394" s="27">
        <v>45294</v>
      </c>
      <c r="M394" t="str">
        <f t="shared" si="5"/>
        <v>Below Target</v>
      </c>
    </row>
    <row r="395" spans="1:13" x14ac:dyDescent="0.35">
      <c r="A395" s="33" t="s">
        <v>572</v>
      </c>
      <c r="B395" s="3" t="s">
        <v>403</v>
      </c>
      <c r="C395" s="3" t="s">
        <v>30</v>
      </c>
      <c r="D395" s="3" t="s">
        <v>31</v>
      </c>
      <c r="E395" s="3" t="s">
        <v>16</v>
      </c>
      <c r="F395" s="3" t="s">
        <v>39</v>
      </c>
      <c r="G395" s="3" t="s">
        <v>26</v>
      </c>
      <c r="H395" s="3">
        <v>15134</v>
      </c>
      <c r="I395" s="3" t="s">
        <v>19</v>
      </c>
      <c r="J395" s="3">
        <v>0.2</v>
      </c>
      <c r="K395" s="3">
        <v>17000</v>
      </c>
      <c r="L395" s="27">
        <v>45351</v>
      </c>
      <c r="M395" t="str">
        <f t="shared" si="5"/>
        <v>Below Target</v>
      </c>
    </row>
    <row r="396" spans="1:13" x14ac:dyDescent="0.35">
      <c r="A396" s="33" t="s">
        <v>573</v>
      </c>
      <c r="B396" s="3" t="s">
        <v>303</v>
      </c>
      <c r="C396" s="3" t="s">
        <v>14</v>
      </c>
      <c r="D396" s="3" t="s">
        <v>15</v>
      </c>
      <c r="E396" s="3" t="s">
        <v>32</v>
      </c>
      <c r="F396" s="3" t="s">
        <v>39</v>
      </c>
      <c r="G396" s="3" t="s">
        <v>18</v>
      </c>
      <c r="H396" s="3">
        <v>15081</v>
      </c>
      <c r="I396" s="3"/>
      <c r="J396" s="3"/>
      <c r="K396" s="3">
        <v>14000</v>
      </c>
      <c r="L396" s="27">
        <v>45351</v>
      </c>
      <c r="M396" t="str">
        <f t="shared" si="5"/>
        <v>Target Achieved</v>
      </c>
    </row>
    <row r="397" spans="1:13" x14ac:dyDescent="0.35">
      <c r="A397" s="33" t="s">
        <v>574</v>
      </c>
      <c r="B397" s="3" t="s">
        <v>263</v>
      </c>
      <c r="C397" s="3" t="s">
        <v>44</v>
      </c>
      <c r="D397" s="3" t="s">
        <v>45</v>
      </c>
      <c r="E397" s="3" t="s">
        <v>16</v>
      </c>
      <c r="F397" s="3" t="s">
        <v>25</v>
      </c>
      <c r="G397" s="3" t="s">
        <v>26</v>
      </c>
      <c r="H397" s="3">
        <v>14418</v>
      </c>
      <c r="I397" s="3"/>
      <c r="J397" s="3"/>
      <c r="K397" s="3">
        <v>13000</v>
      </c>
      <c r="L397" s="27">
        <v>45335</v>
      </c>
      <c r="M397" t="str">
        <f t="shared" si="5"/>
        <v>Target Achieved</v>
      </c>
    </row>
    <row r="398" spans="1:13" x14ac:dyDescent="0.35">
      <c r="A398" s="33" t="s">
        <v>575</v>
      </c>
      <c r="B398" s="3" t="s">
        <v>84</v>
      </c>
      <c r="C398" s="3" t="s">
        <v>30</v>
      </c>
      <c r="D398" s="3" t="s">
        <v>31</v>
      </c>
      <c r="E398" s="3" t="s">
        <v>46</v>
      </c>
      <c r="F398" s="3" t="s">
        <v>39</v>
      </c>
      <c r="G398" s="3" t="s">
        <v>18</v>
      </c>
      <c r="H398" s="3">
        <v>18237</v>
      </c>
      <c r="I398" s="3" t="s">
        <v>22</v>
      </c>
      <c r="J398" s="3">
        <v>0.1</v>
      </c>
      <c r="K398" s="3">
        <v>17000</v>
      </c>
      <c r="L398" s="27">
        <v>45324</v>
      </c>
      <c r="M398" t="str">
        <f t="shared" si="5"/>
        <v>Target Achieved</v>
      </c>
    </row>
    <row r="399" spans="1:13" x14ac:dyDescent="0.35">
      <c r="A399" s="33" t="s">
        <v>576</v>
      </c>
      <c r="B399" s="3" t="s">
        <v>577</v>
      </c>
      <c r="C399" s="3" t="s">
        <v>14</v>
      </c>
      <c r="D399" s="3" t="s">
        <v>15</v>
      </c>
      <c r="E399" s="3" t="s">
        <v>32</v>
      </c>
      <c r="F399" s="3" t="s">
        <v>17</v>
      </c>
      <c r="G399" s="3" t="s">
        <v>18</v>
      </c>
      <c r="H399" s="3">
        <v>15435</v>
      </c>
      <c r="I399" s="3" t="s">
        <v>22</v>
      </c>
      <c r="J399" s="3">
        <v>0.1</v>
      </c>
      <c r="K399" s="3">
        <v>14000</v>
      </c>
      <c r="L399" s="27">
        <v>45313</v>
      </c>
      <c r="M399" t="str">
        <f t="shared" si="5"/>
        <v>Target Achieved</v>
      </c>
    </row>
    <row r="400" spans="1:13" x14ac:dyDescent="0.35">
      <c r="A400" s="33" t="s">
        <v>578</v>
      </c>
      <c r="B400" s="3" t="s">
        <v>579</v>
      </c>
      <c r="C400" s="3" t="s">
        <v>61</v>
      </c>
      <c r="D400" s="3" t="s">
        <v>62</v>
      </c>
      <c r="E400" s="3" t="s">
        <v>46</v>
      </c>
      <c r="F400" s="3" t="s">
        <v>25</v>
      </c>
      <c r="G400" s="3" t="s">
        <v>26</v>
      </c>
      <c r="H400" s="3">
        <v>8119</v>
      </c>
      <c r="I400" s="3"/>
      <c r="J400" s="3"/>
      <c r="K400" s="3">
        <v>9000</v>
      </c>
      <c r="L400" s="27">
        <v>45323</v>
      </c>
      <c r="M400" t="str">
        <f t="shared" si="5"/>
        <v>Below Target</v>
      </c>
    </row>
    <row r="401" spans="1:13" x14ac:dyDescent="0.35">
      <c r="A401" s="33" t="s">
        <v>580</v>
      </c>
      <c r="B401" s="3" t="s">
        <v>391</v>
      </c>
      <c r="C401" s="3" t="s">
        <v>61</v>
      </c>
      <c r="D401" s="3" t="s">
        <v>62</v>
      </c>
      <c r="E401" s="3" t="s">
        <v>46</v>
      </c>
      <c r="F401" s="3" t="s">
        <v>25</v>
      </c>
      <c r="G401" s="3" t="s">
        <v>26</v>
      </c>
      <c r="H401" s="3">
        <v>9399</v>
      </c>
      <c r="I401" s="3"/>
      <c r="J401" s="3"/>
      <c r="K401" s="3">
        <v>9000</v>
      </c>
      <c r="L401" s="27">
        <v>45297</v>
      </c>
      <c r="M401" t="str">
        <f t="shared" si="5"/>
        <v>Target Achieved</v>
      </c>
    </row>
    <row r="402" spans="1:13" x14ac:dyDescent="0.35">
      <c r="A402" s="33" t="s">
        <v>581</v>
      </c>
      <c r="B402" s="3" t="s">
        <v>522</v>
      </c>
      <c r="C402" s="3" t="s">
        <v>30</v>
      </c>
      <c r="D402" s="3" t="s">
        <v>31</v>
      </c>
      <c r="E402" s="3" t="s">
        <v>32</v>
      </c>
      <c r="F402" s="3" t="s">
        <v>39</v>
      </c>
      <c r="G402" s="3" t="s">
        <v>18</v>
      </c>
      <c r="H402" s="3">
        <v>15336</v>
      </c>
      <c r="I402" s="3" t="s">
        <v>33</v>
      </c>
      <c r="J402" s="3">
        <v>0.3</v>
      </c>
      <c r="K402" s="3">
        <v>17000</v>
      </c>
      <c r="L402" s="27">
        <v>45301</v>
      </c>
      <c r="M402" t="str">
        <f t="shared" si="5"/>
        <v>Below Target</v>
      </c>
    </row>
    <row r="403" spans="1:13" x14ac:dyDescent="0.35">
      <c r="A403" s="33" t="s">
        <v>582</v>
      </c>
      <c r="B403" s="3" t="s">
        <v>101</v>
      </c>
      <c r="C403" s="3" t="s">
        <v>44</v>
      </c>
      <c r="D403" s="3" t="s">
        <v>45</v>
      </c>
      <c r="E403" s="3" t="s">
        <v>16</v>
      </c>
      <c r="F403" s="3" t="s">
        <v>17</v>
      </c>
      <c r="G403" s="3" t="s">
        <v>36</v>
      </c>
      <c r="H403" s="3">
        <v>12477</v>
      </c>
      <c r="I403" s="3" t="s">
        <v>22</v>
      </c>
      <c r="J403" s="3">
        <v>0.1</v>
      </c>
      <c r="K403" s="3">
        <v>13000</v>
      </c>
      <c r="L403" s="27">
        <v>45297</v>
      </c>
      <c r="M403" t="str">
        <f t="shared" si="5"/>
        <v>Below Target</v>
      </c>
    </row>
    <row r="404" spans="1:13" x14ac:dyDescent="0.35">
      <c r="A404" s="33" t="s">
        <v>583</v>
      </c>
      <c r="B404" s="3" t="s">
        <v>584</v>
      </c>
      <c r="C404" s="3" t="s">
        <v>61</v>
      </c>
      <c r="D404" s="3" t="s">
        <v>62</v>
      </c>
      <c r="E404" s="3" t="s">
        <v>46</v>
      </c>
      <c r="F404" s="3" t="s">
        <v>17</v>
      </c>
      <c r="G404" s="3" t="s">
        <v>18</v>
      </c>
      <c r="H404" s="3">
        <v>7542</v>
      </c>
      <c r="I404" s="3" t="s">
        <v>22</v>
      </c>
      <c r="J404" s="3">
        <v>0.1</v>
      </c>
      <c r="K404" s="3">
        <v>9000</v>
      </c>
      <c r="L404" s="27">
        <v>45303</v>
      </c>
      <c r="M404" t="str">
        <f t="shared" si="5"/>
        <v>Below Target</v>
      </c>
    </row>
    <row r="405" spans="1:13" x14ac:dyDescent="0.35">
      <c r="A405" s="33" t="s">
        <v>585</v>
      </c>
      <c r="B405" s="3" t="s">
        <v>527</v>
      </c>
      <c r="C405" s="3" t="s">
        <v>61</v>
      </c>
      <c r="D405" s="3" t="s">
        <v>62</v>
      </c>
      <c r="E405" s="3" t="s">
        <v>32</v>
      </c>
      <c r="F405" s="3" t="s">
        <v>25</v>
      </c>
      <c r="G405" s="3" t="s">
        <v>18</v>
      </c>
      <c r="H405" s="3">
        <v>8449</v>
      </c>
      <c r="I405" s="3" t="s">
        <v>27</v>
      </c>
      <c r="J405" s="3"/>
      <c r="K405" s="3">
        <v>9000</v>
      </c>
      <c r="L405" s="27">
        <v>45297</v>
      </c>
      <c r="M405" t="str">
        <f t="shared" si="5"/>
        <v>Below Target</v>
      </c>
    </row>
    <row r="406" spans="1:13" x14ac:dyDescent="0.35">
      <c r="A406" s="33" t="s">
        <v>586</v>
      </c>
      <c r="B406" s="3" t="s">
        <v>195</v>
      </c>
      <c r="C406" s="3" t="s">
        <v>30</v>
      </c>
      <c r="D406" s="3" t="s">
        <v>31</v>
      </c>
      <c r="E406" s="3" t="s">
        <v>46</v>
      </c>
      <c r="F406" s="3" t="s">
        <v>25</v>
      </c>
      <c r="G406" s="3" t="s">
        <v>36</v>
      </c>
      <c r="H406" s="3">
        <v>16694</v>
      </c>
      <c r="I406" s="3"/>
      <c r="J406" s="3"/>
      <c r="K406" s="3">
        <v>17000</v>
      </c>
      <c r="L406" s="27">
        <v>45341</v>
      </c>
      <c r="M406" t="str">
        <f t="shared" si="5"/>
        <v>Below Target</v>
      </c>
    </row>
    <row r="407" spans="1:13" x14ac:dyDescent="0.35">
      <c r="A407" s="33" t="s">
        <v>587</v>
      </c>
      <c r="B407" s="3" t="s">
        <v>173</v>
      </c>
      <c r="C407" s="3" t="s">
        <v>44</v>
      </c>
      <c r="D407" s="3" t="s">
        <v>45</v>
      </c>
      <c r="E407" s="3" t="s">
        <v>16</v>
      </c>
      <c r="F407" s="3" t="s">
        <v>39</v>
      </c>
      <c r="G407" s="3" t="s">
        <v>18</v>
      </c>
      <c r="H407" s="3">
        <v>13807</v>
      </c>
      <c r="I407" s="3"/>
      <c r="J407" s="3"/>
      <c r="K407" s="3">
        <v>13000</v>
      </c>
      <c r="L407" s="27">
        <v>45302</v>
      </c>
      <c r="M407" t="str">
        <f t="shared" si="5"/>
        <v>Target Achieved</v>
      </c>
    </row>
    <row r="408" spans="1:13" x14ac:dyDescent="0.35">
      <c r="A408" s="33" t="s">
        <v>588</v>
      </c>
      <c r="B408" s="3" t="s">
        <v>256</v>
      </c>
      <c r="C408" s="3" t="s">
        <v>30</v>
      </c>
      <c r="D408" s="3" t="s">
        <v>31</v>
      </c>
      <c r="E408" s="3" t="s">
        <v>46</v>
      </c>
      <c r="F408" s="3" t="s">
        <v>17</v>
      </c>
      <c r="G408" s="3" t="s">
        <v>18</v>
      </c>
      <c r="H408" s="3">
        <v>15259</v>
      </c>
      <c r="I408" s="3" t="s">
        <v>19</v>
      </c>
      <c r="J408" s="3">
        <v>0.2</v>
      </c>
      <c r="K408" s="3">
        <v>17000</v>
      </c>
      <c r="L408" s="27">
        <v>45319</v>
      </c>
      <c r="M408" t="str">
        <f t="shared" si="5"/>
        <v>Below Target</v>
      </c>
    </row>
    <row r="409" spans="1:13" x14ac:dyDescent="0.35">
      <c r="A409" s="33" t="s">
        <v>589</v>
      </c>
      <c r="B409" s="3" t="s">
        <v>70</v>
      </c>
      <c r="C409" s="3" t="s">
        <v>30</v>
      </c>
      <c r="D409" s="3" t="s">
        <v>31</v>
      </c>
      <c r="E409" s="3" t="s">
        <v>46</v>
      </c>
      <c r="F409" s="3" t="s">
        <v>25</v>
      </c>
      <c r="G409" s="3" t="s">
        <v>36</v>
      </c>
      <c r="H409" s="3">
        <v>16030</v>
      </c>
      <c r="I409" s="3" t="s">
        <v>19</v>
      </c>
      <c r="J409" s="3">
        <v>0.2</v>
      </c>
      <c r="K409" s="3">
        <v>17000</v>
      </c>
      <c r="L409" s="27">
        <v>45338</v>
      </c>
      <c r="M409" t="str">
        <f t="shared" si="5"/>
        <v>Below Target</v>
      </c>
    </row>
    <row r="410" spans="1:13" x14ac:dyDescent="0.35">
      <c r="A410" s="33" t="s">
        <v>590</v>
      </c>
      <c r="B410" s="3" t="s">
        <v>591</v>
      </c>
      <c r="C410" s="3" t="s">
        <v>44</v>
      </c>
      <c r="D410" s="3" t="s">
        <v>45</v>
      </c>
      <c r="E410" s="3" t="s">
        <v>46</v>
      </c>
      <c r="F410" s="3" t="s">
        <v>25</v>
      </c>
      <c r="G410" s="3" t="s">
        <v>18</v>
      </c>
      <c r="H410" s="3">
        <v>12247</v>
      </c>
      <c r="I410" s="3" t="s">
        <v>22</v>
      </c>
      <c r="J410" s="3">
        <v>0.1</v>
      </c>
      <c r="K410" s="3">
        <v>13000</v>
      </c>
      <c r="L410" s="27">
        <v>45352</v>
      </c>
      <c r="M410" t="str">
        <f t="shared" si="5"/>
        <v>Below Target</v>
      </c>
    </row>
    <row r="411" spans="1:13" x14ac:dyDescent="0.35">
      <c r="A411" s="33" t="s">
        <v>592</v>
      </c>
      <c r="B411" s="3" t="s">
        <v>474</v>
      </c>
      <c r="C411" s="3" t="s">
        <v>61</v>
      </c>
      <c r="D411" s="3" t="s">
        <v>62</v>
      </c>
      <c r="E411" s="3" t="s">
        <v>46</v>
      </c>
      <c r="F411" s="3" t="s">
        <v>17</v>
      </c>
      <c r="G411" s="3" t="s">
        <v>36</v>
      </c>
      <c r="H411" s="3">
        <v>8763</v>
      </c>
      <c r="I411" s="3" t="s">
        <v>27</v>
      </c>
      <c r="J411" s="3"/>
      <c r="K411" s="3">
        <v>9000</v>
      </c>
      <c r="L411" s="27">
        <v>45300</v>
      </c>
      <c r="M411" t="str">
        <f t="shared" si="5"/>
        <v>Below Target</v>
      </c>
    </row>
    <row r="412" spans="1:13" x14ac:dyDescent="0.35">
      <c r="A412" s="33" t="s">
        <v>593</v>
      </c>
      <c r="B412" s="3" t="s">
        <v>131</v>
      </c>
      <c r="C412" s="3" t="s">
        <v>44</v>
      </c>
      <c r="D412" s="3" t="s">
        <v>45</v>
      </c>
      <c r="E412" s="3" t="s">
        <v>46</v>
      </c>
      <c r="F412" s="3" t="s">
        <v>17</v>
      </c>
      <c r="G412" s="3" t="s">
        <v>18</v>
      </c>
      <c r="H412" s="3">
        <v>14950</v>
      </c>
      <c r="I412" s="3"/>
      <c r="J412" s="3"/>
      <c r="K412" s="3">
        <v>13000</v>
      </c>
      <c r="L412" s="27">
        <v>45312</v>
      </c>
      <c r="M412" t="str">
        <f t="shared" si="5"/>
        <v>Target Achieved</v>
      </c>
    </row>
    <row r="413" spans="1:13" x14ac:dyDescent="0.35">
      <c r="A413" s="33" t="s">
        <v>594</v>
      </c>
      <c r="B413" s="3" t="s">
        <v>350</v>
      </c>
      <c r="C413" s="3" t="s">
        <v>61</v>
      </c>
      <c r="D413" s="3" t="s">
        <v>62</v>
      </c>
      <c r="E413" s="3" t="s">
        <v>16</v>
      </c>
      <c r="F413" s="3" t="s">
        <v>25</v>
      </c>
      <c r="G413" s="3" t="s">
        <v>36</v>
      </c>
      <c r="H413" s="3">
        <v>8540</v>
      </c>
      <c r="I413" s="3" t="s">
        <v>33</v>
      </c>
      <c r="J413" s="3">
        <v>0.3</v>
      </c>
      <c r="K413" s="3">
        <v>9000</v>
      </c>
      <c r="L413" s="27">
        <v>45344</v>
      </c>
      <c r="M413" t="str">
        <f t="shared" si="5"/>
        <v>Below Target</v>
      </c>
    </row>
    <row r="414" spans="1:13" x14ac:dyDescent="0.35">
      <c r="A414" s="33" t="s">
        <v>595</v>
      </c>
      <c r="B414" s="3" t="s">
        <v>180</v>
      </c>
      <c r="C414" s="3" t="s">
        <v>30</v>
      </c>
      <c r="D414" s="3" t="s">
        <v>31</v>
      </c>
      <c r="E414" s="3" t="s">
        <v>32</v>
      </c>
      <c r="F414" s="3" t="s">
        <v>39</v>
      </c>
      <c r="G414" s="3" t="s">
        <v>18</v>
      </c>
      <c r="H414" s="3">
        <v>17425</v>
      </c>
      <c r="I414" s="3" t="s">
        <v>27</v>
      </c>
      <c r="J414" s="3"/>
      <c r="K414" s="3">
        <v>17000</v>
      </c>
      <c r="L414" s="27">
        <v>45303</v>
      </c>
      <c r="M414" t="str">
        <f t="shared" si="5"/>
        <v>Target Achieved</v>
      </c>
    </row>
    <row r="415" spans="1:13" x14ac:dyDescent="0.35">
      <c r="A415" s="33" t="s">
        <v>596</v>
      </c>
      <c r="B415" s="3" t="s">
        <v>270</v>
      </c>
      <c r="C415" s="3" t="s">
        <v>14</v>
      </c>
      <c r="D415" s="3" t="s">
        <v>15</v>
      </c>
      <c r="E415" s="3" t="s">
        <v>16</v>
      </c>
      <c r="F415" s="3" t="s">
        <v>17</v>
      </c>
      <c r="G415" s="3" t="s">
        <v>26</v>
      </c>
      <c r="H415" s="3">
        <v>12858</v>
      </c>
      <c r="I415" s="3"/>
      <c r="J415" s="3"/>
      <c r="K415" s="3">
        <v>14000</v>
      </c>
      <c r="L415" s="27">
        <v>45343</v>
      </c>
      <c r="M415" t="str">
        <f t="shared" si="5"/>
        <v>Below Target</v>
      </c>
    </row>
    <row r="416" spans="1:13" x14ac:dyDescent="0.35">
      <c r="A416" s="33" t="s">
        <v>597</v>
      </c>
      <c r="B416" s="3" t="s">
        <v>142</v>
      </c>
      <c r="C416" s="3" t="s">
        <v>14</v>
      </c>
      <c r="D416" s="3" t="s">
        <v>15</v>
      </c>
      <c r="E416" s="3" t="s">
        <v>46</v>
      </c>
      <c r="F416" s="3" t="s">
        <v>39</v>
      </c>
      <c r="G416" s="3" t="s">
        <v>36</v>
      </c>
      <c r="H416" s="3">
        <v>12570</v>
      </c>
      <c r="I416" s="3" t="s">
        <v>33</v>
      </c>
      <c r="J416" s="3">
        <v>0.3</v>
      </c>
      <c r="K416" s="3">
        <v>14000</v>
      </c>
      <c r="L416" s="27">
        <v>45307</v>
      </c>
      <c r="M416" t="str">
        <f t="shared" ref="M416:M479" si="6">IF(H416&gt;=K416,"Target Achieved","Below Target")</f>
        <v>Below Target</v>
      </c>
    </row>
    <row r="417" spans="1:13" x14ac:dyDescent="0.35">
      <c r="A417" s="33" t="s">
        <v>598</v>
      </c>
      <c r="B417" s="3" t="s">
        <v>286</v>
      </c>
      <c r="C417" s="3" t="s">
        <v>44</v>
      </c>
      <c r="D417" s="3" t="s">
        <v>45</v>
      </c>
      <c r="E417" s="3" t="s">
        <v>16</v>
      </c>
      <c r="F417" s="3" t="s">
        <v>17</v>
      </c>
      <c r="G417" s="3" t="s">
        <v>36</v>
      </c>
      <c r="H417" s="3">
        <v>11302</v>
      </c>
      <c r="I417" s="3"/>
      <c r="J417" s="3"/>
      <c r="K417" s="3">
        <v>13000</v>
      </c>
      <c r="L417" s="27">
        <v>45330</v>
      </c>
      <c r="M417" t="str">
        <f t="shared" si="6"/>
        <v>Below Target</v>
      </c>
    </row>
    <row r="418" spans="1:13" x14ac:dyDescent="0.35">
      <c r="A418" s="33" t="s">
        <v>599</v>
      </c>
      <c r="B418" s="3" t="s">
        <v>600</v>
      </c>
      <c r="C418" s="3" t="s">
        <v>61</v>
      </c>
      <c r="D418" s="3" t="s">
        <v>62</v>
      </c>
      <c r="E418" s="3" t="s">
        <v>16</v>
      </c>
      <c r="F418" s="3" t="s">
        <v>39</v>
      </c>
      <c r="G418" s="3" t="s">
        <v>26</v>
      </c>
      <c r="H418" s="3">
        <v>8713</v>
      </c>
      <c r="I418" s="3" t="s">
        <v>27</v>
      </c>
      <c r="J418" s="3"/>
      <c r="K418" s="3">
        <v>9000</v>
      </c>
      <c r="L418" s="27">
        <v>45294</v>
      </c>
      <c r="M418" t="str">
        <f t="shared" si="6"/>
        <v>Below Target</v>
      </c>
    </row>
    <row r="419" spans="1:13" x14ac:dyDescent="0.35">
      <c r="A419" s="33" t="s">
        <v>601</v>
      </c>
      <c r="B419" s="3" t="s">
        <v>602</v>
      </c>
      <c r="C419" s="3" t="s">
        <v>14</v>
      </c>
      <c r="D419" s="3" t="s">
        <v>15</v>
      </c>
      <c r="E419" s="3" t="s">
        <v>32</v>
      </c>
      <c r="F419" s="3" t="s">
        <v>25</v>
      </c>
      <c r="G419" s="3" t="s">
        <v>26</v>
      </c>
      <c r="H419" s="3">
        <v>14722</v>
      </c>
      <c r="I419" s="3" t="s">
        <v>33</v>
      </c>
      <c r="J419" s="3">
        <v>0.3</v>
      </c>
      <c r="K419" s="3">
        <v>14000</v>
      </c>
      <c r="L419" s="27">
        <v>45302</v>
      </c>
      <c r="M419" t="str">
        <f t="shared" si="6"/>
        <v>Target Achieved</v>
      </c>
    </row>
    <row r="420" spans="1:13" x14ac:dyDescent="0.35">
      <c r="A420" s="33" t="s">
        <v>603</v>
      </c>
      <c r="B420" s="3" t="s">
        <v>163</v>
      </c>
      <c r="C420" s="3" t="s">
        <v>14</v>
      </c>
      <c r="D420" s="3" t="s">
        <v>15</v>
      </c>
      <c r="E420" s="3" t="s">
        <v>16</v>
      </c>
      <c r="F420" s="3" t="s">
        <v>39</v>
      </c>
      <c r="G420" s="3" t="s">
        <v>26</v>
      </c>
      <c r="H420" s="3">
        <v>14649</v>
      </c>
      <c r="I420" s="3"/>
      <c r="J420" s="3"/>
      <c r="K420" s="3">
        <v>14000</v>
      </c>
      <c r="L420" s="27">
        <v>45340</v>
      </c>
      <c r="M420" t="str">
        <f t="shared" si="6"/>
        <v>Target Achieved</v>
      </c>
    </row>
    <row r="421" spans="1:13" x14ac:dyDescent="0.35">
      <c r="A421" s="33" t="s">
        <v>604</v>
      </c>
      <c r="B421" s="3" t="s">
        <v>478</v>
      </c>
      <c r="C421" s="3" t="s">
        <v>61</v>
      </c>
      <c r="D421" s="3" t="s">
        <v>62</v>
      </c>
      <c r="E421" s="3" t="s">
        <v>32</v>
      </c>
      <c r="F421" s="3" t="s">
        <v>25</v>
      </c>
      <c r="G421" s="3" t="s">
        <v>18</v>
      </c>
      <c r="H421" s="3">
        <v>8059</v>
      </c>
      <c r="I421" s="3" t="s">
        <v>19</v>
      </c>
      <c r="J421" s="3">
        <v>0.2</v>
      </c>
      <c r="K421" s="3">
        <v>9000</v>
      </c>
      <c r="L421" s="27">
        <v>45324</v>
      </c>
      <c r="M421" t="str">
        <f t="shared" si="6"/>
        <v>Below Target</v>
      </c>
    </row>
    <row r="422" spans="1:13" x14ac:dyDescent="0.35">
      <c r="A422" s="33" t="s">
        <v>605</v>
      </c>
      <c r="B422" s="3" t="s">
        <v>103</v>
      </c>
      <c r="C422" s="3" t="s">
        <v>44</v>
      </c>
      <c r="D422" s="3" t="s">
        <v>45</v>
      </c>
      <c r="E422" s="3" t="s">
        <v>46</v>
      </c>
      <c r="F422" s="3" t="s">
        <v>17</v>
      </c>
      <c r="G422" s="3" t="s">
        <v>36</v>
      </c>
      <c r="H422" s="3">
        <v>12896</v>
      </c>
      <c r="I422" s="3" t="s">
        <v>27</v>
      </c>
      <c r="J422" s="3"/>
      <c r="K422" s="3">
        <v>13000</v>
      </c>
      <c r="L422" s="27">
        <v>45336</v>
      </c>
      <c r="M422" t="str">
        <f t="shared" si="6"/>
        <v>Below Target</v>
      </c>
    </row>
    <row r="423" spans="1:13" x14ac:dyDescent="0.35">
      <c r="A423" s="33" t="s">
        <v>606</v>
      </c>
      <c r="B423" s="3" t="s">
        <v>80</v>
      </c>
      <c r="C423" s="3" t="s">
        <v>30</v>
      </c>
      <c r="D423" s="3" t="s">
        <v>31</v>
      </c>
      <c r="E423" s="3" t="s">
        <v>32</v>
      </c>
      <c r="F423" s="3" t="s">
        <v>17</v>
      </c>
      <c r="G423" s="3" t="s">
        <v>18</v>
      </c>
      <c r="H423" s="3">
        <v>16210</v>
      </c>
      <c r="I423" s="3"/>
      <c r="J423" s="3"/>
      <c r="K423" s="3">
        <v>17000</v>
      </c>
      <c r="L423" s="27">
        <v>45350</v>
      </c>
      <c r="M423" t="str">
        <f t="shared" si="6"/>
        <v>Below Target</v>
      </c>
    </row>
    <row r="424" spans="1:13" x14ac:dyDescent="0.35">
      <c r="A424" s="33" t="s">
        <v>607</v>
      </c>
      <c r="B424" s="3" t="s">
        <v>78</v>
      </c>
      <c r="C424" s="3" t="s">
        <v>44</v>
      </c>
      <c r="D424" s="3" t="s">
        <v>45</v>
      </c>
      <c r="E424" s="3" t="s">
        <v>46</v>
      </c>
      <c r="F424" s="3" t="s">
        <v>17</v>
      </c>
      <c r="G424" s="3" t="s">
        <v>36</v>
      </c>
      <c r="H424" s="3">
        <v>12865</v>
      </c>
      <c r="I424" s="3" t="s">
        <v>19</v>
      </c>
      <c r="J424" s="3">
        <v>0.2</v>
      </c>
      <c r="K424" s="3">
        <v>13000</v>
      </c>
      <c r="L424" s="27">
        <v>45325</v>
      </c>
      <c r="M424" t="str">
        <f t="shared" si="6"/>
        <v>Below Target</v>
      </c>
    </row>
    <row r="425" spans="1:13" x14ac:dyDescent="0.35">
      <c r="A425" s="33" t="s">
        <v>608</v>
      </c>
      <c r="B425" s="3" t="s">
        <v>188</v>
      </c>
      <c r="C425" s="3" t="s">
        <v>61</v>
      </c>
      <c r="D425" s="3" t="s">
        <v>62</v>
      </c>
      <c r="E425" s="3" t="s">
        <v>32</v>
      </c>
      <c r="F425" s="3" t="s">
        <v>17</v>
      </c>
      <c r="G425" s="3" t="s">
        <v>26</v>
      </c>
      <c r="H425" s="3">
        <v>9853</v>
      </c>
      <c r="I425" s="3"/>
      <c r="J425" s="3"/>
      <c r="K425" s="3">
        <v>9000</v>
      </c>
      <c r="L425" s="27">
        <v>45312</v>
      </c>
      <c r="M425" t="str">
        <f t="shared" si="6"/>
        <v>Target Achieved</v>
      </c>
    </row>
    <row r="426" spans="1:13" x14ac:dyDescent="0.35">
      <c r="A426" s="33" t="s">
        <v>609</v>
      </c>
      <c r="B426" s="3" t="s">
        <v>263</v>
      </c>
      <c r="C426" s="3" t="s">
        <v>14</v>
      </c>
      <c r="D426" s="3" t="s">
        <v>15</v>
      </c>
      <c r="E426" s="3" t="s">
        <v>16</v>
      </c>
      <c r="F426" s="3" t="s">
        <v>25</v>
      </c>
      <c r="G426" s="3" t="s">
        <v>18</v>
      </c>
      <c r="H426" s="3">
        <v>15478</v>
      </c>
      <c r="I426" s="3" t="s">
        <v>33</v>
      </c>
      <c r="J426" s="3">
        <v>0.3</v>
      </c>
      <c r="K426" s="3">
        <v>14000</v>
      </c>
      <c r="L426" s="27">
        <v>45333</v>
      </c>
      <c r="M426" t="str">
        <f t="shared" si="6"/>
        <v>Target Achieved</v>
      </c>
    </row>
    <row r="427" spans="1:13" x14ac:dyDescent="0.35">
      <c r="A427" s="33" t="s">
        <v>610</v>
      </c>
      <c r="B427" s="3" t="s">
        <v>21</v>
      </c>
      <c r="C427" s="3" t="s">
        <v>44</v>
      </c>
      <c r="D427" s="3" t="s">
        <v>45</v>
      </c>
      <c r="E427" s="3" t="s">
        <v>16</v>
      </c>
      <c r="F427" s="3" t="s">
        <v>25</v>
      </c>
      <c r="G427" s="3" t="s">
        <v>26</v>
      </c>
      <c r="H427" s="3">
        <v>11714</v>
      </c>
      <c r="I427" s="3" t="s">
        <v>27</v>
      </c>
      <c r="J427" s="3"/>
      <c r="K427" s="3">
        <v>13000</v>
      </c>
      <c r="L427" s="27">
        <v>45302</v>
      </c>
      <c r="M427" t="str">
        <f t="shared" si="6"/>
        <v>Below Target</v>
      </c>
    </row>
    <row r="428" spans="1:13" x14ac:dyDescent="0.35">
      <c r="A428" s="33" t="s">
        <v>611</v>
      </c>
      <c r="B428" s="3" t="s">
        <v>301</v>
      </c>
      <c r="C428" s="3" t="s">
        <v>61</v>
      </c>
      <c r="D428" s="3" t="s">
        <v>62</v>
      </c>
      <c r="E428" s="3" t="s">
        <v>46</v>
      </c>
      <c r="F428" s="3" t="s">
        <v>25</v>
      </c>
      <c r="G428" s="3" t="s">
        <v>36</v>
      </c>
      <c r="H428" s="3">
        <v>9579</v>
      </c>
      <c r="I428" s="3" t="s">
        <v>19</v>
      </c>
      <c r="J428" s="3">
        <v>0.2</v>
      </c>
      <c r="K428" s="3">
        <v>9000</v>
      </c>
      <c r="L428" s="27">
        <v>45303</v>
      </c>
      <c r="M428" t="str">
        <f t="shared" si="6"/>
        <v>Target Achieved</v>
      </c>
    </row>
    <row r="429" spans="1:13" x14ac:dyDescent="0.35">
      <c r="A429" s="33" t="s">
        <v>612</v>
      </c>
      <c r="B429" s="3" t="s">
        <v>92</v>
      </c>
      <c r="C429" s="3" t="s">
        <v>61</v>
      </c>
      <c r="D429" s="3" t="s">
        <v>62</v>
      </c>
      <c r="E429" s="3" t="s">
        <v>46</v>
      </c>
      <c r="F429" s="3" t="s">
        <v>25</v>
      </c>
      <c r="G429" s="3" t="s">
        <v>26</v>
      </c>
      <c r="H429" s="3">
        <v>9515</v>
      </c>
      <c r="I429" s="3" t="s">
        <v>19</v>
      </c>
      <c r="J429" s="3">
        <v>0.2</v>
      </c>
      <c r="K429" s="3">
        <v>9000</v>
      </c>
      <c r="L429" s="27">
        <v>45320</v>
      </c>
      <c r="M429" t="str">
        <f t="shared" si="6"/>
        <v>Target Achieved</v>
      </c>
    </row>
    <row r="430" spans="1:13" x14ac:dyDescent="0.35">
      <c r="A430" s="33" t="s">
        <v>613</v>
      </c>
      <c r="B430" s="3" t="s">
        <v>337</v>
      </c>
      <c r="C430" s="3" t="s">
        <v>61</v>
      </c>
      <c r="D430" s="3" t="s">
        <v>62</v>
      </c>
      <c r="E430" s="3" t="s">
        <v>32</v>
      </c>
      <c r="F430" s="3" t="s">
        <v>39</v>
      </c>
      <c r="G430" s="3" t="s">
        <v>18</v>
      </c>
      <c r="H430" s="3">
        <v>7842</v>
      </c>
      <c r="I430" s="3" t="s">
        <v>33</v>
      </c>
      <c r="J430" s="3">
        <v>0.3</v>
      </c>
      <c r="K430" s="3">
        <v>9000</v>
      </c>
      <c r="L430" s="27">
        <v>45340</v>
      </c>
      <c r="M430" t="str">
        <f t="shared" si="6"/>
        <v>Below Target</v>
      </c>
    </row>
    <row r="431" spans="1:13" x14ac:dyDescent="0.35">
      <c r="A431" s="33" t="s">
        <v>614</v>
      </c>
      <c r="B431" s="3" t="s">
        <v>276</v>
      </c>
      <c r="C431" s="3" t="s">
        <v>14</v>
      </c>
      <c r="D431" s="3" t="s">
        <v>15</v>
      </c>
      <c r="E431" s="3" t="s">
        <v>16</v>
      </c>
      <c r="F431" s="3" t="s">
        <v>25</v>
      </c>
      <c r="G431" s="3" t="s">
        <v>26</v>
      </c>
      <c r="H431" s="3">
        <v>12765</v>
      </c>
      <c r="I431" s="3" t="s">
        <v>33</v>
      </c>
      <c r="J431" s="3">
        <v>0.3</v>
      </c>
      <c r="K431" s="3">
        <v>14000</v>
      </c>
      <c r="L431" s="27">
        <v>45312</v>
      </c>
      <c r="M431" t="str">
        <f t="shared" si="6"/>
        <v>Below Target</v>
      </c>
    </row>
    <row r="432" spans="1:13" x14ac:dyDescent="0.35">
      <c r="A432" s="33" t="s">
        <v>615</v>
      </c>
      <c r="B432" s="3" t="s">
        <v>29</v>
      </c>
      <c r="C432" s="3" t="s">
        <v>14</v>
      </c>
      <c r="D432" s="3" t="s">
        <v>15</v>
      </c>
      <c r="E432" s="3" t="s">
        <v>46</v>
      </c>
      <c r="F432" s="3" t="s">
        <v>39</v>
      </c>
      <c r="G432" s="3" t="s">
        <v>36</v>
      </c>
      <c r="H432" s="3">
        <v>14161</v>
      </c>
      <c r="I432" s="3" t="s">
        <v>33</v>
      </c>
      <c r="J432" s="3">
        <v>0.3</v>
      </c>
      <c r="K432" s="3">
        <v>14000</v>
      </c>
      <c r="L432" s="27">
        <v>45330</v>
      </c>
      <c r="M432" t="str">
        <f t="shared" si="6"/>
        <v>Target Achieved</v>
      </c>
    </row>
    <row r="433" spans="1:13" x14ac:dyDescent="0.35">
      <c r="A433" s="33" t="s">
        <v>616</v>
      </c>
      <c r="B433" s="3" t="s">
        <v>617</v>
      </c>
      <c r="C433" s="3" t="s">
        <v>61</v>
      </c>
      <c r="D433" s="3" t="s">
        <v>62</v>
      </c>
      <c r="E433" s="3" t="s">
        <v>16</v>
      </c>
      <c r="F433" s="3" t="s">
        <v>25</v>
      </c>
      <c r="G433" s="3" t="s">
        <v>36</v>
      </c>
      <c r="H433" s="3">
        <v>8441</v>
      </c>
      <c r="I433" s="3"/>
      <c r="J433" s="3"/>
      <c r="K433" s="3">
        <v>9000</v>
      </c>
      <c r="L433" s="27">
        <v>45331</v>
      </c>
      <c r="M433" t="str">
        <f t="shared" si="6"/>
        <v>Below Target</v>
      </c>
    </row>
    <row r="434" spans="1:13" x14ac:dyDescent="0.35">
      <c r="A434" s="33" t="s">
        <v>618</v>
      </c>
      <c r="B434" s="3" t="s">
        <v>619</v>
      </c>
      <c r="C434" s="3" t="s">
        <v>30</v>
      </c>
      <c r="D434" s="3" t="s">
        <v>31</v>
      </c>
      <c r="E434" s="3" t="s">
        <v>16</v>
      </c>
      <c r="F434" s="3" t="s">
        <v>39</v>
      </c>
      <c r="G434" s="3" t="s">
        <v>18</v>
      </c>
      <c r="H434" s="3">
        <v>17752</v>
      </c>
      <c r="I434" s="3" t="s">
        <v>19</v>
      </c>
      <c r="J434" s="3">
        <v>0.2</v>
      </c>
      <c r="K434" s="3">
        <v>17000</v>
      </c>
      <c r="L434" s="27">
        <v>45312</v>
      </c>
      <c r="M434" t="str">
        <f t="shared" si="6"/>
        <v>Target Achieved</v>
      </c>
    </row>
    <row r="435" spans="1:13" x14ac:dyDescent="0.35">
      <c r="A435" s="33" t="s">
        <v>620</v>
      </c>
      <c r="B435" s="3" t="s">
        <v>248</v>
      </c>
      <c r="C435" s="3" t="s">
        <v>30</v>
      </c>
      <c r="D435" s="3" t="s">
        <v>31</v>
      </c>
      <c r="E435" s="3" t="s">
        <v>32</v>
      </c>
      <c r="F435" s="3" t="s">
        <v>25</v>
      </c>
      <c r="G435" s="3" t="s">
        <v>36</v>
      </c>
      <c r="H435" s="3">
        <v>17840</v>
      </c>
      <c r="I435" s="3" t="s">
        <v>19</v>
      </c>
      <c r="J435" s="3">
        <v>0.2</v>
      </c>
      <c r="K435" s="3">
        <v>17000</v>
      </c>
      <c r="L435" s="27">
        <v>45324</v>
      </c>
      <c r="M435" t="str">
        <f t="shared" si="6"/>
        <v>Target Achieved</v>
      </c>
    </row>
    <row r="436" spans="1:13" x14ac:dyDescent="0.35">
      <c r="A436" s="33" t="s">
        <v>621</v>
      </c>
      <c r="B436" s="3" t="s">
        <v>177</v>
      </c>
      <c r="C436" s="3" t="s">
        <v>44</v>
      </c>
      <c r="D436" s="3" t="s">
        <v>45</v>
      </c>
      <c r="E436" s="3" t="s">
        <v>16</v>
      </c>
      <c r="F436" s="3" t="s">
        <v>17</v>
      </c>
      <c r="G436" s="3" t="s">
        <v>36</v>
      </c>
      <c r="H436" s="3">
        <v>11760</v>
      </c>
      <c r="I436" s="3"/>
      <c r="J436" s="3"/>
      <c r="K436" s="3">
        <v>13000</v>
      </c>
      <c r="L436" s="27">
        <v>45332</v>
      </c>
      <c r="M436" t="str">
        <f t="shared" si="6"/>
        <v>Below Target</v>
      </c>
    </row>
    <row r="437" spans="1:13" x14ac:dyDescent="0.35">
      <c r="A437" s="33" t="s">
        <v>622</v>
      </c>
      <c r="B437" s="3" t="s">
        <v>548</v>
      </c>
      <c r="C437" s="3" t="s">
        <v>44</v>
      </c>
      <c r="D437" s="3" t="s">
        <v>45</v>
      </c>
      <c r="E437" s="3" t="s">
        <v>16</v>
      </c>
      <c r="F437" s="3" t="s">
        <v>25</v>
      </c>
      <c r="G437" s="3" t="s">
        <v>36</v>
      </c>
      <c r="H437" s="3">
        <v>12183</v>
      </c>
      <c r="I437" s="3" t="s">
        <v>19</v>
      </c>
      <c r="J437" s="3">
        <v>0.2</v>
      </c>
      <c r="K437" s="3">
        <v>13000</v>
      </c>
      <c r="L437" s="27">
        <v>45303</v>
      </c>
      <c r="M437" t="str">
        <f t="shared" si="6"/>
        <v>Below Target</v>
      </c>
    </row>
    <row r="438" spans="1:13" x14ac:dyDescent="0.35">
      <c r="A438" s="33" t="s">
        <v>623</v>
      </c>
      <c r="B438" s="3" t="s">
        <v>624</v>
      </c>
      <c r="C438" s="3" t="s">
        <v>61</v>
      </c>
      <c r="D438" s="3" t="s">
        <v>62</v>
      </c>
      <c r="E438" s="3" t="s">
        <v>16</v>
      </c>
      <c r="F438" s="3" t="s">
        <v>25</v>
      </c>
      <c r="G438" s="3" t="s">
        <v>36</v>
      </c>
      <c r="H438" s="3">
        <v>10898</v>
      </c>
      <c r="I438" s="3" t="s">
        <v>22</v>
      </c>
      <c r="J438" s="3">
        <v>0.1</v>
      </c>
      <c r="K438" s="3">
        <v>9000</v>
      </c>
      <c r="L438" s="27">
        <v>45323</v>
      </c>
      <c r="M438" t="str">
        <f t="shared" si="6"/>
        <v>Target Achieved</v>
      </c>
    </row>
    <row r="439" spans="1:13" x14ac:dyDescent="0.35">
      <c r="A439" s="33" t="s">
        <v>625</v>
      </c>
      <c r="B439" s="3" t="s">
        <v>35</v>
      </c>
      <c r="C439" s="3" t="s">
        <v>61</v>
      </c>
      <c r="D439" s="3" t="s">
        <v>62</v>
      </c>
      <c r="E439" s="3" t="s">
        <v>16</v>
      </c>
      <c r="F439" s="3" t="s">
        <v>39</v>
      </c>
      <c r="G439" s="3" t="s">
        <v>26</v>
      </c>
      <c r="H439" s="3">
        <v>9027</v>
      </c>
      <c r="I439" s="3"/>
      <c r="J439" s="3"/>
      <c r="K439" s="3">
        <v>9000</v>
      </c>
      <c r="L439" s="27">
        <v>45335</v>
      </c>
      <c r="M439" t="str">
        <f t="shared" si="6"/>
        <v>Target Achieved</v>
      </c>
    </row>
    <row r="440" spans="1:13" x14ac:dyDescent="0.35">
      <c r="A440" s="33" t="s">
        <v>626</v>
      </c>
      <c r="B440" s="3" t="s">
        <v>52</v>
      </c>
      <c r="C440" s="3" t="s">
        <v>61</v>
      </c>
      <c r="D440" s="3" t="s">
        <v>62</v>
      </c>
      <c r="E440" s="3" t="s">
        <v>46</v>
      </c>
      <c r="F440" s="3" t="s">
        <v>25</v>
      </c>
      <c r="G440" s="3" t="s">
        <v>18</v>
      </c>
      <c r="H440" s="3">
        <v>9315</v>
      </c>
      <c r="I440" s="3" t="s">
        <v>22</v>
      </c>
      <c r="J440" s="3">
        <v>0.1</v>
      </c>
      <c r="K440" s="3">
        <v>9000</v>
      </c>
      <c r="L440" s="27">
        <v>45342</v>
      </c>
      <c r="M440" t="str">
        <f t="shared" si="6"/>
        <v>Target Achieved</v>
      </c>
    </row>
    <row r="441" spans="1:13" x14ac:dyDescent="0.35">
      <c r="A441" s="33" t="s">
        <v>627</v>
      </c>
      <c r="B441" s="3" t="s">
        <v>294</v>
      </c>
      <c r="C441" s="3" t="s">
        <v>30</v>
      </c>
      <c r="D441" s="3" t="s">
        <v>31</v>
      </c>
      <c r="E441" s="3" t="s">
        <v>32</v>
      </c>
      <c r="F441" s="3" t="s">
        <v>17</v>
      </c>
      <c r="G441" s="3" t="s">
        <v>18</v>
      </c>
      <c r="H441" s="3">
        <v>17202</v>
      </c>
      <c r="I441" s="3" t="s">
        <v>33</v>
      </c>
      <c r="J441" s="3">
        <v>0.3</v>
      </c>
      <c r="K441" s="3">
        <v>17000</v>
      </c>
      <c r="L441" s="27">
        <v>45302</v>
      </c>
      <c r="M441" t="str">
        <f t="shared" si="6"/>
        <v>Target Achieved</v>
      </c>
    </row>
    <row r="442" spans="1:13" x14ac:dyDescent="0.35">
      <c r="A442" s="33" t="s">
        <v>628</v>
      </c>
      <c r="B442" s="3" t="s">
        <v>298</v>
      </c>
      <c r="C442" s="3" t="s">
        <v>61</v>
      </c>
      <c r="D442" s="3" t="s">
        <v>62</v>
      </c>
      <c r="E442" s="3" t="s">
        <v>16</v>
      </c>
      <c r="F442" s="3" t="s">
        <v>39</v>
      </c>
      <c r="G442" s="3" t="s">
        <v>18</v>
      </c>
      <c r="H442" s="3">
        <v>9345</v>
      </c>
      <c r="I442" s="3" t="s">
        <v>22</v>
      </c>
      <c r="J442" s="3">
        <v>0.1</v>
      </c>
      <c r="K442" s="3">
        <v>9000</v>
      </c>
      <c r="L442" s="27">
        <v>45309</v>
      </c>
      <c r="M442" t="str">
        <f t="shared" si="6"/>
        <v>Target Achieved</v>
      </c>
    </row>
    <row r="443" spans="1:13" x14ac:dyDescent="0.35">
      <c r="A443" s="33" t="s">
        <v>629</v>
      </c>
      <c r="B443" s="3" t="s">
        <v>133</v>
      </c>
      <c r="C443" s="3" t="s">
        <v>30</v>
      </c>
      <c r="D443" s="3" t="s">
        <v>31</v>
      </c>
      <c r="E443" s="3" t="s">
        <v>16</v>
      </c>
      <c r="F443" s="3" t="s">
        <v>25</v>
      </c>
      <c r="G443" s="3" t="s">
        <v>26</v>
      </c>
      <c r="H443" s="3">
        <v>16807</v>
      </c>
      <c r="I443" s="3" t="s">
        <v>27</v>
      </c>
      <c r="J443" s="3"/>
      <c r="K443" s="3">
        <v>17000</v>
      </c>
      <c r="L443" s="27">
        <v>45305</v>
      </c>
      <c r="M443" t="str">
        <f t="shared" si="6"/>
        <v>Below Target</v>
      </c>
    </row>
    <row r="444" spans="1:13" x14ac:dyDescent="0.35">
      <c r="A444" s="33" t="s">
        <v>630</v>
      </c>
      <c r="B444" s="3" t="s">
        <v>41</v>
      </c>
      <c r="C444" s="3" t="s">
        <v>44</v>
      </c>
      <c r="D444" s="3" t="s">
        <v>45</v>
      </c>
      <c r="E444" s="3" t="s">
        <v>46</v>
      </c>
      <c r="F444" s="3" t="s">
        <v>25</v>
      </c>
      <c r="G444" s="3" t="s">
        <v>36</v>
      </c>
      <c r="H444" s="3">
        <v>12076</v>
      </c>
      <c r="I444" s="3" t="s">
        <v>33</v>
      </c>
      <c r="J444" s="3">
        <v>0.3</v>
      </c>
      <c r="K444" s="3">
        <v>13000</v>
      </c>
      <c r="L444" s="27">
        <v>45347</v>
      </c>
      <c r="M444" t="str">
        <f t="shared" si="6"/>
        <v>Below Target</v>
      </c>
    </row>
    <row r="445" spans="1:13" x14ac:dyDescent="0.35">
      <c r="A445" s="33" t="s">
        <v>631</v>
      </c>
      <c r="B445" s="3" t="s">
        <v>96</v>
      </c>
      <c r="C445" s="3" t="s">
        <v>61</v>
      </c>
      <c r="D445" s="3" t="s">
        <v>62</v>
      </c>
      <c r="E445" s="3" t="s">
        <v>32</v>
      </c>
      <c r="F445" s="3" t="s">
        <v>25</v>
      </c>
      <c r="G445" s="3" t="s">
        <v>18</v>
      </c>
      <c r="H445" s="3">
        <v>10320</v>
      </c>
      <c r="I445" s="3" t="s">
        <v>27</v>
      </c>
      <c r="J445" s="3"/>
      <c r="K445" s="3">
        <v>9000</v>
      </c>
      <c r="L445" s="27">
        <v>45336</v>
      </c>
      <c r="M445" t="str">
        <f t="shared" si="6"/>
        <v>Target Achieved</v>
      </c>
    </row>
    <row r="446" spans="1:13" x14ac:dyDescent="0.35">
      <c r="A446" s="33" t="s">
        <v>632</v>
      </c>
      <c r="B446" s="3" t="s">
        <v>624</v>
      </c>
      <c r="C446" s="3" t="s">
        <v>61</v>
      </c>
      <c r="D446" s="3" t="s">
        <v>62</v>
      </c>
      <c r="E446" s="3" t="s">
        <v>32</v>
      </c>
      <c r="F446" s="3" t="s">
        <v>39</v>
      </c>
      <c r="G446" s="3" t="s">
        <v>18</v>
      </c>
      <c r="H446" s="3">
        <v>10214</v>
      </c>
      <c r="I446" s="3" t="s">
        <v>19</v>
      </c>
      <c r="J446" s="3">
        <v>0.2</v>
      </c>
      <c r="K446" s="3">
        <v>9000</v>
      </c>
      <c r="L446" s="27">
        <v>45344</v>
      </c>
      <c r="M446" t="str">
        <f t="shared" si="6"/>
        <v>Target Achieved</v>
      </c>
    </row>
    <row r="447" spans="1:13" x14ac:dyDescent="0.35">
      <c r="A447" s="33" t="s">
        <v>633</v>
      </c>
      <c r="B447" s="3" t="s">
        <v>401</v>
      </c>
      <c r="C447" s="3" t="s">
        <v>14</v>
      </c>
      <c r="D447" s="3" t="s">
        <v>15</v>
      </c>
      <c r="E447" s="3" t="s">
        <v>16</v>
      </c>
      <c r="F447" s="3" t="s">
        <v>17</v>
      </c>
      <c r="G447" s="3" t="s">
        <v>26</v>
      </c>
      <c r="H447" s="3">
        <v>13151</v>
      </c>
      <c r="I447" s="3" t="s">
        <v>27</v>
      </c>
      <c r="J447" s="3"/>
      <c r="K447" s="3">
        <v>14000</v>
      </c>
      <c r="L447" s="27">
        <v>45326</v>
      </c>
      <c r="M447" t="str">
        <f t="shared" si="6"/>
        <v>Below Target</v>
      </c>
    </row>
    <row r="448" spans="1:13" x14ac:dyDescent="0.35">
      <c r="A448" s="33" t="s">
        <v>634</v>
      </c>
      <c r="B448" s="3" t="s">
        <v>74</v>
      </c>
      <c r="C448" s="3" t="s">
        <v>30</v>
      </c>
      <c r="D448" s="3" t="s">
        <v>31</v>
      </c>
      <c r="E448" s="3" t="s">
        <v>46</v>
      </c>
      <c r="F448" s="3" t="s">
        <v>39</v>
      </c>
      <c r="G448" s="3" t="s">
        <v>36</v>
      </c>
      <c r="H448" s="3">
        <v>18901</v>
      </c>
      <c r="I448" s="3" t="s">
        <v>27</v>
      </c>
      <c r="J448" s="3"/>
      <c r="K448" s="3">
        <v>17000</v>
      </c>
      <c r="L448" s="27">
        <v>45349</v>
      </c>
      <c r="M448" t="str">
        <f t="shared" si="6"/>
        <v>Target Achieved</v>
      </c>
    </row>
    <row r="449" spans="1:13" x14ac:dyDescent="0.35">
      <c r="A449" s="33" t="s">
        <v>635</v>
      </c>
      <c r="B449" s="3" t="s">
        <v>204</v>
      </c>
      <c r="C449" s="3" t="s">
        <v>14</v>
      </c>
      <c r="D449" s="3" t="s">
        <v>15</v>
      </c>
      <c r="E449" s="3" t="s">
        <v>32</v>
      </c>
      <c r="F449" s="3" t="s">
        <v>17</v>
      </c>
      <c r="G449" s="3" t="s">
        <v>18</v>
      </c>
      <c r="H449" s="3">
        <v>13135</v>
      </c>
      <c r="I449" s="3" t="s">
        <v>19</v>
      </c>
      <c r="J449" s="3">
        <v>0.2</v>
      </c>
      <c r="K449" s="3">
        <v>14000</v>
      </c>
      <c r="L449" s="27">
        <v>45336</v>
      </c>
      <c r="M449" t="str">
        <f t="shared" si="6"/>
        <v>Below Target</v>
      </c>
    </row>
    <row r="450" spans="1:13" x14ac:dyDescent="0.35">
      <c r="A450" s="33" t="s">
        <v>636</v>
      </c>
      <c r="B450" s="3" t="s">
        <v>412</v>
      </c>
      <c r="C450" s="3" t="s">
        <v>44</v>
      </c>
      <c r="D450" s="3" t="s">
        <v>45</v>
      </c>
      <c r="E450" s="3" t="s">
        <v>32</v>
      </c>
      <c r="F450" s="3" t="s">
        <v>39</v>
      </c>
      <c r="G450" s="3" t="s">
        <v>36</v>
      </c>
      <c r="H450" s="3">
        <v>14393</v>
      </c>
      <c r="I450" s="3" t="s">
        <v>19</v>
      </c>
      <c r="J450" s="3">
        <v>0.2</v>
      </c>
      <c r="K450" s="3">
        <v>13000</v>
      </c>
      <c r="L450" s="27">
        <v>45340</v>
      </c>
      <c r="M450" t="str">
        <f t="shared" si="6"/>
        <v>Target Achieved</v>
      </c>
    </row>
    <row r="451" spans="1:13" x14ac:dyDescent="0.35">
      <c r="A451" s="33" t="s">
        <v>637</v>
      </c>
      <c r="B451" s="3" t="s">
        <v>198</v>
      </c>
      <c r="C451" s="3" t="s">
        <v>61</v>
      </c>
      <c r="D451" s="3" t="s">
        <v>62</v>
      </c>
      <c r="E451" s="3" t="s">
        <v>46</v>
      </c>
      <c r="F451" s="3" t="s">
        <v>25</v>
      </c>
      <c r="G451" s="3" t="s">
        <v>26</v>
      </c>
      <c r="H451" s="3">
        <v>9590</v>
      </c>
      <c r="I451" s="3" t="s">
        <v>33</v>
      </c>
      <c r="J451" s="3">
        <v>0.3</v>
      </c>
      <c r="K451" s="3">
        <v>9000</v>
      </c>
      <c r="L451" s="27">
        <v>45332</v>
      </c>
      <c r="M451" t="str">
        <f t="shared" si="6"/>
        <v>Target Achieved</v>
      </c>
    </row>
    <row r="452" spans="1:13" x14ac:dyDescent="0.35">
      <c r="A452" s="33" t="s">
        <v>638</v>
      </c>
      <c r="B452" s="3" t="s">
        <v>177</v>
      </c>
      <c r="C452" s="3" t="s">
        <v>61</v>
      </c>
      <c r="D452" s="3" t="s">
        <v>62</v>
      </c>
      <c r="E452" s="3" t="s">
        <v>32</v>
      </c>
      <c r="F452" s="3" t="s">
        <v>39</v>
      </c>
      <c r="G452" s="3" t="s">
        <v>18</v>
      </c>
      <c r="H452" s="3">
        <v>8650</v>
      </c>
      <c r="I452" s="3" t="s">
        <v>27</v>
      </c>
      <c r="J452" s="3"/>
      <c r="K452" s="3">
        <v>9000</v>
      </c>
      <c r="L452" s="27">
        <v>45339</v>
      </c>
      <c r="M452" t="str">
        <f t="shared" si="6"/>
        <v>Below Target</v>
      </c>
    </row>
    <row r="453" spans="1:13" x14ac:dyDescent="0.35">
      <c r="A453" s="33" t="s">
        <v>639</v>
      </c>
      <c r="B453" s="3" t="s">
        <v>350</v>
      </c>
      <c r="C453" s="3" t="s">
        <v>30</v>
      </c>
      <c r="D453" s="3" t="s">
        <v>31</v>
      </c>
      <c r="E453" s="3" t="s">
        <v>46</v>
      </c>
      <c r="F453" s="3" t="s">
        <v>17</v>
      </c>
      <c r="G453" s="3" t="s">
        <v>36</v>
      </c>
      <c r="H453" s="3">
        <v>17383</v>
      </c>
      <c r="I453" s="3" t="s">
        <v>22</v>
      </c>
      <c r="J453" s="3">
        <v>0.1</v>
      </c>
      <c r="K453" s="3">
        <v>17000</v>
      </c>
      <c r="L453" s="27">
        <v>45347</v>
      </c>
      <c r="M453" t="str">
        <f t="shared" si="6"/>
        <v>Target Achieved</v>
      </c>
    </row>
    <row r="454" spans="1:13" x14ac:dyDescent="0.35">
      <c r="A454" s="33" t="s">
        <v>640</v>
      </c>
      <c r="B454" s="3" t="s">
        <v>140</v>
      </c>
      <c r="C454" s="3" t="s">
        <v>14</v>
      </c>
      <c r="D454" s="3" t="s">
        <v>15</v>
      </c>
      <c r="E454" s="3" t="s">
        <v>16</v>
      </c>
      <c r="F454" s="3" t="s">
        <v>17</v>
      </c>
      <c r="G454" s="3" t="s">
        <v>26</v>
      </c>
      <c r="H454" s="3">
        <v>14720</v>
      </c>
      <c r="I454" s="3" t="s">
        <v>33</v>
      </c>
      <c r="J454" s="3">
        <v>0.3</v>
      </c>
      <c r="K454" s="3">
        <v>14000</v>
      </c>
      <c r="L454" s="27">
        <v>45346</v>
      </c>
      <c r="M454" t="str">
        <f t="shared" si="6"/>
        <v>Target Achieved</v>
      </c>
    </row>
    <row r="455" spans="1:13" x14ac:dyDescent="0.35">
      <c r="A455" s="33" t="s">
        <v>641</v>
      </c>
      <c r="B455" s="3" t="s">
        <v>200</v>
      </c>
      <c r="C455" s="3" t="s">
        <v>61</v>
      </c>
      <c r="D455" s="3" t="s">
        <v>62</v>
      </c>
      <c r="E455" s="3" t="s">
        <v>32</v>
      </c>
      <c r="F455" s="3" t="s">
        <v>17</v>
      </c>
      <c r="G455" s="3" t="s">
        <v>18</v>
      </c>
      <c r="H455" s="3">
        <v>9026</v>
      </c>
      <c r="I455" s="3" t="s">
        <v>33</v>
      </c>
      <c r="J455" s="3">
        <v>0.3</v>
      </c>
      <c r="K455" s="3">
        <v>9000</v>
      </c>
      <c r="L455" s="27">
        <v>45312</v>
      </c>
      <c r="M455" t="str">
        <f t="shared" si="6"/>
        <v>Target Achieved</v>
      </c>
    </row>
    <row r="456" spans="1:13" x14ac:dyDescent="0.35">
      <c r="A456" s="33" t="s">
        <v>642</v>
      </c>
      <c r="B456" s="3" t="s">
        <v>643</v>
      </c>
      <c r="C456" s="3" t="s">
        <v>30</v>
      </c>
      <c r="D456" s="3" t="s">
        <v>31</v>
      </c>
      <c r="E456" s="3" t="s">
        <v>16</v>
      </c>
      <c r="F456" s="3" t="s">
        <v>39</v>
      </c>
      <c r="G456" s="3" t="s">
        <v>18</v>
      </c>
      <c r="H456" s="3">
        <v>17318</v>
      </c>
      <c r="I456" s="3"/>
      <c r="J456" s="3"/>
      <c r="K456" s="3">
        <v>17000</v>
      </c>
      <c r="L456" s="27">
        <v>45342</v>
      </c>
      <c r="M456" t="str">
        <f t="shared" si="6"/>
        <v>Target Achieved</v>
      </c>
    </row>
    <row r="457" spans="1:13" x14ac:dyDescent="0.35">
      <c r="A457" s="33" t="s">
        <v>644</v>
      </c>
      <c r="B457" s="3" t="s">
        <v>150</v>
      </c>
      <c r="C457" s="3" t="s">
        <v>14</v>
      </c>
      <c r="D457" s="3" t="s">
        <v>15</v>
      </c>
      <c r="E457" s="3" t="s">
        <v>32</v>
      </c>
      <c r="F457" s="3" t="s">
        <v>25</v>
      </c>
      <c r="G457" s="3" t="s">
        <v>26</v>
      </c>
      <c r="H457" s="3">
        <v>15210</v>
      </c>
      <c r="I457" s="3"/>
      <c r="J457" s="3"/>
      <c r="K457" s="3">
        <v>14000</v>
      </c>
      <c r="L457" s="27">
        <v>45293</v>
      </c>
      <c r="M457" t="str">
        <f t="shared" si="6"/>
        <v>Target Achieved</v>
      </c>
    </row>
    <row r="458" spans="1:13" x14ac:dyDescent="0.35">
      <c r="A458" s="33" t="s">
        <v>645</v>
      </c>
      <c r="B458" s="3" t="s">
        <v>159</v>
      </c>
      <c r="C458" s="3" t="s">
        <v>44</v>
      </c>
      <c r="D458" s="3" t="s">
        <v>45</v>
      </c>
      <c r="E458" s="3" t="s">
        <v>46</v>
      </c>
      <c r="F458" s="3" t="s">
        <v>17</v>
      </c>
      <c r="G458" s="3" t="s">
        <v>18</v>
      </c>
      <c r="H458" s="3">
        <v>14924</v>
      </c>
      <c r="I458" s="3"/>
      <c r="J458" s="3"/>
      <c r="K458" s="3">
        <v>13000</v>
      </c>
      <c r="L458" s="27">
        <v>45304</v>
      </c>
      <c r="M458" t="str">
        <f t="shared" si="6"/>
        <v>Target Achieved</v>
      </c>
    </row>
    <row r="459" spans="1:13" x14ac:dyDescent="0.35">
      <c r="A459" s="33" t="s">
        <v>646</v>
      </c>
      <c r="B459" s="3" t="s">
        <v>153</v>
      </c>
      <c r="C459" s="3" t="s">
        <v>30</v>
      </c>
      <c r="D459" s="3" t="s">
        <v>31</v>
      </c>
      <c r="E459" s="3" t="s">
        <v>32</v>
      </c>
      <c r="F459" s="3" t="s">
        <v>17</v>
      </c>
      <c r="G459" s="3" t="s">
        <v>18</v>
      </c>
      <c r="H459" s="3">
        <v>17681</v>
      </c>
      <c r="I459" s="3" t="s">
        <v>33</v>
      </c>
      <c r="J459" s="3">
        <v>0.3</v>
      </c>
      <c r="K459" s="3">
        <v>17000</v>
      </c>
      <c r="L459" s="27">
        <v>45308</v>
      </c>
      <c r="M459" t="str">
        <f t="shared" si="6"/>
        <v>Target Achieved</v>
      </c>
    </row>
    <row r="460" spans="1:13" x14ac:dyDescent="0.35">
      <c r="A460" s="33" t="s">
        <v>647</v>
      </c>
      <c r="B460" s="3" t="s">
        <v>432</v>
      </c>
      <c r="C460" s="3" t="s">
        <v>44</v>
      </c>
      <c r="D460" s="3" t="s">
        <v>45</v>
      </c>
      <c r="E460" s="3" t="s">
        <v>32</v>
      </c>
      <c r="F460" s="3" t="s">
        <v>17</v>
      </c>
      <c r="G460" s="3" t="s">
        <v>26</v>
      </c>
      <c r="H460" s="3">
        <v>12251</v>
      </c>
      <c r="I460" s="3" t="s">
        <v>19</v>
      </c>
      <c r="J460" s="3">
        <v>0.2</v>
      </c>
      <c r="K460" s="3">
        <v>13000</v>
      </c>
      <c r="L460" s="27">
        <v>45319</v>
      </c>
      <c r="M460" t="str">
        <f t="shared" si="6"/>
        <v>Below Target</v>
      </c>
    </row>
    <row r="461" spans="1:13" x14ac:dyDescent="0.35">
      <c r="A461" s="33" t="s">
        <v>648</v>
      </c>
      <c r="B461" s="3" t="s">
        <v>13</v>
      </c>
      <c r="C461" s="3" t="s">
        <v>14</v>
      </c>
      <c r="D461" s="3" t="s">
        <v>15</v>
      </c>
      <c r="E461" s="3" t="s">
        <v>32</v>
      </c>
      <c r="F461" s="3" t="s">
        <v>25</v>
      </c>
      <c r="G461" s="3" t="s">
        <v>36</v>
      </c>
      <c r="H461" s="3">
        <v>12319</v>
      </c>
      <c r="I461" s="3" t="s">
        <v>19</v>
      </c>
      <c r="J461" s="3">
        <v>0.2</v>
      </c>
      <c r="K461" s="3">
        <v>14000</v>
      </c>
      <c r="L461" s="27">
        <v>45329</v>
      </c>
      <c r="M461" t="str">
        <f t="shared" si="6"/>
        <v>Below Target</v>
      </c>
    </row>
    <row r="462" spans="1:13" x14ac:dyDescent="0.35">
      <c r="A462" s="33" t="s">
        <v>649</v>
      </c>
      <c r="B462" s="3" t="s">
        <v>24</v>
      </c>
      <c r="C462" s="3" t="s">
        <v>61</v>
      </c>
      <c r="D462" s="3" t="s">
        <v>62</v>
      </c>
      <c r="E462" s="3" t="s">
        <v>32</v>
      </c>
      <c r="F462" s="3" t="s">
        <v>25</v>
      </c>
      <c r="G462" s="3" t="s">
        <v>26</v>
      </c>
      <c r="H462" s="3">
        <v>8407</v>
      </c>
      <c r="I462" s="3" t="s">
        <v>22</v>
      </c>
      <c r="J462" s="3">
        <v>0.1</v>
      </c>
      <c r="K462" s="3">
        <v>9000</v>
      </c>
      <c r="L462" s="27">
        <v>45347</v>
      </c>
      <c r="M462" t="str">
        <f t="shared" si="6"/>
        <v>Below Target</v>
      </c>
    </row>
    <row r="463" spans="1:13" x14ac:dyDescent="0.35">
      <c r="A463" s="33" t="s">
        <v>650</v>
      </c>
      <c r="B463" s="3" t="s">
        <v>101</v>
      </c>
      <c r="C463" s="3" t="s">
        <v>44</v>
      </c>
      <c r="D463" s="3" t="s">
        <v>45</v>
      </c>
      <c r="E463" s="3" t="s">
        <v>46</v>
      </c>
      <c r="F463" s="3" t="s">
        <v>25</v>
      </c>
      <c r="G463" s="3" t="s">
        <v>18</v>
      </c>
      <c r="H463" s="3">
        <v>12569</v>
      </c>
      <c r="I463" s="3" t="s">
        <v>22</v>
      </c>
      <c r="J463" s="3">
        <v>0.1</v>
      </c>
      <c r="K463" s="3">
        <v>13000</v>
      </c>
      <c r="L463" s="27">
        <v>45338</v>
      </c>
      <c r="M463" t="str">
        <f t="shared" si="6"/>
        <v>Below Target</v>
      </c>
    </row>
    <row r="464" spans="1:13" x14ac:dyDescent="0.35">
      <c r="A464" s="33" t="s">
        <v>651</v>
      </c>
      <c r="B464" s="3" t="s">
        <v>652</v>
      </c>
      <c r="C464" s="3" t="s">
        <v>14</v>
      </c>
      <c r="D464" s="3" t="s">
        <v>15</v>
      </c>
      <c r="E464" s="3" t="s">
        <v>46</v>
      </c>
      <c r="F464" s="3" t="s">
        <v>17</v>
      </c>
      <c r="G464" s="3" t="s">
        <v>36</v>
      </c>
      <c r="H464" s="3">
        <v>12561</v>
      </c>
      <c r="I464" s="3"/>
      <c r="J464" s="3"/>
      <c r="K464" s="3">
        <v>14000</v>
      </c>
      <c r="L464" s="27">
        <v>45341</v>
      </c>
      <c r="M464" t="str">
        <f t="shared" si="6"/>
        <v>Below Target</v>
      </c>
    </row>
    <row r="465" spans="1:13" x14ac:dyDescent="0.35">
      <c r="A465" s="33" t="s">
        <v>653</v>
      </c>
      <c r="B465" s="3" t="s">
        <v>393</v>
      </c>
      <c r="C465" s="3" t="s">
        <v>44</v>
      </c>
      <c r="D465" s="3" t="s">
        <v>45</v>
      </c>
      <c r="E465" s="3" t="s">
        <v>16</v>
      </c>
      <c r="F465" s="3" t="s">
        <v>39</v>
      </c>
      <c r="G465" s="3" t="s">
        <v>18</v>
      </c>
      <c r="H465" s="3">
        <v>11280</v>
      </c>
      <c r="I465" s="3" t="s">
        <v>27</v>
      </c>
      <c r="J465" s="3"/>
      <c r="K465" s="3">
        <v>13000</v>
      </c>
      <c r="L465" s="27">
        <v>45328</v>
      </c>
      <c r="M465" t="str">
        <f t="shared" si="6"/>
        <v>Below Target</v>
      </c>
    </row>
    <row r="466" spans="1:13" x14ac:dyDescent="0.35">
      <c r="A466" s="33" t="s">
        <v>654</v>
      </c>
      <c r="B466" s="3" t="s">
        <v>109</v>
      </c>
      <c r="C466" s="3" t="s">
        <v>44</v>
      </c>
      <c r="D466" s="3" t="s">
        <v>45</v>
      </c>
      <c r="E466" s="3" t="s">
        <v>46</v>
      </c>
      <c r="F466" s="3" t="s">
        <v>17</v>
      </c>
      <c r="G466" s="3" t="s">
        <v>26</v>
      </c>
      <c r="H466" s="3">
        <v>11872</v>
      </c>
      <c r="I466" s="3" t="s">
        <v>19</v>
      </c>
      <c r="J466" s="3">
        <v>0.2</v>
      </c>
      <c r="K466" s="3">
        <v>13000</v>
      </c>
      <c r="L466" s="27">
        <v>45350</v>
      </c>
      <c r="M466" t="str">
        <f t="shared" si="6"/>
        <v>Below Target</v>
      </c>
    </row>
    <row r="467" spans="1:13" x14ac:dyDescent="0.35">
      <c r="A467" s="33" t="s">
        <v>655</v>
      </c>
      <c r="B467" s="3" t="s">
        <v>617</v>
      </c>
      <c r="C467" s="3" t="s">
        <v>61</v>
      </c>
      <c r="D467" s="3" t="s">
        <v>62</v>
      </c>
      <c r="E467" s="3" t="s">
        <v>32</v>
      </c>
      <c r="F467" s="3" t="s">
        <v>25</v>
      </c>
      <c r="G467" s="3" t="s">
        <v>18</v>
      </c>
      <c r="H467" s="3">
        <v>7573</v>
      </c>
      <c r="I467" s="3" t="s">
        <v>22</v>
      </c>
      <c r="J467" s="3">
        <v>0.1</v>
      </c>
      <c r="K467" s="3">
        <v>9000</v>
      </c>
      <c r="L467" s="27">
        <v>45329</v>
      </c>
      <c r="M467" t="str">
        <f t="shared" si="6"/>
        <v>Below Target</v>
      </c>
    </row>
    <row r="468" spans="1:13" x14ac:dyDescent="0.35">
      <c r="A468" s="33" t="s">
        <v>656</v>
      </c>
      <c r="B468" s="3" t="s">
        <v>127</v>
      </c>
      <c r="C468" s="3" t="s">
        <v>30</v>
      </c>
      <c r="D468" s="3" t="s">
        <v>31</v>
      </c>
      <c r="E468" s="3" t="s">
        <v>46</v>
      </c>
      <c r="F468" s="3" t="s">
        <v>17</v>
      </c>
      <c r="G468" s="3" t="s">
        <v>18</v>
      </c>
      <c r="H468" s="3">
        <v>16014</v>
      </c>
      <c r="I468" s="3" t="s">
        <v>33</v>
      </c>
      <c r="J468" s="3">
        <v>0.3</v>
      </c>
      <c r="K468" s="3">
        <v>17000</v>
      </c>
      <c r="L468" s="27">
        <v>45333</v>
      </c>
      <c r="M468" t="str">
        <f t="shared" si="6"/>
        <v>Below Target</v>
      </c>
    </row>
    <row r="469" spans="1:13" x14ac:dyDescent="0.35">
      <c r="A469" s="33" t="s">
        <v>657</v>
      </c>
      <c r="B469" s="3" t="s">
        <v>248</v>
      </c>
      <c r="C469" s="3" t="s">
        <v>30</v>
      </c>
      <c r="D469" s="3" t="s">
        <v>31</v>
      </c>
      <c r="E469" s="3" t="s">
        <v>16</v>
      </c>
      <c r="F469" s="3" t="s">
        <v>25</v>
      </c>
      <c r="G469" s="3" t="s">
        <v>26</v>
      </c>
      <c r="H469" s="3">
        <v>18587</v>
      </c>
      <c r="I469" s="3" t="s">
        <v>33</v>
      </c>
      <c r="J469" s="3">
        <v>0.3</v>
      </c>
      <c r="K469" s="3">
        <v>17000</v>
      </c>
      <c r="L469" s="27">
        <v>45305</v>
      </c>
      <c r="M469" t="str">
        <f t="shared" si="6"/>
        <v>Target Achieved</v>
      </c>
    </row>
    <row r="470" spans="1:13" x14ac:dyDescent="0.35">
      <c r="A470" s="33" t="s">
        <v>658</v>
      </c>
      <c r="B470" s="3" t="s">
        <v>382</v>
      </c>
      <c r="C470" s="3" t="s">
        <v>44</v>
      </c>
      <c r="D470" s="3" t="s">
        <v>45</v>
      </c>
      <c r="E470" s="3" t="s">
        <v>16</v>
      </c>
      <c r="F470" s="3" t="s">
        <v>17</v>
      </c>
      <c r="G470" s="3" t="s">
        <v>36</v>
      </c>
      <c r="H470" s="3">
        <v>13646</v>
      </c>
      <c r="I470" s="3" t="s">
        <v>22</v>
      </c>
      <c r="J470" s="3">
        <v>0.1</v>
      </c>
      <c r="K470" s="3">
        <v>13000</v>
      </c>
      <c r="L470" s="27">
        <v>45342</v>
      </c>
      <c r="M470" t="str">
        <f t="shared" si="6"/>
        <v>Target Achieved</v>
      </c>
    </row>
    <row r="471" spans="1:13" x14ac:dyDescent="0.35">
      <c r="A471" s="33" t="s">
        <v>659</v>
      </c>
      <c r="B471" s="3" t="s">
        <v>148</v>
      </c>
      <c r="C471" s="3" t="s">
        <v>44</v>
      </c>
      <c r="D471" s="3" t="s">
        <v>45</v>
      </c>
      <c r="E471" s="3" t="s">
        <v>46</v>
      </c>
      <c r="F471" s="3" t="s">
        <v>17</v>
      </c>
      <c r="G471" s="3" t="s">
        <v>18</v>
      </c>
      <c r="H471" s="3">
        <v>11987</v>
      </c>
      <c r="I471" s="3"/>
      <c r="J471" s="3"/>
      <c r="K471" s="3">
        <v>13000</v>
      </c>
      <c r="L471" s="27">
        <v>45332</v>
      </c>
      <c r="M471" t="str">
        <f t="shared" si="6"/>
        <v>Below Target</v>
      </c>
    </row>
    <row r="472" spans="1:13" x14ac:dyDescent="0.35">
      <c r="A472" s="33" t="s">
        <v>660</v>
      </c>
      <c r="B472" s="3" t="s">
        <v>107</v>
      </c>
      <c r="C472" s="3" t="s">
        <v>14</v>
      </c>
      <c r="D472" s="3" t="s">
        <v>15</v>
      </c>
      <c r="E472" s="3" t="s">
        <v>46</v>
      </c>
      <c r="F472" s="3" t="s">
        <v>17</v>
      </c>
      <c r="G472" s="3" t="s">
        <v>18</v>
      </c>
      <c r="H472" s="3">
        <v>13584</v>
      </c>
      <c r="I472" s="3" t="s">
        <v>27</v>
      </c>
      <c r="J472" s="3"/>
      <c r="K472" s="3">
        <v>14000</v>
      </c>
      <c r="L472" s="27">
        <v>45318</v>
      </c>
      <c r="M472" t="str">
        <f t="shared" si="6"/>
        <v>Below Target</v>
      </c>
    </row>
    <row r="473" spans="1:13" x14ac:dyDescent="0.35">
      <c r="A473" s="33" t="s">
        <v>661</v>
      </c>
      <c r="B473" s="3" t="s">
        <v>301</v>
      </c>
      <c r="C473" s="3" t="s">
        <v>44</v>
      </c>
      <c r="D473" s="3" t="s">
        <v>45</v>
      </c>
      <c r="E473" s="3" t="s">
        <v>46</v>
      </c>
      <c r="F473" s="3" t="s">
        <v>25</v>
      </c>
      <c r="G473" s="3" t="s">
        <v>18</v>
      </c>
      <c r="H473" s="3">
        <v>13405</v>
      </c>
      <c r="I473" s="3" t="s">
        <v>22</v>
      </c>
      <c r="J473" s="3">
        <v>0.1</v>
      </c>
      <c r="K473" s="3">
        <v>13000</v>
      </c>
      <c r="L473" s="27">
        <v>45292</v>
      </c>
      <c r="M473" t="str">
        <f t="shared" si="6"/>
        <v>Target Achieved</v>
      </c>
    </row>
    <row r="474" spans="1:13" x14ac:dyDescent="0.35">
      <c r="A474" s="33" t="s">
        <v>662</v>
      </c>
      <c r="B474" s="3" t="s">
        <v>289</v>
      </c>
      <c r="C474" s="3" t="s">
        <v>14</v>
      </c>
      <c r="D474" s="3" t="s">
        <v>15</v>
      </c>
      <c r="E474" s="3" t="s">
        <v>32</v>
      </c>
      <c r="F474" s="3" t="s">
        <v>17</v>
      </c>
      <c r="G474" s="3" t="s">
        <v>26</v>
      </c>
      <c r="H474" s="3">
        <v>13173</v>
      </c>
      <c r="I474" s="3" t="s">
        <v>27</v>
      </c>
      <c r="J474" s="3"/>
      <c r="K474" s="3">
        <v>14000</v>
      </c>
      <c r="L474" s="27">
        <v>45341</v>
      </c>
      <c r="M474" t="str">
        <f t="shared" si="6"/>
        <v>Below Target</v>
      </c>
    </row>
    <row r="475" spans="1:13" x14ac:dyDescent="0.35">
      <c r="A475" s="33" t="s">
        <v>663</v>
      </c>
      <c r="B475" s="3" t="s">
        <v>177</v>
      </c>
      <c r="C475" s="3" t="s">
        <v>61</v>
      </c>
      <c r="D475" s="3" t="s">
        <v>62</v>
      </c>
      <c r="E475" s="3" t="s">
        <v>32</v>
      </c>
      <c r="F475" s="3" t="s">
        <v>39</v>
      </c>
      <c r="G475" s="3" t="s">
        <v>26</v>
      </c>
      <c r="H475" s="3">
        <v>9202</v>
      </c>
      <c r="I475" s="3" t="s">
        <v>27</v>
      </c>
      <c r="J475" s="3"/>
      <c r="K475" s="3">
        <v>9000</v>
      </c>
      <c r="L475" s="27">
        <v>45301</v>
      </c>
      <c r="M475" t="str">
        <f t="shared" si="6"/>
        <v>Target Achieved</v>
      </c>
    </row>
    <row r="476" spans="1:13" x14ac:dyDescent="0.35">
      <c r="A476" s="33" t="s">
        <v>664</v>
      </c>
      <c r="B476" s="3" t="s">
        <v>222</v>
      </c>
      <c r="C476" s="3" t="s">
        <v>30</v>
      </c>
      <c r="D476" s="3" t="s">
        <v>31</v>
      </c>
      <c r="E476" s="3" t="s">
        <v>32</v>
      </c>
      <c r="F476" s="3" t="s">
        <v>39</v>
      </c>
      <c r="G476" s="3" t="s">
        <v>18</v>
      </c>
      <c r="H476" s="3">
        <v>18990</v>
      </c>
      <c r="I476" s="3" t="s">
        <v>19</v>
      </c>
      <c r="J476" s="3">
        <v>0.2</v>
      </c>
      <c r="K476" s="3">
        <v>17000</v>
      </c>
      <c r="L476" s="27">
        <v>45326</v>
      </c>
      <c r="M476" t="str">
        <f t="shared" si="6"/>
        <v>Target Achieved</v>
      </c>
    </row>
    <row r="477" spans="1:13" x14ac:dyDescent="0.35">
      <c r="A477" s="33" t="s">
        <v>665</v>
      </c>
      <c r="B477" s="3" t="s">
        <v>666</v>
      </c>
      <c r="C477" s="3" t="s">
        <v>14</v>
      </c>
      <c r="D477" s="3" t="s">
        <v>15</v>
      </c>
      <c r="E477" s="3" t="s">
        <v>46</v>
      </c>
      <c r="F477" s="3" t="s">
        <v>39</v>
      </c>
      <c r="G477" s="3" t="s">
        <v>36</v>
      </c>
      <c r="H477" s="3">
        <v>14989</v>
      </c>
      <c r="I477" s="3" t="s">
        <v>19</v>
      </c>
      <c r="J477" s="3">
        <v>0.2</v>
      </c>
      <c r="K477" s="3">
        <v>14000</v>
      </c>
      <c r="L477" s="27">
        <v>45295</v>
      </c>
      <c r="M477" t="str">
        <f t="shared" si="6"/>
        <v>Target Achieved</v>
      </c>
    </row>
    <row r="478" spans="1:13" x14ac:dyDescent="0.35">
      <c r="A478" s="33" t="s">
        <v>667</v>
      </c>
      <c r="B478" s="3" t="s">
        <v>229</v>
      </c>
      <c r="C478" s="3" t="s">
        <v>61</v>
      </c>
      <c r="D478" s="3" t="s">
        <v>62</v>
      </c>
      <c r="E478" s="3" t="s">
        <v>32</v>
      </c>
      <c r="F478" s="3" t="s">
        <v>17</v>
      </c>
      <c r="G478" s="3" t="s">
        <v>26</v>
      </c>
      <c r="H478" s="3">
        <v>9493</v>
      </c>
      <c r="I478" s="3" t="s">
        <v>22</v>
      </c>
      <c r="J478" s="3">
        <v>0.1</v>
      </c>
      <c r="K478" s="3">
        <v>9000</v>
      </c>
      <c r="L478" s="27">
        <v>45311</v>
      </c>
      <c r="M478" t="str">
        <f t="shared" si="6"/>
        <v>Target Achieved</v>
      </c>
    </row>
    <row r="479" spans="1:13" x14ac:dyDescent="0.35">
      <c r="A479" s="33" t="s">
        <v>668</v>
      </c>
      <c r="B479" s="3" t="s">
        <v>305</v>
      </c>
      <c r="C479" s="3" t="s">
        <v>44</v>
      </c>
      <c r="D479" s="3" t="s">
        <v>45</v>
      </c>
      <c r="E479" s="3" t="s">
        <v>32</v>
      </c>
      <c r="F479" s="3" t="s">
        <v>25</v>
      </c>
      <c r="G479" s="3" t="s">
        <v>26</v>
      </c>
      <c r="H479" s="3">
        <v>11562</v>
      </c>
      <c r="I479" s="3" t="s">
        <v>22</v>
      </c>
      <c r="J479" s="3">
        <v>0.1</v>
      </c>
      <c r="K479" s="3">
        <v>13000</v>
      </c>
      <c r="L479" s="27">
        <v>45302</v>
      </c>
      <c r="M479" t="str">
        <f t="shared" si="6"/>
        <v>Below Target</v>
      </c>
    </row>
    <row r="480" spans="1:13" x14ac:dyDescent="0.35">
      <c r="A480" s="33" t="s">
        <v>669</v>
      </c>
      <c r="B480" s="3" t="s">
        <v>188</v>
      </c>
      <c r="C480" s="3" t="s">
        <v>30</v>
      </c>
      <c r="D480" s="3" t="s">
        <v>31</v>
      </c>
      <c r="E480" s="3" t="s">
        <v>32</v>
      </c>
      <c r="F480" s="3" t="s">
        <v>17</v>
      </c>
      <c r="G480" s="3" t="s">
        <v>18</v>
      </c>
      <c r="H480" s="3">
        <v>18071</v>
      </c>
      <c r="I480" s="3" t="s">
        <v>33</v>
      </c>
      <c r="J480" s="3">
        <v>0.3</v>
      </c>
      <c r="K480" s="3">
        <v>17000</v>
      </c>
      <c r="L480" s="27">
        <v>45338</v>
      </c>
      <c r="M480" t="str">
        <f t="shared" ref="M480:M543" si="7">IF(H480&gt;=K480,"Target Achieved","Below Target")</f>
        <v>Target Achieved</v>
      </c>
    </row>
    <row r="481" spans="1:13" x14ac:dyDescent="0.35">
      <c r="A481" s="33" t="s">
        <v>670</v>
      </c>
      <c r="B481" s="3" t="s">
        <v>403</v>
      </c>
      <c r="C481" s="3" t="s">
        <v>14</v>
      </c>
      <c r="D481" s="3" t="s">
        <v>15</v>
      </c>
      <c r="E481" s="3" t="s">
        <v>46</v>
      </c>
      <c r="F481" s="3" t="s">
        <v>17</v>
      </c>
      <c r="G481" s="3" t="s">
        <v>36</v>
      </c>
      <c r="H481" s="3">
        <v>14145</v>
      </c>
      <c r="I481" s="3" t="s">
        <v>22</v>
      </c>
      <c r="J481" s="3">
        <v>0.1</v>
      </c>
      <c r="K481" s="3">
        <v>14000</v>
      </c>
      <c r="L481" s="27">
        <v>45308</v>
      </c>
      <c r="M481" t="str">
        <f t="shared" si="7"/>
        <v>Target Achieved</v>
      </c>
    </row>
    <row r="482" spans="1:13" x14ac:dyDescent="0.35">
      <c r="A482" s="33" t="s">
        <v>671</v>
      </c>
      <c r="B482" s="3" t="s">
        <v>672</v>
      </c>
      <c r="C482" s="3" t="s">
        <v>14</v>
      </c>
      <c r="D482" s="3" t="s">
        <v>15</v>
      </c>
      <c r="E482" s="3" t="s">
        <v>46</v>
      </c>
      <c r="F482" s="3" t="s">
        <v>17</v>
      </c>
      <c r="G482" s="3" t="s">
        <v>26</v>
      </c>
      <c r="H482" s="3">
        <v>13475</v>
      </c>
      <c r="I482" s="3" t="s">
        <v>22</v>
      </c>
      <c r="J482" s="3">
        <v>0.1</v>
      </c>
      <c r="K482" s="3">
        <v>14000</v>
      </c>
      <c r="L482" s="27">
        <v>45323</v>
      </c>
      <c r="M482" t="str">
        <f t="shared" si="7"/>
        <v>Below Target</v>
      </c>
    </row>
    <row r="483" spans="1:13" x14ac:dyDescent="0.35">
      <c r="A483" s="33" t="s">
        <v>673</v>
      </c>
      <c r="B483" s="3" t="s">
        <v>460</v>
      </c>
      <c r="C483" s="3" t="s">
        <v>44</v>
      </c>
      <c r="D483" s="3" t="s">
        <v>45</v>
      </c>
      <c r="E483" s="3" t="s">
        <v>46</v>
      </c>
      <c r="F483" s="3" t="s">
        <v>25</v>
      </c>
      <c r="G483" s="3" t="s">
        <v>36</v>
      </c>
      <c r="H483" s="3">
        <v>14167</v>
      </c>
      <c r="I483" s="3" t="s">
        <v>22</v>
      </c>
      <c r="J483" s="3">
        <v>0.1</v>
      </c>
      <c r="K483" s="3">
        <v>13000</v>
      </c>
      <c r="L483" s="27">
        <v>45349</v>
      </c>
      <c r="M483" t="str">
        <f t="shared" si="7"/>
        <v>Target Achieved</v>
      </c>
    </row>
    <row r="484" spans="1:13" x14ac:dyDescent="0.35">
      <c r="A484" s="33" t="s">
        <v>674</v>
      </c>
      <c r="B484" s="3" t="s">
        <v>209</v>
      </c>
      <c r="C484" s="3" t="s">
        <v>14</v>
      </c>
      <c r="D484" s="3" t="s">
        <v>15</v>
      </c>
      <c r="E484" s="3" t="s">
        <v>32</v>
      </c>
      <c r="F484" s="3" t="s">
        <v>39</v>
      </c>
      <c r="G484" s="3" t="s">
        <v>26</v>
      </c>
      <c r="H484" s="3">
        <v>12010</v>
      </c>
      <c r="I484" s="3" t="s">
        <v>22</v>
      </c>
      <c r="J484" s="3">
        <v>0.1</v>
      </c>
      <c r="K484" s="3">
        <v>14000</v>
      </c>
      <c r="L484" s="27">
        <v>45346</v>
      </c>
      <c r="M484" t="str">
        <f t="shared" si="7"/>
        <v>Below Target</v>
      </c>
    </row>
    <row r="485" spans="1:13" x14ac:dyDescent="0.35">
      <c r="A485" s="33" t="s">
        <v>675</v>
      </c>
      <c r="B485" s="3" t="s">
        <v>676</v>
      </c>
      <c r="C485" s="3" t="s">
        <v>44</v>
      </c>
      <c r="D485" s="3" t="s">
        <v>45</v>
      </c>
      <c r="E485" s="3" t="s">
        <v>32</v>
      </c>
      <c r="F485" s="3" t="s">
        <v>17</v>
      </c>
      <c r="G485" s="3" t="s">
        <v>36</v>
      </c>
      <c r="H485" s="3">
        <v>12568</v>
      </c>
      <c r="I485" s="3" t="s">
        <v>19</v>
      </c>
      <c r="J485" s="3">
        <v>0.2</v>
      </c>
      <c r="K485" s="3">
        <v>13000</v>
      </c>
      <c r="L485" s="27">
        <v>45303</v>
      </c>
      <c r="M485" t="str">
        <f t="shared" si="7"/>
        <v>Below Target</v>
      </c>
    </row>
    <row r="486" spans="1:13" x14ac:dyDescent="0.35">
      <c r="A486" s="33" t="s">
        <v>677</v>
      </c>
      <c r="B486" s="3" t="s">
        <v>454</v>
      </c>
      <c r="C486" s="3" t="s">
        <v>14</v>
      </c>
      <c r="D486" s="3" t="s">
        <v>15</v>
      </c>
      <c r="E486" s="3" t="s">
        <v>16</v>
      </c>
      <c r="F486" s="3" t="s">
        <v>39</v>
      </c>
      <c r="G486" s="3" t="s">
        <v>26</v>
      </c>
      <c r="H486" s="3">
        <v>14685</v>
      </c>
      <c r="I486" s="3"/>
      <c r="J486" s="3"/>
      <c r="K486" s="3">
        <v>14000</v>
      </c>
      <c r="L486" s="27">
        <v>45306</v>
      </c>
      <c r="M486" t="str">
        <f t="shared" si="7"/>
        <v>Target Achieved</v>
      </c>
    </row>
    <row r="487" spans="1:13" x14ac:dyDescent="0.35">
      <c r="A487" s="33" t="s">
        <v>678</v>
      </c>
      <c r="B487" s="3" t="s">
        <v>408</v>
      </c>
      <c r="C487" s="3" t="s">
        <v>61</v>
      </c>
      <c r="D487" s="3" t="s">
        <v>62</v>
      </c>
      <c r="E487" s="3" t="s">
        <v>16</v>
      </c>
      <c r="F487" s="3" t="s">
        <v>17</v>
      </c>
      <c r="G487" s="3" t="s">
        <v>36</v>
      </c>
      <c r="H487" s="3">
        <v>10383</v>
      </c>
      <c r="I487" s="3" t="s">
        <v>22</v>
      </c>
      <c r="J487" s="3">
        <v>0.1</v>
      </c>
      <c r="K487" s="3">
        <v>9000</v>
      </c>
      <c r="L487" s="27">
        <v>45328</v>
      </c>
      <c r="M487" t="str">
        <f t="shared" si="7"/>
        <v>Target Achieved</v>
      </c>
    </row>
    <row r="488" spans="1:13" x14ac:dyDescent="0.35">
      <c r="A488" s="33" t="s">
        <v>679</v>
      </c>
      <c r="B488" s="3" t="s">
        <v>116</v>
      </c>
      <c r="C488" s="3" t="s">
        <v>14</v>
      </c>
      <c r="D488" s="3" t="s">
        <v>15</v>
      </c>
      <c r="E488" s="3" t="s">
        <v>32</v>
      </c>
      <c r="F488" s="3" t="s">
        <v>25</v>
      </c>
      <c r="G488" s="3" t="s">
        <v>26</v>
      </c>
      <c r="H488" s="3">
        <v>12188</v>
      </c>
      <c r="I488" s="3"/>
      <c r="J488" s="3"/>
      <c r="K488" s="3">
        <v>14000</v>
      </c>
      <c r="L488" s="27">
        <v>45296</v>
      </c>
      <c r="M488" t="str">
        <f t="shared" si="7"/>
        <v>Below Target</v>
      </c>
    </row>
    <row r="489" spans="1:13" x14ac:dyDescent="0.35">
      <c r="A489" s="33" t="s">
        <v>680</v>
      </c>
      <c r="B489" s="3" t="s">
        <v>445</v>
      </c>
      <c r="C489" s="3" t="s">
        <v>30</v>
      </c>
      <c r="D489" s="3" t="s">
        <v>31</v>
      </c>
      <c r="E489" s="3" t="s">
        <v>46</v>
      </c>
      <c r="F489" s="3" t="s">
        <v>17</v>
      </c>
      <c r="G489" s="3" t="s">
        <v>18</v>
      </c>
      <c r="H489" s="3">
        <v>17265</v>
      </c>
      <c r="I489" s="3"/>
      <c r="J489" s="3"/>
      <c r="K489" s="3">
        <v>17000</v>
      </c>
      <c r="L489" s="27">
        <v>45292</v>
      </c>
      <c r="M489" t="str">
        <f t="shared" si="7"/>
        <v>Target Achieved</v>
      </c>
    </row>
    <row r="490" spans="1:13" x14ac:dyDescent="0.35">
      <c r="A490" s="33" t="s">
        <v>681</v>
      </c>
      <c r="B490" s="3" t="s">
        <v>408</v>
      </c>
      <c r="C490" s="3" t="s">
        <v>30</v>
      </c>
      <c r="D490" s="3" t="s">
        <v>31</v>
      </c>
      <c r="E490" s="3" t="s">
        <v>16</v>
      </c>
      <c r="F490" s="3" t="s">
        <v>17</v>
      </c>
      <c r="G490" s="3" t="s">
        <v>26</v>
      </c>
      <c r="H490" s="3">
        <v>17550</v>
      </c>
      <c r="I490" s="3" t="s">
        <v>19</v>
      </c>
      <c r="J490" s="3">
        <v>0.2</v>
      </c>
      <c r="K490" s="3">
        <v>17000</v>
      </c>
      <c r="L490" s="27">
        <v>45321</v>
      </c>
      <c r="M490" t="str">
        <f t="shared" si="7"/>
        <v>Target Achieved</v>
      </c>
    </row>
    <row r="491" spans="1:13" x14ac:dyDescent="0.35">
      <c r="A491" s="33" t="s">
        <v>682</v>
      </c>
      <c r="B491" s="3" t="s">
        <v>38</v>
      </c>
      <c r="C491" s="3" t="s">
        <v>61</v>
      </c>
      <c r="D491" s="3" t="s">
        <v>62</v>
      </c>
      <c r="E491" s="3" t="s">
        <v>32</v>
      </c>
      <c r="F491" s="3" t="s">
        <v>39</v>
      </c>
      <c r="G491" s="3" t="s">
        <v>26</v>
      </c>
      <c r="H491" s="3">
        <v>10114</v>
      </c>
      <c r="I491" s="3" t="s">
        <v>19</v>
      </c>
      <c r="J491" s="3">
        <v>0.2</v>
      </c>
      <c r="K491" s="3">
        <v>9000</v>
      </c>
      <c r="L491" s="27">
        <v>45301</v>
      </c>
      <c r="M491" t="str">
        <f t="shared" si="7"/>
        <v>Target Achieved</v>
      </c>
    </row>
    <row r="492" spans="1:13" x14ac:dyDescent="0.35">
      <c r="A492" s="33" t="s">
        <v>683</v>
      </c>
      <c r="B492" s="3" t="s">
        <v>406</v>
      </c>
      <c r="C492" s="3" t="s">
        <v>14</v>
      </c>
      <c r="D492" s="3" t="s">
        <v>15</v>
      </c>
      <c r="E492" s="3" t="s">
        <v>32</v>
      </c>
      <c r="F492" s="3" t="s">
        <v>39</v>
      </c>
      <c r="G492" s="3" t="s">
        <v>36</v>
      </c>
      <c r="H492" s="3">
        <v>14604</v>
      </c>
      <c r="I492" s="3" t="s">
        <v>22</v>
      </c>
      <c r="J492" s="3">
        <v>0.1</v>
      </c>
      <c r="K492" s="3">
        <v>14000</v>
      </c>
      <c r="L492" s="27">
        <v>45352</v>
      </c>
      <c r="M492" t="str">
        <f t="shared" si="7"/>
        <v>Target Achieved</v>
      </c>
    </row>
    <row r="493" spans="1:13" x14ac:dyDescent="0.35">
      <c r="A493" s="33" t="s">
        <v>684</v>
      </c>
      <c r="B493" s="3" t="s">
        <v>327</v>
      </c>
      <c r="C493" s="3" t="s">
        <v>61</v>
      </c>
      <c r="D493" s="3" t="s">
        <v>62</v>
      </c>
      <c r="E493" s="3" t="s">
        <v>16</v>
      </c>
      <c r="F493" s="3" t="s">
        <v>39</v>
      </c>
      <c r="G493" s="3" t="s">
        <v>36</v>
      </c>
      <c r="H493" s="3">
        <v>7425</v>
      </c>
      <c r="I493" s="3" t="s">
        <v>19</v>
      </c>
      <c r="J493" s="3">
        <v>0.2</v>
      </c>
      <c r="K493" s="3">
        <v>9000</v>
      </c>
      <c r="L493" s="27">
        <v>45325</v>
      </c>
      <c r="M493" t="str">
        <f t="shared" si="7"/>
        <v>Below Target</v>
      </c>
    </row>
    <row r="494" spans="1:13" x14ac:dyDescent="0.35">
      <c r="A494" s="33" t="s">
        <v>685</v>
      </c>
      <c r="B494" s="3" t="s">
        <v>414</v>
      </c>
      <c r="C494" s="3" t="s">
        <v>61</v>
      </c>
      <c r="D494" s="3" t="s">
        <v>62</v>
      </c>
      <c r="E494" s="3" t="s">
        <v>32</v>
      </c>
      <c r="F494" s="3" t="s">
        <v>25</v>
      </c>
      <c r="G494" s="3" t="s">
        <v>26</v>
      </c>
      <c r="H494" s="3">
        <v>8146</v>
      </c>
      <c r="I494" s="3" t="s">
        <v>22</v>
      </c>
      <c r="J494" s="3">
        <v>0.1</v>
      </c>
      <c r="K494" s="3">
        <v>9000</v>
      </c>
      <c r="L494" s="27">
        <v>45294</v>
      </c>
      <c r="M494" t="str">
        <f t="shared" si="7"/>
        <v>Below Target</v>
      </c>
    </row>
    <row r="495" spans="1:13" x14ac:dyDescent="0.35">
      <c r="A495" s="33" t="s">
        <v>686</v>
      </c>
      <c r="B495" s="3" t="s">
        <v>553</v>
      </c>
      <c r="C495" s="3" t="s">
        <v>61</v>
      </c>
      <c r="D495" s="3" t="s">
        <v>62</v>
      </c>
      <c r="E495" s="3" t="s">
        <v>16</v>
      </c>
      <c r="F495" s="3" t="s">
        <v>17</v>
      </c>
      <c r="G495" s="3" t="s">
        <v>36</v>
      </c>
      <c r="H495" s="3">
        <v>10991</v>
      </c>
      <c r="I495" s="3" t="s">
        <v>22</v>
      </c>
      <c r="J495" s="3">
        <v>0.1</v>
      </c>
      <c r="K495" s="3">
        <v>9000</v>
      </c>
      <c r="L495" s="27">
        <v>45329</v>
      </c>
      <c r="M495" t="str">
        <f t="shared" si="7"/>
        <v>Target Achieved</v>
      </c>
    </row>
    <row r="496" spans="1:13" x14ac:dyDescent="0.35">
      <c r="A496" s="33" t="s">
        <v>687</v>
      </c>
      <c r="B496" s="3" t="s">
        <v>241</v>
      </c>
      <c r="C496" s="3" t="s">
        <v>44</v>
      </c>
      <c r="D496" s="3" t="s">
        <v>45</v>
      </c>
      <c r="E496" s="3" t="s">
        <v>16</v>
      </c>
      <c r="F496" s="3" t="s">
        <v>17</v>
      </c>
      <c r="G496" s="3" t="s">
        <v>18</v>
      </c>
      <c r="H496" s="3">
        <v>13424</v>
      </c>
      <c r="I496" s="3" t="s">
        <v>27</v>
      </c>
      <c r="J496" s="3"/>
      <c r="K496" s="3">
        <v>13000</v>
      </c>
      <c r="L496" s="27">
        <v>45295</v>
      </c>
      <c r="M496" t="str">
        <f t="shared" si="7"/>
        <v>Target Achieved</v>
      </c>
    </row>
    <row r="497" spans="1:13" x14ac:dyDescent="0.35">
      <c r="A497" s="33" t="s">
        <v>688</v>
      </c>
      <c r="B497" s="3" t="s">
        <v>274</v>
      </c>
      <c r="C497" s="3" t="s">
        <v>44</v>
      </c>
      <c r="D497" s="3" t="s">
        <v>45</v>
      </c>
      <c r="E497" s="3" t="s">
        <v>32</v>
      </c>
      <c r="F497" s="3" t="s">
        <v>17</v>
      </c>
      <c r="G497" s="3" t="s">
        <v>36</v>
      </c>
      <c r="H497" s="3">
        <v>14485</v>
      </c>
      <c r="I497" s="3" t="s">
        <v>33</v>
      </c>
      <c r="J497" s="3">
        <v>0.3</v>
      </c>
      <c r="K497" s="3">
        <v>13000</v>
      </c>
      <c r="L497" s="27">
        <v>45351</v>
      </c>
      <c r="M497" t="str">
        <f t="shared" si="7"/>
        <v>Target Achieved</v>
      </c>
    </row>
    <row r="498" spans="1:13" x14ac:dyDescent="0.35">
      <c r="A498" s="33" t="s">
        <v>689</v>
      </c>
      <c r="B498" s="3" t="s">
        <v>180</v>
      </c>
      <c r="C498" s="3" t="s">
        <v>30</v>
      </c>
      <c r="D498" s="3" t="s">
        <v>31</v>
      </c>
      <c r="E498" s="3" t="s">
        <v>46</v>
      </c>
      <c r="F498" s="3" t="s">
        <v>17</v>
      </c>
      <c r="G498" s="3" t="s">
        <v>36</v>
      </c>
      <c r="H498" s="3">
        <v>15956</v>
      </c>
      <c r="I498" s="3" t="s">
        <v>22</v>
      </c>
      <c r="J498" s="3">
        <v>0.1</v>
      </c>
      <c r="K498" s="3">
        <v>17000</v>
      </c>
      <c r="L498" s="27">
        <v>45352</v>
      </c>
      <c r="M498" t="str">
        <f t="shared" si="7"/>
        <v>Below Target</v>
      </c>
    </row>
    <row r="499" spans="1:13" x14ac:dyDescent="0.35">
      <c r="A499" s="33" t="s">
        <v>690</v>
      </c>
      <c r="B499" s="3" t="s">
        <v>235</v>
      </c>
      <c r="C499" s="3" t="s">
        <v>14</v>
      </c>
      <c r="D499" s="3" t="s">
        <v>15</v>
      </c>
      <c r="E499" s="3" t="s">
        <v>32</v>
      </c>
      <c r="F499" s="3" t="s">
        <v>25</v>
      </c>
      <c r="G499" s="3" t="s">
        <v>18</v>
      </c>
      <c r="H499" s="3">
        <v>13841</v>
      </c>
      <c r="I499" s="3"/>
      <c r="J499" s="3"/>
      <c r="K499" s="3">
        <v>14000</v>
      </c>
      <c r="L499" s="27">
        <v>45312</v>
      </c>
      <c r="M499" t="str">
        <f t="shared" si="7"/>
        <v>Below Target</v>
      </c>
    </row>
    <row r="500" spans="1:13" x14ac:dyDescent="0.35">
      <c r="A500" s="33" t="s">
        <v>691</v>
      </c>
      <c r="B500" s="3" t="s">
        <v>41</v>
      </c>
      <c r="C500" s="3" t="s">
        <v>30</v>
      </c>
      <c r="D500" s="3" t="s">
        <v>31</v>
      </c>
      <c r="E500" s="3" t="s">
        <v>32</v>
      </c>
      <c r="F500" s="3" t="s">
        <v>17</v>
      </c>
      <c r="G500" s="3" t="s">
        <v>36</v>
      </c>
      <c r="H500" s="3">
        <v>16897</v>
      </c>
      <c r="I500" s="3" t="s">
        <v>33</v>
      </c>
      <c r="J500" s="3">
        <v>0.3</v>
      </c>
      <c r="K500" s="3">
        <v>17000</v>
      </c>
      <c r="L500" s="27">
        <v>45346</v>
      </c>
      <c r="M500" t="str">
        <f t="shared" si="7"/>
        <v>Below Target</v>
      </c>
    </row>
    <row r="501" spans="1:13" x14ac:dyDescent="0.35">
      <c r="A501" s="33" t="s">
        <v>692</v>
      </c>
      <c r="B501" s="3" t="s">
        <v>78</v>
      </c>
      <c r="C501" s="3" t="s">
        <v>44</v>
      </c>
      <c r="D501" s="3" t="s">
        <v>45</v>
      </c>
      <c r="E501" s="3" t="s">
        <v>16</v>
      </c>
      <c r="F501" s="3" t="s">
        <v>17</v>
      </c>
      <c r="G501" s="3" t="s">
        <v>26</v>
      </c>
      <c r="H501" s="3">
        <v>13854</v>
      </c>
      <c r="I501" s="3" t="s">
        <v>27</v>
      </c>
      <c r="J501" s="3"/>
      <c r="K501" s="3">
        <v>13000</v>
      </c>
      <c r="L501" s="27">
        <v>45294</v>
      </c>
      <c r="M501" t="str">
        <f t="shared" si="7"/>
        <v>Target Achieved</v>
      </c>
    </row>
    <row r="502" spans="1:13" x14ac:dyDescent="0.35">
      <c r="A502" s="33" t="s">
        <v>693</v>
      </c>
      <c r="B502" s="3" t="s">
        <v>171</v>
      </c>
      <c r="C502" s="3" t="s">
        <v>30</v>
      </c>
      <c r="D502" s="3" t="s">
        <v>31</v>
      </c>
      <c r="E502" s="3" t="s">
        <v>32</v>
      </c>
      <c r="F502" s="3" t="s">
        <v>25</v>
      </c>
      <c r="G502" s="3" t="s">
        <v>26</v>
      </c>
      <c r="H502" s="3">
        <v>16016</v>
      </c>
      <c r="I502" s="3" t="s">
        <v>33</v>
      </c>
      <c r="J502" s="3">
        <v>0.3</v>
      </c>
      <c r="K502" s="3">
        <v>17000</v>
      </c>
      <c r="L502" s="27">
        <v>45317</v>
      </c>
      <c r="M502" t="str">
        <f t="shared" si="7"/>
        <v>Below Target</v>
      </c>
    </row>
    <row r="503" spans="1:13" x14ac:dyDescent="0.35">
      <c r="A503" s="33" t="s">
        <v>694</v>
      </c>
      <c r="B503" s="3" t="s">
        <v>184</v>
      </c>
      <c r="C503" s="3" t="s">
        <v>30</v>
      </c>
      <c r="D503" s="3" t="s">
        <v>31</v>
      </c>
      <c r="E503" s="3" t="s">
        <v>46</v>
      </c>
      <c r="F503" s="3" t="s">
        <v>25</v>
      </c>
      <c r="G503" s="3" t="s">
        <v>18</v>
      </c>
      <c r="H503" s="3">
        <v>18899</v>
      </c>
      <c r="I503" s="3"/>
      <c r="J503" s="3"/>
      <c r="K503" s="3">
        <v>17000</v>
      </c>
      <c r="L503" s="27">
        <v>45346</v>
      </c>
      <c r="M503" t="str">
        <f t="shared" si="7"/>
        <v>Target Achieved</v>
      </c>
    </row>
    <row r="504" spans="1:13" x14ac:dyDescent="0.35">
      <c r="A504" s="33" t="s">
        <v>695</v>
      </c>
      <c r="B504" s="3" t="s">
        <v>330</v>
      </c>
      <c r="C504" s="3" t="s">
        <v>44</v>
      </c>
      <c r="D504" s="3" t="s">
        <v>45</v>
      </c>
      <c r="E504" s="3" t="s">
        <v>32</v>
      </c>
      <c r="F504" s="3" t="s">
        <v>17</v>
      </c>
      <c r="G504" s="3" t="s">
        <v>18</v>
      </c>
      <c r="H504" s="3">
        <v>14292</v>
      </c>
      <c r="I504" s="3" t="s">
        <v>19</v>
      </c>
      <c r="J504" s="3">
        <v>0.2</v>
      </c>
      <c r="K504" s="3">
        <v>13000</v>
      </c>
      <c r="L504" s="27">
        <v>45299</v>
      </c>
      <c r="M504" t="str">
        <f t="shared" si="7"/>
        <v>Target Achieved</v>
      </c>
    </row>
    <row r="505" spans="1:13" x14ac:dyDescent="0.35">
      <c r="A505" s="33" t="s">
        <v>696</v>
      </c>
      <c r="B505" s="3" t="s">
        <v>161</v>
      </c>
      <c r="C505" s="3" t="s">
        <v>44</v>
      </c>
      <c r="D505" s="3" t="s">
        <v>45</v>
      </c>
      <c r="E505" s="3" t="s">
        <v>32</v>
      </c>
      <c r="F505" s="3" t="s">
        <v>25</v>
      </c>
      <c r="G505" s="3" t="s">
        <v>36</v>
      </c>
      <c r="H505" s="3">
        <v>12524</v>
      </c>
      <c r="I505" s="3" t="s">
        <v>22</v>
      </c>
      <c r="J505" s="3">
        <v>0.1</v>
      </c>
      <c r="K505" s="3">
        <v>13000</v>
      </c>
      <c r="L505" s="27">
        <v>45329</v>
      </c>
      <c r="M505" t="str">
        <f t="shared" si="7"/>
        <v>Below Target</v>
      </c>
    </row>
    <row r="506" spans="1:13" x14ac:dyDescent="0.35">
      <c r="A506" s="33" t="s">
        <v>697</v>
      </c>
      <c r="B506" s="3" t="s">
        <v>291</v>
      </c>
      <c r="C506" s="3" t="s">
        <v>14</v>
      </c>
      <c r="D506" s="3" t="s">
        <v>15</v>
      </c>
      <c r="E506" s="3" t="s">
        <v>32</v>
      </c>
      <c r="F506" s="3" t="s">
        <v>25</v>
      </c>
      <c r="G506" s="3" t="s">
        <v>18</v>
      </c>
      <c r="H506" s="3">
        <v>15696</v>
      </c>
      <c r="I506" s="3"/>
      <c r="J506" s="3"/>
      <c r="K506" s="3">
        <v>14000</v>
      </c>
      <c r="L506" s="27">
        <v>45343</v>
      </c>
      <c r="M506" t="str">
        <f t="shared" si="7"/>
        <v>Target Achieved</v>
      </c>
    </row>
    <row r="507" spans="1:13" x14ac:dyDescent="0.35">
      <c r="A507" s="33" t="s">
        <v>698</v>
      </c>
      <c r="B507" s="3" t="s">
        <v>325</v>
      </c>
      <c r="C507" s="3" t="s">
        <v>30</v>
      </c>
      <c r="D507" s="3" t="s">
        <v>31</v>
      </c>
      <c r="E507" s="3" t="s">
        <v>32</v>
      </c>
      <c r="F507" s="3" t="s">
        <v>25</v>
      </c>
      <c r="G507" s="3" t="s">
        <v>36</v>
      </c>
      <c r="H507" s="3">
        <v>15207</v>
      </c>
      <c r="I507" s="3" t="s">
        <v>19</v>
      </c>
      <c r="J507" s="3">
        <v>0.2</v>
      </c>
      <c r="K507" s="3">
        <v>17000</v>
      </c>
      <c r="L507" s="27">
        <v>45351</v>
      </c>
      <c r="M507" t="str">
        <f t="shared" si="7"/>
        <v>Below Target</v>
      </c>
    </row>
    <row r="508" spans="1:13" x14ac:dyDescent="0.35">
      <c r="A508" s="33" t="s">
        <v>699</v>
      </c>
      <c r="B508" s="3" t="s">
        <v>337</v>
      </c>
      <c r="C508" s="3" t="s">
        <v>61</v>
      </c>
      <c r="D508" s="3" t="s">
        <v>62</v>
      </c>
      <c r="E508" s="3" t="s">
        <v>46</v>
      </c>
      <c r="F508" s="3" t="s">
        <v>25</v>
      </c>
      <c r="G508" s="3" t="s">
        <v>36</v>
      </c>
      <c r="H508" s="3">
        <v>9798</v>
      </c>
      <c r="I508" s="3"/>
      <c r="J508" s="3"/>
      <c r="K508" s="3">
        <v>9000</v>
      </c>
      <c r="L508" s="27">
        <v>45303</v>
      </c>
      <c r="M508" t="str">
        <f t="shared" si="7"/>
        <v>Target Achieved</v>
      </c>
    </row>
    <row r="509" spans="1:13" x14ac:dyDescent="0.35">
      <c r="A509" s="33" t="s">
        <v>700</v>
      </c>
      <c r="B509" s="3" t="s">
        <v>408</v>
      </c>
      <c r="C509" s="3" t="s">
        <v>44</v>
      </c>
      <c r="D509" s="3" t="s">
        <v>45</v>
      </c>
      <c r="E509" s="3" t="s">
        <v>46</v>
      </c>
      <c r="F509" s="3" t="s">
        <v>17</v>
      </c>
      <c r="G509" s="3" t="s">
        <v>36</v>
      </c>
      <c r="H509" s="3">
        <v>14618</v>
      </c>
      <c r="I509" s="3" t="s">
        <v>19</v>
      </c>
      <c r="J509" s="3">
        <v>0.2</v>
      </c>
      <c r="K509" s="3">
        <v>13000</v>
      </c>
      <c r="L509" s="27">
        <v>45294</v>
      </c>
      <c r="M509" t="str">
        <f t="shared" si="7"/>
        <v>Target Achieved</v>
      </c>
    </row>
    <row r="510" spans="1:13" x14ac:dyDescent="0.35">
      <c r="A510" s="33" t="s">
        <v>701</v>
      </c>
      <c r="B510" s="3" t="s">
        <v>195</v>
      </c>
      <c r="C510" s="3" t="s">
        <v>44</v>
      </c>
      <c r="D510" s="3" t="s">
        <v>45</v>
      </c>
      <c r="E510" s="3" t="s">
        <v>16</v>
      </c>
      <c r="F510" s="3" t="s">
        <v>17</v>
      </c>
      <c r="G510" s="3" t="s">
        <v>36</v>
      </c>
      <c r="H510" s="3">
        <v>12687</v>
      </c>
      <c r="I510" s="3" t="s">
        <v>27</v>
      </c>
      <c r="J510" s="3"/>
      <c r="K510" s="3">
        <v>13000</v>
      </c>
      <c r="L510" s="27">
        <v>45322</v>
      </c>
      <c r="M510" t="str">
        <f t="shared" si="7"/>
        <v>Below Target</v>
      </c>
    </row>
    <row r="511" spans="1:13" x14ac:dyDescent="0.35">
      <c r="A511" s="33" t="s">
        <v>702</v>
      </c>
      <c r="B511" s="3" t="s">
        <v>76</v>
      </c>
      <c r="C511" s="3" t="s">
        <v>30</v>
      </c>
      <c r="D511" s="3" t="s">
        <v>31</v>
      </c>
      <c r="E511" s="3" t="s">
        <v>46</v>
      </c>
      <c r="F511" s="3" t="s">
        <v>25</v>
      </c>
      <c r="G511" s="3" t="s">
        <v>36</v>
      </c>
      <c r="H511" s="3">
        <v>15816</v>
      </c>
      <c r="I511" s="3" t="s">
        <v>27</v>
      </c>
      <c r="J511" s="3"/>
      <c r="K511" s="3">
        <v>17000</v>
      </c>
      <c r="L511" s="27">
        <v>45307</v>
      </c>
      <c r="M511" t="str">
        <f t="shared" si="7"/>
        <v>Below Target</v>
      </c>
    </row>
    <row r="512" spans="1:13" x14ac:dyDescent="0.35">
      <c r="A512" s="33" t="s">
        <v>703</v>
      </c>
      <c r="B512" s="3" t="s">
        <v>270</v>
      </c>
      <c r="C512" s="3" t="s">
        <v>14</v>
      </c>
      <c r="D512" s="3" t="s">
        <v>15</v>
      </c>
      <c r="E512" s="3" t="s">
        <v>46</v>
      </c>
      <c r="F512" s="3" t="s">
        <v>39</v>
      </c>
      <c r="G512" s="3" t="s">
        <v>36</v>
      </c>
      <c r="H512" s="3">
        <v>13964</v>
      </c>
      <c r="I512" s="3" t="s">
        <v>27</v>
      </c>
      <c r="J512" s="3"/>
      <c r="K512" s="3">
        <v>14000</v>
      </c>
      <c r="L512" s="27">
        <v>45342</v>
      </c>
      <c r="M512" t="str">
        <f t="shared" si="7"/>
        <v>Below Target</v>
      </c>
    </row>
    <row r="513" spans="1:13" x14ac:dyDescent="0.35">
      <c r="A513" s="33" t="s">
        <v>704</v>
      </c>
      <c r="B513" s="3" t="s">
        <v>188</v>
      </c>
      <c r="C513" s="3" t="s">
        <v>30</v>
      </c>
      <c r="D513" s="3" t="s">
        <v>31</v>
      </c>
      <c r="E513" s="3" t="s">
        <v>46</v>
      </c>
      <c r="F513" s="3" t="s">
        <v>17</v>
      </c>
      <c r="G513" s="3" t="s">
        <v>18</v>
      </c>
      <c r="H513" s="3">
        <v>15106</v>
      </c>
      <c r="I513" s="3" t="s">
        <v>33</v>
      </c>
      <c r="J513" s="3">
        <v>0.3</v>
      </c>
      <c r="K513" s="3">
        <v>17000</v>
      </c>
      <c r="L513" s="27">
        <v>45330</v>
      </c>
      <c r="M513" t="str">
        <f t="shared" si="7"/>
        <v>Below Target</v>
      </c>
    </row>
    <row r="514" spans="1:13" x14ac:dyDescent="0.35">
      <c r="A514" s="33" t="s">
        <v>705</v>
      </c>
      <c r="B514" s="3" t="s">
        <v>500</v>
      </c>
      <c r="C514" s="3" t="s">
        <v>30</v>
      </c>
      <c r="D514" s="3" t="s">
        <v>31</v>
      </c>
      <c r="E514" s="3" t="s">
        <v>32</v>
      </c>
      <c r="F514" s="3" t="s">
        <v>17</v>
      </c>
      <c r="G514" s="3" t="s">
        <v>26</v>
      </c>
      <c r="H514" s="3">
        <v>16464</v>
      </c>
      <c r="I514" s="3" t="s">
        <v>27</v>
      </c>
      <c r="J514" s="3"/>
      <c r="K514" s="3">
        <v>17000</v>
      </c>
      <c r="L514" s="27">
        <v>45306</v>
      </c>
      <c r="M514" t="str">
        <f t="shared" si="7"/>
        <v>Below Target</v>
      </c>
    </row>
    <row r="515" spans="1:13" x14ac:dyDescent="0.35">
      <c r="A515" s="33" t="s">
        <v>706</v>
      </c>
      <c r="B515" s="3" t="s">
        <v>325</v>
      </c>
      <c r="C515" s="3" t="s">
        <v>44</v>
      </c>
      <c r="D515" s="3" t="s">
        <v>45</v>
      </c>
      <c r="E515" s="3" t="s">
        <v>16</v>
      </c>
      <c r="F515" s="3" t="s">
        <v>25</v>
      </c>
      <c r="G515" s="3" t="s">
        <v>36</v>
      </c>
      <c r="H515" s="3">
        <v>13185</v>
      </c>
      <c r="I515" s="3" t="s">
        <v>22</v>
      </c>
      <c r="J515" s="3">
        <v>0.1</v>
      </c>
      <c r="K515" s="3">
        <v>13000</v>
      </c>
      <c r="L515" s="27">
        <v>45340</v>
      </c>
      <c r="M515" t="str">
        <f t="shared" si="7"/>
        <v>Target Achieved</v>
      </c>
    </row>
    <row r="516" spans="1:13" x14ac:dyDescent="0.35">
      <c r="A516" s="33" t="s">
        <v>707</v>
      </c>
      <c r="B516" s="3" t="s">
        <v>56</v>
      </c>
      <c r="C516" s="3" t="s">
        <v>61</v>
      </c>
      <c r="D516" s="3" t="s">
        <v>62</v>
      </c>
      <c r="E516" s="3" t="s">
        <v>46</v>
      </c>
      <c r="F516" s="3" t="s">
        <v>25</v>
      </c>
      <c r="G516" s="3" t="s">
        <v>18</v>
      </c>
      <c r="H516" s="3">
        <v>7968</v>
      </c>
      <c r="I516" s="3" t="s">
        <v>27</v>
      </c>
      <c r="J516" s="3"/>
      <c r="K516" s="3">
        <v>9000</v>
      </c>
      <c r="L516" s="27">
        <v>45312</v>
      </c>
      <c r="M516" t="str">
        <f t="shared" si="7"/>
        <v>Below Target</v>
      </c>
    </row>
    <row r="517" spans="1:13" x14ac:dyDescent="0.35">
      <c r="A517" s="33" t="s">
        <v>708</v>
      </c>
      <c r="B517" s="3" t="s">
        <v>296</v>
      </c>
      <c r="C517" s="3" t="s">
        <v>30</v>
      </c>
      <c r="D517" s="3" t="s">
        <v>31</v>
      </c>
      <c r="E517" s="3" t="s">
        <v>16</v>
      </c>
      <c r="F517" s="3" t="s">
        <v>25</v>
      </c>
      <c r="G517" s="3" t="s">
        <v>26</v>
      </c>
      <c r="H517" s="3">
        <v>17869</v>
      </c>
      <c r="I517" s="3" t="s">
        <v>33</v>
      </c>
      <c r="J517" s="3">
        <v>0.3</v>
      </c>
      <c r="K517" s="3">
        <v>17000</v>
      </c>
      <c r="L517" s="27">
        <v>45352</v>
      </c>
      <c r="M517" t="str">
        <f t="shared" si="7"/>
        <v>Target Achieved</v>
      </c>
    </row>
    <row r="518" spans="1:13" x14ac:dyDescent="0.35">
      <c r="A518" s="33" t="s">
        <v>709</v>
      </c>
      <c r="B518" s="3" t="s">
        <v>195</v>
      </c>
      <c r="C518" s="3" t="s">
        <v>44</v>
      </c>
      <c r="D518" s="3" t="s">
        <v>45</v>
      </c>
      <c r="E518" s="3" t="s">
        <v>16</v>
      </c>
      <c r="F518" s="3" t="s">
        <v>25</v>
      </c>
      <c r="G518" s="3" t="s">
        <v>36</v>
      </c>
      <c r="H518" s="3">
        <v>13220</v>
      </c>
      <c r="I518" s="3" t="s">
        <v>33</v>
      </c>
      <c r="J518" s="3">
        <v>0.3</v>
      </c>
      <c r="K518" s="3">
        <v>13000</v>
      </c>
      <c r="L518" s="27">
        <v>45303</v>
      </c>
      <c r="M518" t="str">
        <f t="shared" si="7"/>
        <v>Target Achieved</v>
      </c>
    </row>
    <row r="519" spans="1:13" x14ac:dyDescent="0.35">
      <c r="A519" s="33" t="s">
        <v>710</v>
      </c>
      <c r="B519" s="3" t="s">
        <v>711</v>
      </c>
      <c r="C519" s="3" t="s">
        <v>14</v>
      </c>
      <c r="D519" s="3" t="s">
        <v>15</v>
      </c>
      <c r="E519" s="3" t="s">
        <v>32</v>
      </c>
      <c r="F519" s="3" t="s">
        <v>25</v>
      </c>
      <c r="G519" s="3" t="s">
        <v>26</v>
      </c>
      <c r="H519" s="3">
        <v>12896</v>
      </c>
      <c r="I519" s="3" t="s">
        <v>22</v>
      </c>
      <c r="J519" s="3">
        <v>0.1</v>
      </c>
      <c r="K519" s="3">
        <v>14000</v>
      </c>
      <c r="L519" s="27">
        <v>45325</v>
      </c>
      <c r="M519" t="str">
        <f t="shared" si="7"/>
        <v>Below Target</v>
      </c>
    </row>
    <row r="520" spans="1:13" x14ac:dyDescent="0.35">
      <c r="A520" s="33" t="s">
        <v>712</v>
      </c>
      <c r="B520" s="3" t="s">
        <v>711</v>
      </c>
      <c r="C520" s="3" t="s">
        <v>30</v>
      </c>
      <c r="D520" s="3" t="s">
        <v>31</v>
      </c>
      <c r="E520" s="3" t="s">
        <v>16</v>
      </c>
      <c r="F520" s="3" t="s">
        <v>25</v>
      </c>
      <c r="G520" s="3" t="s">
        <v>18</v>
      </c>
      <c r="H520" s="3">
        <v>16395</v>
      </c>
      <c r="I520" s="3" t="s">
        <v>19</v>
      </c>
      <c r="J520" s="3">
        <v>0.2</v>
      </c>
      <c r="K520" s="3">
        <v>17000</v>
      </c>
      <c r="L520" s="27">
        <v>45350</v>
      </c>
      <c r="M520" t="str">
        <f t="shared" si="7"/>
        <v>Below Target</v>
      </c>
    </row>
    <row r="521" spans="1:13" x14ac:dyDescent="0.35">
      <c r="A521" s="33" t="s">
        <v>713</v>
      </c>
      <c r="B521" s="3" t="s">
        <v>140</v>
      </c>
      <c r="C521" s="3" t="s">
        <v>30</v>
      </c>
      <c r="D521" s="3" t="s">
        <v>31</v>
      </c>
      <c r="E521" s="3" t="s">
        <v>32</v>
      </c>
      <c r="F521" s="3" t="s">
        <v>25</v>
      </c>
      <c r="G521" s="3" t="s">
        <v>18</v>
      </c>
      <c r="H521" s="3">
        <v>17402</v>
      </c>
      <c r="I521" s="3" t="s">
        <v>19</v>
      </c>
      <c r="J521" s="3">
        <v>0.2</v>
      </c>
      <c r="K521" s="3">
        <v>17000</v>
      </c>
      <c r="L521" s="27">
        <v>45341</v>
      </c>
      <c r="M521" t="str">
        <f t="shared" si="7"/>
        <v>Target Achieved</v>
      </c>
    </row>
    <row r="522" spans="1:13" x14ac:dyDescent="0.35">
      <c r="A522" s="33" t="s">
        <v>714</v>
      </c>
      <c r="B522" s="3" t="s">
        <v>159</v>
      </c>
      <c r="C522" s="3" t="s">
        <v>30</v>
      </c>
      <c r="D522" s="3" t="s">
        <v>31</v>
      </c>
      <c r="E522" s="3" t="s">
        <v>32</v>
      </c>
      <c r="F522" s="3" t="s">
        <v>17</v>
      </c>
      <c r="G522" s="3" t="s">
        <v>26</v>
      </c>
      <c r="H522" s="3">
        <v>18858</v>
      </c>
      <c r="I522" s="3"/>
      <c r="J522" s="3"/>
      <c r="K522" s="3">
        <v>17000</v>
      </c>
      <c r="L522" s="27">
        <v>45329</v>
      </c>
      <c r="M522" t="str">
        <f t="shared" si="7"/>
        <v>Target Achieved</v>
      </c>
    </row>
    <row r="523" spans="1:13" x14ac:dyDescent="0.35">
      <c r="A523" s="33" t="s">
        <v>715</v>
      </c>
      <c r="B523" s="3" t="s">
        <v>432</v>
      </c>
      <c r="C523" s="3" t="s">
        <v>30</v>
      </c>
      <c r="D523" s="3" t="s">
        <v>31</v>
      </c>
      <c r="E523" s="3" t="s">
        <v>46</v>
      </c>
      <c r="F523" s="3" t="s">
        <v>25</v>
      </c>
      <c r="G523" s="3" t="s">
        <v>18</v>
      </c>
      <c r="H523" s="3">
        <v>17999</v>
      </c>
      <c r="I523" s="3"/>
      <c r="J523" s="3"/>
      <c r="K523" s="3">
        <v>17000</v>
      </c>
      <c r="L523" s="27">
        <v>45342</v>
      </c>
      <c r="M523" t="str">
        <f t="shared" si="7"/>
        <v>Target Achieved</v>
      </c>
    </row>
    <row r="524" spans="1:13" x14ac:dyDescent="0.35">
      <c r="A524" s="33" t="s">
        <v>716</v>
      </c>
      <c r="B524" s="3" t="s">
        <v>591</v>
      </c>
      <c r="C524" s="3" t="s">
        <v>30</v>
      </c>
      <c r="D524" s="3" t="s">
        <v>31</v>
      </c>
      <c r="E524" s="3" t="s">
        <v>32</v>
      </c>
      <c r="F524" s="3" t="s">
        <v>39</v>
      </c>
      <c r="G524" s="3" t="s">
        <v>26</v>
      </c>
      <c r="H524" s="3">
        <v>17840</v>
      </c>
      <c r="I524" s="3" t="s">
        <v>27</v>
      </c>
      <c r="J524" s="3"/>
      <c r="K524" s="3">
        <v>17000</v>
      </c>
      <c r="L524" s="27">
        <v>45342</v>
      </c>
      <c r="M524" t="str">
        <f t="shared" si="7"/>
        <v>Target Achieved</v>
      </c>
    </row>
    <row r="525" spans="1:13" x14ac:dyDescent="0.35">
      <c r="A525" s="33" t="s">
        <v>717</v>
      </c>
      <c r="B525" s="3" t="s">
        <v>408</v>
      </c>
      <c r="C525" s="3" t="s">
        <v>44</v>
      </c>
      <c r="D525" s="3" t="s">
        <v>45</v>
      </c>
      <c r="E525" s="3" t="s">
        <v>46</v>
      </c>
      <c r="F525" s="3" t="s">
        <v>17</v>
      </c>
      <c r="G525" s="3" t="s">
        <v>26</v>
      </c>
      <c r="H525" s="3">
        <v>13820</v>
      </c>
      <c r="I525" s="3" t="s">
        <v>33</v>
      </c>
      <c r="J525" s="3">
        <v>0.3</v>
      </c>
      <c r="K525" s="3">
        <v>13000</v>
      </c>
      <c r="L525" s="27">
        <v>45300</v>
      </c>
      <c r="M525" t="str">
        <f t="shared" si="7"/>
        <v>Target Achieved</v>
      </c>
    </row>
    <row r="526" spans="1:13" x14ac:dyDescent="0.35">
      <c r="A526" s="33" t="s">
        <v>718</v>
      </c>
      <c r="B526" s="3" t="s">
        <v>280</v>
      </c>
      <c r="C526" s="3" t="s">
        <v>14</v>
      </c>
      <c r="D526" s="3" t="s">
        <v>15</v>
      </c>
      <c r="E526" s="3" t="s">
        <v>16</v>
      </c>
      <c r="F526" s="3" t="s">
        <v>39</v>
      </c>
      <c r="G526" s="3" t="s">
        <v>36</v>
      </c>
      <c r="H526" s="3">
        <v>15484</v>
      </c>
      <c r="I526" s="3" t="s">
        <v>27</v>
      </c>
      <c r="J526" s="3"/>
      <c r="K526" s="3">
        <v>14000</v>
      </c>
      <c r="L526" s="27">
        <v>45294</v>
      </c>
      <c r="M526" t="str">
        <f t="shared" si="7"/>
        <v>Target Achieved</v>
      </c>
    </row>
    <row r="527" spans="1:13" x14ac:dyDescent="0.35">
      <c r="A527" s="33" t="s">
        <v>719</v>
      </c>
      <c r="B527" s="3" t="s">
        <v>720</v>
      </c>
      <c r="C527" s="3" t="s">
        <v>30</v>
      </c>
      <c r="D527" s="3" t="s">
        <v>31</v>
      </c>
      <c r="E527" s="3" t="s">
        <v>16</v>
      </c>
      <c r="F527" s="3" t="s">
        <v>25</v>
      </c>
      <c r="G527" s="3" t="s">
        <v>26</v>
      </c>
      <c r="H527" s="3">
        <v>17316</v>
      </c>
      <c r="I527" s="3" t="s">
        <v>22</v>
      </c>
      <c r="J527" s="3">
        <v>0.1</v>
      </c>
      <c r="K527" s="3">
        <v>17000</v>
      </c>
      <c r="L527" s="27">
        <v>45351</v>
      </c>
      <c r="M527" t="str">
        <f t="shared" si="7"/>
        <v>Target Achieved</v>
      </c>
    </row>
    <row r="528" spans="1:13" x14ac:dyDescent="0.35">
      <c r="A528" s="33" t="s">
        <v>721</v>
      </c>
      <c r="B528" s="3" t="s">
        <v>508</v>
      </c>
      <c r="C528" s="3" t="s">
        <v>30</v>
      </c>
      <c r="D528" s="3" t="s">
        <v>31</v>
      </c>
      <c r="E528" s="3" t="s">
        <v>16</v>
      </c>
      <c r="F528" s="3" t="s">
        <v>25</v>
      </c>
      <c r="G528" s="3" t="s">
        <v>18</v>
      </c>
      <c r="H528" s="3">
        <v>16420</v>
      </c>
      <c r="I528" s="3" t="s">
        <v>33</v>
      </c>
      <c r="J528" s="3">
        <v>0.3</v>
      </c>
      <c r="K528" s="3">
        <v>17000</v>
      </c>
      <c r="L528" s="27">
        <v>45302</v>
      </c>
      <c r="M528" t="str">
        <f t="shared" si="7"/>
        <v>Below Target</v>
      </c>
    </row>
    <row r="529" spans="1:13" x14ac:dyDescent="0.35">
      <c r="A529" s="33" t="s">
        <v>722</v>
      </c>
      <c r="B529" s="3" t="s">
        <v>13</v>
      </c>
      <c r="C529" s="3" t="s">
        <v>30</v>
      </c>
      <c r="D529" s="3" t="s">
        <v>31</v>
      </c>
      <c r="E529" s="3" t="s">
        <v>46</v>
      </c>
      <c r="F529" s="3" t="s">
        <v>25</v>
      </c>
      <c r="G529" s="3" t="s">
        <v>36</v>
      </c>
      <c r="H529" s="3">
        <v>15858</v>
      </c>
      <c r="I529" s="3" t="s">
        <v>19</v>
      </c>
      <c r="J529" s="3">
        <v>0.2</v>
      </c>
      <c r="K529" s="3">
        <v>17000</v>
      </c>
      <c r="L529" s="27">
        <v>45336</v>
      </c>
      <c r="M529" t="str">
        <f t="shared" si="7"/>
        <v>Below Target</v>
      </c>
    </row>
    <row r="530" spans="1:13" x14ac:dyDescent="0.35">
      <c r="A530" s="33" t="s">
        <v>723</v>
      </c>
      <c r="B530" s="3" t="s">
        <v>432</v>
      </c>
      <c r="C530" s="3" t="s">
        <v>30</v>
      </c>
      <c r="D530" s="3" t="s">
        <v>31</v>
      </c>
      <c r="E530" s="3" t="s">
        <v>32</v>
      </c>
      <c r="F530" s="3" t="s">
        <v>39</v>
      </c>
      <c r="G530" s="3" t="s">
        <v>18</v>
      </c>
      <c r="H530" s="3">
        <v>15197</v>
      </c>
      <c r="I530" s="3"/>
      <c r="J530" s="3"/>
      <c r="K530" s="3">
        <v>17000</v>
      </c>
      <c r="L530" s="27">
        <v>45320</v>
      </c>
      <c r="M530" t="str">
        <f t="shared" si="7"/>
        <v>Below Target</v>
      </c>
    </row>
    <row r="531" spans="1:13" x14ac:dyDescent="0.35">
      <c r="A531" s="33" t="s">
        <v>724</v>
      </c>
      <c r="B531" s="3" t="s">
        <v>127</v>
      </c>
      <c r="C531" s="3" t="s">
        <v>44</v>
      </c>
      <c r="D531" s="3" t="s">
        <v>45</v>
      </c>
      <c r="E531" s="3" t="s">
        <v>46</v>
      </c>
      <c r="F531" s="3" t="s">
        <v>17</v>
      </c>
      <c r="G531" s="3" t="s">
        <v>36</v>
      </c>
      <c r="H531" s="3">
        <v>12438</v>
      </c>
      <c r="I531" s="3" t="s">
        <v>27</v>
      </c>
      <c r="J531" s="3"/>
      <c r="K531" s="3">
        <v>13000</v>
      </c>
      <c r="L531" s="27">
        <v>45316</v>
      </c>
      <c r="M531" t="str">
        <f t="shared" si="7"/>
        <v>Below Target</v>
      </c>
    </row>
    <row r="532" spans="1:13" x14ac:dyDescent="0.35">
      <c r="A532" s="33" t="s">
        <v>725</v>
      </c>
      <c r="B532" s="3" t="s">
        <v>159</v>
      </c>
      <c r="C532" s="3" t="s">
        <v>61</v>
      </c>
      <c r="D532" s="3" t="s">
        <v>62</v>
      </c>
      <c r="E532" s="3" t="s">
        <v>16</v>
      </c>
      <c r="F532" s="3" t="s">
        <v>39</v>
      </c>
      <c r="G532" s="3" t="s">
        <v>26</v>
      </c>
      <c r="H532" s="3">
        <v>7923</v>
      </c>
      <c r="I532" s="3" t="s">
        <v>19</v>
      </c>
      <c r="J532" s="3">
        <v>0.2</v>
      </c>
      <c r="K532" s="3">
        <v>9000</v>
      </c>
      <c r="L532" s="27">
        <v>45320</v>
      </c>
      <c r="M532" t="str">
        <f t="shared" si="7"/>
        <v>Below Target</v>
      </c>
    </row>
    <row r="533" spans="1:13" x14ac:dyDescent="0.35">
      <c r="A533" s="33" t="s">
        <v>726</v>
      </c>
      <c r="B533" s="3" t="s">
        <v>200</v>
      </c>
      <c r="C533" s="3" t="s">
        <v>14</v>
      </c>
      <c r="D533" s="3" t="s">
        <v>15</v>
      </c>
      <c r="E533" s="3" t="s">
        <v>46</v>
      </c>
      <c r="F533" s="3" t="s">
        <v>25</v>
      </c>
      <c r="G533" s="3" t="s">
        <v>36</v>
      </c>
      <c r="H533" s="3">
        <v>13069</v>
      </c>
      <c r="I533" s="3" t="s">
        <v>22</v>
      </c>
      <c r="J533" s="3">
        <v>0.1</v>
      </c>
      <c r="K533" s="3">
        <v>14000</v>
      </c>
      <c r="L533" s="27">
        <v>45296</v>
      </c>
      <c r="M533" t="str">
        <f t="shared" si="7"/>
        <v>Below Target</v>
      </c>
    </row>
    <row r="534" spans="1:13" x14ac:dyDescent="0.35">
      <c r="A534" s="33" t="s">
        <v>727</v>
      </c>
      <c r="B534" s="3" t="s">
        <v>728</v>
      </c>
      <c r="C534" s="3" t="s">
        <v>61</v>
      </c>
      <c r="D534" s="3" t="s">
        <v>62</v>
      </c>
      <c r="E534" s="3" t="s">
        <v>32</v>
      </c>
      <c r="F534" s="3" t="s">
        <v>39</v>
      </c>
      <c r="G534" s="3" t="s">
        <v>18</v>
      </c>
      <c r="H534" s="3">
        <v>9240</v>
      </c>
      <c r="I534" s="3" t="s">
        <v>22</v>
      </c>
      <c r="J534" s="3">
        <v>0.1</v>
      </c>
      <c r="K534" s="3">
        <v>9000</v>
      </c>
      <c r="L534" s="27">
        <v>45313</v>
      </c>
      <c r="M534" t="str">
        <f t="shared" si="7"/>
        <v>Target Achieved</v>
      </c>
    </row>
    <row r="535" spans="1:13" x14ac:dyDescent="0.35">
      <c r="A535" s="33" t="s">
        <v>729</v>
      </c>
      <c r="B535" s="3" t="s">
        <v>195</v>
      </c>
      <c r="C535" s="3" t="s">
        <v>61</v>
      </c>
      <c r="D535" s="3" t="s">
        <v>62</v>
      </c>
      <c r="E535" s="3" t="s">
        <v>16</v>
      </c>
      <c r="F535" s="3" t="s">
        <v>25</v>
      </c>
      <c r="G535" s="3" t="s">
        <v>36</v>
      </c>
      <c r="H535" s="3">
        <v>10860</v>
      </c>
      <c r="I535" s="3" t="s">
        <v>19</v>
      </c>
      <c r="J535" s="3">
        <v>0.2</v>
      </c>
      <c r="K535" s="3">
        <v>9000</v>
      </c>
      <c r="L535" s="27">
        <v>45330</v>
      </c>
      <c r="M535" t="str">
        <f t="shared" si="7"/>
        <v>Target Achieved</v>
      </c>
    </row>
    <row r="536" spans="1:13" x14ac:dyDescent="0.35">
      <c r="A536" s="33" t="s">
        <v>730</v>
      </c>
      <c r="B536" s="3" t="s">
        <v>137</v>
      </c>
      <c r="C536" s="3" t="s">
        <v>44</v>
      </c>
      <c r="D536" s="3" t="s">
        <v>45</v>
      </c>
      <c r="E536" s="3" t="s">
        <v>32</v>
      </c>
      <c r="F536" s="3" t="s">
        <v>25</v>
      </c>
      <c r="G536" s="3" t="s">
        <v>36</v>
      </c>
      <c r="H536" s="3">
        <v>11841</v>
      </c>
      <c r="I536" s="3" t="s">
        <v>19</v>
      </c>
      <c r="J536" s="3">
        <v>0.2</v>
      </c>
      <c r="K536" s="3">
        <v>13000</v>
      </c>
      <c r="L536" s="27">
        <v>45318</v>
      </c>
      <c r="M536" t="str">
        <f t="shared" si="7"/>
        <v>Below Target</v>
      </c>
    </row>
    <row r="537" spans="1:13" x14ac:dyDescent="0.35">
      <c r="A537" s="33" t="s">
        <v>731</v>
      </c>
      <c r="B537" s="3" t="s">
        <v>103</v>
      </c>
      <c r="C537" s="3" t="s">
        <v>30</v>
      </c>
      <c r="D537" s="3" t="s">
        <v>31</v>
      </c>
      <c r="E537" s="3" t="s">
        <v>16</v>
      </c>
      <c r="F537" s="3" t="s">
        <v>17</v>
      </c>
      <c r="G537" s="3" t="s">
        <v>36</v>
      </c>
      <c r="H537" s="3">
        <v>15972</v>
      </c>
      <c r="I537" s="3" t="s">
        <v>22</v>
      </c>
      <c r="J537" s="3">
        <v>0.1</v>
      </c>
      <c r="K537" s="3">
        <v>17000</v>
      </c>
      <c r="L537" s="27">
        <v>45295</v>
      </c>
      <c r="M537" t="str">
        <f t="shared" si="7"/>
        <v>Below Target</v>
      </c>
    </row>
    <row r="538" spans="1:13" x14ac:dyDescent="0.35">
      <c r="A538" s="33" t="s">
        <v>732</v>
      </c>
      <c r="B538" s="3" t="s">
        <v>617</v>
      </c>
      <c r="C538" s="3" t="s">
        <v>61</v>
      </c>
      <c r="D538" s="3" t="s">
        <v>62</v>
      </c>
      <c r="E538" s="3" t="s">
        <v>32</v>
      </c>
      <c r="F538" s="3" t="s">
        <v>25</v>
      </c>
      <c r="G538" s="3" t="s">
        <v>36</v>
      </c>
      <c r="H538" s="3">
        <v>7015</v>
      </c>
      <c r="I538" s="3"/>
      <c r="J538" s="3"/>
      <c r="K538" s="3">
        <v>9000</v>
      </c>
      <c r="L538" s="27">
        <v>45297</v>
      </c>
      <c r="M538" t="str">
        <f t="shared" si="7"/>
        <v>Below Target</v>
      </c>
    </row>
    <row r="539" spans="1:13" x14ac:dyDescent="0.35">
      <c r="A539" s="33" t="s">
        <v>733</v>
      </c>
      <c r="B539" s="3" t="s">
        <v>142</v>
      </c>
      <c r="C539" s="3" t="s">
        <v>61</v>
      </c>
      <c r="D539" s="3" t="s">
        <v>62</v>
      </c>
      <c r="E539" s="3" t="s">
        <v>32</v>
      </c>
      <c r="F539" s="3" t="s">
        <v>25</v>
      </c>
      <c r="G539" s="3" t="s">
        <v>18</v>
      </c>
      <c r="H539" s="3">
        <v>7847</v>
      </c>
      <c r="I539" s="3" t="s">
        <v>19</v>
      </c>
      <c r="J539" s="3">
        <v>0.2</v>
      </c>
      <c r="K539" s="3">
        <v>9000</v>
      </c>
      <c r="L539" s="27">
        <v>45332</v>
      </c>
      <c r="M539" t="str">
        <f t="shared" si="7"/>
        <v>Below Target</v>
      </c>
    </row>
    <row r="540" spans="1:13" x14ac:dyDescent="0.35">
      <c r="A540" s="33" t="s">
        <v>734</v>
      </c>
      <c r="B540" s="3" t="s">
        <v>222</v>
      </c>
      <c r="C540" s="3" t="s">
        <v>61</v>
      </c>
      <c r="D540" s="3" t="s">
        <v>62</v>
      </c>
      <c r="E540" s="3" t="s">
        <v>32</v>
      </c>
      <c r="F540" s="3" t="s">
        <v>17</v>
      </c>
      <c r="G540" s="3" t="s">
        <v>36</v>
      </c>
      <c r="H540" s="3">
        <v>8928</v>
      </c>
      <c r="I540" s="3"/>
      <c r="J540" s="3"/>
      <c r="K540" s="3">
        <v>9000</v>
      </c>
      <c r="L540" s="27">
        <v>45349</v>
      </c>
      <c r="M540" t="str">
        <f t="shared" si="7"/>
        <v>Below Target</v>
      </c>
    </row>
    <row r="541" spans="1:13" x14ac:dyDescent="0.35">
      <c r="A541" s="33" t="s">
        <v>735</v>
      </c>
      <c r="B541" s="3" t="s">
        <v>278</v>
      </c>
      <c r="C541" s="3" t="s">
        <v>14</v>
      </c>
      <c r="D541" s="3" t="s">
        <v>15</v>
      </c>
      <c r="E541" s="3" t="s">
        <v>16</v>
      </c>
      <c r="F541" s="3" t="s">
        <v>39</v>
      </c>
      <c r="G541" s="3" t="s">
        <v>36</v>
      </c>
      <c r="H541" s="3">
        <v>12757</v>
      </c>
      <c r="I541" s="3" t="s">
        <v>33</v>
      </c>
      <c r="J541" s="3">
        <v>0.3</v>
      </c>
      <c r="K541" s="3">
        <v>14000</v>
      </c>
      <c r="L541" s="27">
        <v>45348</v>
      </c>
      <c r="M541" t="str">
        <f t="shared" si="7"/>
        <v>Below Target</v>
      </c>
    </row>
    <row r="542" spans="1:13" x14ac:dyDescent="0.35">
      <c r="A542" s="33" t="s">
        <v>736</v>
      </c>
      <c r="B542" s="3" t="s">
        <v>474</v>
      </c>
      <c r="C542" s="3" t="s">
        <v>44</v>
      </c>
      <c r="D542" s="3" t="s">
        <v>45</v>
      </c>
      <c r="E542" s="3" t="s">
        <v>46</v>
      </c>
      <c r="F542" s="3" t="s">
        <v>25</v>
      </c>
      <c r="G542" s="3" t="s">
        <v>36</v>
      </c>
      <c r="H542" s="3">
        <v>12801</v>
      </c>
      <c r="I542" s="3"/>
      <c r="J542" s="3"/>
      <c r="K542" s="3">
        <v>13000</v>
      </c>
      <c r="L542" s="27">
        <v>45308</v>
      </c>
      <c r="M542" t="str">
        <f t="shared" si="7"/>
        <v>Below Target</v>
      </c>
    </row>
    <row r="543" spans="1:13" x14ac:dyDescent="0.35">
      <c r="A543" s="33" t="s">
        <v>737</v>
      </c>
      <c r="B543" s="3" t="s">
        <v>171</v>
      </c>
      <c r="C543" s="3" t="s">
        <v>30</v>
      </c>
      <c r="D543" s="3" t="s">
        <v>31</v>
      </c>
      <c r="E543" s="3" t="s">
        <v>16</v>
      </c>
      <c r="F543" s="3" t="s">
        <v>25</v>
      </c>
      <c r="G543" s="3" t="s">
        <v>18</v>
      </c>
      <c r="H543" s="3">
        <v>18081</v>
      </c>
      <c r="I543" s="3" t="s">
        <v>22</v>
      </c>
      <c r="J543" s="3">
        <v>0.1</v>
      </c>
      <c r="K543" s="3">
        <v>17000</v>
      </c>
      <c r="L543" s="27">
        <v>45297</v>
      </c>
      <c r="M543" t="str">
        <f t="shared" si="7"/>
        <v>Target Achieved</v>
      </c>
    </row>
    <row r="544" spans="1:13" x14ac:dyDescent="0.35">
      <c r="A544" s="33" t="s">
        <v>738</v>
      </c>
      <c r="B544" s="3" t="s">
        <v>317</v>
      </c>
      <c r="C544" s="3" t="s">
        <v>61</v>
      </c>
      <c r="D544" s="3" t="s">
        <v>62</v>
      </c>
      <c r="E544" s="3" t="s">
        <v>16</v>
      </c>
      <c r="F544" s="3" t="s">
        <v>25</v>
      </c>
      <c r="G544" s="3" t="s">
        <v>26</v>
      </c>
      <c r="H544" s="3">
        <v>7249</v>
      </c>
      <c r="I544" s="3"/>
      <c r="J544" s="3"/>
      <c r="K544" s="3">
        <v>9000</v>
      </c>
      <c r="L544" s="27">
        <v>45344</v>
      </c>
      <c r="M544" t="str">
        <f t="shared" ref="M544:M607" si="8">IF(H544&gt;=K544,"Target Achieved","Below Target")</f>
        <v>Below Target</v>
      </c>
    </row>
    <row r="545" spans="1:13" x14ac:dyDescent="0.35">
      <c r="A545" s="33" t="s">
        <v>739</v>
      </c>
      <c r="B545" s="3" t="s">
        <v>388</v>
      </c>
      <c r="C545" s="3" t="s">
        <v>61</v>
      </c>
      <c r="D545" s="3" t="s">
        <v>62</v>
      </c>
      <c r="E545" s="3" t="s">
        <v>16</v>
      </c>
      <c r="F545" s="3" t="s">
        <v>25</v>
      </c>
      <c r="G545" s="3" t="s">
        <v>36</v>
      </c>
      <c r="H545" s="3">
        <v>8224</v>
      </c>
      <c r="I545" s="3" t="s">
        <v>22</v>
      </c>
      <c r="J545" s="3">
        <v>0.1</v>
      </c>
      <c r="K545" s="3">
        <v>9000</v>
      </c>
      <c r="L545" s="27">
        <v>45317</v>
      </c>
      <c r="M545" t="str">
        <f t="shared" si="8"/>
        <v>Below Target</v>
      </c>
    </row>
    <row r="546" spans="1:13" x14ac:dyDescent="0.35">
      <c r="A546" s="33" t="s">
        <v>740</v>
      </c>
      <c r="B546" s="3" t="s">
        <v>454</v>
      </c>
      <c r="C546" s="3" t="s">
        <v>14</v>
      </c>
      <c r="D546" s="3" t="s">
        <v>15</v>
      </c>
      <c r="E546" s="3" t="s">
        <v>16</v>
      </c>
      <c r="F546" s="3" t="s">
        <v>39</v>
      </c>
      <c r="G546" s="3" t="s">
        <v>26</v>
      </c>
      <c r="H546" s="3">
        <v>15278</v>
      </c>
      <c r="I546" s="3" t="s">
        <v>27</v>
      </c>
      <c r="J546" s="3"/>
      <c r="K546" s="3">
        <v>14000</v>
      </c>
      <c r="L546" s="27">
        <v>45335</v>
      </c>
      <c r="M546" t="str">
        <f t="shared" si="8"/>
        <v>Target Achieved</v>
      </c>
    </row>
    <row r="547" spans="1:13" x14ac:dyDescent="0.35">
      <c r="A547" s="33" t="s">
        <v>741</v>
      </c>
      <c r="B547" s="3" t="s">
        <v>373</v>
      </c>
      <c r="C547" s="3" t="s">
        <v>14</v>
      </c>
      <c r="D547" s="3" t="s">
        <v>15</v>
      </c>
      <c r="E547" s="3" t="s">
        <v>46</v>
      </c>
      <c r="F547" s="3" t="s">
        <v>25</v>
      </c>
      <c r="G547" s="3" t="s">
        <v>18</v>
      </c>
      <c r="H547" s="3">
        <v>15981</v>
      </c>
      <c r="I547" s="3" t="s">
        <v>19</v>
      </c>
      <c r="J547" s="3">
        <v>0.2</v>
      </c>
      <c r="K547" s="3">
        <v>14000</v>
      </c>
      <c r="L547" s="27">
        <v>45343</v>
      </c>
      <c r="M547" t="str">
        <f t="shared" si="8"/>
        <v>Target Achieved</v>
      </c>
    </row>
    <row r="548" spans="1:13" x14ac:dyDescent="0.35">
      <c r="A548" s="33" t="s">
        <v>742</v>
      </c>
      <c r="B548" s="3" t="s">
        <v>235</v>
      </c>
      <c r="C548" s="3" t="s">
        <v>14</v>
      </c>
      <c r="D548" s="3" t="s">
        <v>15</v>
      </c>
      <c r="E548" s="3" t="s">
        <v>46</v>
      </c>
      <c r="F548" s="3" t="s">
        <v>25</v>
      </c>
      <c r="G548" s="3" t="s">
        <v>26</v>
      </c>
      <c r="H548" s="3">
        <v>13783</v>
      </c>
      <c r="I548" s="3" t="s">
        <v>19</v>
      </c>
      <c r="J548" s="3">
        <v>0.2</v>
      </c>
      <c r="K548" s="3">
        <v>14000</v>
      </c>
      <c r="L548" s="27">
        <v>45344</v>
      </c>
      <c r="M548" t="str">
        <f t="shared" si="8"/>
        <v>Below Target</v>
      </c>
    </row>
    <row r="549" spans="1:13" x14ac:dyDescent="0.35">
      <c r="A549" s="33" t="s">
        <v>743</v>
      </c>
      <c r="B549" s="3" t="s">
        <v>422</v>
      </c>
      <c r="C549" s="3" t="s">
        <v>30</v>
      </c>
      <c r="D549" s="3" t="s">
        <v>31</v>
      </c>
      <c r="E549" s="3" t="s">
        <v>46</v>
      </c>
      <c r="F549" s="3" t="s">
        <v>39</v>
      </c>
      <c r="G549" s="3" t="s">
        <v>18</v>
      </c>
      <c r="H549" s="3">
        <v>15356</v>
      </c>
      <c r="I549" s="3"/>
      <c r="J549" s="3"/>
      <c r="K549" s="3">
        <v>17000</v>
      </c>
      <c r="L549" s="27">
        <v>45327</v>
      </c>
      <c r="M549" t="str">
        <f t="shared" si="8"/>
        <v>Below Target</v>
      </c>
    </row>
    <row r="550" spans="1:13" x14ac:dyDescent="0.35">
      <c r="A550" s="33" t="s">
        <v>744</v>
      </c>
      <c r="B550" s="3" t="s">
        <v>512</v>
      </c>
      <c r="C550" s="3" t="s">
        <v>30</v>
      </c>
      <c r="D550" s="3" t="s">
        <v>31</v>
      </c>
      <c r="E550" s="3" t="s">
        <v>46</v>
      </c>
      <c r="F550" s="3" t="s">
        <v>39</v>
      </c>
      <c r="G550" s="3" t="s">
        <v>36</v>
      </c>
      <c r="H550" s="3">
        <v>18756</v>
      </c>
      <c r="I550" s="3" t="s">
        <v>22</v>
      </c>
      <c r="J550" s="3">
        <v>0.1</v>
      </c>
      <c r="K550" s="3">
        <v>17000</v>
      </c>
      <c r="L550" s="27">
        <v>45342</v>
      </c>
      <c r="M550" t="str">
        <f t="shared" si="8"/>
        <v>Target Achieved</v>
      </c>
    </row>
    <row r="551" spans="1:13" x14ac:dyDescent="0.35">
      <c r="A551" s="33" t="s">
        <v>745</v>
      </c>
      <c r="B551" s="3" t="s">
        <v>672</v>
      </c>
      <c r="C551" s="3" t="s">
        <v>61</v>
      </c>
      <c r="D551" s="3" t="s">
        <v>62</v>
      </c>
      <c r="E551" s="3" t="s">
        <v>32</v>
      </c>
      <c r="F551" s="3" t="s">
        <v>17</v>
      </c>
      <c r="G551" s="3" t="s">
        <v>18</v>
      </c>
      <c r="H551" s="3">
        <v>7607</v>
      </c>
      <c r="I551" s="3" t="s">
        <v>27</v>
      </c>
      <c r="J551" s="3"/>
      <c r="K551" s="3">
        <v>9000</v>
      </c>
      <c r="L551" s="27">
        <v>45329</v>
      </c>
      <c r="M551" t="str">
        <f t="shared" si="8"/>
        <v>Below Target</v>
      </c>
    </row>
    <row r="552" spans="1:13" x14ac:dyDescent="0.35">
      <c r="A552" s="33" t="s">
        <v>746</v>
      </c>
      <c r="B552" s="3" t="s">
        <v>579</v>
      </c>
      <c r="C552" s="3" t="s">
        <v>14</v>
      </c>
      <c r="D552" s="3" t="s">
        <v>15</v>
      </c>
      <c r="E552" s="3" t="s">
        <v>32</v>
      </c>
      <c r="F552" s="3" t="s">
        <v>39</v>
      </c>
      <c r="G552" s="3" t="s">
        <v>18</v>
      </c>
      <c r="H552" s="3">
        <v>15218</v>
      </c>
      <c r="I552" s="3" t="s">
        <v>33</v>
      </c>
      <c r="J552" s="3">
        <v>0.3</v>
      </c>
      <c r="K552" s="3">
        <v>14000</v>
      </c>
      <c r="L552" s="27">
        <v>45347</v>
      </c>
      <c r="M552" t="str">
        <f t="shared" si="8"/>
        <v>Target Achieved</v>
      </c>
    </row>
    <row r="553" spans="1:13" x14ac:dyDescent="0.35">
      <c r="A553" s="33" t="s">
        <v>747</v>
      </c>
      <c r="B553" s="3" t="s">
        <v>217</v>
      </c>
      <c r="C553" s="3" t="s">
        <v>61</v>
      </c>
      <c r="D553" s="3" t="s">
        <v>62</v>
      </c>
      <c r="E553" s="3" t="s">
        <v>46</v>
      </c>
      <c r="F553" s="3" t="s">
        <v>17</v>
      </c>
      <c r="G553" s="3" t="s">
        <v>26</v>
      </c>
      <c r="H553" s="3">
        <v>8988</v>
      </c>
      <c r="I553" s="3" t="s">
        <v>27</v>
      </c>
      <c r="J553" s="3"/>
      <c r="K553" s="3">
        <v>9000</v>
      </c>
      <c r="L553" s="27">
        <v>45330</v>
      </c>
      <c r="M553" t="str">
        <f t="shared" si="8"/>
        <v>Below Target</v>
      </c>
    </row>
    <row r="554" spans="1:13" x14ac:dyDescent="0.35">
      <c r="A554" s="33" t="s">
        <v>748</v>
      </c>
      <c r="B554" s="3" t="s">
        <v>711</v>
      </c>
      <c r="C554" s="3" t="s">
        <v>44</v>
      </c>
      <c r="D554" s="3" t="s">
        <v>45</v>
      </c>
      <c r="E554" s="3" t="s">
        <v>46</v>
      </c>
      <c r="F554" s="3" t="s">
        <v>17</v>
      </c>
      <c r="G554" s="3" t="s">
        <v>18</v>
      </c>
      <c r="H554" s="3">
        <v>13532</v>
      </c>
      <c r="I554" s="3" t="s">
        <v>27</v>
      </c>
      <c r="J554" s="3"/>
      <c r="K554" s="3">
        <v>13000</v>
      </c>
      <c r="L554" s="27">
        <v>45335</v>
      </c>
      <c r="M554" t="str">
        <f t="shared" si="8"/>
        <v>Target Achieved</v>
      </c>
    </row>
    <row r="555" spans="1:13" x14ac:dyDescent="0.35">
      <c r="A555" s="33" t="s">
        <v>749</v>
      </c>
      <c r="B555" s="3" t="s">
        <v>127</v>
      </c>
      <c r="C555" s="3" t="s">
        <v>14</v>
      </c>
      <c r="D555" s="3" t="s">
        <v>15</v>
      </c>
      <c r="E555" s="3" t="s">
        <v>46</v>
      </c>
      <c r="F555" s="3" t="s">
        <v>17</v>
      </c>
      <c r="G555" s="3" t="s">
        <v>26</v>
      </c>
      <c r="H555" s="3">
        <v>12973</v>
      </c>
      <c r="I555" s="3" t="s">
        <v>22</v>
      </c>
      <c r="J555" s="3">
        <v>0.1</v>
      </c>
      <c r="K555" s="3">
        <v>14000</v>
      </c>
      <c r="L555" s="27">
        <v>45339</v>
      </c>
      <c r="M555" t="str">
        <f t="shared" si="8"/>
        <v>Below Target</v>
      </c>
    </row>
    <row r="556" spans="1:13" x14ac:dyDescent="0.35">
      <c r="A556" s="33" t="s">
        <v>750</v>
      </c>
      <c r="B556" s="3" t="s">
        <v>123</v>
      </c>
      <c r="C556" s="3" t="s">
        <v>30</v>
      </c>
      <c r="D556" s="3" t="s">
        <v>31</v>
      </c>
      <c r="E556" s="3" t="s">
        <v>32</v>
      </c>
      <c r="F556" s="3" t="s">
        <v>17</v>
      </c>
      <c r="G556" s="3" t="s">
        <v>36</v>
      </c>
      <c r="H556" s="3">
        <v>16273</v>
      </c>
      <c r="I556" s="3" t="s">
        <v>33</v>
      </c>
      <c r="J556" s="3">
        <v>0.3</v>
      </c>
      <c r="K556" s="3">
        <v>17000</v>
      </c>
      <c r="L556" s="27">
        <v>45345</v>
      </c>
      <c r="M556" t="str">
        <f t="shared" si="8"/>
        <v>Below Target</v>
      </c>
    </row>
    <row r="557" spans="1:13" x14ac:dyDescent="0.35">
      <c r="A557" s="33" t="s">
        <v>751</v>
      </c>
      <c r="B557" s="3" t="s">
        <v>752</v>
      </c>
      <c r="C557" s="3" t="s">
        <v>14</v>
      </c>
      <c r="D557" s="3" t="s">
        <v>15</v>
      </c>
      <c r="E557" s="3" t="s">
        <v>32</v>
      </c>
      <c r="F557" s="3" t="s">
        <v>25</v>
      </c>
      <c r="G557" s="3" t="s">
        <v>36</v>
      </c>
      <c r="H557" s="3">
        <v>15990</v>
      </c>
      <c r="I557" s="3"/>
      <c r="J557" s="3"/>
      <c r="K557" s="3">
        <v>14000</v>
      </c>
      <c r="L557" s="27">
        <v>45341</v>
      </c>
      <c r="M557" t="str">
        <f t="shared" si="8"/>
        <v>Target Achieved</v>
      </c>
    </row>
    <row r="558" spans="1:13" x14ac:dyDescent="0.35">
      <c r="A558" s="33" t="s">
        <v>753</v>
      </c>
      <c r="B558" s="3" t="s">
        <v>303</v>
      </c>
      <c r="C558" s="3" t="s">
        <v>30</v>
      </c>
      <c r="D558" s="3" t="s">
        <v>31</v>
      </c>
      <c r="E558" s="3" t="s">
        <v>16</v>
      </c>
      <c r="F558" s="3" t="s">
        <v>17</v>
      </c>
      <c r="G558" s="3" t="s">
        <v>26</v>
      </c>
      <c r="H558" s="3">
        <v>17644</v>
      </c>
      <c r="I558" s="3" t="s">
        <v>22</v>
      </c>
      <c r="J558" s="3">
        <v>0.1</v>
      </c>
      <c r="K558" s="3">
        <v>17000</v>
      </c>
      <c r="L558" s="27">
        <v>45304</v>
      </c>
      <c r="M558" t="str">
        <f t="shared" si="8"/>
        <v>Target Achieved</v>
      </c>
    </row>
    <row r="559" spans="1:13" x14ac:dyDescent="0.35">
      <c r="A559" s="33" t="s">
        <v>754</v>
      </c>
      <c r="B559" s="3" t="s">
        <v>211</v>
      </c>
      <c r="C559" s="3" t="s">
        <v>61</v>
      </c>
      <c r="D559" s="3" t="s">
        <v>62</v>
      </c>
      <c r="E559" s="3" t="s">
        <v>16</v>
      </c>
      <c r="F559" s="3" t="s">
        <v>17</v>
      </c>
      <c r="G559" s="3" t="s">
        <v>26</v>
      </c>
      <c r="H559" s="3">
        <v>10552</v>
      </c>
      <c r="I559" s="3" t="s">
        <v>33</v>
      </c>
      <c r="J559" s="3">
        <v>0.3</v>
      </c>
      <c r="K559" s="3">
        <v>9000</v>
      </c>
      <c r="L559" s="27">
        <v>45344</v>
      </c>
      <c r="M559" t="str">
        <f t="shared" si="8"/>
        <v>Target Achieved</v>
      </c>
    </row>
    <row r="560" spans="1:13" x14ac:dyDescent="0.35">
      <c r="A560" s="33" t="s">
        <v>755</v>
      </c>
      <c r="B560" s="3" t="s">
        <v>166</v>
      </c>
      <c r="C560" s="3" t="s">
        <v>44</v>
      </c>
      <c r="D560" s="3" t="s">
        <v>45</v>
      </c>
      <c r="E560" s="3" t="s">
        <v>32</v>
      </c>
      <c r="F560" s="3" t="s">
        <v>17</v>
      </c>
      <c r="G560" s="3" t="s">
        <v>26</v>
      </c>
      <c r="H560" s="3">
        <v>13075</v>
      </c>
      <c r="I560" s="3"/>
      <c r="J560" s="3"/>
      <c r="K560" s="3">
        <v>13000</v>
      </c>
      <c r="L560" s="27">
        <v>45300</v>
      </c>
      <c r="M560" t="str">
        <f t="shared" si="8"/>
        <v>Target Achieved</v>
      </c>
    </row>
    <row r="561" spans="1:13" x14ac:dyDescent="0.35">
      <c r="A561" s="33" t="s">
        <v>756</v>
      </c>
      <c r="B561" s="3" t="s">
        <v>140</v>
      </c>
      <c r="C561" s="3" t="s">
        <v>14</v>
      </c>
      <c r="D561" s="3" t="s">
        <v>15</v>
      </c>
      <c r="E561" s="3" t="s">
        <v>32</v>
      </c>
      <c r="F561" s="3" t="s">
        <v>25</v>
      </c>
      <c r="G561" s="3" t="s">
        <v>18</v>
      </c>
      <c r="H561" s="3">
        <v>15428</v>
      </c>
      <c r="I561" s="3" t="s">
        <v>22</v>
      </c>
      <c r="J561" s="3">
        <v>0.1</v>
      </c>
      <c r="K561" s="3">
        <v>14000</v>
      </c>
      <c r="L561" s="27">
        <v>45307</v>
      </c>
      <c r="M561" t="str">
        <f t="shared" si="8"/>
        <v>Target Achieved</v>
      </c>
    </row>
    <row r="562" spans="1:13" x14ac:dyDescent="0.35">
      <c r="A562" s="33" t="s">
        <v>757</v>
      </c>
      <c r="B562" s="3" t="s">
        <v>489</v>
      </c>
      <c r="C562" s="3" t="s">
        <v>14</v>
      </c>
      <c r="D562" s="3" t="s">
        <v>15</v>
      </c>
      <c r="E562" s="3" t="s">
        <v>46</v>
      </c>
      <c r="F562" s="3" t="s">
        <v>39</v>
      </c>
      <c r="G562" s="3" t="s">
        <v>18</v>
      </c>
      <c r="H562" s="3">
        <v>13122</v>
      </c>
      <c r="I562" s="3" t="s">
        <v>33</v>
      </c>
      <c r="J562" s="3">
        <v>0.3</v>
      </c>
      <c r="K562" s="3">
        <v>14000</v>
      </c>
      <c r="L562" s="27">
        <v>45344</v>
      </c>
      <c r="M562" t="str">
        <f t="shared" si="8"/>
        <v>Below Target</v>
      </c>
    </row>
    <row r="563" spans="1:13" x14ac:dyDescent="0.35">
      <c r="A563" s="33" t="s">
        <v>758</v>
      </c>
      <c r="B563" s="3" t="s">
        <v>330</v>
      </c>
      <c r="C563" s="3" t="s">
        <v>61</v>
      </c>
      <c r="D563" s="3" t="s">
        <v>62</v>
      </c>
      <c r="E563" s="3" t="s">
        <v>16</v>
      </c>
      <c r="F563" s="3" t="s">
        <v>25</v>
      </c>
      <c r="G563" s="3" t="s">
        <v>26</v>
      </c>
      <c r="H563" s="3">
        <v>7125</v>
      </c>
      <c r="I563" s="3" t="s">
        <v>19</v>
      </c>
      <c r="J563" s="3">
        <v>0.2</v>
      </c>
      <c r="K563" s="3">
        <v>9000</v>
      </c>
      <c r="L563" s="27">
        <v>45315</v>
      </c>
      <c r="M563" t="str">
        <f t="shared" si="8"/>
        <v>Below Target</v>
      </c>
    </row>
    <row r="564" spans="1:13" x14ac:dyDescent="0.35">
      <c r="A564" s="33" t="s">
        <v>759</v>
      </c>
      <c r="B564" s="3" t="s">
        <v>600</v>
      </c>
      <c r="C564" s="3" t="s">
        <v>61</v>
      </c>
      <c r="D564" s="3" t="s">
        <v>62</v>
      </c>
      <c r="E564" s="3" t="s">
        <v>32</v>
      </c>
      <c r="F564" s="3" t="s">
        <v>17</v>
      </c>
      <c r="G564" s="3" t="s">
        <v>26</v>
      </c>
      <c r="H564" s="3">
        <v>9258</v>
      </c>
      <c r="I564" s="3" t="s">
        <v>33</v>
      </c>
      <c r="J564" s="3">
        <v>0.3</v>
      </c>
      <c r="K564" s="3">
        <v>9000</v>
      </c>
      <c r="L564" s="27">
        <v>45314</v>
      </c>
      <c r="M564" t="str">
        <f t="shared" si="8"/>
        <v>Target Achieved</v>
      </c>
    </row>
    <row r="565" spans="1:13" x14ac:dyDescent="0.35">
      <c r="A565" s="33" t="s">
        <v>760</v>
      </c>
      <c r="B565" s="3" t="s">
        <v>619</v>
      </c>
      <c r="C565" s="3" t="s">
        <v>30</v>
      </c>
      <c r="D565" s="3" t="s">
        <v>31</v>
      </c>
      <c r="E565" s="3" t="s">
        <v>16</v>
      </c>
      <c r="F565" s="3" t="s">
        <v>39</v>
      </c>
      <c r="G565" s="3" t="s">
        <v>18</v>
      </c>
      <c r="H565" s="3">
        <v>16167</v>
      </c>
      <c r="I565" s="3" t="s">
        <v>22</v>
      </c>
      <c r="J565" s="3">
        <v>0.1</v>
      </c>
      <c r="K565" s="3">
        <v>17000</v>
      </c>
      <c r="L565" s="27">
        <v>45316</v>
      </c>
      <c r="M565" t="str">
        <f t="shared" si="8"/>
        <v>Below Target</v>
      </c>
    </row>
    <row r="566" spans="1:13" x14ac:dyDescent="0.35">
      <c r="A566" s="33" t="s">
        <v>761</v>
      </c>
      <c r="B566" s="3" t="s">
        <v>243</v>
      </c>
      <c r="C566" s="3" t="s">
        <v>44</v>
      </c>
      <c r="D566" s="3" t="s">
        <v>45</v>
      </c>
      <c r="E566" s="3" t="s">
        <v>32</v>
      </c>
      <c r="F566" s="3" t="s">
        <v>39</v>
      </c>
      <c r="G566" s="3" t="s">
        <v>18</v>
      </c>
      <c r="H566" s="3">
        <v>13775</v>
      </c>
      <c r="I566" s="3" t="s">
        <v>19</v>
      </c>
      <c r="J566" s="3">
        <v>0.2</v>
      </c>
      <c r="K566" s="3">
        <v>13000</v>
      </c>
      <c r="L566" s="27">
        <v>45309</v>
      </c>
      <c r="M566" t="str">
        <f t="shared" si="8"/>
        <v>Target Achieved</v>
      </c>
    </row>
    <row r="567" spans="1:13" x14ac:dyDescent="0.35">
      <c r="A567" s="33" t="s">
        <v>762</v>
      </c>
      <c r="B567" s="3" t="s">
        <v>90</v>
      </c>
      <c r="C567" s="3" t="s">
        <v>14</v>
      </c>
      <c r="D567" s="3" t="s">
        <v>15</v>
      </c>
      <c r="E567" s="3" t="s">
        <v>16</v>
      </c>
      <c r="F567" s="3" t="s">
        <v>25</v>
      </c>
      <c r="G567" s="3" t="s">
        <v>36</v>
      </c>
      <c r="H567" s="3">
        <v>15733</v>
      </c>
      <c r="I567" s="3" t="s">
        <v>19</v>
      </c>
      <c r="J567" s="3">
        <v>0.2</v>
      </c>
      <c r="K567" s="3">
        <v>14000</v>
      </c>
      <c r="L567" s="27">
        <v>45333</v>
      </c>
      <c r="M567" t="str">
        <f t="shared" si="8"/>
        <v>Target Achieved</v>
      </c>
    </row>
    <row r="568" spans="1:13" x14ac:dyDescent="0.35">
      <c r="A568" s="33" t="s">
        <v>763</v>
      </c>
      <c r="B568" s="3" t="s">
        <v>720</v>
      </c>
      <c r="C568" s="3" t="s">
        <v>14</v>
      </c>
      <c r="D568" s="3" t="s">
        <v>15</v>
      </c>
      <c r="E568" s="3" t="s">
        <v>32</v>
      </c>
      <c r="F568" s="3" t="s">
        <v>17</v>
      </c>
      <c r="G568" s="3" t="s">
        <v>26</v>
      </c>
      <c r="H568" s="3">
        <v>15297</v>
      </c>
      <c r="I568" s="3" t="s">
        <v>33</v>
      </c>
      <c r="J568" s="3">
        <v>0.3</v>
      </c>
      <c r="K568" s="3">
        <v>14000</v>
      </c>
      <c r="L568" s="27">
        <v>45337</v>
      </c>
      <c r="M568" t="str">
        <f t="shared" si="8"/>
        <v>Target Achieved</v>
      </c>
    </row>
    <row r="569" spans="1:13" x14ac:dyDescent="0.35">
      <c r="A569" s="33" t="s">
        <v>764</v>
      </c>
      <c r="B569" s="3" t="s">
        <v>765</v>
      </c>
      <c r="C569" s="3" t="s">
        <v>30</v>
      </c>
      <c r="D569" s="3" t="s">
        <v>31</v>
      </c>
      <c r="E569" s="3" t="s">
        <v>46</v>
      </c>
      <c r="F569" s="3" t="s">
        <v>17</v>
      </c>
      <c r="G569" s="3" t="s">
        <v>36</v>
      </c>
      <c r="H569" s="3">
        <v>16880</v>
      </c>
      <c r="I569" s="3" t="s">
        <v>33</v>
      </c>
      <c r="J569" s="3">
        <v>0.3</v>
      </c>
      <c r="K569" s="3">
        <v>17000</v>
      </c>
      <c r="L569" s="27">
        <v>45305</v>
      </c>
      <c r="M569" t="str">
        <f t="shared" si="8"/>
        <v>Below Target</v>
      </c>
    </row>
    <row r="570" spans="1:13" x14ac:dyDescent="0.35">
      <c r="A570" s="33" t="s">
        <v>766</v>
      </c>
      <c r="B570" s="3" t="s">
        <v>123</v>
      </c>
      <c r="C570" s="3" t="s">
        <v>61</v>
      </c>
      <c r="D570" s="3" t="s">
        <v>62</v>
      </c>
      <c r="E570" s="3" t="s">
        <v>16</v>
      </c>
      <c r="F570" s="3" t="s">
        <v>25</v>
      </c>
      <c r="G570" s="3" t="s">
        <v>18</v>
      </c>
      <c r="H570" s="3">
        <v>9095</v>
      </c>
      <c r="I570" s="3" t="s">
        <v>33</v>
      </c>
      <c r="J570" s="3">
        <v>0.3</v>
      </c>
      <c r="K570" s="3">
        <v>9000</v>
      </c>
      <c r="L570" s="27">
        <v>45327</v>
      </c>
      <c r="M570" t="str">
        <f t="shared" si="8"/>
        <v>Target Achieved</v>
      </c>
    </row>
    <row r="571" spans="1:13" x14ac:dyDescent="0.35">
      <c r="A571" s="33" t="s">
        <v>767</v>
      </c>
      <c r="B571" s="3" t="s">
        <v>163</v>
      </c>
      <c r="C571" s="3" t="s">
        <v>30</v>
      </c>
      <c r="D571" s="3" t="s">
        <v>31</v>
      </c>
      <c r="E571" s="3" t="s">
        <v>46</v>
      </c>
      <c r="F571" s="3" t="s">
        <v>39</v>
      </c>
      <c r="G571" s="3" t="s">
        <v>18</v>
      </c>
      <c r="H571" s="3">
        <v>16973</v>
      </c>
      <c r="I571" s="3" t="s">
        <v>22</v>
      </c>
      <c r="J571" s="3">
        <v>0.1</v>
      </c>
      <c r="K571" s="3">
        <v>17000</v>
      </c>
      <c r="L571" s="27">
        <v>45313</v>
      </c>
      <c r="M571" t="str">
        <f t="shared" si="8"/>
        <v>Below Target</v>
      </c>
    </row>
    <row r="572" spans="1:13" x14ac:dyDescent="0.35">
      <c r="A572" s="33" t="s">
        <v>768</v>
      </c>
      <c r="B572" s="3" t="s">
        <v>286</v>
      </c>
      <c r="C572" s="3" t="s">
        <v>30</v>
      </c>
      <c r="D572" s="3" t="s">
        <v>31</v>
      </c>
      <c r="E572" s="3" t="s">
        <v>46</v>
      </c>
      <c r="F572" s="3" t="s">
        <v>17</v>
      </c>
      <c r="G572" s="3" t="s">
        <v>26</v>
      </c>
      <c r="H572" s="3">
        <v>17912</v>
      </c>
      <c r="I572" s="3" t="s">
        <v>33</v>
      </c>
      <c r="J572" s="3">
        <v>0.3</v>
      </c>
      <c r="K572" s="3">
        <v>17000</v>
      </c>
      <c r="L572" s="27">
        <v>45304</v>
      </c>
      <c r="M572" t="str">
        <f t="shared" si="8"/>
        <v>Target Achieved</v>
      </c>
    </row>
    <row r="573" spans="1:13" x14ac:dyDescent="0.35">
      <c r="A573" s="33" t="s">
        <v>769</v>
      </c>
      <c r="B573" s="3" t="s">
        <v>440</v>
      </c>
      <c r="C573" s="3" t="s">
        <v>44</v>
      </c>
      <c r="D573" s="3" t="s">
        <v>45</v>
      </c>
      <c r="E573" s="3" t="s">
        <v>32</v>
      </c>
      <c r="F573" s="3" t="s">
        <v>39</v>
      </c>
      <c r="G573" s="3" t="s">
        <v>36</v>
      </c>
      <c r="H573" s="3">
        <v>13705</v>
      </c>
      <c r="I573" s="3" t="s">
        <v>33</v>
      </c>
      <c r="J573" s="3">
        <v>0.3</v>
      </c>
      <c r="K573" s="3">
        <v>13000</v>
      </c>
      <c r="L573" s="27">
        <v>45335</v>
      </c>
      <c r="M573" t="str">
        <f t="shared" si="8"/>
        <v>Target Achieved</v>
      </c>
    </row>
    <row r="574" spans="1:13" x14ac:dyDescent="0.35">
      <c r="A574" s="33" t="s">
        <v>770</v>
      </c>
      <c r="B574" s="3" t="s">
        <v>280</v>
      </c>
      <c r="C574" s="3" t="s">
        <v>14</v>
      </c>
      <c r="D574" s="3" t="s">
        <v>15</v>
      </c>
      <c r="E574" s="3" t="s">
        <v>16</v>
      </c>
      <c r="F574" s="3" t="s">
        <v>17</v>
      </c>
      <c r="G574" s="3" t="s">
        <v>36</v>
      </c>
      <c r="H574" s="3">
        <v>13062</v>
      </c>
      <c r="I574" s="3"/>
      <c r="J574" s="3"/>
      <c r="K574" s="3">
        <v>14000</v>
      </c>
      <c r="L574" s="27">
        <v>45317</v>
      </c>
      <c r="M574" t="str">
        <f t="shared" si="8"/>
        <v>Below Target</v>
      </c>
    </row>
    <row r="575" spans="1:13" x14ac:dyDescent="0.35">
      <c r="A575" s="33" t="s">
        <v>771</v>
      </c>
      <c r="B575" s="3" t="s">
        <v>101</v>
      </c>
      <c r="C575" s="3" t="s">
        <v>14</v>
      </c>
      <c r="D575" s="3" t="s">
        <v>15</v>
      </c>
      <c r="E575" s="3" t="s">
        <v>16</v>
      </c>
      <c r="F575" s="3" t="s">
        <v>39</v>
      </c>
      <c r="G575" s="3" t="s">
        <v>26</v>
      </c>
      <c r="H575" s="3">
        <v>15342</v>
      </c>
      <c r="I575" s="3" t="s">
        <v>19</v>
      </c>
      <c r="J575" s="3">
        <v>0.2</v>
      </c>
      <c r="K575" s="3">
        <v>14000</v>
      </c>
      <c r="L575" s="27">
        <v>45313</v>
      </c>
      <c r="M575" t="str">
        <f t="shared" si="8"/>
        <v>Target Achieved</v>
      </c>
    </row>
    <row r="576" spans="1:13" x14ac:dyDescent="0.35">
      <c r="A576" s="33" t="s">
        <v>772</v>
      </c>
      <c r="B576" s="3" t="s">
        <v>342</v>
      </c>
      <c r="C576" s="3" t="s">
        <v>44</v>
      </c>
      <c r="D576" s="3" t="s">
        <v>45</v>
      </c>
      <c r="E576" s="3" t="s">
        <v>16</v>
      </c>
      <c r="F576" s="3" t="s">
        <v>39</v>
      </c>
      <c r="G576" s="3" t="s">
        <v>26</v>
      </c>
      <c r="H576" s="3">
        <v>14214</v>
      </c>
      <c r="I576" s="3"/>
      <c r="J576" s="3"/>
      <c r="K576" s="3">
        <v>13000</v>
      </c>
      <c r="L576" s="27">
        <v>45350</v>
      </c>
      <c r="M576" t="str">
        <f t="shared" si="8"/>
        <v>Target Achieved</v>
      </c>
    </row>
    <row r="577" spans="1:13" x14ac:dyDescent="0.35">
      <c r="A577" s="33" t="s">
        <v>773</v>
      </c>
      <c r="B577" s="3" t="s">
        <v>317</v>
      </c>
      <c r="C577" s="3" t="s">
        <v>30</v>
      </c>
      <c r="D577" s="3" t="s">
        <v>31</v>
      </c>
      <c r="E577" s="3" t="s">
        <v>32</v>
      </c>
      <c r="F577" s="3" t="s">
        <v>39</v>
      </c>
      <c r="G577" s="3" t="s">
        <v>26</v>
      </c>
      <c r="H577" s="3">
        <v>15741</v>
      </c>
      <c r="I577" s="3" t="s">
        <v>33</v>
      </c>
      <c r="J577" s="3">
        <v>0.3</v>
      </c>
      <c r="K577" s="3">
        <v>17000</v>
      </c>
      <c r="L577" s="27">
        <v>45298</v>
      </c>
      <c r="M577" t="str">
        <f t="shared" si="8"/>
        <v>Below Target</v>
      </c>
    </row>
    <row r="578" spans="1:13" x14ac:dyDescent="0.35">
      <c r="A578" s="33" t="s">
        <v>774</v>
      </c>
      <c r="B578" s="3" t="s">
        <v>508</v>
      </c>
      <c r="C578" s="3" t="s">
        <v>30</v>
      </c>
      <c r="D578" s="3" t="s">
        <v>31</v>
      </c>
      <c r="E578" s="3" t="s">
        <v>16</v>
      </c>
      <c r="F578" s="3" t="s">
        <v>39</v>
      </c>
      <c r="G578" s="3" t="s">
        <v>18</v>
      </c>
      <c r="H578" s="3">
        <v>18878</v>
      </c>
      <c r="I578" s="3" t="s">
        <v>33</v>
      </c>
      <c r="J578" s="3">
        <v>0.3</v>
      </c>
      <c r="K578" s="3">
        <v>17000</v>
      </c>
      <c r="L578" s="27">
        <v>45333</v>
      </c>
      <c r="M578" t="str">
        <f t="shared" si="8"/>
        <v>Target Achieved</v>
      </c>
    </row>
    <row r="579" spans="1:13" x14ac:dyDescent="0.35">
      <c r="A579" s="33" t="s">
        <v>775</v>
      </c>
      <c r="B579" s="3" t="s">
        <v>248</v>
      </c>
      <c r="C579" s="3" t="s">
        <v>30</v>
      </c>
      <c r="D579" s="3" t="s">
        <v>31</v>
      </c>
      <c r="E579" s="3" t="s">
        <v>32</v>
      </c>
      <c r="F579" s="3" t="s">
        <v>39</v>
      </c>
      <c r="G579" s="3" t="s">
        <v>36</v>
      </c>
      <c r="H579" s="3">
        <v>16722</v>
      </c>
      <c r="I579" s="3" t="s">
        <v>33</v>
      </c>
      <c r="J579" s="3">
        <v>0.3</v>
      </c>
      <c r="K579" s="3">
        <v>17000</v>
      </c>
      <c r="L579" s="27">
        <v>45315</v>
      </c>
      <c r="M579" t="str">
        <f t="shared" si="8"/>
        <v>Below Target</v>
      </c>
    </row>
    <row r="580" spans="1:13" x14ac:dyDescent="0.35">
      <c r="A580" s="33" t="s">
        <v>776</v>
      </c>
      <c r="B580" s="3" t="s">
        <v>118</v>
      </c>
      <c r="C580" s="3" t="s">
        <v>30</v>
      </c>
      <c r="D580" s="3" t="s">
        <v>31</v>
      </c>
      <c r="E580" s="3" t="s">
        <v>46</v>
      </c>
      <c r="F580" s="3" t="s">
        <v>25</v>
      </c>
      <c r="G580" s="3" t="s">
        <v>36</v>
      </c>
      <c r="H580" s="3">
        <v>15219</v>
      </c>
      <c r="I580" s="3" t="s">
        <v>27</v>
      </c>
      <c r="J580" s="3"/>
      <c r="K580" s="3">
        <v>17000</v>
      </c>
      <c r="L580" s="27">
        <v>45329</v>
      </c>
      <c r="M580" t="str">
        <f t="shared" si="8"/>
        <v>Below Target</v>
      </c>
    </row>
    <row r="581" spans="1:13" x14ac:dyDescent="0.35">
      <c r="A581" s="33" t="s">
        <v>777</v>
      </c>
      <c r="B581" s="3" t="s">
        <v>107</v>
      </c>
      <c r="C581" s="3" t="s">
        <v>61</v>
      </c>
      <c r="D581" s="3" t="s">
        <v>62</v>
      </c>
      <c r="E581" s="3" t="s">
        <v>32</v>
      </c>
      <c r="F581" s="3" t="s">
        <v>39</v>
      </c>
      <c r="G581" s="3" t="s">
        <v>18</v>
      </c>
      <c r="H581" s="3">
        <v>10553</v>
      </c>
      <c r="I581" s="3"/>
      <c r="J581" s="3"/>
      <c r="K581" s="3">
        <v>9000</v>
      </c>
      <c r="L581" s="27">
        <v>45325</v>
      </c>
      <c r="M581" t="str">
        <f t="shared" si="8"/>
        <v>Target Achieved</v>
      </c>
    </row>
    <row r="582" spans="1:13" x14ac:dyDescent="0.35">
      <c r="A582" s="33" t="s">
        <v>778</v>
      </c>
      <c r="B582" s="3" t="s">
        <v>70</v>
      </c>
      <c r="C582" s="3" t="s">
        <v>14</v>
      </c>
      <c r="D582" s="3" t="s">
        <v>15</v>
      </c>
      <c r="E582" s="3" t="s">
        <v>32</v>
      </c>
      <c r="F582" s="3" t="s">
        <v>25</v>
      </c>
      <c r="G582" s="3" t="s">
        <v>18</v>
      </c>
      <c r="H582" s="3">
        <v>13403</v>
      </c>
      <c r="I582" s="3"/>
      <c r="J582" s="3"/>
      <c r="K582" s="3">
        <v>14000</v>
      </c>
      <c r="L582" s="27">
        <v>45328</v>
      </c>
      <c r="M582" t="str">
        <f t="shared" si="8"/>
        <v>Below Target</v>
      </c>
    </row>
    <row r="583" spans="1:13" x14ac:dyDescent="0.35">
      <c r="A583" s="33" t="s">
        <v>779</v>
      </c>
      <c r="B583" s="3" t="s">
        <v>445</v>
      </c>
      <c r="C583" s="3" t="s">
        <v>44</v>
      </c>
      <c r="D583" s="3" t="s">
        <v>45</v>
      </c>
      <c r="E583" s="3" t="s">
        <v>46</v>
      </c>
      <c r="F583" s="3" t="s">
        <v>39</v>
      </c>
      <c r="G583" s="3" t="s">
        <v>18</v>
      </c>
      <c r="H583" s="3">
        <v>14190</v>
      </c>
      <c r="I583" s="3" t="s">
        <v>22</v>
      </c>
      <c r="J583" s="3">
        <v>0.1</v>
      </c>
      <c r="K583" s="3">
        <v>13000</v>
      </c>
      <c r="L583" s="27">
        <v>45323</v>
      </c>
      <c r="M583" t="str">
        <f t="shared" si="8"/>
        <v>Target Achieved</v>
      </c>
    </row>
    <row r="584" spans="1:13" x14ac:dyDescent="0.35">
      <c r="A584" s="33" t="s">
        <v>780</v>
      </c>
      <c r="B584" s="3" t="s">
        <v>150</v>
      </c>
      <c r="C584" s="3" t="s">
        <v>44</v>
      </c>
      <c r="D584" s="3" t="s">
        <v>45</v>
      </c>
      <c r="E584" s="3" t="s">
        <v>46</v>
      </c>
      <c r="F584" s="3" t="s">
        <v>39</v>
      </c>
      <c r="G584" s="3" t="s">
        <v>18</v>
      </c>
      <c r="H584" s="3">
        <v>11019</v>
      </c>
      <c r="I584" s="3"/>
      <c r="J584" s="3"/>
      <c r="K584" s="3">
        <v>13000</v>
      </c>
      <c r="L584" s="27">
        <v>45309</v>
      </c>
      <c r="M584" t="str">
        <f t="shared" si="8"/>
        <v>Below Target</v>
      </c>
    </row>
    <row r="585" spans="1:13" x14ac:dyDescent="0.35">
      <c r="A585" s="33" t="s">
        <v>781</v>
      </c>
      <c r="B585" s="3" t="s">
        <v>401</v>
      </c>
      <c r="C585" s="3" t="s">
        <v>44</v>
      </c>
      <c r="D585" s="3" t="s">
        <v>45</v>
      </c>
      <c r="E585" s="3" t="s">
        <v>16</v>
      </c>
      <c r="F585" s="3" t="s">
        <v>25</v>
      </c>
      <c r="G585" s="3" t="s">
        <v>36</v>
      </c>
      <c r="H585" s="3">
        <v>14216</v>
      </c>
      <c r="I585" s="3" t="s">
        <v>22</v>
      </c>
      <c r="J585" s="3">
        <v>0.1</v>
      </c>
      <c r="K585" s="3">
        <v>13000</v>
      </c>
      <c r="L585" s="27">
        <v>45300</v>
      </c>
      <c r="M585" t="str">
        <f t="shared" si="8"/>
        <v>Target Achieved</v>
      </c>
    </row>
    <row r="586" spans="1:13" x14ac:dyDescent="0.35">
      <c r="A586" s="33" t="s">
        <v>782</v>
      </c>
      <c r="B586" s="3" t="s">
        <v>337</v>
      </c>
      <c r="C586" s="3" t="s">
        <v>61</v>
      </c>
      <c r="D586" s="3" t="s">
        <v>62</v>
      </c>
      <c r="E586" s="3" t="s">
        <v>46</v>
      </c>
      <c r="F586" s="3" t="s">
        <v>17</v>
      </c>
      <c r="G586" s="3" t="s">
        <v>36</v>
      </c>
      <c r="H586" s="3">
        <v>8570</v>
      </c>
      <c r="I586" s="3" t="s">
        <v>22</v>
      </c>
      <c r="J586" s="3">
        <v>0.1</v>
      </c>
      <c r="K586" s="3">
        <v>9000</v>
      </c>
      <c r="L586" s="27">
        <v>45294</v>
      </c>
      <c r="M586" t="str">
        <f t="shared" si="8"/>
        <v>Below Target</v>
      </c>
    </row>
    <row r="587" spans="1:13" x14ac:dyDescent="0.35">
      <c r="A587" s="33" t="s">
        <v>783</v>
      </c>
      <c r="B587" s="3" t="s">
        <v>346</v>
      </c>
      <c r="C587" s="3" t="s">
        <v>30</v>
      </c>
      <c r="D587" s="3" t="s">
        <v>31</v>
      </c>
      <c r="E587" s="3" t="s">
        <v>32</v>
      </c>
      <c r="F587" s="3" t="s">
        <v>17</v>
      </c>
      <c r="G587" s="3" t="s">
        <v>26</v>
      </c>
      <c r="H587" s="3">
        <v>15780</v>
      </c>
      <c r="I587" s="3" t="s">
        <v>22</v>
      </c>
      <c r="J587" s="3">
        <v>0.1</v>
      </c>
      <c r="K587" s="3">
        <v>17000</v>
      </c>
      <c r="L587" s="27">
        <v>45335</v>
      </c>
      <c r="M587" t="str">
        <f t="shared" si="8"/>
        <v>Below Target</v>
      </c>
    </row>
    <row r="588" spans="1:13" x14ac:dyDescent="0.35">
      <c r="A588" s="33" t="s">
        <v>784</v>
      </c>
      <c r="B588" s="3" t="s">
        <v>68</v>
      </c>
      <c r="C588" s="3" t="s">
        <v>44</v>
      </c>
      <c r="D588" s="3" t="s">
        <v>45</v>
      </c>
      <c r="E588" s="3" t="s">
        <v>32</v>
      </c>
      <c r="F588" s="3" t="s">
        <v>39</v>
      </c>
      <c r="G588" s="3" t="s">
        <v>36</v>
      </c>
      <c r="H588" s="3">
        <v>12278</v>
      </c>
      <c r="I588" s="3" t="s">
        <v>19</v>
      </c>
      <c r="J588" s="3">
        <v>0.2</v>
      </c>
      <c r="K588" s="3">
        <v>13000</v>
      </c>
      <c r="L588" s="27">
        <v>45298</v>
      </c>
      <c r="M588" t="str">
        <f t="shared" si="8"/>
        <v>Below Target</v>
      </c>
    </row>
    <row r="589" spans="1:13" x14ac:dyDescent="0.35">
      <c r="A589" s="33" t="s">
        <v>785</v>
      </c>
      <c r="B589" s="3" t="s">
        <v>512</v>
      </c>
      <c r="C589" s="3" t="s">
        <v>30</v>
      </c>
      <c r="D589" s="3" t="s">
        <v>31</v>
      </c>
      <c r="E589" s="3" t="s">
        <v>32</v>
      </c>
      <c r="F589" s="3" t="s">
        <v>25</v>
      </c>
      <c r="G589" s="3" t="s">
        <v>18</v>
      </c>
      <c r="H589" s="3">
        <v>16221</v>
      </c>
      <c r="I589" s="3" t="s">
        <v>33</v>
      </c>
      <c r="J589" s="3">
        <v>0.3</v>
      </c>
      <c r="K589" s="3">
        <v>17000</v>
      </c>
      <c r="L589" s="27">
        <v>45321</v>
      </c>
      <c r="M589" t="str">
        <f t="shared" si="8"/>
        <v>Below Target</v>
      </c>
    </row>
    <row r="590" spans="1:13" x14ac:dyDescent="0.35">
      <c r="A590" s="33" t="s">
        <v>786</v>
      </c>
      <c r="B590" s="3" t="s">
        <v>103</v>
      </c>
      <c r="C590" s="3" t="s">
        <v>30</v>
      </c>
      <c r="D590" s="3" t="s">
        <v>31</v>
      </c>
      <c r="E590" s="3" t="s">
        <v>46</v>
      </c>
      <c r="F590" s="3" t="s">
        <v>39</v>
      </c>
      <c r="G590" s="3" t="s">
        <v>18</v>
      </c>
      <c r="H590" s="3">
        <v>16403</v>
      </c>
      <c r="I590" s="3"/>
      <c r="J590" s="3"/>
      <c r="K590" s="3">
        <v>17000</v>
      </c>
      <c r="L590" s="27">
        <v>45314</v>
      </c>
      <c r="M590" t="str">
        <f t="shared" si="8"/>
        <v>Below Target</v>
      </c>
    </row>
    <row r="591" spans="1:13" x14ac:dyDescent="0.35">
      <c r="A591" s="33" t="s">
        <v>787</v>
      </c>
      <c r="B591" s="3" t="s">
        <v>294</v>
      </c>
      <c r="C591" s="3" t="s">
        <v>44</v>
      </c>
      <c r="D591" s="3" t="s">
        <v>45</v>
      </c>
      <c r="E591" s="3" t="s">
        <v>46</v>
      </c>
      <c r="F591" s="3" t="s">
        <v>25</v>
      </c>
      <c r="G591" s="3" t="s">
        <v>18</v>
      </c>
      <c r="H591" s="3">
        <v>11918</v>
      </c>
      <c r="I591" s="3" t="s">
        <v>19</v>
      </c>
      <c r="J591" s="3">
        <v>0.2</v>
      </c>
      <c r="K591" s="3">
        <v>13000</v>
      </c>
      <c r="L591" s="27">
        <v>45305</v>
      </c>
      <c r="M591" t="str">
        <f t="shared" si="8"/>
        <v>Below Target</v>
      </c>
    </row>
    <row r="592" spans="1:13" x14ac:dyDescent="0.35">
      <c r="A592" s="33" t="s">
        <v>788</v>
      </c>
      <c r="B592" s="3" t="s">
        <v>464</v>
      </c>
      <c r="C592" s="3" t="s">
        <v>44</v>
      </c>
      <c r="D592" s="3" t="s">
        <v>45</v>
      </c>
      <c r="E592" s="3" t="s">
        <v>32</v>
      </c>
      <c r="F592" s="3" t="s">
        <v>17</v>
      </c>
      <c r="G592" s="3" t="s">
        <v>26</v>
      </c>
      <c r="H592" s="3">
        <v>13664</v>
      </c>
      <c r="I592" s="3" t="s">
        <v>22</v>
      </c>
      <c r="J592" s="3">
        <v>0.1</v>
      </c>
      <c r="K592" s="3">
        <v>13000</v>
      </c>
      <c r="L592" s="27">
        <v>45316</v>
      </c>
      <c r="M592" t="str">
        <f t="shared" si="8"/>
        <v>Target Achieved</v>
      </c>
    </row>
    <row r="593" spans="1:13" x14ac:dyDescent="0.35">
      <c r="A593" s="33" t="s">
        <v>789</v>
      </c>
      <c r="B593" s="3" t="s">
        <v>50</v>
      </c>
      <c r="C593" s="3" t="s">
        <v>30</v>
      </c>
      <c r="D593" s="3" t="s">
        <v>31</v>
      </c>
      <c r="E593" s="3" t="s">
        <v>16</v>
      </c>
      <c r="F593" s="3" t="s">
        <v>39</v>
      </c>
      <c r="G593" s="3" t="s">
        <v>18</v>
      </c>
      <c r="H593" s="3">
        <v>17432</v>
      </c>
      <c r="I593" s="3" t="s">
        <v>22</v>
      </c>
      <c r="J593" s="3">
        <v>0.1</v>
      </c>
      <c r="K593" s="3">
        <v>17000</v>
      </c>
      <c r="L593" s="27">
        <v>45334</v>
      </c>
      <c r="M593" t="str">
        <f t="shared" si="8"/>
        <v>Target Achieved</v>
      </c>
    </row>
    <row r="594" spans="1:13" x14ac:dyDescent="0.35">
      <c r="A594" s="33" t="s">
        <v>790</v>
      </c>
      <c r="B594" s="3" t="s">
        <v>21</v>
      </c>
      <c r="C594" s="3" t="s">
        <v>14</v>
      </c>
      <c r="D594" s="3" t="s">
        <v>15</v>
      </c>
      <c r="E594" s="3" t="s">
        <v>32</v>
      </c>
      <c r="F594" s="3" t="s">
        <v>39</v>
      </c>
      <c r="G594" s="3" t="s">
        <v>18</v>
      </c>
      <c r="H594" s="3">
        <v>13707</v>
      </c>
      <c r="I594" s="3"/>
      <c r="J594" s="3"/>
      <c r="K594" s="3">
        <v>14000</v>
      </c>
      <c r="L594" s="27">
        <v>45316</v>
      </c>
      <c r="M594" t="str">
        <f t="shared" si="8"/>
        <v>Below Target</v>
      </c>
    </row>
    <row r="595" spans="1:13" x14ac:dyDescent="0.35">
      <c r="A595" s="33" t="s">
        <v>791</v>
      </c>
      <c r="B595" s="3" t="s">
        <v>241</v>
      </c>
      <c r="C595" s="3" t="s">
        <v>30</v>
      </c>
      <c r="D595" s="3" t="s">
        <v>31</v>
      </c>
      <c r="E595" s="3" t="s">
        <v>46</v>
      </c>
      <c r="F595" s="3" t="s">
        <v>39</v>
      </c>
      <c r="G595" s="3" t="s">
        <v>18</v>
      </c>
      <c r="H595" s="3">
        <v>15841</v>
      </c>
      <c r="I595" s="3" t="s">
        <v>22</v>
      </c>
      <c r="J595" s="3">
        <v>0.1</v>
      </c>
      <c r="K595" s="3">
        <v>17000</v>
      </c>
      <c r="L595" s="27">
        <v>45311</v>
      </c>
      <c r="M595" t="str">
        <f t="shared" si="8"/>
        <v>Below Target</v>
      </c>
    </row>
    <row r="596" spans="1:13" x14ac:dyDescent="0.35">
      <c r="A596" s="33" t="s">
        <v>792</v>
      </c>
      <c r="B596" s="3" t="s">
        <v>274</v>
      </c>
      <c r="C596" s="3" t="s">
        <v>14</v>
      </c>
      <c r="D596" s="3" t="s">
        <v>15</v>
      </c>
      <c r="E596" s="3" t="s">
        <v>16</v>
      </c>
      <c r="F596" s="3" t="s">
        <v>39</v>
      </c>
      <c r="G596" s="3" t="s">
        <v>36</v>
      </c>
      <c r="H596" s="3">
        <v>14550</v>
      </c>
      <c r="I596" s="3" t="s">
        <v>27</v>
      </c>
      <c r="J596" s="3"/>
      <c r="K596" s="3">
        <v>14000</v>
      </c>
      <c r="L596" s="27">
        <v>45336</v>
      </c>
      <c r="M596" t="str">
        <f t="shared" si="8"/>
        <v>Target Achieved</v>
      </c>
    </row>
    <row r="597" spans="1:13" x14ac:dyDescent="0.35">
      <c r="A597" s="33" t="s">
        <v>793</v>
      </c>
      <c r="B597" s="3" t="s">
        <v>363</v>
      </c>
      <c r="C597" s="3" t="s">
        <v>14</v>
      </c>
      <c r="D597" s="3" t="s">
        <v>15</v>
      </c>
      <c r="E597" s="3" t="s">
        <v>16</v>
      </c>
      <c r="F597" s="3" t="s">
        <v>39</v>
      </c>
      <c r="G597" s="3" t="s">
        <v>26</v>
      </c>
      <c r="H597" s="3">
        <v>12482</v>
      </c>
      <c r="I597" s="3" t="s">
        <v>33</v>
      </c>
      <c r="J597" s="3">
        <v>0.3</v>
      </c>
      <c r="K597" s="3">
        <v>14000</v>
      </c>
      <c r="L597" s="27">
        <v>45299</v>
      </c>
      <c r="M597" t="str">
        <f t="shared" si="8"/>
        <v>Below Target</v>
      </c>
    </row>
    <row r="598" spans="1:13" x14ac:dyDescent="0.35">
      <c r="A598" s="33" t="s">
        <v>794</v>
      </c>
      <c r="B598" s="3" t="s">
        <v>652</v>
      </c>
      <c r="C598" s="3" t="s">
        <v>61</v>
      </c>
      <c r="D598" s="3" t="s">
        <v>62</v>
      </c>
      <c r="E598" s="3" t="s">
        <v>32</v>
      </c>
      <c r="F598" s="3" t="s">
        <v>39</v>
      </c>
      <c r="G598" s="3" t="s">
        <v>18</v>
      </c>
      <c r="H598" s="3">
        <v>10186</v>
      </c>
      <c r="I598" s="3" t="s">
        <v>33</v>
      </c>
      <c r="J598" s="3">
        <v>0.3</v>
      </c>
      <c r="K598" s="3">
        <v>9000</v>
      </c>
      <c r="L598" s="27">
        <v>45345</v>
      </c>
      <c r="M598" t="str">
        <f t="shared" si="8"/>
        <v>Target Achieved</v>
      </c>
    </row>
    <row r="599" spans="1:13" x14ac:dyDescent="0.35">
      <c r="A599" s="33" t="s">
        <v>795</v>
      </c>
      <c r="B599" s="3" t="s">
        <v>346</v>
      </c>
      <c r="C599" s="3" t="s">
        <v>30</v>
      </c>
      <c r="D599" s="3" t="s">
        <v>31</v>
      </c>
      <c r="E599" s="3" t="s">
        <v>16</v>
      </c>
      <c r="F599" s="3" t="s">
        <v>17</v>
      </c>
      <c r="G599" s="3" t="s">
        <v>36</v>
      </c>
      <c r="H599" s="3">
        <v>15656</v>
      </c>
      <c r="I599" s="3" t="s">
        <v>22</v>
      </c>
      <c r="J599" s="3">
        <v>0.1</v>
      </c>
      <c r="K599" s="3">
        <v>17000</v>
      </c>
      <c r="L599" s="27">
        <v>45327</v>
      </c>
      <c r="M599" t="str">
        <f t="shared" si="8"/>
        <v>Below Target</v>
      </c>
    </row>
    <row r="600" spans="1:13" x14ac:dyDescent="0.35">
      <c r="A600" s="33" t="s">
        <v>796</v>
      </c>
      <c r="B600" s="3" t="s">
        <v>211</v>
      </c>
      <c r="C600" s="3" t="s">
        <v>61</v>
      </c>
      <c r="D600" s="3" t="s">
        <v>62</v>
      </c>
      <c r="E600" s="3" t="s">
        <v>46</v>
      </c>
      <c r="F600" s="3" t="s">
        <v>25</v>
      </c>
      <c r="G600" s="3" t="s">
        <v>18</v>
      </c>
      <c r="H600" s="3">
        <v>7052</v>
      </c>
      <c r="I600" s="3" t="s">
        <v>22</v>
      </c>
      <c r="J600" s="3">
        <v>0.1</v>
      </c>
      <c r="K600" s="3">
        <v>9000</v>
      </c>
      <c r="L600" s="27">
        <v>45350</v>
      </c>
      <c r="M600" t="str">
        <f t="shared" si="8"/>
        <v>Below Target</v>
      </c>
    </row>
    <row r="601" spans="1:13" x14ac:dyDescent="0.35">
      <c r="A601" s="33" t="s">
        <v>797</v>
      </c>
      <c r="B601" s="3" t="s">
        <v>159</v>
      </c>
      <c r="C601" s="3" t="s">
        <v>61</v>
      </c>
      <c r="D601" s="3" t="s">
        <v>62</v>
      </c>
      <c r="E601" s="3" t="s">
        <v>32</v>
      </c>
      <c r="F601" s="3" t="s">
        <v>25</v>
      </c>
      <c r="G601" s="3" t="s">
        <v>26</v>
      </c>
      <c r="H601" s="3">
        <v>7307</v>
      </c>
      <c r="I601" s="3" t="s">
        <v>22</v>
      </c>
      <c r="J601" s="3">
        <v>0.1</v>
      </c>
      <c r="K601" s="3">
        <v>9000</v>
      </c>
      <c r="L601" s="27">
        <v>45349</v>
      </c>
      <c r="M601" t="str">
        <f t="shared" si="8"/>
        <v>Below Target</v>
      </c>
    </row>
    <row r="602" spans="1:13" x14ac:dyDescent="0.35">
      <c r="A602" s="33" t="s">
        <v>798</v>
      </c>
      <c r="B602" s="3" t="s">
        <v>286</v>
      </c>
      <c r="C602" s="3" t="s">
        <v>44</v>
      </c>
      <c r="D602" s="3" t="s">
        <v>45</v>
      </c>
      <c r="E602" s="3" t="s">
        <v>46</v>
      </c>
      <c r="F602" s="3" t="s">
        <v>17</v>
      </c>
      <c r="G602" s="3" t="s">
        <v>36</v>
      </c>
      <c r="H602" s="3">
        <v>12901</v>
      </c>
      <c r="I602" s="3" t="s">
        <v>22</v>
      </c>
      <c r="J602" s="3">
        <v>0.1</v>
      </c>
      <c r="K602" s="3">
        <v>13000</v>
      </c>
      <c r="L602" s="27">
        <v>45298</v>
      </c>
      <c r="M602" t="str">
        <f t="shared" si="8"/>
        <v>Below Target</v>
      </c>
    </row>
    <row r="603" spans="1:13" x14ac:dyDescent="0.35">
      <c r="A603" s="33" t="s">
        <v>799</v>
      </c>
      <c r="B603" s="3" t="s">
        <v>412</v>
      </c>
      <c r="C603" s="3" t="s">
        <v>14</v>
      </c>
      <c r="D603" s="3" t="s">
        <v>15</v>
      </c>
      <c r="E603" s="3" t="s">
        <v>46</v>
      </c>
      <c r="F603" s="3" t="s">
        <v>17</v>
      </c>
      <c r="G603" s="3" t="s">
        <v>26</v>
      </c>
      <c r="H603" s="3">
        <v>13280</v>
      </c>
      <c r="I603" s="3"/>
      <c r="J603" s="3"/>
      <c r="K603" s="3">
        <v>14000</v>
      </c>
      <c r="L603" s="27">
        <v>45339</v>
      </c>
      <c r="M603" t="str">
        <f t="shared" si="8"/>
        <v>Below Target</v>
      </c>
    </row>
    <row r="604" spans="1:13" x14ac:dyDescent="0.35">
      <c r="A604" s="33" t="s">
        <v>800</v>
      </c>
      <c r="B604" s="3" t="s">
        <v>78</v>
      </c>
      <c r="C604" s="3" t="s">
        <v>14</v>
      </c>
      <c r="D604" s="3" t="s">
        <v>15</v>
      </c>
      <c r="E604" s="3" t="s">
        <v>32</v>
      </c>
      <c r="F604" s="3" t="s">
        <v>25</v>
      </c>
      <c r="G604" s="3" t="s">
        <v>26</v>
      </c>
      <c r="H604" s="3">
        <v>14650</v>
      </c>
      <c r="I604" s="3" t="s">
        <v>19</v>
      </c>
      <c r="J604" s="3">
        <v>0.2</v>
      </c>
      <c r="K604" s="3">
        <v>14000</v>
      </c>
      <c r="L604" s="27">
        <v>45313</v>
      </c>
      <c r="M604" t="str">
        <f t="shared" si="8"/>
        <v>Target Achieved</v>
      </c>
    </row>
    <row r="605" spans="1:13" x14ac:dyDescent="0.35">
      <c r="A605" s="33" t="s">
        <v>801</v>
      </c>
      <c r="B605" s="3" t="s">
        <v>802</v>
      </c>
      <c r="C605" s="3" t="s">
        <v>30</v>
      </c>
      <c r="D605" s="3" t="s">
        <v>31</v>
      </c>
      <c r="E605" s="3" t="s">
        <v>16</v>
      </c>
      <c r="F605" s="3" t="s">
        <v>25</v>
      </c>
      <c r="G605" s="3" t="s">
        <v>36</v>
      </c>
      <c r="H605" s="3">
        <v>18338</v>
      </c>
      <c r="I605" s="3" t="s">
        <v>33</v>
      </c>
      <c r="J605" s="3">
        <v>0.3</v>
      </c>
      <c r="K605" s="3">
        <v>17000</v>
      </c>
      <c r="L605" s="27">
        <v>45303</v>
      </c>
      <c r="M605" t="str">
        <f t="shared" si="8"/>
        <v>Target Achieved</v>
      </c>
    </row>
    <row r="606" spans="1:13" x14ac:dyDescent="0.35">
      <c r="A606" s="33" t="s">
        <v>803</v>
      </c>
      <c r="B606" s="3" t="s">
        <v>66</v>
      </c>
      <c r="C606" s="3" t="s">
        <v>61</v>
      </c>
      <c r="D606" s="3" t="s">
        <v>62</v>
      </c>
      <c r="E606" s="3" t="s">
        <v>46</v>
      </c>
      <c r="F606" s="3" t="s">
        <v>17</v>
      </c>
      <c r="G606" s="3" t="s">
        <v>36</v>
      </c>
      <c r="H606" s="3">
        <v>9825</v>
      </c>
      <c r="I606" s="3"/>
      <c r="J606" s="3"/>
      <c r="K606" s="3">
        <v>9000</v>
      </c>
      <c r="L606" s="27">
        <v>45343</v>
      </c>
      <c r="M606" t="str">
        <f t="shared" si="8"/>
        <v>Target Achieved</v>
      </c>
    </row>
    <row r="607" spans="1:13" x14ac:dyDescent="0.35">
      <c r="A607" s="33" t="s">
        <v>804</v>
      </c>
      <c r="B607" s="3" t="s">
        <v>274</v>
      </c>
      <c r="C607" s="3" t="s">
        <v>44</v>
      </c>
      <c r="D607" s="3" t="s">
        <v>45</v>
      </c>
      <c r="E607" s="3" t="s">
        <v>32</v>
      </c>
      <c r="F607" s="3" t="s">
        <v>25</v>
      </c>
      <c r="G607" s="3" t="s">
        <v>26</v>
      </c>
      <c r="H607" s="3">
        <v>13975</v>
      </c>
      <c r="I607" s="3" t="s">
        <v>22</v>
      </c>
      <c r="J607" s="3">
        <v>0.1</v>
      </c>
      <c r="K607" s="3">
        <v>13000</v>
      </c>
      <c r="L607" s="27">
        <v>45352</v>
      </c>
      <c r="M607" t="str">
        <f t="shared" si="8"/>
        <v>Target Achieved</v>
      </c>
    </row>
    <row r="608" spans="1:13" x14ac:dyDescent="0.35">
      <c r="A608" s="33" t="s">
        <v>805</v>
      </c>
      <c r="B608" s="3" t="s">
        <v>412</v>
      </c>
      <c r="C608" s="3" t="s">
        <v>14</v>
      </c>
      <c r="D608" s="3" t="s">
        <v>15</v>
      </c>
      <c r="E608" s="3" t="s">
        <v>46</v>
      </c>
      <c r="F608" s="3" t="s">
        <v>39</v>
      </c>
      <c r="G608" s="3" t="s">
        <v>36</v>
      </c>
      <c r="H608" s="3">
        <v>15286</v>
      </c>
      <c r="I608" s="3" t="s">
        <v>27</v>
      </c>
      <c r="J608" s="3"/>
      <c r="K608" s="3">
        <v>14000</v>
      </c>
      <c r="L608" s="27">
        <v>45335</v>
      </c>
      <c r="M608" t="str">
        <f t="shared" ref="M608:M671" si="9">IF(H608&gt;=K608,"Target Achieved","Below Target")</f>
        <v>Target Achieved</v>
      </c>
    </row>
    <row r="609" spans="1:13" x14ac:dyDescent="0.35">
      <c r="A609" s="33" t="s">
        <v>806</v>
      </c>
      <c r="B609" s="3" t="s">
        <v>508</v>
      </c>
      <c r="C609" s="3" t="s">
        <v>61</v>
      </c>
      <c r="D609" s="3" t="s">
        <v>62</v>
      </c>
      <c r="E609" s="3" t="s">
        <v>46</v>
      </c>
      <c r="F609" s="3" t="s">
        <v>39</v>
      </c>
      <c r="G609" s="3" t="s">
        <v>18</v>
      </c>
      <c r="H609" s="3">
        <v>10533</v>
      </c>
      <c r="I609" s="3" t="s">
        <v>19</v>
      </c>
      <c r="J609" s="3">
        <v>0.2</v>
      </c>
      <c r="K609" s="3">
        <v>9000</v>
      </c>
      <c r="L609" s="27">
        <v>45322</v>
      </c>
      <c r="M609" t="str">
        <f t="shared" si="9"/>
        <v>Target Achieved</v>
      </c>
    </row>
    <row r="610" spans="1:13" x14ac:dyDescent="0.35">
      <c r="A610" s="33" t="s">
        <v>807</v>
      </c>
      <c r="B610" s="3" t="s">
        <v>445</v>
      </c>
      <c r="C610" s="3" t="s">
        <v>14</v>
      </c>
      <c r="D610" s="3" t="s">
        <v>15</v>
      </c>
      <c r="E610" s="3" t="s">
        <v>46</v>
      </c>
      <c r="F610" s="3" t="s">
        <v>17</v>
      </c>
      <c r="G610" s="3" t="s">
        <v>18</v>
      </c>
      <c r="H610" s="3">
        <v>12259</v>
      </c>
      <c r="I610" s="3" t="s">
        <v>33</v>
      </c>
      <c r="J610" s="3">
        <v>0.3</v>
      </c>
      <c r="K610" s="3">
        <v>14000</v>
      </c>
      <c r="L610" s="27">
        <v>45333</v>
      </c>
      <c r="M610" t="str">
        <f t="shared" si="9"/>
        <v>Below Target</v>
      </c>
    </row>
    <row r="611" spans="1:13" x14ac:dyDescent="0.35">
      <c r="A611" s="33" t="s">
        <v>808</v>
      </c>
      <c r="B611" s="3" t="s">
        <v>327</v>
      </c>
      <c r="C611" s="3" t="s">
        <v>44</v>
      </c>
      <c r="D611" s="3" t="s">
        <v>45</v>
      </c>
      <c r="E611" s="3" t="s">
        <v>16</v>
      </c>
      <c r="F611" s="3" t="s">
        <v>17</v>
      </c>
      <c r="G611" s="3" t="s">
        <v>26</v>
      </c>
      <c r="H611" s="3">
        <v>13142</v>
      </c>
      <c r="I611" s="3" t="s">
        <v>27</v>
      </c>
      <c r="J611" s="3"/>
      <c r="K611" s="3">
        <v>13000</v>
      </c>
      <c r="L611" s="27">
        <v>45298</v>
      </c>
      <c r="M611" t="str">
        <f t="shared" si="9"/>
        <v>Target Achieved</v>
      </c>
    </row>
    <row r="612" spans="1:13" x14ac:dyDescent="0.35">
      <c r="A612" s="33" t="s">
        <v>809</v>
      </c>
      <c r="B612" s="3" t="s">
        <v>274</v>
      </c>
      <c r="C612" s="3" t="s">
        <v>44</v>
      </c>
      <c r="D612" s="3" t="s">
        <v>45</v>
      </c>
      <c r="E612" s="3" t="s">
        <v>46</v>
      </c>
      <c r="F612" s="3" t="s">
        <v>17</v>
      </c>
      <c r="G612" s="3" t="s">
        <v>26</v>
      </c>
      <c r="H612" s="3">
        <v>13770</v>
      </c>
      <c r="I612" s="3"/>
      <c r="J612" s="3"/>
      <c r="K612" s="3">
        <v>13000</v>
      </c>
      <c r="L612" s="27">
        <v>45301</v>
      </c>
      <c r="M612" t="str">
        <f t="shared" si="9"/>
        <v>Target Achieved</v>
      </c>
    </row>
    <row r="613" spans="1:13" x14ac:dyDescent="0.35">
      <c r="A613" s="33" t="s">
        <v>810</v>
      </c>
      <c r="B613" s="3" t="s">
        <v>319</v>
      </c>
      <c r="C613" s="3" t="s">
        <v>14</v>
      </c>
      <c r="D613" s="3" t="s">
        <v>15</v>
      </c>
      <c r="E613" s="3" t="s">
        <v>32</v>
      </c>
      <c r="F613" s="3" t="s">
        <v>39</v>
      </c>
      <c r="G613" s="3" t="s">
        <v>18</v>
      </c>
      <c r="H613" s="3">
        <v>14070</v>
      </c>
      <c r="I613" s="3"/>
      <c r="J613" s="3"/>
      <c r="K613" s="3">
        <v>14000</v>
      </c>
      <c r="L613" s="27">
        <v>45346</v>
      </c>
      <c r="M613" t="str">
        <f t="shared" si="9"/>
        <v>Target Achieved</v>
      </c>
    </row>
    <row r="614" spans="1:13" x14ac:dyDescent="0.35">
      <c r="A614" s="33" t="s">
        <v>811</v>
      </c>
      <c r="B614" s="3" t="s">
        <v>752</v>
      </c>
      <c r="C614" s="3" t="s">
        <v>44</v>
      </c>
      <c r="D614" s="3" t="s">
        <v>45</v>
      </c>
      <c r="E614" s="3" t="s">
        <v>32</v>
      </c>
      <c r="F614" s="3" t="s">
        <v>17</v>
      </c>
      <c r="G614" s="3" t="s">
        <v>36</v>
      </c>
      <c r="H614" s="3">
        <v>11986</v>
      </c>
      <c r="I614" s="3" t="s">
        <v>33</v>
      </c>
      <c r="J614" s="3">
        <v>0.3</v>
      </c>
      <c r="K614" s="3">
        <v>13000</v>
      </c>
      <c r="L614" s="27">
        <v>45309</v>
      </c>
      <c r="M614" t="str">
        <f t="shared" si="9"/>
        <v>Below Target</v>
      </c>
    </row>
    <row r="615" spans="1:13" x14ac:dyDescent="0.35">
      <c r="A615" s="33" t="s">
        <v>812</v>
      </c>
      <c r="B615" s="3" t="s">
        <v>166</v>
      </c>
      <c r="C615" s="3" t="s">
        <v>44</v>
      </c>
      <c r="D615" s="3" t="s">
        <v>45</v>
      </c>
      <c r="E615" s="3" t="s">
        <v>16</v>
      </c>
      <c r="F615" s="3" t="s">
        <v>39</v>
      </c>
      <c r="G615" s="3" t="s">
        <v>36</v>
      </c>
      <c r="H615" s="3">
        <v>12651</v>
      </c>
      <c r="I615" s="3" t="s">
        <v>19</v>
      </c>
      <c r="J615" s="3">
        <v>0.2</v>
      </c>
      <c r="K615" s="3">
        <v>13000</v>
      </c>
      <c r="L615" s="27">
        <v>45297</v>
      </c>
      <c r="M615" t="str">
        <f t="shared" si="9"/>
        <v>Below Target</v>
      </c>
    </row>
    <row r="616" spans="1:13" x14ac:dyDescent="0.35">
      <c r="A616" s="33" t="s">
        <v>813</v>
      </c>
      <c r="B616" s="3" t="s">
        <v>231</v>
      </c>
      <c r="C616" s="3" t="s">
        <v>61</v>
      </c>
      <c r="D616" s="3" t="s">
        <v>62</v>
      </c>
      <c r="E616" s="3" t="s">
        <v>32</v>
      </c>
      <c r="F616" s="3" t="s">
        <v>17</v>
      </c>
      <c r="G616" s="3" t="s">
        <v>36</v>
      </c>
      <c r="H616" s="3">
        <v>8294</v>
      </c>
      <c r="I616" s="3" t="s">
        <v>22</v>
      </c>
      <c r="J616" s="3">
        <v>0.1</v>
      </c>
      <c r="K616" s="3">
        <v>9000</v>
      </c>
      <c r="L616" s="27">
        <v>45323</v>
      </c>
      <c r="M616" t="str">
        <f t="shared" si="9"/>
        <v>Below Target</v>
      </c>
    </row>
    <row r="617" spans="1:13" x14ac:dyDescent="0.35">
      <c r="A617" s="33" t="s">
        <v>814</v>
      </c>
      <c r="B617" s="3" t="s">
        <v>765</v>
      </c>
      <c r="C617" s="3" t="s">
        <v>14</v>
      </c>
      <c r="D617" s="3" t="s">
        <v>15</v>
      </c>
      <c r="E617" s="3" t="s">
        <v>32</v>
      </c>
      <c r="F617" s="3" t="s">
        <v>17</v>
      </c>
      <c r="G617" s="3" t="s">
        <v>36</v>
      </c>
      <c r="H617" s="3">
        <v>12146</v>
      </c>
      <c r="I617" s="3" t="s">
        <v>27</v>
      </c>
      <c r="J617" s="3"/>
      <c r="K617" s="3">
        <v>14000</v>
      </c>
      <c r="L617" s="27">
        <v>45327</v>
      </c>
      <c r="M617" t="str">
        <f t="shared" si="9"/>
        <v>Below Target</v>
      </c>
    </row>
    <row r="618" spans="1:13" x14ac:dyDescent="0.35">
      <c r="A618" s="33" t="s">
        <v>815</v>
      </c>
      <c r="B618" s="3" t="s">
        <v>129</v>
      </c>
      <c r="C618" s="3" t="s">
        <v>14</v>
      </c>
      <c r="D618" s="3" t="s">
        <v>15</v>
      </c>
      <c r="E618" s="3" t="s">
        <v>16</v>
      </c>
      <c r="F618" s="3" t="s">
        <v>39</v>
      </c>
      <c r="G618" s="3" t="s">
        <v>26</v>
      </c>
      <c r="H618" s="3">
        <v>13247</v>
      </c>
      <c r="I618" s="3" t="s">
        <v>27</v>
      </c>
      <c r="J618" s="3"/>
      <c r="K618" s="3">
        <v>14000</v>
      </c>
      <c r="L618" s="27">
        <v>45327</v>
      </c>
      <c r="M618" t="str">
        <f t="shared" si="9"/>
        <v>Below Target</v>
      </c>
    </row>
    <row r="619" spans="1:13" x14ac:dyDescent="0.35">
      <c r="A619" s="33" t="s">
        <v>816</v>
      </c>
      <c r="B619" s="3" t="s">
        <v>817</v>
      </c>
      <c r="C619" s="3" t="s">
        <v>61</v>
      </c>
      <c r="D619" s="3" t="s">
        <v>62</v>
      </c>
      <c r="E619" s="3" t="s">
        <v>46</v>
      </c>
      <c r="F619" s="3" t="s">
        <v>17</v>
      </c>
      <c r="G619" s="3" t="s">
        <v>18</v>
      </c>
      <c r="H619" s="3">
        <v>10344</v>
      </c>
      <c r="I619" s="3" t="s">
        <v>19</v>
      </c>
      <c r="J619" s="3">
        <v>0.2</v>
      </c>
      <c r="K619" s="3">
        <v>9000</v>
      </c>
      <c r="L619" s="27">
        <v>45346</v>
      </c>
      <c r="M619" t="str">
        <f t="shared" si="9"/>
        <v>Target Achieved</v>
      </c>
    </row>
    <row r="620" spans="1:13" x14ac:dyDescent="0.35">
      <c r="A620" s="33" t="s">
        <v>818</v>
      </c>
      <c r="B620" s="3" t="s">
        <v>188</v>
      </c>
      <c r="C620" s="3" t="s">
        <v>61</v>
      </c>
      <c r="D620" s="3" t="s">
        <v>62</v>
      </c>
      <c r="E620" s="3" t="s">
        <v>16</v>
      </c>
      <c r="F620" s="3" t="s">
        <v>39</v>
      </c>
      <c r="G620" s="3" t="s">
        <v>36</v>
      </c>
      <c r="H620" s="3">
        <v>9932</v>
      </c>
      <c r="I620" s="3"/>
      <c r="J620" s="3"/>
      <c r="K620" s="3">
        <v>9000</v>
      </c>
      <c r="L620" s="27">
        <v>45299</v>
      </c>
      <c r="M620" t="str">
        <f t="shared" si="9"/>
        <v>Target Achieved</v>
      </c>
    </row>
    <row r="621" spans="1:13" x14ac:dyDescent="0.35">
      <c r="A621" s="33" t="s">
        <v>819</v>
      </c>
      <c r="B621" s="3" t="s">
        <v>200</v>
      </c>
      <c r="C621" s="3" t="s">
        <v>44</v>
      </c>
      <c r="D621" s="3" t="s">
        <v>45</v>
      </c>
      <c r="E621" s="3" t="s">
        <v>32</v>
      </c>
      <c r="F621" s="3" t="s">
        <v>17</v>
      </c>
      <c r="G621" s="3" t="s">
        <v>36</v>
      </c>
      <c r="H621" s="3">
        <v>14399</v>
      </c>
      <c r="I621" s="3" t="s">
        <v>33</v>
      </c>
      <c r="J621" s="3">
        <v>0.3</v>
      </c>
      <c r="K621" s="3">
        <v>13000</v>
      </c>
      <c r="L621" s="27">
        <v>45327</v>
      </c>
      <c r="M621" t="str">
        <f t="shared" si="9"/>
        <v>Target Achieved</v>
      </c>
    </row>
    <row r="622" spans="1:13" x14ac:dyDescent="0.35">
      <c r="A622" s="33" t="s">
        <v>820</v>
      </c>
      <c r="B622" s="3" t="s">
        <v>217</v>
      </c>
      <c r="C622" s="3" t="s">
        <v>14</v>
      </c>
      <c r="D622" s="3" t="s">
        <v>15</v>
      </c>
      <c r="E622" s="3" t="s">
        <v>32</v>
      </c>
      <c r="F622" s="3" t="s">
        <v>25</v>
      </c>
      <c r="G622" s="3" t="s">
        <v>36</v>
      </c>
      <c r="H622" s="3">
        <v>12575</v>
      </c>
      <c r="I622" s="3"/>
      <c r="J622" s="3"/>
      <c r="K622" s="3">
        <v>14000</v>
      </c>
      <c r="L622" s="27">
        <v>45298</v>
      </c>
      <c r="M622" t="str">
        <f t="shared" si="9"/>
        <v>Below Target</v>
      </c>
    </row>
    <row r="623" spans="1:13" x14ac:dyDescent="0.35">
      <c r="A623" s="33" t="s">
        <v>821</v>
      </c>
      <c r="B623" s="3" t="s">
        <v>118</v>
      </c>
      <c r="C623" s="3" t="s">
        <v>44</v>
      </c>
      <c r="D623" s="3" t="s">
        <v>45</v>
      </c>
      <c r="E623" s="3" t="s">
        <v>32</v>
      </c>
      <c r="F623" s="3" t="s">
        <v>25</v>
      </c>
      <c r="G623" s="3" t="s">
        <v>36</v>
      </c>
      <c r="H623" s="3">
        <v>11883</v>
      </c>
      <c r="I623" s="3"/>
      <c r="J623" s="3"/>
      <c r="K623" s="3">
        <v>13000</v>
      </c>
      <c r="L623" s="27">
        <v>45344</v>
      </c>
      <c r="M623" t="str">
        <f t="shared" si="9"/>
        <v>Below Target</v>
      </c>
    </row>
    <row r="624" spans="1:13" x14ac:dyDescent="0.35">
      <c r="A624" s="33" t="s">
        <v>822</v>
      </c>
      <c r="B624" s="3" t="s">
        <v>294</v>
      </c>
      <c r="C624" s="3" t="s">
        <v>30</v>
      </c>
      <c r="D624" s="3" t="s">
        <v>31</v>
      </c>
      <c r="E624" s="3" t="s">
        <v>32</v>
      </c>
      <c r="F624" s="3" t="s">
        <v>17</v>
      </c>
      <c r="G624" s="3" t="s">
        <v>18</v>
      </c>
      <c r="H624" s="3">
        <v>18795</v>
      </c>
      <c r="I624" s="3" t="s">
        <v>27</v>
      </c>
      <c r="J624" s="3"/>
      <c r="K624" s="3">
        <v>17000</v>
      </c>
      <c r="L624" s="27">
        <v>45299</v>
      </c>
      <c r="M624" t="str">
        <f t="shared" si="9"/>
        <v>Target Achieved</v>
      </c>
    </row>
    <row r="625" spans="1:13" x14ac:dyDescent="0.35">
      <c r="A625" s="33" t="s">
        <v>823</v>
      </c>
      <c r="B625" s="3" t="s">
        <v>298</v>
      </c>
      <c r="C625" s="3" t="s">
        <v>61</v>
      </c>
      <c r="D625" s="3" t="s">
        <v>62</v>
      </c>
      <c r="E625" s="3" t="s">
        <v>16</v>
      </c>
      <c r="F625" s="3" t="s">
        <v>39</v>
      </c>
      <c r="G625" s="3" t="s">
        <v>26</v>
      </c>
      <c r="H625" s="3">
        <v>7551</v>
      </c>
      <c r="I625" s="3"/>
      <c r="J625" s="3"/>
      <c r="K625" s="3">
        <v>9000</v>
      </c>
      <c r="L625" s="27">
        <v>45292</v>
      </c>
      <c r="M625" t="str">
        <f t="shared" si="9"/>
        <v>Below Target</v>
      </c>
    </row>
    <row r="626" spans="1:13" x14ac:dyDescent="0.35">
      <c r="A626" s="33" t="s">
        <v>824</v>
      </c>
      <c r="B626" s="3" t="s">
        <v>548</v>
      </c>
      <c r="C626" s="3" t="s">
        <v>14</v>
      </c>
      <c r="D626" s="3" t="s">
        <v>15</v>
      </c>
      <c r="E626" s="3" t="s">
        <v>16</v>
      </c>
      <c r="F626" s="3" t="s">
        <v>17</v>
      </c>
      <c r="G626" s="3" t="s">
        <v>26</v>
      </c>
      <c r="H626" s="3">
        <v>13978</v>
      </c>
      <c r="I626" s="3" t="s">
        <v>27</v>
      </c>
      <c r="J626" s="3"/>
      <c r="K626" s="3">
        <v>14000</v>
      </c>
      <c r="L626" s="27">
        <v>45341</v>
      </c>
      <c r="M626" t="str">
        <f t="shared" si="9"/>
        <v>Below Target</v>
      </c>
    </row>
    <row r="627" spans="1:13" x14ac:dyDescent="0.35">
      <c r="A627" s="33" t="s">
        <v>825</v>
      </c>
      <c r="B627" s="3" t="s">
        <v>120</v>
      </c>
      <c r="C627" s="3" t="s">
        <v>44</v>
      </c>
      <c r="D627" s="3" t="s">
        <v>45</v>
      </c>
      <c r="E627" s="3" t="s">
        <v>16</v>
      </c>
      <c r="F627" s="3" t="s">
        <v>25</v>
      </c>
      <c r="G627" s="3" t="s">
        <v>18</v>
      </c>
      <c r="H627" s="3">
        <v>12586</v>
      </c>
      <c r="I627" s="3" t="s">
        <v>27</v>
      </c>
      <c r="J627" s="3"/>
      <c r="K627" s="3">
        <v>13000</v>
      </c>
      <c r="L627" s="27">
        <v>45330</v>
      </c>
      <c r="M627" t="str">
        <f t="shared" si="9"/>
        <v>Below Target</v>
      </c>
    </row>
    <row r="628" spans="1:13" x14ac:dyDescent="0.35">
      <c r="A628" s="33" t="s">
        <v>826</v>
      </c>
      <c r="B628" s="3" t="s">
        <v>827</v>
      </c>
      <c r="C628" s="3" t="s">
        <v>61</v>
      </c>
      <c r="D628" s="3" t="s">
        <v>62</v>
      </c>
      <c r="E628" s="3" t="s">
        <v>46</v>
      </c>
      <c r="F628" s="3" t="s">
        <v>39</v>
      </c>
      <c r="G628" s="3" t="s">
        <v>26</v>
      </c>
      <c r="H628" s="3">
        <v>10122</v>
      </c>
      <c r="I628" s="3" t="s">
        <v>19</v>
      </c>
      <c r="J628" s="3">
        <v>0.2</v>
      </c>
      <c r="K628" s="3">
        <v>9000</v>
      </c>
      <c r="L628" s="27">
        <v>45309</v>
      </c>
      <c r="M628" t="str">
        <f t="shared" si="9"/>
        <v>Target Achieved</v>
      </c>
    </row>
    <row r="629" spans="1:13" x14ac:dyDescent="0.35">
      <c r="A629" s="33" t="s">
        <v>828</v>
      </c>
      <c r="B629" s="3" t="s">
        <v>474</v>
      </c>
      <c r="C629" s="3" t="s">
        <v>30</v>
      </c>
      <c r="D629" s="3" t="s">
        <v>31</v>
      </c>
      <c r="E629" s="3" t="s">
        <v>46</v>
      </c>
      <c r="F629" s="3" t="s">
        <v>25</v>
      </c>
      <c r="G629" s="3" t="s">
        <v>18</v>
      </c>
      <c r="H629" s="3">
        <v>16690</v>
      </c>
      <c r="I629" s="3" t="s">
        <v>27</v>
      </c>
      <c r="J629" s="3"/>
      <c r="K629" s="3">
        <v>17000</v>
      </c>
      <c r="L629" s="27">
        <v>45336</v>
      </c>
      <c r="M629" t="str">
        <f t="shared" si="9"/>
        <v>Below Target</v>
      </c>
    </row>
    <row r="630" spans="1:13" x14ac:dyDescent="0.35">
      <c r="A630" s="33" t="s">
        <v>829</v>
      </c>
      <c r="B630" s="3" t="s">
        <v>260</v>
      </c>
      <c r="C630" s="3" t="s">
        <v>30</v>
      </c>
      <c r="D630" s="3" t="s">
        <v>31</v>
      </c>
      <c r="E630" s="3" t="s">
        <v>16</v>
      </c>
      <c r="F630" s="3" t="s">
        <v>39</v>
      </c>
      <c r="G630" s="3" t="s">
        <v>36</v>
      </c>
      <c r="H630" s="3">
        <v>17915</v>
      </c>
      <c r="I630" s="3" t="s">
        <v>27</v>
      </c>
      <c r="J630" s="3"/>
      <c r="K630" s="3">
        <v>17000</v>
      </c>
      <c r="L630" s="27">
        <v>45332</v>
      </c>
      <c r="M630" t="str">
        <f t="shared" si="9"/>
        <v>Target Achieved</v>
      </c>
    </row>
    <row r="631" spans="1:13" x14ac:dyDescent="0.35">
      <c r="A631" s="33" t="s">
        <v>830</v>
      </c>
      <c r="B631" s="3" t="s">
        <v>94</v>
      </c>
      <c r="C631" s="3" t="s">
        <v>44</v>
      </c>
      <c r="D631" s="3" t="s">
        <v>45</v>
      </c>
      <c r="E631" s="3" t="s">
        <v>16</v>
      </c>
      <c r="F631" s="3" t="s">
        <v>39</v>
      </c>
      <c r="G631" s="3" t="s">
        <v>36</v>
      </c>
      <c r="H631" s="3">
        <v>13812</v>
      </c>
      <c r="I631" s="3" t="s">
        <v>33</v>
      </c>
      <c r="J631" s="3">
        <v>0.3</v>
      </c>
      <c r="K631" s="3">
        <v>13000</v>
      </c>
      <c r="L631" s="27">
        <v>45350</v>
      </c>
      <c r="M631" t="str">
        <f t="shared" si="9"/>
        <v>Target Achieved</v>
      </c>
    </row>
    <row r="632" spans="1:13" x14ac:dyDescent="0.35">
      <c r="A632" s="33" t="s">
        <v>831</v>
      </c>
      <c r="B632" s="3" t="s">
        <v>422</v>
      </c>
      <c r="C632" s="3" t="s">
        <v>44</v>
      </c>
      <c r="D632" s="3" t="s">
        <v>45</v>
      </c>
      <c r="E632" s="3" t="s">
        <v>16</v>
      </c>
      <c r="F632" s="3" t="s">
        <v>39</v>
      </c>
      <c r="G632" s="3" t="s">
        <v>26</v>
      </c>
      <c r="H632" s="3">
        <v>13608</v>
      </c>
      <c r="I632" s="3" t="s">
        <v>33</v>
      </c>
      <c r="J632" s="3">
        <v>0.3</v>
      </c>
      <c r="K632" s="3">
        <v>13000</v>
      </c>
      <c r="L632" s="27">
        <v>45337</v>
      </c>
      <c r="M632" t="str">
        <f t="shared" si="9"/>
        <v>Target Achieved</v>
      </c>
    </row>
    <row r="633" spans="1:13" x14ac:dyDescent="0.35">
      <c r="A633" s="33" t="s">
        <v>832</v>
      </c>
      <c r="B633" s="3" t="s">
        <v>200</v>
      </c>
      <c r="C633" s="3" t="s">
        <v>30</v>
      </c>
      <c r="D633" s="3" t="s">
        <v>31</v>
      </c>
      <c r="E633" s="3" t="s">
        <v>16</v>
      </c>
      <c r="F633" s="3" t="s">
        <v>17</v>
      </c>
      <c r="G633" s="3" t="s">
        <v>26</v>
      </c>
      <c r="H633" s="3">
        <v>17337</v>
      </c>
      <c r="I633" s="3"/>
      <c r="J633" s="3"/>
      <c r="K633" s="3">
        <v>17000</v>
      </c>
      <c r="L633" s="27">
        <v>45335</v>
      </c>
      <c r="M633" t="str">
        <f t="shared" si="9"/>
        <v>Target Achieved</v>
      </c>
    </row>
    <row r="634" spans="1:13" x14ac:dyDescent="0.35">
      <c r="A634" s="33" t="s">
        <v>833</v>
      </c>
      <c r="B634" s="3" t="s">
        <v>371</v>
      </c>
      <c r="C634" s="3" t="s">
        <v>30</v>
      </c>
      <c r="D634" s="3" t="s">
        <v>31</v>
      </c>
      <c r="E634" s="3" t="s">
        <v>46</v>
      </c>
      <c r="F634" s="3" t="s">
        <v>25</v>
      </c>
      <c r="G634" s="3" t="s">
        <v>26</v>
      </c>
      <c r="H634" s="3">
        <v>15436</v>
      </c>
      <c r="I634" s="3" t="s">
        <v>22</v>
      </c>
      <c r="J634" s="3">
        <v>0.1</v>
      </c>
      <c r="K634" s="3">
        <v>17000</v>
      </c>
      <c r="L634" s="27">
        <v>45316</v>
      </c>
      <c r="M634" t="str">
        <f t="shared" si="9"/>
        <v>Below Target</v>
      </c>
    </row>
    <row r="635" spans="1:13" x14ac:dyDescent="0.35">
      <c r="A635" s="33" t="s">
        <v>834</v>
      </c>
      <c r="B635" s="3" t="s">
        <v>557</v>
      </c>
      <c r="C635" s="3" t="s">
        <v>14</v>
      </c>
      <c r="D635" s="3" t="s">
        <v>15</v>
      </c>
      <c r="E635" s="3" t="s">
        <v>32</v>
      </c>
      <c r="F635" s="3" t="s">
        <v>17</v>
      </c>
      <c r="G635" s="3" t="s">
        <v>18</v>
      </c>
      <c r="H635" s="3">
        <v>13173</v>
      </c>
      <c r="I635" s="3" t="s">
        <v>33</v>
      </c>
      <c r="J635" s="3">
        <v>0.3</v>
      </c>
      <c r="K635" s="3">
        <v>14000</v>
      </c>
      <c r="L635" s="27">
        <v>45301</v>
      </c>
      <c r="M635" t="str">
        <f t="shared" si="9"/>
        <v>Below Target</v>
      </c>
    </row>
    <row r="636" spans="1:13" x14ac:dyDescent="0.35">
      <c r="A636" s="33" t="s">
        <v>835</v>
      </c>
      <c r="B636" s="3" t="s">
        <v>676</v>
      </c>
      <c r="C636" s="3" t="s">
        <v>30</v>
      </c>
      <c r="D636" s="3" t="s">
        <v>31</v>
      </c>
      <c r="E636" s="3" t="s">
        <v>32</v>
      </c>
      <c r="F636" s="3" t="s">
        <v>39</v>
      </c>
      <c r="G636" s="3" t="s">
        <v>18</v>
      </c>
      <c r="H636" s="3">
        <v>16469</v>
      </c>
      <c r="I636" s="3"/>
      <c r="J636" s="3"/>
      <c r="K636" s="3">
        <v>17000</v>
      </c>
      <c r="L636" s="27">
        <v>45298</v>
      </c>
      <c r="M636" t="str">
        <f t="shared" si="9"/>
        <v>Below Target</v>
      </c>
    </row>
    <row r="637" spans="1:13" x14ac:dyDescent="0.35">
      <c r="A637" s="33" t="s">
        <v>836</v>
      </c>
      <c r="B637" s="3" t="s">
        <v>837</v>
      </c>
      <c r="C637" s="3" t="s">
        <v>44</v>
      </c>
      <c r="D637" s="3" t="s">
        <v>45</v>
      </c>
      <c r="E637" s="3" t="s">
        <v>16</v>
      </c>
      <c r="F637" s="3" t="s">
        <v>39</v>
      </c>
      <c r="G637" s="3" t="s">
        <v>26</v>
      </c>
      <c r="H637" s="3">
        <v>12592</v>
      </c>
      <c r="I637" s="3" t="s">
        <v>19</v>
      </c>
      <c r="J637" s="3">
        <v>0.2</v>
      </c>
      <c r="K637" s="3">
        <v>13000</v>
      </c>
      <c r="L637" s="27">
        <v>45324</v>
      </c>
      <c r="M637" t="str">
        <f t="shared" si="9"/>
        <v>Below Target</v>
      </c>
    </row>
    <row r="638" spans="1:13" x14ac:dyDescent="0.35">
      <c r="A638" s="33" t="s">
        <v>838</v>
      </c>
      <c r="B638" s="3" t="s">
        <v>54</v>
      </c>
      <c r="C638" s="3" t="s">
        <v>30</v>
      </c>
      <c r="D638" s="3" t="s">
        <v>31</v>
      </c>
      <c r="E638" s="3" t="s">
        <v>16</v>
      </c>
      <c r="F638" s="3" t="s">
        <v>39</v>
      </c>
      <c r="G638" s="3" t="s">
        <v>18</v>
      </c>
      <c r="H638" s="3">
        <v>18794</v>
      </c>
      <c r="I638" s="3"/>
      <c r="J638" s="3"/>
      <c r="K638" s="3">
        <v>17000</v>
      </c>
      <c r="L638" s="27">
        <v>45316</v>
      </c>
      <c r="M638" t="str">
        <f t="shared" si="9"/>
        <v>Target Achieved</v>
      </c>
    </row>
    <row r="639" spans="1:13" x14ac:dyDescent="0.35">
      <c r="A639" s="33" t="s">
        <v>839</v>
      </c>
      <c r="B639" s="3" t="s">
        <v>155</v>
      </c>
      <c r="C639" s="3" t="s">
        <v>30</v>
      </c>
      <c r="D639" s="3" t="s">
        <v>31</v>
      </c>
      <c r="E639" s="3" t="s">
        <v>16</v>
      </c>
      <c r="F639" s="3" t="s">
        <v>25</v>
      </c>
      <c r="G639" s="3" t="s">
        <v>18</v>
      </c>
      <c r="H639" s="3">
        <v>18046</v>
      </c>
      <c r="I639" s="3" t="s">
        <v>33</v>
      </c>
      <c r="J639" s="3">
        <v>0.3</v>
      </c>
      <c r="K639" s="3">
        <v>17000</v>
      </c>
      <c r="L639" s="27">
        <v>45304</v>
      </c>
      <c r="M639" t="str">
        <f t="shared" si="9"/>
        <v>Target Achieved</v>
      </c>
    </row>
    <row r="640" spans="1:13" x14ac:dyDescent="0.35">
      <c r="A640" s="33" t="s">
        <v>840</v>
      </c>
      <c r="B640" s="3" t="s">
        <v>837</v>
      </c>
      <c r="C640" s="3" t="s">
        <v>61</v>
      </c>
      <c r="D640" s="3" t="s">
        <v>62</v>
      </c>
      <c r="E640" s="3" t="s">
        <v>32</v>
      </c>
      <c r="F640" s="3" t="s">
        <v>39</v>
      </c>
      <c r="G640" s="3" t="s">
        <v>26</v>
      </c>
      <c r="H640" s="3">
        <v>9906</v>
      </c>
      <c r="I640" s="3" t="s">
        <v>33</v>
      </c>
      <c r="J640" s="3">
        <v>0.3</v>
      </c>
      <c r="K640" s="3">
        <v>9000</v>
      </c>
      <c r="L640" s="27">
        <v>45340</v>
      </c>
      <c r="M640" t="str">
        <f t="shared" si="9"/>
        <v>Target Achieved</v>
      </c>
    </row>
    <row r="641" spans="1:13" x14ac:dyDescent="0.35">
      <c r="A641" s="33" t="s">
        <v>841</v>
      </c>
      <c r="B641" s="3" t="s">
        <v>86</v>
      </c>
      <c r="C641" s="3" t="s">
        <v>44</v>
      </c>
      <c r="D641" s="3" t="s">
        <v>45</v>
      </c>
      <c r="E641" s="3" t="s">
        <v>16</v>
      </c>
      <c r="F641" s="3" t="s">
        <v>25</v>
      </c>
      <c r="G641" s="3" t="s">
        <v>36</v>
      </c>
      <c r="H641" s="3">
        <v>12838</v>
      </c>
      <c r="I641" s="3" t="s">
        <v>19</v>
      </c>
      <c r="J641" s="3">
        <v>0.2</v>
      </c>
      <c r="K641" s="3">
        <v>13000</v>
      </c>
      <c r="L641" s="27">
        <v>45335</v>
      </c>
      <c r="M641" t="str">
        <f t="shared" si="9"/>
        <v>Below Target</v>
      </c>
    </row>
    <row r="642" spans="1:13" x14ac:dyDescent="0.35">
      <c r="A642" s="33" t="s">
        <v>842</v>
      </c>
      <c r="B642" s="3" t="s">
        <v>843</v>
      </c>
      <c r="C642" s="3" t="s">
        <v>44</v>
      </c>
      <c r="D642" s="3" t="s">
        <v>45</v>
      </c>
      <c r="E642" s="3" t="s">
        <v>16</v>
      </c>
      <c r="F642" s="3" t="s">
        <v>39</v>
      </c>
      <c r="G642" s="3" t="s">
        <v>18</v>
      </c>
      <c r="H642" s="3">
        <v>12545</v>
      </c>
      <c r="I642" s="3" t="s">
        <v>22</v>
      </c>
      <c r="J642" s="3">
        <v>0.1</v>
      </c>
      <c r="K642" s="3">
        <v>13000</v>
      </c>
      <c r="L642" s="27">
        <v>45319</v>
      </c>
      <c r="M642" t="str">
        <f t="shared" si="9"/>
        <v>Below Target</v>
      </c>
    </row>
    <row r="643" spans="1:13" x14ac:dyDescent="0.35">
      <c r="A643" s="33" t="s">
        <v>844</v>
      </c>
      <c r="B643" s="3" t="s">
        <v>307</v>
      </c>
      <c r="C643" s="3" t="s">
        <v>30</v>
      </c>
      <c r="D643" s="3" t="s">
        <v>31</v>
      </c>
      <c r="E643" s="3" t="s">
        <v>32</v>
      </c>
      <c r="F643" s="3" t="s">
        <v>25</v>
      </c>
      <c r="G643" s="3" t="s">
        <v>26</v>
      </c>
      <c r="H643" s="3">
        <v>18465</v>
      </c>
      <c r="I643" s="3" t="s">
        <v>33</v>
      </c>
      <c r="J643" s="3">
        <v>0.3</v>
      </c>
      <c r="K643" s="3">
        <v>17000</v>
      </c>
      <c r="L643" s="27">
        <v>45292</v>
      </c>
      <c r="M643" t="str">
        <f t="shared" si="9"/>
        <v>Target Achieved</v>
      </c>
    </row>
    <row r="644" spans="1:13" x14ac:dyDescent="0.35">
      <c r="A644" s="33" t="s">
        <v>845</v>
      </c>
      <c r="B644" s="3" t="s">
        <v>802</v>
      </c>
      <c r="C644" s="3" t="s">
        <v>44</v>
      </c>
      <c r="D644" s="3" t="s">
        <v>45</v>
      </c>
      <c r="E644" s="3" t="s">
        <v>32</v>
      </c>
      <c r="F644" s="3" t="s">
        <v>25</v>
      </c>
      <c r="G644" s="3" t="s">
        <v>36</v>
      </c>
      <c r="H644" s="3">
        <v>13444</v>
      </c>
      <c r="I644" s="3" t="s">
        <v>22</v>
      </c>
      <c r="J644" s="3">
        <v>0.1</v>
      </c>
      <c r="K644" s="3">
        <v>13000</v>
      </c>
      <c r="L644" s="27">
        <v>45341</v>
      </c>
      <c r="M644" t="str">
        <f t="shared" si="9"/>
        <v>Target Achieved</v>
      </c>
    </row>
    <row r="645" spans="1:13" x14ac:dyDescent="0.35">
      <c r="A645" s="33" t="s">
        <v>846</v>
      </c>
      <c r="B645" s="3" t="s">
        <v>50</v>
      </c>
      <c r="C645" s="3" t="s">
        <v>30</v>
      </c>
      <c r="D645" s="3" t="s">
        <v>31</v>
      </c>
      <c r="E645" s="3" t="s">
        <v>46</v>
      </c>
      <c r="F645" s="3" t="s">
        <v>39</v>
      </c>
      <c r="G645" s="3" t="s">
        <v>26</v>
      </c>
      <c r="H645" s="3">
        <v>16466</v>
      </c>
      <c r="I645" s="3" t="s">
        <v>22</v>
      </c>
      <c r="J645" s="3">
        <v>0.1</v>
      </c>
      <c r="K645" s="3">
        <v>17000</v>
      </c>
      <c r="L645" s="27">
        <v>45342</v>
      </c>
      <c r="M645" t="str">
        <f t="shared" si="9"/>
        <v>Below Target</v>
      </c>
    </row>
    <row r="646" spans="1:13" x14ac:dyDescent="0.35">
      <c r="A646" s="33" t="s">
        <v>847</v>
      </c>
      <c r="B646" s="3" t="s">
        <v>577</v>
      </c>
      <c r="C646" s="3" t="s">
        <v>44</v>
      </c>
      <c r="D646" s="3" t="s">
        <v>45</v>
      </c>
      <c r="E646" s="3" t="s">
        <v>32</v>
      </c>
      <c r="F646" s="3" t="s">
        <v>39</v>
      </c>
      <c r="G646" s="3" t="s">
        <v>18</v>
      </c>
      <c r="H646" s="3">
        <v>14220</v>
      </c>
      <c r="I646" s="3" t="s">
        <v>27</v>
      </c>
      <c r="J646" s="3"/>
      <c r="K646" s="3">
        <v>13000</v>
      </c>
      <c r="L646" s="27">
        <v>45302</v>
      </c>
      <c r="M646" t="str">
        <f t="shared" si="9"/>
        <v>Target Achieved</v>
      </c>
    </row>
    <row r="647" spans="1:13" x14ac:dyDescent="0.35">
      <c r="A647" s="33" t="s">
        <v>848</v>
      </c>
      <c r="B647" s="3" t="s">
        <v>512</v>
      </c>
      <c r="C647" s="3" t="s">
        <v>61</v>
      </c>
      <c r="D647" s="3" t="s">
        <v>62</v>
      </c>
      <c r="E647" s="3" t="s">
        <v>32</v>
      </c>
      <c r="F647" s="3" t="s">
        <v>17</v>
      </c>
      <c r="G647" s="3" t="s">
        <v>18</v>
      </c>
      <c r="H647" s="3">
        <v>10618</v>
      </c>
      <c r="I647" s="3" t="s">
        <v>19</v>
      </c>
      <c r="J647" s="3">
        <v>0.2</v>
      </c>
      <c r="K647" s="3">
        <v>9000</v>
      </c>
      <c r="L647" s="27">
        <v>45334</v>
      </c>
      <c r="M647" t="str">
        <f t="shared" si="9"/>
        <v>Target Achieved</v>
      </c>
    </row>
    <row r="648" spans="1:13" x14ac:dyDescent="0.35">
      <c r="A648" s="33" t="s">
        <v>849</v>
      </c>
      <c r="B648" s="3" t="s">
        <v>282</v>
      </c>
      <c r="C648" s="3" t="s">
        <v>30</v>
      </c>
      <c r="D648" s="3" t="s">
        <v>31</v>
      </c>
      <c r="E648" s="3" t="s">
        <v>46</v>
      </c>
      <c r="F648" s="3" t="s">
        <v>25</v>
      </c>
      <c r="G648" s="3" t="s">
        <v>26</v>
      </c>
      <c r="H648" s="3">
        <v>17172</v>
      </c>
      <c r="I648" s="3"/>
      <c r="J648" s="3"/>
      <c r="K648" s="3">
        <v>17000</v>
      </c>
      <c r="L648" s="27">
        <v>45327</v>
      </c>
      <c r="M648" t="str">
        <f t="shared" si="9"/>
        <v>Target Achieved</v>
      </c>
    </row>
    <row r="649" spans="1:13" x14ac:dyDescent="0.35">
      <c r="A649" s="33" t="s">
        <v>850</v>
      </c>
      <c r="B649" s="3" t="s">
        <v>393</v>
      </c>
      <c r="C649" s="3" t="s">
        <v>14</v>
      </c>
      <c r="D649" s="3" t="s">
        <v>15</v>
      </c>
      <c r="E649" s="3" t="s">
        <v>32</v>
      </c>
      <c r="F649" s="3" t="s">
        <v>39</v>
      </c>
      <c r="G649" s="3" t="s">
        <v>36</v>
      </c>
      <c r="H649" s="3">
        <v>13825</v>
      </c>
      <c r="I649" s="3" t="s">
        <v>19</v>
      </c>
      <c r="J649" s="3">
        <v>0.2</v>
      </c>
      <c r="K649" s="3">
        <v>14000</v>
      </c>
      <c r="L649" s="27">
        <v>45349</v>
      </c>
      <c r="M649" t="str">
        <f t="shared" si="9"/>
        <v>Below Target</v>
      </c>
    </row>
    <row r="650" spans="1:13" x14ac:dyDescent="0.35">
      <c r="A650" s="33" t="s">
        <v>851</v>
      </c>
      <c r="B650" s="3" t="s">
        <v>163</v>
      </c>
      <c r="C650" s="3" t="s">
        <v>44</v>
      </c>
      <c r="D650" s="3" t="s">
        <v>45</v>
      </c>
      <c r="E650" s="3" t="s">
        <v>32</v>
      </c>
      <c r="F650" s="3" t="s">
        <v>39</v>
      </c>
      <c r="G650" s="3" t="s">
        <v>36</v>
      </c>
      <c r="H650" s="3">
        <v>12562</v>
      </c>
      <c r="I650" s="3" t="s">
        <v>22</v>
      </c>
      <c r="J650" s="3">
        <v>0.1</v>
      </c>
      <c r="K650" s="3">
        <v>13000</v>
      </c>
      <c r="L650" s="27">
        <v>45316</v>
      </c>
      <c r="M650" t="str">
        <f t="shared" si="9"/>
        <v>Below Target</v>
      </c>
    </row>
    <row r="651" spans="1:13" x14ac:dyDescent="0.35">
      <c r="A651" s="33" t="s">
        <v>852</v>
      </c>
      <c r="B651" s="3" t="s">
        <v>307</v>
      </c>
      <c r="C651" s="3" t="s">
        <v>30</v>
      </c>
      <c r="D651" s="3" t="s">
        <v>31</v>
      </c>
      <c r="E651" s="3" t="s">
        <v>32</v>
      </c>
      <c r="F651" s="3" t="s">
        <v>39</v>
      </c>
      <c r="G651" s="3" t="s">
        <v>36</v>
      </c>
      <c r="H651" s="3">
        <v>17106</v>
      </c>
      <c r="I651" s="3" t="s">
        <v>27</v>
      </c>
      <c r="J651" s="3"/>
      <c r="K651" s="3">
        <v>17000</v>
      </c>
      <c r="L651" s="27">
        <v>45320</v>
      </c>
      <c r="M651" t="str">
        <f t="shared" si="9"/>
        <v>Target Achieved</v>
      </c>
    </row>
    <row r="652" spans="1:13" x14ac:dyDescent="0.35">
      <c r="A652" s="33" t="s">
        <v>853</v>
      </c>
      <c r="B652" s="3" t="s">
        <v>711</v>
      </c>
      <c r="C652" s="3" t="s">
        <v>30</v>
      </c>
      <c r="D652" s="3" t="s">
        <v>31</v>
      </c>
      <c r="E652" s="3" t="s">
        <v>16</v>
      </c>
      <c r="F652" s="3" t="s">
        <v>25</v>
      </c>
      <c r="G652" s="3" t="s">
        <v>36</v>
      </c>
      <c r="H652" s="3">
        <v>17104</v>
      </c>
      <c r="I652" s="3" t="s">
        <v>22</v>
      </c>
      <c r="J652" s="3">
        <v>0.1</v>
      </c>
      <c r="K652" s="3">
        <v>17000</v>
      </c>
      <c r="L652" s="27">
        <v>45352</v>
      </c>
      <c r="M652" t="str">
        <f t="shared" si="9"/>
        <v>Target Achieved</v>
      </c>
    </row>
    <row r="653" spans="1:13" x14ac:dyDescent="0.35">
      <c r="A653" s="33" t="s">
        <v>854</v>
      </c>
      <c r="B653" s="3" t="s">
        <v>843</v>
      </c>
      <c r="C653" s="3" t="s">
        <v>14</v>
      </c>
      <c r="D653" s="3" t="s">
        <v>15</v>
      </c>
      <c r="E653" s="3" t="s">
        <v>16</v>
      </c>
      <c r="F653" s="3" t="s">
        <v>25</v>
      </c>
      <c r="G653" s="3" t="s">
        <v>18</v>
      </c>
      <c r="H653" s="3">
        <v>14745</v>
      </c>
      <c r="I653" s="3" t="s">
        <v>19</v>
      </c>
      <c r="J653" s="3">
        <v>0.2</v>
      </c>
      <c r="K653" s="3">
        <v>14000</v>
      </c>
      <c r="L653" s="27">
        <v>45347</v>
      </c>
      <c r="M653" t="str">
        <f t="shared" si="9"/>
        <v>Target Achieved</v>
      </c>
    </row>
    <row r="654" spans="1:13" x14ac:dyDescent="0.35">
      <c r="A654" s="33" t="s">
        <v>855</v>
      </c>
      <c r="B654" s="3" t="s">
        <v>90</v>
      </c>
      <c r="C654" s="3" t="s">
        <v>14</v>
      </c>
      <c r="D654" s="3" t="s">
        <v>15</v>
      </c>
      <c r="E654" s="3" t="s">
        <v>32</v>
      </c>
      <c r="F654" s="3" t="s">
        <v>39</v>
      </c>
      <c r="G654" s="3" t="s">
        <v>26</v>
      </c>
      <c r="H654" s="3">
        <v>15598</v>
      </c>
      <c r="I654" s="3"/>
      <c r="J654" s="3"/>
      <c r="K654" s="3">
        <v>14000</v>
      </c>
      <c r="L654" s="27">
        <v>45333</v>
      </c>
      <c r="M654" t="str">
        <f t="shared" si="9"/>
        <v>Target Achieved</v>
      </c>
    </row>
    <row r="655" spans="1:13" x14ac:dyDescent="0.35">
      <c r="A655" s="33" t="s">
        <v>856</v>
      </c>
      <c r="B655" s="3" t="s">
        <v>96</v>
      </c>
      <c r="C655" s="3" t="s">
        <v>44</v>
      </c>
      <c r="D655" s="3" t="s">
        <v>45</v>
      </c>
      <c r="E655" s="3" t="s">
        <v>32</v>
      </c>
      <c r="F655" s="3" t="s">
        <v>17</v>
      </c>
      <c r="G655" s="3" t="s">
        <v>26</v>
      </c>
      <c r="H655" s="3">
        <v>12358</v>
      </c>
      <c r="I655" s="3" t="s">
        <v>22</v>
      </c>
      <c r="J655" s="3">
        <v>0.1</v>
      </c>
      <c r="K655" s="3">
        <v>13000</v>
      </c>
      <c r="L655" s="27">
        <v>45297</v>
      </c>
      <c r="M655" t="str">
        <f t="shared" si="9"/>
        <v>Below Target</v>
      </c>
    </row>
    <row r="656" spans="1:13" x14ac:dyDescent="0.35">
      <c r="A656" s="33" t="s">
        <v>857</v>
      </c>
      <c r="B656" s="3" t="s">
        <v>43</v>
      </c>
      <c r="C656" s="3" t="s">
        <v>44</v>
      </c>
      <c r="D656" s="3" t="s">
        <v>45</v>
      </c>
      <c r="E656" s="3" t="s">
        <v>46</v>
      </c>
      <c r="F656" s="3" t="s">
        <v>39</v>
      </c>
      <c r="G656" s="3" t="s">
        <v>18</v>
      </c>
      <c r="H656" s="3">
        <v>13355</v>
      </c>
      <c r="I656" s="3" t="s">
        <v>19</v>
      </c>
      <c r="J656" s="3">
        <v>0.2</v>
      </c>
      <c r="K656" s="3">
        <v>13000</v>
      </c>
      <c r="L656" s="27">
        <v>45350</v>
      </c>
      <c r="M656" t="str">
        <f t="shared" si="9"/>
        <v>Target Achieved</v>
      </c>
    </row>
    <row r="657" spans="1:13" x14ac:dyDescent="0.35">
      <c r="A657" s="33" t="s">
        <v>858</v>
      </c>
      <c r="B657" s="3" t="s">
        <v>70</v>
      </c>
      <c r="C657" s="3" t="s">
        <v>61</v>
      </c>
      <c r="D657" s="3" t="s">
        <v>62</v>
      </c>
      <c r="E657" s="3" t="s">
        <v>46</v>
      </c>
      <c r="F657" s="3" t="s">
        <v>39</v>
      </c>
      <c r="G657" s="3" t="s">
        <v>36</v>
      </c>
      <c r="H657" s="3">
        <v>8773</v>
      </c>
      <c r="I657" s="3" t="s">
        <v>33</v>
      </c>
      <c r="J657" s="3">
        <v>0.3</v>
      </c>
      <c r="K657" s="3">
        <v>9000</v>
      </c>
      <c r="L657" s="27">
        <v>45293</v>
      </c>
      <c r="M657" t="str">
        <f t="shared" si="9"/>
        <v>Below Target</v>
      </c>
    </row>
    <row r="658" spans="1:13" x14ac:dyDescent="0.35">
      <c r="A658" s="33" t="s">
        <v>859</v>
      </c>
      <c r="B658" s="3" t="s">
        <v>274</v>
      </c>
      <c r="C658" s="3" t="s">
        <v>14</v>
      </c>
      <c r="D658" s="3" t="s">
        <v>15</v>
      </c>
      <c r="E658" s="3" t="s">
        <v>16</v>
      </c>
      <c r="F658" s="3" t="s">
        <v>25</v>
      </c>
      <c r="G658" s="3" t="s">
        <v>26</v>
      </c>
      <c r="H658" s="3">
        <v>14950</v>
      </c>
      <c r="I658" s="3" t="s">
        <v>27</v>
      </c>
      <c r="J658" s="3"/>
      <c r="K658" s="3">
        <v>14000</v>
      </c>
      <c r="L658" s="27">
        <v>45296</v>
      </c>
      <c r="M658" t="str">
        <f t="shared" si="9"/>
        <v>Target Achieved</v>
      </c>
    </row>
    <row r="659" spans="1:13" x14ac:dyDescent="0.35">
      <c r="A659" s="33" t="s">
        <v>860</v>
      </c>
      <c r="B659" s="3" t="s">
        <v>296</v>
      </c>
      <c r="C659" s="3" t="s">
        <v>14</v>
      </c>
      <c r="D659" s="3" t="s">
        <v>15</v>
      </c>
      <c r="E659" s="3" t="s">
        <v>16</v>
      </c>
      <c r="F659" s="3" t="s">
        <v>25</v>
      </c>
      <c r="G659" s="3" t="s">
        <v>36</v>
      </c>
      <c r="H659" s="3">
        <v>15801</v>
      </c>
      <c r="I659" s="3" t="s">
        <v>27</v>
      </c>
      <c r="J659" s="3"/>
      <c r="K659" s="3">
        <v>14000</v>
      </c>
      <c r="L659" s="27">
        <v>45298</v>
      </c>
      <c r="M659" t="str">
        <f t="shared" si="9"/>
        <v>Target Achieved</v>
      </c>
    </row>
    <row r="660" spans="1:13" x14ac:dyDescent="0.35">
      <c r="A660" s="33" t="s">
        <v>861</v>
      </c>
      <c r="B660" s="3" t="s">
        <v>443</v>
      </c>
      <c r="C660" s="3" t="s">
        <v>30</v>
      </c>
      <c r="D660" s="3" t="s">
        <v>31</v>
      </c>
      <c r="E660" s="3" t="s">
        <v>16</v>
      </c>
      <c r="F660" s="3" t="s">
        <v>25</v>
      </c>
      <c r="G660" s="3" t="s">
        <v>36</v>
      </c>
      <c r="H660" s="3">
        <v>18134</v>
      </c>
      <c r="I660" s="3"/>
      <c r="J660" s="3"/>
      <c r="K660" s="3">
        <v>17000</v>
      </c>
      <c r="L660" s="27">
        <v>45316</v>
      </c>
      <c r="M660" t="str">
        <f t="shared" si="9"/>
        <v>Target Achieved</v>
      </c>
    </row>
    <row r="661" spans="1:13" x14ac:dyDescent="0.35">
      <c r="A661" s="33" t="s">
        <v>862</v>
      </c>
      <c r="B661" s="3" t="s">
        <v>309</v>
      </c>
      <c r="C661" s="3" t="s">
        <v>14</v>
      </c>
      <c r="D661" s="3" t="s">
        <v>15</v>
      </c>
      <c r="E661" s="3" t="s">
        <v>46</v>
      </c>
      <c r="F661" s="3" t="s">
        <v>25</v>
      </c>
      <c r="G661" s="3" t="s">
        <v>26</v>
      </c>
      <c r="H661" s="3">
        <v>12900</v>
      </c>
      <c r="I661" s="3" t="s">
        <v>19</v>
      </c>
      <c r="J661" s="3">
        <v>0.2</v>
      </c>
      <c r="K661" s="3">
        <v>14000</v>
      </c>
      <c r="L661" s="27">
        <v>45339</v>
      </c>
      <c r="M661" t="str">
        <f t="shared" si="9"/>
        <v>Below Target</v>
      </c>
    </row>
    <row r="662" spans="1:13" x14ac:dyDescent="0.35">
      <c r="A662" s="33" t="s">
        <v>863</v>
      </c>
      <c r="B662" s="3" t="s">
        <v>155</v>
      </c>
      <c r="C662" s="3" t="s">
        <v>30</v>
      </c>
      <c r="D662" s="3" t="s">
        <v>31</v>
      </c>
      <c r="E662" s="3" t="s">
        <v>16</v>
      </c>
      <c r="F662" s="3" t="s">
        <v>25</v>
      </c>
      <c r="G662" s="3" t="s">
        <v>36</v>
      </c>
      <c r="H662" s="3">
        <v>17774</v>
      </c>
      <c r="I662" s="3" t="s">
        <v>33</v>
      </c>
      <c r="J662" s="3">
        <v>0.3</v>
      </c>
      <c r="K662" s="3">
        <v>17000</v>
      </c>
      <c r="L662" s="27">
        <v>45352</v>
      </c>
      <c r="M662" t="str">
        <f t="shared" si="9"/>
        <v>Target Achieved</v>
      </c>
    </row>
    <row r="663" spans="1:13" x14ac:dyDescent="0.35">
      <c r="A663" s="33" t="s">
        <v>864</v>
      </c>
      <c r="B663" s="3" t="s">
        <v>166</v>
      </c>
      <c r="C663" s="3" t="s">
        <v>44</v>
      </c>
      <c r="D663" s="3" t="s">
        <v>45</v>
      </c>
      <c r="E663" s="3" t="s">
        <v>32</v>
      </c>
      <c r="F663" s="3" t="s">
        <v>25</v>
      </c>
      <c r="G663" s="3" t="s">
        <v>18</v>
      </c>
      <c r="H663" s="3">
        <v>13345</v>
      </c>
      <c r="I663" s="3" t="s">
        <v>27</v>
      </c>
      <c r="J663" s="3"/>
      <c r="K663" s="3">
        <v>13000</v>
      </c>
      <c r="L663" s="27">
        <v>45317</v>
      </c>
      <c r="M663" t="str">
        <f t="shared" si="9"/>
        <v>Target Achieved</v>
      </c>
    </row>
    <row r="664" spans="1:13" x14ac:dyDescent="0.35">
      <c r="A664" s="33" t="s">
        <v>865</v>
      </c>
      <c r="B664" s="3" t="s">
        <v>168</v>
      </c>
      <c r="C664" s="3" t="s">
        <v>14</v>
      </c>
      <c r="D664" s="3" t="s">
        <v>15</v>
      </c>
      <c r="E664" s="3" t="s">
        <v>46</v>
      </c>
      <c r="F664" s="3" t="s">
        <v>25</v>
      </c>
      <c r="G664" s="3" t="s">
        <v>26</v>
      </c>
      <c r="H664" s="3">
        <v>15036</v>
      </c>
      <c r="I664" s="3" t="s">
        <v>33</v>
      </c>
      <c r="J664" s="3">
        <v>0.3</v>
      </c>
      <c r="K664" s="3">
        <v>14000</v>
      </c>
      <c r="L664" s="27">
        <v>45305</v>
      </c>
      <c r="M664" t="str">
        <f t="shared" si="9"/>
        <v>Target Achieved</v>
      </c>
    </row>
    <row r="665" spans="1:13" x14ac:dyDescent="0.35">
      <c r="A665" s="33" t="s">
        <v>866</v>
      </c>
      <c r="B665" s="3" t="s">
        <v>274</v>
      </c>
      <c r="C665" s="3" t="s">
        <v>44</v>
      </c>
      <c r="D665" s="3" t="s">
        <v>45</v>
      </c>
      <c r="E665" s="3" t="s">
        <v>32</v>
      </c>
      <c r="F665" s="3" t="s">
        <v>25</v>
      </c>
      <c r="G665" s="3" t="s">
        <v>18</v>
      </c>
      <c r="H665" s="3">
        <v>13526</v>
      </c>
      <c r="I665" s="3" t="s">
        <v>33</v>
      </c>
      <c r="J665" s="3">
        <v>0.3</v>
      </c>
      <c r="K665" s="3">
        <v>13000</v>
      </c>
      <c r="L665" s="27">
        <v>45304</v>
      </c>
      <c r="M665" t="str">
        <f t="shared" si="9"/>
        <v>Target Achieved</v>
      </c>
    </row>
    <row r="666" spans="1:13" x14ac:dyDescent="0.35">
      <c r="A666" s="33" t="s">
        <v>867</v>
      </c>
      <c r="B666" s="3" t="s">
        <v>843</v>
      </c>
      <c r="C666" s="3" t="s">
        <v>14</v>
      </c>
      <c r="D666" s="3" t="s">
        <v>15</v>
      </c>
      <c r="E666" s="3" t="s">
        <v>16</v>
      </c>
      <c r="F666" s="3" t="s">
        <v>17</v>
      </c>
      <c r="G666" s="3" t="s">
        <v>26</v>
      </c>
      <c r="H666" s="3">
        <v>14251</v>
      </c>
      <c r="I666" s="3" t="s">
        <v>22</v>
      </c>
      <c r="J666" s="3">
        <v>0.1</v>
      </c>
      <c r="K666" s="3">
        <v>14000</v>
      </c>
      <c r="L666" s="27">
        <v>45310</v>
      </c>
      <c r="M666" t="str">
        <f t="shared" si="9"/>
        <v>Target Achieved</v>
      </c>
    </row>
    <row r="667" spans="1:13" x14ac:dyDescent="0.35">
      <c r="A667" s="33" t="s">
        <v>868</v>
      </c>
      <c r="B667" s="3" t="s">
        <v>13</v>
      </c>
      <c r="C667" s="3" t="s">
        <v>30</v>
      </c>
      <c r="D667" s="3" t="s">
        <v>31</v>
      </c>
      <c r="E667" s="3" t="s">
        <v>32</v>
      </c>
      <c r="F667" s="3" t="s">
        <v>25</v>
      </c>
      <c r="G667" s="3" t="s">
        <v>26</v>
      </c>
      <c r="H667" s="3">
        <v>17378</v>
      </c>
      <c r="I667" s="3"/>
      <c r="J667" s="3"/>
      <c r="K667" s="3">
        <v>17000</v>
      </c>
      <c r="L667" s="27">
        <v>45352</v>
      </c>
      <c r="M667" t="str">
        <f t="shared" si="9"/>
        <v>Target Achieved</v>
      </c>
    </row>
    <row r="668" spans="1:13" x14ac:dyDescent="0.35">
      <c r="A668" s="33" t="s">
        <v>869</v>
      </c>
      <c r="B668" s="3" t="s">
        <v>282</v>
      </c>
      <c r="C668" s="3" t="s">
        <v>44</v>
      </c>
      <c r="D668" s="3" t="s">
        <v>45</v>
      </c>
      <c r="E668" s="3" t="s">
        <v>16</v>
      </c>
      <c r="F668" s="3" t="s">
        <v>39</v>
      </c>
      <c r="G668" s="3" t="s">
        <v>18</v>
      </c>
      <c r="H668" s="3">
        <v>11409</v>
      </c>
      <c r="I668" s="3" t="s">
        <v>33</v>
      </c>
      <c r="J668" s="3">
        <v>0.3</v>
      </c>
      <c r="K668" s="3">
        <v>13000</v>
      </c>
      <c r="L668" s="27">
        <v>45331</v>
      </c>
      <c r="M668" t="str">
        <f t="shared" si="9"/>
        <v>Below Target</v>
      </c>
    </row>
    <row r="669" spans="1:13" x14ac:dyDescent="0.35">
      <c r="A669" s="33" t="s">
        <v>870</v>
      </c>
      <c r="B669" s="3" t="s">
        <v>248</v>
      </c>
      <c r="C669" s="3" t="s">
        <v>30</v>
      </c>
      <c r="D669" s="3" t="s">
        <v>31</v>
      </c>
      <c r="E669" s="3" t="s">
        <v>46</v>
      </c>
      <c r="F669" s="3" t="s">
        <v>17</v>
      </c>
      <c r="G669" s="3" t="s">
        <v>36</v>
      </c>
      <c r="H669" s="3">
        <v>17524</v>
      </c>
      <c r="I669" s="3" t="s">
        <v>33</v>
      </c>
      <c r="J669" s="3">
        <v>0.3</v>
      </c>
      <c r="K669" s="3">
        <v>17000</v>
      </c>
      <c r="L669" s="27">
        <v>45336</v>
      </c>
      <c r="M669" t="str">
        <f t="shared" si="9"/>
        <v>Target Achieved</v>
      </c>
    </row>
    <row r="670" spans="1:13" x14ac:dyDescent="0.35">
      <c r="A670" s="33" t="s">
        <v>871</v>
      </c>
      <c r="B670" s="3" t="s">
        <v>373</v>
      </c>
      <c r="C670" s="3" t="s">
        <v>30</v>
      </c>
      <c r="D670" s="3" t="s">
        <v>31</v>
      </c>
      <c r="E670" s="3" t="s">
        <v>46</v>
      </c>
      <c r="F670" s="3" t="s">
        <v>17</v>
      </c>
      <c r="G670" s="3" t="s">
        <v>18</v>
      </c>
      <c r="H670" s="3">
        <v>15019</v>
      </c>
      <c r="I670" s="3" t="s">
        <v>33</v>
      </c>
      <c r="J670" s="3">
        <v>0.3</v>
      </c>
      <c r="K670" s="3">
        <v>17000</v>
      </c>
      <c r="L670" s="27">
        <v>45307</v>
      </c>
      <c r="M670" t="str">
        <f t="shared" si="9"/>
        <v>Below Target</v>
      </c>
    </row>
    <row r="671" spans="1:13" x14ac:dyDescent="0.35">
      <c r="A671" s="33" t="s">
        <v>872</v>
      </c>
      <c r="B671" s="3" t="s">
        <v>294</v>
      </c>
      <c r="C671" s="3" t="s">
        <v>61</v>
      </c>
      <c r="D671" s="3" t="s">
        <v>62</v>
      </c>
      <c r="E671" s="3" t="s">
        <v>46</v>
      </c>
      <c r="F671" s="3" t="s">
        <v>17</v>
      </c>
      <c r="G671" s="3" t="s">
        <v>18</v>
      </c>
      <c r="H671" s="3">
        <v>9783</v>
      </c>
      <c r="I671" s="3" t="s">
        <v>33</v>
      </c>
      <c r="J671" s="3">
        <v>0.3</v>
      </c>
      <c r="K671" s="3">
        <v>9000</v>
      </c>
      <c r="L671" s="27">
        <v>45348</v>
      </c>
      <c r="M671" t="str">
        <f t="shared" si="9"/>
        <v>Target Achieved</v>
      </c>
    </row>
    <row r="672" spans="1:13" x14ac:dyDescent="0.35">
      <c r="A672" s="33" t="s">
        <v>873</v>
      </c>
      <c r="B672" s="3" t="s">
        <v>231</v>
      </c>
      <c r="C672" s="3" t="s">
        <v>61</v>
      </c>
      <c r="D672" s="3" t="s">
        <v>62</v>
      </c>
      <c r="E672" s="3" t="s">
        <v>46</v>
      </c>
      <c r="F672" s="3" t="s">
        <v>17</v>
      </c>
      <c r="G672" s="3" t="s">
        <v>36</v>
      </c>
      <c r="H672" s="3">
        <v>9259</v>
      </c>
      <c r="I672" s="3" t="s">
        <v>22</v>
      </c>
      <c r="J672" s="3">
        <v>0.1</v>
      </c>
      <c r="K672" s="3">
        <v>9000</v>
      </c>
      <c r="L672" s="27">
        <v>45303</v>
      </c>
      <c r="M672" t="str">
        <f t="shared" ref="M672:M735" si="10">IF(H672&gt;=K672,"Target Achieved","Below Target")</f>
        <v>Target Achieved</v>
      </c>
    </row>
    <row r="673" spans="1:13" x14ac:dyDescent="0.35">
      <c r="A673" s="33" t="s">
        <v>874</v>
      </c>
      <c r="B673" s="3" t="s">
        <v>163</v>
      </c>
      <c r="C673" s="3" t="s">
        <v>14</v>
      </c>
      <c r="D673" s="3" t="s">
        <v>15</v>
      </c>
      <c r="E673" s="3" t="s">
        <v>46</v>
      </c>
      <c r="F673" s="3" t="s">
        <v>25</v>
      </c>
      <c r="G673" s="3" t="s">
        <v>26</v>
      </c>
      <c r="H673" s="3">
        <v>12804</v>
      </c>
      <c r="I673" s="3" t="s">
        <v>33</v>
      </c>
      <c r="J673" s="3">
        <v>0.3</v>
      </c>
      <c r="K673" s="3">
        <v>14000</v>
      </c>
      <c r="L673" s="27">
        <v>45338</v>
      </c>
      <c r="M673" t="str">
        <f t="shared" si="10"/>
        <v>Below Target</v>
      </c>
    </row>
    <row r="674" spans="1:13" x14ac:dyDescent="0.35">
      <c r="A674" s="33" t="s">
        <v>875</v>
      </c>
      <c r="B674" s="3" t="s">
        <v>50</v>
      </c>
      <c r="C674" s="3" t="s">
        <v>14</v>
      </c>
      <c r="D674" s="3" t="s">
        <v>15</v>
      </c>
      <c r="E674" s="3" t="s">
        <v>16</v>
      </c>
      <c r="F674" s="3" t="s">
        <v>25</v>
      </c>
      <c r="G674" s="3" t="s">
        <v>18</v>
      </c>
      <c r="H674" s="3">
        <v>15479</v>
      </c>
      <c r="I674" s="3" t="s">
        <v>27</v>
      </c>
      <c r="J674" s="3"/>
      <c r="K674" s="3">
        <v>14000</v>
      </c>
      <c r="L674" s="27">
        <v>45332</v>
      </c>
      <c r="M674" t="str">
        <f t="shared" si="10"/>
        <v>Target Achieved</v>
      </c>
    </row>
    <row r="675" spans="1:13" x14ac:dyDescent="0.35">
      <c r="A675" s="33" t="s">
        <v>876</v>
      </c>
      <c r="B675" s="3" t="s">
        <v>129</v>
      </c>
      <c r="C675" s="3" t="s">
        <v>61</v>
      </c>
      <c r="D675" s="3" t="s">
        <v>62</v>
      </c>
      <c r="E675" s="3" t="s">
        <v>16</v>
      </c>
      <c r="F675" s="3" t="s">
        <v>25</v>
      </c>
      <c r="G675" s="3" t="s">
        <v>18</v>
      </c>
      <c r="H675" s="3">
        <v>9259</v>
      </c>
      <c r="I675" s="3" t="s">
        <v>33</v>
      </c>
      <c r="J675" s="3">
        <v>0.3</v>
      </c>
      <c r="K675" s="3">
        <v>9000</v>
      </c>
      <c r="L675" s="27">
        <v>45326</v>
      </c>
      <c r="M675" t="str">
        <f t="shared" si="10"/>
        <v>Target Achieved</v>
      </c>
    </row>
    <row r="676" spans="1:13" x14ac:dyDescent="0.35">
      <c r="A676" s="33" t="s">
        <v>877</v>
      </c>
      <c r="B676" s="3" t="s">
        <v>84</v>
      </c>
      <c r="C676" s="3" t="s">
        <v>61</v>
      </c>
      <c r="D676" s="3" t="s">
        <v>62</v>
      </c>
      <c r="E676" s="3" t="s">
        <v>16</v>
      </c>
      <c r="F676" s="3" t="s">
        <v>25</v>
      </c>
      <c r="G676" s="3" t="s">
        <v>36</v>
      </c>
      <c r="H676" s="3">
        <v>8607</v>
      </c>
      <c r="I676" s="3" t="s">
        <v>19</v>
      </c>
      <c r="J676" s="3">
        <v>0.2</v>
      </c>
      <c r="K676" s="3">
        <v>9000</v>
      </c>
      <c r="L676" s="27">
        <v>45349</v>
      </c>
      <c r="M676" t="str">
        <f t="shared" si="10"/>
        <v>Below Target</v>
      </c>
    </row>
    <row r="677" spans="1:13" x14ac:dyDescent="0.35">
      <c r="A677" s="33" t="s">
        <v>878</v>
      </c>
      <c r="B677" s="3" t="s">
        <v>522</v>
      </c>
      <c r="C677" s="3" t="s">
        <v>30</v>
      </c>
      <c r="D677" s="3" t="s">
        <v>31</v>
      </c>
      <c r="E677" s="3" t="s">
        <v>32</v>
      </c>
      <c r="F677" s="3" t="s">
        <v>17</v>
      </c>
      <c r="G677" s="3" t="s">
        <v>26</v>
      </c>
      <c r="H677" s="3">
        <v>17090</v>
      </c>
      <c r="I677" s="3" t="s">
        <v>22</v>
      </c>
      <c r="J677" s="3">
        <v>0.1</v>
      </c>
      <c r="K677" s="3">
        <v>17000</v>
      </c>
      <c r="L677" s="27">
        <v>45317</v>
      </c>
      <c r="M677" t="str">
        <f t="shared" si="10"/>
        <v>Target Achieved</v>
      </c>
    </row>
    <row r="678" spans="1:13" x14ac:dyDescent="0.35">
      <c r="A678" s="33" t="s">
        <v>879</v>
      </c>
      <c r="B678" s="3" t="s">
        <v>301</v>
      </c>
      <c r="C678" s="3" t="s">
        <v>14</v>
      </c>
      <c r="D678" s="3" t="s">
        <v>15</v>
      </c>
      <c r="E678" s="3" t="s">
        <v>16</v>
      </c>
      <c r="F678" s="3" t="s">
        <v>25</v>
      </c>
      <c r="G678" s="3" t="s">
        <v>26</v>
      </c>
      <c r="H678" s="3">
        <v>14802</v>
      </c>
      <c r="I678" s="3" t="s">
        <v>19</v>
      </c>
      <c r="J678" s="3">
        <v>0.2</v>
      </c>
      <c r="K678" s="3">
        <v>14000</v>
      </c>
      <c r="L678" s="27">
        <v>45340</v>
      </c>
      <c r="M678" t="str">
        <f t="shared" si="10"/>
        <v>Target Achieved</v>
      </c>
    </row>
    <row r="679" spans="1:13" x14ac:dyDescent="0.35">
      <c r="A679" s="33" t="s">
        <v>880</v>
      </c>
      <c r="B679" s="3" t="s">
        <v>80</v>
      </c>
      <c r="C679" s="3" t="s">
        <v>61</v>
      </c>
      <c r="D679" s="3" t="s">
        <v>62</v>
      </c>
      <c r="E679" s="3" t="s">
        <v>32</v>
      </c>
      <c r="F679" s="3" t="s">
        <v>25</v>
      </c>
      <c r="G679" s="3" t="s">
        <v>26</v>
      </c>
      <c r="H679" s="3">
        <v>10885</v>
      </c>
      <c r="I679" s="3" t="s">
        <v>27</v>
      </c>
      <c r="J679" s="3"/>
      <c r="K679" s="3">
        <v>9000</v>
      </c>
      <c r="L679" s="27">
        <v>45334</v>
      </c>
      <c r="M679" t="str">
        <f t="shared" si="10"/>
        <v>Target Achieved</v>
      </c>
    </row>
    <row r="680" spans="1:13" x14ac:dyDescent="0.35">
      <c r="A680" s="33" t="s">
        <v>881</v>
      </c>
      <c r="B680" s="3" t="s">
        <v>412</v>
      </c>
      <c r="C680" s="3" t="s">
        <v>61</v>
      </c>
      <c r="D680" s="3" t="s">
        <v>62</v>
      </c>
      <c r="E680" s="3" t="s">
        <v>46</v>
      </c>
      <c r="F680" s="3" t="s">
        <v>25</v>
      </c>
      <c r="G680" s="3" t="s">
        <v>18</v>
      </c>
      <c r="H680" s="3">
        <v>10118</v>
      </c>
      <c r="I680" s="3"/>
      <c r="J680" s="3"/>
      <c r="K680" s="3">
        <v>9000</v>
      </c>
      <c r="L680" s="27">
        <v>45306</v>
      </c>
      <c r="M680" t="str">
        <f t="shared" si="10"/>
        <v>Target Achieved</v>
      </c>
    </row>
    <row r="681" spans="1:13" x14ac:dyDescent="0.35">
      <c r="A681" s="33" t="s">
        <v>882</v>
      </c>
      <c r="B681" s="3" t="s">
        <v>263</v>
      </c>
      <c r="C681" s="3" t="s">
        <v>30</v>
      </c>
      <c r="D681" s="3" t="s">
        <v>31</v>
      </c>
      <c r="E681" s="3" t="s">
        <v>32</v>
      </c>
      <c r="F681" s="3" t="s">
        <v>25</v>
      </c>
      <c r="G681" s="3" t="s">
        <v>26</v>
      </c>
      <c r="H681" s="3">
        <v>15846</v>
      </c>
      <c r="I681" s="3" t="s">
        <v>27</v>
      </c>
      <c r="J681" s="3"/>
      <c r="K681" s="3">
        <v>17000</v>
      </c>
      <c r="L681" s="27">
        <v>45350</v>
      </c>
      <c r="M681" t="str">
        <f t="shared" si="10"/>
        <v>Below Target</v>
      </c>
    </row>
    <row r="682" spans="1:13" x14ac:dyDescent="0.35">
      <c r="A682" s="33" t="s">
        <v>883</v>
      </c>
      <c r="B682" s="3" t="s">
        <v>602</v>
      </c>
      <c r="C682" s="3" t="s">
        <v>61</v>
      </c>
      <c r="D682" s="3" t="s">
        <v>62</v>
      </c>
      <c r="E682" s="3" t="s">
        <v>46</v>
      </c>
      <c r="F682" s="3" t="s">
        <v>17</v>
      </c>
      <c r="G682" s="3" t="s">
        <v>18</v>
      </c>
      <c r="H682" s="3">
        <v>7163</v>
      </c>
      <c r="I682" s="3" t="s">
        <v>33</v>
      </c>
      <c r="J682" s="3">
        <v>0.3</v>
      </c>
      <c r="K682" s="3">
        <v>9000</v>
      </c>
      <c r="L682" s="27">
        <v>45298</v>
      </c>
      <c r="M682" t="str">
        <f t="shared" si="10"/>
        <v>Below Target</v>
      </c>
    </row>
    <row r="683" spans="1:13" x14ac:dyDescent="0.35">
      <c r="A683" s="33" t="s">
        <v>884</v>
      </c>
      <c r="B683" s="3" t="s">
        <v>103</v>
      </c>
      <c r="C683" s="3" t="s">
        <v>30</v>
      </c>
      <c r="D683" s="3" t="s">
        <v>31</v>
      </c>
      <c r="E683" s="3" t="s">
        <v>16</v>
      </c>
      <c r="F683" s="3" t="s">
        <v>17</v>
      </c>
      <c r="G683" s="3" t="s">
        <v>26</v>
      </c>
      <c r="H683" s="3">
        <v>17229</v>
      </c>
      <c r="I683" s="3" t="s">
        <v>27</v>
      </c>
      <c r="J683" s="3"/>
      <c r="K683" s="3">
        <v>17000</v>
      </c>
      <c r="L683" s="27">
        <v>45303</v>
      </c>
      <c r="M683" t="str">
        <f t="shared" si="10"/>
        <v>Target Achieved</v>
      </c>
    </row>
    <row r="684" spans="1:13" x14ac:dyDescent="0.35">
      <c r="A684" s="33" t="s">
        <v>885</v>
      </c>
      <c r="B684" s="3" t="s">
        <v>274</v>
      </c>
      <c r="C684" s="3" t="s">
        <v>61</v>
      </c>
      <c r="D684" s="3" t="s">
        <v>62</v>
      </c>
      <c r="E684" s="3" t="s">
        <v>46</v>
      </c>
      <c r="F684" s="3" t="s">
        <v>39</v>
      </c>
      <c r="G684" s="3" t="s">
        <v>26</v>
      </c>
      <c r="H684" s="3">
        <v>10679</v>
      </c>
      <c r="I684" s="3" t="s">
        <v>22</v>
      </c>
      <c r="J684" s="3">
        <v>0.1</v>
      </c>
      <c r="K684" s="3">
        <v>9000</v>
      </c>
      <c r="L684" s="27">
        <v>45325</v>
      </c>
      <c r="M684" t="str">
        <f t="shared" si="10"/>
        <v>Target Achieved</v>
      </c>
    </row>
    <row r="685" spans="1:13" x14ac:dyDescent="0.35">
      <c r="A685" s="33" t="s">
        <v>886</v>
      </c>
      <c r="B685" s="3" t="s">
        <v>70</v>
      </c>
      <c r="C685" s="3" t="s">
        <v>44</v>
      </c>
      <c r="D685" s="3" t="s">
        <v>45</v>
      </c>
      <c r="E685" s="3" t="s">
        <v>16</v>
      </c>
      <c r="F685" s="3" t="s">
        <v>17</v>
      </c>
      <c r="G685" s="3" t="s">
        <v>36</v>
      </c>
      <c r="H685" s="3">
        <v>14347</v>
      </c>
      <c r="I685" s="3" t="s">
        <v>33</v>
      </c>
      <c r="J685" s="3">
        <v>0.3</v>
      </c>
      <c r="K685" s="3">
        <v>13000</v>
      </c>
      <c r="L685" s="27">
        <v>45323</v>
      </c>
      <c r="M685" t="str">
        <f t="shared" si="10"/>
        <v>Target Achieved</v>
      </c>
    </row>
    <row r="686" spans="1:13" x14ac:dyDescent="0.35">
      <c r="A686" s="33" t="s">
        <v>887</v>
      </c>
      <c r="B686" s="3" t="s">
        <v>298</v>
      </c>
      <c r="C686" s="3" t="s">
        <v>14</v>
      </c>
      <c r="D686" s="3" t="s">
        <v>15</v>
      </c>
      <c r="E686" s="3" t="s">
        <v>16</v>
      </c>
      <c r="F686" s="3" t="s">
        <v>25</v>
      </c>
      <c r="G686" s="3" t="s">
        <v>36</v>
      </c>
      <c r="H686" s="3">
        <v>12678</v>
      </c>
      <c r="I686" s="3" t="s">
        <v>19</v>
      </c>
      <c r="J686" s="3">
        <v>0.2</v>
      </c>
      <c r="K686" s="3">
        <v>14000</v>
      </c>
      <c r="L686" s="27">
        <v>45296</v>
      </c>
      <c r="M686" t="str">
        <f t="shared" si="10"/>
        <v>Below Target</v>
      </c>
    </row>
    <row r="687" spans="1:13" x14ac:dyDescent="0.35">
      <c r="A687" s="33" t="s">
        <v>888</v>
      </c>
      <c r="B687" s="3" t="s">
        <v>202</v>
      </c>
      <c r="C687" s="3" t="s">
        <v>30</v>
      </c>
      <c r="D687" s="3" t="s">
        <v>31</v>
      </c>
      <c r="E687" s="3" t="s">
        <v>32</v>
      </c>
      <c r="F687" s="3" t="s">
        <v>25</v>
      </c>
      <c r="G687" s="3" t="s">
        <v>18</v>
      </c>
      <c r="H687" s="3">
        <v>15644</v>
      </c>
      <c r="I687" s="3" t="s">
        <v>33</v>
      </c>
      <c r="J687" s="3">
        <v>0.3</v>
      </c>
      <c r="K687" s="3">
        <v>17000</v>
      </c>
      <c r="L687" s="27">
        <v>45330</v>
      </c>
      <c r="M687" t="str">
        <f t="shared" si="10"/>
        <v>Below Target</v>
      </c>
    </row>
    <row r="688" spans="1:13" x14ac:dyDescent="0.35">
      <c r="A688" s="33" t="s">
        <v>889</v>
      </c>
      <c r="B688" s="3" t="s">
        <v>371</v>
      </c>
      <c r="C688" s="3" t="s">
        <v>14</v>
      </c>
      <c r="D688" s="3" t="s">
        <v>15</v>
      </c>
      <c r="E688" s="3" t="s">
        <v>16</v>
      </c>
      <c r="F688" s="3" t="s">
        <v>25</v>
      </c>
      <c r="G688" s="3" t="s">
        <v>36</v>
      </c>
      <c r="H688" s="3">
        <v>15322</v>
      </c>
      <c r="I688" s="3" t="s">
        <v>33</v>
      </c>
      <c r="J688" s="3">
        <v>0.3</v>
      </c>
      <c r="K688" s="3">
        <v>14000</v>
      </c>
      <c r="L688" s="27">
        <v>45338</v>
      </c>
      <c r="M688" t="str">
        <f t="shared" si="10"/>
        <v>Target Achieved</v>
      </c>
    </row>
    <row r="689" spans="1:13" x14ac:dyDescent="0.35">
      <c r="A689" s="33" t="s">
        <v>890</v>
      </c>
      <c r="B689" s="3" t="s">
        <v>245</v>
      </c>
      <c r="C689" s="3" t="s">
        <v>61</v>
      </c>
      <c r="D689" s="3" t="s">
        <v>62</v>
      </c>
      <c r="E689" s="3" t="s">
        <v>46</v>
      </c>
      <c r="F689" s="3" t="s">
        <v>25</v>
      </c>
      <c r="G689" s="3" t="s">
        <v>26</v>
      </c>
      <c r="H689" s="3">
        <v>7660</v>
      </c>
      <c r="I689" s="3"/>
      <c r="J689" s="3"/>
      <c r="K689" s="3">
        <v>9000</v>
      </c>
      <c r="L689" s="27">
        <v>45293</v>
      </c>
      <c r="M689" t="str">
        <f t="shared" si="10"/>
        <v>Below Target</v>
      </c>
    </row>
    <row r="690" spans="1:13" x14ac:dyDescent="0.35">
      <c r="A690" s="33" t="s">
        <v>891</v>
      </c>
      <c r="B690" s="3" t="s">
        <v>500</v>
      </c>
      <c r="C690" s="3" t="s">
        <v>44</v>
      </c>
      <c r="D690" s="3" t="s">
        <v>45</v>
      </c>
      <c r="E690" s="3" t="s">
        <v>16</v>
      </c>
      <c r="F690" s="3" t="s">
        <v>39</v>
      </c>
      <c r="G690" s="3" t="s">
        <v>18</v>
      </c>
      <c r="H690" s="3">
        <v>11551</v>
      </c>
      <c r="I690" s="3" t="s">
        <v>27</v>
      </c>
      <c r="J690" s="3"/>
      <c r="K690" s="3">
        <v>13000</v>
      </c>
      <c r="L690" s="27">
        <v>45294</v>
      </c>
      <c r="M690" t="str">
        <f t="shared" si="10"/>
        <v>Below Target</v>
      </c>
    </row>
    <row r="691" spans="1:13" x14ac:dyDescent="0.35">
      <c r="A691" s="33" t="s">
        <v>892</v>
      </c>
      <c r="B691" s="3" t="s">
        <v>60</v>
      </c>
      <c r="C691" s="3" t="s">
        <v>44</v>
      </c>
      <c r="D691" s="3" t="s">
        <v>45</v>
      </c>
      <c r="E691" s="3" t="s">
        <v>32</v>
      </c>
      <c r="F691" s="3" t="s">
        <v>25</v>
      </c>
      <c r="G691" s="3" t="s">
        <v>36</v>
      </c>
      <c r="H691" s="3">
        <v>14778</v>
      </c>
      <c r="I691" s="3" t="s">
        <v>19</v>
      </c>
      <c r="J691" s="3">
        <v>0.2</v>
      </c>
      <c r="K691" s="3">
        <v>13000</v>
      </c>
      <c r="L691" s="27">
        <v>45325</v>
      </c>
      <c r="M691" t="str">
        <f t="shared" si="10"/>
        <v>Target Achieved</v>
      </c>
    </row>
    <row r="692" spans="1:13" x14ac:dyDescent="0.35">
      <c r="A692" s="33" t="s">
        <v>893</v>
      </c>
      <c r="B692" s="3" t="s">
        <v>617</v>
      </c>
      <c r="C692" s="3" t="s">
        <v>14</v>
      </c>
      <c r="D692" s="3" t="s">
        <v>15</v>
      </c>
      <c r="E692" s="3" t="s">
        <v>16</v>
      </c>
      <c r="F692" s="3" t="s">
        <v>39</v>
      </c>
      <c r="G692" s="3" t="s">
        <v>26</v>
      </c>
      <c r="H692" s="3">
        <v>15364</v>
      </c>
      <c r="I692" s="3" t="s">
        <v>33</v>
      </c>
      <c r="J692" s="3">
        <v>0.3</v>
      </c>
      <c r="K692" s="3">
        <v>14000</v>
      </c>
      <c r="L692" s="27">
        <v>45352</v>
      </c>
      <c r="M692" t="str">
        <f t="shared" si="10"/>
        <v>Target Achieved</v>
      </c>
    </row>
    <row r="693" spans="1:13" x14ac:dyDescent="0.35">
      <c r="A693" s="33" t="s">
        <v>894</v>
      </c>
      <c r="B693" s="3" t="s">
        <v>248</v>
      </c>
      <c r="C693" s="3" t="s">
        <v>61</v>
      </c>
      <c r="D693" s="3" t="s">
        <v>62</v>
      </c>
      <c r="E693" s="3" t="s">
        <v>16</v>
      </c>
      <c r="F693" s="3" t="s">
        <v>17</v>
      </c>
      <c r="G693" s="3" t="s">
        <v>36</v>
      </c>
      <c r="H693" s="3">
        <v>7698</v>
      </c>
      <c r="I693" s="3" t="s">
        <v>19</v>
      </c>
      <c r="J693" s="3">
        <v>0.2</v>
      </c>
      <c r="K693" s="3">
        <v>9000</v>
      </c>
      <c r="L693" s="27">
        <v>45345</v>
      </c>
      <c r="M693" t="str">
        <f t="shared" si="10"/>
        <v>Below Target</v>
      </c>
    </row>
    <row r="694" spans="1:13" x14ac:dyDescent="0.35">
      <c r="A694" s="33" t="s">
        <v>895</v>
      </c>
      <c r="B694" s="3" t="s">
        <v>617</v>
      </c>
      <c r="C694" s="3" t="s">
        <v>44</v>
      </c>
      <c r="D694" s="3" t="s">
        <v>45</v>
      </c>
      <c r="E694" s="3" t="s">
        <v>16</v>
      </c>
      <c r="F694" s="3" t="s">
        <v>25</v>
      </c>
      <c r="G694" s="3" t="s">
        <v>26</v>
      </c>
      <c r="H694" s="3">
        <v>13701</v>
      </c>
      <c r="I694" s="3" t="s">
        <v>27</v>
      </c>
      <c r="J694" s="3"/>
      <c r="K694" s="3">
        <v>13000</v>
      </c>
      <c r="L694" s="27">
        <v>45308</v>
      </c>
      <c r="M694" t="str">
        <f t="shared" si="10"/>
        <v>Target Achieved</v>
      </c>
    </row>
    <row r="695" spans="1:13" x14ac:dyDescent="0.35">
      <c r="A695" s="33" t="s">
        <v>896</v>
      </c>
      <c r="B695" s="3" t="s">
        <v>280</v>
      </c>
      <c r="C695" s="3" t="s">
        <v>30</v>
      </c>
      <c r="D695" s="3" t="s">
        <v>31</v>
      </c>
      <c r="E695" s="3" t="s">
        <v>46</v>
      </c>
      <c r="F695" s="3" t="s">
        <v>39</v>
      </c>
      <c r="G695" s="3" t="s">
        <v>26</v>
      </c>
      <c r="H695" s="3">
        <v>15281</v>
      </c>
      <c r="I695" s="3" t="s">
        <v>19</v>
      </c>
      <c r="J695" s="3">
        <v>0.2</v>
      </c>
      <c r="K695" s="3">
        <v>17000</v>
      </c>
      <c r="L695" s="27">
        <v>45316</v>
      </c>
      <c r="M695" t="str">
        <f t="shared" si="10"/>
        <v>Below Target</v>
      </c>
    </row>
    <row r="696" spans="1:13" x14ac:dyDescent="0.35">
      <c r="A696" s="33" t="s">
        <v>897</v>
      </c>
      <c r="B696" s="3" t="s">
        <v>186</v>
      </c>
      <c r="C696" s="3" t="s">
        <v>14</v>
      </c>
      <c r="D696" s="3" t="s">
        <v>15</v>
      </c>
      <c r="E696" s="3" t="s">
        <v>32</v>
      </c>
      <c r="F696" s="3" t="s">
        <v>25</v>
      </c>
      <c r="G696" s="3" t="s">
        <v>26</v>
      </c>
      <c r="H696" s="3">
        <v>15520</v>
      </c>
      <c r="I696" s="3" t="s">
        <v>27</v>
      </c>
      <c r="J696" s="3"/>
      <c r="K696" s="3">
        <v>14000</v>
      </c>
      <c r="L696" s="27">
        <v>45335</v>
      </c>
      <c r="M696" t="str">
        <f t="shared" si="10"/>
        <v>Target Achieved</v>
      </c>
    </row>
    <row r="697" spans="1:13" x14ac:dyDescent="0.35">
      <c r="A697" s="33" t="s">
        <v>898</v>
      </c>
      <c r="B697" s="3" t="s">
        <v>309</v>
      </c>
      <c r="C697" s="3" t="s">
        <v>44</v>
      </c>
      <c r="D697" s="3" t="s">
        <v>45</v>
      </c>
      <c r="E697" s="3" t="s">
        <v>16</v>
      </c>
      <c r="F697" s="3" t="s">
        <v>25</v>
      </c>
      <c r="G697" s="3" t="s">
        <v>18</v>
      </c>
      <c r="H697" s="3">
        <v>12949</v>
      </c>
      <c r="I697" s="3" t="s">
        <v>27</v>
      </c>
      <c r="J697" s="3"/>
      <c r="K697" s="3">
        <v>13000</v>
      </c>
      <c r="L697" s="27">
        <v>45330</v>
      </c>
      <c r="M697" t="str">
        <f t="shared" si="10"/>
        <v>Below Target</v>
      </c>
    </row>
    <row r="698" spans="1:13" x14ac:dyDescent="0.35">
      <c r="A698" s="33" t="s">
        <v>899</v>
      </c>
      <c r="B698" s="3" t="s">
        <v>321</v>
      </c>
      <c r="C698" s="3" t="s">
        <v>14</v>
      </c>
      <c r="D698" s="3" t="s">
        <v>15</v>
      </c>
      <c r="E698" s="3" t="s">
        <v>32</v>
      </c>
      <c r="F698" s="3" t="s">
        <v>17</v>
      </c>
      <c r="G698" s="3" t="s">
        <v>26</v>
      </c>
      <c r="H698" s="3">
        <v>12533</v>
      </c>
      <c r="I698" s="3" t="s">
        <v>27</v>
      </c>
      <c r="J698" s="3"/>
      <c r="K698" s="3">
        <v>14000</v>
      </c>
      <c r="L698" s="27">
        <v>45326</v>
      </c>
      <c r="M698" t="str">
        <f t="shared" si="10"/>
        <v>Below Target</v>
      </c>
    </row>
    <row r="699" spans="1:13" x14ac:dyDescent="0.35">
      <c r="A699" s="33" t="s">
        <v>900</v>
      </c>
      <c r="B699" s="3" t="s">
        <v>676</v>
      </c>
      <c r="C699" s="3" t="s">
        <v>61</v>
      </c>
      <c r="D699" s="3" t="s">
        <v>62</v>
      </c>
      <c r="E699" s="3" t="s">
        <v>16</v>
      </c>
      <c r="F699" s="3" t="s">
        <v>17</v>
      </c>
      <c r="G699" s="3" t="s">
        <v>36</v>
      </c>
      <c r="H699" s="3">
        <v>10583</v>
      </c>
      <c r="I699" s="3" t="s">
        <v>22</v>
      </c>
      <c r="J699" s="3">
        <v>0.1</v>
      </c>
      <c r="K699" s="3">
        <v>9000</v>
      </c>
      <c r="L699" s="27">
        <v>45336</v>
      </c>
      <c r="M699" t="str">
        <f t="shared" si="10"/>
        <v>Target Achieved</v>
      </c>
    </row>
    <row r="700" spans="1:13" x14ac:dyDescent="0.35">
      <c r="A700" s="33" t="s">
        <v>901</v>
      </c>
      <c r="B700" s="3" t="s">
        <v>388</v>
      </c>
      <c r="C700" s="3" t="s">
        <v>44</v>
      </c>
      <c r="D700" s="3" t="s">
        <v>45</v>
      </c>
      <c r="E700" s="3" t="s">
        <v>46</v>
      </c>
      <c r="F700" s="3" t="s">
        <v>17</v>
      </c>
      <c r="G700" s="3" t="s">
        <v>36</v>
      </c>
      <c r="H700" s="3">
        <v>13412</v>
      </c>
      <c r="I700" s="3" t="s">
        <v>27</v>
      </c>
      <c r="J700" s="3"/>
      <c r="K700" s="3">
        <v>13000</v>
      </c>
      <c r="L700" s="27">
        <v>45298</v>
      </c>
      <c r="M700" t="str">
        <f t="shared" si="10"/>
        <v>Target Achieved</v>
      </c>
    </row>
    <row r="701" spans="1:13" x14ac:dyDescent="0.35">
      <c r="A701" s="33" t="s">
        <v>902</v>
      </c>
      <c r="B701" s="3" t="s">
        <v>186</v>
      </c>
      <c r="C701" s="3" t="s">
        <v>30</v>
      </c>
      <c r="D701" s="3" t="s">
        <v>31</v>
      </c>
      <c r="E701" s="3" t="s">
        <v>46</v>
      </c>
      <c r="F701" s="3" t="s">
        <v>25</v>
      </c>
      <c r="G701" s="3" t="s">
        <v>18</v>
      </c>
      <c r="H701" s="3">
        <v>16160</v>
      </c>
      <c r="I701" s="3" t="s">
        <v>27</v>
      </c>
      <c r="J701" s="3"/>
      <c r="K701" s="3">
        <v>17000</v>
      </c>
      <c r="L701" s="27">
        <v>45348</v>
      </c>
      <c r="M701" t="str">
        <f t="shared" si="10"/>
        <v>Below Target</v>
      </c>
    </row>
    <row r="702" spans="1:13" x14ac:dyDescent="0.35">
      <c r="A702" s="33" t="s">
        <v>903</v>
      </c>
      <c r="B702" s="3" t="s">
        <v>388</v>
      </c>
      <c r="C702" s="3" t="s">
        <v>30</v>
      </c>
      <c r="D702" s="3" t="s">
        <v>31</v>
      </c>
      <c r="E702" s="3" t="s">
        <v>32</v>
      </c>
      <c r="F702" s="3" t="s">
        <v>25</v>
      </c>
      <c r="G702" s="3" t="s">
        <v>26</v>
      </c>
      <c r="H702" s="3">
        <v>18045</v>
      </c>
      <c r="I702" s="3" t="s">
        <v>22</v>
      </c>
      <c r="J702" s="3">
        <v>0.1</v>
      </c>
      <c r="K702" s="3">
        <v>17000</v>
      </c>
      <c r="L702" s="27">
        <v>45328</v>
      </c>
      <c r="M702" t="str">
        <f t="shared" si="10"/>
        <v>Target Achieved</v>
      </c>
    </row>
    <row r="703" spans="1:13" x14ac:dyDescent="0.35">
      <c r="A703" s="33" t="s">
        <v>904</v>
      </c>
      <c r="B703" s="3" t="s">
        <v>905</v>
      </c>
      <c r="C703" s="3" t="s">
        <v>14</v>
      </c>
      <c r="D703" s="3" t="s">
        <v>15</v>
      </c>
      <c r="E703" s="3" t="s">
        <v>46</v>
      </c>
      <c r="F703" s="3" t="s">
        <v>39</v>
      </c>
      <c r="G703" s="3" t="s">
        <v>18</v>
      </c>
      <c r="H703" s="3">
        <v>14817</v>
      </c>
      <c r="I703" s="3" t="s">
        <v>33</v>
      </c>
      <c r="J703" s="3">
        <v>0.3</v>
      </c>
      <c r="K703" s="3">
        <v>14000</v>
      </c>
      <c r="L703" s="27">
        <v>45318</v>
      </c>
      <c r="M703" t="str">
        <f t="shared" si="10"/>
        <v>Target Achieved</v>
      </c>
    </row>
    <row r="704" spans="1:13" x14ac:dyDescent="0.35">
      <c r="A704" s="33" t="s">
        <v>906</v>
      </c>
      <c r="B704" s="3" t="s">
        <v>116</v>
      </c>
      <c r="C704" s="3" t="s">
        <v>44</v>
      </c>
      <c r="D704" s="3" t="s">
        <v>45</v>
      </c>
      <c r="E704" s="3" t="s">
        <v>46</v>
      </c>
      <c r="F704" s="3" t="s">
        <v>39</v>
      </c>
      <c r="G704" s="3" t="s">
        <v>26</v>
      </c>
      <c r="H704" s="3">
        <v>12038</v>
      </c>
      <c r="I704" s="3" t="s">
        <v>33</v>
      </c>
      <c r="J704" s="3">
        <v>0.3</v>
      </c>
      <c r="K704" s="3">
        <v>13000</v>
      </c>
      <c r="L704" s="27">
        <v>45346</v>
      </c>
      <c r="M704" t="str">
        <f t="shared" si="10"/>
        <v>Below Target</v>
      </c>
    </row>
    <row r="705" spans="1:13" x14ac:dyDescent="0.35">
      <c r="A705" s="33" t="s">
        <v>907</v>
      </c>
      <c r="B705" s="3" t="s">
        <v>388</v>
      </c>
      <c r="C705" s="3" t="s">
        <v>30</v>
      </c>
      <c r="D705" s="3" t="s">
        <v>31</v>
      </c>
      <c r="E705" s="3" t="s">
        <v>16</v>
      </c>
      <c r="F705" s="3" t="s">
        <v>17</v>
      </c>
      <c r="G705" s="3" t="s">
        <v>26</v>
      </c>
      <c r="H705" s="3">
        <v>16627</v>
      </c>
      <c r="I705" s="3" t="s">
        <v>19</v>
      </c>
      <c r="J705" s="3">
        <v>0.2</v>
      </c>
      <c r="K705" s="3">
        <v>17000</v>
      </c>
      <c r="L705" s="27">
        <v>45318</v>
      </c>
      <c r="M705" t="str">
        <f t="shared" si="10"/>
        <v>Below Target</v>
      </c>
    </row>
    <row r="706" spans="1:13" x14ac:dyDescent="0.35">
      <c r="A706" s="33" t="s">
        <v>908</v>
      </c>
      <c r="B706" s="3" t="s">
        <v>82</v>
      </c>
      <c r="C706" s="3" t="s">
        <v>61</v>
      </c>
      <c r="D706" s="3" t="s">
        <v>62</v>
      </c>
      <c r="E706" s="3" t="s">
        <v>32</v>
      </c>
      <c r="F706" s="3" t="s">
        <v>17</v>
      </c>
      <c r="G706" s="3" t="s">
        <v>26</v>
      </c>
      <c r="H706" s="3">
        <v>9272</v>
      </c>
      <c r="I706" s="3"/>
      <c r="J706" s="3"/>
      <c r="K706" s="3">
        <v>9000</v>
      </c>
      <c r="L706" s="27">
        <v>45308</v>
      </c>
      <c r="M706" t="str">
        <f t="shared" si="10"/>
        <v>Target Achieved</v>
      </c>
    </row>
    <row r="707" spans="1:13" x14ac:dyDescent="0.35">
      <c r="A707" s="33" t="s">
        <v>909</v>
      </c>
      <c r="B707" s="3" t="s">
        <v>118</v>
      </c>
      <c r="C707" s="3" t="s">
        <v>30</v>
      </c>
      <c r="D707" s="3" t="s">
        <v>31</v>
      </c>
      <c r="E707" s="3" t="s">
        <v>16</v>
      </c>
      <c r="F707" s="3" t="s">
        <v>17</v>
      </c>
      <c r="G707" s="3" t="s">
        <v>26</v>
      </c>
      <c r="H707" s="3">
        <v>15565</v>
      </c>
      <c r="I707" s="3" t="s">
        <v>22</v>
      </c>
      <c r="J707" s="3">
        <v>0.1</v>
      </c>
      <c r="K707" s="3">
        <v>17000</v>
      </c>
      <c r="L707" s="27">
        <v>45339</v>
      </c>
      <c r="M707" t="str">
        <f t="shared" si="10"/>
        <v>Below Target</v>
      </c>
    </row>
    <row r="708" spans="1:13" x14ac:dyDescent="0.35">
      <c r="A708" s="33" t="s">
        <v>910</v>
      </c>
      <c r="B708" s="3" t="s">
        <v>29</v>
      </c>
      <c r="C708" s="3" t="s">
        <v>44</v>
      </c>
      <c r="D708" s="3" t="s">
        <v>45</v>
      </c>
      <c r="E708" s="3" t="s">
        <v>32</v>
      </c>
      <c r="F708" s="3" t="s">
        <v>25</v>
      </c>
      <c r="G708" s="3" t="s">
        <v>26</v>
      </c>
      <c r="H708" s="3">
        <v>12640</v>
      </c>
      <c r="I708" s="3" t="s">
        <v>33</v>
      </c>
      <c r="J708" s="3">
        <v>0.3</v>
      </c>
      <c r="K708" s="3">
        <v>13000</v>
      </c>
      <c r="L708" s="27">
        <v>45343</v>
      </c>
      <c r="M708" t="str">
        <f t="shared" si="10"/>
        <v>Below Target</v>
      </c>
    </row>
    <row r="709" spans="1:13" x14ac:dyDescent="0.35">
      <c r="A709" s="33" t="s">
        <v>911</v>
      </c>
      <c r="B709" s="3" t="s">
        <v>382</v>
      </c>
      <c r="C709" s="3" t="s">
        <v>14</v>
      </c>
      <c r="D709" s="3" t="s">
        <v>15</v>
      </c>
      <c r="E709" s="3" t="s">
        <v>32</v>
      </c>
      <c r="F709" s="3" t="s">
        <v>17</v>
      </c>
      <c r="G709" s="3" t="s">
        <v>26</v>
      </c>
      <c r="H709" s="3">
        <v>12021</v>
      </c>
      <c r="I709" s="3" t="s">
        <v>22</v>
      </c>
      <c r="J709" s="3">
        <v>0.1</v>
      </c>
      <c r="K709" s="3">
        <v>14000</v>
      </c>
      <c r="L709" s="27">
        <v>45344</v>
      </c>
      <c r="M709" t="str">
        <f t="shared" si="10"/>
        <v>Below Target</v>
      </c>
    </row>
    <row r="710" spans="1:13" x14ac:dyDescent="0.35">
      <c r="A710" s="33" t="s">
        <v>912</v>
      </c>
      <c r="B710" s="3" t="s">
        <v>429</v>
      </c>
      <c r="C710" s="3" t="s">
        <v>61</v>
      </c>
      <c r="D710" s="3" t="s">
        <v>62</v>
      </c>
      <c r="E710" s="3" t="s">
        <v>32</v>
      </c>
      <c r="F710" s="3" t="s">
        <v>25</v>
      </c>
      <c r="G710" s="3" t="s">
        <v>36</v>
      </c>
      <c r="H710" s="3">
        <v>7908</v>
      </c>
      <c r="I710" s="3" t="s">
        <v>33</v>
      </c>
      <c r="J710" s="3">
        <v>0.3</v>
      </c>
      <c r="K710" s="3">
        <v>9000</v>
      </c>
      <c r="L710" s="27">
        <v>45297</v>
      </c>
      <c r="M710" t="str">
        <f t="shared" si="10"/>
        <v>Below Target</v>
      </c>
    </row>
    <row r="711" spans="1:13" x14ac:dyDescent="0.35">
      <c r="A711" s="33" t="s">
        <v>913</v>
      </c>
      <c r="B711" s="3" t="s">
        <v>359</v>
      </c>
      <c r="C711" s="3" t="s">
        <v>61</v>
      </c>
      <c r="D711" s="3" t="s">
        <v>62</v>
      </c>
      <c r="E711" s="3" t="s">
        <v>46</v>
      </c>
      <c r="F711" s="3" t="s">
        <v>39</v>
      </c>
      <c r="G711" s="3" t="s">
        <v>26</v>
      </c>
      <c r="H711" s="3">
        <v>9134</v>
      </c>
      <c r="I711" s="3" t="s">
        <v>33</v>
      </c>
      <c r="J711" s="3">
        <v>0.3</v>
      </c>
      <c r="K711" s="3">
        <v>9000</v>
      </c>
      <c r="L711" s="27">
        <v>45337</v>
      </c>
      <c r="M711" t="str">
        <f t="shared" si="10"/>
        <v>Target Achieved</v>
      </c>
    </row>
    <row r="712" spans="1:13" x14ac:dyDescent="0.35">
      <c r="A712" s="33" t="s">
        <v>914</v>
      </c>
      <c r="B712" s="3" t="s">
        <v>359</v>
      </c>
      <c r="C712" s="3" t="s">
        <v>44</v>
      </c>
      <c r="D712" s="3" t="s">
        <v>45</v>
      </c>
      <c r="E712" s="3" t="s">
        <v>16</v>
      </c>
      <c r="F712" s="3" t="s">
        <v>17</v>
      </c>
      <c r="G712" s="3" t="s">
        <v>36</v>
      </c>
      <c r="H712" s="3">
        <v>11043</v>
      </c>
      <c r="I712" s="3" t="s">
        <v>19</v>
      </c>
      <c r="J712" s="3">
        <v>0.2</v>
      </c>
      <c r="K712" s="3">
        <v>13000</v>
      </c>
      <c r="L712" s="27">
        <v>45346</v>
      </c>
      <c r="M712" t="str">
        <f t="shared" si="10"/>
        <v>Below Target</v>
      </c>
    </row>
    <row r="713" spans="1:13" x14ac:dyDescent="0.35">
      <c r="A713" s="33" t="s">
        <v>915</v>
      </c>
      <c r="B713" s="3" t="s">
        <v>270</v>
      </c>
      <c r="C713" s="3" t="s">
        <v>30</v>
      </c>
      <c r="D713" s="3" t="s">
        <v>31</v>
      </c>
      <c r="E713" s="3" t="s">
        <v>32</v>
      </c>
      <c r="F713" s="3" t="s">
        <v>25</v>
      </c>
      <c r="G713" s="3" t="s">
        <v>26</v>
      </c>
      <c r="H713" s="3">
        <v>17091</v>
      </c>
      <c r="I713" s="3" t="s">
        <v>27</v>
      </c>
      <c r="J713" s="3"/>
      <c r="K713" s="3">
        <v>17000</v>
      </c>
      <c r="L713" s="27">
        <v>45336</v>
      </c>
      <c r="M713" t="str">
        <f t="shared" si="10"/>
        <v>Target Achieved</v>
      </c>
    </row>
    <row r="714" spans="1:13" x14ac:dyDescent="0.35">
      <c r="A714" s="33" t="s">
        <v>916</v>
      </c>
      <c r="B714" s="3" t="s">
        <v>56</v>
      </c>
      <c r="C714" s="3" t="s">
        <v>44</v>
      </c>
      <c r="D714" s="3" t="s">
        <v>45</v>
      </c>
      <c r="E714" s="3" t="s">
        <v>16</v>
      </c>
      <c r="F714" s="3" t="s">
        <v>25</v>
      </c>
      <c r="G714" s="3" t="s">
        <v>36</v>
      </c>
      <c r="H714" s="3">
        <v>11979</v>
      </c>
      <c r="I714" s="3" t="s">
        <v>22</v>
      </c>
      <c r="J714" s="3">
        <v>0.1</v>
      </c>
      <c r="K714" s="3">
        <v>13000</v>
      </c>
      <c r="L714" s="27">
        <v>45302</v>
      </c>
      <c r="M714" t="str">
        <f t="shared" si="10"/>
        <v>Below Target</v>
      </c>
    </row>
    <row r="715" spans="1:13" x14ac:dyDescent="0.35">
      <c r="A715" s="33" t="s">
        <v>917</v>
      </c>
      <c r="B715" s="3" t="s">
        <v>263</v>
      </c>
      <c r="C715" s="3" t="s">
        <v>61</v>
      </c>
      <c r="D715" s="3" t="s">
        <v>62</v>
      </c>
      <c r="E715" s="3" t="s">
        <v>46</v>
      </c>
      <c r="F715" s="3" t="s">
        <v>39</v>
      </c>
      <c r="G715" s="3" t="s">
        <v>36</v>
      </c>
      <c r="H715" s="3">
        <v>8660</v>
      </c>
      <c r="I715" s="3" t="s">
        <v>27</v>
      </c>
      <c r="J715" s="3"/>
      <c r="K715" s="3">
        <v>9000</v>
      </c>
      <c r="L715" s="27">
        <v>45304</v>
      </c>
      <c r="M715" t="str">
        <f t="shared" si="10"/>
        <v>Below Target</v>
      </c>
    </row>
    <row r="716" spans="1:13" x14ac:dyDescent="0.35">
      <c r="A716" s="33" t="s">
        <v>918</v>
      </c>
      <c r="B716" s="3" t="s">
        <v>184</v>
      </c>
      <c r="C716" s="3" t="s">
        <v>14</v>
      </c>
      <c r="D716" s="3" t="s">
        <v>15</v>
      </c>
      <c r="E716" s="3" t="s">
        <v>32</v>
      </c>
      <c r="F716" s="3" t="s">
        <v>39</v>
      </c>
      <c r="G716" s="3" t="s">
        <v>36</v>
      </c>
      <c r="H716" s="3">
        <v>14974</v>
      </c>
      <c r="I716" s="3" t="s">
        <v>27</v>
      </c>
      <c r="J716" s="3"/>
      <c r="K716" s="3">
        <v>14000</v>
      </c>
      <c r="L716" s="27">
        <v>45350</v>
      </c>
      <c r="M716" t="str">
        <f t="shared" si="10"/>
        <v>Target Achieved</v>
      </c>
    </row>
    <row r="717" spans="1:13" x14ac:dyDescent="0.35">
      <c r="A717" s="33" t="s">
        <v>919</v>
      </c>
      <c r="B717" s="3" t="s">
        <v>920</v>
      </c>
      <c r="C717" s="3" t="s">
        <v>30</v>
      </c>
      <c r="D717" s="3" t="s">
        <v>31</v>
      </c>
      <c r="E717" s="3" t="s">
        <v>46</v>
      </c>
      <c r="F717" s="3" t="s">
        <v>25</v>
      </c>
      <c r="G717" s="3" t="s">
        <v>26</v>
      </c>
      <c r="H717" s="3">
        <v>18944</v>
      </c>
      <c r="I717" s="3" t="s">
        <v>19</v>
      </c>
      <c r="J717" s="3">
        <v>0.2</v>
      </c>
      <c r="K717" s="3">
        <v>17000</v>
      </c>
      <c r="L717" s="27">
        <v>45321</v>
      </c>
      <c r="M717" t="str">
        <f t="shared" si="10"/>
        <v>Target Achieved</v>
      </c>
    </row>
    <row r="718" spans="1:13" x14ac:dyDescent="0.35">
      <c r="A718" s="33" t="s">
        <v>921</v>
      </c>
      <c r="B718" s="3" t="s">
        <v>137</v>
      </c>
      <c r="C718" s="3" t="s">
        <v>14</v>
      </c>
      <c r="D718" s="3" t="s">
        <v>15</v>
      </c>
      <c r="E718" s="3" t="s">
        <v>46</v>
      </c>
      <c r="F718" s="3" t="s">
        <v>25</v>
      </c>
      <c r="G718" s="3" t="s">
        <v>36</v>
      </c>
      <c r="H718" s="3">
        <v>14073</v>
      </c>
      <c r="I718" s="3" t="s">
        <v>22</v>
      </c>
      <c r="J718" s="3">
        <v>0.1</v>
      </c>
      <c r="K718" s="3">
        <v>14000</v>
      </c>
      <c r="L718" s="27">
        <v>45327</v>
      </c>
      <c r="M718" t="str">
        <f t="shared" si="10"/>
        <v>Target Achieved</v>
      </c>
    </row>
    <row r="719" spans="1:13" x14ac:dyDescent="0.35">
      <c r="A719" s="33" t="s">
        <v>922</v>
      </c>
      <c r="B719" s="3" t="s">
        <v>241</v>
      </c>
      <c r="C719" s="3" t="s">
        <v>30</v>
      </c>
      <c r="D719" s="3" t="s">
        <v>31</v>
      </c>
      <c r="E719" s="3" t="s">
        <v>46</v>
      </c>
      <c r="F719" s="3" t="s">
        <v>25</v>
      </c>
      <c r="G719" s="3" t="s">
        <v>26</v>
      </c>
      <c r="H719" s="3">
        <v>18918</v>
      </c>
      <c r="I719" s="3" t="s">
        <v>33</v>
      </c>
      <c r="J719" s="3">
        <v>0.3</v>
      </c>
      <c r="K719" s="3">
        <v>17000</v>
      </c>
      <c r="L719" s="27">
        <v>45348</v>
      </c>
      <c r="M719" t="str">
        <f t="shared" si="10"/>
        <v>Target Achieved</v>
      </c>
    </row>
    <row r="720" spans="1:13" x14ac:dyDescent="0.35">
      <c r="A720" s="33" t="s">
        <v>923</v>
      </c>
      <c r="B720" s="3" t="s">
        <v>105</v>
      </c>
      <c r="C720" s="3" t="s">
        <v>30</v>
      </c>
      <c r="D720" s="3" t="s">
        <v>31</v>
      </c>
      <c r="E720" s="3" t="s">
        <v>16</v>
      </c>
      <c r="F720" s="3" t="s">
        <v>17</v>
      </c>
      <c r="G720" s="3" t="s">
        <v>36</v>
      </c>
      <c r="H720" s="3">
        <v>17306</v>
      </c>
      <c r="I720" s="3"/>
      <c r="J720" s="3"/>
      <c r="K720" s="3">
        <v>17000</v>
      </c>
      <c r="L720" s="27">
        <v>45341</v>
      </c>
      <c r="M720" t="str">
        <f t="shared" si="10"/>
        <v>Target Achieved</v>
      </c>
    </row>
    <row r="721" spans="1:13" x14ac:dyDescent="0.35">
      <c r="A721" s="33" t="s">
        <v>924</v>
      </c>
      <c r="B721" s="3" t="s">
        <v>401</v>
      </c>
      <c r="C721" s="3" t="s">
        <v>30</v>
      </c>
      <c r="D721" s="3" t="s">
        <v>31</v>
      </c>
      <c r="E721" s="3" t="s">
        <v>46</v>
      </c>
      <c r="F721" s="3" t="s">
        <v>39</v>
      </c>
      <c r="G721" s="3" t="s">
        <v>36</v>
      </c>
      <c r="H721" s="3">
        <v>18672</v>
      </c>
      <c r="I721" s="3" t="s">
        <v>27</v>
      </c>
      <c r="J721" s="3"/>
      <c r="K721" s="3">
        <v>17000</v>
      </c>
      <c r="L721" s="27">
        <v>45347</v>
      </c>
      <c r="M721" t="str">
        <f t="shared" si="10"/>
        <v>Target Achieved</v>
      </c>
    </row>
    <row r="722" spans="1:13" x14ac:dyDescent="0.35">
      <c r="A722" s="33" t="s">
        <v>925</v>
      </c>
      <c r="B722" s="3" t="s">
        <v>489</v>
      </c>
      <c r="C722" s="3" t="s">
        <v>14</v>
      </c>
      <c r="D722" s="3" t="s">
        <v>15</v>
      </c>
      <c r="E722" s="3" t="s">
        <v>46</v>
      </c>
      <c r="F722" s="3" t="s">
        <v>25</v>
      </c>
      <c r="G722" s="3" t="s">
        <v>36</v>
      </c>
      <c r="H722" s="3">
        <v>14595</v>
      </c>
      <c r="I722" s="3" t="s">
        <v>19</v>
      </c>
      <c r="J722" s="3">
        <v>0.2</v>
      </c>
      <c r="K722" s="3">
        <v>14000</v>
      </c>
      <c r="L722" s="27">
        <v>45335</v>
      </c>
      <c r="M722" t="str">
        <f t="shared" si="10"/>
        <v>Target Achieved</v>
      </c>
    </row>
    <row r="723" spans="1:13" x14ac:dyDescent="0.35">
      <c r="A723" s="33" t="s">
        <v>926</v>
      </c>
      <c r="B723" s="3" t="s">
        <v>397</v>
      </c>
      <c r="C723" s="3" t="s">
        <v>30</v>
      </c>
      <c r="D723" s="3" t="s">
        <v>31</v>
      </c>
      <c r="E723" s="3" t="s">
        <v>46</v>
      </c>
      <c r="F723" s="3" t="s">
        <v>17</v>
      </c>
      <c r="G723" s="3" t="s">
        <v>26</v>
      </c>
      <c r="H723" s="3">
        <v>17194</v>
      </c>
      <c r="I723" s="3" t="s">
        <v>22</v>
      </c>
      <c r="J723" s="3">
        <v>0.1</v>
      </c>
      <c r="K723" s="3">
        <v>17000</v>
      </c>
      <c r="L723" s="27">
        <v>45336</v>
      </c>
      <c r="M723" t="str">
        <f t="shared" si="10"/>
        <v>Target Achieved</v>
      </c>
    </row>
    <row r="724" spans="1:13" x14ac:dyDescent="0.35">
      <c r="A724" s="33" t="s">
        <v>927</v>
      </c>
      <c r="B724" s="3" t="s">
        <v>643</v>
      </c>
      <c r="C724" s="3" t="s">
        <v>44</v>
      </c>
      <c r="D724" s="3" t="s">
        <v>45</v>
      </c>
      <c r="E724" s="3" t="s">
        <v>46</v>
      </c>
      <c r="F724" s="3" t="s">
        <v>25</v>
      </c>
      <c r="G724" s="3" t="s">
        <v>36</v>
      </c>
      <c r="H724" s="3">
        <v>13759</v>
      </c>
      <c r="I724" s="3" t="s">
        <v>33</v>
      </c>
      <c r="J724" s="3">
        <v>0.3</v>
      </c>
      <c r="K724" s="3">
        <v>13000</v>
      </c>
      <c r="L724" s="27">
        <v>45296</v>
      </c>
      <c r="M724" t="str">
        <f t="shared" si="10"/>
        <v>Target Achieved</v>
      </c>
    </row>
    <row r="725" spans="1:13" x14ac:dyDescent="0.35">
      <c r="A725" s="33" t="s">
        <v>928</v>
      </c>
      <c r="B725" s="3" t="s">
        <v>80</v>
      </c>
      <c r="C725" s="3" t="s">
        <v>61</v>
      </c>
      <c r="D725" s="3" t="s">
        <v>62</v>
      </c>
      <c r="E725" s="3" t="s">
        <v>46</v>
      </c>
      <c r="F725" s="3" t="s">
        <v>17</v>
      </c>
      <c r="G725" s="3" t="s">
        <v>18</v>
      </c>
      <c r="H725" s="3">
        <v>10663</v>
      </c>
      <c r="I725" s="3" t="s">
        <v>27</v>
      </c>
      <c r="J725" s="3"/>
      <c r="K725" s="3">
        <v>9000</v>
      </c>
      <c r="L725" s="27">
        <v>45309</v>
      </c>
      <c r="M725" t="str">
        <f t="shared" si="10"/>
        <v>Target Achieved</v>
      </c>
    </row>
    <row r="726" spans="1:13" x14ac:dyDescent="0.35">
      <c r="A726" s="33" t="s">
        <v>929</v>
      </c>
      <c r="B726" s="3" t="s">
        <v>280</v>
      </c>
      <c r="C726" s="3" t="s">
        <v>44</v>
      </c>
      <c r="D726" s="3" t="s">
        <v>45</v>
      </c>
      <c r="E726" s="3" t="s">
        <v>46</v>
      </c>
      <c r="F726" s="3" t="s">
        <v>39</v>
      </c>
      <c r="G726" s="3" t="s">
        <v>18</v>
      </c>
      <c r="H726" s="3">
        <v>11961</v>
      </c>
      <c r="I726" s="3" t="s">
        <v>19</v>
      </c>
      <c r="J726" s="3">
        <v>0.2</v>
      </c>
      <c r="K726" s="3">
        <v>13000</v>
      </c>
      <c r="L726" s="27">
        <v>45347</v>
      </c>
      <c r="M726" t="str">
        <f t="shared" si="10"/>
        <v>Below Target</v>
      </c>
    </row>
    <row r="727" spans="1:13" x14ac:dyDescent="0.35">
      <c r="A727" s="33" t="s">
        <v>930</v>
      </c>
      <c r="B727" s="3" t="s">
        <v>289</v>
      </c>
      <c r="C727" s="3" t="s">
        <v>44</v>
      </c>
      <c r="D727" s="3" t="s">
        <v>45</v>
      </c>
      <c r="E727" s="3" t="s">
        <v>32</v>
      </c>
      <c r="F727" s="3" t="s">
        <v>25</v>
      </c>
      <c r="G727" s="3" t="s">
        <v>26</v>
      </c>
      <c r="H727" s="3">
        <v>12458</v>
      </c>
      <c r="I727" s="3" t="s">
        <v>19</v>
      </c>
      <c r="J727" s="3">
        <v>0.2</v>
      </c>
      <c r="K727" s="3">
        <v>13000</v>
      </c>
      <c r="L727" s="27">
        <v>45341</v>
      </c>
      <c r="M727" t="str">
        <f t="shared" si="10"/>
        <v>Below Target</v>
      </c>
    </row>
    <row r="728" spans="1:13" x14ac:dyDescent="0.35">
      <c r="A728" s="33" t="s">
        <v>931</v>
      </c>
      <c r="B728" s="3" t="s">
        <v>78</v>
      </c>
      <c r="C728" s="3" t="s">
        <v>14</v>
      </c>
      <c r="D728" s="3" t="s">
        <v>15</v>
      </c>
      <c r="E728" s="3" t="s">
        <v>16</v>
      </c>
      <c r="F728" s="3" t="s">
        <v>39</v>
      </c>
      <c r="G728" s="3" t="s">
        <v>36</v>
      </c>
      <c r="H728" s="3">
        <v>14514</v>
      </c>
      <c r="I728" s="3" t="s">
        <v>22</v>
      </c>
      <c r="J728" s="3">
        <v>0.1</v>
      </c>
      <c r="K728" s="3">
        <v>14000</v>
      </c>
      <c r="L728" s="27">
        <v>45340</v>
      </c>
      <c r="M728" t="str">
        <f t="shared" si="10"/>
        <v>Target Achieved</v>
      </c>
    </row>
    <row r="729" spans="1:13" x14ac:dyDescent="0.35">
      <c r="A729" s="33" t="s">
        <v>932</v>
      </c>
      <c r="B729" s="3" t="s">
        <v>144</v>
      </c>
      <c r="C729" s="3" t="s">
        <v>14</v>
      </c>
      <c r="D729" s="3" t="s">
        <v>15</v>
      </c>
      <c r="E729" s="3" t="s">
        <v>46</v>
      </c>
      <c r="F729" s="3" t="s">
        <v>17</v>
      </c>
      <c r="G729" s="3" t="s">
        <v>26</v>
      </c>
      <c r="H729" s="3">
        <v>13291</v>
      </c>
      <c r="I729" s="3"/>
      <c r="J729" s="3"/>
      <c r="K729" s="3">
        <v>14000</v>
      </c>
      <c r="L729" s="27">
        <v>45349</v>
      </c>
      <c r="M729" t="str">
        <f t="shared" si="10"/>
        <v>Below Target</v>
      </c>
    </row>
    <row r="730" spans="1:13" x14ac:dyDescent="0.35">
      <c r="A730" s="33" t="s">
        <v>933</v>
      </c>
      <c r="B730" s="3" t="s">
        <v>60</v>
      </c>
      <c r="C730" s="3" t="s">
        <v>30</v>
      </c>
      <c r="D730" s="3" t="s">
        <v>31</v>
      </c>
      <c r="E730" s="3" t="s">
        <v>46</v>
      </c>
      <c r="F730" s="3" t="s">
        <v>25</v>
      </c>
      <c r="G730" s="3" t="s">
        <v>26</v>
      </c>
      <c r="H730" s="3">
        <v>16147</v>
      </c>
      <c r="I730" s="3"/>
      <c r="J730" s="3"/>
      <c r="K730" s="3">
        <v>17000</v>
      </c>
      <c r="L730" s="27">
        <v>45306</v>
      </c>
      <c r="M730" t="str">
        <f t="shared" si="10"/>
        <v>Below Target</v>
      </c>
    </row>
    <row r="731" spans="1:13" x14ac:dyDescent="0.35">
      <c r="A731" s="33" t="s">
        <v>934</v>
      </c>
      <c r="B731" s="3" t="s">
        <v>522</v>
      </c>
      <c r="C731" s="3" t="s">
        <v>44</v>
      </c>
      <c r="D731" s="3" t="s">
        <v>45</v>
      </c>
      <c r="E731" s="3" t="s">
        <v>32</v>
      </c>
      <c r="F731" s="3" t="s">
        <v>39</v>
      </c>
      <c r="G731" s="3" t="s">
        <v>36</v>
      </c>
      <c r="H731" s="3">
        <v>12959</v>
      </c>
      <c r="I731" s="3" t="s">
        <v>27</v>
      </c>
      <c r="J731" s="3"/>
      <c r="K731" s="3">
        <v>13000</v>
      </c>
      <c r="L731" s="27">
        <v>45294</v>
      </c>
      <c r="M731" t="str">
        <f t="shared" si="10"/>
        <v>Below Target</v>
      </c>
    </row>
    <row r="732" spans="1:13" x14ac:dyDescent="0.35">
      <c r="A732" s="33" t="s">
        <v>935</v>
      </c>
      <c r="B732" s="3" t="s">
        <v>217</v>
      </c>
      <c r="C732" s="3" t="s">
        <v>61</v>
      </c>
      <c r="D732" s="3" t="s">
        <v>62</v>
      </c>
      <c r="E732" s="3" t="s">
        <v>16</v>
      </c>
      <c r="F732" s="3" t="s">
        <v>25</v>
      </c>
      <c r="G732" s="3" t="s">
        <v>36</v>
      </c>
      <c r="H732" s="3">
        <v>10999</v>
      </c>
      <c r="I732" s="3" t="s">
        <v>22</v>
      </c>
      <c r="J732" s="3">
        <v>0.1</v>
      </c>
      <c r="K732" s="3">
        <v>9000</v>
      </c>
      <c r="L732" s="27">
        <v>45336</v>
      </c>
      <c r="M732" t="str">
        <f t="shared" si="10"/>
        <v>Target Achieved</v>
      </c>
    </row>
    <row r="733" spans="1:13" x14ac:dyDescent="0.35">
      <c r="A733" s="33" t="s">
        <v>936</v>
      </c>
      <c r="B733" s="3" t="s">
        <v>544</v>
      </c>
      <c r="C733" s="3" t="s">
        <v>30</v>
      </c>
      <c r="D733" s="3" t="s">
        <v>31</v>
      </c>
      <c r="E733" s="3" t="s">
        <v>16</v>
      </c>
      <c r="F733" s="3" t="s">
        <v>25</v>
      </c>
      <c r="G733" s="3" t="s">
        <v>18</v>
      </c>
      <c r="H733" s="3">
        <v>17761</v>
      </c>
      <c r="I733" s="3" t="s">
        <v>19</v>
      </c>
      <c r="J733" s="3">
        <v>0.2</v>
      </c>
      <c r="K733" s="3">
        <v>17000</v>
      </c>
      <c r="L733" s="27">
        <v>45316</v>
      </c>
      <c r="M733" t="str">
        <f t="shared" si="10"/>
        <v>Target Achieved</v>
      </c>
    </row>
    <row r="734" spans="1:13" x14ac:dyDescent="0.35">
      <c r="A734" s="33" t="s">
        <v>937</v>
      </c>
      <c r="B734" s="3" t="s">
        <v>107</v>
      </c>
      <c r="C734" s="3" t="s">
        <v>30</v>
      </c>
      <c r="D734" s="3" t="s">
        <v>31</v>
      </c>
      <c r="E734" s="3" t="s">
        <v>46</v>
      </c>
      <c r="F734" s="3" t="s">
        <v>39</v>
      </c>
      <c r="G734" s="3" t="s">
        <v>36</v>
      </c>
      <c r="H734" s="3">
        <v>15766</v>
      </c>
      <c r="I734" s="3" t="s">
        <v>27</v>
      </c>
      <c r="J734" s="3"/>
      <c r="K734" s="3">
        <v>17000</v>
      </c>
      <c r="L734" s="27">
        <v>45308</v>
      </c>
      <c r="M734" t="str">
        <f t="shared" si="10"/>
        <v>Below Target</v>
      </c>
    </row>
    <row r="735" spans="1:13" x14ac:dyDescent="0.35">
      <c r="A735" s="33" t="s">
        <v>938</v>
      </c>
      <c r="B735" s="3" t="s">
        <v>939</v>
      </c>
      <c r="C735" s="3" t="s">
        <v>61</v>
      </c>
      <c r="D735" s="3" t="s">
        <v>62</v>
      </c>
      <c r="E735" s="3" t="s">
        <v>16</v>
      </c>
      <c r="F735" s="3" t="s">
        <v>17</v>
      </c>
      <c r="G735" s="3" t="s">
        <v>36</v>
      </c>
      <c r="H735" s="3">
        <v>7753</v>
      </c>
      <c r="I735" s="3"/>
      <c r="J735" s="3"/>
      <c r="K735" s="3">
        <v>9000</v>
      </c>
      <c r="L735" s="27">
        <v>45319</v>
      </c>
      <c r="M735" t="str">
        <f t="shared" si="10"/>
        <v>Below Target</v>
      </c>
    </row>
    <row r="736" spans="1:13" x14ac:dyDescent="0.35">
      <c r="A736" s="33" t="s">
        <v>940</v>
      </c>
      <c r="B736" s="3" t="s">
        <v>414</v>
      </c>
      <c r="C736" s="3" t="s">
        <v>30</v>
      </c>
      <c r="D736" s="3" t="s">
        <v>31</v>
      </c>
      <c r="E736" s="3" t="s">
        <v>46</v>
      </c>
      <c r="F736" s="3" t="s">
        <v>17</v>
      </c>
      <c r="G736" s="3" t="s">
        <v>36</v>
      </c>
      <c r="H736" s="3">
        <v>16846</v>
      </c>
      <c r="I736" s="3" t="s">
        <v>19</v>
      </c>
      <c r="J736" s="3">
        <v>0.2</v>
      </c>
      <c r="K736" s="3">
        <v>17000</v>
      </c>
      <c r="L736" s="27">
        <v>45328</v>
      </c>
      <c r="M736" t="str">
        <f t="shared" ref="M736:M799" si="11">IF(H736&gt;=K736,"Target Achieved","Below Target")</f>
        <v>Below Target</v>
      </c>
    </row>
    <row r="737" spans="1:13" x14ac:dyDescent="0.35">
      <c r="A737" s="33" t="s">
        <v>941</v>
      </c>
      <c r="B737" s="3" t="s">
        <v>720</v>
      </c>
      <c r="C737" s="3" t="s">
        <v>44</v>
      </c>
      <c r="D737" s="3" t="s">
        <v>45</v>
      </c>
      <c r="E737" s="3" t="s">
        <v>32</v>
      </c>
      <c r="F737" s="3" t="s">
        <v>39</v>
      </c>
      <c r="G737" s="3" t="s">
        <v>36</v>
      </c>
      <c r="H737" s="3">
        <v>14293</v>
      </c>
      <c r="I737" s="3" t="s">
        <v>19</v>
      </c>
      <c r="J737" s="3">
        <v>0.2</v>
      </c>
      <c r="K737" s="3">
        <v>13000</v>
      </c>
      <c r="L737" s="27">
        <v>45327</v>
      </c>
      <c r="M737" t="str">
        <f t="shared" si="11"/>
        <v>Target Achieved</v>
      </c>
    </row>
    <row r="738" spans="1:13" x14ac:dyDescent="0.35">
      <c r="A738" s="33" t="s">
        <v>942</v>
      </c>
      <c r="B738" s="3" t="s">
        <v>309</v>
      </c>
      <c r="C738" s="3" t="s">
        <v>61</v>
      </c>
      <c r="D738" s="3" t="s">
        <v>62</v>
      </c>
      <c r="E738" s="3" t="s">
        <v>32</v>
      </c>
      <c r="F738" s="3" t="s">
        <v>25</v>
      </c>
      <c r="G738" s="3" t="s">
        <v>26</v>
      </c>
      <c r="H738" s="3">
        <v>7612</v>
      </c>
      <c r="I738" s="3"/>
      <c r="J738" s="3"/>
      <c r="K738" s="3">
        <v>9000</v>
      </c>
      <c r="L738" s="27">
        <v>45343</v>
      </c>
      <c r="M738" t="str">
        <f t="shared" si="11"/>
        <v>Below Target</v>
      </c>
    </row>
    <row r="739" spans="1:13" x14ac:dyDescent="0.35">
      <c r="A739" s="33" t="s">
        <v>943</v>
      </c>
      <c r="B739" s="3" t="s">
        <v>243</v>
      </c>
      <c r="C739" s="3" t="s">
        <v>61</v>
      </c>
      <c r="D739" s="3" t="s">
        <v>62</v>
      </c>
      <c r="E739" s="3" t="s">
        <v>46</v>
      </c>
      <c r="F739" s="3" t="s">
        <v>25</v>
      </c>
      <c r="G739" s="3" t="s">
        <v>26</v>
      </c>
      <c r="H739" s="3">
        <v>9117</v>
      </c>
      <c r="I739" s="3" t="s">
        <v>27</v>
      </c>
      <c r="J739" s="3"/>
      <c r="K739" s="3">
        <v>9000</v>
      </c>
      <c r="L739" s="27">
        <v>45338</v>
      </c>
      <c r="M739" t="str">
        <f t="shared" si="11"/>
        <v>Target Achieved</v>
      </c>
    </row>
    <row r="740" spans="1:13" x14ac:dyDescent="0.35">
      <c r="A740" s="33" t="s">
        <v>944</v>
      </c>
      <c r="B740" s="3" t="s">
        <v>478</v>
      </c>
      <c r="C740" s="3" t="s">
        <v>61</v>
      </c>
      <c r="D740" s="3" t="s">
        <v>62</v>
      </c>
      <c r="E740" s="3" t="s">
        <v>46</v>
      </c>
      <c r="F740" s="3" t="s">
        <v>17</v>
      </c>
      <c r="G740" s="3" t="s">
        <v>26</v>
      </c>
      <c r="H740" s="3">
        <v>10516</v>
      </c>
      <c r="I740" s="3" t="s">
        <v>27</v>
      </c>
      <c r="J740" s="3"/>
      <c r="K740" s="3">
        <v>9000</v>
      </c>
      <c r="L740" s="27">
        <v>45295</v>
      </c>
      <c r="M740" t="str">
        <f t="shared" si="11"/>
        <v>Target Achieved</v>
      </c>
    </row>
    <row r="741" spans="1:13" x14ac:dyDescent="0.35">
      <c r="A741" s="33" t="s">
        <v>945</v>
      </c>
      <c r="B741" s="3" t="s">
        <v>41</v>
      </c>
      <c r="C741" s="3" t="s">
        <v>44</v>
      </c>
      <c r="D741" s="3" t="s">
        <v>45</v>
      </c>
      <c r="E741" s="3" t="s">
        <v>32</v>
      </c>
      <c r="F741" s="3" t="s">
        <v>25</v>
      </c>
      <c r="G741" s="3" t="s">
        <v>36</v>
      </c>
      <c r="H741" s="3">
        <v>12951</v>
      </c>
      <c r="I741" s="3" t="s">
        <v>22</v>
      </c>
      <c r="J741" s="3">
        <v>0.1</v>
      </c>
      <c r="K741" s="3">
        <v>13000</v>
      </c>
      <c r="L741" s="27">
        <v>45320</v>
      </c>
      <c r="M741" t="str">
        <f t="shared" si="11"/>
        <v>Below Target</v>
      </c>
    </row>
    <row r="742" spans="1:13" x14ac:dyDescent="0.35">
      <c r="A742" s="33" t="s">
        <v>946</v>
      </c>
      <c r="B742" s="3" t="s">
        <v>577</v>
      </c>
      <c r="C742" s="3" t="s">
        <v>30</v>
      </c>
      <c r="D742" s="3" t="s">
        <v>31</v>
      </c>
      <c r="E742" s="3" t="s">
        <v>46</v>
      </c>
      <c r="F742" s="3" t="s">
        <v>17</v>
      </c>
      <c r="G742" s="3" t="s">
        <v>26</v>
      </c>
      <c r="H742" s="3">
        <v>17283</v>
      </c>
      <c r="I742" s="3" t="s">
        <v>33</v>
      </c>
      <c r="J742" s="3">
        <v>0.3</v>
      </c>
      <c r="K742" s="3">
        <v>17000</v>
      </c>
      <c r="L742" s="27">
        <v>45314</v>
      </c>
      <c r="M742" t="str">
        <f t="shared" si="11"/>
        <v>Target Achieved</v>
      </c>
    </row>
    <row r="743" spans="1:13" x14ac:dyDescent="0.35">
      <c r="A743" s="33" t="s">
        <v>947</v>
      </c>
      <c r="B743" s="3" t="s">
        <v>406</v>
      </c>
      <c r="C743" s="3" t="s">
        <v>14</v>
      </c>
      <c r="D743" s="3" t="s">
        <v>15</v>
      </c>
      <c r="E743" s="3" t="s">
        <v>46</v>
      </c>
      <c r="F743" s="3" t="s">
        <v>39</v>
      </c>
      <c r="G743" s="3" t="s">
        <v>26</v>
      </c>
      <c r="H743" s="3">
        <v>12814</v>
      </c>
      <c r="I743" s="3" t="s">
        <v>27</v>
      </c>
      <c r="J743" s="3"/>
      <c r="K743" s="3">
        <v>14000</v>
      </c>
      <c r="L743" s="27">
        <v>45328</v>
      </c>
      <c r="M743" t="str">
        <f t="shared" si="11"/>
        <v>Below Target</v>
      </c>
    </row>
    <row r="744" spans="1:13" x14ac:dyDescent="0.35">
      <c r="A744" s="33" t="s">
        <v>948</v>
      </c>
      <c r="B744" s="3" t="s">
        <v>92</v>
      </c>
      <c r="C744" s="3" t="s">
        <v>44</v>
      </c>
      <c r="D744" s="3" t="s">
        <v>45</v>
      </c>
      <c r="E744" s="3" t="s">
        <v>46</v>
      </c>
      <c r="F744" s="3" t="s">
        <v>17</v>
      </c>
      <c r="G744" s="3" t="s">
        <v>36</v>
      </c>
      <c r="H744" s="3">
        <v>13757</v>
      </c>
      <c r="I744" s="3" t="s">
        <v>27</v>
      </c>
      <c r="J744" s="3"/>
      <c r="K744" s="3">
        <v>13000</v>
      </c>
      <c r="L744" s="27">
        <v>45323</v>
      </c>
      <c r="M744" t="str">
        <f t="shared" si="11"/>
        <v>Target Achieved</v>
      </c>
    </row>
    <row r="745" spans="1:13" x14ac:dyDescent="0.35">
      <c r="A745" s="33" t="s">
        <v>949</v>
      </c>
      <c r="B745" s="3" t="s">
        <v>296</v>
      </c>
      <c r="C745" s="3" t="s">
        <v>61</v>
      </c>
      <c r="D745" s="3" t="s">
        <v>62</v>
      </c>
      <c r="E745" s="3" t="s">
        <v>32</v>
      </c>
      <c r="F745" s="3" t="s">
        <v>17</v>
      </c>
      <c r="G745" s="3" t="s">
        <v>26</v>
      </c>
      <c r="H745" s="3">
        <v>8173</v>
      </c>
      <c r="I745" s="3"/>
      <c r="J745" s="3"/>
      <c r="K745" s="3">
        <v>9000</v>
      </c>
      <c r="L745" s="27">
        <v>45332</v>
      </c>
      <c r="M745" t="str">
        <f t="shared" si="11"/>
        <v>Below Target</v>
      </c>
    </row>
    <row r="746" spans="1:13" x14ac:dyDescent="0.35">
      <c r="A746" s="33" t="s">
        <v>950</v>
      </c>
      <c r="B746" s="3" t="s">
        <v>619</v>
      </c>
      <c r="C746" s="3" t="s">
        <v>44</v>
      </c>
      <c r="D746" s="3" t="s">
        <v>45</v>
      </c>
      <c r="E746" s="3" t="s">
        <v>16</v>
      </c>
      <c r="F746" s="3" t="s">
        <v>17</v>
      </c>
      <c r="G746" s="3" t="s">
        <v>36</v>
      </c>
      <c r="H746" s="3">
        <v>13585</v>
      </c>
      <c r="I746" s="3" t="s">
        <v>27</v>
      </c>
      <c r="J746" s="3"/>
      <c r="K746" s="3">
        <v>13000</v>
      </c>
      <c r="L746" s="27">
        <v>45328</v>
      </c>
      <c r="M746" t="str">
        <f t="shared" si="11"/>
        <v>Target Achieved</v>
      </c>
    </row>
    <row r="747" spans="1:13" x14ac:dyDescent="0.35">
      <c r="A747" s="33" t="s">
        <v>951</v>
      </c>
      <c r="B747" s="3" t="s">
        <v>309</v>
      </c>
      <c r="C747" s="3" t="s">
        <v>14</v>
      </c>
      <c r="D747" s="3" t="s">
        <v>15</v>
      </c>
      <c r="E747" s="3" t="s">
        <v>32</v>
      </c>
      <c r="F747" s="3" t="s">
        <v>25</v>
      </c>
      <c r="G747" s="3" t="s">
        <v>36</v>
      </c>
      <c r="H747" s="3">
        <v>12934</v>
      </c>
      <c r="I747" s="3" t="s">
        <v>33</v>
      </c>
      <c r="J747" s="3">
        <v>0.3</v>
      </c>
      <c r="K747" s="3">
        <v>14000</v>
      </c>
      <c r="L747" s="27">
        <v>45312</v>
      </c>
      <c r="M747" t="str">
        <f t="shared" si="11"/>
        <v>Below Target</v>
      </c>
    </row>
    <row r="748" spans="1:13" x14ac:dyDescent="0.35">
      <c r="A748" s="33" t="s">
        <v>952</v>
      </c>
      <c r="B748" s="3" t="s">
        <v>278</v>
      </c>
      <c r="C748" s="3" t="s">
        <v>30</v>
      </c>
      <c r="D748" s="3" t="s">
        <v>31</v>
      </c>
      <c r="E748" s="3" t="s">
        <v>16</v>
      </c>
      <c r="F748" s="3" t="s">
        <v>39</v>
      </c>
      <c r="G748" s="3" t="s">
        <v>36</v>
      </c>
      <c r="H748" s="3">
        <v>16111</v>
      </c>
      <c r="I748" s="3"/>
      <c r="J748" s="3"/>
      <c r="K748" s="3">
        <v>17000</v>
      </c>
      <c r="L748" s="27">
        <v>45341</v>
      </c>
      <c r="M748" t="str">
        <f t="shared" si="11"/>
        <v>Below Target</v>
      </c>
    </row>
    <row r="749" spans="1:13" x14ac:dyDescent="0.35">
      <c r="A749" s="33" t="s">
        <v>953</v>
      </c>
      <c r="B749" s="3" t="s">
        <v>303</v>
      </c>
      <c r="C749" s="3" t="s">
        <v>61</v>
      </c>
      <c r="D749" s="3" t="s">
        <v>62</v>
      </c>
      <c r="E749" s="3" t="s">
        <v>46</v>
      </c>
      <c r="F749" s="3" t="s">
        <v>25</v>
      </c>
      <c r="G749" s="3" t="s">
        <v>18</v>
      </c>
      <c r="H749" s="3">
        <v>10498</v>
      </c>
      <c r="I749" s="3" t="s">
        <v>22</v>
      </c>
      <c r="J749" s="3">
        <v>0.1</v>
      </c>
      <c r="K749" s="3">
        <v>9000</v>
      </c>
      <c r="L749" s="27">
        <v>45300</v>
      </c>
      <c r="M749" t="str">
        <f t="shared" si="11"/>
        <v>Target Achieved</v>
      </c>
    </row>
    <row r="750" spans="1:13" x14ac:dyDescent="0.35">
      <c r="A750" s="33" t="s">
        <v>954</v>
      </c>
      <c r="B750" s="3" t="s">
        <v>397</v>
      </c>
      <c r="C750" s="3" t="s">
        <v>30</v>
      </c>
      <c r="D750" s="3" t="s">
        <v>31</v>
      </c>
      <c r="E750" s="3" t="s">
        <v>16</v>
      </c>
      <c r="F750" s="3" t="s">
        <v>39</v>
      </c>
      <c r="G750" s="3" t="s">
        <v>26</v>
      </c>
      <c r="H750" s="3">
        <v>15327</v>
      </c>
      <c r="I750" s="3" t="s">
        <v>19</v>
      </c>
      <c r="J750" s="3">
        <v>0.2</v>
      </c>
      <c r="K750" s="3">
        <v>17000</v>
      </c>
      <c r="L750" s="27">
        <v>45302</v>
      </c>
      <c r="M750" t="str">
        <f t="shared" si="11"/>
        <v>Below Target</v>
      </c>
    </row>
    <row r="751" spans="1:13" x14ac:dyDescent="0.35">
      <c r="A751" s="33" t="s">
        <v>955</v>
      </c>
      <c r="B751" s="3" t="s">
        <v>41</v>
      </c>
      <c r="C751" s="3" t="s">
        <v>14</v>
      </c>
      <c r="D751" s="3" t="s">
        <v>15</v>
      </c>
      <c r="E751" s="3" t="s">
        <v>32</v>
      </c>
      <c r="F751" s="3" t="s">
        <v>17</v>
      </c>
      <c r="G751" s="3" t="s">
        <v>26</v>
      </c>
      <c r="H751" s="3">
        <v>12220</v>
      </c>
      <c r="I751" s="3" t="s">
        <v>22</v>
      </c>
      <c r="J751" s="3">
        <v>0.1</v>
      </c>
      <c r="K751" s="3">
        <v>14000</v>
      </c>
      <c r="L751" s="27">
        <v>45341</v>
      </c>
      <c r="M751" t="str">
        <f t="shared" si="11"/>
        <v>Below Target</v>
      </c>
    </row>
    <row r="752" spans="1:13" x14ac:dyDescent="0.35">
      <c r="A752" s="33" t="s">
        <v>956</v>
      </c>
      <c r="B752" s="3" t="s">
        <v>512</v>
      </c>
      <c r="C752" s="3" t="s">
        <v>14</v>
      </c>
      <c r="D752" s="3" t="s">
        <v>15</v>
      </c>
      <c r="E752" s="3" t="s">
        <v>32</v>
      </c>
      <c r="F752" s="3" t="s">
        <v>17</v>
      </c>
      <c r="G752" s="3" t="s">
        <v>26</v>
      </c>
      <c r="H752" s="3">
        <v>12636</v>
      </c>
      <c r="I752" s="3" t="s">
        <v>22</v>
      </c>
      <c r="J752" s="3">
        <v>0.1</v>
      </c>
      <c r="K752" s="3">
        <v>14000</v>
      </c>
      <c r="L752" s="27">
        <v>45333</v>
      </c>
      <c r="M752" t="str">
        <f t="shared" si="11"/>
        <v>Below Target</v>
      </c>
    </row>
    <row r="753" spans="1:13" x14ac:dyDescent="0.35">
      <c r="A753" s="33" t="s">
        <v>957</v>
      </c>
      <c r="B753" s="3" t="s">
        <v>137</v>
      </c>
      <c r="C753" s="3" t="s">
        <v>30</v>
      </c>
      <c r="D753" s="3" t="s">
        <v>31</v>
      </c>
      <c r="E753" s="3" t="s">
        <v>32</v>
      </c>
      <c r="F753" s="3" t="s">
        <v>25</v>
      </c>
      <c r="G753" s="3" t="s">
        <v>26</v>
      </c>
      <c r="H753" s="3">
        <v>16163</v>
      </c>
      <c r="I753" s="3"/>
      <c r="J753" s="3"/>
      <c r="K753" s="3">
        <v>17000</v>
      </c>
      <c r="L753" s="27">
        <v>45332</v>
      </c>
      <c r="M753" t="str">
        <f t="shared" si="11"/>
        <v>Below Target</v>
      </c>
    </row>
    <row r="754" spans="1:13" x14ac:dyDescent="0.35">
      <c r="A754" s="33" t="s">
        <v>958</v>
      </c>
      <c r="B754" s="3" t="s">
        <v>175</v>
      </c>
      <c r="C754" s="3" t="s">
        <v>44</v>
      </c>
      <c r="D754" s="3" t="s">
        <v>45</v>
      </c>
      <c r="E754" s="3" t="s">
        <v>32</v>
      </c>
      <c r="F754" s="3" t="s">
        <v>25</v>
      </c>
      <c r="G754" s="3" t="s">
        <v>26</v>
      </c>
      <c r="H754" s="3">
        <v>12461</v>
      </c>
      <c r="I754" s="3" t="s">
        <v>33</v>
      </c>
      <c r="J754" s="3">
        <v>0.3</v>
      </c>
      <c r="K754" s="3">
        <v>13000</v>
      </c>
      <c r="L754" s="27">
        <v>45347</v>
      </c>
      <c r="M754" t="str">
        <f t="shared" si="11"/>
        <v>Below Target</v>
      </c>
    </row>
    <row r="755" spans="1:13" x14ac:dyDescent="0.35">
      <c r="A755" s="33" t="s">
        <v>959</v>
      </c>
      <c r="B755" s="3" t="s">
        <v>231</v>
      </c>
      <c r="C755" s="3" t="s">
        <v>30</v>
      </c>
      <c r="D755" s="3" t="s">
        <v>31</v>
      </c>
      <c r="E755" s="3" t="s">
        <v>16</v>
      </c>
      <c r="F755" s="3" t="s">
        <v>17</v>
      </c>
      <c r="G755" s="3" t="s">
        <v>18</v>
      </c>
      <c r="H755" s="3">
        <v>18971</v>
      </c>
      <c r="I755" s="3" t="s">
        <v>27</v>
      </c>
      <c r="J755" s="3"/>
      <c r="K755" s="3">
        <v>17000</v>
      </c>
      <c r="L755" s="27">
        <v>45303</v>
      </c>
      <c r="M755" t="str">
        <f t="shared" si="11"/>
        <v>Target Achieved</v>
      </c>
    </row>
    <row r="756" spans="1:13" x14ac:dyDescent="0.35">
      <c r="A756" s="33" t="s">
        <v>960</v>
      </c>
      <c r="B756" s="3" t="s">
        <v>195</v>
      </c>
      <c r="C756" s="3" t="s">
        <v>61</v>
      </c>
      <c r="D756" s="3" t="s">
        <v>62</v>
      </c>
      <c r="E756" s="3" t="s">
        <v>16</v>
      </c>
      <c r="F756" s="3" t="s">
        <v>39</v>
      </c>
      <c r="G756" s="3" t="s">
        <v>26</v>
      </c>
      <c r="H756" s="3">
        <v>10593</v>
      </c>
      <c r="I756" s="3" t="s">
        <v>27</v>
      </c>
      <c r="J756" s="3"/>
      <c r="K756" s="3">
        <v>9000</v>
      </c>
      <c r="L756" s="27">
        <v>45319</v>
      </c>
      <c r="M756" t="str">
        <f t="shared" si="11"/>
        <v>Target Achieved</v>
      </c>
    </row>
    <row r="757" spans="1:13" x14ac:dyDescent="0.35">
      <c r="A757" s="33" t="s">
        <v>961</v>
      </c>
      <c r="B757" s="3" t="s">
        <v>202</v>
      </c>
      <c r="C757" s="3" t="s">
        <v>30</v>
      </c>
      <c r="D757" s="3" t="s">
        <v>31</v>
      </c>
      <c r="E757" s="3" t="s">
        <v>46</v>
      </c>
      <c r="F757" s="3" t="s">
        <v>17</v>
      </c>
      <c r="G757" s="3" t="s">
        <v>26</v>
      </c>
      <c r="H757" s="3">
        <v>15930</v>
      </c>
      <c r="I757" s="3" t="s">
        <v>22</v>
      </c>
      <c r="J757" s="3">
        <v>0.1</v>
      </c>
      <c r="K757" s="3">
        <v>17000</v>
      </c>
      <c r="L757" s="27">
        <v>45320</v>
      </c>
      <c r="M757" t="str">
        <f t="shared" si="11"/>
        <v>Below Target</v>
      </c>
    </row>
    <row r="758" spans="1:13" x14ac:dyDescent="0.35">
      <c r="A758" s="33" t="s">
        <v>962</v>
      </c>
      <c r="B758" s="3" t="s">
        <v>131</v>
      </c>
      <c r="C758" s="3" t="s">
        <v>61</v>
      </c>
      <c r="D758" s="3" t="s">
        <v>62</v>
      </c>
      <c r="E758" s="3" t="s">
        <v>46</v>
      </c>
      <c r="F758" s="3" t="s">
        <v>25</v>
      </c>
      <c r="G758" s="3" t="s">
        <v>36</v>
      </c>
      <c r="H758" s="3">
        <v>7043</v>
      </c>
      <c r="I758" s="3" t="s">
        <v>22</v>
      </c>
      <c r="J758" s="3">
        <v>0.1</v>
      </c>
      <c r="K758" s="3">
        <v>9000</v>
      </c>
      <c r="L758" s="27">
        <v>45325</v>
      </c>
      <c r="M758" t="str">
        <f t="shared" si="11"/>
        <v>Below Target</v>
      </c>
    </row>
    <row r="759" spans="1:13" x14ac:dyDescent="0.35">
      <c r="A759" s="33" t="s">
        <v>963</v>
      </c>
      <c r="B759" s="3" t="s">
        <v>393</v>
      </c>
      <c r="C759" s="3" t="s">
        <v>44</v>
      </c>
      <c r="D759" s="3" t="s">
        <v>45</v>
      </c>
      <c r="E759" s="3" t="s">
        <v>46</v>
      </c>
      <c r="F759" s="3" t="s">
        <v>17</v>
      </c>
      <c r="G759" s="3" t="s">
        <v>36</v>
      </c>
      <c r="H759" s="3">
        <v>13191</v>
      </c>
      <c r="I759" s="3" t="s">
        <v>22</v>
      </c>
      <c r="J759" s="3">
        <v>0.1</v>
      </c>
      <c r="K759" s="3">
        <v>13000</v>
      </c>
      <c r="L759" s="27">
        <v>45336</v>
      </c>
      <c r="M759" t="str">
        <f t="shared" si="11"/>
        <v>Target Achieved</v>
      </c>
    </row>
    <row r="760" spans="1:13" x14ac:dyDescent="0.35">
      <c r="A760" s="33" t="s">
        <v>964</v>
      </c>
      <c r="B760" s="3" t="s">
        <v>445</v>
      </c>
      <c r="C760" s="3" t="s">
        <v>61</v>
      </c>
      <c r="D760" s="3" t="s">
        <v>62</v>
      </c>
      <c r="E760" s="3" t="s">
        <v>46</v>
      </c>
      <c r="F760" s="3" t="s">
        <v>25</v>
      </c>
      <c r="G760" s="3" t="s">
        <v>36</v>
      </c>
      <c r="H760" s="3">
        <v>10268</v>
      </c>
      <c r="I760" s="3" t="s">
        <v>33</v>
      </c>
      <c r="J760" s="3">
        <v>0.3</v>
      </c>
      <c r="K760" s="3">
        <v>9000</v>
      </c>
      <c r="L760" s="27">
        <v>45330</v>
      </c>
      <c r="M760" t="str">
        <f t="shared" si="11"/>
        <v>Target Achieved</v>
      </c>
    </row>
    <row r="761" spans="1:13" x14ac:dyDescent="0.35">
      <c r="A761" s="33" t="s">
        <v>965</v>
      </c>
      <c r="B761" s="3" t="s">
        <v>401</v>
      </c>
      <c r="C761" s="3" t="s">
        <v>14</v>
      </c>
      <c r="D761" s="3" t="s">
        <v>15</v>
      </c>
      <c r="E761" s="3" t="s">
        <v>16</v>
      </c>
      <c r="F761" s="3" t="s">
        <v>17</v>
      </c>
      <c r="G761" s="3" t="s">
        <v>18</v>
      </c>
      <c r="H761" s="3">
        <v>13686</v>
      </c>
      <c r="I761" s="3" t="s">
        <v>27</v>
      </c>
      <c r="J761" s="3"/>
      <c r="K761" s="3">
        <v>14000</v>
      </c>
      <c r="L761" s="27">
        <v>45319</v>
      </c>
      <c r="M761" t="str">
        <f t="shared" si="11"/>
        <v>Below Target</v>
      </c>
    </row>
    <row r="762" spans="1:13" x14ac:dyDescent="0.35">
      <c r="A762" s="33" t="s">
        <v>966</v>
      </c>
      <c r="B762" s="3" t="s">
        <v>268</v>
      </c>
      <c r="C762" s="3" t="s">
        <v>44</v>
      </c>
      <c r="D762" s="3" t="s">
        <v>45</v>
      </c>
      <c r="E762" s="3" t="s">
        <v>16</v>
      </c>
      <c r="F762" s="3" t="s">
        <v>39</v>
      </c>
      <c r="G762" s="3" t="s">
        <v>26</v>
      </c>
      <c r="H762" s="3">
        <v>12596</v>
      </c>
      <c r="I762" s="3"/>
      <c r="J762" s="3"/>
      <c r="K762" s="3">
        <v>13000</v>
      </c>
      <c r="L762" s="27">
        <v>45306</v>
      </c>
      <c r="M762" t="str">
        <f t="shared" si="11"/>
        <v>Below Target</v>
      </c>
    </row>
    <row r="763" spans="1:13" x14ac:dyDescent="0.35">
      <c r="A763" s="33" t="s">
        <v>967</v>
      </c>
      <c r="B763" s="3" t="s">
        <v>222</v>
      </c>
      <c r="C763" s="3" t="s">
        <v>61</v>
      </c>
      <c r="D763" s="3" t="s">
        <v>62</v>
      </c>
      <c r="E763" s="3" t="s">
        <v>16</v>
      </c>
      <c r="F763" s="3" t="s">
        <v>25</v>
      </c>
      <c r="G763" s="3" t="s">
        <v>26</v>
      </c>
      <c r="H763" s="3">
        <v>10131</v>
      </c>
      <c r="I763" s="3" t="s">
        <v>27</v>
      </c>
      <c r="J763" s="3"/>
      <c r="K763" s="3">
        <v>9000</v>
      </c>
      <c r="L763" s="27">
        <v>45343</v>
      </c>
      <c r="M763" t="str">
        <f t="shared" si="11"/>
        <v>Target Achieved</v>
      </c>
    </row>
    <row r="764" spans="1:13" x14ac:dyDescent="0.35">
      <c r="A764" s="33" t="s">
        <v>968</v>
      </c>
      <c r="B764" s="3" t="s">
        <v>765</v>
      </c>
      <c r="C764" s="3" t="s">
        <v>30</v>
      </c>
      <c r="D764" s="3" t="s">
        <v>31</v>
      </c>
      <c r="E764" s="3" t="s">
        <v>46</v>
      </c>
      <c r="F764" s="3" t="s">
        <v>39</v>
      </c>
      <c r="G764" s="3" t="s">
        <v>26</v>
      </c>
      <c r="H764" s="3">
        <v>17178</v>
      </c>
      <c r="I764" s="3" t="s">
        <v>33</v>
      </c>
      <c r="J764" s="3">
        <v>0.3</v>
      </c>
      <c r="K764" s="3">
        <v>17000</v>
      </c>
      <c r="L764" s="27">
        <v>45318</v>
      </c>
      <c r="M764" t="str">
        <f t="shared" si="11"/>
        <v>Target Achieved</v>
      </c>
    </row>
    <row r="765" spans="1:13" x14ac:dyDescent="0.35">
      <c r="A765" s="33" t="s">
        <v>969</v>
      </c>
      <c r="B765" s="3" t="s">
        <v>171</v>
      </c>
      <c r="C765" s="3" t="s">
        <v>14</v>
      </c>
      <c r="D765" s="3" t="s">
        <v>15</v>
      </c>
      <c r="E765" s="3" t="s">
        <v>32</v>
      </c>
      <c r="F765" s="3" t="s">
        <v>25</v>
      </c>
      <c r="G765" s="3" t="s">
        <v>36</v>
      </c>
      <c r="H765" s="3">
        <v>12452</v>
      </c>
      <c r="I765" s="3"/>
      <c r="J765" s="3"/>
      <c r="K765" s="3">
        <v>14000</v>
      </c>
      <c r="L765" s="27">
        <v>45331</v>
      </c>
      <c r="M765" t="str">
        <f t="shared" si="11"/>
        <v>Below Target</v>
      </c>
    </row>
    <row r="766" spans="1:13" x14ac:dyDescent="0.35">
      <c r="A766" s="33" t="s">
        <v>970</v>
      </c>
      <c r="B766" s="3" t="s">
        <v>123</v>
      </c>
      <c r="C766" s="3" t="s">
        <v>61</v>
      </c>
      <c r="D766" s="3" t="s">
        <v>62</v>
      </c>
      <c r="E766" s="3" t="s">
        <v>32</v>
      </c>
      <c r="F766" s="3" t="s">
        <v>17</v>
      </c>
      <c r="G766" s="3" t="s">
        <v>18</v>
      </c>
      <c r="H766" s="3">
        <v>7623</v>
      </c>
      <c r="I766" s="3" t="s">
        <v>22</v>
      </c>
      <c r="J766" s="3">
        <v>0.1</v>
      </c>
      <c r="K766" s="3">
        <v>9000</v>
      </c>
      <c r="L766" s="27">
        <v>45326</v>
      </c>
      <c r="M766" t="str">
        <f t="shared" si="11"/>
        <v>Below Target</v>
      </c>
    </row>
    <row r="767" spans="1:13" x14ac:dyDescent="0.35">
      <c r="A767" s="33" t="s">
        <v>971</v>
      </c>
      <c r="B767" s="3" t="s">
        <v>243</v>
      </c>
      <c r="C767" s="3" t="s">
        <v>14</v>
      </c>
      <c r="D767" s="3" t="s">
        <v>15</v>
      </c>
      <c r="E767" s="3" t="s">
        <v>46</v>
      </c>
      <c r="F767" s="3" t="s">
        <v>17</v>
      </c>
      <c r="G767" s="3" t="s">
        <v>18</v>
      </c>
      <c r="H767" s="3">
        <v>14929</v>
      </c>
      <c r="I767" s="3"/>
      <c r="J767" s="3"/>
      <c r="K767" s="3">
        <v>14000</v>
      </c>
      <c r="L767" s="27">
        <v>45338</v>
      </c>
      <c r="M767" t="str">
        <f t="shared" si="11"/>
        <v>Target Achieved</v>
      </c>
    </row>
    <row r="768" spans="1:13" x14ac:dyDescent="0.35">
      <c r="A768" s="33" t="s">
        <v>972</v>
      </c>
      <c r="B768" s="3" t="s">
        <v>192</v>
      </c>
      <c r="C768" s="3" t="s">
        <v>14</v>
      </c>
      <c r="D768" s="3" t="s">
        <v>15</v>
      </c>
      <c r="E768" s="3" t="s">
        <v>32</v>
      </c>
      <c r="F768" s="3" t="s">
        <v>25</v>
      </c>
      <c r="G768" s="3" t="s">
        <v>36</v>
      </c>
      <c r="H768" s="3">
        <v>12889</v>
      </c>
      <c r="I768" s="3" t="s">
        <v>33</v>
      </c>
      <c r="J768" s="3">
        <v>0.3</v>
      </c>
      <c r="K768" s="3">
        <v>14000</v>
      </c>
      <c r="L768" s="27">
        <v>45318</v>
      </c>
      <c r="M768" t="str">
        <f t="shared" si="11"/>
        <v>Below Target</v>
      </c>
    </row>
    <row r="769" spans="1:13" x14ac:dyDescent="0.35">
      <c r="A769" s="33" t="s">
        <v>973</v>
      </c>
      <c r="B769" s="3" t="s">
        <v>443</v>
      </c>
      <c r="C769" s="3" t="s">
        <v>61</v>
      </c>
      <c r="D769" s="3" t="s">
        <v>62</v>
      </c>
      <c r="E769" s="3" t="s">
        <v>46</v>
      </c>
      <c r="F769" s="3" t="s">
        <v>17</v>
      </c>
      <c r="G769" s="3" t="s">
        <v>26</v>
      </c>
      <c r="H769" s="3">
        <v>10241</v>
      </c>
      <c r="I769" s="3" t="s">
        <v>22</v>
      </c>
      <c r="J769" s="3">
        <v>0.1</v>
      </c>
      <c r="K769" s="3">
        <v>9000</v>
      </c>
      <c r="L769" s="27">
        <v>45313</v>
      </c>
      <c r="M769" t="str">
        <f t="shared" si="11"/>
        <v>Target Achieved</v>
      </c>
    </row>
    <row r="770" spans="1:13" x14ac:dyDescent="0.35">
      <c r="A770" s="33" t="s">
        <v>974</v>
      </c>
      <c r="B770" s="3" t="s">
        <v>159</v>
      </c>
      <c r="C770" s="3" t="s">
        <v>44</v>
      </c>
      <c r="D770" s="3" t="s">
        <v>45</v>
      </c>
      <c r="E770" s="3" t="s">
        <v>32</v>
      </c>
      <c r="F770" s="3" t="s">
        <v>17</v>
      </c>
      <c r="G770" s="3" t="s">
        <v>36</v>
      </c>
      <c r="H770" s="3">
        <v>11292</v>
      </c>
      <c r="I770" s="3" t="s">
        <v>27</v>
      </c>
      <c r="J770" s="3"/>
      <c r="K770" s="3">
        <v>13000</v>
      </c>
      <c r="L770" s="27">
        <v>45322</v>
      </c>
      <c r="M770" t="str">
        <f t="shared" si="11"/>
        <v>Below Target</v>
      </c>
    </row>
    <row r="771" spans="1:13" x14ac:dyDescent="0.35">
      <c r="A771" s="33" t="s">
        <v>975</v>
      </c>
      <c r="B771" s="3" t="s">
        <v>35</v>
      </c>
      <c r="C771" s="3" t="s">
        <v>30</v>
      </c>
      <c r="D771" s="3" t="s">
        <v>31</v>
      </c>
      <c r="E771" s="3" t="s">
        <v>46</v>
      </c>
      <c r="F771" s="3" t="s">
        <v>25</v>
      </c>
      <c r="G771" s="3" t="s">
        <v>18</v>
      </c>
      <c r="H771" s="3">
        <v>18991</v>
      </c>
      <c r="I771" s="3" t="s">
        <v>19</v>
      </c>
      <c r="J771" s="3">
        <v>0.2</v>
      </c>
      <c r="K771" s="3">
        <v>17000</v>
      </c>
      <c r="L771" s="27">
        <v>45316</v>
      </c>
      <c r="M771" t="str">
        <f t="shared" si="11"/>
        <v>Target Achieved</v>
      </c>
    </row>
    <row r="772" spans="1:13" x14ac:dyDescent="0.35">
      <c r="A772" s="33" t="s">
        <v>976</v>
      </c>
      <c r="B772" s="3" t="s">
        <v>298</v>
      </c>
      <c r="C772" s="3" t="s">
        <v>44</v>
      </c>
      <c r="D772" s="3" t="s">
        <v>45</v>
      </c>
      <c r="E772" s="3" t="s">
        <v>16</v>
      </c>
      <c r="F772" s="3" t="s">
        <v>25</v>
      </c>
      <c r="G772" s="3" t="s">
        <v>18</v>
      </c>
      <c r="H772" s="3">
        <v>12887</v>
      </c>
      <c r="I772" s="3" t="s">
        <v>22</v>
      </c>
      <c r="J772" s="3">
        <v>0.1</v>
      </c>
      <c r="K772" s="3">
        <v>13000</v>
      </c>
      <c r="L772" s="27">
        <v>45325</v>
      </c>
      <c r="M772" t="str">
        <f t="shared" si="11"/>
        <v>Below Target</v>
      </c>
    </row>
    <row r="773" spans="1:13" x14ac:dyDescent="0.35">
      <c r="A773" s="33" t="s">
        <v>977</v>
      </c>
      <c r="B773" s="3" t="s">
        <v>239</v>
      </c>
      <c r="C773" s="3" t="s">
        <v>61</v>
      </c>
      <c r="D773" s="3" t="s">
        <v>62</v>
      </c>
      <c r="E773" s="3" t="s">
        <v>46</v>
      </c>
      <c r="F773" s="3" t="s">
        <v>39</v>
      </c>
      <c r="G773" s="3" t="s">
        <v>36</v>
      </c>
      <c r="H773" s="3">
        <v>10834</v>
      </c>
      <c r="I773" s="3" t="s">
        <v>33</v>
      </c>
      <c r="J773" s="3">
        <v>0.3</v>
      </c>
      <c r="K773" s="3">
        <v>9000</v>
      </c>
      <c r="L773" s="27">
        <v>45302</v>
      </c>
      <c r="M773" t="str">
        <f t="shared" si="11"/>
        <v>Target Achieved</v>
      </c>
    </row>
    <row r="774" spans="1:13" x14ac:dyDescent="0.35">
      <c r="A774" s="33" t="s">
        <v>978</v>
      </c>
      <c r="B774" s="3" t="s">
        <v>305</v>
      </c>
      <c r="C774" s="3" t="s">
        <v>14</v>
      </c>
      <c r="D774" s="3" t="s">
        <v>15</v>
      </c>
      <c r="E774" s="3" t="s">
        <v>16</v>
      </c>
      <c r="F774" s="3" t="s">
        <v>39</v>
      </c>
      <c r="G774" s="3" t="s">
        <v>26</v>
      </c>
      <c r="H774" s="3">
        <v>12500</v>
      </c>
      <c r="I774" s="3" t="s">
        <v>33</v>
      </c>
      <c r="J774" s="3">
        <v>0.3</v>
      </c>
      <c r="K774" s="3">
        <v>14000</v>
      </c>
      <c r="L774" s="27">
        <v>45322</v>
      </c>
      <c r="M774" t="str">
        <f t="shared" si="11"/>
        <v>Below Target</v>
      </c>
    </row>
    <row r="775" spans="1:13" x14ac:dyDescent="0.35">
      <c r="A775" s="33" t="s">
        <v>979</v>
      </c>
      <c r="B775" s="3" t="s">
        <v>278</v>
      </c>
      <c r="C775" s="3" t="s">
        <v>44</v>
      </c>
      <c r="D775" s="3" t="s">
        <v>45</v>
      </c>
      <c r="E775" s="3" t="s">
        <v>46</v>
      </c>
      <c r="F775" s="3" t="s">
        <v>25</v>
      </c>
      <c r="G775" s="3" t="s">
        <v>26</v>
      </c>
      <c r="H775" s="3">
        <v>11892</v>
      </c>
      <c r="I775" s="3" t="s">
        <v>22</v>
      </c>
      <c r="J775" s="3">
        <v>0.1</v>
      </c>
      <c r="K775" s="3">
        <v>13000</v>
      </c>
      <c r="L775" s="27">
        <v>45307</v>
      </c>
      <c r="M775" t="str">
        <f t="shared" si="11"/>
        <v>Below Target</v>
      </c>
    </row>
    <row r="776" spans="1:13" x14ac:dyDescent="0.35">
      <c r="A776" s="33" t="s">
        <v>980</v>
      </c>
      <c r="B776" s="3" t="s">
        <v>90</v>
      </c>
      <c r="C776" s="3" t="s">
        <v>30</v>
      </c>
      <c r="D776" s="3" t="s">
        <v>31</v>
      </c>
      <c r="E776" s="3" t="s">
        <v>32</v>
      </c>
      <c r="F776" s="3" t="s">
        <v>25</v>
      </c>
      <c r="G776" s="3" t="s">
        <v>36</v>
      </c>
      <c r="H776" s="3">
        <v>17394</v>
      </c>
      <c r="I776" s="3" t="s">
        <v>22</v>
      </c>
      <c r="J776" s="3">
        <v>0.1</v>
      </c>
      <c r="K776" s="3">
        <v>17000</v>
      </c>
      <c r="L776" s="27">
        <v>45317</v>
      </c>
      <c r="M776" t="str">
        <f t="shared" si="11"/>
        <v>Target Achieved</v>
      </c>
    </row>
    <row r="777" spans="1:13" x14ac:dyDescent="0.35">
      <c r="A777" s="33" t="s">
        <v>981</v>
      </c>
      <c r="B777" s="3" t="s">
        <v>294</v>
      </c>
      <c r="C777" s="3" t="s">
        <v>14</v>
      </c>
      <c r="D777" s="3" t="s">
        <v>15</v>
      </c>
      <c r="E777" s="3" t="s">
        <v>32</v>
      </c>
      <c r="F777" s="3" t="s">
        <v>39</v>
      </c>
      <c r="G777" s="3" t="s">
        <v>26</v>
      </c>
      <c r="H777" s="3">
        <v>13946</v>
      </c>
      <c r="I777" s="3" t="s">
        <v>27</v>
      </c>
      <c r="J777" s="3"/>
      <c r="K777" s="3">
        <v>14000</v>
      </c>
      <c r="L777" s="27">
        <v>45301</v>
      </c>
      <c r="M777" t="str">
        <f t="shared" si="11"/>
        <v>Below Target</v>
      </c>
    </row>
    <row r="778" spans="1:13" x14ac:dyDescent="0.35">
      <c r="A778" s="33" t="s">
        <v>982</v>
      </c>
      <c r="B778" s="3" t="s">
        <v>478</v>
      </c>
      <c r="C778" s="3" t="s">
        <v>14</v>
      </c>
      <c r="D778" s="3" t="s">
        <v>15</v>
      </c>
      <c r="E778" s="3" t="s">
        <v>32</v>
      </c>
      <c r="F778" s="3" t="s">
        <v>25</v>
      </c>
      <c r="G778" s="3" t="s">
        <v>36</v>
      </c>
      <c r="H778" s="3">
        <v>12374</v>
      </c>
      <c r="I778" s="3" t="s">
        <v>27</v>
      </c>
      <c r="J778" s="3"/>
      <c r="K778" s="3">
        <v>14000</v>
      </c>
      <c r="L778" s="27">
        <v>45313</v>
      </c>
      <c r="M778" t="str">
        <f t="shared" si="11"/>
        <v>Below Target</v>
      </c>
    </row>
    <row r="779" spans="1:13" x14ac:dyDescent="0.35">
      <c r="A779" s="33" t="s">
        <v>983</v>
      </c>
      <c r="B779" s="3" t="s">
        <v>148</v>
      </c>
      <c r="C779" s="3" t="s">
        <v>14</v>
      </c>
      <c r="D779" s="3" t="s">
        <v>15</v>
      </c>
      <c r="E779" s="3" t="s">
        <v>32</v>
      </c>
      <c r="F779" s="3" t="s">
        <v>17</v>
      </c>
      <c r="G779" s="3" t="s">
        <v>26</v>
      </c>
      <c r="H779" s="3">
        <v>12630</v>
      </c>
      <c r="I779" s="3" t="s">
        <v>27</v>
      </c>
      <c r="J779" s="3"/>
      <c r="K779" s="3">
        <v>14000</v>
      </c>
      <c r="L779" s="27">
        <v>45342</v>
      </c>
      <c r="M779" t="str">
        <f t="shared" si="11"/>
        <v>Below Target</v>
      </c>
    </row>
    <row r="780" spans="1:13" x14ac:dyDescent="0.35">
      <c r="A780" s="33" t="s">
        <v>984</v>
      </c>
      <c r="B780" s="3" t="s">
        <v>843</v>
      </c>
      <c r="C780" s="3" t="s">
        <v>61</v>
      </c>
      <c r="D780" s="3" t="s">
        <v>62</v>
      </c>
      <c r="E780" s="3" t="s">
        <v>32</v>
      </c>
      <c r="F780" s="3" t="s">
        <v>17</v>
      </c>
      <c r="G780" s="3" t="s">
        <v>26</v>
      </c>
      <c r="H780" s="3">
        <v>10229</v>
      </c>
      <c r="I780" s="3" t="s">
        <v>33</v>
      </c>
      <c r="J780" s="3">
        <v>0.3</v>
      </c>
      <c r="K780" s="3">
        <v>9000</v>
      </c>
      <c r="L780" s="27">
        <v>45343</v>
      </c>
      <c r="M780" t="str">
        <f t="shared" si="11"/>
        <v>Target Achieved</v>
      </c>
    </row>
    <row r="781" spans="1:13" x14ac:dyDescent="0.35">
      <c r="A781" s="33" t="s">
        <v>985</v>
      </c>
      <c r="B781" s="3" t="s">
        <v>445</v>
      </c>
      <c r="C781" s="3" t="s">
        <v>44</v>
      </c>
      <c r="D781" s="3" t="s">
        <v>45</v>
      </c>
      <c r="E781" s="3" t="s">
        <v>32</v>
      </c>
      <c r="F781" s="3" t="s">
        <v>39</v>
      </c>
      <c r="G781" s="3" t="s">
        <v>36</v>
      </c>
      <c r="H781" s="3">
        <v>12467</v>
      </c>
      <c r="I781" s="3" t="s">
        <v>19</v>
      </c>
      <c r="J781" s="3">
        <v>0.2</v>
      </c>
      <c r="K781" s="3">
        <v>13000</v>
      </c>
      <c r="L781" s="27">
        <v>45308</v>
      </c>
      <c r="M781" t="str">
        <f t="shared" si="11"/>
        <v>Below Target</v>
      </c>
    </row>
    <row r="782" spans="1:13" x14ac:dyDescent="0.35">
      <c r="A782" s="33" t="s">
        <v>986</v>
      </c>
      <c r="B782" s="3" t="s">
        <v>987</v>
      </c>
      <c r="C782" s="3" t="s">
        <v>61</v>
      </c>
      <c r="D782" s="3" t="s">
        <v>62</v>
      </c>
      <c r="E782" s="3" t="s">
        <v>16</v>
      </c>
      <c r="F782" s="3" t="s">
        <v>17</v>
      </c>
      <c r="G782" s="3" t="s">
        <v>26</v>
      </c>
      <c r="H782" s="3">
        <v>8207</v>
      </c>
      <c r="I782" s="3" t="s">
        <v>27</v>
      </c>
      <c r="J782" s="3"/>
      <c r="K782" s="3">
        <v>9000</v>
      </c>
      <c r="L782" s="27">
        <v>45336</v>
      </c>
      <c r="M782" t="str">
        <f t="shared" si="11"/>
        <v>Below Target</v>
      </c>
    </row>
    <row r="783" spans="1:13" x14ac:dyDescent="0.35">
      <c r="A783" s="33" t="s">
        <v>988</v>
      </c>
      <c r="B783" s="3" t="s">
        <v>211</v>
      </c>
      <c r="C783" s="3" t="s">
        <v>44</v>
      </c>
      <c r="D783" s="3" t="s">
        <v>45</v>
      </c>
      <c r="E783" s="3" t="s">
        <v>16</v>
      </c>
      <c r="F783" s="3" t="s">
        <v>17</v>
      </c>
      <c r="G783" s="3" t="s">
        <v>36</v>
      </c>
      <c r="H783" s="3">
        <v>13999</v>
      </c>
      <c r="I783" s="3"/>
      <c r="J783" s="3"/>
      <c r="K783" s="3">
        <v>13000</v>
      </c>
      <c r="L783" s="27">
        <v>45309</v>
      </c>
      <c r="M783" t="str">
        <f t="shared" si="11"/>
        <v>Target Achieved</v>
      </c>
    </row>
    <row r="784" spans="1:13" x14ac:dyDescent="0.35">
      <c r="A784" s="33" t="s">
        <v>989</v>
      </c>
      <c r="B784" s="3" t="s">
        <v>319</v>
      </c>
      <c r="C784" s="3" t="s">
        <v>44</v>
      </c>
      <c r="D784" s="3" t="s">
        <v>45</v>
      </c>
      <c r="E784" s="3" t="s">
        <v>32</v>
      </c>
      <c r="F784" s="3" t="s">
        <v>39</v>
      </c>
      <c r="G784" s="3" t="s">
        <v>18</v>
      </c>
      <c r="H784" s="3">
        <v>12840</v>
      </c>
      <c r="I784" s="3" t="s">
        <v>33</v>
      </c>
      <c r="J784" s="3">
        <v>0.3</v>
      </c>
      <c r="K784" s="3">
        <v>13000</v>
      </c>
      <c r="L784" s="27">
        <v>45344</v>
      </c>
      <c r="M784" t="str">
        <f t="shared" si="11"/>
        <v>Below Target</v>
      </c>
    </row>
    <row r="785" spans="1:13" x14ac:dyDescent="0.35">
      <c r="A785" s="33" t="s">
        <v>990</v>
      </c>
      <c r="B785" s="3" t="s">
        <v>307</v>
      </c>
      <c r="C785" s="3" t="s">
        <v>30</v>
      </c>
      <c r="D785" s="3" t="s">
        <v>31</v>
      </c>
      <c r="E785" s="3" t="s">
        <v>46</v>
      </c>
      <c r="F785" s="3" t="s">
        <v>25</v>
      </c>
      <c r="G785" s="3" t="s">
        <v>26</v>
      </c>
      <c r="H785" s="3">
        <v>17072</v>
      </c>
      <c r="I785" s="3"/>
      <c r="J785" s="3"/>
      <c r="K785" s="3">
        <v>17000</v>
      </c>
      <c r="L785" s="27">
        <v>45338</v>
      </c>
      <c r="M785" t="str">
        <f t="shared" si="11"/>
        <v>Target Achieved</v>
      </c>
    </row>
    <row r="786" spans="1:13" x14ac:dyDescent="0.35">
      <c r="A786" s="33" t="s">
        <v>991</v>
      </c>
      <c r="B786" s="3" t="s">
        <v>557</v>
      </c>
      <c r="C786" s="3" t="s">
        <v>30</v>
      </c>
      <c r="D786" s="3" t="s">
        <v>31</v>
      </c>
      <c r="E786" s="3" t="s">
        <v>16</v>
      </c>
      <c r="F786" s="3" t="s">
        <v>25</v>
      </c>
      <c r="G786" s="3" t="s">
        <v>36</v>
      </c>
      <c r="H786" s="3">
        <v>17953</v>
      </c>
      <c r="I786" s="3" t="s">
        <v>22</v>
      </c>
      <c r="J786" s="3">
        <v>0.1</v>
      </c>
      <c r="K786" s="3">
        <v>17000</v>
      </c>
      <c r="L786" s="27">
        <v>45334</v>
      </c>
      <c r="M786" t="str">
        <f t="shared" si="11"/>
        <v>Target Achieved</v>
      </c>
    </row>
    <row r="787" spans="1:13" x14ac:dyDescent="0.35">
      <c r="A787" s="33" t="s">
        <v>992</v>
      </c>
      <c r="B787" s="3" t="s">
        <v>105</v>
      </c>
      <c r="C787" s="3" t="s">
        <v>61</v>
      </c>
      <c r="D787" s="3" t="s">
        <v>62</v>
      </c>
      <c r="E787" s="3" t="s">
        <v>32</v>
      </c>
      <c r="F787" s="3" t="s">
        <v>39</v>
      </c>
      <c r="G787" s="3" t="s">
        <v>26</v>
      </c>
      <c r="H787" s="3">
        <v>9037</v>
      </c>
      <c r="I787" s="3" t="s">
        <v>27</v>
      </c>
      <c r="J787" s="3"/>
      <c r="K787" s="3">
        <v>9000</v>
      </c>
      <c r="L787" s="27">
        <v>45301</v>
      </c>
      <c r="M787" t="str">
        <f t="shared" si="11"/>
        <v>Target Achieved</v>
      </c>
    </row>
    <row r="788" spans="1:13" x14ac:dyDescent="0.35">
      <c r="A788" s="33" t="s">
        <v>993</v>
      </c>
      <c r="B788" s="3" t="s">
        <v>291</v>
      </c>
      <c r="C788" s="3" t="s">
        <v>30</v>
      </c>
      <c r="D788" s="3" t="s">
        <v>31</v>
      </c>
      <c r="E788" s="3" t="s">
        <v>46</v>
      </c>
      <c r="F788" s="3" t="s">
        <v>39</v>
      </c>
      <c r="G788" s="3" t="s">
        <v>36</v>
      </c>
      <c r="H788" s="3">
        <v>15452</v>
      </c>
      <c r="I788" s="3" t="s">
        <v>22</v>
      </c>
      <c r="J788" s="3">
        <v>0.1</v>
      </c>
      <c r="K788" s="3">
        <v>17000</v>
      </c>
      <c r="L788" s="27">
        <v>45325</v>
      </c>
      <c r="M788" t="str">
        <f t="shared" si="11"/>
        <v>Below Target</v>
      </c>
    </row>
    <row r="789" spans="1:13" x14ac:dyDescent="0.35">
      <c r="A789" s="33" t="s">
        <v>994</v>
      </c>
      <c r="B789" s="3" t="s">
        <v>13</v>
      </c>
      <c r="C789" s="3" t="s">
        <v>14</v>
      </c>
      <c r="D789" s="3" t="s">
        <v>15</v>
      </c>
      <c r="E789" s="3" t="s">
        <v>32</v>
      </c>
      <c r="F789" s="3" t="s">
        <v>25</v>
      </c>
      <c r="G789" s="3" t="s">
        <v>18</v>
      </c>
      <c r="H789" s="3">
        <v>12827</v>
      </c>
      <c r="I789" s="3" t="s">
        <v>22</v>
      </c>
      <c r="J789" s="3">
        <v>0.1</v>
      </c>
      <c r="K789" s="3">
        <v>14000</v>
      </c>
      <c r="L789" s="27">
        <v>45323</v>
      </c>
      <c r="M789" t="str">
        <f t="shared" si="11"/>
        <v>Below Target</v>
      </c>
    </row>
    <row r="790" spans="1:13" x14ac:dyDescent="0.35">
      <c r="A790" s="33" t="s">
        <v>995</v>
      </c>
      <c r="B790" s="3" t="s">
        <v>229</v>
      </c>
      <c r="C790" s="3" t="s">
        <v>14</v>
      </c>
      <c r="D790" s="3" t="s">
        <v>15</v>
      </c>
      <c r="E790" s="3" t="s">
        <v>16</v>
      </c>
      <c r="F790" s="3" t="s">
        <v>39</v>
      </c>
      <c r="G790" s="3" t="s">
        <v>36</v>
      </c>
      <c r="H790" s="3">
        <v>14694</v>
      </c>
      <c r="I790" s="3"/>
      <c r="J790" s="3"/>
      <c r="K790" s="3">
        <v>14000</v>
      </c>
      <c r="L790" s="27">
        <v>45325</v>
      </c>
      <c r="M790" t="str">
        <f t="shared" si="11"/>
        <v>Target Achieved</v>
      </c>
    </row>
    <row r="791" spans="1:13" x14ac:dyDescent="0.35">
      <c r="A791" s="33" t="s">
        <v>996</v>
      </c>
      <c r="B791" s="3" t="s">
        <v>233</v>
      </c>
      <c r="C791" s="3" t="s">
        <v>30</v>
      </c>
      <c r="D791" s="3" t="s">
        <v>31</v>
      </c>
      <c r="E791" s="3" t="s">
        <v>32</v>
      </c>
      <c r="F791" s="3" t="s">
        <v>17</v>
      </c>
      <c r="G791" s="3" t="s">
        <v>18</v>
      </c>
      <c r="H791" s="3">
        <v>17481</v>
      </c>
      <c r="I791" s="3" t="s">
        <v>22</v>
      </c>
      <c r="J791" s="3">
        <v>0.1</v>
      </c>
      <c r="K791" s="3">
        <v>17000</v>
      </c>
      <c r="L791" s="27">
        <v>45292</v>
      </c>
      <c r="M791" t="str">
        <f t="shared" si="11"/>
        <v>Target Achieved</v>
      </c>
    </row>
    <row r="792" spans="1:13" x14ac:dyDescent="0.35">
      <c r="A792" s="33" t="s">
        <v>997</v>
      </c>
      <c r="B792" s="3" t="s">
        <v>553</v>
      </c>
      <c r="C792" s="3" t="s">
        <v>61</v>
      </c>
      <c r="D792" s="3" t="s">
        <v>62</v>
      </c>
      <c r="E792" s="3" t="s">
        <v>32</v>
      </c>
      <c r="F792" s="3" t="s">
        <v>17</v>
      </c>
      <c r="G792" s="3" t="s">
        <v>26</v>
      </c>
      <c r="H792" s="3">
        <v>7248</v>
      </c>
      <c r="I792" s="3" t="s">
        <v>33</v>
      </c>
      <c r="J792" s="3">
        <v>0.3</v>
      </c>
      <c r="K792" s="3">
        <v>9000</v>
      </c>
      <c r="L792" s="27">
        <v>45327</v>
      </c>
      <c r="M792" t="str">
        <f t="shared" si="11"/>
        <v>Below Target</v>
      </c>
    </row>
    <row r="793" spans="1:13" x14ac:dyDescent="0.35">
      <c r="A793" s="33" t="s">
        <v>998</v>
      </c>
      <c r="B793" s="3" t="s">
        <v>127</v>
      </c>
      <c r="C793" s="3" t="s">
        <v>30</v>
      </c>
      <c r="D793" s="3" t="s">
        <v>31</v>
      </c>
      <c r="E793" s="3" t="s">
        <v>16</v>
      </c>
      <c r="F793" s="3" t="s">
        <v>25</v>
      </c>
      <c r="G793" s="3" t="s">
        <v>26</v>
      </c>
      <c r="H793" s="3">
        <v>16088</v>
      </c>
      <c r="I793" s="3" t="s">
        <v>27</v>
      </c>
      <c r="J793" s="3"/>
      <c r="K793" s="3">
        <v>17000</v>
      </c>
      <c r="L793" s="27">
        <v>45294</v>
      </c>
      <c r="M793" t="str">
        <f t="shared" si="11"/>
        <v>Below Target</v>
      </c>
    </row>
    <row r="794" spans="1:13" x14ac:dyDescent="0.35">
      <c r="A794" s="33" t="s">
        <v>999</v>
      </c>
      <c r="B794" s="3" t="s">
        <v>1000</v>
      </c>
      <c r="C794" s="3" t="s">
        <v>30</v>
      </c>
      <c r="D794" s="3" t="s">
        <v>31</v>
      </c>
      <c r="E794" s="3" t="s">
        <v>32</v>
      </c>
      <c r="F794" s="3" t="s">
        <v>25</v>
      </c>
      <c r="G794" s="3" t="s">
        <v>26</v>
      </c>
      <c r="H794" s="3">
        <v>15397</v>
      </c>
      <c r="I794" s="3" t="s">
        <v>22</v>
      </c>
      <c r="J794" s="3">
        <v>0.1</v>
      </c>
      <c r="K794" s="3">
        <v>17000</v>
      </c>
      <c r="L794" s="27">
        <v>45338</v>
      </c>
      <c r="M794" t="str">
        <f t="shared" si="11"/>
        <v>Below Target</v>
      </c>
    </row>
    <row r="795" spans="1:13" x14ac:dyDescent="0.35">
      <c r="A795" s="33" t="s">
        <v>1001</v>
      </c>
      <c r="B795" s="3" t="s">
        <v>24</v>
      </c>
      <c r="C795" s="3" t="s">
        <v>61</v>
      </c>
      <c r="D795" s="3" t="s">
        <v>62</v>
      </c>
      <c r="E795" s="3" t="s">
        <v>32</v>
      </c>
      <c r="F795" s="3" t="s">
        <v>25</v>
      </c>
      <c r="G795" s="3" t="s">
        <v>26</v>
      </c>
      <c r="H795" s="3">
        <v>9690</v>
      </c>
      <c r="I795" s="3" t="s">
        <v>19</v>
      </c>
      <c r="J795" s="3">
        <v>0.2</v>
      </c>
      <c r="K795" s="3">
        <v>9000</v>
      </c>
      <c r="L795" s="27">
        <v>45328</v>
      </c>
      <c r="M795" t="str">
        <f t="shared" si="11"/>
        <v>Target Achieved</v>
      </c>
    </row>
    <row r="796" spans="1:13" x14ac:dyDescent="0.35">
      <c r="A796" s="33" t="s">
        <v>1002</v>
      </c>
      <c r="B796" s="3" t="s">
        <v>422</v>
      </c>
      <c r="C796" s="3" t="s">
        <v>61</v>
      </c>
      <c r="D796" s="3" t="s">
        <v>62</v>
      </c>
      <c r="E796" s="3" t="s">
        <v>16</v>
      </c>
      <c r="F796" s="3" t="s">
        <v>25</v>
      </c>
      <c r="G796" s="3" t="s">
        <v>26</v>
      </c>
      <c r="H796" s="3">
        <v>9361</v>
      </c>
      <c r="I796" s="3" t="s">
        <v>33</v>
      </c>
      <c r="J796" s="3">
        <v>0.3</v>
      </c>
      <c r="K796" s="3">
        <v>9000</v>
      </c>
      <c r="L796" s="27">
        <v>45335</v>
      </c>
      <c r="M796" t="str">
        <f t="shared" si="11"/>
        <v>Target Achieved</v>
      </c>
    </row>
    <row r="797" spans="1:13" x14ac:dyDescent="0.35">
      <c r="A797" s="33" t="s">
        <v>1003</v>
      </c>
      <c r="B797" s="3" t="s">
        <v>483</v>
      </c>
      <c r="C797" s="3" t="s">
        <v>61</v>
      </c>
      <c r="D797" s="3" t="s">
        <v>62</v>
      </c>
      <c r="E797" s="3" t="s">
        <v>32</v>
      </c>
      <c r="F797" s="3" t="s">
        <v>25</v>
      </c>
      <c r="G797" s="3" t="s">
        <v>18</v>
      </c>
      <c r="H797" s="3">
        <v>9252</v>
      </c>
      <c r="I797" s="3"/>
      <c r="J797" s="3"/>
      <c r="K797" s="3">
        <v>9000</v>
      </c>
      <c r="L797" s="27">
        <v>45324</v>
      </c>
      <c r="M797" t="str">
        <f t="shared" si="11"/>
        <v>Target Achieved</v>
      </c>
    </row>
    <row r="798" spans="1:13" x14ac:dyDescent="0.35">
      <c r="A798" s="33" t="s">
        <v>1004</v>
      </c>
      <c r="B798" s="3" t="s">
        <v>150</v>
      </c>
      <c r="C798" s="3" t="s">
        <v>44</v>
      </c>
      <c r="D798" s="3" t="s">
        <v>45</v>
      </c>
      <c r="E798" s="3" t="s">
        <v>16</v>
      </c>
      <c r="F798" s="3" t="s">
        <v>39</v>
      </c>
      <c r="G798" s="3" t="s">
        <v>36</v>
      </c>
      <c r="H798" s="3">
        <v>14823</v>
      </c>
      <c r="I798" s="3" t="s">
        <v>33</v>
      </c>
      <c r="J798" s="3">
        <v>0.3</v>
      </c>
      <c r="K798" s="3">
        <v>13000</v>
      </c>
      <c r="L798" s="27">
        <v>45349</v>
      </c>
      <c r="M798" t="str">
        <f t="shared" si="11"/>
        <v>Target Achieved</v>
      </c>
    </row>
    <row r="799" spans="1:13" x14ac:dyDescent="0.35">
      <c r="A799" s="33" t="s">
        <v>1005</v>
      </c>
      <c r="B799" s="3" t="s">
        <v>301</v>
      </c>
      <c r="C799" s="3" t="s">
        <v>30</v>
      </c>
      <c r="D799" s="3" t="s">
        <v>31</v>
      </c>
      <c r="E799" s="3" t="s">
        <v>46</v>
      </c>
      <c r="F799" s="3" t="s">
        <v>17</v>
      </c>
      <c r="G799" s="3" t="s">
        <v>26</v>
      </c>
      <c r="H799" s="3">
        <v>16763</v>
      </c>
      <c r="I799" s="3" t="s">
        <v>33</v>
      </c>
      <c r="J799" s="3">
        <v>0.3</v>
      </c>
      <c r="K799" s="3">
        <v>17000</v>
      </c>
      <c r="L799" s="27">
        <v>45330</v>
      </c>
      <c r="M799" t="str">
        <f t="shared" si="11"/>
        <v>Below Target</v>
      </c>
    </row>
    <row r="800" spans="1:13" x14ac:dyDescent="0.35">
      <c r="A800" s="33" t="s">
        <v>1006</v>
      </c>
      <c r="B800" s="3" t="s">
        <v>56</v>
      </c>
      <c r="C800" s="3" t="s">
        <v>44</v>
      </c>
      <c r="D800" s="3" t="s">
        <v>45</v>
      </c>
      <c r="E800" s="3" t="s">
        <v>46</v>
      </c>
      <c r="F800" s="3" t="s">
        <v>39</v>
      </c>
      <c r="G800" s="3" t="s">
        <v>26</v>
      </c>
      <c r="H800" s="3">
        <v>12040</v>
      </c>
      <c r="I800" s="3" t="s">
        <v>33</v>
      </c>
      <c r="J800" s="3">
        <v>0.3</v>
      </c>
      <c r="K800" s="3">
        <v>13000</v>
      </c>
      <c r="L800" s="27">
        <v>45320</v>
      </c>
      <c r="M800" t="str">
        <f t="shared" ref="M800:M863" si="12">IF(H800&gt;=K800,"Target Achieved","Below Target")</f>
        <v>Below Target</v>
      </c>
    </row>
    <row r="801" spans="1:13" x14ac:dyDescent="0.35">
      <c r="A801" s="33" t="s">
        <v>1007</v>
      </c>
      <c r="B801" s="3" t="s">
        <v>52</v>
      </c>
      <c r="C801" s="3" t="s">
        <v>14</v>
      </c>
      <c r="D801" s="3" t="s">
        <v>15</v>
      </c>
      <c r="E801" s="3" t="s">
        <v>16</v>
      </c>
      <c r="F801" s="3" t="s">
        <v>25</v>
      </c>
      <c r="G801" s="3" t="s">
        <v>36</v>
      </c>
      <c r="H801" s="3">
        <v>14440</v>
      </c>
      <c r="I801" s="3" t="s">
        <v>22</v>
      </c>
      <c r="J801" s="3">
        <v>0.1</v>
      </c>
      <c r="K801" s="3">
        <v>14000</v>
      </c>
      <c r="L801" s="27">
        <v>45325</v>
      </c>
      <c r="M801" t="str">
        <f t="shared" si="12"/>
        <v>Target Achieved</v>
      </c>
    </row>
    <row r="802" spans="1:13" x14ac:dyDescent="0.35">
      <c r="A802" s="33" t="s">
        <v>1008</v>
      </c>
      <c r="B802" s="3" t="s">
        <v>256</v>
      </c>
      <c r="C802" s="3" t="s">
        <v>14</v>
      </c>
      <c r="D802" s="3" t="s">
        <v>15</v>
      </c>
      <c r="E802" s="3" t="s">
        <v>46</v>
      </c>
      <c r="F802" s="3" t="s">
        <v>25</v>
      </c>
      <c r="G802" s="3" t="s">
        <v>18</v>
      </c>
      <c r="H802" s="3">
        <v>15505</v>
      </c>
      <c r="I802" s="3" t="s">
        <v>33</v>
      </c>
      <c r="J802" s="3">
        <v>0.3</v>
      </c>
      <c r="K802" s="3">
        <v>14000</v>
      </c>
      <c r="L802" s="27">
        <v>45293</v>
      </c>
      <c r="M802" t="str">
        <f t="shared" si="12"/>
        <v>Target Achieved</v>
      </c>
    </row>
    <row r="803" spans="1:13" x14ac:dyDescent="0.35">
      <c r="A803" s="33" t="s">
        <v>1009</v>
      </c>
      <c r="B803" s="3" t="s">
        <v>140</v>
      </c>
      <c r="C803" s="3" t="s">
        <v>30</v>
      </c>
      <c r="D803" s="3" t="s">
        <v>31</v>
      </c>
      <c r="E803" s="3" t="s">
        <v>16</v>
      </c>
      <c r="F803" s="3" t="s">
        <v>39</v>
      </c>
      <c r="G803" s="3" t="s">
        <v>26</v>
      </c>
      <c r="H803" s="3">
        <v>17337</v>
      </c>
      <c r="I803" s="3" t="s">
        <v>27</v>
      </c>
      <c r="J803" s="3"/>
      <c r="K803" s="3">
        <v>17000</v>
      </c>
      <c r="L803" s="27">
        <v>45301</v>
      </c>
      <c r="M803" t="str">
        <f t="shared" si="12"/>
        <v>Target Achieved</v>
      </c>
    </row>
    <row r="804" spans="1:13" x14ac:dyDescent="0.35">
      <c r="A804" s="33" t="s">
        <v>1010</v>
      </c>
      <c r="B804" s="3" t="s">
        <v>43</v>
      </c>
      <c r="C804" s="3" t="s">
        <v>61</v>
      </c>
      <c r="D804" s="3" t="s">
        <v>62</v>
      </c>
      <c r="E804" s="3" t="s">
        <v>46</v>
      </c>
      <c r="F804" s="3" t="s">
        <v>25</v>
      </c>
      <c r="G804" s="3" t="s">
        <v>18</v>
      </c>
      <c r="H804" s="3">
        <v>8085</v>
      </c>
      <c r="I804" s="3" t="s">
        <v>33</v>
      </c>
      <c r="J804" s="3">
        <v>0.3</v>
      </c>
      <c r="K804" s="3">
        <v>9000</v>
      </c>
      <c r="L804" s="27">
        <v>45348</v>
      </c>
      <c r="M804" t="str">
        <f t="shared" si="12"/>
        <v>Below Target</v>
      </c>
    </row>
    <row r="805" spans="1:13" x14ac:dyDescent="0.35">
      <c r="A805" s="33" t="s">
        <v>1011</v>
      </c>
      <c r="B805" s="3" t="s">
        <v>519</v>
      </c>
      <c r="C805" s="3" t="s">
        <v>44</v>
      </c>
      <c r="D805" s="3" t="s">
        <v>45</v>
      </c>
      <c r="E805" s="3" t="s">
        <v>46</v>
      </c>
      <c r="F805" s="3" t="s">
        <v>17</v>
      </c>
      <c r="G805" s="3" t="s">
        <v>18</v>
      </c>
      <c r="H805" s="3">
        <v>13336</v>
      </c>
      <c r="I805" s="3"/>
      <c r="J805" s="3"/>
      <c r="K805" s="3">
        <v>13000</v>
      </c>
      <c r="L805" s="27">
        <v>45328</v>
      </c>
      <c r="M805" t="str">
        <f t="shared" si="12"/>
        <v>Target Achieved</v>
      </c>
    </row>
    <row r="806" spans="1:13" x14ac:dyDescent="0.35">
      <c r="A806" s="33" t="s">
        <v>1012</v>
      </c>
      <c r="B806" s="3" t="s">
        <v>553</v>
      </c>
      <c r="C806" s="3" t="s">
        <v>14</v>
      </c>
      <c r="D806" s="3" t="s">
        <v>15</v>
      </c>
      <c r="E806" s="3" t="s">
        <v>16</v>
      </c>
      <c r="F806" s="3" t="s">
        <v>17</v>
      </c>
      <c r="G806" s="3" t="s">
        <v>36</v>
      </c>
      <c r="H806" s="3">
        <v>12708</v>
      </c>
      <c r="I806" s="3"/>
      <c r="J806" s="3"/>
      <c r="K806" s="3">
        <v>14000</v>
      </c>
      <c r="L806" s="27">
        <v>45344</v>
      </c>
      <c r="M806" t="str">
        <f t="shared" si="12"/>
        <v>Below Target</v>
      </c>
    </row>
    <row r="807" spans="1:13" x14ac:dyDescent="0.35">
      <c r="A807" s="33" t="s">
        <v>1013</v>
      </c>
      <c r="B807" s="3" t="s">
        <v>260</v>
      </c>
      <c r="C807" s="3" t="s">
        <v>14</v>
      </c>
      <c r="D807" s="3" t="s">
        <v>15</v>
      </c>
      <c r="E807" s="3" t="s">
        <v>16</v>
      </c>
      <c r="F807" s="3" t="s">
        <v>39</v>
      </c>
      <c r="G807" s="3" t="s">
        <v>36</v>
      </c>
      <c r="H807" s="3">
        <v>12153</v>
      </c>
      <c r="I807" s="3" t="s">
        <v>27</v>
      </c>
      <c r="J807" s="3"/>
      <c r="K807" s="3">
        <v>14000</v>
      </c>
      <c r="L807" s="27">
        <v>45316</v>
      </c>
      <c r="M807" t="str">
        <f t="shared" si="12"/>
        <v>Below Target</v>
      </c>
    </row>
    <row r="808" spans="1:13" x14ac:dyDescent="0.35">
      <c r="A808" s="33" t="s">
        <v>1014</v>
      </c>
      <c r="B808" s="3" t="s">
        <v>200</v>
      </c>
      <c r="C808" s="3" t="s">
        <v>14</v>
      </c>
      <c r="D808" s="3" t="s">
        <v>15</v>
      </c>
      <c r="E808" s="3" t="s">
        <v>46</v>
      </c>
      <c r="F808" s="3" t="s">
        <v>17</v>
      </c>
      <c r="G808" s="3" t="s">
        <v>36</v>
      </c>
      <c r="H808" s="3">
        <v>13706</v>
      </c>
      <c r="I808" s="3" t="s">
        <v>22</v>
      </c>
      <c r="J808" s="3">
        <v>0.1</v>
      </c>
      <c r="K808" s="3">
        <v>14000</v>
      </c>
      <c r="L808" s="27">
        <v>45347</v>
      </c>
      <c r="M808" t="str">
        <f t="shared" si="12"/>
        <v>Below Target</v>
      </c>
    </row>
    <row r="809" spans="1:13" x14ac:dyDescent="0.35">
      <c r="A809" s="33" t="s">
        <v>1015</v>
      </c>
      <c r="B809" s="3" t="s">
        <v>294</v>
      </c>
      <c r="C809" s="3" t="s">
        <v>14</v>
      </c>
      <c r="D809" s="3" t="s">
        <v>15</v>
      </c>
      <c r="E809" s="3" t="s">
        <v>16</v>
      </c>
      <c r="F809" s="3" t="s">
        <v>39</v>
      </c>
      <c r="G809" s="3" t="s">
        <v>36</v>
      </c>
      <c r="H809" s="3">
        <v>12221</v>
      </c>
      <c r="I809" s="3" t="s">
        <v>33</v>
      </c>
      <c r="J809" s="3">
        <v>0.3</v>
      </c>
      <c r="K809" s="3">
        <v>14000</v>
      </c>
      <c r="L809" s="27">
        <v>45325</v>
      </c>
      <c r="M809" t="str">
        <f t="shared" si="12"/>
        <v>Below Target</v>
      </c>
    </row>
    <row r="810" spans="1:13" x14ac:dyDescent="0.35">
      <c r="A810" s="33" t="s">
        <v>1016</v>
      </c>
      <c r="B810" s="3" t="s">
        <v>125</v>
      </c>
      <c r="C810" s="3" t="s">
        <v>44</v>
      </c>
      <c r="D810" s="3" t="s">
        <v>45</v>
      </c>
      <c r="E810" s="3" t="s">
        <v>46</v>
      </c>
      <c r="F810" s="3" t="s">
        <v>39</v>
      </c>
      <c r="G810" s="3" t="s">
        <v>26</v>
      </c>
      <c r="H810" s="3">
        <v>11904</v>
      </c>
      <c r="I810" s="3" t="s">
        <v>19</v>
      </c>
      <c r="J810" s="3">
        <v>0.2</v>
      </c>
      <c r="K810" s="3">
        <v>13000</v>
      </c>
      <c r="L810" s="27">
        <v>45295</v>
      </c>
      <c r="M810" t="str">
        <f t="shared" si="12"/>
        <v>Below Target</v>
      </c>
    </row>
    <row r="811" spans="1:13" x14ac:dyDescent="0.35">
      <c r="A811" s="33" t="s">
        <v>1017</v>
      </c>
      <c r="B811" s="3" t="s">
        <v>305</v>
      </c>
      <c r="C811" s="3" t="s">
        <v>61</v>
      </c>
      <c r="D811" s="3" t="s">
        <v>62</v>
      </c>
      <c r="E811" s="3" t="s">
        <v>46</v>
      </c>
      <c r="F811" s="3" t="s">
        <v>39</v>
      </c>
      <c r="G811" s="3" t="s">
        <v>26</v>
      </c>
      <c r="H811" s="3">
        <v>9067</v>
      </c>
      <c r="I811" s="3" t="s">
        <v>22</v>
      </c>
      <c r="J811" s="3">
        <v>0.1</v>
      </c>
      <c r="K811" s="3">
        <v>9000</v>
      </c>
      <c r="L811" s="27">
        <v>45306</v>
      </c>
      <c r="M811" t="str">
        <f t="shared" si="12"/>
        <v>Target Achieved</v>
      </c>
    </row>
    <row r="812" spans="1:13" x14ac:dyDescent="0.35">
      <c r="A812" s="33" t="s">
        <v>1018</v>
      </c>
      <c r="B812" s="3" t="s">
        <v>435</v>
      </c>
      <c r="C812" s="3" t="s">
        <v>61</v>
      </c>
      <c r="D812" s="3" t="s">
        <v>62</v>
      </c>
      <c r="E812" s="3" t="s">
        <v>32</v>
      </c>
      <c r="F812" s="3" t="s">
        <v>25</v>
      </c>
      <c r="G812" s="3" t="s">
        <v>36</v>
      </c>
      <c r="H812" s="3">
        <v>7338</v>
      </c>
      <c r="I812" s="3"/>
      <c r="J812" s="3"/>
      <c r="K812" s="3">
        <v>9000</v>
      </c>
      <c r="L812" s="27">
        <v>45328</v>
      </c>
      <c r="M812" t="str">
        <f t="shared" si="12"/>
        <v>Below Target</v>
      </c>
    </row>
    <row r="813" spans="1:13" x14ac:dyDescent="0.35">
      <c r="A813" s="33" t="s">
        <v>1019</v>
      </c>
      <c r="B813" s="3" t="s">
        <v>464</v>
      </c>
      <c r="C813" s="3" t="s">
        <v>61</v>
      </c>
      <c r="D813" s="3" t="s">
        <v>62</v>
      </c>
      <c r="E813" s="3" t="s">
        <v>46</v>
      </c>
      <c r="F813" s="3" t="s">
        <v>25</v>
      </c>
      <c r="G813" s="3" t="s">
        <v>36</v>
      </c>
      <c r="H813" s="3">
        <v>9055</v>
      </c>
      <c r="I813" s="3"/>
      <c r="J813" s="3"/>
      <c r="K813" s="3">
        <v>9000</v>
      </c>
      <c r="L813" s="27">
        <v>45341</v>
      </c>
      <c r="M813" t="str">
        <f t="shared" si="12"/>
        <v>Target Achieved</v>
      </c>
    </row>
    <row r="814" spans="1:13" x14ac:dyDescent="0.35">
      <c r="A814" s="33" t="s">
        <v>1020</v>
      </c>
      <c r="B814" s="3" t="s">
        <v>153</v>
      </c>
      <c r="C814" s="3" t="s">
        <v>44</v>
      </c>
      <c r="D814" s="3" t="s">
        <v>45</v>
      </c>
      <c r="E814" s="3" t="s">
        <v>46</v>
      </c>
      <c r="F814" s="3" t="s">
        <v>39</v>
      </c>
      <c r="G814" s="3" t="s">
        <v>18</v>
      </c>
      <c r="H814" s="3">
        <v>12998</v>
      </c>
      <c r="I814" s="3"/>
      <c r="J814" s="3"/>
      <c r="K814" s="3">
        <v>13000</v>
      </c>
      <c r="L814" s="27">
        <v>45333</v>
      </c>
      <c r="M814" t="str">
        <f t="shared" si="12"/>
        <v>Below Target</v>
      </c>
    </row>
    <row r="815" spans="1:13" x14ac:dyDescent="0.35">
      <c r="A815" s="33" t="s">
        <v>1021</v>
      </c>
      <c r="B815" s="3" t="s">
        <v>519</v>
      </c>
      <c r="C815" s="3" t="s">
        <v>44</v>
      </c>
      <c r="D815" s="3" t="s">
        <v>45</v>
      </c>
      <c r="E815" s="3" t="s">
        <v>32</v>
      </c>
      <c r="F815" s="3" t="s">
        <v>25</v>
      </c>
      <c r="G815" s="3" t="s">
        <v>36</v>
      </c>
      <c r="H815" s="3">
        <v>14181</v>
      </c>
      <c r="I815" s="3"/>
      <c r="J815" s="3"/>
      <c r="K815" s="3">
        <v>13000</v>
      </c>
      <c r="L815" s="27">
        <v>45312</v>
      </c>
      <c r="M815" t="str">
        <f t="shared" si="12"/>
        <v>Target Achieved</v>
      </c>
    </row>
    <row r="816" spans="1:13" x14ac:dyDescent="0.35">
      <c r="A816" s="33" t="s">
        <v>1022</v>
      </c>
      <c r="B816" s="3" t="s">
        <v>163</v>
      </c>
      <c r="C816" s="3" t="s">
        <v>14</v>
      </c>
      <c r="D816" s="3" t="s">
        <v>15</v>
      </c>
      <c r="E816" s="3" t="s">
        <v>32</v>
      </c>
      <c r="F816" s="3" t="s">
        <v>39</v>
      </c>
      <c r="G816" s="3" t="s">
        <v>36</v>
      </c>
      <c r="H816" s="3">
        <v>13734</v>
      </c>
      <c r="I816" s="3" t="s">
        <v>33</v>
      </c>
      <c r="J816" s="3">
        <v>0.3</v>
      </c>
      <c r="K816" s="3">
        <v>14000</v>
      </c>
      <c r="L816" s="27">
        <v>45314</v>
      </c>
      <c r="M816" t="str">
        <f t="shared" si="12"/>
        <v>Below Target</v>
      </c>
    </row>
    <row r="817" spans="1:13" x14ac:dyDescent="0.35">
      <c r="A817" s="33" t="s">
        <v>1023</v>
      </c>
      <c r="B817" s="3" t="s">
        <v>391</v>
      </c>
      <c r="C817" s="3" t="s">
        <v>30</v>
      </c>
      <c r="D817" s="3" t="s">
        <v>31</v>
      </c>
      <c r="E817" s="3" t="s">
        <v>16</v>
      </c>
      <c r="F817" s="3" t="s">
        <v>39</v>
      </c>
      <c r="G817" s="3" t="s">
        <v>18</v>
      </c>
      <c r="H817" s="3">
        <v>18152</v>
      </c>
      <c r="I817" s="3" t="s">
        <v>33</v>
      </c>
      <c r="J817" s="3">
        <v>0.3</v>
      </c>
      <c r="K817" s="3">
        <v>17000</v>
      </c>
      <c r="L817" s="27">
        <v>45302</v>
      </c>
      <c r="M817" t="str">
        <f t="shared" si="12"/>
        <v>Target Achieved</v>
      </c>
    </row>
    <row r="818" spans="1:13" x14ac:dyDescent="0.35">
      <c r="A818" s="33" t="s">
        <v>1024</v>
      </c>
      <c r="B818" s="3" t="s">
        <v>38</v>
      </c>
      <c r="C818" s="3" t="s">
        <v>61</v>
      </c>
      <c r="D818" s="3" t="s">
        <v>62</v>
      </c>
      <c r="E818" s="3" t="s">
        <v>16</v>
      </c>
      <c r="F818" s="3" t="s">
        <v>25</v>
      </c>
      <c r="G818" s="3" t="s">
        <v>36</v>
      </c>
      <c r="H818" s="3">
        <v>7183</v>
      </c>
      <c r="I818" s="3" t="s">
        <v>19</v>
      </c>
      <c r="J818" s="3">
        <v>0.2</v>
      </c>
      <c r="K818" s="3">
        <v>9000</v>
      </c>
      <c r="L818" s="27">
        <v>45304</v>
      </c>
      <c r="M818" t="str">
        <f t="shared" si="12"/>
        <v>Below Target</v>
      </c>
    </row>
    <row r="819" spans="1:13" x14ac:dyDescent="0.35">
      <c r="A819" s="33" t="s">
        <v>1025</v>
      </c>
      <c r="B819" s="3" t="s">
        <v>317</v>
      </c>
      <c r="C819" s="3" t="s">
        <v>44</v>
      </c>
      <c r="D819" s="3" t="s">
        <v>45</v>
      </c>
      <c r="E819" s="3" t="s">
        <v>16</v>
      </c>
      <c r="F819" s="3" t="s">
        <v>25</v>
      </c>
      <c r="G819" s="3" t="s">
        <v>18</v>
      </c>
      <c r="H819" s="3">
        <v>14029</v>
      </c>
      <c r="I819" s="3" t="s">
        <v>22</v>
      </c>
      <c r="J819" s="3">
        <v>0.1</v>
      </c>
      <c r="K819" s="3">
        <v>13000</v>
      </c>
      <c r="L819" s="27">
        <v>45307</v>
      </c>
      <c r="M819" t="str">
        <f t="shared" si="12"/>
        <v>Target Achieved</v>
      </c>
    </row>
    <row r="820" spans="1:13" x14ac:dyDescent="0.35">
      <c r="A820" s="33" t="s">
        <v>1026</v>
      </c>
      <c r="B820" s="3" t="s">
        <v>373</v>
      </c>
      <c r="C820" s="3" t="s">
        <v>30</v>
      </c>
      <c r="D820" s="3" t="s">
        <v>31</v>
      </c>
      <c r="E820" s="3" t="s">
        <v>32</v>
      </c>
      <c r="F820" s="3" t="s">
        <v>17</v>
      </c>
      <c r="G820" s="3" t="s">
        <v>26</v>
      </c>
      <c r="H820" s="3">
        <v>18294</v>
      </c>
      <c r="I820" s="3" t="s">
        <v>22</v>
      </c>
      <c r="J820" s="3">
        <v>0.1</v>
      </c>
      <c r="K820" s="3">
        <v>17000</v>
      </c>
      <c r="L820" s="27">
        <v>45311</v>
      </c>
      <c r="M820" t="str">
        <f t="shared" si="12"/>
        <v>Target Achieved</v>
      </c>
    </row>
    <row r="821" spans="1:13" x14ac:dyDescent="0.35">
      <c r="A821" s="33" t="s">
        <v>1027</v>
      </c>
      <c r="B821" s="3" t="s">
        <v>231</v>
      </c>
      <c r="C821" s="3" t="s">
        <v>14</v>
      </c>
      <c r="D821" s="3" t="s">
        <v>15</v>
      </c>
      <c r="E821" s="3" t="s">
        <v>46</v>
      </c>
      <c r="F821" s="3" t="s">
        <v>25</v>
      </c>
      <c r="G821" s="3" t="s">
        <v>26</v>
      </c>
      <c r="H821" s="3">
        <v>14203</v>
      </c>
      <c r="I821" s="3" t="s">
        <v>19</v>
      </c>
      <c r="J821" s="3">
        <v>0.2</v>
      </c>
      <c r="K821" s="3">
        <v>14000</v>
      </c>
      <c r="L821" s="27">
        <v>45305</v>
      </c>
      <c r="M821" t="str">
        <f t="shared" si="12"/>
        <v>Target Achieved</v>
      </c>
    </row>
    <row r="822" spans="1:13" x14ac:dyDescent="0.35">
      <c r="A822" s="33" t="s">
        <v>1028</v>
      </c>
      <c r="B822" s="3" t="s">
        <v>168</v>
      </c>
      <c r="C822" s="3" t="s">
        <v>30</v>
      </c>
      <c r="D822" s="3" t="s">
        <v>31</v>
      </c>
      <c r="E822" s="3" t="s">
        <v>16</v>
      </c>
      <c r="F822" s="3" t="s">
        <v>17</v>
      </c>
      <c r="G822" s="3" t="s">
        <v>26</v>
      </c>
      <c r="H822" s="3">
        <v>17989</v>
      </c>
      <c r="I822" s="3" t="s">
        <v>19</v>
      </c>
      <c r="J822" s="3">
        <v>0.2</v>
      </c>
      <c r="K822" s="3">
        <v>17000</v>
      </c>
      <c r="L822" s="27">
        <v>45336</v>
      </c>
      <c r="M822" t="str">
        <f t="shared" si="12"/>
        <v>Target Achieved</v>
      </c>
    </row>
    <row r="823" spans="1:13" x14ac:dyDescent="0.35">
      <c r="A823" s="33" t="s">
        <v>1029</v>
      </c>
      <c r="B823" s="3" t="s">
        <v>765</v>
      </c>
      <c r="C823" s="3" t="s">
        <v>14</v>
      </c>
      <c r="D823" s="3" t="s">
        <v>15</v>
      </c>
      <c r="E823" s="3" t="s">
        <v>46</v>
      </c>
      <c r="F823" s="3" t="s">
        <v>39</v>
      </c>
      <c r="G823" s="3" t="s">
        <v>26</v>
      </c>
      <c r="H823" s="3">
        <v>14157</v>
      </c>
      <c r="I823" s="3" t="s">
        <v>22</v>
      </c>
      <c r="J823" s="3">
        <v>0.1</v>
      </c>
      <c r="K823" s="3">
        <v>14000</v>
      </c>
      <c r="L823" s="27">
        <v>45308</v>
      </c>
      <c r="M823" t="str">
        <f t="shared" si="12"/>
        <v>Target Achieved</v>
      </c>
    </row>
    <row r="824" spans="1:13" x14ac:dyDescent="0.35">
      <c r="A824" s="33" t="s">
        <v>1030</v>
      </c>
      <c r="B824" s="3" t="s">
        <v>557</v>
      </c>
      <c r="C824" s="3" t="s">
        <v>30</v>
      </c>
      <c r="D824" s="3" t="s">
        <v>31</v>
      </c>
      <c r="E824" s="3" t="s">
        <v>32</v>
      </c>
      <c r="F824" s="3" t="s">
        <v>39</v>
      </c>
      <c r="G824" s="3" t="s">
        <v>26</v>
      </c>
      <c r="H824" s="3">
        <v>16111</v>
      </c>
      <c r="I824" s="3" t="s">
        <v>22</v>
      </c>
      <c r="J824" s="3">
        <v>0.1</v>
      </c>
      <c r="K824" s="3">
        <v>17000</v>
      </c>
      <c r="L824" s="27">
        <v>45321</v>
      </c>
      <c r="M824" t="str">
        <f t="shared" si="12"/>
        <v>Below Target</v>
      </c>
    </row>
    <row r="825" spans="1:13" x14ac:dyDescent="0.35">
      <c r="A825" s="33" t="s">
        <v>1031</v>
      </c>
      <c r="B825" s="3" t="s">
        <v>1032</v>
      </c>
      <c r="C825" s="3" t="s">
        <v>14</v>
      </c>
      <c r="D825" s="3" t="s">
        <v>15</v>
      </c>
      <c r="E825" s="3" t="s">
        <v>46</v>
      </c>
      <c r="F825" s="3" t="s">
        <v>39</v>
      </c>
      <c r="G825" s="3" t="s">
        <v>36</v>
      </c>
      <c r="H825" s="3">
        <v>14715</v>
      </c>
      <c r="I825" s="3" t="s">
        <v>33</v>
      </c>
      <c r="J825" s="3">
        <v>0.3</v>
      </c>
      <c r="K825" s="3">
        <v>14000</v>
      </c>
      <c r="L825" s="27">
        <v>45347</v>
      </c>
      <c r="M825" t="str">
        <f t="shared" si="12"/>
        <v>Target Achieved</v>
      </c>
    </row>
    <row r="826" spans="1:13" x14ac:dyDescent="0.35">
      <c r="A826" s="33" t="s">
        <v>1033</v>
      </c>
      <c r="B826" s="3" t="s">
        <v>43</v>
      </c>
      <c r="C826" s="3" t="s">
        <v>30</v>
      </c>
      <c r="D826" s="3" t="s">
        <v>31</v>
      </c>
      <c r="E826" s="3" t="s">
        <v>16</v>
      </c>
      <c r="F826" s="3" t="s">
        <v>17</v>
      </c>
      <c r="G826" s="3" t="s">
        <v>18</v>
      </c>
      <c r="H826" s="3">
        <v>16559</v>
      </c>
      <c r="I826" s="3" t="s">
        <v>27</v>
      </c>
      <c r="J826" s="3"/>
      <c r="K826" s="3">
        <v>17000</v>
      </c>
      <c r="L826" s="27">
        <v>45337</v>
      </c>
      <c r="M826" t="str">
        <f t="shared" si="12"/>
        <v>Below Target</v>
      </c>
    </row>
    <row r="827" spans="1:13" x14ac:dyDescent="0.35">
      <c r="A827" s="33" t="s">
        <v>1034</v>
      </c>
      <c r="B827" s="3" t="s">
        <v>432</v>
      </c>
      <c r="C827" s="3" t="s">
        <v>61</v>
      </c>
      <c r="D827" s="3" t="s">
        <v>62</v>
      </c>
      <c r="E827" s="3" t="s">
        <v>16</v>
      </c>
      <c r="F827" s="3" t="s">
        <v>39</v>
      </c>
      <c r="G827" s="3" t="s">
        <v>18</v>
      </c>
      <c r="H827" s="3">
        <v>7763</v>
      </c>
      <c r="I827" s="3" t="s">
        <v>19</v>
      </c>
      <c r="J827" s="3">
        <v>0.2</v>
      </c>
      <c r="K827" s="3">
        <v>9000</v>
      </c>
      <c r="L827" s="27">
        <v>45324</v>
      </c>
      <c r="M827" t="str">
        <f t="shared" si="12"/>
        <v>Below Target</v>
      </c>
    </row>
    <row r="828" spans="1:13" x14ac:dyDescent="0.35">
      <c r="A828" s="33" t="s">
        <v>1035</v>
      </c>
      <c r="B828" s="3" t="s">
        <v>330</v>
      </c>
      <c r="C828" s="3" t="s">
        <v>14</v>
      </c>
      <c r="D828" s="3" t="s">
        <v>15</v>
      </c>
      <c r="E828" s="3" t="s">
        <v>32</v>
      </c>
      <c r="F828" s="3" t="s">
        <v>25</v>
      </c>
      <c r="G828" s="3" t="s">
        <v>26</v>
      </c>
      <c r="H828" s="3">
        <v>13248</v>
      </c>
      <c r="I828" s="3" t="s">
        <v>33</v>
      </c>
      <c r="J828" s="3">
        <v>0.3</v>
      </c>
      <c r="K828" s="3">
        <v>14000</v>
      </c>
      <c r="L828" s="27">
        <v>45323</v>
      </c>
      <c r="M828" t="str">
        <f t="shared" si="12"/>
        <v>Below Target</v>
      </c>
    </row>
    <row r="829" spans="1:13" x14ac:dyDescent="0.35">
      <c r="A829" s="33" t="s">
        <v>1036</v>
      </c>
      <c r="B829" s="3" t="s">
        <v>101</v>
      </c>
      <c r="C829" s="3" t="s">
        <v>44</v>
      </c>
      <c r="D829" s="3" t="s">
        <v>45</v>
      </c>
      <c r="E829" s="3" t="s">
        <v>32</v>
      </c>
      <c r="F829" s="3" t="s">
        <v>17</v>
      </c>
      <c r="G829" s="3" t="s">
        <v>26</v>
      </c>
      <c r="H829" s="3">
        <v>12441</v>
      </c>
      <c r="I829" s="3" t="s">
        <v>33</v>
      </c>
      <c r="J829" s="3">
        <v>0.3</v>
      </c>
      <c r="K829" s="3">
        <v>13000</v>
      </c>
      <c r="L829" s="27">
        <v>45332</v>
      </c>
      <c r="M829" t="str">
        <f t="shared" si="12"/>
        <v>Below Target</v>
      </c>
    </row>
    <row r="830" spans="1:13" x14ac:dyDescent="0.35">
      <c r="A830" s="33" t="s">
        <v>1037</v>
      </c>
      <c r="B830" s="3" t="s">
        <v>289</v>
      </c>
      <c r="C830" s="3" t="s">
        <v>30</v>
      </c>
      <c r="D830" s="3" t="s">
        <v>31</v>
      </c>
      <c r="E830" s="3" t="s">
        <v>32</v>
      </c>
      <c r="F830" s="3" t="s">
        <v>39</v>
      </c>
      <c r="G830" s="3" t="s">
        <v>36</v>
      </c>
      <c r="H830" s="3">
        <v>18599</v>
      </c>
      <c r="I830" s="3"/>
      <c r="J830" s="3"/>
      <c r="K830" s="3">
        <v>17000</v>
      </c>
      <c r="L830" s="27">
        <v>45348</v>
      </c>
      <c r="M830" t="str">
        <f t="shared" si="12"/>
        <v>Target Achieved</v>
      </c>
    </row>
    <row r="831" spans="1:13" x14ac:dyDescent="0.35">
      <c r="A831" s="33" t="s">
        <v>1038</v>
      </c>
      <c r="B831" s="3" t="s">
        <v>676</v>
      </c>
      <c r="C831" s="3" t="s">
        <v>30</v>
      </c>
      <c r="D831" s="3" t="s">
        <v>31</v>
      </c>
      <c r="E831" s="3" t="s">
        <v>32</v>
      </c>
      <c r="F831" s="3" t="s">
        <v>25</v>
      </c>
      <c r="G831" s="3" t="s">
        <v>36</v>
      </c>
      <c r="H831" s="3">
        <v>18674</v>
      </c>
      <c r="I831" s="3"/>
      <c r="J831" s="3"/>
      <c r="K831" s="3">
        <v>17000</v>
      </c>
      <c r="L831" s="27">
        <v>45334</v>
      </c>
      <c r="M831" t="str">
        <f t="shared" si="12"/>
        <v>Target Achieved</v>
      </c>
    </row>
    <row r="832" spans="1:13" x14ac:dyDescent="0.35">
      <c r="A832" s="33" t="s">
        <v>1039</v>
      </c>
      <c r="B832" s="3" t="s">
        <v>325</v>
      </c>
      <c r="C832" s="3" t="s">
        <v>61</v>
      </c>
      <c r="D832" s="3" t="s">
        <v>62</v>
      </c>
      <c r="E832" s="3" t="s">
        <v>16</v>
      </c>
      <c r="F832" s="3" t="s">
        <v>39</v>
      </c>
      <c r="G832" s="3" t="s">
        <v>26</v>
      </c>
      <c r="H832" s="3">
        <v>10574</v>
      </c>
      <c r="I832" s="3" t="s">
        <v>19</v>
      </c>
      <c r="J832" s="3">
        <v>0.2</v>
      </c>
      <c r="K832" s="3">
        <v>9000</v>
      </c>
      <c r="L832" s="27">
        <v>45318</v>
      </c>
      <c r="M832" t="str">
        <f t="shared" si="12"/>
        <v>Target Achieved</v>
      </c>
    </row>
    <row r="833" spans="1:13" x14ac:dyDescent="0.35">
      <c r="A833" s="33" t="s">
        <v>1040</v>
      </c>
      <c r="B833" s="3" t="s">
        <v>56</v>
      </c>
      <c r="C833" s="3" t="s">
        <v>44</v>
      </c>
      <c r="D833" s="3" t="s">
        <v>45</v>
      </c>
      <c r="E833" s="3" t="s">
        <v>46</v>
      </c>
      <c r="F833" s="3" t="s">
        <v>17</v>
      </c>
      <c r="G833" s="3" t="s">
        <v>26</v>
      </c>
      <c r="H833" s="3">
        <v>12348</v>
      </c>
      <c r="I833" s="3"/>
      <c r="J833" s="3"/>
      <c r="K833" s="3">
        <v>13000</v>
      </c>
      <c r="L833" s="27">
        <v>45326</v>
      </c>
      <c r="M833" t="str">
        <f t="shared" si="12"/>
        <v>Below Target</v>
      </c>
    </row>
    <row r="834" spans="1:13" x14ac:dyDescent="0.35">
      <c r="A834" s="33" t="s">
        <v>1041</v>
      </c>
      <c r="B834" s="3" t="s">
        <v>35</v>
      </c>
      <c r="C834" s="3" t="s">
        <v>44</v>
      </c>
      <c r="D834" s="3" t="s">
        <v>45</v>
      </c>
      <c r="E834" s="3" t="s">
        <v>16</v>
      </c>
      <c r="F834" s="3" t="s">
        <v>39</v>
      </c>
      <c r="G834" s="3" t="s">
        <v>26</v>
      </c>
      <c r="H834" s="3">
        <v>14277</v>
      </c>
      <c r="I834" s="3" t="s">
        <v>19</v>
      </c>
      <c r="J834" s="3">
        <v>0.2</v>
      </c>
      <c r="K834" s="3">
        <v>13000</v>
      </c>
      <c r="L834" s="27">
        <v>45347</v>
      </c>
      <c r="M834" t="str">
        <f t="shared" si="12"/>
        <v>Target Achieved</v>
      </c>
    </row>
    <row r="835" spans="1:13" x14ac:dyDescent="0.35">
      <c r="A835" s="33" t="s">
        <v>1042</v>
      </c>
      <c r="B835" s="3" t="s">
        <v>256</v>
      </c>
      <c r="C835" s="3" t="s">
        <v>44</v>
      </c>
      <c r="D835" s="3" t="s">
        <v>45</v>
      </c>
      <c r="E835" s="3" t="s">
        <v>46</v>
      </c>
      <c r="F835" s="3" t="s">
        <v>25</v>
      </c>
      <c r="G835" s="3" t="s">
        <v>26</v>
      </c>
      <c r="H835" s="3">
        <v>14821</v>
      </c>
      <c r="I835" s="3" t="s">
        <v>27</v>
      </c>
      <c r="J835" s="3"/>
      <c r="K835" s="3">
        <v>13000</v>
      </c>
      <c r="L835" s="27">
        <v>45350</v>
      </c>
      <c r="M835" t="str">
        <f t="shared" si="12"/>
        <v>Target Achieved</v>
      </c>
    </row>
    <row r="836" spans="1:13" x14ac:dyDescent="0.35">
      <c r="A836" s="33" t="s">
        <v>1043</v>
      </c>
      <c r="B836" s="3" t="s">
        <v>74</v>
      </c>
      <c r="C836" s="3" t="s">
        <v>14</v>
      </c>
      <c r="D836" s="3" t="s">
        <v>15</v>
      </c>
      <c r="E836" s="3" t="s">
        <v>16</v>
      </c>
      <c r="F836" s="3" t="s">
        <v>39</v>
      </c>
      <c r="G836" s="3" t="s">
        <v>26</v>
      </c>
      <c r="H836" s="3">
        <v>12484</v>
      </c>
      <c r="I836" s="3" t="s">
        <v>19</v>
      </c>
      <c r="J836" s="3">
        <v>0.2</v>
      </c>
      <c r="K836" s="3">
        <v>14000</v>
      </c>
      <c r="L836" s="27">
        <v>45312</v>
      </c>
      <c r="M836" t="str">
        <f t="shared" si="12"/>
        <v>Below Target</v>
      </c>
    </row>
    <row r="837" spans="1:13" x14ac:dyDescent="0.35">
      <c r="A837" s="33" t="s">
        <v>1044</v>
      </c>
      <c r="B837" s="3" t="s">
        <v>412</v>
      </c>
      <c r="C837" s="3" t="s">
        <v>14</v>
      </c>
      <c r="D837" s="3" t="s">
        <v>15</v>
      </c>
      <c r="E837" s="3" t="s">
        <v>46</v>
      </c>
      <c r="F837" s="3" t="s">
        <v>17</v>
      </c>
      <c r="G837" s="3" t="s">
        <v>36</v>
      </c>
      <c r="H837" s="3">
        <v>13242</v>
      </c>
      <c r="I837" s="3"/>
      <c r="J837" s="3"/>
      <c r="K837" s="3">
        <v>14000</v>
      </c>
      <c r="L837" s="27">
        <v>45339</v>
      </c>
      <c r="M837" t="str">
        <f t="shared" si="12"/>
        <v>Below Target</v>
      </c>
    </row>
    <row r="838" spans="1:13" x14ac:dyDescent="0.35">
      <c r="A838" s="33" t="s">
        <v>1045</v>
      </c>
      <c r="B838" s="3" t="s">
        <v>454</v>
      </c>
      <c r="C838" s="3" t="s">
        <v>30</v>
      </c>
      <c r="D838" s="3" t="s">
        <v>31</v>
      </c>
      <c r="E838" s="3" t="s">
        <v>32</v>
      </c>
      <c r="F838" s="3" t="s">
        <v>25</v>
      </c>
      <c r="G838" s="3" t="s">
        <v>18</v>
      </c>
      <c r="H838" s="3">
        <v>15538</v>
      </c>
      <c r="I838" s="3" t="s">
        <v>19</v>
      </c>
      <c r="J838" s="3">
        <v>0.2</v>
      </c>
      <c r="K838" s="3">
        <v>17000</v>
      </c>
      <c r="L838" s="27">
        <v>45293</v>
      </c>
      <c r="M838" t="str">
        <f t="shared" si="12"/>
        <v>Below Target</v>
      </c>
    </row>
    <row r="839" spans="1:13" x14ac:dyDescent="0.35">
      <c r="A839" s="33" t="s">
        <v>1046</v>
      </c>
      <c r="B839" s="3" t="s">
        <v>522</v>
      </c>
      <c r="C839" s="3" t="s">
        <v>30</v>
      </c>
      <c r="D839" s="3" t="s">
        <v>31</v>
      </c>
      <c r="E839" s="3" t="s">
        <v>16</v>
      </c>
      <c r="F839" s="3" t="s">
        <v>39</v>
      </c>
      <c r="G839" s="3" t="s">
        <v>26</v>
      </c>
      <c r="H839" s="3">
        <v>15945</v>
      </c>
      <c r="I839" s="3" t="s">
        <v>27</v>
      </c>
      <c r="J839" s="3"/>
      <c r="K839" s="3">
        <v>17000</v>
      </c>
      <c r="L839" s="27">
        <v>45306</v>
      </c>
      <c r="M839" t="str">
        <f t="shared" si="12"/>
        <v>Below Target</v>
      </c>
    </row>
    <row r="840" spans="1:13" x14ac:dyDescent="0.35">
      <c r="A840" s="33" t="s">
        <v>1047</v>
      </c>
      <c r="B840" s="3" t="s">
        <v>817</v>
      </c>
      <c r="C840" s="3" t="s">
        <v>14</v>
      </c>
      <c r="D840" s="3" t="s">
        <v>15</v>
      </c>
      <c r="E840" s="3" t="s">
        <v>46</v>
      </c>
      <c r="F840" s="3" t="s">
        <v>25</v>
      </c>
      <c r="G840" s="3" t="s">
        <v>26</v>
      </c>
      <c r="H840" s="3">
        <v>15194</v>
      </c>
      <c r="I840" s="3"/>
      <c r="J840" s="3"/>
      <c r="K840" s="3">
        <v>14000</v>
      </c>
      <c r="L840" s="27">
        <v>45300</v>
      </c>
      <c r="M840" t="str">
        <f t="shared" si="12"/>
        <v>Target Achieved</v>
      </c>
    </row>
    <row r="841" spans="1:13" x14ac:dyDescent="0.35">
      <c r="A841" s="33" t="s">
        <v>1048</v>
      </c>
      <c r="B841" s="3" t="s">
        <v>105</v>
      </c>
      <c r="C841" s="3" t="s">
        <v>61</v>
      </c>
      <c r="D841" s="3" t="s">
        <v>62</v>
      </c>
      <c r="E841" s="3" t="s">
        <v>16</v>
      </c>
      <c r="F841" s="3" t="s">
        <v>39</v>
      </c>
      <c r="G841" s="3" t="s">
        <v>36</v>
      </c>
      <c r="H841" s="3">
        <v>7753</v>
      </c>
      <c r="I841" s="3"/>
      <c r="J841" s="3"/>
      <c r="K841" s="3">
        <v>9000</v>
      </c>
      <c r="L841" s="27">
        <v>45323</v>
      </c>
      <c r="M841" t="str">
        <f t="shared" si="12"/>
        <v>Below Target</v>
      </c>
    </row>
    <row r="842" spans="1:13" x14ac:dyDescent="0.35">
      <c r="A842" s="33" t="s">
        <v>1049</v>
      </c>
      <c r="B842" s="3" t="s">
        <v>508</v>
      </c>
      <c r="C842" s="3" t="s">
        <v>44</v>
      </c>
      <c r="D842" s="3" t="s">
        <v>45</v>
      </c>
      <c r="E842" s="3" t="s">
        <v>32</v>
      </c>
      <c r="F842" s="3" t="s">
        <v>25</v>
      </c>
      <c r="G842" s="3" t="s">
        <v>18</v>
      </c>
      <c r="H842" s="3">
        <v>12673</v>
      </c>
      <c r="I842" s="3" t="s">
        <v>22</v>
      </c>
      <c r="J842" s="3">
        <v>0.1</v>
      </c>
      <c r="K842" s="3">
        <v>13000</v>
      </c>
      <c r="L842" s="27">
        <v>45351</v>
      </c>
      <c r="M842" t="str">
        <f t="shared" si="12"/>
        <v>Below Target</v>
      </c>
    </row>
    <row r="843" spans="1:13" x14ac:dyDescent="0.35">
      <c r="A843" s="33" t="s">
        <v>1050</v>
      </c>
      <c r="B843" s="3" t="s">
        <v>70</v>
      </c>
      <c r="C843" s="3" t="s">
        <v>44</v>
      </c>
      <c r="D843" s="3" t="s">
        <v>45</v>
      </c>
      <c r="E843" s="3" t="s">
        <v>16</v>
      </c>
      <c r="F843" s="3" t="s">
        <v>39</v>
      </c>
      <c r="G843" s="3" t="s">
        <v>18</v>
      </c>
      <c r="H843" s="3">
        <v>14103</v>
      </c>
      <c r="I843" s="3" t="s">
        <v>19</v>
      </c>
      <c r="J843" s="3">
        <v>0.2</v>
      </c>
      <c r="K843" s="3">
        <v>13000</v>
      </c>
      <c r="L843" s="27">
        <v>45296</v>
      </c>
      <c r="M843" t="str">
        <f t="shared" si="12"/>
        <v>Target Achieved</v>
      </c>
    </row>
    <row r="844" spans="1:13" x14ac:dyDescent="0.35">
      <c r="A844" s="33" t="s">
        <v>1051</v>
      </c>
      <c r="B844" s="3" t="s">
        <v>429</v>
      </c>
      <c r="C844" s="3" t="s">
        <v>61</v>
      </c>
      <c r="D844" s="3" t="s">
        <v>62</v>
      </c>
      <c r="E844" s="3" t="s">
        <v>16</v>
      </c>
      <c r="F844" s="3" t="s">
        <v>17</v>
      </c>
      <c r="G844" s="3" t="s">
        <v>36</v>
      </c>
      <c r="H844" s="3">
        <v>10635</v>
      </c>
      <c r="I844" s="3" t="s">
        <v>19</v>
      </c>
      <c r="J844" s="3">
        <v>0.2</v>
      </c>
      <c r="K844" s="3">
        <v>9000</v>
      </c>
      <c r="L844" s="27">
        <v>45319</v>
      </c>
      <c r="M844" t="str">
        <f t="shared" si="12"/>
        <v>Target Achieved</v>
      </c>
    </row>
    <row r="845" spans="1:13" x14ac:dyDescent="0.35">
      <c r="A845" s="33" t="s">
        <v>1052</v>
      </c>
      <c r="B845" s="3" t="s">
        <v>155</v>
      </c>
      <c r="C845" s="3" t="s">
        <v>14</v>
      </c>
      <c r="D845" s="3" t="s">
        <v>15</v>
      </c>
      <c r="E845" s="3" t="s">
        <v>16</v>
      </c>
      <c r="F845" s="3" t="s">
        <v>39</v>
      </c>
      <c r="G845" s="3" t="s">
        <v>36</v>
      </c>
      <c r="H845" s="3">
        <v>14949</v>
      </c>
      <c r="I845" s="3" t="s">
        <v>33</v>
      </c>
      <c r="J845" s="3">
        <v>0.3</v>
      </c>
      <c r="K845" s="3">
        <v>14000</v>
      </c>
      <c r="L845" s="27">
        <v>45317</v>
      </c>
      <c r="M845" t="str">
        <f t="shared" si="12"/>
        <v>Target Achieved</v>
      </c>
    </row>
    <row r="846" spans="1:13" x14ac:dyDescent="0.35">
      <c r="A846" s="33" t="s">
        <v>1053</v>
      </c>
      <c r="B846" s="3" t="s">
        <v>233</v>
      </c>
      <c r="C846" s="3" t="s">
        <v>14</v>
      </c>
      <c r="D846" s="3" t="s">
        <v>15</v>
      </c>
      <c r="E846" s="3" t="s">
        <v>16</v>
      </c>
      <c r="F846" s="3" t="s">
        <v>25</v>
      </c>
      <c r="G846" s="3" t="s">
        <v>36</v>
      </c>
      <c r="H846" s="3">
        <v>13871</v>
      </c>
      <c r="I846" s="3" t="s">
        <v>22</v>
      </c>
      <c r="J846" s="3">
        <v>0.1</v>
      </c>
      <c r="K846" s="3">
        <v>14000</v>
      </c>
      <c r="L846" s="27">
        <v>45348</v>
      </c>
      <c r="M846" t="str">
        <f t="shared" si="12"/>
        <v>Below Target</v>
      </c>
    </row>
    <row r="847" spans="1:13" x14ac:dyDescent="0.35">
      <c r="A847" s="33" t="s">
        <v>1054</v>
      </c>
      <c r="B847" s="3" t="s">
        <v>24</v>
      </c>
      <c r="C847" s="3" t="s">
        <v>61</v>
      </c>
      <c r="D847" s="3" t="s">
        <v>62</v>
      </c>
      <c r="E847" s="3" t="s">
        <v>16</v>
      </c>
      <c r="F847" s="3" t="s">
        <v>25</v>
      </c>
      <c r="G847" s="3" t="s">
        <v>26</v>
      </c>
      <c r="H847" s="3">
        <v>8586</v>
      </c>
      <c r="I847" s="3" t="s">
        <v>27</v>
      </c>
      <c r="J847" s="3"/>
      <c r="K847" s="3">
        <v>9000</v>
      </c>
      <c r="L847" s="27">
        <v>45340</v>
      </c>
      <c r="M847" t="str">
        <f t="shared" si="12"/>
        <v>Below Target</v>
      </c>
    </row>
    <row r="848" spans="1:13" x14ac:dyDescent="0.35">
      <c r="A848" s="33" t="s">
        <v>1055</v>
      </c>
      <c r="B848" s="3" t="s">
        <v>1032</v>
      </c>
      <c r="C848" s="3" t="s">
        <v>44</v>
      </c>
      <c r="D848" s="3" t="s">
        <v>45</v>
      </c>
      <c r="E848" s="3" t="s">
        <v>46</v>
      </c>
      <c r="F848" s="3" t="s">
        <v>17</v>
      </c>
      <c r="G848" s="3" t="s">
        <v>36</v>
      </c>
      <c r="H848" s="3">
        <v>14622</v>
      </c>
      <c r="I848" s="3" t="s">
        <v>33</v>
      </c>
      <c r="J848" s="3">
        <v>0.3</v>
      </c>
      <c r="K848" s="3">
        <v>13000</v>
      </c>
      <c r="L848" s="27">
        <v>45341</v>
      </c>
      <c r="M848" t="str">
        <f t="shared" si="12"/>
        <v>Target Achieved</v>
      </c>
    </row>
    <row r="849" spans="1:13" x14ac:dyDescent="0.35">
      <c r="A849" s="33" t="s">
        <v>1056</v>
      </c>
      <c r="B849" s="3" t="s">
        <v>643</v>
      </c>
      <c r="C849" s="3" t="s">
        <v>61</v>
      </c>
      <c r="D849" s="3" t="s">
        <v>62</v>
      </c>
      <c r="E849" s="3" t="s">
        <v>32</v>
      </c>
      <c r="F849" s="3" t="s">
        <v>17</v>
      </c>
      <c r="G849" s="3" t="s">
        <v>36</v>
      </c>
      <c r="H849" s="3">
        <v>9511</v>
      </c>
      <c r="I849" s="3" t="s">
        <v>22</v>
      </c>
      <c r="J849" s="3">
        <v>0.1</v>
      </c>
      <c r="K849" s="3">
        <v>9000</v>
      </c>
      <c r="L849" s="27">
        <v>45336</v>
      </c>
      <c r="M849" t="str">
        <f t="shared" si="12"/>
        <v>Target Achieved</v>
      </c>
    </row>
    <row r="850" spans="1:13" x14ac:dyDescent="0.35">
      <c r="A850" s="33" t="s">
        <v>1057</v>
      </c>
      <c r="B850" s="3" t="s">
        <v>80</v>
      </c>
      <c r="C850" s="3" t="s">
        <v>61</v>
      </c>
      <c r="D850" s="3" t="s">
        <v>62</v>
      </c>
      <c r="E850" s="3" t="s">
        <v>16</v>
      </c>
      <c r="F850" s="3" t="s">
        <v>17</v>
      </c>
      <c r="G850" s="3" t="s">
        <v>18</v>
      </c>
      <c r="H850" s="3">
        <v>9959</v>
      </c>
      <c r="I850" s="3" t="s">
        <v>27</v>
      </c>
      <c r="J850" s="3"/>
      <c r="K850" s="3">
        <v>9000</v>
      </c>
      <c r="L850" s="27">
        <v>45299</v>
      </c>
      <c r="M850" t="str">
        <f t="shared" si="12"/>
        <v>Target Achieved</v>
      </c>
    </row>
    <row r="851" spans="1:13" x14ac:dyDescent="0.35">
      <c r="A851" s="33" t="s">
        <v>1058</v>
      </c>
      <c r="B851" s="3" t="s">
        <v>135</v>
      </c>
      <c r="C851" s="3" t="s">
        <v>44</v>
      </c>
      <c r="D851" s="3" t="s">
        <v>45</v>
      </c>
      <c r="E851" s="3" t="s">
        <v>46</v>
      </c>
      <c r="F851" s="3" t="s">
        <v>17</v>
      </c>
      <c r="G851" s="3" t="s">
        <v>36</v>
      </c>
      <c r="H851" s="3">
        <v>12846</v>
      </c>
      <c r="I851" s="3" t="s">
        <v>22</v>
      </c>
      <c r="J851" s="3">
        <v>0.1</v>
      </c>
      <c r="K851" s="3">
        <v>13000</v>
      </c>
      <c r="L851" s="27">
        <v>45303</v>
      </c>
      <c r="M851" t="str">
        <f t="shared" si="12"/>
        <v>Below Target</v>
      </c>
    </row>
    <row r="852" spans="1:13" x14ac:dyDescent="0.35">
      <c r="A852" s="33" t="s">
        <v>1059</v>
      </c>
      <c r="B852" s="3" t="s">
        <v>600</v>
      </c>
      <c r="C852" s="3" t="s">
        <v>44</v>
      </c>
      <c r="D852" s="3" t="s">
        <v>45</v>
      </c>
      <c r="E852" s="3" t="s">
        <v>46</v>
      </c>
      <c r="F852" s="3" t="s">
        <v>25</v>
      </c>
      <c r="G852" s="3" t="s">
        <v>36</v>
      </c>
      <c r="H852" s="3">
        <v>12327</v>
      </c>
      <c r="I852" s="3" t="s">
        <v>19</v>
      </c>
      <c r="J852" s="3">
        <v>0.2</v>
      </c>
      <c r="K852" s="3">
        <v>13000</v>
      </c>
      <c r="L852" s="27">
        <v>45337</v>
      </c>
      <c r="M852" t="str">
        <f t="shared" si="12"/>
        <v>Below Target</v>
      </c>
    </row>
    <row r="853" spans="1:13" x14ac:dyDescent="0.35">
      <c r="A853" s="33" t="s">
        <v>1060</v>
      </c>
      <c r="B853" s="3" t="s">
        <v>1000</v>
      </c>
      <c r="C853" s="3" t="s">
        <v>14</v>
      </c>
      <c r="D853" s="3" t="s">
        <v>15</v>
      </c>
      <c r="E853" s="3" t="s">
        <v>32</v>
      </c>
      <c r="F853" s="3" t="s">
        <v>39</v>
      </c>
      <c r="G853" s="3" t="s">
        <v>36</v>
      </c>
      <c r="H853" s="3">
        <v>14597</v>
      </c>
      <c r="I853" s="3" t="s">
        <v>33</v>
      </c>
      <c r="J853" s="3">
        <v>0.3</v>
      </c>
      <c r="K853" s="3">
        <v>14000</v>
      </c>
      <c r="L853" s="27">
        <v>45297</v>
      </c>
      <c r="M853" t="str">
        <f t="shared" si="12"/>
        <v>Target Achieved</v>
      </c>
    </row>
    <row r="854" spans="1:13" x14ac:dyDescent="0.35">
      <c r="A854" s="33" t="s">
        <v>1061</v>
      </c>
      <c r="B854" s="3" t="s">
        <v>548</v>
      </c>
      <c r="C854" s="3" t="s">
        <v>61</v>
      </c>
      <c r="D854" s="3" t="s">
        <v>62</v>
      </c>
      <c r="E854" s="3" t="s">
        <v>16</v>
      </c>
      <c r="F854" s="3" t="s">
        <v>39</v>
      </c>
      <c r="G854" s="3" t="s">
        <v>26</v>
      </c>
      <c r="H854" s="3">
        <v>10890</v>
      </c>
      <c r="I854" s="3" t="s">
        <v>19</v>
      </c>
      <c r="J854" s="3">
        <v>0.2</v>
      </c>
      <c r="K854" s="3">
        <v>9000</v>
      </c>
      <c r="L854" s="27">
        <v>45316</v>
      </c>
      <c r="M854" t="str">
        <f t="shared" si="12"/>
        <v>Target Achieved</v>
      </c>
    </row>
    <row r="855" spans="1:13" x14ac:dyDescent="0.35">
      <c r="A855" s="33" t="s">
        <v>1062</v>
      </c>
      <c r="B855" s="3" t="s">
        <v>388</v>
      </c>
      <c r="C855" s="3" t="s">
        <v>14</v>
      </c>
      <c r="D855" s="3" t="s">
        <v>15</v>
      </c>
      <c r="E855" s="3" t="s">
        <v>32</v>
      </c>
      <c r="F855" s="3" t="s">
        <v>17</v>
      </c>
      <c r="G855" s="3" t="s">
        <v>26</v>
      </c>
      <c r="H855" s="3">
        <v>15568</v>
      </c>
      <c r="I855" s="3" t="s">
        <v>19</v>
      </c>
      <c r="J855" s="3">
        <v>0.2</v>
      </c>
      <c r="K855" s="3">
        <v>14000</v>
      </c>
      <c r="L855" s="27">
        <v>45302</v>
      </c>
      <c r="M855" t="str">
        <f t="shared" si="12"/>
        <v>Target Achieved</v>
      </c>
    </row>
    <row r="856" spans="1:13" x14ac:dyDescent="0.35">
      <c r="A856" s="33" t="s">
        <v>1063</v>
      </c>
      <c r="B856" s="3" t="s">
        <v>412</v>
      </c>
      <c r="C856" s="3" t="s">
        <v>44</v>
      </c>
      <c r="D856" s="3" t="s">
        <v>45</v>
      </c>
      <c r="E856" s="3" t="s">
        <v>16</v>
      </c>
      <c r="F856" s="3" t="s">
        <v>25</v>
      </c>
      <c r="G856" s="3" t="s">
        <v>36</v>
      </c>
      <c r="H856" s="3">
        <v>12261</v>
      </c>
      <c r="I856" s="3" t="s">
        <v>33</v>
      </c>
      <c r="J856" s="3">
        <v>0.3</v>
      </c>
      <c r="K856" s="3">
        <v>13000</v>
      </c>
      <c r="L856" s="27">
        <v>45338</v>
      </c>
      <c r="M856" t="str">
        <f t="shared" si="12"/>
        <v>Below Target</v>
      </c>
    </row>
    <row r="857" spans="1:13" x14ac:dyDescent="0.35">
      <c r="A857" s="33" t="s">
        <v>1064</v>
      </c>
      <c r="B857" s="3" t="s">
        <v>298</v>
      </c>
      <c r="C857" s="3" t="s">
        <v>30</v>
      </c>
      <c r="D857" s="3" t="s">
        <v>31</v>
      </c>
      <c r="E857" s="3" t="s">
        <v>16</v>
      </c>
      <c r="F857" s="3" t="s">
        <v>25</v>
      </c>
      <c r="G857" s="3" t="s">
        <v>18</v>
      </c>
      <c r="H857" s="3">
        <v>18680</v>
      </c>
      <c r="I857" s="3" t="s">
        <v>19</v>
      </c>
      <c r="J857" s="3">
        <v>0.2</v>
      </c>
      <c r="K857" s="3">
        <v>17000</v>
      </c>
      <c r="L857" s="27">
        <v>45304</v>
      </c>
      <c r="M857" t="str">
        <f t="shared" si="12"/>
        <v>Target Achieved</v>
      </c>
    </row>
    <row r="858" spans="1:13" x14ac:dyDescent="0.35">
      <c r="A858" s="33" t="s">
        <v>1065</v>
      </c>
      <c r="B858" s="3" t="s">
        <v>109</v>
      </c>
      <c r="C858" s="3" t="s">
        <v>30</v>
      </c>
      <c r="D858" s="3" t="s">
        <v>31</v>
      </c>
      <c r="E858" s="3" t="s">
        <v>32</v>
      </c>
      <c r="F858" s="3" t="s">
        <v>17</v>
      </c>
      <c r="G858" s="3" t="s">
        <v>36</v>
      </c>
      <c r="H858" s="3">
        <v>18503</v>
      </c>
      <c r="I858" s="3"/>
      <c r="J858" s="3"/>
      <c r="K858" s="3">
        <v>17000</v>
      </c>
      <c r="L858" s="27">
        <v>45326</v>
      </c>
      <c r="M858" t="str">
        <f t="shared" si="12"/>
        <v>Target Achieved</v>
      </c>
    </row>
    <row r="859" spans="1:13" x14ac:dyDescent="0.35">
      <c r="A859" s="33" t="s">
        <v>1066</v>
      </c>
      <c r="B859" s="3" t="s">
        <v>64</v>
      </c>
      <c r="C859" s="3" t="s">
        <v>61</v>
      </c>
      <c r="D859" s="3" t="s">
        <v>62</v>
      </c>
      <c r="E859" s="3" t="s">
        <v>32</v>
      </c>
      <c r="F859" s="3" t="s">
        <v>25</v>
      </c>
      <c r="G859" s="3" t="s">
        <v>26</v>
      </c>
      <c r="H859" s="3">
        <v>9701</v>
      </c>
      <c r="I859" s="3"/>
      <c r="J859" s="3"/>
      <c r="K859" s="3">
        <v>9000</v>
      </c>
      <c r="L859" s="27">
        <v>45321</v>
      </c>
      <c r="M859" t="str">
        <f t="shared" si="12"/>
        <v>Target Achieved</v>
      </c>
    </row>
    <row r="860" spans="1:13" x14ac:dyDescent="0.35">
      <c r="A860" s="33" t="s">
        <v>1067</v>
      </c>
      <c r="B860" s="3" t="s">
        <v>527</v>
      </c>
      <c r="C860" s="3" t="s">
        <v>14</v>
      </c>
      <c r="D860" s="3" t="s">
        <v>15</v>
      </c>
      <c r="E860" s="3" t="s">
        <v>16</v>
      </c>
      <c r="F860" s="3" t="s">
        <v>39</v>
      </c>
      <c r="G860" s="3" t="s">
        <v>18</v>
      </c>
      <c r="H860" s="3">
        <v>13002</v>
      </c>
      <c r="I860" s="3" t="s">
        <v>27</v>
      </c>
      <c r="J860" s="3"/>
      <c r="K860" s="3">
        <v>14000</v>
      </c>
      <c r="L860" s="27">
        <v>45309</v>
      </c>
      <c r="M860" t="str">
        <f t="shared" si="12"/>
        <v>Below Target</v>
      </c>
    </row>
    <row r="861" spans="1:13" x14ac:dyDescent="0.35">
      <c r="A861" s="33" t="s">
        <v>1068</v>
      </c>
      <c r="B861" s="3" t="s">
        <v>209</v>
      </c>
      <c r="C861" s="3" t="s">
        <v>44</v>
      </c>
      <c r="D861" s="3" t="s">
        <v>45</v>
      </c>
      <c r="E861" s="3" t="s">
        <v>32</v>
      </c>
      <c r="F861" s="3" t="s">
        <v>25</v>
      </c>
      <c r="G861" s="3" t="s">
        <v>18</v>
      </c>
      <c r="H861" s="3">
        <v>11225</v>
      </c>
      <c r="I861" s="3" t="s">
        <v>33</v>
      </c>
      <c r="J861" s="3">
        <v>0.3</v>
      </c>
      <c r="K861" s="3">
        <v>13000</v>
      </c>
      <c r="L861" s="27">
        <v>45294</v>
      </c>
      <c r="M861" t="str">
        <f t="shared" si="12"/>
        <v>Below Target</v>
      </c>
    </row>
    <row r="862" spans="1:13" x14ac:dyDescent="0.35">
      <c r="A862" s="33" t="s">
        <v>1069</v>
      </c>
      <c r="B862" s="3" t="s">
        <v>619</v>
      </c>
      <c r="C862" s="3" t="s">
        <v>14</v>
      </c>
      <c r="D862" s="3" t="s">
        <v>15</v>
      </c>
      <c r="E862" s="3" t="s">
        <v>16</v>
      </c>
      <c r="F862" s="3" t="s">
        <v>39</v>
      </c>
      <c r="G862" s="3" t="s">
        <v>26</v>
      </c>
      <c r="H862" s="3">
        <v>13222</v>
      </c>
      <c r="I862" s="3" t="s">
        <v>33</v>
      </c>
      <c r="J862" s="3">
        <v>0.3</v>
      </c>
      <c r="K862" s="3">
        <v>14000</v>
      </c>
      <c r="L862" s="27">
        <v>45350</v>
      </c>
      <c r="M862" t="str">
        <f t="shared" si="12"/>
        <v>Below Target</v>
      </c>
    </row>
    <row r="863" spans="1:13" x14ac:dyDescent="0.35">
      <c r="A863" s="33" t="s">
        <v>1070</v>
      </c>
      <c r="B863" s="3" t="s">
        <v>43</v>
      </c>
      <c r="C863" s="3" t="s">
        <v>14</v>
      </c>
      <c r="D863" s="3" t="s">
        <v>15</v>
      </c>
      <c r="E863" s="3" t="s">
        <v>46</v>
      </c>
      <c r="F863" s="3" t="s">
        <v>25</v>
      </c>
      <c r="G863" s="3" t="s">
        <v>18</v>
      </c>
      <c r="H863" s="3">
        <v>14752</v>
      </c>
      <c r="I863" s="3" t="s">
        <v>33</v>
      </c>
      <c r="J863" s="3">
        <v>0.3</v>
      </c>
      <c r="K863" s="3">
        <v>14000</v>
      </c>
      <c r="L863" s="27">
        <v>45331</v>
      </c>
      <c r="M863" t="str">
        <f t="shared" si="12"/>
        <v>Target Achieved</v>
      </c>
    </row>
    <row r="864" spans="1:13" x14ac:dyDescent="0.35">
      <c r="A864" s="33" t="s">
        <v>1071</v>
      </c>
      <c r="B864" s="3" t="s">
        <v>305</v>
      </c>
      <c r="C864" s="3" t="s">
        <v>44</v>
      </c>
      <c r="D864" s="3" t="s">
        <v>45</v>
      </c>
      <c r="E864" s="3" t="s">
        <v>46</v>
      </c>
      <c r="F864" s="3" t="s">
        <v>39</v>
      </c>
      <c r="G864" s="3" t="s">
        <v>26</v>
      </c>
      <c r="H864" s="3">
        <v>12475</v>
      </c>
      <c r="I864" s="3" t="s">
        <v>22</v>
      </c>
      <c r="J864" s="3">
        <v>0.1</v>
      </c>
      <c r="K864" s="3">
        <v>13000</v>
      </c>
      <c r="L864" s="27">
        <v>45297</v>
      </c>
      <c r="M864" t="str">
        <f t="shared" ref="M864:M927" si="13">IF(H864&gt;=K864,"Target Achieved","Below Target")</f>
        <v>Below Target</v>
      </c>
    </row>
    <row r="865" spans="1:13" x14ac:dyDescent="0.35">
      <c r="A865" s="33" t="s">
        <v>1072</v>
      </c>
      <c r="B865" s="3" t="s">
        <v>1073</v>
      </c>
      <c r="C865" s="3" t="s">
        <v>30</v>
      </c>
      <c r="D865" s="3" t="s">
        <v>31</v>
      </c>
      <c r="E865" s="3" t="s">
        <v>46</v>
      </c>
      <c r="F865" s="3" t="s">
        <v>17</v>
      </c>
      <c r="G865" s="3" t="s">
        <v>18</v>
      </c>
      <c r="H865" s="3">
        <v>18106</v>
      </c>
      <c r="I865" s="3"/>
      <c r="J865" s="3"/>
      <c r="K865" s="3">
        <v>17000</v>
      </c>
      <c r="L865" s="27">
        <v>45345</v>
      </c>
      <c r="M865" t="str">
        <f t="shared" si="13"/>
        <v>Target Achieved</v>
      </c>
    </row>
    <row r="866" spans="1:13" x14ac:dyDescent="0.35">
      <c r="A866" s="33" t="s">
        <v>1074</v>
      </c>
      <c r="B866" s="3" t="s">
        <v>905</v>
      </c>
      <c r="C866" s="3" t="s">
        <v>30</v>
      </c>
      <c r="D866" s="3" t="s">
        <v>31</v>
      </c>
      <c r="E866" s="3" t="s">
        <v>46</v>
      </c>
      <c r="F866" s="3" t="s">
        <v>25</v>
      </c>
      <c r="G866" s="3" t="s">
        <v>18</v>
      </c>
      <c r="H866" s="3">
        <v>17845</v>
      </c>
      <c r="I866" s="3" t="s">
        <v>33</v>
      </c>
      <c r="J866" s="3">
        <v>0.3</v>
      </c>
      <c r="K866" s="3">
        <v>17000</v>
      </c>
      <c r="L866" s="27">
        <v>45313</v>
      </c>
      <c r="M866" t="str">
        <f t="shared" si="13"/>
        <v>Target Achieved</v>
      </c>
    </row>
    <row r="867" spans="1:13" x14ac:dyDescent="0.35">
      <c r="A867" s="33" t="s">
        <v>1075</v>
      </c>
      <c r="B867" s="3" t="s">
        <v>388</v>
      </c>
      <c r="C867" s="3" t="s">
        <v>44</v>
      </c>
      <c r="D867" s="3" t="s">
        <v>45</v>
      </c>
      <c r="E867" s="3" t="s">
        <v>16</v>
      </c>
      <c r="F867" s="3" t="s">
        <v>25</v>
      </c>
      <c r="G867" s="3" t="s">
        <v>26</v>
      </c>
      <c r="H867" s="3">
        <v>11238</v>
      </c>
      <c r="I867" s="3" t="s">
        <v>22</v>
      </c>
      <c r="J867" s="3">
        <v>0.1</v>
      </c>
      <c r="K867" s="3">
        <v>13000</v>
      </c>
      <c r="L867" s="27">
        <v>45328</v>
      </c>
      <c r="M867" t="str">
        <f t="shared" si="13"/>
        <v>Below Target</v>
      </c>
    </row>
    <row r="868" spans="1:13" x14ac:dyDescent="0.35">
      <c r="A868" s="33" t="s">
        <v>1076</v>
      </c>
      <c r="B868" s="3" t="s">
        <v>765</v>
      </c>
      <c r="C868" s="3" t="s">
        <v>14</v>
      </c>
      <c r="D868" s="3" t="s">
        <v>15</v>
      </c>
      <c r="E868" s="3" t="s">
        <v>46</v>
      </c>
      <c r="F868" s="3" t="s">
        <v>39</v>
      </c>
      <c r="G868" s="3" t="s">
        <v>26</v>
      </c>
      <c r="H868" s="3">
        <v>14477</v>
      </c>
      <c r="I868" s="3" t="s">
        <v>33</v>
      </c>
      <c r="J868" s="3">
        <v>0.3</v>
      </c>
      <c r="K868" s="3">
        <v>14000</v>
      </c>
      <c r="L868" s="27">
        <v>45319</v>
      </c>
      <c r="M868" t="str">
        <f t="shared" si="13"/>
        <v>Target Achieved</v>
      </c>
    </row>
    <row r="869" spans="1:13" x14ac:dyDescent="0.35">
      <c r="A869" s="33" t="s">
        <v>1077</v>
      </c>
      <c r="B869" s="3" t="s">
        <v>837</v>
      </c>
      <c r="C869" s="3" t="s">
        <v>30</v>
      </c>
      <c r="D869" s="3" t="s">
        <v>31</v>
      </c>
      <c r="E869" s="3" t="s">
        <v>46</v>
      </c>
      <c r="F869" s="3" t="s">
        <v>39</v>
      </c>
      <c r="G869" s="3" t="s">
        <v>26</v>
      </c>
      <c r="H869" s="3">
        <v>17552</v>
      </c>
      <c r="I869" s="3" t="s">
        <v>33</v>
      </c>
      <c r="J869" s="3">
        <v>0.3</v>
      </c>
      <c r="K869" s="3">
        <v>17000</v>
      </c>
      <c r="L869" s="27">
        <v>45351</v>
      </c>
      <c r="M869" t="str">
        <f t="shared" si="13"/>
        <v>Target Achieved</v>
      </c>
    </row>
    <row r="870" spans="1:13" x14ac:dyDescent="0.35">
      <c r="A870" s="33" t="s">
        <v>1078</v>
      </c>
      <c r="B870" s="3" t="s">
        <v>720</v>
      </c>
      <c r="C870" s="3" t="s">
        <v>61</v>
      </c>
      <c r="D870" s="3" t="s">
        <v>62</v>
      </c>
      <c r="E870" s="3" t="s">
        <v>16</v>
      </c>
      <c r="F870" s="3" t="s">
        <v>39</v>
      </c>
      <c r="G870" s="3" t="s">
        <v>26</v>
      </c>
      <c r="H870" s="3">
        <v>9038</v>
      </c>
      <c r="I870" s="3"/>
      <c r="J870" s="3"/>
      <c r="K870" s="3">
        <v>9000</v>
      </c>
      <c r="L870" s="27">
        <v>45343</v>
      </c>
      <c r="M870" t="str">
        <f t="shared" si="13"/>
        <v>Target Achieved</v>
      </c>
    </row>
    <row r="871" spans="1:13" x14ac:dyDescent="0.35">
      <c r="A871" s="33" t="s">
        <v>1079</v>
      </c>
      <c r="B871" s="3" t="s">
        <v>720</v>
      </c>
      <c r="C871" s="3" t="s">
        <v>44</v>
      </c>
      <c r="D871" s="3" t="s">
        <v>45</v>
      </c>
      <c r="E871" s="3" t="s">
        <v>16</v>
      </c>
      <c r="F871" s="3" t="s">
        <v>17</v>
      </c>
      <c r="G871" s="3" t="s">
        <v>18</v>
      </c>
      <c r="H871" s="3">
        <v>11006</v>
      </c>
      <c r="I871" s="3" t="s">
        <v>22</v>
      </c>
      <c r="J871" s="3">
        <v>0.1</v>
      </c>
      <c r="K871" s="3">
        <v>13000</v>
      </c>
      <c r="L871" s="27">
        <v>45293</v>
      </c>
      <c r="M871" t="str">
        <f t="shared" si="13"/>
        <v>Below Target</v>
      </c>
    </row>
    <row r="872" spans="1:13" x14ac:dyDescent="0.35">
      <c r="A872" s="33" t="s">
        <v>1080</v>
      </c>
      <c r="B872" s="3" t="s">
        <v>332</v>
      </c>
      <c r="C872" s="3" t="s">
        <v>14</v>
      </c>
      <c r="D872" s="3" t="s">
        <v>15</v>
      </c>
      <c r="E872" s="3" t="s">
        <v>16</v>
      </c>
      <c r="F872" s="3" t="s">
        <v>25</v>
      </c>
      <c r="G872" s="3" t="s">
        <v>26</v>
      </c>
      <c r="H872" s="3">
        <v>13698</v>
      </c>
      <c r="I872" s="3"/>
      <c r="J872" s="3"/>
      <c r="K872" s="3">
        <v>14000</v>
      </c>
      <c r="L872" s="27">
        <v>45294</v>
      </c>
      <c r="M872" t="str">
        <f t="shared" si="13"/>
        <v>Below Target</v>
      </c>
    </row>
    <row r="873" spans="1:13" x14ac:dyDescent="0.35">
      <c r="A873" s="33" t="s">
        <v>1081</v>
      </c>
      <c r="B873" s="3" t="s">
        <v>282</v>
      </c>
      <c r="C873" s="3" t="s">
        <v>44</v>
      </c>
      <c r="D873" s="3" t="s">
        <v>45</v>
      </c>
      <c r="E873" s="3" t="s">
        <v>32</v>
      </c>
      <c r="F873" s="3" t="s">
        <v>39</v>
      </c>
      <c r="G873" s="3" t="s">
        <v>18</v>
      </c>
      <c r="H873" s="3">
        <v>13826</v>
      </c>
      <c r="I873" s="3" t="s">
        <v>33</v>
      </c>
      <c r="J873" s="3">
        <v>0.3</v>
      </c>
      <c r="K873" s="3">
        <v>13000</v>
      </c>
      <c r="L873" s="27">
        <v>45308</v>
      </c>
      <c r="M873" t="str">
        <f t="shared" si="13"/>
        <v>Target Achieved</v>
      </c>
    </row>
    <row r="874" spans="1:13" x14ac:dyDescent="0.35">
      <c r="A874" s="33" t="s">
        <v>1082</v>
      </c>
      <c r="B874" s="3" t="s">
        <v>652</v>
      </c>
      <c r="C874" s="3" t="s">
        <v>30</v>
      </c>
      <c r="D874" s="3" t="s">
        <v>31</v>
      </c>
      <c r="E874" s="3" t="s">
        <v>46</v>
      </c>
      <c r="F874" s="3" t="s">
        <v>39</v>
      </c>
      <c r="G874" s="3" t="s">
        <v>26</v>
      </c>
      <c r="H874" s="3">
        <v>16326</v>
      </c>
      <c r="I874" s="3" t="s">
        <v>22</v>
      </c>
      <c r="J874" s="3">
        <v>0.1</v>
      </c>
      <c r="K874" s="3">
        <v>17000</v>
      </c>
      <c r="L874" s="27">
        <v>45299</v>
      </c>
      <c r="M874" t="str">
        <f t="shared" si="13"/>
        <v>Below Target</v>
      </c>
    </row>
    <row r="875" spans="1:13" x14ac:dyDescent="0.35">
      <c r="A875" s="33" t="s">
        <v>1083</v>
      </c>
      <c r="B875" s="3" t="s">
        <v>317</v>
      </c>
      <c r="C875" s="3" t="s">
        <v>30</v>
      </c>
      <c r="D875" s="3" t="s">
        <v>31</v>
      </c>
      <c r="E875" s="3" t="s">
        <v>46</v>
      </c>
      <c r="F875" s="3" t="s">
        <v>39</v>
      </c>
      <c r="G875" s="3" t="s">
        <v>26</v>
      </c>
      <c r="H875" s="3">
        <v>17523</v>
      </c>
      <c r="I875" s="3" t="s">
        <v>22</v>
      </c>
      <c r="J875" s="3">
        <v>0.1</v>
      </c>
      <c r="K875" s="3">
        <v>17000</v>
      </c>
      <c r="L875" s="27">
        <v>45345</v>
      </c>
      <c r="M875" t="str">
        <f t="shared" si="13"/>
        <v>Target Achieved</v>
      </c>
    </row>
    <row r="876" spans="1:13" x14ac:dyDescent="0.35">
      <c r="A876" s="33" t="s">
        <v>1084</v>
      </c>
      <c r="B876" s="3" t="s">
        <v>35</v>
      </c>
      <c r="C876" s="3" t="s">
        <v>30</v>
      </c>
      <c r="D876" s="3" t="s">
        <v>31</v>
      </c>
      <c r="E876" s="3" t="s">
        <v>46</v>
      </c>
      <c r="F876" s="3" t="s">
        <v>39</v>
      </c>
      <c r="G876" s="3" t="s">
        <v>36</v>
      </c>
      <c r="H876" s="3">
        <v>18752</v>
      </c>
      <c r="I876" s="3"/>
      <c r="J876" s="3"/>
      <c r="K876" s="3">
        <v>17000</v>
      </c>
      <c r="L876" s="27">
        <v>45343</v>
      </c>
      <c r="M876" t="str">
        <f t="shared" si="13"/>
        <v>Target Achieved</v>
      </c>
    </row>
    <row r="877" spans="1:13" x14ac:dyDescent="0.35">
      <c r="A877" s="33" t="s">
        <v>1085</v>
      </c>
      <c r="B877" s="3" t="s">
        <v>68</v>
      </c>
      <c r="C877" s="3" t="s">
        <v>44</v>
      </c>
      <c r="D877" s="3" t="s">
        <v>45</v>
      </c>
      <c r="E877" s="3" t="s">
        <v>46</v>
      </c>
      <c r="F877" s="3" t="s">
        <v>25</v>
      </c>
      <c r="G877" s="3" t="s">
        <v>26</v>
      </c>
      <c r="H877" s="3">
        <v>12886</v>
      </c>
      <c r="I877" s="3" t="s">
        <v>27</v>
      </c>
      <c r="J877" s="3"/>
      <c r="K877" s="3">
        <v>13000</v>
      </c>
      <c r="L877" s="27">
        <v>45349</v>
      </c>
      <c r="M877" t="str">
        <f t="shared" si="13"/>
        <v>Below Target</v>
      </c>
    </row>
    <row r="878" spans="1:13" x14ac:dyDescent="0.35">
      <c r="A878" s="33" t="s">
        <v>1086</v>
      </c>
      <c r="B878" s="3" t="s">
        <v>802</v>
      </c>
      <c r="C878" s="3" t="s">
        <v>61</v>
      </c>
      <c r="D878" s="3" t="s">
        <v>62</v>
      </c>
      <c r="E878" s="3" t="s">
        <v>16</v>
      </c>
      <c r="F878" s="3" t="s">
        <v>25</v>
      </c>
      <c r="G878" s="3" t="s">
        <v>26</v>
      </c>
      <c r="H878" s="3">
        <v>8226</v>
      </c>
      <c r="I878" s="3" t="s">
        <v>27</v>
      </c>
      <c r="J878" s="3"/>
      <c r="K878" s="3">
        <v>9000</v>
      </c>
      <c r="L878" s="27">
        <v>45338</v>
      </c>
      <c r="M878" t="str">
        <f t="shared" si="13"/>
        <v>Below Target</v>
      </c>
    </row>
    <row r="879" spans="1:13" x14ac:dyDescent="0.35">
      <c r="A879" s="33" t="s">
        <v>1087</v>
      </c>
      <c r="B879" s="3" t="s">
        <v>317</v>
      </c>
      <c r="C879" s="3" t="s">
        <v>14</v>
      </c>
      <c r="D879" s="3" t="s">
        <v>15</v>
      </c>
      <c r="E879" s="3" t="s">
        <v>32</v>
      </c>
      <c r="F879" s="3" t="s">
        <v>39</v>
      </c>
      <c r="G879" s="3" t="s">
        <v>26</v>
      </c>
      <c r="H879" s="3">
        <v>13358</v>
      </c>
      <c r="I879" s="3" t="s">
        <v>33</v>
      </c>
      <c r="J879" s="3">
        <v>0.3</v>
      </c>
      <c r="K879" s="3">
        <v>14000</v>
      </c>
      <c r="L879" s="27">
        <v>45296</v>
      </c>
      <c r="M879" t="str">
        <f t="shared" si="13"/>
        <v>Below Target</v>
      </c>
    </row>
    <row r="880" spans="1:13" x14ac:dyDescent="0.35">
      <c r="A880" s="33" t="s">
        <v>1088</v>
      </c>
      <c r="B880" s="3" t="s">
        <v>256</v>
      </c>
      <c r="C880" s="3" t="s">
        <v>14</v>
      </c>
      <c r="D880" s="3" t="s">
        <v>15</v>
      </c>
      <c r="E880" s="3" t="s">
        <v>46</v>
      </c>
      <c r="F880" s="3" t="s">
        <v>17</v>
      </c>
      <c r="G880" s="3" t="s">
        <v>26</v>
      </c>
      <c r="H880" s="3">
        <v>14188</v>
      </c>
      <c r="I880" s="3" t="s">
        <v>19</v>
      </c>
      <c r="J880" s="3">
        <v>0.2</v>
      </c>
      <c r="K880" s="3">
        <v>14000</v>
      </c>
      <c r="L880" s="27">
        <v>45328</v>
      </c>
      <c r="M880" t="str">
        <f t="shared" si="13"/>
        <v>Target Achieved</v>
      </c>
    </row>
    <row r="881" spans="1:13" x14ac:dyDescent="0.35">
      <c r="A881" s="33" t="s">
        <v>1089</v>
      </c>
      <c r="B881" s="3" t="s">
        <v>337</v>
      </c>
      <c r="C881" s="3" t="s">
        <v>44</v>
      </c>
      <c r="D881" s="3" t="s">
        <v>45</v>
      </c>
      <c r="E881" s="3" t="s">
        <v>16</v>
      </c>
      <c r="F881" s="3" t="s">
        <v>25</v>
      </c>
      <c r="G881" s="3" t="s">
        <v>36</v>
      </c>
      <c r="H881" s="3">
        <v>13888</v>
      </c>
      <c r="I881" s="3" t="s">
        <v>33</v>
      </c>
      <c r="J881" s="3">
        <v>0.3</v>
      </c>
      <c r="K881" s="3">
        <v>13000</v>
      </c>
      <c r="L881" s="27">
        <v>45337</v>
      </c>
      <c r="M881" t="str">
        <f t="shared" si="13"/>
        <v>Target Achieved</v>
      </c>
    </row>
    <row r="882" spans="1:13" x14ac:dyDescent="0.35">
      <c r="A882" s="33" t="s">
        <v>1090</v>
      </c>
      <c r="B882" s="3" t="s">
        <v>584</v>
      </c>
      <c r="C882" s="3" t="s">
        <v>61</v>
      </c>
      <c r="D882" s="3" t="s">
        <v>62</v>
      </c>
      <c r="E882" s="3" t="s">
        <v>32</v>
      </c>
      <c r="F882" s="3" t="s">
        <v>17</v>
      </c>
      <c r="G882" s="3" t="s">
        <v>18</v>
      </c>
      <c r="H882" s="3">
        <v>8522</v>
      </c>
      <c r="I882" s="3"/>
      <c r="J882" s="3"/>
      <c r="K882" s="3">
        <v>9000</v>
      </c>
      <c r="L882" s="27">
        <v>45345</v>
      </c>
      <c r="M882" t="str">
        <f t="shared" si="13"/>
        <v>Below Target</v>
      </c>
    </row>
    <row r="883" spans="1:13" x14ac:dyDescent="0.35">
      <c r="A883" s="33" t="s">
        <v>1091</v>
      </c>
      <c r="B883" s="3" t="s">
        <v>289</v>
      </c>
      <c r="C883" s="3" t="s">
        <v>30</v>
      </c>
      <c r="D883" s="3" t="s">
        <v>31</v>
      </c>
      <c r="E883" s="3" t="s">
        <v>32</v>
      </c>
      <c r="F883" s="3" t="s">
        <v>25</v>
      </c>
      <c r="G883" s="3" t="s">
        <v>36</v>
      </c>
      <c r="H883" s="3">
        <v>18215</v>
      </c>
      <c r="I883" s="3" t="s">
        <v>22</v>
      </c>
      <c r="J883" s="3">
        <v>0.1</v>
      </c>
      <c r="K883" s="3">
        <v>17000</v>
      </c>
      <c r="L883" s="27">
        <v>45341</v>
      </c>
      <c r="M883" t="str">
        <f t="shared" si="13"/>
        <v>Target Achieved</v>
      </c>
    </row>
    <row r="884" spans="1:13" x14ac:dyDescent="0.35">
      <c r="A884" s="33" t="s">
        <v>1092</v>
      </c>
      <c r="B884" s="3" t="s">
        <v>229</v>
      </c>
      <c r="C884" s="3" t="s">
        <v>61</v>
      </c>
      <c r="D884" s="3" t="s">
        <v>62</v>
      </c>
      <c r="E884" s="3" t="s">
        <v>16</v>
      </c>
      <c r="F884" s="3" t="s">
        <v>25</v>
      </c>
      <c r="G884" s="3" t="s">
        <v>36</v>
      </c>
      <c r="H884" s="3">
        <v>10706</v>
      </c>
      <c r="I884" s="3" t="s">
        <v>27</v>
      </c>
      <c r="J884" s="3"/>
      <c r="K884" s="3">
        <v>9000</v>
      </c>
      <c r="L884" s="27">
        <v>45301</v>
      </c>
      <c r="M884" t="str">
        <f t="shared" si="13"/>
        <v>Target Achieved</v>
      </c>
    </row>
    <row r="885" spans="1:13" x14ac:dyDescent="0.35">
      <c r="A885" s="33" t="s">
        <v>1093</v>
      </c>
      <c r="B885" s="3" t="s">
        <v>391</v>
      </c>
      <c r="C885" s="3" t="s">
        <v>61</v>
      </c>
      <c r="D885" s="3" t="s">
        <v>62</v>
      </c>
      <c r="E885" s="3" t="s">
        <v>16</v>
      </c>
      <c r="F885" s="3" t="s">
        <v>39</v>
      </c>
      <c r="G885" s="3" t="s">
        <v>36</v>
      </c>
      <c r="H885" s="3">
        <v>10176</v>
      </c>
      <c r="I885" s="3" t="s">
        <v>33</v>
      </c>
      <c r="J885" s="3">
        <v>0.3</v>
      </c>
      <c r="K885" s="3">
        <v>9000</v>
      </c>
      <c r="L885" s="27">
        <v>45301</v>
      </c>
      <c r="M885" t="str">
        <f t="shared" si="13"/>
        <v>Target Achieved</v>
      </c>
    </row>
    <row r="886" spans="1:13" x14ac:dyDescent="0.35">
      <c r="A886" s="33" t="s">
        <v>1094</v>
      </c>
      <c r="B886" s="3" t="s">
        <v>140</v>
      </c>
      <c r="C886" s="3" t="s">
        <v>14</v>
      </c>
      <c r="D886" s="3" t="s">
        <v>15</v>
      </c>
      <c r="E886" s="3" t="s">
        <v>16</v>
      </c>
      <c r="F886" s="3" t="s">
        <v>39</v>
      </c>
      <c r="G886" s="3" t="s">
        <v>18</v>
      </c>
      <c r="H886" s="3">
        <v>12840</v>
      </c>
      <c r="I886" s="3" t="s">
        <v>22</v>
      </c>
      <c r="J886" s="3">
        <v>0.1</v>
      </c>
      <c r="K886" s="3">
        <v>14000</v>
      </c>
      <c r="L886" s="27">
        <v>45321</v>
      </c>
      <c r="M886" t="str">
        <f t="shared" si="13"/>
        <v>Below Target</v>
      </c>
    </row>
    <row r="887" spans="1:13" x14ac:dyDescent="0.35">
      <c r="A887" s="33" t="s">
        <v>1095</v>
      </c>
      <c r="B887" s="3" t="s">
        <v>101</v>
      </c>
      <c r="C887" s="3" t="s">
        <v>14</v>
      </c>
      <c r="D887" s="3" t="s">
        <v>15</v>
      </c>
      <c r="E887" s="3" t="s">
        <v>32</v>
      </c>
      <c r="F887" s="3" t="s">
        <v>17</v>
      </c>
      <c r="G887" s="3" t="s">
        <v>18</v>
      </c>
      <c r="H887" s="3">
        <v>14814</v>
      </c>
      <c r="I887" s="3" t="s">
        <v>27</v>
      </c>
      <c r="J887" s="3"/>
      <c r="K887" s="3">
        <v>14000</v>
      </c>
      <c r="L887" s="27">
        <v>45347</v>
      </c>
      <c r="M887" t="str">
        <f t="shared" si="13"/>
        <v>Target Achieved</v>
      </c>
    </row>
    <row r="888" spans="1:13" x14ac:dyDescent="0.35">
      <c r="A888" s="33" t="s">
        <v>1096</v>
      </c>
      <c r="B888" s="3" t="s">
        <v>432</v>
      </c>
      <c r="C888" s="3" t="s">
        <v>61</v>
      </c>
      <c r="D888" s="3" t="s">
        <v>62</v>
      </c>
      <c r="E888" s="3" t="s">
        <v>32</v>
      </c>
      <c r="F888" s="3" t="s">
        <v>25</v>
      </c>
      <c r="G888" s="3" t="s">
        <v>26</v>
      </c>
      <c r="H888" s="3">
        <v>10138</v>
      </c>
      <c r="I888" s="3" t="s">
        <v>33</v>
      </c>
      <c r="J888" s="3">
        <v>0.3</v>
      </c>
      <c r="K888" s="3">
        <v>9000</v>
      </c>
      <c r="L888" s="27">
        <v>45293</v>
      </c>
      <c r="M888" t="str">
        <f t="shared" si="13"/>
        <v>Target Achieved</v>
      </c>
    </row>
    <row r="889" spans="1:13" x14ac:dyDescent="0.35">
      <c r="A889" s="33" t="s">
        <v>1097</v>
      </c>
      <c r="B889" s="3" t="s">
        <v>579</v>
      </c>
      <c r="C889" s="3" t="s">
        <v>30</v>
      </c>
      <c r="D889" s="3" t="s">
        <v>31</v>
      </c>
      <c r="E889" s="3" t="s">
        <v>16</v>
      </c>
      <c r="F889" s="3" t="s">
        <v>25</v>
      </c>
      <c r="G889" s="3" t="s">
        <v>36</v>
      </c>
      <c r="H889" s="3">
        <v>15821</v>
      </c>
      <c r="I889" s="3" t="s">
        <v>19</v>
      </c>
      <c r="J889" s="3">
        <v>0.2</v>
      </c>
      <c r="K889" s="3">
        <v>17000</v>
      </c>
      <c r="L889" s="27">
        <v>45310</v>
      </c>
      <c r="M889" t="str">
        <f t="shared" si="13"/>
        <v>Below Target</v>
      </c>
    </row>
    <row r="890" spans="1:13" x14ac:dyDescent="0.35">
      <c r="A890" s="33" t="s">
        <v>1098</v>
      </c>
      <c r="B890" s="3" t="s">
        <v>307</v>
      </c>
      <c r="C890" s="3" t="s">
        <v>30</v>
      </c>
      <c r="D890" s="3" t="s">
        <v>31</v>
      </c>
      <c r="E890" s="3" t="s">
        <v>46</v>
      </c>
      <c r="F890" s="3" t="s">
        <v>39</v>
      </c>
      <c r="G890" s="3" t="s">
        <v>18</v>
      </c>
      <c r="H890" s="3">
        <v>16116</v>
      </c>
      <c r="I890" s="3" t="s">
        <v>19</v>
      </c>
      <c r="J890" s="3">
        <v>0.2</v>
      </c>
      <c r="K890" s="3">
        <v>17000</v>
      </c>
      <c r="L890" s="27">
        <v>45302</v>
      </c>
      <c r="M890" t="str">
        <f t="shared" si="13"/>
        <v>Below Target</v>
      </c>
    </row>
    <row r="891" spans="1:13" x14ac:dyDescent="0.35">
      <c r="A891" s="33" t="s">
        <v>1099</v>
      </c>
      <c r="B891" s="3" t="s">
        <v>222</v>
      </c>
      <c r="C891" s="3" t="s">
        <v>14</v>
      </c>
      <c r="D891" s="3" t="s">
        <v>15</v>
      </c>
      <c r="E891" s="3" t="s">
        <v>16</v>
      </c>
      <c r="F891" s="3" t="s">
        <v>39</v>
      </c>
      <c r="G891" s="3" t="s">
        <v>26</v>
      </c>
      <c r="H891" s="3">
        <v>12419</v>
      </c>
      <c r="I891" s="3" t="s">
        <v>19</v>
      </c>
      <c r="J891" s="3">
        <v>0.2</v>
      </c>
      <c r="K891" s="3">
        <v>14000</v>
      </c>
      <c r="L891" s="27">
        <v>45326</v>
      </c>
      <c r="M891" t="str">
        <f t="shared" si="13"/>
        <v>Below Target</v>
      </c>
    </row>
    <row r="892" spans="1:13" x14ac:dyDescent="0.35">
      <c r="A892" s="33" t="s">
        <v>1100</v>
      </c>
      <c r="B892" s="3" t="s">
        <v>301</v>
      </c>
      <c r="C892" s="3" t="s">
        <v>30</v>
      </c>
      <c r="D892" s="3" t="s">
        <v>31</v>
      </c>
      <c r="E892" s="3" t="s">
        <v>46</v>
      </c>
      <c r="F892" s="3" t="s">
        <v>25</v>
      </c>
      <c r="G892" s="3" t="s">
        <v>26</v>
      </c>
      <c r="H892" s="3">
        <v>18293</v>
      </c>
      <c r="I892" s="3" t="s">
        <v>33</v>
      </c>
      <c r="J892" s="3">
        <v>0.3</v>
      </c>
      <c r="K892" s="3">
        <v>17000</v>
      </c>
      <c r="L892" s="27">
        <v>45328</v>
      </c>
      <c r="M892" t="str">
        <f t="shared" si="13"/>
        <v>Target Achieved</v>
      </c>
    </row>
    <row r="893" spans="1:13" x14ac:dyDescent="0.35">
      <c r="A893" s="33" t="s">
        <v>1101</v>
      </c>
      <c r="B893" s="3" t="s">
        <v>235</v>
      </c>
      <c r="C893" s="3" t="s">
        <v>14</v>
      </c>
      <c r="D893" s="3" t="s">
        <v>15</v>
      </c>
      <c r="E893" s="3" t="s">
        <v>46</v>
      </c>
      <c r="F893" s="3" t="s">
        <v>39</v>
      </c>
      <c r="G893" s="3" t="s">
        <v>36</v>
      </c>
      <c r="H893" s="3">
        <v>14214</v>
      </c>
      <c r="I893" s="3"/>
      <c r="J893" s="3"/>
      <c r="K893" s="3">
        <v>14000</v>
      </c>
      <c r="L893" s="27">
        <v>45295</v>
      </c>
      <c r="M893" t="str">
        <f t="shared" si="13"/>
        <v>Target Achieved</v>
      </c>
    </row>
    <row r="894" spans="1:13" x14ac:dyDescent="0.35">
      <c r="A894" s="33" t="s">
        <v>1102</v>
      </c>
      <c r="B894" s="3" t="s">
        <v>557</v>
      </c>
      <c r="C894" s="3" t="s">
        <v>61</v>
      </c>
      <c r="D894" s="3" t="s">
        <v>62</v>
      </c>
      <c r="E894" s="3" t="s">
        <v>16</v>
      </c>
      <c r="F894" s="3" t="s">
        <v>25</v>
      </c>
      <c r="G894" s="3" t="s">
        <v>18</v>
      </c>
      <c r="H894" s="3">
        <v>8571</v>
      </c>
      <c r="I894" s="3" t="s">
        <v>22</v>
      </c>
      <c r="J894" s="3">
        <v>0.1</v>
      </c>
      <c r="K894" s="3">
        <v>9000</v>
      </c>
      <c r="L894" s="27">
        <v>45297</v>
      </c>
      <c r="M894" t="str">
        <f t="shared" si="13"/>
        <v>Below Target</v>
      </c>
    </row>
    <row r="895" spans="1:13" x14ac:dyDescent="0.35">
      <c r="A895" s="33" t="s">
        <v>1103</v>
      </c>
      <c r="B895" s="3" t="s">
        <v>177</v>
      </c>
      <c r="C895" s="3" t="s">
        <v>44</v>
      </c>
      <c r="D895" s="3" t="s">
        <v>45</v>
      </c>
      <c r="E895" s="3" t="s">
        <v>16</v>
      </c>
      <c r="F895" s="3" t="s">
        <v>39</v>
      </c>
      <c r="G895" s="3" t="s">
        <v>26</v>
      </c>
      <c r="H895" s="3">
        <v>13578</v>
      </c>
      <c r="I895" s="3"/>
      <c r="J895" s="3"/>
      <c r="K895" s="3">
        <v>13000</v>
      </c>
      <c r="L895" s="27">
        <v>45331</v>
      </c>
      <c r="M895" t="str">
        <f t="shared" si="13"/>
        <v>Target Achieved</v>
      </c>
    </row>
    <row r="896" spans="1:13" x14ac:dyDescent="0.35">
      <c r="A896" s="33" t="s">
        <v>1104</v>
      </c>
      <c r="B896" s="3" t="s">
        <v>1105</v>
      </c>
      <c r="C896" s="3" t="s">
        <v>30</v>
      </c>
      <c r="D896" s="3" t="s">
        <v>31</v>
      </c>
      <c r="E896" s="3" t="s">
        <v>32</v>
      </c>
      <c r="F896" s="3" t="s">
        <v>39</v>
      </c>
      <c r="G896" s="3" t="s">
        <v>26</v>
      </c>
      <c r="H896" s="3">
        <v>18314</v>
      </c>
      <c r="I896" s="3" t="s">
        <v>27</v>
      </c>
      <c r="J896" s="3"/>
      <c r="K896" s="3">
        <v>17000</v>
      </c>
      <c r="L896" s="27">
        <v>45297</v>
      </c>
      <c r="M896" t="str">
        <f t="shared" si="13"/>
        <v>Target Achieved</v>
      </c>
    </row>
    <row r="897" spans="1:13" x14ac:dyDescent="0.35">
      <c r="A897" s="33" t="s">
        <v>1106</v>
      </c>
      <c r="B897" s="3" t="s">
        <v>148</v>
      </c>
      <c r="C897" s="3" t="s">
        <v>61</v>
      </c>
      <c r="D897" s="3" t="s">
        <v>62</v>
      </c>
      <c r="E897" s="3" t="s">
        <v>16</v>
      </c>
      <c r="F897" s="3" t="s">
        <v>25</v>
      </c>
      <c r="G897" s="3" t="s">
        <v>18</v>
      </c>
      <c r="H897" s="3">
        <v>10329</v>
      </c>
      <c r="I897" s="3"/>
      <c r="J897" s="3"/>
      <c r="K897" s="3">
        <v>9000</v>
      </c>
      <c r="L897" s="27">
        <v>45298</v>
      </c>
      <c r="M897" t="str">
        <f t="shared" si="13"/>
        <v>Target Achieved</v>
      </c>
    </row>
    <row r="898" spans="1:13" x14ac:dyDescent="0.35">
      <c r="A898" s="33" t="s">
        <v>1107</v>
      </c>
      <c r="B898" s="3" t="s">
        <v>123</v>
      </c>
      <c r="C898" s="3" t="s">
        <v>61</v>
      </c>
      <c r="D898" s="3" t="s">
        <v>62</v>
      </c>
      <c r="E898" s="3" t="s">
        <v>46</v>
      </c>
      <c r="F898" s="3" t="s">
        <v>25</v>
      </c>
      <c r="G898" s="3" t="s">
        <v>18</v>
      </c>
      <c r="H898" s="3">
        <v>7588</v>
      </c>
      <c r="I898" s="3" t="s">
        <v>27</v>
      </c>
      <c r="J898" s="3"/>
      <c r="K898" s="3">
        <v>9000</v>
      </c>
      <c r="L898" s="27">
        <v>45308</v>
      </c>
      <c r="M898" t="str">
        <f t="shared" si="13"/>
        <v>Below Target</v>
      </c>
    </row>
    <row r="899" spans="1:13" x14ac:dyDescent="0.35">
      <c r="A899" s="33" t="s">
        <v>1108</v>
      </c>
      <c r="B899" s="3" t="s">
        <v>827</v>
      </c>
      <c r="C899" s="3" t="s">
        <v>61</v>
      </c>
      <c r="D899" s="3" t="s">
        <v>62</v>
      </c>
      <c r="E899" s="3" t="s">
        <v>32</v>
      </c>
      <c r="F899" s="3" t="s">
        <v>39</v>
      </c>
      <c r="G899" s="3" t="s">
        <v>26</v>
      </c>
      <c r="H899" s="3">
        <v>8353</v>
      </c>
      <c r="I899" s="3" t="s">
        <v>33</v>
      </c>
      <c r="J899" s="3">
        <v>0.3</v>
      </c>
      <c r="K899" s="3">
        <v>9000</v>
      </c>
      <c r="L899" s="27">
        <v>45321</v>
      </c>
      <c r="M899" t="str">
        <f t="shared" si="13"/>
        <v>Below Target</v>
      </c>
    </row>
    <row r="900" spans="1:13" x14ac:dyDescent="0.35">
      <c r="A900" s="33" t="s">
        <v>1109</v>
      </c>
      <c r="B900" s="3" t="s">
        <v>711</v>
      </c>
      <c r="C900" s="3" t="s">
        <v>14</v>
      </c>
      <c r="D900" s="3" t="s">
        <v>15</v>
      </c>
      <c r="E900" s="3" t="s">
        <v>46</v>
      </c>
      <c r="F900" s="3" t="s">
        <v>25</v>
      </c>
      <c r="G900" s="3" t="s">
        <v>36</v>
      </c>
      <c r="H900" s="3">
        <v>13960</v>
      </c>
      <c r="I900" s="3"/>
      <c r="J900" s="3"/>
      <c r="K900" s="3">
        <v>14000</v>
      </c>
      <c r="L900" s="27">
        <v>45346</v>
      </c>
      <c r="M900" t="str">
        <f t="shared" si="13"/>
        <v>Below Target</v>
      </c>
    </row>
    <row r="901" spans="1:13" x14ac:dyDescent="0.35">
      <c r="A901" s="33" t="s">
        <v>1110</v>
      </c>
      <c r="B901" s="3" t="s">
        <v>256</v>
      </c>
      <c r="C901" s="3" t="s">
        <v>30</v>
      </c>
      <c r="D901" s="3" t="s">
        <v>31</v>
      </c>
      <c r="E901" s="3" t="s">
        <v>16</v>
      </c>
      <c r="F901" s="3" t="s">
        <v>39</v>
      </c>
      <c r="G901" s="3" t="s">
        <v>18</v>
      </c>
      <c r="H901" s="3">
        <v>17080</v>
      </c>
      <c r="I901" s="3" t="s">
        <v>22</v>
      </c>
      <c r="J901" s="3">
        <v>0.1</v>
      </c>
      <c r="K901" s="3">
        <v>17000</v>
      </c>
      <c r="L901" s="27">
        <v>45317</v>
      </c>
      <c r="M901" t="str">
        <f t="shared" si="13"/>
        <v>Target Achieved</v>
      </c>
    </row>
    <row r="902" spans="1:13" x14ac:dyDescent="0.35">
      <c r="A902" s="33" t="s">
        <v>1111</v>
      </c>
      <c r="B902" s="3" t="s">
        <v>1112</v>
      </c>
      <c r="C902" s="3" t="s">
        <v>14</v>
      </c>
      <c r="D902" s="3" t="s">
        <v>15</v>
      </c>
      <c r="E902" s="3" t="s">
        <v>46</v>
      </c>
      <c r="F902" s="3" t="s">
        <v>39</v>
      </c>
      <c r="G902" s="3" t="s">
        <v>26</v>
      </c>
      <c r="H902" s="3">
        <v>12290</v>
      </c>
      <c r="I902" s="3" t="s">
        <v>33</v>
      </c>
      <c r="J902" s="3">
        <v>0.3</v>
      </c>
      <c r="K902" s="3">
        <v>14000</v>
      </c>
      <c r="L902" s="27">
        <v>45326</v>
      </c>
      <c r="M902" t="str">
        <f t="shared" si="13"/>
        <v>Below Target</v>
      </c>
    </row>
    <row r="903" spans="1:13" x14ac:dyDescent="0.35">
      <c r="A903" s="33" t="s">
        <v>1113</v>
      </c>
      <c r="B903" s="3" t="s">
        <v>52</v>
      </c>
      <c r="C903" s="3" t="s">
        <v>61</v>
      </c>
      <c r="D903" s="3" t="s">
        <v>62</v>
      </c>
      <c r="E903" s="3" t="s">
        <v>32</v>
      </c>
      <c r="F903" s="3" t="s">
        <v>39</v>
      </c>
      <c r="G903" s="3" t="s">
        <v>18</v>
      </c>
      <c r="H903" s="3">
        <v>9244</v>
      </c>
      <c r="I903" s="3" t="s">
        <v>19</v>
      </c>
      <c r="J903" s="3">
        <v>0.2</v>
      </c>
      <c r="K903" s="3">
        <v>9000</v>
      </c>
      <c r="L903" s="27">
        <v>45322</v>
      </c>
      <c r="M903" t="str">
        <f t="shared" si="13"/>
        <v>Target Achieved</v>
      </c>
    </row>
    <row r="904" spans="1:13" x14ac:dyDescent="0.35">
      <c r="A904" s="33" t="s">
        <v>1114</v>
      </c>
      <c r="B904" s="3" t="s">
        <v>41</v>
      </c>
      <c r="C904" s="3" t="s">
        <v>30</v>
      </c>
      <c r="D904" s="3" t="s">
        <v>31</v>
      </c>
      <c r="E904" s="3" t="s">
        <v>32</v>
      </c>
      <c r="F904" s="3" t="s">
        <v>39</v>
      </c>
      <c r="G904" s="3" t="s">
        <v>26</v>
      </c>
      <c r="H904" s="3">
        <v>16765</v>
      </c>
      <c r="I904" s="3"/>
      <c r="J904" s="3"/>
      <c r="K904" s="3">
        <v>17000</v>
      </c>
      <c r="L904" s="27">
        <v>45328</v>
      </c>
      <c r="M904" t="str">
        <f t="shared" si="13"/>
        <v>Below Target</v>
      </c>
    </row>
    <row r="905" spans="1:13" x14ac:dyDescent="0.35">
      <c r="A905" s="33" t="s">
        <v>1115</v>
      </c>
      <c r="B905" s="3" t="s">
        <v>602</v>
      </c>
      <c r="C905" s="3" t="s">
        <v>44</v>
      </c>
      <c r="D905" s="3" t="s">
        <v>45</v>
      </c>
      <c r="E905" s="3" t="s">
        <v>32</v>
      </c>
      <c r="F905" s="3" t="s">
        <v>39</v>
      </c>
      <c r="G905" s="3" t="s">
        <v>26</v>
      </c>
      <c r="H905" s="3">
        <v>11319</v>
      </c>
      <c r="I905" s="3" t="s">
        <v>27</v>
      </c>
      <c r="J905" s="3"/>
      <c r="K905" s="3">
        <v>13000</v>
      </c>
      <c r="L905" s="27">
        <v>45345</v>
      </c>
      <c r="M905" t="str">
        <f t="shared" si="13"/>
        <v>Below Target</v>
      </c>
    </row>
    <row r="906" spans="1:13" x14ac:dyDescent="0.35">
      <c r="A906" s="33" t="s">
        <v>1116</v>
      </c>
      <c r="B906" s="3" t="s">
        <v>227</v>
      </c>
      <c r="C906" s="3" t="s">
        <v>61</v>
      </c>
      <c r="D906" s="3" t="s">
        <v>62</v>
      </c>
      <c r="E906" s="3" t="s">
        <v>46</v>
      </c>
      <c r="F906" s="3" t="s">
        <v>39</v>
      </c>
      <c r="G906" s="3" t="s">
        <v>18</v>
      </c>
      <c r="H906" s="3">
        <v>10367</v>
      </c>
      <c r="I906" s="3"/>
      <c r="J906" s="3"/>
      <c r="K906" s="3">
        <v>9000</v>
      </c>
      <c r="L906" s="27">
        <v>45303</v>
      </c>
      <c r="M906" t="str">
        <f t="shared" si="13"/>
        <v>Target Achieved</v>
      </c>
    </row>
    <row r="907" spans="1:13" x14ac:dyDescent="0.35">
      <c r="A907" s="33" t="s">
        <v>1117</v>
      </c>
      <c r="B907" s="3" t="s">
        <v>70</v>
      </c>
      <c r="C907" s="3" t="s">
        <v>14</v>
      </c>
      <c r="D907" s="3" t="s">
        <v>15</v>
      </c>
      <c r="E907" s="3" t="s">
        <v>16</v>
      </c>
      <c r="F907" s="3" t="s">
        <v>25</v>
      </c>
      <c r="G907" s="3" t="s">
        <v>26</v>
      </c>
      <c r="H907" s="3">
        <v>15334</v>
      </c>
      <c r="I907" s="3" t="s">
        <v>27</v>
      </c>
      <c r="J907" s="3"/>
      <c r="K907" s="3">
        <v>14000</v>
      </c>
      <c r="L907" s="27">
        <v>45341</v>
      </c>
      <c r="M907" t="str">
        <f t="shared" si="13"/>
        <v>Target Achieved</v>
      </c>
    </row>
    <row r="908" spans="1:13" x14ac:dyDescent="0.35">
      <c r="A908" s="33" t="s">
        <v>1118</v>
      </c>
      <c r="B908" s="3" t="s">
        <v>487</v>
      </c>
      <c r="C908" s="3" t="s">
        <v>30</v>
      </c>
      <c r="D908" s="3" t="s">
        <v>31</v>
      </c>
      <c r="E908" s="3" t="s">
        <v>46</v>
      </c>
      <c r="F908" s="3" t="s">
        <v>39</v>
      </c>
      <c r="G908" s="3" t="s">
        <v>26</v>
      </c>
      <c r="H908" s="3">
        <v>15251</v>
      </c>
      <c r="I908" s="3" t="s">
        <v>22</v>
      </c>
      <c r="J908" s="3">
        <v>0.1</v>
      </c>
      <c r="K908" s="3">
        <v>17000</v>
      </c>
      <c r="L908" s="27">
        <v>45305</v>
      </c>
      <c r="M908" t="str">
        <f t="shared" si="13"/>
        <v>Below Target</v>
      </c>
    </row>
    <row r="909" spans="1:13" x14ac:dyDescent="0.35">
      <c r="A909" s="33" t="s">
        <v>1119</v>
      </c>
      <c r="B909" s="3" t="s">
        <v>412</v>
      </c>
      <c r="C909" s="3" t="s">
        <v>14</v>
      </c>
      <c r="D909" s="3" t="s">
        <v>15</v>
      </c>
      <c r="E909" s="3" t="s">
        <v>32</v>
      </c>
      <c r="F909" s="3" t="s">
        <v>39</v>
      </c>
      <c r="G909" s="3" t="s">
        <v>18</v>
      </c>
      <c r="H909" s="3">
        <v>13855</v>
      </c>
      <c r="I909" s="3" t="s">
        <v>27</v>
      </c>
      <c r="J909" s="3"/>
      <c r="K909" s="3">
        <v>14000</v>
      </c>
      <c r="L909" s="27">
        <v>45310</v>
      </c>
      <c r="M909" t="str">
        <f t="shared" si="13"/>
        <v>Below Target</v>
      </c>
    </row>
    <row r="910" spans="1:13" x14ac:dyDescent="0.35">
      <c r="A910" s="33" t="s">
        <v>1120</v>
      </c>
      <c r="B910" s="3" t="s">
        <v>617</v>
      </c>
      <c r="C910" s="3" t="s">
        <v>61</v>
      </c>
      <c r="D910" s="3" t="s">
        <v>62</v>
      </c>
      <c r="E910" s="3" t="s">
        <v>32</v>
      </c>
      <c r="F910" s="3" t="s">
        <v>25</v>
      </c>
      <c r="G910" s="3" t="s">
        <v>26</v>
      </c>
      <c r="H910" s="3">
        <v>10593</v>
      </c>
      <c r="I910" s="3" t="s">
        <v>33</v>
      </c>
      <c r="J910" s="3">
        <v>0.3</v>
      </c>
      <c r="K910" s="3">
        <v>9000</v>
      </c>
      <c r="L910" s="27">
        <v>45311</v>
      </c>
      <c r="M910" t="str">
        <f t="shared" si="13"/>
        <v>Target Achieved</v>
      </c>
    </row>
    <row r="911" spans="1:13" x14ac:dyDescent="0.35">
      <c r="A911" s="33" t="s">
        <v>1121</v>
      </c>
      <c r="B911" s="3" t="s">
        <v>579</v>
      </c>
      <c r="C911" s="3" t="s">
        <v>30</v>
      </c>
      <c r="D911" s="3" t="s">
        <v>31</v>
      </c>
      <c r="E911" s="3" t="s">
        <v>46</v>
      </c>
      <c r="F911" s="3" t="s">
        <v>39</v>
      </c>
      <c r="G911" s="3" t="s">
        <v>36</v>
      </c>
      <c r="H911" s="3">
        <v>15365</v>
      </c>
      <c r="I911" s="3" t="s">
        <v>27</v>
      </c>
      <c r="J911" s="3"/>
      <c r="K911" s="3">
        <v>17000</v>
      </c>
      <c r="L911" s="27">
        <v>45292</v>
      </c>
      <c r="M911" t="str">
        <f t="shared" si="13"/>
        <v>Below Target</v>
      </c>
    </row>
    <row r="912" spans="1:13" x14ac:dyDescent="0.35">
      <c r="A912" s="33" t="s">
        <v>1122</v>
      </c>
      <c r="B912" s="3" t="s">
        <v>86</v>
      </c>
      <c r="C912" s="3" t="s">
        <v>61</v>
      </c>
      <c r="D912" s="3" t="s">
        <v>62</v>
      </c>
      <c r="E912" s="3" t="s">
        <v>32</v>
      </c>
      <c r="F912" s="3" t="s">
        <v>17</v>
      </c>
      <c r="G912" s="3" t="s">
        <v>18</v>
      </c>
      <c r="H912" s="3">
        <v>8512</v>
      </c>
      <c r="I912" s="3" t="s">
        <v>27</v>
      </c>
      <c r="J912" s="3"/>
      <c r="K912" s="3">
        <v>9000</v>
      </c>
      <c r="L912" s="27">
        <v>45295</v>
      </c>
      <c r="M912" t="str">
        <f t="shared" si="13"/>
        <v>Below Target</v>
      </c>
    </row>
    <row r="913" spans="1:13" x14ac:dyDescent="0.35">
      <c r="A913" s="33" t="s">
        <v>1123</v>
      </c>
      <c r="B913" s="3" t="s">
        <v>190</v>
      </c>
      <c r="C913" s="3" t="s">
        <v>30</v>
      </c>
      <c r="D913" s="3" t="s">
        <v>31</v>
      </c>
      <c r="E913" s="3" t="s">
        <v>32</v>
      </c>
      <c r="F913" s="3" t="s">
        <v>17</v>
      </c>
      <c r="G913" s="3" t="s">
        <v>18</v>
      </c>
      <c r="H913" s="3">
        <v>15963</v>
      </c>
      <c r="I913" s="3"/>
      <c r="J913" s="3"/>
      <c r="K913" s="3">
        <v>17000</v>
      </c>
      <c r="L913" s="27">
        <v>45336</v>
      </c>
      <c r="M913" t="str">
        <f t="shared" si="13"/>
        <v>Below Target</v>
      </c>
    </row>
    <row r="914" spans="1:13" x14ac:dyDescent="0.35">
      <c r="A914" s="33" t="s">
        <v>1124</v>
      </c>
      <c r="B914" s="3" t="s">
        <v>337</v>
      </c>
      <c r="C914" s="3" t="s">
        <v>30</v>
      </c>
      <c r="D914" s="3" t="s">
        <v>31</v>
      </c>
      <c r="E914" s="3" t="s">
        <v>16</v>
      </c>
      <c r="F914" s="3" t="s">
        <v>17</v>
      </c>
      <c r="G914" s="3" t="s">
        <v>36</v>
      </c>
      <c r="H914" s="3">
        <v>16562</v>
      </c>
      <c r="I914" s="3"/>
      <c r="J914" s="3"/>
      <c r="K914" s="3">
        <v>17000</v>
      </c>
      <c r="L914" s="27">
        <v>45326</v>
      </c>
      <c r="M914" t="str">
        <f t="shared" si="13"/>
        <v>Below Target</v>
      </c>
    </row>
    <row r="915" spans="1:13" x14ac:dyDescent="0.35">
      <c r="A915" s="33" t="s">
        <v>1125</v>
      </c>
      <c r="B915" s="3" t="s">
        <v>817</v>
      </c>
      <c r="C915" s="3" t="s">
        <v>44</v>
      </c>
      <c r="D915" s="3" t="s">
        <v>45</v>
      </c>
      <c r="E915" s="3" t="s">
        <v>46</v>
      </c>
      <c r="F915" s="3" t="s">
        <v>25</v>
      </c>
      <c r="G915" s="3" t="s">
        <v>18</v>
      </c>
      <c r="H915" s="3">
        <v>13275</v>
      </c>
      <c r="I915" s="3"/>
      <c r="J915" s="3"/>
      <c r="K915" s="3">
        <v>13000</v>
      </c>
      <c r="L915" s="27">
        <v>45345</v>
      </c>
      <c r="M915" t="str">
        <f t="shared" si="13"/>
        <v>Target Achieved</v>
      </c>
    </row>
    <row r="916" spans="1:13" x14ac:dyDescent="0.35">
      <c r="A916" s="33" t="s">
        <v>1126</v>
      </c>
      <c r="B916" s="3" t="s">
        <v>827</v>
      </c>
      <c r="C916" s="3" t="s">
        <v>61</v>
      </c>
      <c r="D916" s="3" t="s">
        <v>62</v>
      </c>
      <c r="E916" s="3" t="s">
        <v>32</v>
      </c>
      <c r="F916" s="3" t="s">
        <v>17</v>
      </c>
      <c r="G916" s="3" t="s">
        <v>26</v>
      </c>
      <c r="H916" s="3">
        <v>7514</v>
      </c>
      <c r="I916" s="3" t="s">
        <v>19</v>
      </c>
      <c r="J916" s="3">
        <v>0.2</v>
      </c>
      <c r="K916" s="3">
        <v>9000</v>
      </c>
      <c r="L916" s="27">
        <v>45292</v>
      </c>
      <c r="M916" t="str">
        <f t="shared" si="13"/>
        <v>Below Target</v>
      </c>
    </row>
    <row r="917" spans="1:13" x14ac:dyDescent="0.35">
      <c r="A917" s="33" t="s">
        <v>1127</v>
      </c>
      <c r="B917" s="3" t="s">
        <v>21</v>
      </c>
      <c r="C917" s="3" t="s">
        <v>14</v>
      </c>
      <c r="D917" s="3" t="s">
        <v>15</v>
      </c>
      <c r="E917" s="3" t="s">
        <v>32</v>
      </c>
      <c r="F917" s="3" t="s">
        <v>39</v>
      </c>
      <c r="G917" s="3" t="s">
        <v>36</v>
      </c>
      <c r="H917" s="3">
        <v>14694</v>
      </c>
      <c r="I917" s="3"/>
      <c r="J917" s="3"/>
      <c r="K917" s="3">
        <v>14000</v>
      </c>
      <c r="L917" s="27">
        <v>45300</v>
      </c>
      <c r="M917" t="str">
        <f t="shared" si="13"/>
        <v>Target Achieved</v>
      </c>
    </row>
    <row r="918" spans="1:13" x14ac:dyDescent="0.35">
      <c r="A918" s="33" t="s">
        <v>1128</v>
      </c>
      <c r="B918" s="3" t="s">
        <v>843</v>
      </c>
      <c r="C918" s="3" t="s">
        <v>61</v>
      </c>
      <c r="D918" s="3" t="s">
        <v>62</v>
      </c>
      <c r="E918" s="3" t="s">
        <v>46</v>
      </c>
      <c r="F918" s="3" t="s">
        <v>39</v>
      </c>
      <c r="G918" s="3" t="s">
        <v>26</v>
      </c>
      <c r="H918" s="3">
        <v>10810</v>
      </c>
      <c r="I918" s="3"/>
      <c r="J918" s="3"/>
      <c r="K918" s="3">
        <v>9000</v>
      </c>
      <c r="L918" s="27">
        <v>45331</v>
      </c>
      <c r="M918" t="str">
        <f t="shared" si="13"/>
        <v>Target Achieved</v>
      </c>
    </row>
    <row r="919" spans="1:13" x14ac:dyDescent="0.35">
      <c r="A919" s="33" t="s">
        <v>1129</v>
      </c>
      <c r="B919" s="3" t="s">
        <v>429</v>
      </c>
      <c r="C919" s="3" t="s">
        <v>61</v>
      </c>
      <c r="D919" s="3" t="s">
        <v>62</v>
      </c>
      <c r="E919" s="3" t="s">
        <v>16</v>
      </c>
      <c r="F919" s="3" t="s">
        <v>17</v>
      </c>
      <c r="G919" s="3" t="s">
        <v>36</v>
      </c>
      <c r="H919" s="3">
        <v>8455</v>
      </c>
      <c r="I919" s="3" t="s">
        <v>19</v>
      </c>
      <c r="J919" s="3">
        <v>0.2</v>
      </c>
      <c r="K919" s="3">
        <v>9000</v>
      </c>
      <c r="L919" s="27">
        <v>45303</v>
      </c>
      <c r="M919" t="str">
        <f t="shared" si="13"/>
        <v>Below Target</v>
      </c>
    </row>
    <row r="920" spans="1:13" x14ac:dyDescent="0.35">
      <c r="A920" s="33" t="s">
        <v>1130</v>
      </c>
      <c r="B920" s="3" t="s">
        <v>617</v>
      </c>
      <c r="C920" s="3" t="s">
        <v>14</v>
      </c>
      <c r="D920" s="3" t="s">
        <v>15</v>
      </c>
      <c r="E920" s="3" t="s">
        <v>16</v>
      </c>
      <c r="F920" s="3" t="s">
        <v>17</v>
      </c>
      <c r="G920" s="3" t="s">
        <v>26</v>
      </c>
      <c r="H920" s="3">
        <v>12969</v>
      </c>
      <c r="I920" s="3" t="s">
        <v>27</v>
      </c>
      <c r="J920" s="3"/>
      <c r="K920" s="3">
        <v>14000</v>
      </c>
      <c r="L920" s="27">
        <v>45309</v>
      </c>
      <c r="M920" t="str">
        <f t="shared" si="13"/>
        <v>Below Target</v>
      </c>
    </row>
    <row r="921" spans="1:13" x14ac:dyDescent="0.35">
      <c r="A921" s="33" t="s">
        <v>1131</v>
      </c>
      <c r="B921" s="3" t="s">
        <v>512</v>
      </c>
      <c r="C921" s="3" t="s">
        <v>30</v>
      </c>
      <c r="D921" s="3" t="s">
        <v>31</v>
      </c>
      <c r="E921" s="3" t="s">
        <v>32</v>
      </c>
      <c r="F921" s="3" t="s">
        <v>25</v>
      </c>
      <c r="G921" s="3" t="s">
        <v>26</v>
      </c>
      <c r="H921" s="3">
        <v>16979</v>
      </c>
      <c r="I921" s="3" t="s">
        <v>33</v>
      </c>
      <c r="J921" s="3">
        <v>0.3</v>
      </c>
      <c r="K921" s="3">
        <v>17000</v>
      </c>
      <c r="L921" s="27">
        <v>45299</v>
      </c>
      <c r="M921" t="str">
        <f t="shared" si="13"/>
        <v>Below Target</v>
      </c>
    </row>
    <row r="922" spans="1:13" x14ac:dyDescent="0.35">
      <c r="A922" s="33" t="s">
        <v>1132</v>
      </c>
      <c r="B922" s="3" t="s">
        <v>356</v>
      </c>
      <c r="C922" s="3" t="s">
        <v>14</v>
      </c>
      <c r="D922" s="3" t="s">
        <v>15</v>
      </c>
      <c r="E922" s="3" t="s">
        <v>32</v>
      </c>
      <c r="F922" s="3" t="s">
        <v>39</v>
      </c>
      <c r="G922" s="3" t="s">
        <v>26</v>
      </c>
      <c r="H922" s="3">
        <v>14156</v>
      </c>
      <c r="I922" s="3" t="s">
        <v>33</v>
      </c>
      <c r="J922" s="3">
        <v>0.3</v>
      </c>
      <c r="K922" s="3">
        <v>14000</v>
      </c>
      <c r="L922" s="27">
        <v>45321</v>
      </c>
      <c r="M922" t="str">
        <f t="shared" si="13"/>
        <v>Target Achieved</v>
      </c>
    </row>
    <row r="923" spans="1:13" x14ac:dyDescent="0.35">
      <c r="A923" s="33" t="s">
        <v>1133</v>
      </c>
      <c r="B923" s="3" t="s">
        <v>905</v>
      </c>
      <c r="C923" s="3" t="s">
        <v>14</v>
      </c>
      <c r="D923" s="3" t="s">
        <v>15</v>
      </c>
      <c r="E923" s="3" t="s">
        <v>32</v>
      </c>
      <c r="F923" s="3" t="s">
        <v>17</v>
      </c>
      <c r="G923" s="3" t="s">
        <v>26</v>
      </c>
      <c r="H923" s="3">
        <v>15037</v>
      </c>
      <c r="I923" s="3" t="s">
        <v>22</v>
      </c>
      <c r="J923" s="3">
        <v>0.1</v>
      </c>
      <c r="K923" s="3">
        <v>14000</v>
      </c>
      <c r="L923" s="27">
        <v>45335</v>
      </c>
      <c r="M923" t="str">
        <f t="shared" si="13"/>
        <v>Target Achieved</v>
      </c>
    </row>
    <row r="924" spans="1:13" x14ac:dyDescent="0.35">
      <c r="A924" s="33" t="s">
        <v>1134</v>
      </c>
      <c r="B924" s="3" t="s">
        <v>416</v>
      </c>
      <c r="C924" s="3" t="s">
        <v>30</v>
      </c>
      <c r="D924" s="3" t="s">
        <v>31</v>
      </c>
      <c r="E924" s="3" t="s">
        <v>16</v>
      </c>
      <c r="F924" s="3" t="s">
        <v>25</v>
      </c>
      <c r="G924" s="3" t="s">
        <v>36</v>
      </c>
      <c r="H924" s="3">
        <v>17191</v>
      </c>
      <c r="I924" s="3" t="s">
        <v>22</v>
      </c>
      <c r="J924" s="3">
        <v>0.1</v>
      </c>
      <c r="K924" s="3">
        <v>17000</v>
      </c>
      <c r="L924" s="27">
        <v>45322</v>
      </c>
      <c r="M924" t="str">
        <f t="shared" si="13"/>
        <v>Target Achieved</v>
      </c>
    </row>
    <row r="925" spans="1:13" x14ac:dyDescent="0.35">
      <c r="A925" s="33" t="s">
        <v>1135</v>
      </c>
      <c r="B925" s="3" t="s">
        <v>330</v>
      </c>
      <c r="C925" s="3" t="s">
        <v>61</v>
      </c>
      <c r="D925" s="3" t="s">
        <v>62</v>
      </c>
      <c r="E925" s="3" t="s">
        <v>16</v>
      </c>
      <c r="F925" s="3" t="s">
        <v>39</v>
      </c>
      <c r="G925" s="3" t="s">
        <v>36</v>
      </c>
      <c r="H925" s="3">
        <v>8724</v>
      </c>
      <c r="I925" s="3" t="s">
        <v>33</v>
      </c>
      <c r="J925" s="3">
        <v>0.3</v>
      </c>
      <c r="K925" s="3">
        <v>9000</v>
      </c>
      <c r="L925" s="27">
        <v>45343</v>
      </c>
      <c r="M925" t="str">
        <f t="shared" si="13"/>
        <v>Below Target</v>
      </c>
    </row>
    <row r="926" spans="1:13" x14ac:dyDescent="0.35">
      <c r="A926" s="33" t="s">
        <v>1136</v>
      </c>
      <c r="B926" s="3" t="s">
        <v>361</v>
      </c>
      <c r="C926" s="3" t="s">
        <v>44</v>
      </c>
      <c r="D926" s="3" t="s">
        <v>45</v>
      </c>
      <c r="E926" s="3" t="s">
        <v>32</v>
      </c>
      <c r="F926" s="3" t="s">
        <v>39</v>
      </c>
      <c r="G926" s="3" t="s">
        <v>26</v>
      </c>
      <c r="H926" s="3">
        <v>14069</v>
      </c>
      <c r="I926" s="3" t="s">
        <v>33</v>
      </c>
      <c r="J926" s="3">
        <v>0.3</v>
      </c>
      <c r="K926" s="3">
        <v>13000</v>
      </c>
      <c r="L926" s="27">
        <v>45338</v>
      </c>
      <c r="M926" t="str">
        <f t="shared" si="13"/>
        <v>Target Achieved</v>
      </c>
    </row>
    <row r="927" spans="1:13" x14ac:dyDescent="0.35">
      <c r="A927" s="33" t="s">
        <v>1137</v>
      </c>
      <c r="B927" s="3" t="s">
        <v>522</v>
      </c>
      <c r="C927" s="3" t="s">
        <v>30</v>
      </c>
      <c r="D927" s="3" t="s">
        <v>31</v>
      </c>
      <c r="E927" s="3" t="s">
        <v>32</v>
      </c>
      <c r="F927" s="3" t="s">
        <v>39</v>
      </c>
      <c r="G927" s="3" t="s">
        <v>36</v>
      </c>
      <c r="H927" s="3">
        <v>17368</v>
      </c>
      <c r="I927" s="3" t="s">
        <v>19</v>
      </c>
      <c r="J927" s="3">
        <v>0.2</v>
      </c>
      <c r="K927" s="3">
        <v>17000</v>
      </c>
      <c r="L927" s="27">
        <v>45328</v>
      </c>
      <c r="M927" t="str">
        <f t="shared" si="13"/>
        <v>Target Achieved</v>
      </c>
    </row>
    <row r="928" spans="1:13" x14ac:dyDescent="0.35">
      <c r="A928" s="33" t="s">
        <v>1138</v>
      </c>
      <c r="B928" s="3" t="s">
        <v>68</v>
      </c>
      <c r="C928" s="3" t="s">
        <v>30</v>
      </c>
      <c r="D928" s="3" t="s">
        <v>31</v>
      </c>
      <c r="E928" s="3" t="s">
        <v>16</v>
      </c>
      <c r="F928" s="3" t="s">
        <v>39</v>
      </c>
      <c r="G928" s="3" t="s">
        <v>18</v>
      </c>
      <c r="H928" s="3">
        <v>16174</v>
      </c>
      <c r="I928" s="3"/>
      <c r="J928" s="3"/>
      <c r="K928" s="3">
        <v>17000</v>
      </c>
      <c r="L928" s="27">
        <v>45297</v>
      </c>
      <c r="M928" t="str">
        <f t="shared" ref="M928:M991" si="14">IF(H928&gt;=K928,"Target Achieved","Below Target")</f>
        <v>Below Target</v>
      </c>
    </row>
    <row r="929" spans="1:13" x14ac:dyDescent="0.35">
      <c r="A929" s="33" t="s">
        <v>1139</v>
      </c>
      <c r="B929" s="3" t="s">
        <v>440</v>
      </c>
      <c r="C929" s="3" t="s">
        <v>14</v>
      </c>
      <c r="D929" s="3" t="s">
        <v>15</v>
      </c>
      <c r="E929" s="3" t="s">
        <v>46</v>
      </c>
      <c r="F929" s="3" t="s">
        <v>17</v>
      </c>
      <c r="G929" s="3" t="s">
        <v>18</v>
      </c>
      <c r="H929" s="3">
        <v>14522</v>
      </c>
      <c r="I929" s="3" t="s">
        <v>33</v>
      </c>
      <c r="J929" s="3">
        <v>0.3</v>
      </c>
      <c r="K929" s="3">
        <v>14000</v>
      </c>
      <c r="L929" s="27">
        <v>45309</v>
      </c>
      <c r="M929" t="str">
        <f t="shared" si="14"/>
        <v>Target Achieved</v>
      </c>
    </row>
    <row r="930" spans="1:13" x14ac:dyDescent="0.35">
      <c r="A930" s="33" t="s">
        <v>1140</v>
      </c>
      <c r="B930" s="3" t="s">
        <v>643</v>
      </c>
      <c r="C930" s="3" t="s">
        <v>14</v>
      </c>
      <c r="D930" s="3" t="s">
        <v>15</v>
      </c>
      <c r="E930" s="3" t="s">
        <v>16</v>
      </c>
      <c r="F930" s="3" t="s">
        <v>25</v>
      </c>
      <c r="G930" s="3" t="s">
        <v>26</v>
      </c>
      <c r="H930" s="3">
        <v>12715</v>
      </c>
      <c r="I930" s="3" t="s">
        <v>27</v>
      </c>
      <c r="J930" s="3"/>
      <c r="K930" s="3">
        <v>14000</v>
      </c>
      <c r="L930" s="27">
        <v>45339</v>
      </c>
      <c r="M930" t="str">
        <f t="shared" si="14"/>
        <v>Below Target</v>
      </c>
    </row>
    <row r="931" spans="1:13" x14ac:dyDescent="0.35">
      <c r="A931" s="33" t="s">
        <v>1141</v>
      </c>
      <c r="B931" s="3" t="s">
        <v>113</v>
      </c>
      <c r="C931" s="3" t="s">
        <v>61</v>
      </c>
      <c r="D931" s="3" t="s">
        <v>62</v>
      </c>
      <c r="E931" s="3" t="s">
        <v>46</v>
      </c>
      <c r="F931" s="3" t="s">
        <v>25</v>
      </c>
      <c r="G931" s="3" t="s">
        <v>36</v>
      </c>
      <c r="H931" s="3">
        <v>10205</v>
      </c>
      <c r="I931" s="3" t="s">
        <v>19</v>
      </c>
      <c r="J931" s="3">
        <v>0.2</v>
      </c>
      <c r="K931" s="3">
        <v>9000</v>
      </c>
      <c r="L931" s="27">
        <v>45323</v>
      </c>
      <c r="M931" t="str">
        <f t="shared" si="14"/>
        <v>Target Achieved</v>
      </c>
    </row>
    <row r="932" spans="1:13" x14ac:dyDescent="0.35">
      <c r="A932" s="33" t="s">
        <v>1142</v>
      </c>
      <c r="B932" s="3" t="s">
        <v>135</v>
      </c>
      <c r="C932" s="3" t="s">
        <v>14</v>
      </c>
      <c r="D932" s="3" t="s">
        <v>15</v>
      </c>
      <c r="E932" s="3" t="s">
        <v>46</v>
      </c>
      <c r="F932" s="3" t="s">
        <v>25</v>
      </c>
      <c r="G932" s="3" t="s">
        <v>18</v>
      </c>
      <c r="H932" s="3">
        <v>14439</v>
      </c>
      <c r="I932" s="3" t="s">
        <v>19</v>
      </c>
      <c r="J932" s="3">
        <v>0.2</v>
      </c>
      <c r="K932" s="3">
        <v>14000</v>
      </c>
      <c r="L932" s="27">
        <v>45345</v>
      </c>
      <c r="M932" t="str">
        <f t="shared" si="14"/>
        <v>Target Achieved</v>
      </c>
    </row>
    <row r="933" spans="1:13" x14ac:dyDescent="0.35">
      <c r="A933" s="33" t="s">
        <v>1143</v>
      </c>
      <c r="B933" s="3" t="s">
        <v>157</v>
      </c>
      <c r="C933" s="3" t="s">
        <v>61</v>
      </c>
      <c r="D933" s="3" t="s">
        <v>62</v>
      </c>
      <c r="E933" s="3" t="s">
        <v>46</v>
      </c>
      <c r="F933" s="3" t="s">
        <v>25</v>
      </c>
      <c r="G933" s="3" t="s">
        <v>26</v>
      </c>
      <c r="H933" s="3">
        <v>8802</v>
      </c>
      <c r="I933" s="3" t="s">
        <v>19</v>
      </c>
      <c r="J933" s="3">
        <v>0.2</v>
      </c>
      <c r="K933" s="3">
        <v>9000</v>
      </c>
      <c r="L933" s="27">
        <v>45305</v>
      </c>
      <c r="M933" t="str">
        <f t="shared" si="14"/>
        <v>Below Target</v>
      </c>
    </row>
    <row r="934" spans="1:13" x14ac:dyDescent="0.35">
      <c r="A934" s="33" t="s">
        <v>1144</v>
      </c>
      <c r="B934" s="3" t="s">
        <v>233</v>
      </c>
      <c r="C934" s="3" t="s">
        <v>30</v>
      </c>
      <c r="D934" s="3" t="s">
        <v>31</v>
      </c>
      <c r="E934" s="3" t="s">
        <v>32</v>
      </c>
      <c r="F934" s="3" t="s">
        <v>39</v>
      </c>
      <c r="G934" s="3" t="s">
        <v>36</v>
      </c>
      <c r="H934" s="3">
        <v>18094</v>
      </c>
      <c r="I934" s="3" t="s">
        <v>22</v>
      </c>
      <c r="J934" s="3">
        <v>0.1</v>
      </c>
      <c r="K934" s="3">
        <v>17000</v>
      </c>
      <c r="L934" s="27">
        <v>45295</v>
      </c>
      <c r="M934" t="str">
        <f t="shared" si="14"/>
        <v>Target Achieved</v>
      </c>
    </row>
    <row r="935" spans="1:13" x14ac:dyDescent="0.35">
      <c r="A935" s="33" t="s">
        <v>1145</v>
      </c>
      <c r="B935" s="3" t="s">
        <v>429</v>
      </c>
      <c r="C935" s="3" t="s">
        <v>61</v>
      </c>
      <c r="D935" s="3" t="s">
        <v>62</v>
      </c>
      <c r="E935" s="3" t="s">
        <v>46</v>
      </c>
      <c r="F935" s="3" t="s">
        <v>17</v>
      </c>
      <c r="G935" s="3" t="s">
        <v>36</v>
      </c>
      <c r="H935" s="3">
        <v>10056</v>
      </c>
      <c r="I935" s="3" t="s">
        <v>27</v>
      </c>
      <c r="J935" s="3"/>
      <c r="K935" s="3">
        <v>9000</v>
      </c>
      <c r="L935" s="27">
        <v>45306</v>
      </c>
      <c r="M935" t="str">
        <f t="shared" si="14"/>
        <v>Target Achieved</v>
      </c>
    </row>
    <row r="936" spans="1:13" x14ac:dyDescent="0.35">
      <c r="A936" s="33" t="s">
        <v>1146</v>
      </c>
      <c r="B936" s="3" t="s">
        <v>274</v>
      </c>
      <c r="C936" s="3" t="s">
        <v>61</v>
      </c>
      <c r="D936" s="3" t="s">
        <v>62</v>
      </c>
      <c r="E936" s="3" t="s">
        <v>46</v>
      </c>
      <c r="F936" s="3" t="s">
        <v>17</v>
      </c>
      <c r="G936" s="3" t="s">
        <v>18</v>
      </c>
      <c r="H936" s="3">
        <v>9172</v>
      </c>
      <c r="I936" s="3"/>
      <c r="J936" s="3"/>
      <c r="K936" s="3">
        <v>9000</v>
      </c>
      <c r="L936" s="27">
        <v>45292</v>
      </c>
      <c r="M936" t="str">
        <f t="shared" si="14"/>
        <v>Target Achieved</v>
      </c>
    </row>
    <row r="937" spans="1:13" x14ac:dyDescent="0.35">
      <c r="A937" s="33" t="s">
        <v>1147</v>
      </c>
      <c r="B937" s="3" t="s">
        <v>443</v>
      </c>
      <c r="C937" s="3" t="s">
        <v>61</v>
      </c>
      <c r="D937" s="3" t="s">
        <v>62</v>
      </c>
      <c r="E937" s="3" t="s">
        <v>46</v>
      </c>
      <c r="F937" s="3" t="s">
        <v>39</v>
      </c>
      <c r="G937" s="3" t="s">
        <v>36</v>
      </c>
      <c r="H937" s="3">
        <v>10939</v>
      </c>
      <c r="I937" s="3" t="s">
        <v>27</v>
      </c>
      <c r="J937" s="3"/>
      <c r="K937" s="3">
        <v>9000</v>
      </c>
      <c r="L937" s="27">
        <v>45335</v>
      </c>
      <c r="M937" t="str">
        <f t="shared" si="14"/>
        <v>Target Achieved</v>
      </c>
    </row>
    <row r="938" spans="1:13" x14ac:dyDescent="0.35">
      <c r="A938" s="33" t="s">
        <v>1148</v>
      </c>
      <c r="B938" s="3" t="s">
        <v>76</v>
      </c>
      <c r="C938" s="3" t="s">
        <v>30</v>
      </c>
      <c r="D938" s="3" t="s">
        <v>31</v>
      </c>
      <c r="E938" s="3" t="s">
        <v>46</v>
      </c>
      <c r="F938" s="3" t="s">
        <v>39</v>
      </c>
      <c r="G938" s="3" t="s">
        <v>26</v>
      </c>
      <c r="H938" s="3">
        <v>18515</v>
      </c>
      <c r="I938" s="3" t="s">
        <v>33</v>
      </c>
      <c r="J938" s="3">
        <v>0.3</v>
      </c>
      <c r="K938" s="3">
        <v>17000</v>
      </c>
      <c r="L938" s="27">
        <v>45313</v>
      </c>
      <c r="M938" t="str">
        <f t="shared" si="14"/>
        <v>Target Achieved</v>
      </c>
    </row>
    <row r="939" spans="1:13" x14ac:dyDescent="0.35">
      <c r="A939" s="33" t="s">
        <v>1149</v>
      </c>
      <c r="B939" s="3" t="s">
        <v>361</v>
      </c>
      <c r="C939" s="3" t="s">
        <v>14</v>
      </c>
      <c r="D939" s="3" t="s">
        <v>15</v>
      </c>
      <c r="E939" s="3" t="s">
        <v>46</v>
      </c>
      <c r="F939" s="3" t="s">
        <v>39</v>
      </c>
      <c r="G939" s="3" t="s">
        <v>26</v>
      </c>
      <c r="H939" s="3">
        <v>13602</v>
      </c>
      <c r="I939" s="3"/>
      <c r="J939" s="3"/>
      <c r="K939" s="3">
        <v>14000</v>
      </c>
      <c r="L939" s="27">
        <v>45341</v>
      </c>
      <c r="M939" t="str">
        <f t="shared" si="14"/>
        <v>Below Target</v>
      </c>
    </row>
    <row r="940" spans="1:13" x14ac:dyDescent="0.35">
      <c r="A940" s="33" t="s">
        <v>1150</v>
      </c>
      <c r="B940" s="3" t="s">
        <v>305</v>
      </c>
      <c r="C940" s="3" t="s">
        <v>44</v>
      </c>
      <c r="D940" s="3" t="s">
        <v>45</v>
      </c>
      <c r="E940" s="3" t="s">
        <v>16</v>
      </c>
      <c r="F940" s="3" t="s">
        <v>39</v>
      </c>
      <c r="G940" s="3" t="s">
        <v>26</v>
      </c>
      <c r="H940" s="3">
        <v>14155</v>
      </c>
      <c r="I940" s="3" t="s">
        <v>19</v>
      </c>
      <c r="J940" s="3">
        <v>0.2</v>
      </c>
      <c r="K940" s="3">
        <v>13000</v>
      </c>
      <c r="L940" s="27">
        <v>45325</v>
      </c>
      <c r="M940" t="str">
        <f t="shared" si="14"/>
        <v>Target Achieved</v>
      </c>
    </row>
    <row r="941" spans="1:13" x14ac:dyDescent="0.35">
      <c r="A941" s="33" t="s">
        <v>1151</v>
      </c>
      <c r="B941" s="3" t="s">
        <v>150</v>
      </c>
      <c r="C941" s="3" t="s">
        <v>44</v>
      </c>
      <c r="D941" s="3" t="s">
        <v>45</v>
      </c>
      <c r="E941" s="3" t="s">
        <v>46</v>
      </c>
      <c r="F941" s="3" t="s">
        <v>39</v>
      </c>
      <c r="G941" s="3" t="s">
        <v>18</v>
      </c>
      <c r="H941" s="3">
        <v>13755</v>
      </c>
      <c r="I941" s="3" t="s">
        <v>22</v>
      </c>
      <c r="J941" s="3">
        <v>0.1</v>
      </c>
      <c r="K941" s="3">
        <v>13000</v>
      </c>
      <c r="L941" s="27">
        <v>45345</v>
      </c>
      <c r="M941" t="str">
        <f t="shared" si="14"/>
        <v>Target Achieved</v>
      </c>
    </row>
    <row r="942" spans="1:13" x14ac:dyDescent="0.35">
      <c r="A942" s="33" t="s">
        <v>1152</v>
      </c>
      <c r="B942" s="3" t="s">
        <v>43</v>
      </c>
      <c r="C942" s="3" t="s">
        <v>61</v>
      </c>
      <c r="D942" s="3" t="s">
        <v>62</v>
      </c>
      <c r="E942" s="3" t="s">
        <v>32</v>
      </c>
      <c r="F942" s="3" t="s">
        <v>39</v>
      </c>
      <c r="G942" s="3" t="s">
        <v>18</v>
      </c>
      <c r="H942" s="3">
        <v>9807</v>
      </c>
      <c r="I942" s="3"/>
      <c r="J942" s="3"/>
      <c r="K942" s="3">
        <v>9000</v>
      </c>
      <c r="L942" s="27">
        <v>45314</v>
      </c>
      <c r="M942" t="str">
        <f t="shared" si="14"/>
        <v>Target Achieved</v>
      </c>
    </row>
    <row r="943" spans="1:13" x14ac:dyDescent="0.35">
      <c r="A943" s="33" t="s">
        <v>1153</v>
      </c>
      <c r="B943" s="3" t="s">
        <v>220</v>
      </c>
      <c r="C943" s="3" t="s">
        <v>30</v>
      </c>
      <c r="D943" s="3" t="s">
        <v>31</v>
      </c>
      <c r="E943" s="3" t="s">
        <v>46</v>
      </c>
      <c r="F943" s="3" t="s">
        <v>25</v>
      </c>
      <c r="G943" s="3" t="s">
        <v>18</v>
      </c>
      <c r="H943" s="3">
        <v>15097</v>
      </c>
      <c r="I943" s="3" t="s">
        <v>27</v>
      </c>
      <c r="J943" s="3"/>
      <c r="K943" s="3">
        <v>17000</v>
      </c>
      <c r="L943" s="27">
        <v>45297</v>
      </c>
      <c r="M943" t="str">
        <f t="shared" si="14"/>
        <v>Below Target</v>
      </c>
    </row>
    <row r="944" spans="1:13" x14ac:dyDescent="0.35">
      <c r="A944" s="33" t="s">
        <v>1154</v>
      </c>
      <c r="B944" s="3" t="s">
        <v>109</v>
      </c>
      <c r="C944" s="3" t="s">
        <v>44</v>
      </c>
      <c r="D944" s="3" t="s">
        <v>45</v>
      </c>
      <c r="E944" s="3" t="s">
        <v>16</v>
      </c>
      <c r="F944" s="3" t="s">
        <v>39</v>
      </c>
      <c r="G944" s="3" t="s">
        <v>18</v>
      </c>
      <c r="H944" s="3">
        <v>13900</v>
      </c>
      <c r="I944" s="3" t="s">
        <v>22</v>
      </c>
      <c r="J944" s="3">
        <v>0.1</v>
      </c>
      <c r="K944" s="3">
        <v>13000</v>
      </c>
      <c r="L944" s="27">
        <v>45297</v>
      </c>
      <c r="M944" t="str">
        <f t="shared" si="14"/>
        <v>Target Achieved</v>
      </c>
    </row>
    <row r="945" spans="1:13" x14ac:dyDescent="0.35">
      <c r="A945" s="33" t="s">
        <v>1155</v>
      </c>
      <c r="B945" s="3" t="s">
        <v>460</v>
      </c>
      <c r="C945" s="3" t="s">
        <v>44</v>
      </c>
      <c r="D945" s="3" t="s">
        <v>45</v>
      </c>
      <c r="E945" s="3" t="s">
        <v>46</v>
      </c>
      <c r="F945" s="3" t="s">
        <v>39</v>
      </c>
      <c r="G945" s="3" t="s">
        <v>26</v>
      </c>
      <c r="H945" s="3">
        <v>13318</v>
      </c>
      <c r="I945" s="3" t="s">
        <v>19</v>
      </c>
      <c r="J945" s="3">
        <v>0.2</v>
      </c>
      <c r="K945" s="3">
        <v>13000</v>
      </c>
      <c r="L945" s="27">
        <v>45349</v>
      </c>
      <c r="M945" t="str">
        <f t="shared" si="14"/>
        <v>Target Achieved</v>
      </c>
    </row>
    <row r="946" spans="1:13" x14ac:dyDescent="0.35">
      <c r="A946" s="33" t="s">
        <v>1156</v>
      </c>
      <c r="B946" s="3" t="s">
        <v>173</v>
      </c>
      <c r="C946" s="3" t="s">
        <v>44</v>
      </c>
      <c r="D946" s="3" t="s">
        <v>45</v>
      </c>
      <c r="E946" s="3" t="s">
        <v>46</v>
      </c>
      <c r="F946" s="3" t="s">
        <v>17</v>
      </c>
      <c r="G946" s="3" t="s">
        <v>36</v>
      </c>
      <c r="H946" s="3">
        <v>13705</v>
      </c>
      <c r="I946" s="3" t="s">
        <v>22</v>
      </c>
      <c r="J946" s="3">
        <v>0.1</v>
      </c>
      <c r="K946" s="3">
        <v>13000</v>
      </c>
      <c r="L946" s="27">
        <v>45332</v>
      </c>
      <c r="M946" t="str">
        <f t="shared" si="14"/>
        <v>Target Achieved</v>
      </c>
    </row>
    <row r="947" spans="1:13" x14ac:dyDescent="0.35">
      <c r="A947" s="33" t="s">
        <v>1157</v>
      </c>
      <c r="B947" s="3" t="s">
        <v>123</v>
      </c>
      <c r="C947" s="3" t="s">
        <v>61</v>
      </c>
      <c r="D947" s="3" t="s">
        <v>62</v>
      </c>
      <c r="E947" s="3" t="s">
        <v>16</v>
      </c>
      <c r="F947" s="3" t="s">
        <v>39</v>
      </c>
      <c r="G947" s="3" t="s">
        <v>36</v>
      </c>
      <c r="H947" s="3">
        <v>8054</v>
      </c>
      <c r="I947" s="3" t="s">
        <v>19</v>
      </c>
      <c r="J947" s="3">
        <v>0.2</v>
      </c>
      <c r="K947" s="3">
        <v>9000</v>
      </c>
      <c r="L947" s="27">
        <v>45341</v>
      </c>
      <c r="M947" t="str">
        <f t="shared" si="14"/>
        <v>Below Target</v>
      </c>
    </row>
    <row r="948" spans="1:13" x14ac:dyDescent="0.35">
      <c r="A948" s="33" t="s">
        <v>1158</v>
      </c>
      <c r="B948" s="3" t="s">
        <v>263</v>
      </c>
      <c r="C948" s="3" t="s">
        <v>14</v>
      </c>
      <c r="D948" s="3" t="s">
        <v>15</v>
      </c>
      <c r="E948" s="3" t="s">
        <v>46</v>
      </c>
      <c r="F948" s="3" t="s">
        <v>17</v>
      </c>
      <c r="G948" s="3" t="s">
        <v>36</v>
      </c>
      <c r="H948" s="3">
        <v>12246</v>
      </c>
      <c r="I948" s="3" t="s">
        <v>33</v>
      </c>
      <c r="J948" s="3">
        <v>0.3</v>
      </c>
      <c r="K948" s="3">
        <v>14000</v>
      </c>
      <c r="L948" s="27">
        <v>45344</v>
      </c>
      <c r="M948" t="str">
        <f t="shared" si="14"/>
        <v>Below Target</v>
      </c>
    </row>
    <row r="949" spans="1:13" x14ac:dyDescent="0.35">
      <c r="A949" s="33" t="s">
        <v>1159</v>
      </c>
      <c r="B949" s="3" t="s">
        <v>58</v>
      </c>
      <c r="C949" s="3" t="s">
        <v>61</v>
      </c>
      <c r="D949" s="3" t="s">
        <v>62</v>
      </c>
      <c r="E949" s="3" t="s">
        <v>32</v>
      </c>
      <c r="F949" s="3" t="s">
        <v>17</v>
      </c>
      <c r="G949" s="3" t="s">
        <v>18</v>
      </c>
      <c r="H949" s="3">
        <v>9499</v>
      </c>
      <c r="I949" s="3"/>
      <c r="J949" s="3"/>
      <c r="K949" s="3">
        <v>9000</v>
      </c>
      <c r="L949" s="27">
        <v>45303</v>
      </c>
      <c r="M949" t="str">
        <f t="shared" si="14"/>
        <v>Target Achieved</v>
      </c>
    </row>
    <row r="950" spans="1:13" x14ac:dyDescent="0.35">
      <c r="A950" s="33" t="s">
        <v>1160</v>
      </c>
      <c r="B950" s="3" t="s">
        <v>591</v>
      </c>
      <c r="C950" s="3" t="s">
        <v>14</v>
      </c>
      <c r="D950" s="3" t="s">
        <v>15</v>
      </c>
      <c r="E950" s="3" t="s">
        <v>32</v>
      </c>
      <c r="F950" s="3" t="s">
        <v>39</v>
      </c>
      <c r="G950" s="3" t="s">
        <v>36</v>
      </c>
      <c r="H950" s="3">
        <v>12894</v>
      </c>
      <c r="I950" s="3" t="s">
        <v>27</v>
      </c>
      <c r="J950" s="3"/>
      <c r="K950" s="3">
        <v>14000</v>
      </c>
      <c r="L950" s="27">
        <v>45333</v>
      </c>
      <c r="M950" t="str">
        <f t="shared" si="14"/>
        <v>Below Target</v>
      </c>
    </row>
    <row r="951" spans="1:13" x14ac:dyDescent="0.35">
      <c r="A951" s="33" t="s">
        <v>1161</v>
      </c>
      <c r="B951" s="3" t="s">
        <v>245</v>
      </c>
      <c r="C951" s="3" t="s">
        <v>30</v>
      </c>
      <c r="D951" s="3" t="s">
        <v>31</v>
      </c>
      <c r="E951" s="3" t="s">
        <v>32</v>
      </c>
      <c r="F951" s="3" t="s">
        <v>25</v>
      </c>
      <c r="G951" s="3" t="s">
        <v>18</v>
      </c>
      <c r="H951" s="3">
        <v>15288</v>
      </c>
      <c r="I951" s="3" t="s">
        <v>27</v>
      </c>
      <c r="J951" s="3"/>
      <c r="K951" s="3">
        <v>17000</v>
      </c>
      <c r="L951" s="27">
        <v>45338</v>
      </c>
      <c r="M951" t="str">
        <f t="shared" si="14"/>
        <v>Below Target</v>
      </c>
    </row>
    <row r="952" spans="1:13" x14ac:dyDescent="0.35">
      <c r="A952" s="33" t="s">
        <v>1162</v>
      </c>
      <c r="B952" s="3" t="s">
        <v>443</v>
      </c>
      <c r="C952" s="3" t="s">
        <v>61</v>
      </c>
      <c r="D952" s="3" t="s">
        <v>62</v>
      </c>
      <c r="E952" s="3" t="s">
        <v>32</v>
      </c>
      <c r="F952" s="3" t="s">
        <v>17</v>
      </c>
      <c r="G952" s="3" t="s">
        <v>18</v>
      </c>
      <c r="H952" s="3">
        <v>9674</v>
      </c>
      <c r="I952" s="3" t="s">
        <v>22</v>
      </c>
      <c r="J952" s="3">
        <v>0.1</v>
      </c>
      <c r="K952" s="3">
        <v>9000</v>
      </c>
      <c r="L952" s="27">
        <v>45351</v>
      </c>
      <c r="M952" t="str">
        <f t="shared" si="14"/>
        <v>Target Achieved</v>
      </c>
    </row>
    <row r="953" spans="1:13" x14ac:dyDescent="0.35">
      <c r="A953" s="33" t="s">
        <v>1163</v>
      </c>
      <c r="B953" s="3" t="s">
        <v>68</v>
      </c>
      <c r="C953" s="3" t="s">
        <v>61</v>
      </c>
      <c r="D953" s="3" t="s">
        <v>62</v>
      </c>
      <c r="E953" s="3" t="s">
        <v>46</v>
      </c>
      <c r="F953" s="3" t="s">
        <v>25</v>
      </c>
      <c r="G953" s="3" t="s">
        <v>26</v>
      </c>
      <c r="H953" s="3">
        <v>8350</v>
      </c>
      <c r="I953" s="3"/>
      <c r="J953" s="3"/>
      <c r="K953" s="3">
        <v>9000</v>
      </c>
      <c r="L953" s="27">
        <v>45328</v>
      </c>
      <c r="M953" t="str">
        <f t="shared" si="14"/>
        <v>Below Target</v>
      </c>
    </row>
    <row r="954" spans="1:13" x14ac:dyDescent="0.35">
      <c r="A954" s="33" t="s">
        <v>1164</v>
      </c>
      <c r="B954" s="3" t="s">
        <v>166</v>
      </c>
      <c r="C954" s="3" t="s">
        <v>61</v>
      </c>
      <c r="D954" s="3" t="s">
        <v>62</v>
      </c>
      <c r="E954" s="3" t="s">
        <v>46</v>
      </c>
      <c r="F954" s="3" t="s">
        <v>17</v>
      </c>
      <c r="G954" s="3" t="s">
        <v>36</v>
      </c>
      <c r="H954" s="3">
        <v>10457</v>
      </c>
      <c r="I954" s="3" t="s">
        <v>22</v>
      </c>
      <c r="J954" s="3">
        <v>0.1</v>
      </c>
      <c r="K954" s="3">
        <v>9000</v>
      </c>
      <c r="L954" s="27">
        <v>45326</v>
      </c>
      <c r="M954" t="str">
        <f t="shared" si="14"/>
        <v>Target Achieved</v>
      </c>
    </row>
    <row r="955" spans="1:13" x14ac:dyDescent="0.35">
      <c r="A955" s="33" t="s">
        <v>1165</v>
      </c>
      <c r="B955" s="3" t="s">
        <v>500</v>
      </c>
      <c r="C955" s="3" t="s">
        <v>61</v>
      </c>
      <c r="D955" s="3" t="s">
        <v>62</v>
      </c>
      <c r="E955" s="3" t="s">
        <v>16</v>
      </c>
      <c r="F955" s="3" t="s">
        <v>17</v>
      </c>
      <c r="G955" s="3" t="s">
        <v>18</v>
      </c>
      <c r="H955" s="3">
        <v>9323</v>
      </c>
      <c r="I955" s="3" t="s">
        <v>27</v>
      </c>
      <c r="J955" s="3"/>
      <c r="K955" s="3">
        <v>9000</v>
      </c>
      <c r="L955" s="27">
        <v>45351</v>
      </c>
      <c r="M955" t="str">
        <f t="shared" si="14"/>
        <v>Target Achieved</v>
      </c>
    </row>
    <row r="956" spans="1:13" x14ac:dyDescent="0.35">
      <c r="A956" s="33" t="s">
        <v>1166</v>
      </c>
      <c r="B956" s="3" t="s">
        <v>282</v>
      </c>
      <c r="C956" s="3" t="s">
        <v>30</v>
      </c>
      <c r="D956" s="3" t="s">
        <v>31</v>
      </c>
      <c r="E956" s="3" t="s">
        <v>46</v>
      </c>
      <c r="F956" s="3" t="s">
        <v>25</v>
      </c>
      <c r="G956" s="3" t="s">
        <v>26</v>
      </c>
      <c r="H956" s="3">
        <v>18927</v>
      </c>
      <c r="I956" s="3" t="s">
        <v>22</v>
      </c>
      <c r="J956" s="3">
        <v>0.1</v>
      </c>
      <c r="K956" s="3">
        <v>17000</v>
      </c>
      <c r="L956" s="27">
        <v>45315</v>
      </c>
      <c r="M956" t="str">
        <f t="shared" si="14"/>
        <v>Target Achieved</v>
      </c>
    </row>
    <row r="957" spans="1:13" x14ac:dyDescent="0.35">
      <c r="A957" s="33" t="s">
        <v>1167</v>
      </c>
      <c r="B957" s="3" t="s">
        <v>105</v>
      </c>
      <c r="C957" s="3" t="s">
        <v>30</v>
      </c>
      <c r="D957" s="3" t="s">
        <v>31</v>
      </c>
      <c r="E957" s="3" t="s">
        <v>32</v>
      </c>
      <c r="F957" s="3" t="s">
        <v>17</v>
      </c>
      <c r="G957" s="3" t="s">
        <v>36</v>
      </c>
      <c r="H957" s="3">
        <v>17653</v>
      </c>
      <c r="I957" s="3" t="s">
        <v>19</v>
      </c>
      <c r="J957" s="3">
        <v>0.2</v>
      </c>
      <c r="K957" s="3">
        <v>17000</v>
      </c>
      <c r="L957" s="27">
        <v>45303</v>
      </c>
      <c r="M957" t="str">
        <f t="shared" si="14"/>
        <v>Target Achieved</v>
      </c>
    </row>
    <row r="958" spans="1:13" x14ac:dyDescent="0.35">
      <c r="A958" s="33" t="s">
        <v>1168</v>
      </c>
      <c r="B958" s="3" t="s">
        <v>184</v>
      </c>
      <c r="C958" s="3" t="s">
        <v>61</v>
      </c>
      <c r="D958" s="3" t="s">
        <v>62</v>
      </c>
      <c r="E958" s="3" t="s">
        <v>16</v>
      </c>
      <c r="F958" s="3" t="s">
        <v>25</v>
      </c>
      <c r="G958" s="3" t="s">
        <v>36</v>
      </c>
      <c r="H958" s="3">
        <v>9850</v>
      </c>
      <c r="I958" s="3"/>
      <c r="J958" s="3"/>
      <c r="K958" s="3">
        <v>9000</v>
      </c>
      <c r="L958" s="27">
        <v>45349</v>
      </c>
      <c r="M958" t="str">
        <f t="shared" si="14"/>
        <v>Target Achieved</v>
      </c>
    </row>
    <row r="959" spans="1:13" x14ac:dyDescent="0.35">
      <c r="A959" s="33" t="s">
        <v>1169</v>
      </c>
      <c r="B959" s="3" t="s">
        <v>21</v>
      </c>
      <c r="C959" s="3" t="s">
        <v>30</v>
      </c>
      <c r="D959" s="3" t="s">
        <v>31</v>
      </c>
      <c r="E959" s="3" t="s">
        <v>46</v>
      </c>
      <c r="F959" s="3" t="s">
        <v>25</v>
      </c>
      <c r="G959" s="3" t="s">
        <v>26</v>
      </c>
      <c r="H959" s="3">
        <v>16793</v>
      </c>
      <c r="I959" s="3" t="s">
        <v>19</v>
      </c>
      <c r="J959" s="3">
        <v>0.2</v>
      </c>
      <c r="K959" s="3">
        <v>17000</v>
      </c>
      <c r="L959" s="27">
        <v>45300</v>
      </c>
      <c r="M959" t="str">
        <f t="shared" si="14"/>
        <v>Below Target</v>
      </c>
    </row>
    <row r="960" spans="1:13" x14ac:dyDescent="0.35">
      <c r="A960" s="33" t="s">
        <v>1170</v>
      </c>
      <c r="B960" s="3" t="s">
        <v>192</v>
      </c>
      <c r="C960" s="3" t="s">
        <v>14</v>
      </c>
      <c r="D960" s="3" t="s">
        <v>15</v>
      </c>
      <c r="E960" s="3" t="s">
        <v>16</v>
      </c>
      <c r="F960" s="3" t="s">
        <v>39</v>
      </c>
      <c r="G960" s="3" t="s">
        <v>18</v>
      </c>
      <c r="H960" s="3">
        <v>14003</v>
      </c>
      <c r="I960" s="3"/>
      <c r="J960" s="3"/>
      <c r="K960" s="3">
        <v>14000</v>
      </c>
      <c r="L960" s="27">
        <v>45296</v>
      </c>
      <c r="M960" t="str">
        <f t="shared" si="14"/>
        <v>Target Achieved</v>
      </c>
    </row>
    <row r="961" spans="1:13" x14ac:dyDescent="0.35">
      <c r="A961" s="33" t="s">
        <v>1171</v>
      </c>
      <c r="B961" s="3" t="s">
        <v>133</v>
      </c>
      <c r="C961" s="3" t="s">
        <v>30</v>
      </c>
      <c r="D961" s="3" t="s">
        <v>31</v>
      </c>
      <c r="E961" s="3" t="s">
        <v>46</v>
      </c>
      <c r="F961" s="3" t="s">
        <v>39</v>
      </c>
      <c r="G961" s="3" t="s">
        <v>36</v>
      </c>
      <c r="H961" s="3">
        <v>18959</v>
      </c>
      <c r="I961" s="3" t="s">
        <v>22</v>
      </c>
      <c r="J961" s="3">
        <v>0.1</v>
      </c>
      <c r="K961" s="3">
        <v>17000</v>
      </c>
      <c r="L961" s="27">
        <v>45294</v>
      </c>
      <c r="M961" t="str">
        <f t="shared" si="14"/>
        <v>Target Achieved</v>
      </c>
    </row>
    <row r="962" spans="1:13" x14ac:dyDescent="0.35">
      <c r="A962" s="33" t="s">
        <v>1172</v>
      </c>
      <c r="B962" s="3" t="s">
        <v>327</v>
      </c>
      <c r="C962" s="3" t="s">
        <v>30</v>
      </c>
      <c r="D962" s="3" t="s">
        <v>31</v>
      </c>
      <c r="E962" s="3" t="s">
        <v>16</v>
      </c>
      <c r="F962" s="3" t="s">
        <v>25</v>
      </c>
      <c r="G962" s="3" t="s">
        <v>36</v>
      </c>
      <c r="H962" s="3">
        <v>15484</v>
      </c>
      <c r="I962" s="3" t="s">
        <v>19</v>
      </c>
      <c r="J962" s="3">
        <v>0.2</v>
      </c>
      <c r="K962" s="3">
        <v>17000</v>
      </c>
      <c r="L962" s="27">
        <v>45343</v>
      </c>
      <c r="M962" t="str">
        <f t="shared" si="14"/>
        <v>Below Target</v>
      </c>
    </row>
    <row r="963" spans="1:13" x14ac:dyDescent="0.35">
      <c r="A963" s="33" t="s">
        <v>1173</v>
      </c>
      <c r="B963" s="3" t="s">
        <v>92</v>
      </c>
      <c r="C963" s="3" t="s">
        <v>61</v>
      </c>
      <c r="D963" s="3" t="s">
        <v>62</v>
      </c>
      <c r="E963" s="3" t="s">
        <v>16</v>
      </c>
      <c r="F963" s="3" t="s">
        <v>39</v>
      </c>
      <c r="G963" s="3" t="s">
        <v>18</v>
      </c>
      <c r="H963" s="3">
        <v>10035</v>
      </c>
      <c r="I963" s="3" t="s">
        <v>27</v>
      </c>
      <c r="J963" s="3"/>
      <c r="K963" s="3">
        <v>9000</v>
      </c>
      <c r="L963" s="27">
        <v>45306</v>
      </c>
      <c r="M963" t="str">
        <f t="shared" si="14"/>
        <v>Target Achieved</v>
      </c>
    </row>
    <row r="964" spans="1:13" x14ac:dyDescent="0.35">
      <c r="A964" s="33" t="s">
        <v>1174</v>
      </c>
      <c r="B964" s="3" t="s">
        <v>403</v>
      </c>
      <c r="C964" s="3" t="s">
        <v>14</v>
      </c>
      <c r="D964" s="3" t="s">
        <v>15</v>
      </c>
      <c r="E964" s="3" t="s">
        <v>16</v>
      </c>
      <c r="F964" s="3" t="s">
        <v>25</v>
      </c>
      <c r="G964" s="3" t="s">
        <v>36</v>
      </c>
      <c r="H964" s="3">
        <v>14678</v>
      </c>
      <c r="I964" s="3" t="s">
        <v>22</v>
      </c>
      <c r="J964" s="3">
        <v>0.1</v>
      </c>
      <c r="K964" s="3">
        <v>14000</v>
      </c>
      <c r="L964" s="27">
        <v>45322</v>
      </c>
      <c r="M964" t="str">
        <f t="shared" si="14"/>
        <v>Target Achieved</v>
      </c>
    </row>
    <row r="965" spans="1:13" x14ac:dyDescent="0.35">
      <c r="A965" s="33" t="s">
        <v>1175</v>
      </c>
      <c r="B965" s="3" t="s">
        <v>60</v>
      </c>
      <c r="C965" s="3" t="s">
        <v>14</v>
      </c>
      <c r="D965" s="3" t="s">
        <v>15</v>
      </c>
      <c r="E965" s="3" t="s">
        <v>32</v>
      </c>
      <c r="F965" s="3" t="s">
        <v>39</v>
      </c>
      <c r="G965" s="3" t="s">
        <v>26</v>
      </c>
      <c r="H965" s="3">
        <v>12534</v>
      </c>
      <c r="I965" s="3" t="s">
        <v>22</v>
      </c>
      <c r="J965" s="3">
        <v>0.1</v>
      </c>
      <c r="K965" s="3">
        <v>14000</v>
      </c>
      <c r="L965" s="27">
        <v>45303</v>
      </c>
      <c r="M965" t="str">
        <f t="shared" si="14"/>
        <v>Below Target</v>
      </c>
    </row>
    <row r="966" spans="1:13" x14ac:dyDescent="0.35">
      <c r="A966" s="33" t="s">
        <v>1176</v>
      </c>
      <c r="B966" s="3" t="s">
        <v>1032</v>
      </c>
      <c r="C966" s="3" t="s">
        <v>30</v>
      </c>
      <c r="D966" s="3" t="s">
        <v>31</v>
      </c>
      <c r="E966" s="3" t="s">
        <v>32</v>
      </c>
      <c r="F966" s="3" t="s">
        <v>17</v>
      </c>
      <c r="G966" s="3" t="s">
        <v>26</v>
      </c>
      <c r="H966" s="3">
        <v>15699</v>
      </c>
      <c r="I966" s="3" t="s">
        <v>27</v>
      </c>
      <c r="J966" s="3"/>
      <c r="K966" s="3">
        <v>17000</v>
      </c>
      <c r="L966" s="27">
        <v>45296</v>
      </c>
      <c r="M966" t="str">
        <f t="shared" si="14"/>
        <v>Below Target</v>
      </c>
    </row>
    <row r="967" spans="1:13" x14ac:dyDescent="0.35">
      <c r="A967" s="33" t="s">
        <v>1177</v>
      </c>
      <c r="B967" s="3" t="s">
        <v>319</v>
      </c>
      <c r="C967" s="3" t="s">
        <v>14</v>
      </c>
      <c r="D967" s="3" t="s">
        <v>15</v>
      </c>
      <c r="E967" s="3" t="s">
        <v>32</v>
      </c>
      <c r="F967" s="3" t="s">
        <v>17</v>
      </c>
      <c r="G967" s="3" t="s">
        <v>26</v>
      </c>
      <c r="H967" s="3">
        <v>15273</v>
      </c>
      <c r="I967" s="3" t="s">
        <v>27</v>
      </c>
      <c r="J967" s="3"/>
      <c r="K967" s="3">
        <v>14000</v>
      </c>
      <c r="L967" s="27">
        <v>45306</v>
      </c>
      <c r="M967" t="str">
        <f t="shared" si="14"/>
        <v>Target Achieved</v>
      </c>
    </row>
    <row r="968" spans="1:13" x14ac:dyDescent="0.35">
      <c r="A968" s="33" t="s">
        <v>1178</v>
      </c>
      <c r="B968" s="3" t="s">
        <v>200</v>
      </c>
      <c r="C968" s="3" t="s">
        <v>44</v>
      </c>
      <c r="D968" s="3" t="s">
        <v>45</v>
      </c>
      <c r="E968" s="3" t="s">
        <v>46</v>
      </c>
      <c r="F968" s="3" t="s">
        <v>17</v>
      </c>
      <c r="G968" s="3" t="s">
        <v>26</v>
      </c>
      <c r="H968" s="3">
        <v>13778</v>
      </c>
      <c r="I968" s="3"/>
      <c r="J968" s="3"/>
      <c r="K968" s="3">
        <v>13000</v>
      </c>
      <c r="L968" s="27">
        <v>45312</v>
      </c>
      <c r="M968" t="str">
        <f t="shared" si="14"/>
        <v>Target Achieved</v>
      </c>
    </row>
    <row r="969" spans="1:13" x14ac:dyDescent="0.35">
      <c r="A969" s="33" t="s">
        <v>1179</v>
      </c>
      <c r="B969" s="3" t="s">
        <v>21</v>
      </c>
      <c r="C969" s="3" t="s">
        <v>44</v>
      </c>
      <c r="D969" s="3" t="s">
        <v>45</v>
      </c>
      <c r="E969" s="3" t="s">
        <v>46</v>
      </c>
      <c r="F969" s="3" t="s">
        <v>25</v>
      </c>
      <c r="G969" s="3" t="s">
        <v>18</v>
      </c>
      <c r="H969" s="3">
        <v>13429</v>
      </c>
      <c r="I969" s="3" t="s">
        <v>19</v>
      </c>
      <c r="J969" s="3">
        <v>0.2</v>
      </c>
      <c r="K969" s="3">
        <v>13000</v>
      </c>
      <c r="L969" s="27">
        <v>45313</v>
      </c>
      <c r="M969" t="str">
        <f t="shared" si="14"/>
        <v>Target Achieved</v>
      </c>
    </row>
    <row r="970" spans="1:13" x14ac:dyDescent="0.35">
      <c r="A970" s="33" t="s">
        <v>1180</v>
      </c>
      <c r="B970" s="3" t="s">
        <v>78</v>
      </c>
      <c r="C970" s="3" t="s">
        <v>30</v>
      </c>
      <c r="D970" s="3" t="s">
        <v>31</v>
      </c>
      <c r="E970" s="3" t="s">
        <v>32</v>
      </c>
      <c r="F970" s="3" t="s">
        <v>17</v>
      </c>
      <c r="G970" s="3" t="s">
        <v>18</v>
      </c>
      <c r="H970" s="3">
        <v>17852</v>
      </c>
      <c r="I970" s="3" t="s">
        <v>33</v>
      </c>
      <c r="J970" s="3">
        <v>0.3</v>
      </c>
      <c r="K970" s="3">
        <v>17000</v>
      </c>
      <c r="L970" s="27">
        <v>45327</v>
      </c>
      <c r="M970" t="str">
        <f t="shared" si="14"/>
        <v>Target Achieved</v>
      </c>
    </row>
    <row r="971" spans="1:13" x14ac:dyDescent="0.35">
      <c r="A971" s="33" t="s">
        <v>1181</v>
      </c>
      <c r="B971" s="3" t="s">
        <v>429</v>
      </c>
      <c r="C971" s="3" t="s">
        <v>44</v>
      </c>
      <c r="D971" s="3" t="s">
        <v>45</v>
      </c>
      <c r="E971" s="3" t="s">
        <v>16</v>
      </c>
      <c r="F971" s="3" t="s">
        <v>25</v>
      </c>
      <c r="G971" s="3" t="s">
        <v>18</v>
      </c>
      <c r="H971" s="3">
        <v>11409</v>
      </c>
      <c r="I971" s="3" t="s">
        <v>27</v>
      </c>
      <c r="J971" s="3"/>
      <c r="K971" s="3">
        <v>13000</v>
      </c>
      <c r="L971" s="27">
        <v>45316</v>
      </c>
      <c r="M971" t="str">
        <f t="shared" si="14"/>
        <v>Below Target</v>
      </c>
    </row>
    <row r="972" spans="1:13" x14ac:dyDescent="0.35">
      <c r="A972" s="33" t="s">
        <v>1182</v>
      </c>
      <c r="B972" s="3" t="s">
        <v>72</v>
      </c>
      <c r="C972" s="3" t="s">
        <v>14</v>
      </c>
      <c r="D972" s="3" t="s">
        <v>15</v>
      </c>
      <c r="E972" s="3" t="s">
        <v>46</v>
      </c>
      <c r="F972" s="3" t="s">
        <v>25</v>
      </c>
      <c r="G972" s="3" t="s">
        <v>18</v>
      </c>
      <c r="H972" s="3">
        <v>12029</v>
      </c>
      <c r="I972" s="3" t="s">
        <v>19</v>
      </c>
      <c r="J972" s="3">
        <v>0.2</v>
      </c>
      <c r="K972" s="3">
        <v>14000</v>
      </c>
      <c r="L972" s="27">
        <v>45351</v>
      </c>
      <c r="M972" t="str">
        <f t="shared" si="14"/>
        <v>Below Target</v>
      </c>
    </row>
    <row r="973" spans="1:13" x14ac:dyDescent="0.35">
      <c r="A973" s="33" t="s">
        <v>1183</v>
      </c>
      <c r="B973" s="3" t="s">
        <v>173</v>
      </c>
      <c r="C973" s="3" t="s">
        <v>30</v>
      </c>
      <c r="D973" s="3" t="s">
        <v>31</v>
      </c>
      <c r="E973" s="3" t="s">
        <v>46</v>
      </c>
      <c r="F973" s="3" t="s">
        <v>39</v>
      </c>
      <c r="G973" s="3" t="s">
        <v>36</v>
      </c>
      <c r="H973" s="3">
        <v>17835</v>
      </c>
      <c r="I973" s="3" t="s">
        <v>19</v>
      </c>
      <c r="J973" s="3">
        <v>0.2</v>
      </c>
      <c r="K973" s="3">
        <v>17000</v>
      </c>
      <c r="L973" s="27">
        <v>45305</v>
      </c>
      <c r="M973" t="str">
        <f t="shared" si="14"/>
        <v>Target Achieved</v>
      </c>
    </row>
    <row r="974" spans="1:13" x14ac:dyDescent="0.35">
      <c r="A974" s="33" t="s">
        <v>1184</v>
      </c>
      <c r="B974" s="3" t="s">
        <v>113</v>
      </c>
      <c r="C974" s="3" t="s">
        <v>30</v>
      </c>
      <c r="D974" s="3" t="s">
        <v>31</v>
      </c>
      <c r="E974" s="3" t="s">
        <v>16</v>
      </c>
      <c r="F974" s="3" t="s">
        <v>17</v>
      </c>
      <c r="G974" s="3" t="s">
        <v>36</v>
      </c>
      <c r="H974" s="3">
        <v>15979</v>
      </c>
      <c r="I974" s="3" t="s">
        <v>19</v>
      </c>
      <c r="J974" s="3">
        <v>0.2</v>
      </c>
      <c r="K974" s="3">
        <v>17000</v>
      </c>
      <c r="L974" s="27">
        <v>45331</v>
      </c>
      <c r="M974" t="str">
        <f t="shared" si="14"/>
        <v>Below Target</v>
      </c>
    </row>
    <row r="975" spans="1:13" x14ac:dyDescent="0.35">
      <c r="A975" s="33" t="s">
        <v>1185</v>
      </c>
      <c r="B975" s="3" t="s">
        <v>464</v>
      </c>
      <c r="C975" s="3" t="s">
        <v>44</v>
      </c>
      <c r="D975" s="3" t="s">
        <v>45</v>
      </c>
      <c r="E975" s="3" t="s">
        <v>16</v>
      </c>
      <c r="F975" s="3" t="s">
        <v>17</v>
      </c>
      <c r="G975" s="3" t="s">
        <v>26</v>
      </c>
      <c r="H975" s="3">
        <v>14892</v>
      </c>
      <c r="I975" s="3" t="s">
        <v>22</v>
      </c>
      <c r="J975" s="3">
        <v>0.1</v>
      </c>
      <c r="K975" s="3">
        <v>13000</v>
      </c>
      <c r="L975" s="27">
        <v>45332</v>
      </c>
      <c r="M975" t="str">
        <f t="shared" si="14"/>
        <v>Target Achieved</v>
      </c>
    </row>
    <row r="976" spans="1:13" x14ac:dyDescent="0.35">
      <c r="A976" s="33" t="s">
        <v>1186</v>
      </c>
      <c r="B976" s="3" t="s">
        <v>393</v>
      </c>
      <c r="C976" s="3" t="s">
        <v>30</v>
      </c>
      <c r="D976" s="3" t="s">
        <v>31</v>
      </c>
      <c r="E976" s="3" t="s">
        <v>46</v>
      </c>
      <c r="F976" s="3" t="s">
        <v>17</v>
      </c>
      <c r="G976" s="3" t="s">
        <v>18</v>
      </c>
      <c r="H976" s="3">
        <v>17284</v>
      </c>
      <c r="I976" s="3" t="s">
        <v>19</v>
      </c>
      <c r="J976" s="3">
        <v>0.2</v>
      </c>
      <c r="K976" s="3">
        <v>17000</v>
      </c>
      <c r="L976" s="27">
        <v>45304</v>
      </c>
      <c r="M976" t="str">
        <f t="shared" si="14"/>
        <v>Target Achieved</v>
      </c>
    </row>
    <row r="977" spans="1:13" x14ac:dyDescent="0.35">
      <c r="A977" s="33" t="s">
        <v>1187</v>
      </c>
      <c r="B977" s="3" t="s">
        <v>241</v>
      </c>
      <c r="C977" s="3" t="s">
        <v>14</v>
      </c>
      <c r="D977" s="3" t="s">
        <v>15</v>
      </c>
      <c r="E977" s="3" t="s">
        <v>16</v>
      </c>
      <c r="F977" s="3" t="s">
        <v>17</v>
      </c>
      <c r="G977" s="3" t="s">
        <v>26</v>
      </c>
      <c r="H977" s="3">
        <v>14078</v>
      </c>
      <c r="I977" s="3" t="s">
        <v>19</v>
      </c>
      <c r="J977" s="3">
        <v>0.2</v>
      </c>
      <c r="K977" s="3">
        <v>14000</v>
      </c>
      <c r="L977" s="27">
        <v>45321</v>
      </c>
      <c r="M977" t="str">
        <f t="shared" si="14"/>
        <v>Target Achieved</v>
      </c>
    </row>
    <row r="978" spans="1:13" x14ac:dyDescent="0.35">
      <c r="A978" s="33" t="s">
        <v>1188</v>
      </c>
      <c r="B978" s="3" t="s">
        <v>426</v>
      </c>
      <c r="C978" s="3" t="s">
        <v>44</v>
      </c>
      <c r="D978" s="3" t="s">
        <v>45</v>
      </c>
      <c r="E978" s="3" t="s">
        <v>46</v>
      </c>
      <c r="F978" s="3" t="s">
        <v>25</v>
      </c>
      <c r="G978" s="3" t="s">
        <v>18</v>
      </c>
      <c r="H978" s="3">
        <v>11461</v>
      </c>
      <c r="I978" s="3" t="s">
        <v>19</v>
      </c>
      <c r="J978" s="3">
        <v>0.2</v>
      </c>
      <c r="K978" s="3">
        <v>13000</v>
      </c>
      <c r="L978" s="27">
        <v>45335</v>
      </c>
      <c r="M978" t="str">
        <f t="shared" si="14"/>
        <v>Below Target</v>
      </c>
    </row>
    <row r="979" spans="1:13" x14ac:dyDescent="0.35">
      <c r="A979" s="33" t="s">
        <v>1189</v>
      </c>
      <c r="B979" s="3" t="s">
        <v>1190</v>
      </c>
      <c r="C979" s="3" t="s">
        <v>61</v>
      </c>
      <c r="D979" s="3" t="s">
        <v>62</v>
      </c>
      <c r="E979" s="3" t="s">
        <v>32</v>
      </c>
      <c r="F979" s="3" t="s">
        <v>25</v>
      </c>
      <c r="G979" s="3" t="s">
        <v>26</v>
      </c>
      <c r="H979" s="3">
        <v>10779</v>
      </c>
      <c r="I979" s="3" t="s">
        <v>22</v>
      </c>
      <c r="J979" s="3">
        <v>0.1</v>
      </c>
      <c r="K979" s="3">
        <v>9000</v>
      </c>
      <c r="L979" s="27">
        <v>45295</v>
      </c>
      <c r="M979" t="str">
        <f t="shared" si="14"/>
        <v>Target Achieved</v>
      </c>
    </row>
    <row r="980" spans="1:13" x14ac:dyDescent="0.35">
      <c r="A980" s="33" t="s">
        <v>1191</v>
      </c>
      <c r="B980" s="3" t="s">
        <v>317</v>
      </c>
      <c r="C980" s="3" t="s">
        <v>30</v>
      </c>
      <c r="D980" s="3" t="s">
        <v>31</v>
      </c>
      <c r="E980" s="3" t="s">
        <v>32</v>
      </c>
      <c r="F980" s="3" t="s">
        <v>17</v>
      </c>
      <c r="G980" s="3" t="s">
        <v>36</v>
      </c>
      <c r="H980" s="3">
        <v>16369</v>
      </c>
      <c r="I980" s="3" t="s">
        <v>27</v>
      </c>
      <c r="J980" s="3"/>
      <c r="K980" s="3">
        <v>17000</v>
      </c>
      <c r="L980" s="27">
        <v>45343</v>
      </c>
      <c r="M980" t="str">
        <f t="shared" si="14"/>
        <v>Below Target</v>
      </c>
    </row>
    <row r="981" spans="1:13" x14ac:dyDescent="0.35">
      <c r="A981" s="33" t="s">
        <v>1192</v>
      </c>
      <c r="B981" s="3" t="s">
        <v>148</v>
      </c>
      <c r="C981" s="3" t="s">
        <v>61</v>
      </c>
      <c r="D981" s="3" t="s">
        <v>62</v>
      </c>
      <c r="E981" s="3" t="s">
        <v>32</v>
      </c>
      <c r="F981" s="3" t="s">
        <v>25</v>
      </c>
      <c r="G981" s="3" t="s">
        <v>26</v>
      </c>
      <c r="H981" s="3">
        <v>7214</v>
      </c>
      <c r="I981" s="3" t="s">
        <v>27</v>
      </c>
      <c r="J981" s="3"/>
      <c r="K981" s="3">
        <v>9000</v>
      </c>
      <c r="L981" s="27">
        <v>45303</v>
      </c>
      <c r="M981" t="str">
        <f t="shared" si="14"/>
        <v>Below Target</v>
      </c>
    </row>
    <row r="982" spans="1:13" x14ac:dyDescent="0.35">
      <c r="A982" s="33" t="s">
        <v>1193</v>
      </c>
      <c r="B982" s="3" t="s">
        <v>135</v>
      </c>
      <c r="C982" s="3" t="s">
        <v>14</v>
      </c>
      <c r="D982" s="3" t="s">
        <v>15</v>
      </c>
      <c r="E982" s="3" t="s">
        <v>46</v>
      </c>
      <c r="F982" s="3" t="s">
        <v>39</v>
      </c>
      <c r="G982" s="3" t="s">
        <v>18</v>
      </c>
      <c r="H982" s="3">
        <v>12290</v>
      </c>
      <c r="I982" s="3" t="s">
        <v>19</v>
      </c>
      <c r="J982" s="3">
        <v>0.2</v>
      </c>
      <c r="K982" s="3">
        <v>14000</v>
      </c>
      <c r="L982" s="27">
        <v>45338</v>
      </c>
      <c r="M982" t="str">
        <f t="shared" si="14"/>
        <v>Below Target</v>
      </c>
    </row>
    <row r="983" spans="1:13" x14ac:dyDescent="0.35">
      <c r="A983" s="33" t="s">
        <v>1194</v>
      </c>
      <c r="B983" s="3" t="s">
        <v>600</v>
      </c>
      <c r="C983" s="3" t="s">
        <v>30</v>
      </c>
      <c r="D983" s="3" t="s">
        <v>31</v>
      </c>
      <c r="E983" s="3" t="s">
        <v>46</v>
      </c>
      <c r="F983" s="3" t="s">
        <v>25</v>
      </c>
      <c r="G983" s="3" t="s">
        <v>26</v>
      </c>
      <c r="H983" s="3">
        <v>17772</v>
      </c>
      <c r="I983" s="3" t="s">
        <v>33</v>
      </c>
      <c r="J983" s="3">
        <v>0.3</v>
      </c>
      <c r="K983" s="3">
        <v>17000</v>
      </c>
      <c r="L983" s="27">
        <v>45306</v>
      </c>
      <c r="M983" t="str">
        <f t="shared" si="14"/>
        <v>Target Achieved</v>
      </c>
    </row>
    <row r="984" spans="1:13" x14ac:dyDescent="0.35">
      <c r="A984" s="33" t="s">
        <v>1195</v>
      </c>
      <c r="B984" s="3" t="s">
        <v>652</v>
      </c>
      <c r="C984" s="3" t="s">
        <v>30</v>
      </c>
      <c r="D984" s="3" t="s">
        <v>31</v>
      </c>
      <c r="E984" s="3" t="s">
        <v>32</v>
      </c>
      <c r="F984" s="3" t="s">
        <v>25</v>
      </c>
      <c r="G984" s="3" t="s">
        <v>18</v>
      </c>
      <c r="H984" s="3">
        <v>18021</v>
      </c>
      <c r="I984" s="3"/>
      <c r="J984" s="3"/>
      <c r="K984" s="3">
        <v>17000</v>
      </c>
      <c r="L984" s="27">
        <v>45347</v>
      </c>
      <c r="M984" t="str">
        <f t="shared" si="14"/>
        <v>Target Achieved</v>
      </c>
    </row>
    <row r="985" spans="1:13" x14ac:dyDescent="0.35">
      <c r="A985" s="33" t="s">
        <v>1196</v>
      </c>
      <c r="B985" s="3" t="s">
        <v>414</v>
      </c>
      <c r="C985" s="3" t="s">
        <v>44</v>
      </c>
      <c r="D985" s="3" t="s">
        <v>45</v>
      </c>
      <c r="E985" s="3" t="s">
        <v>32</v>
      </c>
      <c r="F985" s="3" t="s">
        <v>17</v>
      </c>
      <c r="G985" s="3" t="s">
        <v>26</v>
      </c>
      <c r="H985" s="3">
        <v>12984</v>
      </c>
      <c r="I985" s="3" t="s">
        <v>22</v>
      </c>
      <c r="J985" s="3">
        <v>0.1</v>
      </c>
      <c r="K985" s="3">
        <v>13000</v>
      </c>
      <c r="L985" s="27">
        <v>45348</v>
      </c>
      <c r="M985" t="str">
        <f t="shared" si="14"/>
        <v>Below Target</v>
      </c>
    </row>
    <row r="986" spans="1:13" x14ac:dyDescent="0.35">
      <c r="A986" s="33" t="s">
        <v>1197</v>
      </c>
      <c r="B986" s="3" t="s">
        <v>186</v>
      </c>
      <c r="C986" s="3" t="s">
        <v>44</v>
      </c>
      <c r="D986" s="3" t="s">
        <v>45</v>
      </c>
      <c r="E986" s="3" t="s">
        <v>16</v>
      </c>
      <c r="F986" s="3" t="s">
        <v>17</v>
      </c>
      <c r="G986" s="3" t="s">
        <v>18</v>
      </c>
      <c r="H986" s="3">
        <v>12586</v>
      </c>
      <c r="I986" s="3" t="s">
        <v>33</v>
      </c>
      <c r="J986" s="3">
        <v>0.3</v>
      </c>
      <c r="K986" s="3">
        <v>13000</v>
      </c>
      <c r="L986" s="27">
        <v>45300</v>
      </c>
      <c r="M986" t="str">
        <f t="shared" si="14"/>
        <v>Below Target</v>
      </c>
    </row>
    <row r="987" spans="1:13" x14ac:dyDescent="0.35">
      <c r="A987" s="33" t="s">
        <v>1198</v>
      </c>
      <c r="B987" s="3" t="s">
        <v>483</v>
      </c>
      <c r="C987" s="3" t="s">
        <v>44</v>
      </c>
      <c r="D987" s="3" t="s">
        <v>45</v>
      </c>
      <c r="E987" s="3" t="s">
        <v>16</v>
      </c>
      <c r="F987" s="3" t="s">
        <v>17</v>
      </c>
      <c r="G987" s="3" t="s">
        <v>36</v>
      </c>
      <c r="H987" s="3">
        <v>11828</v>
      </c>
      <c r="I987" s="3" t="s">
        <v>33</v>
      </c>
      <c r="J987" s="3">
        <v>0.3</v>
      </c>
      <c r="K987" s="3">
        <v>13000</v>
      </c>
      <c r="L987" s="27">
        <v>45300</v>
      </c>
      <c r="M987" t="str">
        <f t="shared" si="14"/>
        <v>Below Target</v>
      </c>
    </row>
    <row r="988" spans="1:13" x14ac:dyDescent="0.35">
      <c r="A988" s="33" t="s">
        <v>1199</v>
      </c>
      <c r="B988" s="3" t="s">
        <v>190</v>
      </c>
      <c r="C988" s="3" t="s">
        <v>14</v>
      </c>
      <c r="D988" s="3" t="s">
        <v>15</v>
      </c>
      <c r="E988" s="3" t="s">
        <v>46</v>
      </c>
      <c r="F988" s="3" t="s">
        <v>25</v>
      </c>
      <c r="G988" s="3" t="s">
        <v>18</v>
      </c>
      <c r="H988" s="3">
        <v>15488</v>
      </c>
      <c r="I988" s="3"/>
      <c r="J988" s="3"/>
      <c r="K988" s="3">
        <v>14000</v>
      </c>
      <c r="L988" s="27">
        <v>45321</v>
      </c>
      <c r="M988" t="str">
        <f t="shared" si="14"/>
        <v>Target Achieved</v>
      </c>
    </row>
    <row r="989" spans="1:13" x14ac:dyDescent="0.35">
      <c r="A989" s="33" t="s">
        <v>1200</v>
      </c>
      <c r="B989" s="3" t="s">
        <v>186</v>
      </c>
      <c r="C989" s="3" t="s">
        <v>30</v>
      </c>
      <c r="D989" s="3" t="s">
        <v>31</v>
      </c>
      <c r="E989" s="3" t="s">
        <v>32</v>
      </c>
      <c r="F989" s="3" t="s">
        <v>17</v>
      </c>
      <c r="G989" s="3" t="s">
        <v>26</v>
      </c>
      <c r="H989" s="3">
        <v>15642</v>
      </c>
      <c r="I989" s="3" t="s">
        <v>27</v>
      </c>
      <c r="J989" s="3"/>
      <c r="K989" s="3">
        <v>17000</v>
      </c>
      <c r="L989" s="27">
        <v>45349</v>
      </c>
      <c r="M989" t="str">
        <f t="shared" si="14"/>
        <v>Below Target</v>
      </c>
    </row>
    <row r="990" spans="1:13" x14ac:dyDescent="0.35">
      <c r="A990" s="33" t="s">
        <v>1201</v>
      </c>
      <c r="B990" s="3" t="s">
        <v>720</v>
      </c>
      <c r="C990" s="3" t="s">
        <v>44</v>
      </c>
      <c r="D990" s="3" t="s">
        <v>45</v>
      </c>
      <c r="E990" s="3" t="s">
        <v>32</v>
      </c>
      <c r="F990" s="3" t="s">
        <v>17</v>
      </c>
      <c r="G990" s="3" t="s">
        <v>26</v>
      </c>
      <c r="H990" s="3">
        <v>13003</v>
      </c>
      <c r="I990" s="3" t="s">
        <v>19</v>
      </c>
      <c r="J990" s="3">
        <v>0.2</v>
      </c>
      <c r="K990" s="3">
        <v>13000</v>
      </c>
      <c r="L990" s="27">
        <v>45329</v>
      </c>
      <c r="M990" t="str">
        <f t="shared" si="14"/>
        <v>Target Achieved</v>
      </c>
    </row>
    <row r="991" spans="1:13" x14ac:dyDescent="0.35">
      <c r="A991" s="33" t="s">
        <v>1202</v>
      </c>
      <c r="B991" s="3" t="s">
        <v>752</v>
      </c>
      <c r="C991" s="3" t="s">
        <v>61</v>
      </c>
      <c r="D991" s="3" t="s">
        <v>62</v>
      </c>
      <c r="E991" s="3" t="s">
        <v>46</v>
      </c>
      <c r="F991" s="3" t="s">
        <v>25</v>
      </c>
      <c r="G991" s="3" t="s">
        <v>26</v>
      </c>
      <c r="H991" s="3">
        <v>8753</v>
      </c>
      <c r="I991" s="3" t="s">
        <v>19</v>
      </c>
      <c r="J991" s="3">
        <v>0.2</v>
      </c>
      <c r="K991" s="3">
        <v>9000</v>
      </c>
      <c r="L991" s="27">
        <v>45307</v>
      </c>
      <c r="M991" t="str">
        <f t="shared" si="14"/>
        <v>Below Target</v>
      </c>
    </row>
    <row r="992" spans="1:13" x14ac:dyDescent="0.35">
      <c r="A992" s="33" t="s">
        <v>1203</v>
      </c>
      <c r="B992" s="3" t="s">
        <v>666</v>
      </c>
      <c r="C992" s="3" t="s">
        <v>44</v>
      </c>
      <c r="D992" s="3" t="s">
        <v>45</v>
      </c>
      <c r="E992" s="3" t="s">
        <v>16</v>
      </c>
      <c r="F992" s="3" t="s">
        <v>25</v>
      </c>
      <c r="G992" s="3" t="s">
        <v>26</v>
      </c>
      <c r="H992" s="3">
        <v>14679</v>
      </c>
      <c r="I992" s="3" t="s">
        <v>22</v>
      </c>
      <c r="J992" s="3">
        <v>0.1</v>
      </c>
      <c r="K992" s="3">
        <v>13000</v>
      </c>
      <c r="L992" s="27">
        <v>45318</v>
      </c>
      <c r="M992" t="str">
        <f t="shared" ref="M992:M1030" si="15">IF(H992&gt;=K992,"Target Achieved","Below Target")</f>
        <v>Target Achieved</v>
      </c>
    </row>
    <row r="993" spans="1:13" x14ac:dyDescent="0.35">
      <c r="A993" s="33" t="s">
        <v>1204</v>
      </c>
      <c r="B993" s="3" t="s">
        <v>161</v>
      </c>
      <c r="C993" s="3" t="s">
        <v>61</v>
      </c>
      <c r="D993" s="3" t="s">
        <v>62</v>
      </c>
      <c r="E993" s="3" t="s">
        <v>16</v>
      </c>
      <c r="F993" s="3" t="s">
        <v>39</v>
      </c>
      <c r="G993" s="3" t="s">
        <v>18</v>
      </c>
      <c r="H993" s="3">
        <v>8743</v>
      </c>
      <c r="I993" s="3" t="s">
        <v>27</v>
      </c>
      <c r="J993" s="3"/>
      <c r="K993" s="3">
        <v>9000</v>
      </c>
      <c r="L993" s="27">
        <v>45317</v>
      </c>
      <c r="M993" t="str">
        <f t="shared" si="15"/>
        <v>Below Target</v>
      </c>
    </row>
    <row r="994" spans="1:13" x14ac:dyDescent="0.35">
      <c r="A994" s="33" t="s">
        <v>1205</v>
      </c>
      <c r="B994" s="3" t="s">
        <v>157</v>
      </c>
      <c r="C994" s="3" t="s">
        <v>14</v>
      </c>
      <c r="D994" s="3" t="s">
        <v>15</v>
      </c>
      <c r="E994" s="3" t="s">
        <v>46</v>
      </c>
      <c r="F994" s="3" t="s">
        <v>17</v>
      </c>
      <c r="G994" s="3" t="s">
        <v>18</v>
      </c>
      <c r="H994" s="3">
        <v>12340</v>
      </c>
      <c r="I994" s="3" t="s">
        <v>27</v>
      </c>
      <c r="J994" s="3"/>
      <c r="K994" s="3">
        <v>14000</v>
      </c>
      <c r="L994" s="27">
        <v>45340</v>
      </c>
      <c r="M994" t="str">
        <f t="shared" si="15"/>
        <v>Below Target</v>
      </c>
    </row>
    <row r="995" spans="1:13" x14ac:dyDescent="0.35">
      <c r="A995" s="33" t="s">
        <v>1206</v>
      </c>
      <c r="B995" s="3" t="s">
        <v>190</v>
      </c>
      <c r="C995" s="3" t="s">
        <v>61</v>
      </c>
      <c r="D995" s="3" t="s">
        <v>62</v>
      </c>
      <c r="E995" s="3" t="s">
        <v>32</v>
      </c>
      <c r="F995" s="3" t="s">
        <v>25</v>
      </c>
      <c r="G995" s="3" t="s">
        <v>36</v>
      </c>
      <c r="H995" s="3">
        <v>8211</v>
      </c>
      <c r="I995" s="3" t="s">
        <v>19</v>
      </c>
      <c r="J995" s="3">
        <v>0.2</v>
      </c>
      <c r="K995" s="3">
        <v>9000</v>
      </c>
      <c r="L995" s="27">
        <v>45333</v>
      </c>
      <c r="M995" t="str">
        <f t="shared" si="15"/>
        <v>Below Target</v>
      </c>
    </row>
    <row r="996" spans="1:13" x14ac:dyDescent="0.35">
      <c r="A996" s="33" t="s">
        <v>1207</v>
      </c>
      <c r="B996" s="3" t="s">
        <v>43</v>
      </c>
      <c r="C996" s="3" t="s">
        <v>61</v>
      </c>
      <c r="D996" s="3" t="s">
        <v>62</v>
      </c>
      <c r="E996" s="3" t="s">
        <v>16</v>
      </c>
      <c r="F996" s="3" t="s">
        <v>17</v>
      </c>
      <c r="G996" s="3" t="s">
        <v>18</v>
      </c>
      <c r="H996" s="3">
        <v>9880</v>
      </c>
      <c r="I996" s="3"/>
      <c r="J996" s="3"/>
      <c r="K996" s="3">
        <v>9000</v>
      </c>
      <c r="L996" s="27">
        <v>45346</v>
      </c>
      <c r="M996" t="str">
        <f t="shared" si="15"/>
        <v>Target Achieved</v>
      </c>
    </row>
    <row r="997" spans="1:13" x14ac:dyDescent="0.35">
      <c r="A997" s="33" t="s">
        <v>1208</v>
      </c>
      <c r="B997" s="3" t="s">
        <v>233</v>
      </c>
      <c r="C997" s="3" t="s">
        <v>14</v>
      </c>
      <c r="D997" s="3" t="s">
        <v>15</v>
      </c>
      <c r="E997" s="3" t="s">
        <v>46</v>
      </c>
      <c r="F997" s="3" t="s">
        <v>17</v>
      </c>
      <c r="G997" s="3" t="s">
        <v>18</v>
      </c>
      <c r="H997" s="3">
        <v>15580</v>
      </c>
      <c r="I997" s="3"/>
      <c r="J997" s="3"/>
      <c r="K997" s="3">
        <v>14000</v>
      </c>
      <c r="L997" s="27">
        <v>45303</v>
      </c>
      <c r="M997" t="str">
        <f t="shared" si="15"/>
        <v>Target Achieved</v>
      </c>
    </row>
    <row r="998" spans="1:13" x14ac:dyDescent="0.35">
      <c r="A998" s="33" t="s">
        <v>1209</v>
      </c>
      <c r="B998" s="3" t="s">
        <v>140</v>
      </c>
      <c r="C998" s="3" t="s">
        <v>30</v>
      </c>
      <c r="D998" s="3" t="s">
        <v>31</v>
      </c>
      <c r="E998" s="3" t="s">
        <v>16</v>
      </c>
      <c r="F998" s="3" t="s">
        <v>17</v>
      </c>
      <c r="G998" s="3" t="s">
        <v>26</v>
      </c>
      <c r="H998" s="3">
        <v>17594</v>
      </c>
      <c r="I998" s="3" t="s">
        <v>22</v>
      </c>
      <c r="J998" s="3">
        <v>0.1</v>
      </c>
      <c r="K998" s="3">
        <v>17000</v>
      </c>
      <c r="L998" s="27">
        <v>45347</v>
      </c>
      <c r="M998" t="str">
        <f t="shared" si="15"/>
        <v>Target Achieved</v>
      </c>
    </row>
    <row r="999" spans="1:13" x14ac:dyDescent="0.35">
      <c r="A999" s="33" t="s">
        <v>1210</v>
      </c>
      <c r="B999" s="3" t="s">
        <v>13</v>
      </c>
      <c r="C999" s="3" t="s">
        <v>61</v>
      </c>
      <c r="D999" s="3" t="s">
        <v>62</v>
      </c>
      <c r="E999" s="3" t="s">
        <v>16</v>
      </c>
      <c r="F999" s="3" t="s">
        <v>17</v>
      </c>
      <c r="G999" s="3" t="s">
        <v>26</v>
      </c>
      <c r="H999" s="3">
        <v>7133</v>
      </c>
      <c r="I999" s="3" t="s">
        <v>33</v>
      </c>
      <c r="J999" s="3">
        <v>0.3</v>
      </c>
      <c r="K999" s="3">
        <v>9000</v>
      </c>
      <c r="L999" s="27">
        <v>45319</v>
      </c>
      <c r="M999" t="str">
        <f t="shared" si="15"/>
        <v>Below Target</v>
      </c>
    </row>
    <row r="1000" spans="1:13" x14ac:dyDescent="0.35">
      <c r="A1000" s="33" t="s">
        <v>1211</v>
      </c>
      <c r="B1000" s="3" t="s">
        <v>1073</v>
      </c>
      <c r="C1000" s="3" t="s">
        <v>44</v>
      </c>
      <c r="D1000" s="3" t="s">
        <v>45</v>
      </c>
      <c r="E1000" s="3" t="s">
        <v>16</v>
      </c>
      <c r="F1000" s="3" t="s">
        <v>25</v>
      </c>
      <c r="G1000" s="3" t="s">
        <v>26</v>
      </c>
      <c r="H1000" s="3">
        <v>14607</v>
      </c>
      <c r="I1000" s="3" t="s">
        <v>33</v>
      </c>
      <c r="J1000" s="3">
        <v>0.3</v>
      </c>
      <c r="K1000" s="3">
        <v>13000</v>
      </c>
      <c r="L1000" s="27">
        <v>45339</v>
      </c>
      <c r="M1000" t="str">
        <f t="shared" si="15"/>
        <v>Target Achieved</v>
      </c>
    </row>
    <row r="1001" spans="1:13" x14ac:dyDescent="0.35">
      <c r="A1001" s="33" t="s">
        <v>1212</v>
      </c>
      <c r="B1001" s="3" t="s">
        <v>987</v>
      </c>
      <c r="C1001" s="3" t="s">
        <v>30</v>
      </c>
      <c r="D1001" s="3" t="s">
        <v>31</v>
      </c>
      <c r="E1001" s="3" t="s">
        <v>32</v>
      </c>
      <c r="F1001" s="3" t="s">
        <v>25</v>
      </c>
      <c r="G1001" s="3" t="s">
        <v>36</v>
      </c>
      <c r="H1001" s="3">
        <v>16497</v>
      </c>
      <c r="I1001" s="3"/>
      <c r="J1001" s="3"/>
      <c r="K1001" s="3">
        <v>17000</v>
      </c>
      <c r="L1001" s="27">
        <v>45331</v>
      </c>
      <c r="M1001" t="str">
        <f t="shared" si="15"/>
        <v>Below Target</v>
      </c>
    </row>
    <row r="1002" spans="1:13" x14ac:dyDescent="0.35">
      <c r="A1002" s="33" t="s">
        <v>1213</v>
      </c>
      <c r="B1002" s="3" t="s">
        <v>125</v>
      </c>
      <c r="C1002" s="3" t="s">
        <v>30</v>
      </c>
      <c r="D1002" s="3" t="s">
        <v>31</v>
      </c>
      <c r="E1002" s="3" t="s">
        <v>32</v>
      </c>
      <c r="F1002" s="3" t="s">
        <v>39</v>
      </c>
      <c r="G1002" s="3" t="s">
        <v>26</v>
      </c>
      <c r="H1002" s="3">
        <v>17887</v>
      </c>
      <c r="I1002" s="3" t="s">
        <v>22</v>
      </c>
      <c r="J1002" s="3">
        <v>0.1</v>
      </c>
      <c r="K1002" s="3">
        <v>17000</v>
      </c>
      <c r="L1002" s="27">
        <v>45327</v>
      </c>
      <c r="M1002" t="str">
        <f t="shared" si="15"/>
        <v>Target Achieved</v>
      </c>
    </row>
    <row r="1003" spans="1:13" x14ac:dyDescent="0.35">
      <c r="A1003" s="33" t="s">
        <v>1214</v>
      </c>
      <c r="B1003" s="3" t="s">
        <v>276</v>
      </c>
      <c r="C1003" s="3" t="s">
        <v>44</v>
      </c>
      <c r="D1003" s="3" t="s">
        <v>45</v>
      </c>
      <c r="E1003" s="3" t="s">
        <v>32</v>
      </c>
      <c r="F1003" s="3" t="s">
        <v>17</v>
      </c>
      <c r="G1003" s="3" t="s">
        <v>18</v>
      </c>
      <c r="H1003" s="3">
        <v>13210</v>
      </c>
      <c r="I1003" s="3" t="s">
        <v>22</v>
      </c>
      <c r="J1003" s="3">
        <v>0.1</v>
      </c>
      <c r="K1003" s="3">
        <v>13000</v>
      </c>
      <c r="L1003" s="27">
        <v>45333</v>
      </c>
      <c r="M1003" t="str">
        <f t="shared" si="15"/>
        <v>Target Achieved</v>
      </c>
    </row>
    <row r="1004" spans="1:13" x14ac:dyDescent="0.35">
      <c r="A1004" s="33" t="s">
        <v>1215</v>
      </c>
      <c r="B1004" s="3" t="s">
        <v>483</v>
      </c>
      <c r="C1004" s="3" t="s">
        <v>44</v>
      </c>
      <c r="D1004" s="3" t="s">
        <v>45</v>
      </c>
      <c r="E1004" s="3" t="s">
        <v>16</v>
      </c>
      <c r="F1004" s="3" t="s">
        <v>25</v>
      </c>
      <c r="G1004" s="3" t="s">
        <v>36</v>
      </c>
      <c r="H1004" s="3">
        <v>12444</v>
      </c>
      <c r="I1004" s="3" t="s">
        <v>33</v>
      </c>
      <c r="J1004" s="3">
        <v>0.3</v>
      </c>
      <c r="K1004" s="3">
        <v>13000</v>
      </c>
      <c r="L1004" s="27">
        <v>45324</v>
      </c>
      <c r="M1004" t="str">
        <f t="shared" si="15"/>
        <v>Below Target</v>
      </c>
    </row>
    <row r="1005" spans="1:13" x14ac:dyDescent="0.35">
      <c r="A1005" s="33" t="s">
        <v>1216</v>
      </c>
      <c r="B1005" s="3" t="s">
        <v>90</v>
      </c>
      <c r="C1005" s="3" t="s">
        <v>30</v>
      </c>
      <c r="D1005" s="3" t="s">
        <v>31</v>
      </c>
      <c r="E1005" s="3" t="s">
        <v>32</v>
      </c>
      <c r="F1005" s="3" t="s">
        <v>25</v>
      </c>
      <c r="G1005" s="3" t="s">
        <v>36</v>
      </c>
      <c r="H1005" s="3">
        <v>16414</v>
      </c>
      <c r="I1005" s="3"/>
      <c r="J1005" s="3"/>
      <c r="K1005" s="3">
        <v>17000</v>
      </c>
      <c r="L1005" s="27">
        <v>45323</v>
      </c>
      <c r="M1005" t="str">
        <f t="shared" si="15"/>
        <v>Below Target</v>
      </c>
    </row>
    <row r="1006" spans="1:13" x14ac:dyDescent="0.35">
      <c r="A1006" s="33" t="s">
        <v>1217</v>
      </c>
      <c r="B1006" s="3" t="s">
        <v>168</v>
      </c>
      <c r="C1006" s="3" t="s">
        <v>14</v>
      </c>
      <c r="D1006" s="3" t="s">
        <v>15</v>
      </c>
      <c r="E1006" s="3" t="s">
        <v>46</v>
      </c>
      <c r="F1006" s="3" t="s">
        <v>39</v>
      </c>
      <c r="G1006" s="3" t="s">
        <v>26</v>
      </c>
      <c r="H1006" s="3">
        <v>14778</v>
      </c>
      <c r="I1006" s="3" t="s">
        <v>27</v>
      </c>
      <c r="J1006" s="3"/>
      <c r="K1006" s="3">
        <v>14000</v>
      </c>
      <c r="L1006" s="27">
        <v>45349</v>
      </c>
      <c r="M1006" t="str">
        <f t="shared" si="15"/>
        <v>Target Achieved</v>
      </c>
    </row>
    <row r="1007" spans="1:13" x14ac:dyDescent="0.35">
      <c r="A1007" s="33" t="s">
        <v>1218</v>
      </c>
      <c r="B1007" s="3" t="s">
        <v>48</v>
      </c>
      <c r="C1007" s="3" t="s">
        <v>30</v>
      </c>
      <c r="D1007" s="3" t="s">
        <v>31</v>
      </c>
      <c r="E1007" s="3" t="s">
        <v>16</v>
      </c>
      <c r="F1007" s="3" t="s">
        <v>39</v>
      </c>
      <c r="G1007" s="3" t="s">
        <v>18</v>
      </c>
      <c r="H1007" s="3">
        <v>15771</v>
      </c>
      <c r="I1007" s="3"/>
      <c r="J1007" s="3"/>
      <c r="K1007" s="3">
        <v>17000</v>
      </c>
      <c r="L1007" s="27">
        <v>45297</v>
      </c>
      <c r="M1007" t="str">
        <f t="shared" si="15"/>
        <v>Below Target</v>
      </c>
    </row>
    <row r="1008" spans="1:13" x14ac:dyDescent="0.35">
      <c r="A1008" s="33" t="s">
        <v>1219</v>
      </c>
      <c r="B1008" s="3" t="s">
        <v>66</v>
      </c>
      <c r="C1008" s="3" t="s">
        <v>44</v>
      </c>
      <c r="D1008" s="3" t="s">
        <v>45</v>
      </c>
      <c r="E1008" s="3" t="s">
        <v>46</v>
      </c>
      <c r="F1008" s="3" t="s">
        <v>25</v>
      </c>
      <c r="G1008" s="3" t="s">
        <v>18</v>
      </c>
      <c r="H1008" s="3">
        <v>11674</v>
      </c>
      <c r="I1008" s="3" t="s">
        <v>33</v>
      </c>
      <c r="J1008" s="3">
        <v>0.3</v>
      </c>
      <c r="K1008" s="3">
        <v>13000</v>
      </c>
      <c r="L1008" s="27">
        <v>45299</v>
      </c>
      <c r="M1008" t="str">
        <f t="shared" si="15"/>
        <v>Below Target</v>
      </c>
    </row>
    <row r="1009" spans="1:13" x14ac:dyDescent="0.35">
      <c r="A1009" s="33" t="s">
        <v>1220</v>
      </c>
      <c r="B1009" s="3" t="s">
        <v>153</v>
      </c>
      <c r="C1009" s="3" t="s">
        <v>61</v>
      </c>
      <c r="D1009" s="3" t="s">
        <v>62</v>
      </c>
      <c r="E1009" s="3" t="s">
        <v>32</v>
      </c>
      <c r="F1009" s="3" t="s">
        <v>25</v>
      </c>
      <c r="G1009" s="3" t="s">
        <v>26</v>
      </c>
      <c r="H1009" s="3">
        <v>10899</v>
      </c>
      <c r="I1009" s="3" t="s">
        <v>22</v>
      </c>
      <c r="J1009" s="3">
        <v>0.1</v>
      </c>
      <c r="K1009" s="3">
        <v>9000</v>
      </c>
      <c r="L1009" s="27">
        <v>45310</v>
      </c>
      <c r="M1009" t="str">
        <f t="shared" si="15"/>
        <v>Target Achieved</v>
      </c>
    </row>
    <row r="1010" spans="1:13" x14ac:dyDescent="0.35">
      <c r="A1010" s="33" t="s">
        <v>1221</v>
      </c>
      <c r="B1010" s="3" t="s">
        <v>274</v>
      </c>
      <c r="C1010" s="3" t="s">
        <v>44</v>
      </c>
      <c r="D1010" s="3" t="s">
        <v>45</v>
      </c>
      <c r="E1010" s="3" t="s">
        <v>46</v>
      </c>
      <c r="F1010" s="3" t="s">
        <v>17</v>
      </c>
      <c r="G1010" s="3" t="s">
        <v>36</v>
      </c>
      <c r="H1010" s="3">
        <v>12818</v>
      </c>
      <c r="I1010" s="3" t="s">
        <v>22</v>
      </c>
      <c r="J1010" s="3">
        <v>0.1</v>
      </c>
      <c r="K1010" s="3">
        <v>13000</v>
      </c>
      <c r="L1010" s="27">
        <v>45310</v>
      </c>
      <c r="M1010" t="str">
        <f t="shared" si="15"/>
        <v>Below Target</v>
      </c>
    </row>
    <row r="1011" spans="1:13" x14ac:dyDescent="0.35">
      <c r="A1011" s="33" t="s">
        <v>1222</v>
      </c>
      <c r="B1011" s="3" t="s">
        <v>229</v>
      </c>
      <c r="C1011" s="3" t="s">
        <v>14</v>
      </c>
      <c r="D1011" s="3" t="s">
        <v>15</v>
      </c>
      <c r="E1011" s="3" t="s">
        <v>32</v>
      </c>
      <c r="F1011" s="3" t="s">
        <v>39</v>
      </c>
      <c r="G1011" s="3" t="s">
        <v>26</v>
      </c>
      <c r="H1011" s="3">
        <v>13375</v>
      </c>
      <c r="I1011" s="3"/>
      <c r="J1011" s="3"/>
      <c r="K1011" s="3">
        <v>14000</v>
      </c>
      <c r="L1011" s="27">
        <v>45329</v>
      </c>
      <c r="M1011" t="str">
        <f t="shared" si="15"/>
        <v>Below Target</v>
      </c>
    </row>
    <row r="1012" spans="1:13" x14ac:dyDescent="0.35">
      <c r="A1012" s="33" t="s">
        <v>1223</v>
      </c>
      <c r="B1012" s="3" t="s">
        <v>150</v>
      </c>
      <c r="C1012" s="3" t="s">
        <v>30</v>
      </c>
      <c r="D1012" s="3" t="s">
        <v>31</v>
      </c>
      <c r="E1012" s="3" t="s">
        <v>46</v>
      </c>
      <c r="F1012" s="3" t="s">
        <v>39</v>
      </c>
      <c r="G1012" s="3" t="s">
        <v>26</v>
      </c>
      <c r="H1012" s="3">
        <v>17854</v>
      </c>
      <c r="I1012" s="3" t="s">
        <v>27</v>
      </c>
      <c r="J1012" s="3"/>
      <c r="K1012" s="3">
        <v>17000</v>
      </c>
      <c r="L1012" s="27">
        <v>45345</v>
      </c>
      <c r="M1012" t="str">
        <f t="shared" si="15"/>
        <v>Target Achieved</v>
      </c>
    </row>
    <row r="1013" spans="1:13" x14ac:dyDescent="0.35">
      <c r="A1013" s="33" t="s">
        <v>1224</v>
      </c>
      <c r="B1013" s="3" t="s">
        <v>544</v>
      </c>
      <c r="C1013" s="3" t="s">
        <v>61</v>
      </c>
      <c r="D1013" s="3" t="s">
        <v>62</v>
      </c>
      <c r="E1013" s="3" t="s">
        <v>46</v>
      </c>
      <c r="F1013" s="3" t="s">
        <v>39</v>
      </c>
      <c r="G1013" s="3" t="s">
        <v>18</v>
      </c>
      <c r="H1013" s="3">
        <v>10679</v>
      </c>
      <c r="I1013" s="3" t="s">
        <v>33</v>
      </c>
      <c r="J1013" s="3">
        <v>0.3</v>
      </c>
      <c r="K1013" s="3">
        <v>9000</v>
      </c>
      <c r="L1013" s="27">
        <v>45302</v>
      </c>
      <c r="M1013" t="str">
        <f t="shared" si="15"/>
        <v>Target Achieved</v>
      </c>
    </row>
    <row r="1014" spans="1:13" x14ac:dyDescent="0.35">
      <c r="A1014" s="33" t="s">
        <v>1225</v>
      </c>
      <c r="B1014" s="3" t="s">
        <v>1073</v>
      </c>
      <c r="C1014" s="3" t="s">
        <v>44</v>
      </c>
      <c r="D1014" s="3" t="s">
        <v>45</v>
      </c>
      <c r="E1014" s="3" t="s">
        <v>46</v>
      </c>
      <c r="F1014" s="3" t="s">
        <v>17</v>
      </c>
      <c r="G1014" s="3" t="s">
        <v>36</v>
      </c>
      <c r="H1014" s="3">
        <v>14152</v>
      </c>
      <c r="I1014" s="3" t="s">
        <v>22</v>
      </c>
      <c r="J1014" s="3">
        <v>0.1</v>
      </c>
      <c r="K1014" s="3">
        <v>13000</v>
      </c>
      <c r="L1014" s="27">
        <v>45301</v>
      </c>
      <c r="M1014" t="str">
        <f t="shared" si="15"/>
        <v>Target Achieved</v>
      </c>
    </row>
    <row r="1015" spans="1:13" x14ac:dyDescent="0.35">
      <c r="A1015" s="33" t="s">
        <v>1226</v>
      </c>
      <c r="B1015" s="3" t="s">
        <v>1105</v>
      </c>
      <c r="C1015" s="3" t="s">
        <v>61</v>
      </c>
      <c r="D1015" s="3" t="s">
        <v>62</v>
      </c>
      <c r="E1015" s="3" t="s">
        <v>32</v>
      </c>
      <c r="F1015" s="3" t="s">
        <v>39</v>
      </c>
      <c r="G1015" s="3" t="s">
        <v>18</v>
      </c>
      <c r="H1015" s="3">
        <v>9915</v>
      </c>
      <c r="I1015" s="3" t="s">
        <v>27</v>
      </c>
      <c r="J1015" s="3"/>
      <c r="K1015" s="3">
        <v>9000</v>
      </c>
      <c r="L1015" s="27">
        <v>45310</v>
      </c>
      <c r="M1015" t="str">
        <f t="shared" si="15"/>
        <v>Target Achieved</v>
      </c>
    </row>
    <row r="1016" spans="1:13" x14ac:dyDescent="0.35">
      <c r="A1016" s="33" t="s">
        <v>1227</v>
      </c>
      <c r="B1016" s="3" t="s">
        <v>175</v>
      </c>
      <c r="C1016" s="3" t="s">
        <v>44</v>
      </c>
      <c r="D1016" s="3" t="s">
        <v>45</v>
      </c>
      <c r="E1016" s="3" t="s">
        <v>32</v>
      </c>
      <c r="F1016" s="3" t="s">
        <v>25</v>
      </c>
      <c r="G1016" s="3" t="s">
        <v>18</v>
      </c>
      <c r="H1016" s="3">
        <v>11168</v>
      </c>
      <c r="I1016" s="3" t="s">
        <v>33</v>
      </c>
      <c r="J1016" s="3">
        <v>0.3</v>
      </c>
      <c r="K1016" s="3">
        <v>13000</v>
      </c>
      <c r="L1016" s="27">
        <v>45328</v>
      </c>
      <c r="M1016" t="str">
        <f t="shared" si="15"/>
        <v>Below Target</v>
      </c>
    </row>
    <row r="1017" spans="1:13" x14ac:dyDescent="0.35">
      <c r="A1017" s="33" t="s">
        <v>1228</v>
      </c>
      <c r="B1017" s="3" t="s">
        <v>429</v>
      </c>
      <c r="C1017" s="3" t="s">
        <v>30</v>
      </c>
      <c r="D1017" s="3" t="s">
        <v>31</v>
      </c>
      <c r="E1017" s="3" t="s">
        <v>46</v>
      </c>
      <c r="F1017" s="3" t="s">
        <v>25</v>
      </c>
      <c r="G1017" s="3" t="s">
        <v>18</v>
      </c>
      <c r="H1017" s="3">
        <v>17303</v>
      </c>
      <c r="I1017" s="3" t="s">
        <v>22</v>
      </c>
      <c r="J1017" s="3">
        <v>0.1</v>
      </c>
      <c r="K1017" s="3">
        <v>17000</v>
      </c>
      <c r="L1017" s="27">
        <v>45334</v>
      </c>
      <c r="M1017" t="str">
        <f t="shared" si="15"/>
        <v>Target Achieved</v>
      </c>
    </row>
    <row r="1018" spans="1:13" x14ac:dyDescent="0.35">
      <c r="A1018" s="33" t="s">
        <v>1229</v>
      </c>
      <c r="B1018" s="3" t="s">
        <v>282</v>
      </c>
      <c r="C1018" s="3" t="s">
        <v>44</v>
      </c>
      <c r="D1018" s="3" t="s">
        <v>45</v>
      </c>
      <c r="E1018" s="3" t="s">
        <v>46</v>
      </c>
      <c r="F1018" s="3" t="s">
        <v>17</v>
      </c>
      <c r="G1018" s="3" t="s">
        <v>26</v>
      </c>
      <c r="H1018" s="3">
        <v>14995</v>
      </c>
      <c r="I1018" s="3" t="s">
        <v>19</v>
      </c>
      <c r="J1018" s="3">
        <v>0.2</v>
      </c>
      <c r="K1018" s="3">
        <v>13000</v>
      </c>
      <c r="L1018" s="27">
        <v>45326</v>
      </c>
      <c r="M1018" t="str">
        <f t="shared" si="15"/>
        <v>Target Achieved</v>
      </c>
    </row>
    <row r="1019" spans="1:13" x14ac:dyDescent="0.35">
      <c r="A1019" s="33" t="s">
        <v>1230</v>
      </c>
      <c r="B1019" s="3" t="s">
        <v>222</v>
      </c>
      <c r="C1019" s="3" t="s">
        <v>14</v>
      </c>
      <c r="D1019" s="3" t="s">
        <v>15</v>
      </c>
      <c r="E1019" s="3" t="s">
        <v>46</v>
      </c>
      <c r="F1019" s="3" t="s">
        <v>17</v>
      </c>
      <c r="G1019" s="3" t="s">
        <v>18</v>
      </c>
      <c r="H1019" s="3">
        <v>15882</v>
      </c>
      <c r="I1019" s="3"/>
      <c r="J1019" s="3"/>
      <c r="K1019" s="3">
        <v>14000</v>
      </c>
      <c r="L1019" s="27">
        <v>45351</v>
      </c>
      <c r="M1019" t="str">
        <f t="shared" si="15"/>
        <v>Target Achieved</v>
      </c>
    </row>
    <row r="1020" spans="1:13" x14ac:dyDescent="0.35">
      <c r="A1020" s="33" t="s">
        <v>1231</v>
      </c>
      <c r="B1020" s="3" t="s">
        <v>728</v>
      </c>
      <c r="C1020" s="3" t="s">
        <v>14</v>
      </c>
      <c r="D1020" s="3" t="s">
        <v>15</v>
      </c>
      <c r="E1020" s="3" t="s">
        <v>16</v>
      </c>
      <c r="F1020" s="3" t="s">
        <v>39</v>
      </c>
      <c r="G1020" s="3" t="s">
        <v>26</v>
      </c>
      <c r="H1020" s="3">
        <v>13356</v>
      </c>
      <c r="I1020" s="3" t="s">
        <v>33</v>
      </c>
      <c r="J1020" s="3">
        <v>0.3</v>
      </c>
      <c r="K1020" s="3">
        <v>14000</v>
      </c>
      <c r="L1020" s="27">
        <v>45322</v>
      </c>
      <c r="M1020" t="str">
        <f t="shared" si="15"/>
        <v>Below Target</v>
      </c>
    </row>
    <row r="1021" spans="1:13" x14ac:dyDescent="0.35">
      <c r="A1021" s="33" t="s">
        <v>1232</v>
      </c>
      <c r="B1021" s="3" t="s">
        <v>111</v>
      </c>
      <c r="C1021" s="3" t="s">
        <v>44</v>
      </c>
      <c r="D1021" s="3" t="s">
        <v>45</v>
      </c>
      <c r="E1021" s="3" t="s">
        <v>16</v>
      </c>
      <c r="F1021" s="3" t="s">
        <v>39</v>
      </c>
      <c r="G1021" s="3" t="s">
        <v>36</v>
      </c>
      <c r="H1021" s="3">
        <v>12387</v>
      </c>
      <c r="I1021" s="3" t="s">
        <v>22</v>
      </c>
      <c r="J1021" s="3">
        <v>0.1</v>
      </c>
      <c r="K1021" s="3">
        <v>13000</v>
      </c>
      <c r="L1021" s="27">
        <v>45338</v>
      </c>
      <c r="M1021" t="str">
        <f t="shared" si="15"/>
        <v>Below Target</v>
      </c>
    </row>
    <row r="1022" spans="1:13" x14ac:dyDescent="0.35">
      <c r="A1022" s="33" t="s">
        <v>1233</v>
      </c>
      <c r="B1022" s="3" t="s">
        <v>711</v>
      </c>
      <c r="C1022" s="3" t="s">
        <v>44</v>
      </c>
      <c r="D1022" s="3" t="s">
        <v>45</v>
      </c>
      <c r="E1022" s="3" t="s">
        <v>16</v>
      </c>
      <c r="F1022" s="3" t="s">
        <v>39</v>
      </c>
      <c r="G1022" s="3" t="s">
        <v>18</v>
      </c>
      <c r="H1022" s="3">
        <v>12261</v>
      </c>
      <c r="I1022" s="3" t="s">
        <v>22</v>
      </c>
      <c r="J1022" s="3">
        <v>0.1</v>
      </c>
      <c r="K1022" s="3">
        <v>13000</v>
      </c>
      <c r="L1022" s="27">
        <v>45317</v>
      </c>
      <c r="M1022" t="str">
        <f t="shared" si="15"/>
        <v>Below Target</v>
      </c>
    </row>
    <row r="1023" spans="1:13" x14ac:dyDescent="0.35">
      <c r="A1023" s="33" t="s">
        <v>1234</v>
      </c>
      <c r="B1023" s="3" t="s">
        <v>837</v>
      </c>
      <c r="C1023" s="3" t="s">
        <v>44</v>
      </c>
      <c r="D1023" s="3" t="s">
        <v>45</v>
      </c>
      <c r="E1023" s="3" t="s">
        <v>46</v>
      </c>
      <c r="F1023" s="3" t="s">
        <v>17</v>
      </c>
      <c r="G1023" s="3" t="s">
        <v>18</v>
      </c>
      <c r="H1023" s="3">
        <v>12336</v>
      </c>
      <c r="I1023" s="3" t="s">
        <v>22</v>
      </c>
      <c r="J1023" s="3">
        <v>0.1</v>
      </c>
      <c r="K1023" s="3">
        <v>13000</v>
      </c>
      <c r="L1023" s="27">
        <v>45330</v>
      </c>
      <c r="M1023" t="str">
        <f t="shared" si="15"/>
        <v>Below Target</v>
      </c>
    </row>
    <row r="1024" spans="1:13" x14ac:dyDescent="0.35">
      <c r="A1024" s="33" t="s">
        <v>1235</v>
      </c>
      <c r="B1024" s="3" t="s">
        <v>239</v>
      </c>
      <c r="C1024" s="3" t="s">
        <v>44</v>
      </c>
      <c r="D1024" s="3" t="s">
        <v>45</v>
      </c>
      <c r="E1024" s="3" t="s">
        <v>46</v>
      </c>
      <c r="F1024" s="3" t="s">
        <v>25</v>
      </c>
      <c r="G1024" s="3" t="s">
        <v>18</v>
      </c>
      <c r="H1024" s="3">
        <v>11342</v>
      </c>
      <c r="I1024" s="3" t="s">
        <v>27</v>
      </c>
      <c r="J1024" s="3"/>
      <c r="K1024" s="3">
        <v>13000</v>
      </c>
      <c r="L1024" s="27">
        <v>45346</v>
      </c>
      <c r="M1024" t="str">
        <f t="shared" si="15"/>
        <v>Below Target</v>
      </c>
    </row>
    <row r="1025" spans="1:13" x14ac:dyDescent="0.35">
      <c r="A1025" s="33" t="s">
        <v>1236</v>
      </c>
      <c r="B1025" s="3" t="s">
        <v>332</v>
      </c>
      <c r="C1025" s="3" t="s">
        <v>14</v>
      </c>
      <c r="D1025" s="3" t="s">
        <v>15</v>
      </c>
      <c r="E1025" s="3" t="s">
        <v>16</v>
      </c>
      <c r="F1025" s="3" t="s">
        <v>17</v>
      </c>
      <c r="G1025" s="3" t="s">
        <v>18</v>
      </c>
      <c r="H1025" s="3">
        <v>14008</v>
      </c>
      <c r="I1025" s="3" t="s">
        <v>33</v>
      </c>
      <c r="J1025" s="3">
        <v>0.3</v>
      </c>
      <c r="K1025" s="3">
        <v>14000</v>
      </c>
      <c r="L1025" s="27">
        <v>45330</v>
      </c>
      <c r="M1025" t="str">
        <f t="shared" si="15"/>
        <v>Target Achieved</v>
      </c>
    </row>
    <row r="1026" spans="1:13" x14ac:dyDescent="0.35">
      <c r="A1026" s="33" t="s">
        <v>1237</v>
      </c>
      <c r="B1026" s="3" t="s">
        <v>86</v>
      </c>
      <c r="C1026" s="3" t="s">
        <v>14</v>
      </c>
      <c r="D1026" s="3" t="s">
        <v>15</v>
      </c>
      <c r="E1026" s="3" t="s">
        <v>16</v>
      </c>
      <c r="F1026" s="3" t="s">
        <v>17</v>
      </c>
      <c r="G1026" s="3" t="s">
        <v>36</v>
      </c>
      <c r="H1026" s="3">
        <v>12605</v>
      </c>
      <c r="I1026" s="3"/>
      <c r="J1026" s="3"/>
      <c r="K1026" s="3">
        <v>14000</v>
      </c>
      <c r="L1026" s="27">
        <v>45315</v>
      </c>
      <c r="M1026" t="str">
        <f t="shared" si="15"/>
        <v>Below Target</v>
      </c>
    </row>
    <row r="1027" spans="1:13" x14ac:dyDescent="0.35">
      <c r="A1027" s="33" t="s">
        <v>1238</v>
      </c>
      <c r="B1027" s="3" t="s">
        <v>474</v>
      </c>
      <c r="C1027" s="3" t="s">
        <v>14</v>
      </c>
      <c r="D1027" s="3" t="s">
        <v>15</v>
      </c>
      <c r="E1027" s="3" t="s">
        <v>46</v>
      </c>
      <c r="F1027" s="3" t="s">
        <v>17</v>
      </c>
      <c r="G1027" s="3" t="s">
        <v>36</v>
      </c>
      <c r="H1027" s="3">
        <v>13261</v>
      </c>
      <c r="I1027" s="3"/>
      <c r="J1027" s="3"/>
      <c r="K1027" s="3">
        <v>14000</v>
      </c>
      <c r="L1027" s="27">
        <v>45347</v>
      </c>
      <c r="M1027" t="str">
        <f t="shared" si="15"/>
        <v>Below Target</v>
      </c>
    </row>
    <row r="1028" spans="1:13" x14ac:dyDescent="0.35">
      <c r="A1028" s="33" t="s">
        <v>1239</v>
      </c>
      <c r="B1028" s="3" t="s">
        <v>905</v>
      </c>
      <c r="C1028" s="3" t="s">
        <v>44</v>
      </c>
      <c r="D1028" s="3" t="s">
        <v>45</v>
      </c>
      <c r="E1028" s="3" t="s">
        <v>16</v>
      </c>
      <c r="F1028" s="3" t="s">
        <v>17</v>
      </c>
      <c r="G1028" s="3" t="s">
        <v>26</v>
      </c>
      <c r="H1028" s="3">
        <v>12702</v>
      </c>
      <c r="I1028" s="3"/>
      <c r="J1028" s="3"/>
      <c r="K1028" s="3">
        <v>13000</v>
      </c>
      <c r="L1028" s="27">
        <v>45310</v>
      </c>
      <c r="M1028" t="str">
        <f t="shared" si="15"/>
        <v>Below Target</v>
      </c>
    </row>
    <row r="1029" spans="1:13" x14ac:dyDescent="0.35">
      <c r="A1029" s="33" t="s">
        <v>1240</v>
      </c>
      <c r="B1029" s="3" t="s">
        <v>135</v>
      </c>
      <c r="C1029" s="3" t="s">
        <v>61</v>
      </c>
      <c r="D1029" s="3" t="s">
        <v>62</v>
      </c>
      <c r="E1029" s="3" t="s">
        <v>16</v>
      </c>
      <c r="F1029" s="3" t="s">
        <v>17</v>
      </c>
      <c r="G1029" s="3" t="s">
        <v>18</v>
      </c>
      <c r="H1029" s="3">
        <v>10422</v>
      </c>
      <c r="I1029" s="3" t="s">
        <v>27</v>
      </c>
      <c r="J1029" s="3"/>
      <c r="K1029" s="3">
        <v>9000</v>
      </c>
      <c r="L1029" s="27">
        <v>45330</v>
      </c>
      <c r="M1029" t="str">
        <f t="shared" si="15"/>
        <v>Target Achieved</v>
      </c>
    </row>
    <row r="1030" spans="1:13" x14ac:dyDescent="0.35">
      <c r="A1030" s="33" t="s">
        <v>1241</v>
      </c>
      <c r="B1030" s="3" t="s">
        <v>843</v>
      </c>
      <c r="C1030" s="3" t="s">
        <v>44</v>
      </c>
      <c r="D1030" s="3" t="s">
        <v>45</v>
      </c>
      <c r="E1030" s="3" t="s">
        <v>46</v>
      </c>
      <c r="F1030" s="3" t="s">
        <v>17</v>
      </c>
      <c r="G1030" s="3" t="s">
        <v>26</v>
      </c>
      <c r="H1030" s="3">
        <v>12373</v>
      </c>
      <c r="I1030" s="3" t="s">
        <v>22</v>
      </c>
      <c r="J1030" s="3">
        <v>0.1</v>
      </c>
      <c r="K1030" s="3">
        <v>13000</v>
      </c>
      <c r="L1030" s="27">
        <v>45351</v>
      </c>
      <c r="M1030" t="str">
        <f t="shared" si="15"/>
        <v>Below Target</v>
      </c>
    </row>
    <row r="1031" spans="1:13" x14ac:dyDescent="0.35">
      <c r="H1031" s="30">
        <f>SUM($H$4:$H$1017)</f>
        <v>13227363</v>
      </c>
      <c r="M1031" s="31">
        <f>COUNTIF(M31:M1030, "Target Achieved") / COUNTA(M4:M1030)</f>
        <v>0.51548451548451546</v>
      </c>
    </row>
    <row r="1032" spans="1:13" x14ac:dyDescent="0.35">
      <c r="H1032" s="30">
        <f>AVERAGE($H$4:$H$1017)</f>
        <v>13401.58358662614</v>
      </c>
    </row>
  </sheetData>
  <mergeCells count="1">
    <mergeCell ref="A1:M1"/>
  </mergeCell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4004-024F-44CA-8817-AF894EAA6DE4}">
  <dimension ref="A1:T19"/>
  <sheetViews>
    <sheetView tabSelected="1" workbookViewId="0">
      <selection activeCell="Q8" sqref="Q8"/>
    </sheetView>
  </sheetViews>
  <sheetFormatPr defaultRowHeight="14.5" x14ac:dyDescent="0.35"/>
  <cols>
    <col min="3" max="3" width="12" customWidth="1"/>
  </cols>
  <sheetData>
    <row r="1" spans="1:20" ht="15.5" x14ac:dyDescent="0.35">
      <c r="A1" s="51" t="s">
        <v>1265</v>
      </c>
      <c r="B1" s="52"/>
      <c r="C1" s="52"/>
      <c r="D1" s="52"/>
      <c r="E1" s="52"/>
      <c r="F1" s="52"/>
      <c r="G1" s="52"/>
      <c r="H1" s="52"/>
      <c r="I1" s="52"/>
      <c r="J1" s="52"/>
      <c r="K1" s="52"/>
      <c r="L1" s="52"/>
      <c r="M1" s="52"/>
      <c r="N1" s="52"/>
      <c r="O1" s="52"/>
      <c r="P1" s="53"/>
    </row>
    <row r="2" spans="1:20" x14ac:dyDescent="0.35">
      <c r="A2" s="54"/>
      <c r="B2" s="55"/>
      <c r="C2" s="55"/>
      <c r="D2" s="55"/>
      <c r="E2" s="55"/>
      <c r="F2" s="55"/>
      <c r="G2" s="55"/>
      <c r="H2" s="55"/>
      <c r="I2" s="55"/>
      <c r="J2" s="55"/>
      <c r="K2" s="55"/>
      <c r="L2" s="55"/>
      <c r="M2" s="55"/>
      <c r="N2" s="55"/>
      <c r="O2" s="55"/>
      <c r="P2" s="56"/>
    </row>
    <row r="3" spans="1:20" x14ac:dyDescent="0.35">
      <c r="A3" s="71" t="s">
        <v>1275</v>
      </c>
      <c r="B3" s="55"/>
      <c r="C3" s="55"/>
      <c r="D3" s="55"/>
      <c r="E3" s="55"/>
      <c r="F3" s="55"/>
      <c r="G3" s="55"/>
      <c r="H3" s="55"/>
      <c r="I3" s="55"/>
      <c r="J3" s="55"/>
      <c r="K3" s="55"/>
      <c r="L3" s="55"/>
      <c r="M3" s="55"/>
      <c r="N3" s="55"/>
      <c r="O3" s="55"/>
      <c r="P3" s="56"/>
    </row>
    <row r="4" spans="1:20" x14ac:dyDescent="0.35">
      <c r="A4" s="54"/>
      <c r="B4" s="55"/>
      <c r="C4" s="55"/>
      <c r="D4" s="55"/>
      <c r="E4" s="55"/>
      <c r="F4" s="55"/>
      <c r="G4" s="55"/>
      <c r="H4" s="55"/>
      <c r="I4" s="55"/>
      <c r="J4" s="55"/>
      <c r="K4" s="55"/>
      <c r="L4" s="55"/>
      <c r="M4" s="55"/>
      <c r="N4" s="55"/>
      <c r="O4" s="55"/>
      <c r="P4" s="56"/>
    </row>
    <row r="5" spans="1:20" x14ac:dyDescent="0.35">
      <c r="A5" s="57" t="s">
        <v>1266</v>
      </c>
      <c r="B5" s="55"/>
      <c r="C5" s="55"/>
      <c r="D5" s="55"/>
      <c r="E5" s="55"/>
      <c r="F5" s="55"/>
      <c r="G5" s="55"/>
      <c r="H5" s="55"/>
      <c r="I5" s="55"/>
      <c r="J5" s="55"/>
      <c r="K5" s="55"/>
      <c r="L5" s="55"/>
      <c r="M5" s="55"/>
      <c r="N5" s="55"/>
      <c r="O5" s="55"/>
      <c r="P5" s="56"/>
    </row>
    <row r="6" spans="1:20" x14ac:dyDescent="0.35">
      <c r="A6" s="54"/>
      <c r="B6" s="55"/>
      <c r="C6" s="55"/>
      <c r="D6" s="55"/>
      <c r="E6" s="55"/>
      <c r="F6" s="55"/>
      <c r="G6" s="55"/>
      <c r="H6" s="55"/>
      <c r="I6" s="55"/>
      <c r="J6" s="55"/>
      <c r="K6" s="55"/>
      <c r="L6" s="55"/>
      <c r="M6" s="55"/>
      <c r="N6" s="55"/>
      <c r="O6" s="55"/>
      <c r="P6" s="56"/>
    </row>
    <row r="7" spans="1:20" x14ac:dyDescent="0.35">
      <c r="A7" s="57" t="s">
        <v>1267</v>
      </c>
      <c r="B7" s="55"/>
      <c r="C7" s="55"/>
      <c r="D7" s="55"/>
      <c r="E7" s="55"/>
      <c r="F7" s="55"/>
      <c r="G7" s="55"/>
      <c r="H7" s="55"/>
      <c r="I7" s="55"/>
      <c r="J7" s="55"/>
      <c r="K7" s="55"/>
      <c r="L7" s="55"/>
      <c r="M7" s="55"/>
      <c r="N7" s="55"/>
      <c r="O7" s="55"/>
      <c r="P7" s="56"/>
    </row>
    <row r="8" spans="1:20" x14ac:dyDescent="0.35">
      <c r="A8" s="58"/>
      <c r="B8" s="55"/>
      <c r="C8" s="55"/>
      <c r="D8" s="55"/>
      <c r="E8" s="55"/>
      <c r="F8" s="55"/>
      <c r="G8" s="55"/>
      <c r="H8" s="55"/>
      <c r="I8" s="55"/>
      <c r="J8" s="55"/>
      <c r="K8" s="55"/>
      <c r="L8" s="55"/>
      <c r="M8" s="55"/>
      <c r="N8" s="55"/>
      <c r="O8" s="55"/>
      <c r="P8" s="56"/>
    </row>
    <row r="9" spans="1:20" ht="15.5" x14ac:dyDescent="0.35">
      <c r="A9" s="59" t="s">
        <v>1268</v>
      </c>
      <c r="B9" s="55"/>
      <c r="C9" s="55"/>
      <c r="D9" s="55"/>
      <c r="E9" s="55"/>
      <c r="F9" s="55"/>
      <c r="G9" s="55"/>
      <c r="H9" s="55"/>
      <c r="I9" s="55"/>
      <c r="J9" s="55"/>
      <c r="K9" s="55"/>
      <c r="L9" s="55"/>
      <c r="M9" s="55"/>
      <c r="N9" s="55"/>
      <c r="O9" s="55"/>
      <c r="P9" s="56"/>
    </row>
    <row r="10" spans="1:20" x14ac:dyDescent="0.35">
      <c r="A10" s="54"/>
      <c r="B10" s="55"/>
      <c r="C10" s="55"/>
      <c r="D10" s="55"/>
      <c r="E10" s="55"/>
      <c r="F10" s="55"/>
      <c r="G10" s="55"/>
      <c r="H10" s="55"/>
      <c r="I10" s="55"/>
      <c r="J10" s="55"/>
      <c r="K10" s="55"/>
      <c r="L10" s="55"/>
      <c r="M10" s="55"/>
      <c r="N10" s="55"/>
      <c r="O10" s="55"/>
      <c r="P10" s="56"/>
    </row>
    <row r="11" spans="1:20" x14ac:dyDescent="0.35">
      <c r="A11" s="69" t="s">
        <v>1274</v>
      </c>
      <c r="B11" s="70"/>
      <c r="C11" s="70"/>
      <c r="D11" s="60" t="s">
        <v>1272</v>
      </c>
      <c r="E11" s="61"/>
      <c r="F11" s="61"/>
      <c r="G11" s="61"/>
      <c r="H11" s="61"/>
      <c r="I11" s="61"/>
      <c r="J11" s="61"/>
      <c r="K11" s="61"/>
      <c r="L11" s="61"/>
      <c r="M11" s="61"/>
      <c r="N11" s="61"/>
      <c r="O11" s="61"/>
      <c r="P11" s="62"/>
      <c r="Q11" s="26"/>
      <c r="R11" s="26"/>
      <c r="S11" s="26"/>
      <c r="T11" s="26"/>
    </row>
    <row r="12" spans="1:20" x14ac:dyDescent="0.35">
      <c r="A12" s="54"/>
      <c r="B12" s="55"/>
      <c r="C12" s="55"/>
      <c r="D12" s="63" t="s">
        <v>1269</v>
      </c>
      <c r="E12" s="55"/>
      <c r="F12" s="55"/>
      <c r="G12" s="55"/>
      <c r="H12" s="55"/>
      <c r="I12" s="55"/>
      <c r="J12" s="55"/>
      <c r="K12" s="55"/>
      <c r="L12" s="55"/>
      <c r="M12" s="55"/>
      <c r="N12" s="55"/>
      <c r="O12" s="55"/>
      <c r="P12" s="56"/>
    </row>
    <row r="13" spans="1:20" x14ac:dyDescent="0.35">
      <c r="A13" s="58"/>
      <c r="B13" s="55"/>
      <c r="C13" s="55"/>
      <c r="D13" s="55"/>
      <c r="E13" s="55"/>
      <c r="F13" s="55"/>
      <c r="G13" s="55"/>
      <c r="H13" s="55"/>
      <c r="I13" s="55"/>
      <c r="J13" s="55"/>
      <c r="K13" s="55"/>
      <c r="L13" s="55"/>
      <c r="M13" s="55"/>
      <c r="N13" s="55"/>
      <c r="O13" s="55"/>
      <c r="P13" s="56"/>
    </row>
    <row r="14" spans="1:20" x14ac:dyDescent="0.35">
      <c r="A14" s="58"/>
      <c r="B14" s="55"/>
      <c r="C14" s="55"/>
      <c r="D14" s="55"/>
      <c r="E14" s="55"/>
      <c r="F14" s="55"/>
      <c r="G14" s="55"/>
      <c r="H14" s="55"/>
      <c r="I14" s="55"/>
      <c r="J14" s="55"/>
      <c r="K14" s="55"/>
      <c r="L14" s="55"/>
      <c r="M14" s="55"/>
      <c r="N14" s="55"/>
      <c r="O14" s="55"/>
      <c r="P14" s="56"/>
    </row>
    <row r="15" spans="1:20" x14ac:dyDescent="0.35">
      <c r="A15" s="67" t="s">
        <v>1273</v>
      </c>
      <c r="B15" s="68"/>
      <c r="C15" s="68"/>
      <c r="D15" s="63" t="s">
        <v>1271</v>
      </c>
      <c r="E15" s="55"/>
      <c r="F15" s="55"/>
      <c r="G15" s="55"/>
      <c r="H15" s="55"/>
      <c r="I15" s="55"/>
      <c r="J15" s="55"/>
      <c r="K15" s="55"/>
      <c r="L15" s="55"/>
      <c r="M15" s="55"/>
      <c r="N15" s="55"/>
      <c r="O15" s="55"/>
      <c r="P15" s="56"/>
    </row>
    <row r="16" spans="1:20" x14ac:dyDescent="0.35">
      <c r="A16" s="58"/>
      <c r="B16" s="55"/>
      <c r="C16" s="55"/>
      <c r="D16" s="63" t="s">
        <v>1270</v>
      </c>
      <c r="E16" s="55"/>
      <c r="F16" s="55"/>
      <c r="G16" s="55"/>
      <c r="H16" s="55"/>
      <c r="I16" s="55"/>
      <c r="J16" s="55"/>
      <c r="K16" s="55"/>
      <c r="L16" s="55"/>
      <c r="M16" s="55"/>
      <c r="N16" s="55"/>
      <c r="O16" s="55"/>
      <c r="P16" s="56"/>
    </row>
    <row r="17" spans="1:16" x14ac:dyDescent="0.35">
      <c r="A17" s="58"/>
      <c r="B17" s="55"/>
      <c r="C17" s="55"/>
      <c r="D17" s="55"/>
      <c r="E17" s="55"/>
      <c r="F17" s="55"/>
      <c r="G17" s="55"/>
      <c r="H17" s="55"/>
      <c r="I17" s="55"/>
      <c r="J17" s="55"/>
      <c r="K17" s="55"/>
      <c r="L17" s="55"/>
      <c r="M17" s="55"/>
      <c r="N17" s="55"/>
      <c r="O17" s="55"/>
      <c r="P17" s="56"/>
    </row>
    <row r="18" spans="1:16" x14ac:dyDescent="0.35">
      <c r="A18" s="58"/>
      <c r="B18" s="55"/>
      <c r="C18" s="55"/>
      <c r="D18" s="55"/>
      <c r="E18" s="55"/>
      <c r="F18" s="55"/>
      <c r="G18" s="55"/>
      <c r="H18" s="55"/>
      <c r="I18" s="55"/>
      <c r="J18" s="55"/>
      <c r="K18" s="55"/>
      <c r="L18" s="55"/>
      <c r="M18" s="55"/>
      <c r="N18" s="55"/>
      <c r="O18" s="55"/>
      <c r="P18" s="56"/>
    </row>
    <row r="19" spans="1:16" ht="15" thickBot="1" x14ac:dyDescent="0.4">
      <c r="A19" s="64"/>
      <c r="B19" s="65"/>
      <c r="C19" s="65"/>
      <c r="D19" s="65"/>
      <c r="E19" s="65"/>
      <c r="F19" s="65"/>
      <c r="G19" s="65"/>
      <c r="H19" s="65"/>
      <c r="I19" s="65"/>
      <c r="J19" s="65"/>
      <c r="K19" s="65"/>
      <c r="L19" s="65"/>
      <c r="M19" s="65"/>
      <c r="N19" s="65"/>
      <c r="O19" s="65"/>
      <c r="P19" s="66"/>
    </row>
  </sheetData>
  <mergeCells count="1">
    <mergeCell ref="A1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Dataset</vt:lpstr>
      <vt:lpstr>Q1</vt:lpstr>
      <vt:lpstr>Q2</vt:lpstr>
      <vt:lpstr>Q3</vt:lpstr>
      <vt:lpstr>Q4</vt:lpstr>
      <vt:lpstr>Q5</vt:lpstr>
      <vt:lpstr>Q6</vt:lpstr>
      <vt:lpstr>Q7</vt:lpstr>
      <vt:lpstr>Q8</vt:lpstr>
      <vt:lpstr>Q9</vt:lpstr>
      <vt:lpstr>Q10</vt:lpstr>
      <vt:lpstr>Q11</vt:lpstr>
      <vt:lpstr>Q12</vt:lpstr>
      <vt:lpstr>Q13</vt:lpstr>
      <vt:lpstr>Q14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Singh</dc:creator>
  <cp:lastModifiedBy>Adarsh Singh</cp:lastModifiedBy>
  <dcterms:created xsi:type="dcterms:W3CDTF">2026-10-19T15:38:46Z</dcterms:created>
  <dcterms:modified xsi:type="dcterms:W3CDTF">2026-10-21T05:05:00Z</dcterms:modified>
</cp:coreProperties>
</file>