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Q1 &amp; Q2" sheetId="2" r:id="rId5"/>
    <sheet state="visible" name="Q3 " sheetId="3" r:id="rId6"/>
    <sheet state="visible" name="Q4 &amp; Q5" sheetId="4" r:id="rId7"/>
    <sheet state="visible" name="Q6 &amp; Q7" sheetId="5" r:id="rId8"/>
    <sheet state="visible" name="Q8 &amp; Q9" sheetId="6" r:id="rId9"/>
    <sheet state="visible" name="Q10,Q11 &amp;Q12" sheetId="7" r:id="rId10"/>
  </sheets>
  <definedNames/>
  <calcPr/>
  <extLst>
    <ext uri="GoogleSheetsCustomDataVersion2">
      <go:sheetsCustomData xmlns:go="http://customooxmlschemas.google.com/" r:id="rId11" roundtripDataChecksum="YeFW8Hzg24BV6cBoOSQW7KuB2adv2OFrkJWfEgSg8TA="/>
    </ext>
  </extLst>
</workbook>
</file>

<file path=xl/sharedStrings.xml><?xml version="1.0" encoding="utf-8"?>
<sst xmlns="http://schemas.openxmlformats.org/spreadsheetml/2006/main" count="4975" uniqueCount="322">
  <si>
    <t>Order_ID</t>
  </si>
  <si>
    <t>Customer_Name</t>
  </si>
  <si>
    <t>Product</t>
  </si>
  <si>
    <t>Order_Date</t>
  </si>
  <si>
    <t>Delivery_Date</t>
  </si>
  <si>
    <t>Quantity</t>
  </si>
  <si>
    <t>Price</t>
  </si>
  <si>
    <t>Region</t>
  </si>
  <si>
    <t>Status</t>
  </si>
  <si>
    <t>O001</t>
  </si>
  <si>
    <t>Sonal Reddy</t>
  </si>
  <si>
    <t>Keyboard</t>
  </si>
  <si>
    <t>14-Jan-2025</t>
  </si>
  <si>
    <t>25-Jan-2025</t>
  </si>
  <si>
    <t>West</t>
  </si>
  <si>
    <t>Cancelled</t>
  </si>
  <si>
    <t>O002</t>
  </si>
  <si>
    <t>Varun Iyer</t>
  </si>
  <si>
    <t>Monitor</t>
  </si>
  <si>
    <t>10-Jan-2025</t>
  </si>
  <si>
    <t>21-Jan-2025</t>
  </si>
  <si>
    <t>North</t>
  </si>
  <si>
    <t>Pending</t>
  </si>
  <si>
    <t>O003</t>
  </si>
  <si>
    <t>Arjun Kaur</t>
  </si>
  <si>
    <t>Smartwatch</t>
  </si>
  <si>
    <t>19-Feb-2025</t>
  </si>
  <si>
    <t>28-Feb-2025</t>
  </si>
  <si>
    <t>Delivered</t>
  </si>
  <si>
    <t>O004</t>
  </si>
  <si>
    <t>Pallavi Malhotra</t>
  </si>
  <si>
    <t>Sofa</t>
  </si>
  <si>
    <t>17-Jan-2025</t>
  </si>
  <si>
    <t>29-Jan-2025</t>
  </si>
  <si>
    <t>O005</t>
  </si>
  <si>
    <t>Divya Kulkarni</t>
  </si>
  <si>
    <t>04-Mar-2025</t>
  </si>
  <si>
    <t>10-Mar-2025</t>
  </si>
  <si>
    <t>O006</t>
  </si>
  <si>
    <t>Neha Malhotra</t>
  </si>
  <si>
    <t>Speaker</t>
  </si>
  <si>
    <t>08-Feb-2025</t>
  </si>
  <si>
    <t>13-Feb-2025</t>
  </si>
  <si>
    <t>O007</t>
  </si>
  <si>
    <t>Varun Gupta</t>
  </si>
  <si>
    <t>Desk</t>
  </si>
  <si>
    <t>06-Mar-2025</t>
  </si>
  <si>
    <t>19-Mar-2025</t>
  </si>
  <si>
    <t>South</t>
  </si>
  <si>
    <t>O008</t>
  </si>
  <si>
    <t>Rohan Vardhan</t>
  </si>
  <si>
    <t>28-Jan-2025</t>
  </si>
  <si>
    <t>11-Feb-2025</t>
  </si>
  <si>
    <t>O009</t>
  </si>
  <si>
    <t>Aman Kaur</t>
  </si>
  <si>
    <t>Chair</t>
  </si>
  <si>
    <t>10-Feb-2025</t>
  </si>
  <si>
    <t>O010</t>
  </si>
  <si>
    <t>Ravi Yadav</t>
  </si>
  <si>
    <t>Tablet</t>
  </si>
  <si>
    <t>31-Jan-2025</t>
  </si>
  <si>
    <t>14-Feb-2025</t>
  </si>
  <si>
    <t>East</t>
  </si>
  <si>
    <t>O011</t>
  </si>
  <si>
    <t>Kunal Menon</t>
  </si>
  <si>
    <t>13-Mar-2025</t>
  </si>
  <si>
    <t>O012</t>
  </si>
  <si>
    <t>Nitin Malhotra</t>
  </si>
  <si>
    <t>04-Feb-2025</t>
  </si>
  <si>
    <t>15-Feb-2025</t>
  </si>
  <si>
    <t>O013</t>
  </si>
  <si>
    <t>Kavita Shah</t>
  </si>
  <si>
    <t>15-Jan-2025</t>
  </si>
  <si>
    <t>23-Jan-2025</t>
  </si>
  <si>
    <t>O014</t>
  </si>
  <si>
    <t>Mohit Menon</t>
  </si>
  <si>
    <t>11-Mar-2025</t>
  </si>
  <si>
    <t>24-Mar-2025</t>
  </si>
  <si>
    <t>O015</t>
  </si>
  <si>
    <t>Neeraj Das</t>
  </si>
  <si>
    <t>07-Jan-2025</t>
  </si>
  <si>
    <t>12-Jan-2025</t>
  </si>
  <si>
    <t>O016</t>
  </si>
  <si>
    <t>Pooja Kaur</t>
  </si>
  <si>
    <t>O017</t>
  </si>
  <si>
    <t>Rahul Desai</t>
  </si>
  <si>
    <t>Bed</t>
  </si>
  <si>
    <t>O018</t>
  </si>
  <si>
    <t>Rohit Patil</t>
  </si>
  <si>
    <t>18-Jan-2025</t>
  </si>
  <si>
    <t>O019</t>
  </si>
  <si>
    <t>Mohit Khan</t>
  </si>
  <si>
    <t>Laptop</t>
  </si>
  <si>
    <t>05-Mar-2025</t>
  </si>
  <si>
    <t>07-Mar-2025</t>
  </si>
  <si>
    <t>O020</t>
  </si>
  <si>
    <t>Ritu Malhotra</t>
  </si>
  <si>
    <t>Table</t>
  </si>
  <si>
    <t>23-Feb-2025</t>
  </si>
  <si>
    <t>O021</t>
  </si>
  <si>
    <t>Arjun Vardhan</t>
  </si>
  <si>
    <t>20-Jan-2025</t>
  </si>
  <si>
    <t>O022</t>
  </si>
  <si>
    <t>Rashmi Shah</t>
  </si>
  <si>
    <t>05-Jan-2025</t>
  </si>
  <si>
    <t>16-Jan-2025</t>
  </si>
  <si>
    <t>O023</t>
  </si>
  <si>
    <t>Ritu Joshi</t>
  </si>
  <si>
    <t>26-Feb-2025</t>
  </si>
  <si>
    <t>O024</t>
  </si>
  <si>
    <t>Aman Menon</t>
  </si>
  <si>
    <t>14-Mar-2025</t>
  </si>
  <si>
    <t>O025</t>
  </si>
  <si>
    <t>Karan Sharma</t>
  </si>
  <si>
    <t>Cabinet</t>
  </si>
  <si>
    <t>11-Jan-2025</t>
  </si>
  <si>
    <t>O026</t>
  </si>
  <si>
    <t>Tina Jain</t>
  </si>
  <si>
    <t>27-Feb-2025</t>
  </si>
  <si>
    <t>O027</t>
  </si>
  <si>
    <t>Shalini Patel</t>
  </si>
  <si>
    <t>O028</t>
  </si>
  <si>
    <t>Priya Kumar</t>
  </si>
  <si>
    <t>Mouse</t>
  </si>
  <si>
    <t>05-Feb-2025</t>
  </si>
  <si>
    <t>O029</t>
  </si>
  <si>
    <t>Nitin Sinha</t>
  </si>
  <si>
    <t>01-Mar-2025</t>
  </si>
  <si>
    <t>O030</t>
  </si>
  <si>
    <t>Dev Iyer</t>
  </si>
  <si>
    <t>09-Jan-2025</t>
  </si>
  <si>
    <t>O031</t>
  </si>
  <si>
    <t>Vikram Joshi</t>
  </si>
  <si>
    <t>24-Jan-2025</t>
  </si>
  <si>
    <t>26-Jan-2025</t>
  </si>
  <si>
    <t>O032</t>
  </si>
  <si>
    <t>Sachin Sinha</t>
  </si>
  <si>
    <t>12-Feb-2025</t>
  </si>
  <si>
    <t>17-Feb-2025</t>
  </si>
  <si>
    <t>O033</t>
  </si>
  <si>
    <t>Simran Singh</t>
  </si>
  <si>
    <t>O034</t>
  </si>
  <si>
    <t>Varun Joshi</t>
  </si>
  <si>
    <t>17-Mar-2025</t>
  </si>
  <si>
    <t>O035</t>
  </si>
  <si>
    <t>Neha Tiwari</t>
  </si>
  <si>
    <t>O036</t>
  </si>
  <si>
    <t>Mohit Roy</t>
  </si>
  <si>
    <t>22-Mar-2025</t>
  </si>
  <si>
    <t>O037</t>
  </si>
  <si>
    <t>Kavita Khan</t>
  </si>
  <si>
    <t>21-Feb-2025</t>
  </si>
  <si>
    <t>O038</t>
  </si>
  <si>
    <t>Nupur Shah</t>
  </si>
  <si>
    <t>O039</t>
  </si>
  <si>
    <t>Sunita Vardhan</t>
  </si>
  <si>
    <t>04-Jan-2025</t>
  </si>
  <si>
    <t>O040</t>
  </si>
  <si>
    <t>Manish Tiwari</t>
  </si>
  <si>
    <t>02-Jan-2025</t>
  </si>
  <si>
    <t>O041</t>
  </si>
  <si>
    <t>Sunita Iyer</t>
  </si>
  <si>
    <t>25-Feb-2025</t>
  </si>
  <si>
    <t>O042</t>
  </si>
  <si>
    <t>Karan Sinha</t>
  </si>
  <si>
    <t>01-Feb-2025</t>
  </si>
  <si>
    <t>O043</t>
  </si>
  <si>
    <t>Deepak Sharma</t>
  </si>
  <si>
    <t>22-Feb-2025</t>
  </si>
  <si>
    <t>O044</t>
  </si>
  <si>
    <t>Kiran Sinha</t>
  </si>
  <si>
    <t>08-Jan-2025</t>
  </si>
  <si>
    <t>O045</t>
  </si>
  <si>
    <t>Geeta Kumar</t>
  </si>
  <si>
    <t>O046</t>
  </si>
  <si>
    <t>Riya Desai</t>
  </si>
  <si>
    <t>O047</t>
  </si>
  <si>
    <t>Divya Reddy</t>
  </si>
  <si>
    <t>O048</t>
  </si>
  <si>
    <t>Karthik Gupta</t>
  </si>
  <si>
    <t>08-Mar-2025</t>
  </si>
  <si>
    <t>20-Mar-2025</t>
  </si>
  <si>
    <t>O049</t>
  </si>
  <si>
    <t>O050</t>
  </si>
  <si>
    <t>Rohan Kumar</t>
  </si>
  <si>
    <t>Headphones</t>
  </si>
  <si>
    <t>O051</t>
  </si>
  <si>
    <t>Karthik Khan</t>
  </si>
  <si>
    <t>03-Mar-2025</t>
  </si>
  <si>
    <t>O052</t>
  </si>
  <si>
    <t>Megha Menon</t>
  </si>
  <si>
    <t>20-Feb-2025</t>
  </si>
  <si>
    <t>O053</t>
  </si>
  <si>
    <t>Karthik Desai</t>
  </si>
  <si>
    <t>O054</t>
  </si>
  <si>
    <t>Pallavi Vardhan</t>
  </si>
  <si>
    <t>16-Mar-2025</t>
  </si>
  <si>
    <t>O055</t>
  </si>
  <si>
    <t>Ravi Tiwari</t>
  </si>
  <si>
    <t>Phone</t>
  </si>
  <si>
    <t>02-Mar-2025</t>
  </si>
  <si>
    <t>O056</t>
  </si>
  <si>
    <t>Varun Kumar</t>
  </si>
  <si>
    <t>01-Jan-2025</t>
  </si>
  <si>
    <t>O057</t>
  </si>
  <si>
    <t>Rahul Arora</t>
  </si>
  <si>
    <t>09-Feb-2025</t>
  </si>
  <si>
    <t>18-Feb-2025</t>
  </si>
  <si>
    <t>O058</t>
  </si>
  <si>
    <t>Ravi Desai</t>
  </si>
  <si>
    <t>O059</t>
  </si>
  <si>
    <t>Suraj Gupta</t>
  </si>
  <si>
    <t>O060</t>
  </si>
  <si>
    <t>Neha Kumar</t>
  </si>
  <si>
    <t>O061</t>
  </si>
  <si>
    <t>Alok Iyer</t>
  </si>
  <si>
    <t>O062</t>
  </si>
  <si>
    <t>Rohan Patil</t>
  </si>
  <si>
    <t>O063</t>
  </si>
  <si>
    <t>Pallavi Patel</t>
  </si>
  <si>
    <t>O064</t>
  </si>
  <si>
    <t>Geeta Tiwari</t>
  </si>
  <si>
    <t>03-Feb-2025</t>
  </si>
  <si>
    <t>16-Feb-2025</t>
  </si>
  <si>
    <t>O065</t>
  </si>
  <si>
    <t>Kavita Singh</t>
  </si>
  <si>
    <t>O066</t>
  </si>
  <si>
    <t>Vikram Sharma</t>
  </si>
  <si>
    <t>21-Mar-2025</t>
  </si>
  <si>
    <t>O067</t>
  </si>
  <si>
    <t>Simran Agarwal</t>
  </si>
  <si>
    <t>09-Mar-2025</t>
  </si>
  <si>
    <t>O068</t>
  </si>
  <si>
    <t>Kavita Kumar</t>
  </si>
  <si>
    <t>O069</t>
  </si>
  <si>
    <t>Shalini Shah</t>
  </si>
  <si>
    <t>O070</t>
  </si>
  <si>
    <t>Aman Agarwal</t>
  </si>
  <si>
    <t>O071</t>
  </si>
  <si>
    <t>Ajay Nair</t>
  </si>
  <si>
    <t>O072</t>
  </si>
  <si>
    <t>Rashmi Agarwal</t>
  </si>
  <si>
    <t>O073</t>
  </si>
  <si>
    <t>Ankit Menon</t>
  </si>
  <si>
    <t>24-Feb-2025</t>
  </si>
  <si>
    <t>O074</t>
  </si>
  <si>
    <t>Ajay Vardhan</t>
  </si>
  <si>
    <t>O075</t>
  </si>
  <si>
    <t>Ankit Reddy</t>
  </si>
  <si>
    <t>O076</t>
  </si>
  <si>
    <t>Rohan Tiwari</t>
  </si>
  <si>
    <t>12-Mar-2025</t>
  </si>
  <si>
    <t>O077</t>
  </si>
  <si>
    <t>Amit Singh</t>
  </si>
  <si>
    <t>O078</t>
  </si>
  <si>
    <t>Ankit Kumar</t>
  </si>
  <si>
    <t>O079</t>
  </si>
  <si>
    <t>Ajay Roy</t>
  </si>
  <si>
    <t>O080</t>
  </si>
  <si>
    <t>Sneha Khan</t>
  </si>
  <si>
    <t>O081</t>
  </si>
  <si>
    <t>Aditya Vardhan</t>
  </si>
  <si>
    <t>O082</t>
  </si>
  <si>
    <t>Rashmi Das</t>
  </si>
  <si>
    <t>O083</t>
  </si>
  <si>
    <t>Sneha Gupta</t>
  </si>
  <si>
    <t>O084</t>
  </si>
  <si>
    <t>Tina Shah</t>
  </si>
  <si>
    <t>O085</t>
  </si>
  <si>
    <t>Mohit Gupta</t>
  </si>
  <si>
    <t>O086</t>
  </si>
  <si>
    <t>rashmi Gupta</t>
  </si>
  <si>
    <t>O087</t>
  </si>
  <si>
    <t>Rohit kulkarni</t>
  </si>
  <si>
    <t>O088</t>
  </si>
  <si>
    <t>AMIT Patil</t>
  </si>
  <si>
    <t>O089</t>
  </si>
  <si>
    <t>Shalini Joshi</t>
  </si>
  <si>
    <t>O090</t>
  </si>
  <si>
    <t>Neha Iyer</t>
  </si>
  <si>
    <t>O091</t>
  </si>
  <si>
    <t>Nisha Shah</t>
  </si>
  <si>
    <t>O092</t>
  </si>
  <si>
    <t>ROHIT KHAN</t>
  </si>
  <si>
    <t>O093</t>
  </si>
  <si>
    <t>Preeti Reddy</t>
  </si>
  <si>
    <t>O094</t>
  </si>
  <si>
    <t>Neeraj Khan</t>
  </si>
  <si>
    <t>O095</t>
  </si>
  <si>
    <t>MeGha Menon</t>
  </si>
  <si>
    <t>27-Jan-2025</t>
  </si>
  <si>
    <t>O096</t>
  </si>
  <si>
    <t>NeeRAJ Mehta</t>
  </si>
  <si>
    <t>O097</t>
  </si>
  <si>
    <t>Deepak Reddy</t>
  </si>
  <si>
    <t>22-Jan-2025</t>
  </si>
  <si>
    <t>O098</t>
  </si>
  <si>
    <t>Mohit nair</t>
  </si>
  <si>
    <t>O099</t>
  </si>
  <si>
    <t>Ritu Reddy</t>
  </si>
  <si>
    <t>O100</t>
  </si>
  <si>
    <t>GEEta Reddy</t>
  </si>
  <si>
    <t>Order</t>
  </si>
  <si>
    <t>First Name</t>
  </si>
  <si>
    <t>Rashmi Gupta</t>
  </si>
  <si>
    <t>Rohit Kulkarni</t>
  </si>
  <si>
    <t>Amit Patil</t>
  </si>
  <si>
    <t>Rohit Khan</t>
  </si>
  <si>
    <t>Megha Mehta</t>
  </si>
  <si>
    <t>Neeraj Mehta</t>
  </si>
  <si>
    <t>Mohit Nair</t>
  </si>
  <si>
    <t>Geeta Reddy</t>
  </si>
  <si>
    <t>Proper_Customer_Name</t>
  </si>
  <si>
    <t>delivery duration (in days)</t>
  </si>
  <si>
    <t>Delivery_Status</t>
  </si>
  <si>
    <t>Order_Validation</t>
  </si>
  <si>
    <t>Customer_Region</t>
  </si>
  <si>
    <t>Order_number</t>
  </si>
  <si>
    <t>Product_Category</t>
  </si>
  <si>
    <t>Order_Aging_Months</t>
  </si>
  <si>
    <t>Order_Validation_Status</t>
  </si>
  <si>
    <t>Order_Status_Message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</si>
</sst>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66"/>
        <bgColor rgb="FFFFFF66"/>
      </patternFill>
    </fill>
    <fill>
      <patternFill patternType="solid">
        <fgColor rgb="FFFBD4B4"/>
        <bgColor rgb="FFFBD4B4"/>
      </patternFill>
    </fill>
    <fill>
      <patternFill patternType="solid">
        <fgColor rgb="FFFF99FF"/>
        <bgColor rgb="FFFF99FF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D99594"/>
        <bgColor rgb="FFD99594"/>
      </patternFill>
    </fill>
    <fill>
      <patternFill patternType="solid">
        <fgColor rgb="FFC4BD97"/>
        <bgColor rgb="FFC4BD97"/>
      </patternFill>
    </fill>
    <fill>
      <patternFill patternType="solid">
        <fgColor rgb="FF92CDDC"/>
        <bgColor rgb="FF92CD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2" fontId="1" numFmtId="0" xfId="0" applyAlignment="1" applyBorder="1" applyFill="1" applyFont="1">
      <alignment horizontal="center" vertical="top"/>
    </xf>
    <xf borderId="4" fillId="3" fontId="1" numFmtId="0" xfId="0" applyAlignment="1" applyBorder="1" applyFill="1" applyFont="1">
      <alignment horizontal="center" vertical="top"/>
    </xf>
    <xf borderId="5" fillId="2" fontId="3" numFmtId="0" xfId="0" applyBorder="1" applyFont="1"/>
    <xf borderId="5" fillId="3" fontId="3" numFmtId="0" xfId="0" applyBorder="1" applyFont="1"/>
    <xf borderId="6" fillId="4" fontId="1" numFmtId="0" xfId="0" applyAlignment="1" applyBorder="1" applyFill="1" applyFont="1">
      <alignment horizontal="center" vertical="top"/>
    </xf>
    <xf borderId="5" fillId="4" fontId="3" numFmtId="0" xfId="0" applyBorder="1" applyFont="1"/>
    <xf borderId="4" fillId="5" fontId="1" numFmtId="0" xfId="0" applyAlignment="1" applyBorder="1" applyFill="1" applyFont="1">
      <alignment horizontal="center" vertical="top"/>
    </xf>
    <xf borderId="4" fillId="6" fontId="1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/>
    </xf>
    <xf borderId="5" fillId="6" fontId="3" numFmtId="0" xfId="0" applyBorder="1" applyFont="1"/>
    <xf borderId="0" fillId="0" fontId="3" numFmtId="0" xfId="0" applyAlignment="1" applyFont="1">
      <alignment horizontal="center"/>
    </xf>
    <xf borderId="4" fillId="7" fontId="1" numFmtId="0" xfId="0" applyAlignment="1" applyBorder="1" applyFill="1" applyFont="1">
      <alignment horizontal="center" vertical="top"/>
    </xf>
    <xf borderId="7" fillId="8" fontId="1" numFmtId="0" xfId="0" applyBorder="1" applyFill="1" applyFont="1"/>
    <xf borderId="5" fillId="7" fontId="3" numFmtId="0" xfId="0" applyBorder="1" applyFont="1"/>
    <xf borderId="5" fillId="8" fontId="3" numFmtId="0" xfId="0" applyBorder="1" applyFont="1"/>
    <xf borderId="4" fillId="9" fontId="1" numFmtId="0" xfId="0" applyAlignment="1" applyBorder="1" applyFill="1" applyFont="1">
      <alignment horizontal="center" vertical="top"/>
    </xf>
    <xf borderId="4" fillId="10" fontId="1" numFmtId="0" xfId="0" applyAlignment="1" applyBorder="1" applyFill="1" applyFont="1">
      <alignment horizontal="center" vertical="top"/>
    </xf>
    <xf borderId="5" fillId="9" fontId="3" numFmtId="0" xfId="0" applyBorder="1" applyFont="1"/>
    <xf borderId="5" fillId="10" fontId="3" numFmtId="0" xfId="0" applyBorder="1" applyFont="1"/>
    <xf borderId="5" fillId="6" fontId="1" numFmtId="0" xfId="0" applyAlignment="1" applyBorder="1" applyFont="1">
      <alignment horizontal="center" vertical="top"/>
    </xf>
    <xf borderId="5" fillId="3" fontId="1" numFmtId="0" xfId="0" applyAlignment="1" applyBorder="1" applyFont="1">
      <alignment horizontal="center" vertical="top"/>
    </xf>
    <xf borderId="5" fillId="11" fontId="1" numFmtId="0" xfId="0" applyBorder="1" applyFill="1" applyFont="1"/>
    <xf borderId="5" fillId="11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7.29"/>
    <col customWidth="1" min="4" max="4" width="14.29"/>
    <col customWidth="1" min="5" max="5" width="12.14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>
        <v>1.0</v>
      </c>
      <c r="G2" s="2">
        <v>9497.0</v>
      </c>
      <c r="H2" s="2" t="s">
        <v>14</v>
      </c>
      <c r="I2" s="2" t="s">
        <v>15</v>
      </c>
    </row>
    <row r="3" ht="14.25" customHeight="1">
      <c r="A3" s="2" t="s">
        <v>16</v>
      </c>
      <c r="B3" s="4" t="s">
        <v>17</v>
      </c>
      <c r="C3" s="2" t="s">
        <v>18</v>
      </c>
      <c r="D3" s="2" t="s">
        <v>19</v>
      </c>
      <c r="E3" s="2" t="s">
        <v>20</v>
      </c>
      <c r="F3" s="2">
        <v>1.0</v>
      </c>
      <c r="G3" s="2">
        <v>8232.0</v>
      </c>
      <c r="H3" s="2" t="s">
        <v>21</v>
      </c>
      <c r="I3" s="2" t="s">
        <v>22</v>
      </c>
    </row>
    <row r="4" ht="14.25" customHeight="1">
      <c r="A4" s="2" t="s">
        <v>23</v>
      </c>
      <c r="B4" s="4" t="s">
        <v>24</v>
      </c>
      <c r="C4" s="2" t="s">
        <v>25</v>
      </c>
      <c r="D4" s="2" t="s">
        <v>26</v>
      </c>
      <c r="E4" s="2" t="s">
        <v>27</v>
      </c>
      <c r="F4" s="2">
        <v>1.0</v>
      </c>
      <c r="G4" s="2">
        <v>12436.0</v>
      </c>
      <c r="H4" s="2" t="s">
        <v>14</v>
      </c>
      <c r="I4" s="2" t="s">
        <v>28</v>
      </c>
    </row>
    <row r="5" ht="14.25" customHeight="1">
      <c r="A5" s="2" t="s">
        <v>29</v>
      </c>
      <c r="B5" s="4" t="s">
        <v>30</v>
      </c>
      <c r="C5" s="2" t="s">
        <v>31</v>
      </c>
      <c r="D5" s="2" t="s">
        <v>32</v>
      </c>
      <c r="E5" s="2" t="s">
        <v>33</v>
      </c>
      <c r="F5" s="2">
        <v>3.0</v>
      </c>
      <c r="G5" s="2">
        <v>38830.0</v>
      </c>
      <c r="H5" s="2" t="s">
        <v>21</v>
      </c>
      <c r="I5" s="2" t="s">
        <v>28</v>
      </c>
    </row>
    <row r="6" ht="14.25" customHeight="1">
      <c r="A6" s="2" t="s">
        <v>34</v>
      </c>
      <c r="B6" s="4" t="s">
        <v>35</v>
      </c>
      <c r="C6" s="2" t="s">
        <v>18</v>
      </c>
      <c r="D6" s="2" t="s">
        <v>36</v>
      </c>
      <c r="E6" s="2" t="s">
        <v>37</v>
      </c>
      <c r="F6" s="2">
        <v>2.0</v>
      </c>
      <c r="G6" s="2">
        <v>7193.0</v>
      </c>
      <c r="H6" s="2" t="s">
        <v>14</v>
      </c>
      <c r="I6" s="2" t="s">
        <v>22</v>
      </c>
    </row>
    <row r="7" ht="14.25" customHeight="1">
      <c r="A7" s="2" t="s">
        <v>38</v>
      </c>
      <c r="B7" s="4" t="s">
        <v>39</v>
      </c>
      <c r="C7" s="2" t="s">
        <v>40</v>
      </c>
      <c r="D7" s="2" t="s">
        <v>41</v>
      </c>
      <c r="E7" s="2" t="s">
        <v>42</v>
      </c>
      <c r="F7" s="2">
        <v>5.0</v>
      </c>
      <c r="G7" s="2">
        <v>36419.0</v>
      </c>
      <c r="H7" s="2" t="s">
        <v>14</v>
      </c>
      <c r="I7" s="2" t="s">
        <v>28</v>
      </c>
    </row>
    <row r="8" ht="14.25" customHeight="1">
      <c r="A8" s="2" t="s">
        <v>43</v>
      </c>
      <c r="B8" s="4" t="s">
        <v>44</v>
      </c>
      <c r="C8" s="2" t="s">
        <v>45</v>
      </c>
      <c r="D8" s="2" t="s">
        <v>46</v>
      </c>
      <c r="E8" s="2" t="s">
        <v>47</v>
      </c>
      <c r="F8" s="2">
        <v>3.0</v>
      </c>
      <c r="G8" s="2">
        <v>6681.0</v>
      </c>
      <c r="H8" s="2" t="s">
        <v>48</v>
      </c>
      <c r="I8" s="2" t="s">
        <v>22</v>
      </c>
    </row>
    <row r="9" ht="14.25" customHeight="1">
      <c r="A9" s="2" t="s">
        <v>49</v>
      </c>
      <c r="B9" s="4" t="s">
        <v>50</v>
      </c>
      <c r="C9" s="2" t="s">
        <v>31</v>
      </c>
      <c r="D9" s="2" t="s">
        <v>51</v>
      </c>
      <c r="E9" s="2" t="s">
        <v>52</v>
      </c>
      <c r="F9" s="2">
        <v>5.0</v>
      </c>
      <c r="G9" s="2">
        <v>59258.0</v>
      </c>
      <c r="H9" s="2" t="s">
        <v>14</v>
      </c>
      <c r="I9" s="2" t="s">
        <v>15</v>
      </c>
    </row>
    <row r="10" ht="14.25" customHeight="1">
      <c r="A10" s="2" t="s">
        <v>53</v>
      </c>
      <c r="B10" s="4" t="s">
        <v>54</v>
      </c>
      <c r="C10" s="2" t="s">
        <v>55</v>
      </c>
      <c r="D10" s="2" t="s">
        <v>33</v>
      </c>
      <c r="E10" s="2" t="s">
        <v>56</v>
      </c>
      <c r="F10" s="2">
        <v>5.0</v>
      </c>
      <c r="G10" s="2">
        <v>53392.0</v>
      </c>
      <c r="H10" s="2" t="s">
        <v>48</v>
      </c>
      <c r="I10" s="2" t="s">
        <v>22</v>
      </c>
    </row>
    <row r="11" ht="14.25" customHeight="1">
      <c r="A11" s="2" t="s">
        <v>57</v>
      </c>
      <c r="B11" s="4" t="s">
        <v>58</v>
      </c>
      <c r="C11" s="2" t="s">
        <v>59</v>
      </c>
      <c r="D11" s="2" t="s">
        <v>60</v>
      </c>
      <c r="E11" s="2" t="s">
        <v>61</v>
      </c>
      <c r="F11" s="2">
        <v>5.0</v>
      </c>
      <c r="G11" s="2">
        <v>52334.0</v>
      </c>
      <c r="H11" s="2" t="s">
        <v>62</v>
      </c>
      <c r="I11" s="2" t="s">
        <v>22</v>
      </c>
    </row>
    <row r="12" ht="14.25" customHeight="1">
      <c r="A12" s="2" t="s">
        <v>63</v>
      </c>
      <c r="B12" s="4" t="s">
        <v>64</v>
      </c>
      <c r="C12" s="2" t="s">
        <v>18</v>
      </c>
      <c r="D12" s="2" t="s">
        <v>46</v>
      </c>
      <c r="E12" s="2" t="s">
        <v>65</v>
      </c>
      <c r="F12" s="2">
        <v>2.0</v>
      </c>
      <c r="G12" s="2">
        <v>50550.0</v>
      </c>
      <c r="H12" s="2" t="s">
        <v>62</v>
      </c>
      <c r="I12" s="2" t="s">
        <v>28</v>
      </c>
    </row>
    <row r="13" ht="14.25" customHeight="1">
      <c r="A13" s="2" t="s">
        <v>66</v>
      </c>
      <c r="B13" s="4" t="s">
        <v>67</v>
      </c>
      <c r="C13" s="2" t="s">
        <v>45</v>
      </c>
      <c r="D13" s="2" t="s">
        <v>68</v>
      </c>
      <c r="E13" s="2" t="s">
        <v>69</v>
      </c>
      <c r="F13" s="2">
        <v>2.0</v>
      </c>
      <c r="G13" s="2">
        <v>69030.0</v>
      </c>
      <c r="H13" s="2" t="s">
        <v>48</v>
      </c>
      <c r="I13" s="2" t="s">
        <v>28</v>
      </c>
    </row>
    <row r="14" ht="14.25" customHeight="1">
      <c r="A14" s="2" t="s">
        <v>70</v>
      </c>
      <c r="B14" s="4" t="s">
        <v>71</v>
      </c>
      <c r="C14" s="2" t="s">
        <v>40</v>
      </c>
      <c r="D14" s="2" t="s">
        <v>72</v>
      </c>
      <c r="E14" s="2" t="s">
        <v>73</v>
      </c>
      <c r="F14" s="2">
        <v>4.0</v>
      </c>
      <c r="G14" s="2">
        <v>50709.0</v>
      </c>
      <c r="H14" s="2" t="s">
        <v>21</v>
      </c>
      <c r="I14" s="2" t="s">
        <v>22</v>
      </c>
    </row>
    <row r="15" ht="14.25" customHeight="1">
      <c r="A15" s="2" t="s">
        <v>74</v>
      </c>
      <c r="B15" s="4" t="s">
        <v>75</v>
      </c>
      <c r="C15" s="2" t="s">
        <v>11</v>
      </c>
      <c r="D15" s="2" t="s">
        <v>76</v>
      </c>
      <c r="E15" s="2" t="s">
        <v>77</v>
      </c>
      <c r="F15" s="2">
        <v>6.0</v>
      </c>
      <c r="G15" s="2">
        <v>48808.0</v>
      </c>
      <c r="H15" s="2" t="s">
        <v>62</v>
      </c>
      <c r="I15" s="2" t="s">
        <v>28</v>
      </c>
    </row>
    <row r="16" ht="14.25" customHeight="1">
      <c r="A16" s="2" t="s">
        <v>78</v>
      </c>
      <c r="B16" s="4" t="s">
        <v>79</v>
      </c>
      <c r="C16" s="2" t="s">
        <v>18</v>
      </c>
      <c r="D16" s="2" t="s">
        <v>80</v>
      </c>
      <c r="E16" s="2" t="s">
        <v>81</v>
      </c>
      <c r="F16" s="2">
        <v>1.0</v>
      </c>
      <c r="G16" s="2">
        <v>65648.0</v>
      </c>
      <c r="H16" s="2" t="s">
        <v>14</v>
      </c>
      <c r="I16" s="2" t="s">
        <v>28</v>
      </c>
    </row>
    <row r="17" ht="14.25" customHeight="1">
      <c r="A17" s="2" t="s">
        <v>82</v>
      </c>
      <c r="B17" s="4" t="s">
        <v>83</v>
      </c>
      <c r="C17" s="2" t="s">
        <v>45</v>
      </c>
      <c r="D17" s="2" t="s">
        <v>32</v>
      </c>
      <c r="E17" s="2" t="s">
        <v>60</v>
      </c>
      <c r="F17" s="2">
        <v>4.0</v>
      </c>
      <c r="G17" s="2">
        <v>3975.0</v>
      </c>
      <c r="H17" s="2" t="s">
        <v>48</v>
      </c>
      <c r="I17" s="2" t="s">
        <v>22</v>
      </c>
    </row>
    <row r="18" ht="14.25" customHeight="1">
      <c r="A18" s="2" t="s">
        <v>84</v>
      </c>
      <c r="B18" s="4" t="s">
        <v>85</v>
      </c>
      <c r="C18" s="2" t="s">
        <v>86</v>
      </c>
      <c r="D18" s="2" t="s">
        <v>19</v>
      </c>
      <c r="E18" s="2" t="s">
        <v>72</v>
      </c>
      <c r="F18" s="2">
        <v>4.0</v>
      </c>
      <c r="G18" s="2">
        <v>56724.0</v>
      </c>
      <c r="H18" s="2" t="s">
        <v>62</v>
      </c>
      <c r="I18" s="2" t="s">
        <v>28</v>
      </c>
    </row>
    <row r="19" ht="14.25" customHeight="1">
      <c r="A19" s="2" t="s">
        <v>87</v>
      </c>
      <c r="B19" s="4" t="s">
        <v>88</v>
      </c>
      <c r="C19" s="2" t="s">
        <v>86</v>
      </c>
      <c r="D19" s="2" t="s">
        <v>80</v>
      </c>
      <c r="E19" s="2" t="s">
        <v>89</v>
      </c>
      <c r="F19" s="2">
        <v>2.0</v>
      </c>
      <c r="G19" s="2">
        <v>42861.0</v>
      </c>
      <c r="H19" s="2" t="s">
        <v>14</v>
      </c>
      <c r="I19" s="2" t="s">
        <v>22</v>
      </c>
    </row>
    <row r="20" ht="14.25" customHeight="1">
      <c r="A20" s="2" t="s">
        <v>90</v>
      </c>
      <c r="B20" s="4" t="s">
        <v>91</v>
      </c>
      <c r="C20" s="2" t="s">
        <v>92</v>
      </c>
      <c r="D20" s="2" t="s">
        <v>93</v>
      </c>
      <c r="E20" s="2" t="s">
        <v>94</v>
      </c>
      <c r="F20" s="2">
        <v>2.0</v>
      </c>
      <c r="G20" s="2">
        <v>47994.0</v>
      </c>
      <c r="H20" s="2" t="s">
        <v>48</v>
      </c>
      <c r="I20" s="2" t="s">
        <v>22</v>
      </c>
    </row>
    <row r="21" ht="14.25" customHeight="1">
      <c r="A21" s="2" t="s">
        <v>95</v>
      </c>
      <c r="B21" s="4" t="s">
        <v>96</v>
      </c>
      <c r="C21" s="2" t="s">
        <v>97</v>
      </c>
      <c r="D21" s="2" t="s">
        <v>41</v>
      </c>
      <c r="E21" s="2" t="s">
        <v>98</v>
      </c>
      <c r="F21" s="2">
        <v>4.0</v>
      </c>
      <c r="G21" s="2">
        <v>31475.0</v>
      </c>
      <c r="H21" s="2" t="s">
        <v>21</v>
      </c>
      <c r="I21" s="2" t="s">
        <v>22</v>
      </c>
    </row>
    <row r="22" ht="14.25" customHeight="1">
      <c r="A22" s="2" t="s">
        <v>99</v>
      </c>
      <c r="B22" s="4" t="s">
        <v>100</v>
      </c>
      <c r="C22" s="2" t="s">
        <v>55</v>
      </c>
      <c r="D22" s="2" t="s">
        <v>101</v>
      </c>
      <c r="E22" s="2" t="s">
        <v>33</v>
      </c>
      <c r="F22" s="2">
        <v>3.0</v>
      </c>
      <c r="G22" s="2">
        <v>40383.0</v>
      </c>
      <c r="H22" s="2" t="s">
        <v>62</v>
      </c>
      <c r="I22" s="2" t="s">
        <v>28</v>
      </c>
    </row>
    <row r="23" ht="14.25" customHeight="1">
      <c r="A23" s="2" t="s">
        <v>102</v>
      </c>
      <c r="B23" s="4" t="s">
        <v>103</v>
      </c>
      <c r="C23" s="2" t="s">
        <v>18</v>
      </c>
      <c r="D23" s="2" t="s">
        <v>104</v>
      </c>
      <c r="E23" s="2" t="s">
        <v>105</v>
      </c>
      <c r="F23" s="2">
        <v>1.0</v>
      </c>
      <c r="G23" s="2">
        <v>20536.0</v>
      </c>
      <c r="H23" s="2" t="s">
        <v>62</v>
      </c>
      <c r="I23" s="2" t="s">
        <v>28</v>
      </c>
    </row>
    <row r="24" ht="14.25" customHeight="1">
      <c r="A24" s="2" t="s">
        <v>106</v>
      </c>
      <c r="B24" s="4" t="s">
        <v>107</v>
      </c>
      <c r="C24" s="2" t="s">
        <v>31</v>
      </c>
      <c r="D24" s="2" t="s">
        <v>108</v>
      </c>
      <c r="E24" s="2" t="s">
        <v>36</v>
      </c>
      <c r="F24" s="2">
        <v>1.0</v>
      </c>
      <c r="G24" s="2">
        <v>30227.0</v>
      </c>
      <c r="H24" s="2" t="s">
        <v>21</v>
      </c>
      <c r="I24" s="2" t="s">
        <v>22</v>
      </c>
    </row>
    <row r="25" ht="14.25" customHeight="1">
      <c r="A25" s="2" t="s">
        <v>109</v>
      </c>
      <c r="B25" s="4" t="s">
        <v>110</v>
      </c>
      <c r="C25" s="2" t="s">
        <v>40</v>
      </c>
      <c r="D25" s="2" t="s">
        <v>93</v>
      </c>
      <c r="E25" s="2" t="s">
        <v>111</v>
      </c>
      <c r="F25" s="2">
        <v>3.0</v>
      </c>
      <c r="G25" s="2">
        <v>27921.0</v>
      </c>
      <c r="H25" s="2" t="s">
        <v>21</v>
      </c>
      <c r="I25" s="2" t="s">
        <v>28</v>
      </c>
    </row>
    <row r="26" ht="14.25" customHeight="1">
      <c r="A26" s="2" t="s">
        <v>112</v>
      </c>
      <c r="B26" s="4" t="s">
        <v>113</v>
      </c>
      <c r="C26" s="2" t="s">
        <v>114</v>
      </c>
      <c r="D26" s="2" t="s">
        <v>115</v>
      </c>
      <c r="E26" s="2" t="s">
        <v>20</v>
      </c>
      <c r="F26" s="2">
        <v>1.0</v>
      </c>
      <c r="G26" s="2">
        <v>61599.0</v>
      </c>
      <c r="H26" s="2" t="s">
        <v>48</v>
      </c>
      <c r="I26" s="2" t="s">
        <v>28</v>
      </c>
    </row>
    <row r="27" ht="14.25" customHeight="1">
      <c r="A27" s="2" t="s">
        <v>116</v>
      </c>
      <c r="B27" s="4" t="s">
        <v>117</v>
      </c>
      <c r="C27" s="2" t="s">
        <v>55</v>
      </c>
      <c r="D27" s="2" t="s">
        <v>118</v>
      </c>
      <c r="E27" s="2" t="s">
        <v>93</v>
      </c>
      <c r="F27" s="2">
        <v>1.0</v>
      </c>
      <c r="G27" s="2">
        <v>37877.0</v>
      </c>
      <c r="H27" s="2" t="s">
        <v>21</v>
      </c>
      <c r="I27" s="2" t="s">
        <v>28</v>
      </c>
    </row>
    <row r="28" ht="14.25" customHeight="1">
      <c r="A28" s="2" t="s">
        <v>119</v>
      </c>
      <c r="B28" s="4" t="s">
        <v>120</v>
      </c>
      <c r="C28" s="2" t="s">
        <v>86</v>
      </c>
      <c r="D28" s="2" t="s">
        <v>32</v>
      </c>
      <c r="E28" s="2" t="s">
        <v>20</v>
      </c>
      <c r="F28" s="2">
        <v>1.0</v>
      </c>
      <c r="G28" s="2">
        <v>4350.0</v>
      </c>
      <c r="H28" s="2" t="s">
        <v>62</v>
      </c>
      <c r="I28" s="2" t="s">
        <v>28</v>
      </c>
    </row>
    <row r="29" ht="14.25" customHeight="1">
      <c r="A29" s="2" t="s">
        <v>121</v>
      </c>
      <c r="B29" s="4" t="s">
        <v>122</v>
      </c>
      <c r="C29" s="2" t="s">
        <v>123</v>
      </c>
      <c r="D29" s="2" t="s">
        <v>124</v>
      </c>
      <c r="E29" s="2" t="s">
        <v>56</v>
      </c>
      <c r="F29" s="2">
        <v>5.0</v>
      </c>
      <c r="G29" s="2">
        <v>11087.0</v>
      </c>
      <c r="H29" s="2" t="s">
        <v>48</v>
      </c>
      <c r="I29" s="2" t="s">
        <v>22</v>
      </c>
    </row>
    <row r="30" ht="14.25" customHeight="1">
      <c r="A30" s="2" t="s">
        <v>125</v>
      </c>
      <c r="B30" s="4" t="s">
        <v>126</v>
      </c>
      <c r="C30" s="2" t="s">
        <v>11</v>
      </c>
      <c r="D30" s="2" t="s">
        <v>127</v>
      </c>
      <c r="E30" s="2" t="s">
        <v>37</v>
      </c>
      <c r="F30" s="2">
        <v>2.0</v>
      </c>
      <c r="G30" s="2">
        <v>64892.0</v>
      </c>
      <c r="H30" s="2" t="s">
        <v>21</v>
      </c>
      <c r="I30" s="2" t="s">
        <v>28</v>
      </c>
    </row>
    <row r="31" ht="14.25" customHeight="1">
      <c r="A31" s="2" t="s">
        <v>128</v>
      </c>
      <c r="B31" s="4" t="s">
        <v>129</v>
      </c>
      <c r="C31" s="2" t="s">
        <v>123</v>
      </c>
      <c r="D31" s="2" t="s">
        <v>130</v>
      </c>
      <c r="E31" s="2" t="s">
        <v>20</v>
      </c>
      <c r="F31" s="2">
        <v>5.0</v>
      </c>
      <c r="G31" s="2">
        <v>65773.0</v>
      </c>
      <c r="H31" s="2" t="s">
        <v>21</v>
      </c>
      <c r="I31" s="2" t="s">
        <v>28</v>
      </c>
    </row>
    <row r="32" ht="14.25" customHeight="1">
      <c r="A32" s="2" t="s">
        <v>131</v>
      </c>
      <c r="B32" s="4" t="s">
        <v>132</v>
      </c>
      <c r="C32" s="2" t="s">
        <v>97</v>
      </c>
      <c r="D32" s="2" t="s">
        <v>133</v>
      </c>
      <c r="E32" s="2" t="s">
        <v>134</v>
      </c>
      <c r="F32" s="2">
        <v>5.0</v>
      </c>
      <c r="G32" s="2">
        <v>67693.0</v>
      </c>
      <c r="H32" s="2" t="s">
        <v>21</v>
      </c>
      <c r="I32" s="2" t="s">
        <v>15</v>
      </c>
    </row>
    <row r="33" ht="14.25" customHeight="1">
      <c r="A33" s="2" t="s">
        <v>135</v>
      </c>
      <c r="B33" s="4" t="s">
        <v>136</v>
      </c>
      <c r="C33" s="2" t="s">
        <v>86</v>
      </c>
      <c r="D33" s="2" t="s">
        <v>137</v>
      </c>
      <c r="E33" s="2" t="s">
        <v>138</v>
      </c>
      <c r="F33" s="2">
        <v>4.0</v>
      </c>
      <c r="G33" s="2">
        <v>26320.0</v>
      </c>
      <c r="H33" s="2" t="s">
        <v>14</v>
      </c>
      <c r="I33" s="2" t="s">
        <v>28</v>
      </c>
    </row>
    <row r="34" ht="14.25" customHeight="1">
      <c r="A34" s="2" t="s">
        <v>139</v>
      </c>
      <c r="B34" s="4" t="s">
        <v>140</v>
      </c>
      <c r="C34" s="2" t="s">
        <v>86</v>
      </c>
      <c r="D34" s="2" t="s">
        <v>36</v>
      </c>
      <c r="E34" s="2" t="s">
        <v>111</v>
      </c>
      <c r="F34" s="2">
        <v>1.0</v>
      </c>
      <c r="G34" s="2">
        <v>42926.0</v>
      </c>
      <c r="H34" s="2" t="s">
        <v>14</v>
      </c>
      <c r="I34" s="2" t="s">
        <v>22</v>
      </c>
    </row>
    <row r="35" ht="14.25" customHeight="1">
      <c r="A35" s="2" t="s">
        <v>141</v>
      </c>
      <c r="B35" s="4" t="s">
        <v>142</v>
      </c>
      <c r="C35" s="2" t="s">
        <v>92</v>
      </c>
      <c r="D35" s="2" t="s">
        <v>93</v>
      </c>
      <c r="E35" s="2" t="s">
        <v>143</v>
      </c>
      <c r="F35" s="2">
        <v>1.0</v>
      </c>
      <c r="G35" s="2">
        <v>22275.0</v>
      </c>
      <c r="H35" s="2" t="s">
        <v>62</v>
      </c>
      <c r="I35" s="2" t="s">
        <v>15</v>
      </c>
    </row>
    <row r="36" ht="14.25" customHeight="1">
      <c r="A36" s="2" t="s">
        <v>144</v>
      </c>
      <c r="B36" s="4" t="s">
        <v>145</v>
      </c>
      <c r="C36" s="2" t="s">
        <v>25</v>
      </c>
      <c r="D36" s="2" t="s">
        <v>12</v>
      </c>
      <c r="E36" s="2" t="s">
        <v>101</v>
      </c>
      <c r="F36" s="2">
        <v>2.0</v>
      </c>
      <c r="G36" s="2">
        <v>60279.0</v>
      </c>
      <c r="H36" s="2" t="s">
        <v>62</v>
      </c>
      <c r="I36" s="2" t="s">
        <v>22</v>
      </c>
    </row>
    <row r="37" ht="14.25" customHeight="1">
      <c r="A37" s="2" t="s">
        <v>146</v>
      </c>
      <c r="B37" s="4" t="s">
        <v>147</v>
      </c>
      <c r="C37" s="2" t="s">
        <v>11</v>
      </c>
      <c r="D37" s="2" t="s">
        <v>37</v>
      </c>
      <c r="E37" s="2" t="s">
        <v>148</v>
      </c>
      <c r="F37" s="2">
        <v>2.0</v>
      </c>
      <c r="G37" s="2">
        <v>28865.0</v>
      </c>
      <c r="H37" s="2" t="s">
        <v>62</v>
      </c>
      <c r="I37" s="2" t="s">
        <v>28</v>
      </c>
    </row>
    <row r="38" ht="14.25" customHeight="1">
      <c r="A38" s="2" t="s">
        <v>149</v>
      </c>
      <c r="B38" s="4" t="s">
        <v>150</v>
      </c>
      <c r="C38" s="2" t="s">
        <v>31</v>
      </c>
      <c r="D38" s="2" t="s">
        <v>56</v>
      </c>
      <c r="E38" s="2" t="s">
        <v>151</v>
      </c>
      <c r="F38" s="2">
        <v>1.0</v>
      </c>
      <c r="G38" s="2">
        <v>21221.0</v>
      </c>
      <c r="H38" s="2" t="s">
        <v>21</v>
      </c>
      <c r="I38" s="2" t="s">
        <v>28</v>
      </c>
    </row>
    <row r="39" ht="14.25" customHeight="1">
      <c r="A39" s="2" t="s">
        <v>152</v>
      </c>
      <c r="B39" s="4" t="s">
        <v>153</v>
      </c>
      <c r="C39" s="2" t="s">
        <v>123</v>
      </c>
      <c r="D39" s="2" t="s">
        <v>61</v>
      </c>
      <c r="E39" s="2" t="s">
        <v>118</v>
      </c>
      <c r="F39" s="2">
        <v>5.0</v>
      </c>
      <c r="G39" s="2">
        <v>55559.0</v>
      </c>
      <c r="H39" s="2" t="s">
        <v>14</v>
      </c>
      <c r="I39" s="2" t="s">
        <v>28</v>
      </c>
    </row>
    <row r="40" ht="14.25" customHeight="1">
      <c r="A40" s="2" t="s">
        <v>154</v>
      </c>
      <c r="B40" s="4" t="s">
        <v>155</v>
      </c>
      <c r="C40" s="2" t="s">
        <v>97</v>
      </c>
      <c r="D40" s="2" t="s">
        <v>156</v>
      </c>
      <c r="E40" s="2" t="s">
        <v>89</v>
      </c>
      <c r="F40" s="2">
        <v>3.0</v>
      </c>
      <c r="G40" s="2">
        <v>2641.0</v>
      </c>
      <c r="H40" s="2" t="s">
        <v>48</v>
      </c>
      <c r="I40" s="2" t="s">
        <v>22</v>
      </c>
    </row>
    <row r="41" ht="14.25" customHeight="1">
      <c r="A41" s="2" t="s">
        <v>157</v>
      </c>
      <c r="B41" s="4" t="s">
        <v>158</v>
      </c>
      <c r="C41" s="2" t="s">
        <v>86</v>
      </c>
      <c r="D41" s="2" t="s">
        <v>159</v>
      </c>
      <c r="E41" s="2" t="s">
        <v>19</v>
      </c>
      <c r="F41" s="2">
        <v>2.0</v>
      </c>
      <c r="G41" s="2">
        <v>59131.0</v>
      </c>
      <c r="H41" s="2" t="s">
        <v>14</v>
      </c>
      <c r="I41" s="2" t="s">
        <v>22</v>
      </c>
    </row>
    <row r="42" ht="14.25" customHeight="1">
      <c r="A42" s="2" t="s">
        <v>160</v>
      </c>
      <c r="B42" s="4" t="s">
        <v>161</v>
      </c>
      <c r="C42" s="2" t="s">
        <v>114</v>
      </c>
      <c r="D42" s="2" t="s">
        <v>162</v>
      </c>
      <c r="E42" s="2" t="s">
        <v>127</v>
      </c>
      <c r="F42" s="2">
        <v>5.0</v>
      </c>
      <c r="G42" s="2">
        <v>63752.0</v>
      </c>
      <c r="H42" s="2" t="s">
        <v>48</v>
      </c>
      <c r="I42" s="2" t="s">
        <v>28</v>
      </c>
    </row>
    <row r="43" ht="14.25" customHeight="1">
      <c r="A43" s="2" t="s">
        <v>163</v>
      </c>
      <c r="B43" s="4" t="s">
        <v>164</v>
      </c>
      <c r="C43" s="2" t="s">
        <v>55</v>
      </c>
      <c r="D43" s="2" t="s">
        <v>134</v>
      </c>
      <c r="E43" s="2" t="s">
        <v>165</v>
      </c>
      <c r="F43" s="2">
        <v>4.0</v>
      </c>
      <c r="G43" s="2">
        <v>42104.0</v>
      </c>
      <c r="H43" s="2" t="s">
        <v>21</v>
      </c>
      <c r="I43" s="2" t="s">
        <v>22</v>
      </c>
    </row>
    <row r="44" ht="14.25" customHeight="1">
      <c r="A44" s="2" t="s">
        <v>166</v>
      </c>
      <c r="B44" s="4" t="s">
        <v>167</v>
      </c>
      <c r="C44" s="2" t="s">
        <v>31</v>
      </c>
      <c r="D44" s="2" t="s">
        <v>138</v>
      </c>
      <c r="E44" s="2" t="s">
        <v>168</v>
      </c>
      <c r="F44" s="2">
        <v>2.0</v>
      </c>
      <c r="G44" s="2">
        <v>26803.0</v>
      </c>
      <c r="H44" s="2" t="s">
        <v>48</v>
      </c>
      <c r="I44" s="2" t="s">
        <v>15</v>
      </c>
    </row>
    <row r="45" ht="14.25" customHeight="1">
      <c r="A45" s="2" t="s">
        <v>169</v>
      </c>
      <c r="B45" s="4" t="s">
        <v>170</v>
      </c>
      <c r="C45" s="2" t="s">
        <v>11</v>
      </c>
      <c r="D45" s="2" t="s">
        <v>171</v>
      </c>
      <c r="E45" s="2" t="s">
        <v>81</v>
      </c>
      <c r="F45" s="2">
        <v>5.0</v>
      </c>
      <c r="G45" s="2">
        <v>64309.0</v>
      </c>
      <c r="H45" s="2" t="s">
        <v>14</v>
      </c>
      <c r="I45" s="2" t="s">
        <v>28</v>
      </c>
    </row>
    <row r="46" ht="14.25" customHeight="1">
      <c r="A46" s="2" t="s">
        <v>172</v>
      </c>
      <c r="B46" s="4" t="s">
        <v>173</v>
      </c>
      <c r="C46" s="2" t="s">
        <v>92</v>
      </c>
      <c r="D46" s="2" t="s">
        <v>127</v>
      </c>
      <c r="E46" s="2" t="s">
        <v>111</v>
      </c>
      <c r="F46" s="2">
        <v>5.0</v>
      </c>
      <c r="G46" s="2">
        <v>60923.0</v>
      </c>
      <c r="H46" s="2" t="s">
        <v>14</v>
      </c>
      <c r="I46" s="2" t="s">
        <v>28</v>
      </c>
    </row>
    <row r="47" ht="14.25" customHeight="1">
      <c r="A47" s="2" t="s">
        <v>174</v>
      </c>
      <c r="B47" s="4" t="s">
        <v>175</v>
      </c>
      <c r="C47" s="2" t="s">
        <v>97</v>
      </c>
      <c r="D47" s="2" t="s">
        <v>56</v>
      </c>
      <c r="E47" s="2" t="s">
        <v>151</v>
      </c>
      <c r="F47" s="2">
        <v>1.0</v>
      </c>
      <c r="G47" s="2">
        <v>6488.0</v>
      </c>
      <c r="H47" s="2" t="s">
        <v>14</v>
      </c>
      <c r="I47" s="2" t="s">
        <v>28</v>
      </c>
    </row>
    <row r="48" ht="14.25" customHeight="1">
      <c r="A48" s="2" t="s">
        <v>176</v>
      </c>
      <c r="B48" s="4" t="s">
        <v>177</v>
      </c>
      <c r="C48" s="2" t="s">
        <v>25</v>
      </c>
      <c r="D48" s="2" t="s">
        <v>12</v>
      </c>
      <c r="E48" s="2" t="s">
        <v>101</v>
      </c>
      <c r="F48" s="2">
        <v>6.0</v>
      </c>
      <c r="G48" s="2">
        <v>45482.0</v>
      </c>
      <c r="H48" s="2" t="s">
        <v>14</v>
      </c>
      <c r="I48" s="2" t="s">
        <v>28</v>
      </c>
    </row>
    <row r="49" ht="14.25" customHeight="1">
      <c r="A49" s="2" t="s">
        <v>178</v>
      </c>
      <c r="B49" s="4" t="s">
        <v>179</v>
      </c>
      <c r="C49" s="2" t="s">
        <v>11</v>
      </c>
      <c r="D49" s="2" t="s">
        <v>180</v>
      </c>
      <c r="E49" s="2" t="s">
        <v>181</v>
      </c>
      <c r="F49" s="2">
        <v>1.0</v>
      </c>
      <c r="G49" s="2">
        <v>47310.0</v>
      </c>
      <c r="H49" s="2" t="s">
        <v>21</v>
      </c>
      <c r="I49" s="2" t="s">
        <v>28</v>
      </c>
    </row>
    <row r="50" ht="14.25" customHeight="1">
      <c r="A50" s="2" t="s">
        <v>182</v>
      </c>
      <c r="B50" s="4" t="s">
        <v>83</v>
      </c>
      <c r="C50" s="2" t="s">
        <v>123</v>
      </c>
      <c r="D50" s="2" t="s">
        <v>20</v>
      </c>
      <c r="E50" s="2" t="s">
        <v>68</v>
      </c>
      <c r="F50" s="2">
        <v>1.0</v>
      </c>
      <c r="G50" s="2">
        <v>16901.0</v>
      </c>
      <c r="H50" s="2" t="s">
        <v>48</v>
      </c>
      <c r="I50" s="2" t="s">
        <v>28</v>
      </c>
    </row>
    <row r="51" ht="14.25" customHeight="1">
      <c r="A51" s="2" t="s">
        <v>183</v>
      </c>
      <c r="B51" s="4" t="s">
        <v>184</v>
      </c>
      <c r="C51" s="2" t="s">
        <v>185</v>
      </c>
      <c r="D51" s="2" t="s">
        <v>101</v>
      </c>
      <c r="E51" s="2" t="s">
        <v>13</v>
      </c>
      <c r="F51" s="2">
        <v>4.0</v>
      </c>
      <c r="G51" s="2">
        <v>36642.0</v>
      </c>
      <c r="H51" s="2" t="s">
        <v>48</v>
      </c>
      <c r="I51" s="2" t="s">
        <v>28</v>
      </c>
    </row>
    <row r="52" ht="14.25" customHeight="1">
      <c r="A52" s="2" t="s">
        <v>186</v>
      </c>
      <c r="B52" s="4" t="s">
        <v>187</v>
      </c>
      <c r="C52" s="2" t="s">
        <v>18</v>
      </c>
      <c r="D52" s="2" t="s">
        <v>188</v>
      </c>
      <c r="E52" s="2" t="s">
        <v>46</v>
      </c>
      <c r="F52" s="2">
        <v>3.0</v>
      </c>
      <c r="G52" s="2">
        <v>45563.0</v>
      </c>
      <c r="H52" s="2" t="s">
        <v>62</v>
      </c>
      <c r="I52" s="2" t="s">
        <v>22</v>
      </c>
    </row>
    <row r="53" ht="14.25" customHeight="1">
      <c r="A53" s="2" t="s">
        <v>189</v>
      </c>
      <c r="B53" s="4" t="s">
        <v>190</v>
      </c>
      <c r="C53" s="2" t="s">
        <v>86</v>
      </c>
      <c r="D53" s="2" t="s">
        <v>138</v>
      </c>
      <c r="E53" s="2" t="s">
        <v>191</v>
      </c>
      <c r="F53" s="2">
        <v>4.0</v>
      </c>
      <c r="G53" s="2">
        <v>22996.0</v>
      </c>
      <c r="H53" s="2" t="s">
        <v>62</v>
      </c>
      <c r="I53" s="2" t="s">
        <v>15</v>
      </c>
    </row>
    <row r="54" ht="14.25" customHeight="1">
      <c r="A54" s="2" t="s">
        <v>192</v>
      </c>
      <c r="B54" s="4" t="s">
        <v>193</v>
      </c>
      <c r="C54" s="2" t="s">
        <v>55</v>
      </c>
      <c r="D54" s="2" t="s">
        <v>68</v>
      </c>
      <c r="E54" s="2" t="s">
        <v>56</v>
      </c>
      <c r="F54" s="2">
        <v>3.0</v>
      </c>
      <c r="G54" s="2">
        <v>44183.0</v>
      </c>
      <c r="H54" s="2" t="s">
        <v>48</v>
      </c>
      <c r="I54" s="2" t="s">
        <v>28</v>
      </c>
    </row>
    <row r="55" ht="14.25" customHeight="1">
      <c r="A55" s="2" t="s">
        <v>194</v>
      </c>
      <c r="B55" s="4" t="s">
        <v>195</v>
      </c>
      <c r="C55" s="2" t="s">
        <v>185</v>
      </c>
      <c r="D55" s="2" t="s">
        <v>36</v>
      </c>
      <c r="E55" s="2" t="s">
        <v>196</v>
      </c>
      <c r="F55" s="2">
        <v>5.0</v>
      </c>
      <c r="G55" s="2">
        <v>23977.0</v>
      </c>
      <c r="H55" s="2" t="s">
        <v>48</v>
      </c>
      <c r="I55" s="2" t="s">
        <v>22</v>
      </c>
    </row>
    <row r="56" ht="14.25" customHeight="1">
      <c r="A56" s="2" t="s">
        <v>197</v>
      </c>
      <c r="B56" s="4" t="s">
        <v>198</v>
      </c>
      <c r="C56" s="2" t="s">
        <v>199</v>
      </c>
      <c r="D56" s="2" t="s">
        <v>200</v>
      </c>
      <c r="E56" s="2" t="s">
        <v>76</v>
      </c>
      <c r="F56" s="2">
        <v>4.0</v>
      </c>
      <c r="G56" s="2">
        <v>61336.0</v>
      </c>
      <c r="H56" s="2" t="s">
        <v>21</v>
      </c>
      <c r="I56" s="2" t="s">
        <v>28</v>
      </c>
    </row>
    <row r="57" ht="14.25" customHeight="1">
      <c r="A57" s="2" t="s">
        <v>201</v>
      </c>
      <c r="B57" s="4" t="s">
        <v>202</v>
      </c>
      <c r="C57" s="2" t="s">
        <v>114</v>
      </c>
      <c r="D57" s="2" t="s">
        <v>203</v>
      </c>
      <c r="E57" s="2" t="s">
        <v>171</v>
      </c>
      <c r="F57" s="2">
        <v>3.0</v>
      </c>
      <c r="G57" s="2">
        <v>28560.0</v>
      </c>
      <c r="H57" s="2" t="s">
        <v>14</v>
      </c>
      <c r="I57" s="2" t="s">
        <v>22</v>
      </c>
    </row>
    <row r="58" ht="14.25" customHeight="1">
      <c r="A58" s="2" t="s">
        <v>204</v>
      </c>
      <c r="B58" s="4" t="s">
        <v>205</v>
      </c>
      <c r="C58" s="2" t="s">
        <v>25</v>
      </c>
      <c r="D58" s="2" t="s">
        <v>206</v>
      </c>
      <c r="E58" s="2" t="s">
        <v>207</v>
      </c>
      <c r="F58" s="2">
        <v>6.0</v>
      </c>
      <c r="G58" s="2">
        <v>17033.0</v>
      </c>
      <c r="H58" s="2" t="s">
        <v>48</v>
      </c>
      <c r="I58" s="2" t="s">
        <v>28</v>
      </c>
    </row>
    <row r="59" ht="14.25" customHeight="1">
      <c r="A59" s="2" t="s">
        <v>208</v>
      </c>
      <c r="B59" s="4" t="s">
        <v>209</v>
      </c>
      <c r="C59" s="2" t="s">
        <v>97</v>
      </c>
      <c r="D59" s="2" t="s">
        <v>118</v>
      </c>
      <c r="E59" s="2" t="s">
        <v>180</v>
      </c>
      <c r="F59" s="2">
        <v>4.0</v>
      </c>
      <c r="G59" s="2">
        <v>8225.0</v>
      </c>
      <c r="H59" s="2" t="s">
        <v>62</v>
      </c>
      <c r="I59" s="2" t="s">
        <v>28</v>
      </c>
    </row>
    <row r="60" ht="14.25" customHeight="1">
      <c r="A60" s="2" t="s">
        <v>210</v>
      </c>
      <c r="B60" s="4" t="s">
        <v>211</v>
      </c>
      <c r="C60" s="2" t="s">
        <v>185</v>
      </c>
      <c r="D60" s="2" t="s">
        <v>76</v>
      </c>
      <c r="E60" s="2" t="s">
        <v>65</v>
      </c>
      <c r="F60" s="2">
        <v>5.0</v>
      </c>
      <c r="G60" s="2">
        <v>32053.0</v>
      </c>
      <c r="H60" s="2" t="s">
        <v>21</v>
      </c>
      <c r="I60" s="2" t="s">
        <v>28</v>
      </c>
    </row>
    <row r="61" ht="14.25" customHeight="1">
      <c r="A61" s="2" t="s">
        <v>212</v>
      </c>
      <c r="B61" s="4" t="s">
        <v>213</v>
      </c>
      <c r="C61" s="2" t="s">
        <v>11</v>
      </c>
      <c r="D61" s="2" t="s">
        <v>73</v>
      </c>
      <c r="E61" s="2" t="s">
        <v>124</v>
      </c>
      <c r="F61" s="2">
        <v>1.0</v>
      </c>
      <c r="G61" s="2">
        <v>23765.0</v>
      </c>
      <c r="H61" s="2" t="s">
        <v>14</v>
      </c>
      <c r="I61" s="2" t="s">
        <v>28</v>
      </c>
    </row>
    <row r="62" ht="14.25" customHeight="1">
      <c r="A62" s="2" t="s">
        <v>214</v>
      </c>
      <c r="B62" s="4" t="s">
        <v>215</v>
      </c>
      <c r="C62" s="2" t="s">
        <v>45</v>
      </c>
      <c r="D62" s="2" t="s">
        <v>191</v>
      </c>
      <c r="E62" s="2" t="s">
        <v>27</v>
      </c>
      <c r="F62" s="2">
        <v>4.0</v>
      </c>
      <c r="G62" s="2">
        <v>63627.0</v>
      </c>
      <c r="H62" s="2" t="s">
        <v>62</v>
      </c>
      <c r="I62" s="2" t="s">
        <v>22</v>
      </c>
    </row>
    <row r="63" ht="14.25" customHeight="1">
      <c r="A63" s="2" t="s">
        <v>216</v>
      </c>
      <c r="B63" s="4" t="s">
        <v>217</v>
      </c>
      <c r="C63" s="2" t="s">
        <v>199</v>
      </c>
      <c r="D63" s="2" t="s">
        <v>162</v>
      </c>
      <c r="E63" s="2" t="s">
        <v>36</v>
      </c>
      <c r="F63" s="2">
        <v>6.0</v>
      </c>
      <c r="G63" s="2">
        <v>44304.0</v>
      </c>
      <c r="H63" s="2" t="s">
        <v>48</v>
      </c>
      <c r="I63" s="2" t="s">
        <v>28</v>
      </c>
    </row>
    <row r="64" ht="14.25" customHeight="1">
      <c r="A64" s="2" t="s">
        <v>218</v>
      </c>
      <c r="B64" s="4" t="s">
        <v>219</v>
      </c>
      <c r="C64" s="2" t="s">
        <v>11</v>
      </c>
      <c r="D64" s="2" t="s">
        <v>60</v>
      </c>
      <c r="E64" s="2" t="s">
        <v>42</v>
      </c>
      <c r="F64" s="2">
        <v>5.0</v>
      </c>
      <c r="G64" s="2">
        <v>27814.0</v>
      </c>
      <c r="H64" s="2" t="s">
        <v>21</v>
      </c>
      <c r="I64" s="2" t="s">
        <v>28</v>
      </c>
    </row>
    <row r="65" ht="14.25" customHeight="1">
      <c r="A65" s="2" t="s">
        <v>220</v>
      </c>
      <c r="B65" s="4" t="s">
        <v>221</v>
      </c>
      <c r="C65" s="2" t="s">
        <v>45</v>
      </c>
      <c r="D65" s="2" t="s">
        <v>222</v>
      </c>
      <c r="E65" s="2" t="s">
        <v>223</v>
      </c>
      <c r="F65" s="2">
        <v>2.0</v>
      </c>
      <c r="G65" s="2">
        <v>12746.0</v>
      </c>
      <c r="H65" s="2" t="s">
        <v>62</v>
      </c>
      <c r="I65" s="2" t="s">
        <v>15</v>
      </c>
    </row>
    <row r="66" ht="14.25" customHeight="1">
      <c r="A66" s="2" t="s">
        <v>224</v>
      </c>
      <c r="B66" s="4" t="s">
        <v>225</v>
      </c>
      <c r="C66" s="2" t="s">
        <v>86</v>
      </c>
      <c r="D66" s="2" t="s">
        <v>162</v>
      </c>
      <c r="E66" s="2" t="s">
        <v>94</v>
      </c>
      <c r="F66" s="2">
        <v>3.0</v>
      </c>
      <c r="G66" s="2">
        <v>66758.0</v>
      </c>
      <c r="H66" s="2" t="s">
        <v>62</v>
      </c>
      <c r="I66" s="2" t="s">
        <v>28</v>
      </c>
    </row>
    <row r="67" ht="14.25" customHeight="1">
      <c r="A67" s="2" t="s">
        <v>226</v>
      </c>
      <c r="B67" s="4" t="s">
        <v>227</v>
      </c>
      <c r="C67" s="2" t="s">
        <v>25</v>
      </c>
      <c r="D67" s="2" t="s">
        <v>37</v>
      </c>
      <c r="E67" s="2" t="s">
        <v>228</v>
      </c>
      <c r="F67" s="2">
        <v>1.0</v>
      </c>
      <c r="G67" s="2">
        <v>9833.0</v>
      </c>
      <c r="H67" s="2" t="s">
        <v>48</v>
      </c>
      <c r="I67" s="2" t="s">
        <v>15</v>
      </c>
    </row>
    <row r="68" ht="14.25" customHeight="1">
      <c r="A68" s="2" t="s">
        <v>229</v>
      </c>
      <c r="B68" s="4" t="s">
        <v>230</v>
      </c>
      <c r="C68" s="2" t="s">
        <v>97</v>
      </c>
      <c r="D68" s="2" t="s">
        <v>27</v>
      </c>
      <c r="E68" s="2" t="s">
        <v>231</v>
      </c>
      <c r="F68" s="2">
        <v>6.0</v>
      </c>
      <c r="G68" s="2">
        <v>19276.0</v>
      </c>
      <c r="H68" s="2" t="s">
        <v>48</v>
      </c>
      <c r="I68" s="2" t="s">
        <v>22</v>
      </c>
    </row>
    <row r="69" ht="14.25" customHeight="1">
      <c r="A69" s="2" t="s">
        <v>232</v>
      </c>
      <c r="B69" s="4" t="s">
        <v>233</v>
      </c>
      <c r="C69" s="2" t="s">
        <v>59</v>
      </c>
      <c r="D69" s="2" t="s">
        <v>191</v>
      </c>
      <c r="E69" s="2" t="s">
        <v>162</v>
      </c>
      <c r="F69" s="2">
        <v>5.0</v>
      </c>
      <c r="G69" s="2">
        <v>8589.0</v>
      </c>
      <c r="H69" s="2" t="s">
        <v>21</v>
      </c>
      <c r="I69" s="2" t="s">
        <v>28</v>
      </c>
    </row>
    <row r="70" ht="14.25" customHeight="1">
      <c r="A70" s="2" t="s">
        <v>234</v>
      </c>
      <c r="B70" s="4" t="s">
        <v>235</v>
      </c>
      <c r="C70" s="2" t="s">
        <v>25</v>
      </c>
      <c r="D70" s="2" t="s">
        <v>41</v>
      </c>
      <c r="E70" s="2" t="s">
        <v>151</v>
      </c>
      <c r="F70" s="2">
        <v>1.0</v>
      </c>
      <c r="G70" s="2">
        <v>24228.0</v>
      </c>
      <c r="H70" s="2" t="s">
        <v>48</v>
      </c>
      <c r="I70" s="2" t="s">
        <v>28</v>
      </c>
    </row>
    <row r="71" ht="14.25" customHeight="1">
      <c r="A71" s="2" t="s">
        <v>236</v>
      </c>
      <c r="B71" s="4" t="s">
        <v>237</v>
      </c>
      <c r="C71" s="2" t="s">
        <v>86</v>
      </c>
      <c r="D71" s="2" t="s">
        <v>156</v>
      </c>
      <c r="E71" s="2" t="s">
        <v>171</v>
      </c>
      <c r="F71" s="2">
        <v>6.0</v>
      </c>
      <c r="G71" s="2">
        <v>45999.0</v>
      </c>
      <c r="H71" s="2" t="s">
        <v>21</v>
      </c>
      <c r="I71" s="2" t="s">
        <v>28</v>
      </c>
    </row>
    <row r="72" ht="14.25" customHeight="1">
      <c r="A72" s="2" t="s">
        <v>238</v>
      </c>
      <c r="B72" s="4" t="s">
        <v>239</v>
      </c>
      <c r="C72" s="2" t="s">
        <v>114</v>
      </c>
      <c r="D72" s="2" t="s">
        <v>108</v>
      </c>
      <c r="E72" s="2" t="s">
        <v>231</v>
      </c>
      <c r="F72" s="2">
        <v>6.0</v>
      </c>
      <c r="G72" s="2">
        <v>16843.0</v>
      </c>
      <c r="H72" s="2" t="s">
        <v>21</v>
      </c>
      <c r="I72" s="2" t="s">
        <v>28</v>
      </c>
    </row>
    <row r="73" ht="14.25" customHeight="1">
      <c r="A73" s="2" t="s">
        <v>240</v>
      </c>
      <c r="B73" s="4" t="s">
        <v>241</v>
      </c>
      <c r="C73" s="2" t="s">
        <v>18</v>
      </c>
      <c r="D73" s="2" t="s">
        <v>191</v>
      </c>
      <c r="E73" s="2" t="s">
        <v>36</v>
      </c>
      <c r="F73" s="2">
        <v>5.0</v>
      </c>
      <c r="G73" s="2">
        <v>11432.0</v>
      </c>
      <c r="H73" s="2" t="s">
        <v>48</v>
      </c>
      <c r="I73" s="2" t="s">
        <v>28</v>
      </c>
    </row>
    <row r="74" ht="14.25" customHeight="1">
      <c r="A74" s="2" t="s">
        <v>242</v>
      </c>
      <c r="B74" s="4" t="s">
        <v>243</v>
      </c>
      <c r="C74" s="2" t="s">
        <v>97</v>
      </c>
      <c r="D74" s="2" t="s">
        <v>69</v>
      </c>
      <c r="E74" s="2" t="s">
        <v>244</v>
      </c>
      <c r="F74" s="2">
        <v>3.0</v>
      </c>
      <c r="G74" s="2">
        <v>6930.0</v>
      </c>
      <c r="H74" s="2" t="s">
        <v>62</v>
      </c>
      <c r="I74" s="2" t="s">
        <v>28</v>
      </c>
    </row>
    <row r="75" ht="14.25" customHeight="1">
      <c r="A75" s="2" t="s">
        <v>245</v>
      </c>
      <c r="B75" s="4" t="s">
        <v>246</v>
      </c>
      <c r="C75" s="2" t="s">
        <v>114</v>
      </c>
      <c r="D75" s="2" t="s">
        <v>98</v>
      </c>
      <c r="E75" s="2" t="s">
        <v>108</v>
      </c>
      <c r="F75" s="2">
        <v>2.0</v>
      </c>
      <c r="G75" s="2">
        <v>5931.0</v>
      </c>
      <c r="H75" s="2" t="s">
        <v>14</v>
      </c>
      <c r="I75" s="2" t="s">
        <v>28</v>
      </c>
    </row>
    <row r="76" ht="14.25" customHeight="1">
      <c r="A76" s="2" t="s">
        <v>247</v>
      </c>
      <c r="B76" s="4" t="s">
        <v>248</v>
      </c>
      <c r="C76" s="2" t="s">
        <v>25</v>
      </c>
      <c r="D76" s="2" t="s">
        <v>127</v>
      </c>
      <c r="E76" s="2" t="s">
        <v>93</v>
      </c>
      <c r="F76" s="2">
        <v>4.0</v>
      </c>
      <c r="G76" s="2">
        <v>42890.0</v>
      </c>
      <c r="H76" s="2" t="s">
        <v>14</v>
      </c>
      <c r="I76" s="2" t="s">
        <v>28</v>
      </c>
    </row>
    <row r="77" ht="14.25" customHeight="1">
      <c r="A77" s="2" t="s">
        <v>249</v>
      </c>
      <c r="B77" s="4" t="s">
        <v>250</v>
      </c>
      <c r="C77" s="2" t="s">
        <v>59</v>
      </c>
      <c r="D77" s="2" t="s">
        <v>251</v>
      </c>
      <c r="E77" s="2" t="s">
        <v>77</v>
      </c>
      <c r="F77" s="2">
        <v>4.0</v>
      </c>
      <c r="G77" s="2">
        <v>44533.0</v>
      </c>
      <c r="H77" s="2" t="s">
        <v>62</v>
      </c>
      <c r="I77" s="2" t="s">
        <v>28</v>
      </c>
    </row>
    <row r="78" ht="14.25" customHeight="1">
      <c r="A78" s="2" t="s">
        <v>252</v>
      </c>
      <c r="B78" s="4" t="s">
        <v>253</v>
      </c>
      <c r="C78" s="2" t="s">
        <v>11</v>
      </c>
      <c r="D78" s="2" t="s">
        <v>98</v>
      </c>
      <c r="E78" s="2" t="s">
        <v>27</v>
      </c>
      <c r="F78" s="2">
        <v>2.0</v>
      </c>
      <c r="G78" s="2">
        <v>46616.0</v>
      </c>
      <c r="H78" s="2" t="s">
        <v>48</v>
      </c>
      <c r="I78" s="2" t="s">
        <v>22</v>
      </c>
    </row>
    <row r="79" ht="14.25" customHeight="1">
      <c r="A79" s="2" t="s">
        <v>254</v>
      </c>
      <c r="B79" s="4" t="s">
        <v>255</v>
      </c>
      <c r="C79" s="2" t="s">
        <v>18</v>
      </c>
      <c r="D79" s="2" t="s">
        <v>36</v>
      </c>
      <c r="E79" s="2" t="s">
        <v>196</v>
      </c>
      <c r="F79" s="2">
        <v>3.0</v>
      </c>
      <c r="G79" s="2">
        <v>57016.0</v>
      </c>
      <c r="H79" s="2" t="s">
        <v>21</v>
      </c>
      <c r="I79" s="2" t="s">
        <v>28</v>
      </c>
    </row>
    <row r="80" ht="14.25" customHeight="1">
      <c r="A80" s="2" t="s">
        <v>256</v>
      </c>
      <c r="B80" s="4" t="s">
        <v>257</v>
      </c>
      <c r="C80" s="2" t="s">
        <v>40</v>
      </c>
      <c r="D80" s="2" t="s">
        <v>12</v>
      </c>
      <c r="E80" s="2" t="s">
        <v>33</v>
      </c>
      <c r="F80" s="2">
        <v>6.0</v>
      </c>
      <c r="G80" s="2">
        <v>37999.0</v>
      </c>
      <c r="H80" s="2" t="s">
        <v>48</v>
      </c>
      <c r="I80" s="2" t="s">
        <v>15</v>
      </c>
    </row>
    <row r="81" ht="14.25" customHeight="1">
      <c r="A81" s="2" t="s">
        <v>258</v>
      </c>
      <c r="B81" s="4" t="s">
        <v>259</v>
      </c>
      <c r="C81" s="2" t="s">
        <v>97</v>
      </c>
      <c r="D81" s="2" t="s">
        <v>124</v>
      </c>
      <c r="E81" s="2" t="s">
        <v>137</v>
      </c>
      <c r="F81" s="2">
        <v>5.0</v>
      </c>
      <c r="G81" s="2">
        <v>48493.0</v>
      </c>
      <c r="H81" s="2" t="s">
        <v>21</v>
      </c>
      <c r="I81" s="2" t="s">
        <v>28</v>
      </c>
    </row>
    <row r="82" ht="14.25" customHeight="1">
      <c r="A82" s="2" t="s">
        <v>260</v>
      </c>
      <c r="B82" s="4" t="s">
        <v>261</v>
      </c>
      <c r="C82" s="2" t="s">
        <v>31</v>
      </c>
      <c r="D82" s="2" t="s">
        <v>162</v>
      </c>
      <c r="E82" s="2" t="s">
        <v>93</v>
      </c>
      <c r="F82" s="2">
        <v>2.0</v>
      </c>
      <c r="G82" s="2">
        <v>11330.0</v>
      </c>
      <c r="H82" s="2" t="s">
        <v>62</v>
      </c>
      <c r="I82" s="2" t="s">
        <v>28</v>
      </c>
    </row>
    <row r="83" ht="14.25" customHeight="1">
      <c r="A83" s="2" t="s">
        <v>262</v>
      </c>
      <c r="B83" s="4" t="s">
        <v>263</v>
      </c>
      <c r="C83" s="2" t="s">
        <v>31</v>
      </c>
      <c r="D83" s="2" t="s">
        <v>81</v>
      </c>
      <c r="E83" s="2" t="s">
        <v>72</v>
      </c>
      <c r="F83" s="2">
        <v>3.0</v>
      </c>
      <c r="G83" s="2">
        <v>33535.0</v>
      </c>
      <c r="H83" s="2" t="s">
        <v>14</v>
      </c>
      <c r="I83" s="2" t="s">
        <v>28</v>
      </c>
    </row>
    <row r="84" ht="14.25" customHeight="1">
      <c r="A84" s="2" t="s">
        <v>264</v>
      </c>
      <c r="B84" s="4" t="s">
        <v>265</v>
      </c>
      <c r="C84" s="2" t="s">
        <v>199</v>
      </c>
      <c r="D84" s="2" t="s">
        <v>56</v>
      </c>
      <c r="E84" s="2" t="s">
        <v>244</v>
      </c>
      <c r="F84" s="2">
        <v>1.0</v>
      </c>
      <c r="G84" s="2">
        <v>2992.0</v>
      </c>
      <c r="H84" s="2" t="s">
        <v>48</v>
      </c>
      <c r="I84" s="2" t="s">
        <v>22</v>
      </c>
    </row>
    <row r="85" ht="14.25" customHeight="1">
      <c r="A85" s="2" t="s">
        <v>266</v>
      </c>
      <c r="B85" s="4" t="s">
        <v>267</v>
      </c>
      <c r="C85" s="2" t="s">
        <v>199</v>
      </c>
      <c r="D85" s="2" t="s">
        <v>41</v>
      </c>
      <c r="E85" s="2" t="s">
        <v>191</v>
      </c>
      <c r="F85" s="2">
        <v>5.0</v>
      </c>
      <c r="G85" s="2">
        <v>8734.0</v>
      </c>
      <c r="H85" s="2" t="s">
        <v>14</v>
      </c>
      <c r="I85" s="2" t="s">
        <v>15</v>
      </c>
    </row>
    <row r="86" ht="14.25" customHeight="1">
      <c r="A86" s="2" t="s">
        <v>268</v>
      </c>
      <c r="B86" s="4" t="s">
        <v>269</v>
      </c>
      <c r="C86" s="2" t="s">
        <v>123</v>
      </c>
      <c r="D86" s="2" t="s">
        <v>118</v>
      </c>
      <c r="E86" s="2" t="s">
        <v>188</v>
      </c>
      <c r="F86" s="2">
        <v>6.0</v>
      </c>
      <c r="G86" s="2">
        <v>45602.0</v>
      </c>
      <c r="H86" s="2" t="s">
        <v>62</v>
      </c>
      <c r="I86" s="2" t="s">
        <v>28</v>
      </c>
    </row>
    <row r="87" ht="14.25" customHeight="1">
      <c r="A87" s="2" t="s">
        <v>270</v>
      </c>
      <c r="B87" s="4" t="s">
        <v>271</v>
      </c>
      <c r="C87" s="2" t="s">
        <v>31</v>
      </c>
      <c r="D87" s="2" t="s">
        <v>41</v>
      </c>
      <c r="E87" s="2" t="s">
        <v>168</v>
      </c>
      <c r="F87" s="2">
        <v>3.0</v>
      </c>
      <c r="G87" s="2">
        <v>5818.0</v>
      </c>
      <c r="H87" s="2" t="s">
        <v>14</v>
      </c>
      <c r="I87" s="2" t="s">
        <v>15</v>
      </c>
    </row>
    <row r="88" ht="14.25" customHeight="1">
      <c r="A88" s="2" t="s">
        <v>272</v>
      </c>
      <c r="B88" s="4" t="s">
        <v>273</v>
      </c>
      <c r="C88" s="2" t="s">
        <v>97</v>
      </c>
      <c r="D88" s="2" t="s">
        <v>191</v>
      </c>
      <c r="E88" s="2" t="s">
        <v>244</v>
      </c>
      <c r="F88" s="2">
        <v>5.0</v>
      </c>
      <c r="G88" s="2">
        <v>63923.0</v>
      </c>
      <c r="H88" s="2" t="s">
        <v>14</v>
      </c>
      <c r="I88" s="2" t="s">
        <v>28</v>
      </c>
    </row>
    <row r="89" ht="14.25" customHeight="1">
      <c r="A89" s="2" t="s">
        <v>274</v>
      </c>
      <c r="B89" s="4" t="s">
        <v>275</v>
      </c>
      <c r="C89" s="2" t="s">
        <v>59</v>
      </c>
      <c r="D89" s="2" t="s">
        <v>134</v>
      </c>
      <c r="E89" s="2" t="s">
        <v>60</v>
      </c>
      <c r="F89" s="2">
        <v>5.0</v>
      </c>
      <c r="G89" s="2">
        <v>47222.0</v>
      </c>
      <c r="H89" s="2" t="s">
        <v>62</v>
      </c>
      <c r="I89" s="2" t="s">
        <v>28</v>
      </c>
    </row>
    <row r="90" ht="14.25" customHeight="1">
      <c r="A90" s="2" t="s">
        <v>276</v>
      </c>
      <c r="B90" s="4" t="s">
        <v>277</v>
      </c>
      <c r="C90" s="2" t="s">
        <v>97</v>
      </c>
      <c r="D90" s="2" t="s">
        <v>36</v>
      </c>
      <c r="E90" s="2" t="s">
        <v>76</v>
      </c>
      <c r="F90" s="2">
        <v>4.0</v>
      </c>
      <c r="G90" s="2">
        <v>61768.0</v>
      </c>
      <c r="H90" s="2" t="s">
        <v>48</v>
      </c>
      <c r="I90" s="2" t="s">
        <v>28</v>
      </c>
    </row>
    <row r="91" ht="14.25" customHeight="1">
      <c r="A91" s="2" t="s">
        <v>278</v>
      </c>
      <c r="B91" s="4" t="s">
        <v>279</v>
      </c>
      <c r="C91" s="2" t="s">
        <v>40</v>
      </c>
      <c r="D91" s="2" t="s">
        <v>80</v>
      </c>
      <c r="E91" s="2" t="s">
        <v>89</v>
      </c>
      <c r="F91" s="2">
        <v>2.0</v>
      </c>
      <c r="G91" s="2">
        <v>37005.0</v>
      </c>
      <c r="H91" s="2" t="s">
        <v>14</v>
      </c>
      <c r="I91" s="2" t="s">
        <v>28</v>
      </c>
    </row>
    <row r="92" ht="14.25" customHeight="1">
      <c r="A92" s="2" t="s">
        <v>280</v>
      </c>
      <c r="B92" s="4" t="s">
        <v>281</v>
      </c>
      <c r="C92" s="2" t="s">
        <v>92</v>
      </c>
      <c r="D92" s="2" t="s">
        <v>26</v>
      </c>
      <c r="E92" s="2" t="s">
        <v>118</v>
      </c>
      <c r="F92" s="2">
        <v>6.0</v>
      </c>
      <c r="G92" s="2">
        <v>15373.0</v>
      </c>
      <c r="H92" s="2" t="s">
        <v>14</v>
      </c>
      <c r="I92" s="2" t="s">
        <v>15</v>
      </c>
    </row>
    <row r="93" ht="14.25" customHeight="1">
      <c r="A93" s="2" t="s">
        <v>282</v>
      </c>
      <c r="B93" s="4" t="s">
        <v>283</v>
      </c>
      <c r="C93" s="2" t="s">
        <v>11</v>
      </c>
      <c r="D93" s="2" t="s">
        <v>94</v>
      </c>
      <c r="E93" s="2" t="s">
        <v>111</v>
      </c>
      <c r="F93" s="2">
        <v>4.0</v>
      </c>
      <c r="G93" s="2">
        <v>28349.0</v>
      </c>
      <c r="H93" s="2" t="s">
        <v>21</v>
      </c>
      <c r="I93" s="2" t="s">
        <v>15</v>
      </c>
    </row>
    <row r="94" ht="14.25" customHeight="1">
      <c r="A94" s="2" t="s">
        <v>284</v>
      </c>
      <c r="B94" s="4" t="s">
        <v>285</v>
      </c>
      <c r="C94" s="2" t="s">
        <v>40</v>
      </c>
      <c r="D94" s="2" t="s">
        <v>188</v>
      </c>
      <c r="E94" s="2" t="s">
        <v>93</v>
      </c>
      <c r="F94" s="2">
        <v>2.0</v>
      </c>
      <c r="G94" s="2">
        <v>9333.0</v>
      </c>
      <c r="H94" s="2" t="s">
        <v>62</v>
      </c>
      <c r="I94" s="2" t="s">
        <v>28</v>
      </c>
    </row>
    <row r="95" ht="14.25" customHeight="1">
      <c r="A95" s="2" t="s">
        <v>286</v>
      </c>
      <c r="B95" s="4" t="s">
        <v>287</v>
      </c>
      <c r="C95" s="2" t="s">
        <v>18</v>
      </c>
      <c r="D95" s="2" t="s">
        <v>134</v>
      </c>
      <c r="E95" s="2" t="s">
        <v>165</v>
      </c>
      <c r="F95" s="2">
        <v>4.0</v>
      </c>
      <c r="G95" s="2">
        <v>39697.0</v>
      </c>
      <c r="H95" s="2" t="s">
        <v>14</v>
      </c>
      <c r="I95" s="2" t="s">
        <v>28</v>
      </c>
    </row>
    <row r="96" ht="14.25" customHeight="1">
      <c r="A96" s="2" t="s">
        <v>288</v>
      </c>
      <c r="B96" s="4" t="s">
        <v>289</v>
      </c>
      <c r="C96" s="2" t="s">
        <v>86</v>
      </c>
      <c r="D96" s="2" t="s">
        <v>133</v>
      </c>
      <c r="E96" s="2" t="s">
        <v>290</v>
      </c>
      <c r="F96" s="2">
        <v>2.0</v>
      </c>
      <c r="G96" s="2">
        <v>51052.0</v>
      </c>
      <c r="H96" s="2" t="s">
        <v>48</v>
      </c>
      <c r="I96" s="2" t="s">
        <v>28</v>
      </c>
    </row>
    <row r="97" ht="14.25" customHeight="1">
      <c r="A97" s="2" t="s">
        <v>291</v>
      </c>
      <c r="B97" s="4" t="s">
        <v>292</v>
      </c>
      <c r="C97" s="2" t="s">
        <v>25</v>
      </c>
      <c r="D97" s="2" t="s">
        <v>94</v>
      </c>
      <c r="E97" s="2" t="s">
        <v>65</v>
      </c>
      <c r="F97" s="2">
        <v>6.0</v>
      </c>
      <c r="G97" s="2">
        <v>28248.0</v>
      </c>
      <c r="H97" s="2" t="s">
        <v>48</v>
      </c>
      <c r="I97" s="2" t="s">
        <v>28</v>
      </c>
    </row>
    <row r="98" ht="14.25" customHeight="1">
      <c r="A98" s="2" t="s">
        <v>293</v>
      </c>
      <c r="B98" s="4" t="s">
        <v>294</v>
      </c>
      <c r="C98" s="2" t="s">
        <v>59</v>
      </c>
      <c r="D98" s="2" t="s">
        <v>295</v>
      </c>
      <c r="E98" s="2" t="s">
        <v>290</v>
      </c>
      <c r="F98" s="2">
        <v>6.0</v>
      </c>
      <c r="G98" s="2">
        <v>38784.0</v>
      </c>
      <c r="H98" s="2" t="s">
        <v>14</v>
      </c>
      <c r="I98" s="2" t="s">
        <v>28</v>
      </c>
    </row>
    <row r="99" ht="14.25" customHeight="1">
      <c r="A99" s="2" t="s">
        <v>296</v>
      </c>
      <c r="B99" s="4" t="s">
        <v>297</v>
      </c>
      <c r="C99" s="2" t="s">
        <v>199</v>
      </c>
      <c r="D99" s="2" t="s">
        <v>188</v>
      </c>
      <c r="E99" s="2" t="s">
        <v>180</v>
      </c>
      <c r="F99" s="2">
        <v>5.0</v>
      </c>
      <c r="G99" s="2">
        <v>5900.0</v>
      </c>
      <c r="H99" s="2" t="s">
        <v>62</v>
      </c>
      <c r="I99" s="2" t="s">
        <v>28</v>
      </c>
    </row>
    <row r="100" ht="14.25" customHeight="1">
      <c r="A100" s="2" t="s">
        <v>298</v>
      </c>
      <c r="B100" s="4" t="s">
        <v>299</v>
      </c>
      <c r="C100" s="2" t="s">
        <v>31</v>
      </c>
      <c r="D100" s="2" t="s">
        <v>89</v>
      </c>
      <c r="E100" s="2" t="s">
        <v>165</v>
      </c>
      <c r="F100" s="2">
        <v>4.0</v>
      </c>
      <c r="G100" s="2">
        <v>16868.0</v>
      </c>
      <c r="H100" s="2" t="s">
        <v>48</v>
      </c>
      <c r="I100" s="2" t="s">
        <v>28</v>
      </c>
    </row>
    <row r="101" ht="14.25" customHeight="1">
      <c r="A101" s="2" t="s">
        <v>300</v>
      </c>
      <c r="B101" s="4" t="s">
        <v>301</v>
      </c>
      <c r="C101" s="2" t="s">
        <v>55</v>
      </c>
      <c r="D101" s="2" t="s">
        <v>20</v>
      </c>
      <c r="E101" s="2" t="s">
        <v>222</v>
      </c>
      <c r="F101" s="2">
        <v>2.0</v>
      </c>
      <c r="G101" s="2">
        <v>27529.0</v>
      </c>
      <c r="H101" s="2" t="s">
        <v>21</v>
      </c>
      <c r="I101" s="2" t="s">
        <v>22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8.71"/>
    <col customWidth="1" min="4" max="4" width="14.71"/>
    <col customWidth="1" min="5" max="5" width="16.0"/>
    <col customWidth="1" min="6" max="6" width="11.71"/>
    <col customWidth="1" min="7" max="9" width="8.71"/>
    <col customWidth="1" min="10" max="10" width="12.86"/>
    <col customWidth="1" min="11" max="11" width="12.29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302</v>
      </c>
      <c r="K1" s="6" t="s">
        <v>303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1.0</v>
      </c>
      <c r="G2" s="2">
        <v>9497.0</v>
      </c>
      <c r="H2" s="2" t="s">
        <v>14</v>
      </c>
      <c r="I2" s="2" t="s">
        <v>15</v>
      </c>
      <c r="J2" s="7" t="str">
        <f t="shared" ref="J2:J101" si="1">IF(F2&gt;=3,"Bulk Order","Regular Order")</f>
        <v>Regular Order</v>
      </c>
      <c r="K2" s="8" t="str">
        <f t="shared" ref="K2:K101" si="2">LEFT(B2,FIND(" ",B2)-1)</f>
        <v>Sonal</v>
      </c>
    </row>
    <row r="3" ht="14.2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1.0</v>
      </c>
      <c r="G3" s="2">
        <v>8232.0</v>
      </c>
      <c r="H3" s="2" t="s">
        <v>21</v>
      </c>
      <c r="I3" s="2" t="s">
        <v>22</v>
      </c>
      <c r="J3" s="7" t="str">
        <f t="shared" si="1"/>
        <v>Regular Order</v>
      </c>
      <c r="K3" s="8" t="str">
        <f t="shared" si="2"/>
        <v>Varun</v>
      </c>
    </row>
    <row r="4" ht="14.2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1.0</v>
      </c>
      <c r="G4" s="2">
        <v>12436.0</v>
      </c>
      <c r="H4" s="2" t="s">
        <v>14</v>
      </c>
      <c r="I4" s="2" t="s">
        <v>28</v>
      </c>
      <c r="J4" s="7" t="str">
        <f t="shared" si="1"/>
        <v>Regular Order</v>
      </c>
      <c r="K4" s="8" t="str">
        <f t="shared" si="2"/>
        <v>Arjun</v>
      </c>
    </row>
    <row r="5" ht="14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3.0</v>
      </c>
      <c r="G5" s="2">
        <v>38830.0</v>
      </c>
      <c r="H5" s="2" t="s">
        <v>21</v>
      </c>
      <c r="I5" s="2" t="s">
        <v>28</v>
      </c>
      <c r="J5" s="7" t="str">
        <f t="shared" si="1"/>
        <v>Bulk Order</v>
      </c>
      <c r="K5" s="8" t="str">
        <f t="shared" si="2"/>
        <v>Pallavi</v>
      </c>
    </row>
    <row r="6" ht="14.25" customHeight="1">
      <c r="A6" s="2" t="s">
        <v>34</v>
      </c>
      <c r="B6" s="2" t="s">
        <v>35</v>
      </c>
      <c r="C6" s="2" t="s">
        <v>18</v>
      </c>
      <c r="D6" s="2" t="s">
        <v>36</v>
      </c>
      <c r="E6" s="2" t="s">
        <v>37</v>
      </c>
      <c r="F6" s="2">
        <v>2.0</v>
      </c>
      <c r="G6" s="2">
        <v>7193.0</v>
      </c>
      <c r="H6" s="2" t="s">
        <v>14</v>
      </c>
      <c r="I6" s="2" t="s">
        <v>22</v>
      </c>
      <c r="J6" s="7" t="str">
        <f t="shared" si="1"/>
        <v>Regular Order</v>
      </c>
      <c r="K6" s="8" t="str">
        <f t="shared" si="2"/>
        <v>Divya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5.0</v>
      </c>
      <c r="G7" s="2">
        <v>36419.0</v>
      </c>
      <c r="H7" s="2" t="s">
        <v>14</v>
      </c>
      <c r="I7" s="2" t="s">
        <v>28</v>
      </c>
      <c r="J7" s="7" t="str">
        <f t="shared" si="1"/>
        <v>Bulk Order</v>
      </c>
      <c r="K7" s="8" t="str">
        <f t="shared" si="2"/>
        <v>Neha</v>
      </c>
    </row>
    <row r="8" ht="14.25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3.0</v>
      </c>
      <c r="G8" s="2">
        <v>6681.0</v>
      </c>
      <c r="H8" s="2" t="s">
        <v>48</v>
      </c>
      <c r="I8" s="2" t="s">
        <v>22</v>
      </c>
      <c r="J8" s="7" t="str">
        <f t="shared" si="1"/>
        <v>Bulk Order</v>
      </c>
      <c r="K8" s="8" t="str">
        <f t="shared" si="2"/>
        <v>Varun</v>
      </c>
    </row>
    <row r="9" ht="14.25" customHeight="1">
      <c r="A9" s="2" t="s">
        <v>49</v>
      </c>
      <c r="B9" s="2" t="s">
        <v>50</v>
      </c>
      <c r="C9" s="2" t="s">
        <v>31</v>
      </c>
      <c r="D9" s="2" t="s">
        <v>51</v>
      </c>
      <c r="E9" s="2" t="s">
        <v>52</v>
      </c>
      <c r="F9" s="2">
        <v>5.0</v>
      </c>
      <c r="G9" s="2">
        <v>59258.0</v>
      </c>
      <c r="H9" s="2" t="s">
        <v>14</v>
      </c>
      <c r="I9" s="2" t="s">
        <v>15</v>
      </c>
      <c r="J9" s="7" t="str">
        <f t="shared" si="1"/>
        <v>Bulk Order</v>
      </c>
      <c r="K9" s="8" t="str">
        <f t="shared" si="2"/>
        <v>Rohan</v>
      </c>
    </row>
    <row r="10" ht="14.25" customHeight="1">
      <c r="A10" s="2" t="s">
        <v>53</v>
      </c>
      <c r="B10" s="2" t="s">
        <v>54</v>
      </c>
      <c r="C10" s="2" t="s">
        <v>55</v>
      </c>
      <c r="D10" s="2" t="s">
        <v>33</v>
      </c>
      <c r="E10" s="2" t="s">
        <v>56</v>
      </c>
      <c r="F10" s="2">
        <v>5.0</v>
      </c>
      <c r="G10" s="2">
        <v>53392.0</v>
      </c>
      <c r="H10" s="2" t="s">
        <v>48</v>
      </c>
      <c r="I10" s="2" t="s">
        <v>22</v>
      </c>
      <c r="J10" s="7" t="str">
        <f t="shared" si="1"/>
        <v>Bulk Order</v>
      </c>
      <c r="K10" s="8" t="str">
        <f t="shared" si="2"/>
        <v>Aman</v>
      </c>
    </row>
    <row r="11" ht="14.2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5.0</v>
      </c>
      <c r="G11" s="2">
        <v>52334.0</v>
      </c>
      <c r="H11" s="2" t="s">
        <v>62</v>
      </c>
      <c r="I11" s="2" t="s">
        <v>22</v>
      </c>
      <c r="J11" s="7" t="str">
        <f t="shared" si="1"/>
        <v>Bulk Order</v>
      </c>
      <c r="K11" s="8" t="str">
        <f t="shared" si="2"/>
        <v>Ravi</v>
      </c>
    </row>
    <row r="12" ht="14.25" customHeight="1">
      <c r="A12" s="2" t="s">
        <v>63</v>
      </c>
      <c r="B12" s="2" t="s">
        <v>64</v>
      </c>
      <c r="C12" s="2" t="s">
        <v>18</v>
      </c>
      <c r="D12" s="2" t="s">
        <v>46</v>
      </c>
      <c r="E12" s="2" t="s">
        <v>65</v>
      </c>
      <c r="F12" s="2">
        <v>2.0</v>
      </c>
      <c r="G12" s="2">
        <v>50550.0</v>
      </c>
      <c r="H12" s="2" t="s">
        <v>62</v>
      </c>
      <c r="I12" s="2" t="s">
        <v>28</v>
      </c>
      <c r="J12" s="7" t="str">
        <f t="shared" si="1"/>
        <v>Regular Order</v>
      </c>
      <c r="K12" s="8" t="str">
        <f t="shared" si="2"/>
        <v>Kunal</v>
      </c>
    </row>
    <row r="13" ht="14.25" customHeight="1">
      <c r="A13" s="2" t="s">
        <v>66</v>
      </c>
      <c r="B13" s="2" t="s">
        <v>67</v>
      </c>
      <c r="C13" s="2" t="s">
        <v>45</v>
      </c>
      <c r="D13" s="2" t="s">
        <v>68</v>
      </c>
      <c r="E13" s="2" t="s">
        <v>69</v>
      </c>
      <c r="F13" s="2">
        <v>2.0</v>
      </c>
      <c r="G13" s="2">
        <v>69030.0</v>
      </c>
      <c r="H13" s="2" t="s">
        <v>48</v>
      </c>
      <c r="I13" s="2" t="s">
        <v>28</v>
      </c>
      <c r="J13" s="7" t="str">
        <f t="shared" si="1"/>
        <v>Regular Order</v>
      </c>
      <c r="K13" s="8" t="str">
        <f t="shared" si="2"/>
        <v>Nitin</v>
      </c>
    </row>
    <row r="14" ht="14.25" customHeight="1">
      <c r="A14" s="2" t="s">
        <v>70</v>
      </c>
      <c r="B14" s="2" t="s">
        <v>71</v>
      </c>
      <c r="C14" s="2" t="s">
        <v>40</v>
      </c>
      <c r="D14" s="2" t="s">
        <v>72</v>
      </c>
      <c r="E14" s="2" t="s">
        <v>73</v>
      </c>
      <c r="F14" s="2">
        <v>4.0</v>
      </c>
      <c r="G14" s="2">
        <v>50709.0</v>
      </c>
      <c r="H14" s="2" t="s">
        <v>21</v>
      </c>
      <c r="I14" s="2" t="s">
        <v>22</v>
      </c>
      <c r="J14" s="7" t="str">
        <f t="shared" si="1"/>
        <v>Bulk Order</v>
      </c>
      <c r="K14" s="8" t="str">
        <f t="shared" si="2"/>
        <v>Kavita</v>
      </c>
    </row>
    <row r="15" ht="14.25" customHeight="1">
      <c r="A15" s="2" t="s">
        <v>74</v>
      </c>
      <c r="B15" s="2" t="s">
        <v>75</v>
      </c>
      <c r="C15" s="2" t="s">
        <v>11</v>
      </c>
      <c r="D15" s="2" t="s">
        <v>76</v>
      </c>
      <c r="E15" s="2" t="s">
        <v>77</v>
      </c>
      <c r="F15" s="2">
        <v>6.0</v>
      </c>
      <c r="G15" s="2">
        <v>48808.0</v>
      </c>
      <c r="H15" s="2" t="s">
        <v>62</v>
      </c>
      <c r="I15" s="2" t="s">
        <v>28</v>
      </c>
      <c r="J15" s="7" t="str">
        <f t="shared" si="1"/>
        <v>Bulk Order</v>
      </c>
      <c r="K15" s="8" t="str">
        <f t="shared" si="2"/>
        <v>Mohit</v>
      </c>
    </row>
    <row r="16" ht="14.25" customHeight="1">
      <c r="A16" s="2" t="s">
        <v>78</v>
      </c>
      <c r="B16" s="2" t="s">
        <v>79</v>
      </c>
      <c r="C16" s="2" t="s">
        <v>18</v>
      </c>
      <c r="D16" s="2" t="s">
        <v>80</v>
      </c>
      <c r="E16" s="2" t="s">
        <v>81</v>
      </c>
      <c r="F16" s="2">
        <v>1.0</v>
      </c>
      <c r="G16" s="2">
        <v>65648.0</v>
      </c>
      <c r="H16" s="2" t="s">
        <v>14</v>
      </c>
      <c r="I16" s="2" t="s">
        <v>28</v>
      </c>
      <c r="J16" s="7" t="str">
        <f t="shared" si="1"/>
        <v>Regular Order</v>
      </c>
      <c r="K16" s="8" t="str">
        <f t="shared" si="2"/>
        <v>Neeraj</v>
      </c>
    </row>
    <row r="17" ht="14.25" customHeight="1">
      <c r="A17" s="2" t="s">
        <v>82</v>
      </c>
      <c r="B17" s="2" t="s">
        <v>83</v>
      </c>
      <c r="C17" s="2" t="s">
        <v>45</v>
      </c>
      <c r="D17" s="2" t="s">
        <v>32</v>
      </c>
      <c r="E17" s="2" t="s">
        <v>60</v>
      </c>
      <c r="F17" s="2">
        <v>4.0</v>
      </c>
      <c r="G17" s="2">
        <v>3975.0</v>
      </c>
      <c r="H17" s="2" t="s">
        <v>48</v>
      </c>
      <c r="I17" s="2" t="s">
        <v>22</v>
      </c>
      <c r="J17" s="7" t="str">
        <f t="shared" si="1"/>
        <v>Bulk Order</v>
      </c>
      <c r="K17" s="8" t="str">
        <f t="shared" si="2"/>
        <v>Pooja</v>
      </c>
    </row>
    <row r="18" ht="14.25" customHeight="1">
      <c r="A18" s="2" t="s">
        <v>84</v>
      </c>
      <c r="B18" s="2" t="s">
        <v>85</v>
      </c>
      <c r="C18" s="2" t="s">
        <v>86</v>
      </c>
      <c r="D18" s="2" t="s">
        <v>19</v>
      </c>
      <c r="E18" s="2" t="s">
        <v>72</v>
      </c>
      <c r="F18" s="2">
        <v>4.0</v>
      </c>
      <c r="G18" s="2">
        <v>56724.0</v>
      </c>
      <c r="H18" s="2" t="s">
        <v>62</v>
      </c>
      <c r="I18" s="2" t="s">
        <v>28</v>
      </c>
      <c r="J18" s="7" t="str">
        <f t="shared" si="1"/>
        <v>Bulk Order</v>
      </c>
      <c r="K18" s="8" t="str">
        <f t="shared" si="2"/>
        <v>Rahul</v>
      </c>
    </row>
    <row r="19" ht="14.25" customHeight="1">
      <c r="A19" s="2" t="s">
        <v>87</v>
      </c>
      <c r="B19" s="2" t="s">
        <v>88</v>
      </c>
      <c r="C19" s="2" t="s">
        <v>86</v>
      </c>
      <c r="D19" s="2" t="s">
        <v>80</v>
      </c>
      <c r="E19" s="2" t="s">
        <v>89</v>
      </c>
      <c r="F19" s="2">
        <v>2.0</v>
      </c>
      <c r="G19" s="2">
        <v>42861.0</v>
      </c>
      <c r="H19" s="2" t="s">
        <v>14</v>
      </c>
      <c r="I19" s="2" t="s">
        <v>22</v>
      </c>
      <c r="J19" s="7" t="str">
        <f t="shared" si="1"/>
        <v>Regular Order</v>
      </c>
      <c r="K19" s="8" t="str">
        <f t="shared" si="2"/>
        <v>Rohit</v>
      </c>
    </row>
    <row r="20" ht="14.25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2.0</v>
      </c>
      <c r="G20" s="2">
        <v>47994.0</v>
      </c>
      <c r="H20" s="2" t="s">
        <v>48</v>
      </c>
      <c r="I20" s="2" t="s">
        <v>22</v>
      </c>
      <c r="J20" s="7" t="str">
        <f t="shared" si="1"/>
        <v>Regular Order</v>
      </c>
      <c r="K20" s="8" t="str">
        <f t="shared" si="2"/>
        <v>Mohit</v>
      </c>
    </row>
    <row r="21" ht="14.25" customHeight="1">
      <c r="A21" s="2" t="s">
        <v>95</v>
      </c>
      <c r="B21" s="2" t="s">
        <v>96</v>
      </c>
      <c r="C21" s="2" t="s">
        <v>97</v>
      </c>
      <c r="D21" s="2" t="s">
        <v>41</v>
      </c>
      <c r="E21" s="2" t="s">
        <v>98</v>
      </c>
      <c r="F21" s="2">
        <v>4.0</v>
      </c>
      <c r="G21" s="2">
        <v>31475.0</v>
      </c>
      <c r="H21" s="2" t="s">
        <v>21</v>
      </c>
      <c r="I21" s="2" t="s">
        <v>22</v>
      </c>
      <c r="J21" s="7" t="str">
        <f t="shared" si="1"/>
        <v>Bulk Order</v>
      </c>
      <c r="K21" s="8" t="str">
        <f t="shared" si="2"/>
        <v>Ritu</v>
      </c>
    </row>
    <row r="22" ht="14.25" customHeight="1">
      <c r="A22" s="2" t="s">
        <v>99</v>
      </c>
      <c r="B22" s="2" t="s">
        <v>100</v>
      </c>
      <c r="C22" s="2" t="s">
        <v>55</v>
      </c>
      <c r="D22" s="2" t="s">
        <v>101</v>
      </c>
      <c r="E22" s="2" t="s">
        <v>33</v>
      </c>
      <c r="F22" s="2">
        <v>3.0</v>
      </c>
      <c r="G22" s="2">
        <v>40383.0</v>
      </c>
      <c r="H22" s="2" t="s">
        <v>62</v>
      </c>
      <c r="I22" s="2" t="s">
        <v>28</v>
      </c>
      <c r="J22" s="7" t="str">
        <f t="shared" si="1"/>
        <v>Bulk Order</v>
      </c>
      <c r="K22" s="8" t="str">
        <f t="shared" si="2"/>
        <v>Arjun</v>
      </c>
    </row>
    <row r="23" ht="14.25" customHeight="1">
      <c r="A23" s="2" t="s">
        <v>102</v>
      </c>
      <c r="B23" s="2" t="s">
        <v>103</v>
      </c>
      <c r="C23" s="2" t="s">
        <v>18</v>
      </c>
      <c r="D23" s="2" t="s">
        <v>104</v>
      </c>
      <c r="E23" s="2" t="s">
        <v>105</v>
      </c>
      <c r="F23" s="2">
        <v>1.0</v>
      </c>
      <c r="G23" s="2">
        <v>20536.0</v>
      </c>
      <c r="H23" s="2" t="s">
        <v>62</v>
      </c>
      <c r="I23" s="2" t="s">
        <v>28</v>
      </c>
      <c r="J23" s="7" t="str">
        <f t="shared" si="1"/>
        <v>Regular Order</v>
      </c>
      <c r="K23" s="8" t="str">
        <f t="shared" si="2"/>
        <v>Rashmi</v>
      </c>
    </row>
    <row r="24" ht="14.25" customHeight="1">
      <c r="A24" s="2" t="s">
        <v>106</v>
      </c>
      <c r="B24" s="2" t="s">
        <v>107</v>
      </c>
      <c r="C24" s="2" t="s">
        <v>31</v>
      </c>
      <c r="D24" s="2" t="s">
        <v>108</v>
      </c>
      <c r="E24" s="2" t="s">
        <v>36</v>
      </c>
      <c r="F24" s="2">
        <v>1.0</v>
      </c>
      <c r="G24" s="2">
        <v>30227.0</v>
      </c>
      <c r="H24" s="2" t="s">
        <v>21</v>
      </c>
      <c r="I24" s="2" t="s">
        <v>22</v>
      </c>
      <c r="J24" s="7" t="str">
        <f t="shared" si="1"/>
        <v>Regular Order</v>
      </c>
      <c r="K24" s="8" t="str">
        <f t="shared" si="2"/>
        <v>Ritu</v>
      </c>
    </row>
    <row r="25" ht="14.25" customHeight="1">
      <c r="A25" s="2" t="s">
        <v>109</v>
      </c>
      <c r="B25" s="2" t="s">
        <v>110</v>
      </c>
      <c r="C25" s="2" t="s">
        <v>40</v>
      </c>
      <c r="D25" s="2" t="s">
        <v>93</v>
      </c>
      <c r="E25" s="2" t="s">
        <v>111</v>
      </c>
      <c r="F25" s="2">
        <v>3.0</v>
      </c>
      <c r="G25" s="2">
        <v>27921.0</v>
      </c>
      <c r="H25" s="2" t="s">
        <v>21</v>
      </c>
      <c r="I25" s="2" t="s">
        <v>28</v>
      </c>
      <c r="J25" s="7" t="str">
        <f t="shared" si="1"/>
        <v>Bulk Order</v>
      </c>
      <c r="K25" s="8" t="str">
        <f t="shared" si="2"/>
        <v>Aman</v>
      </c>
    </row>
    <row r="26" ht="14.25" customHeight="1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20</v>
      </c>
      <c r="F26" s="2">
        <v>1.0</v>
      </c>
      <c r="G26" s="2">
        <v>61599.0</v>
      </c>
      <c r="H26" s="2" t="s">
        <v>48</v>
      </c>
      <c r="I26" s="2" t="s">
        <v>28</v>
      </c>
      <c r="J26" s="7" t="str">
        <f t="shared" si="1"/>
        <v>Regular Order</v>
      </c>
      <c r="K26" s="8" t="str">
        <f t="shared" si="2"/>
        <v>Karan</v>
      </c>
    </row>
    <row r="27" ht="14.25" customHeight="1">
      <c r="A27" s="2" t="s">
        <v>116</v>
      </c>
      <c r="B27" s="2" t="s">
        <v>117</v>
      </c>
      <c r="C27" s="2" t="s">
        <v>55</v>
      </c>
      <c r="D27" s="2" t="s">
        <v>118</v>
      </c>
      <c r="E27" s="2" t="s">
        <v>93</v>
      </c>
      <c r="F27" s="2">
        <v>1.0</v>
      </c>
      <c r="G27" s="2">
        <v>37877.0</v>
      </c>
      <c r="H27" s="2" t="s">
        <v>21</v>
      </c>
      <c r="I27" s="2" t="s">
        <v>28</v>
      </c>
      <c r="J27" s="7" t="str">
        <f t="shared" si="1"/>
        <v>Regular Order</v>
      </c>
      <c r="K27" s="8" t="str">
        <f t="shared" si="2"/>
        <v>Tina</v>
      </c>
    </row>
    <row r="28" ht="14.25" customHeight="1">
      <c r="A28" s="2" t="s">
        <v>119</v>
      </c>
      <c r="B28" s="2" t="s">
        <v>120</v>
      </c>
      <c r="C28" s="2" t="s">
        <v>86</v>
      </c>
      <c r="D28" s="2" t="s">
        <v>32</v>
      </c>
      <c r="E28" s="2" t="s">
        <v>20</v>
      </c>
      <c r="F28" s="2">
        <v>1.0</v>
      </c>
      <c r="G28" s="2">
        <v>4350.0</v>
      </c>
      <c r="H28" s="2" t="s">
        <v>62</v>
      </c>
      <c r="I28" s="2" t="s">
        <v>28</v>
      </c>
      <c r="J28" s="7" t="str">
        <f t="shared" si="1"/>
        <v>Regular Order</v>
      </c>
      <c r="K28" s="8" t="str">
        <f t="shared" si="2"/>
        <v>Shalini</v>
      </c>
    </row>
    <row r="29" ht="14.25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56</v>
      </c>
      <c r="F29" s="2">
        <v>5.0</v>
      </c>
      <c r="G29" s="2">
        <v>11087.0</v>
      </c>
      <c r="H29" s="2" t="s">
        <v>48</v>
      </c>
      <c r="I29" s="2" t="s">
        <v>22</v>
      </c>
      <c r="J29" s="7" t="str">
        <f t="shared" si="1"/>
        <v>Bulk Order</v>
      </c>
      <c r="K29" s="8" t="str">
        <f t="shared" si="2"/>
        <v>Priya</v>
      </c>
    </row>
    <row r="30" ht="14.25" customHeight="1">
      <c r="A30" s="2" t="s">
        <v>125</v>
      </c>
      <c r="B30" s="2" t="s">
        <v>126</v>
      </c>
      <c r="C30" s="2" t="s">
        <v>11</v>
      </c>
      <c r="D30" s="2" t="s">
        <v>127</v>
      </c>
      <c r="E30" s="2" t="s">
        <v>37</v>
      </c>
      <c r="F30" s="2">
        <v>2.0</v>
      </c>
      <c r="G30" s="2">
        <v>64892.0</v>
      </c>
      <c r="H30" s="2" t="s">
        <v>21</v>
      </c>
      <c r="I30" s="2" t="s">
        <v>28</v>
      </c>
      <c r="J30" s="7" t="str">
        <f t="shared" si="1"/>
        <v>Regular Order</v>
      </c>
      <c r="K30" s="8" t="str">
        <f t="shared" si="2"/>
        <v>Nitin</v>
      </c>
    </row>
    <row r="31" ht="14.25" customHeight="1">
      <c r="A31" s="2" t="s">
        <v>128</v>
      </c>
      <c r="B31" s="2" t="s">
        <v>129</v>
      </c>
      <c r="C31" s="2" t="s">
        <v>123</v>
      </c>
      <c r="D31" s="2" t="s">
        <v>130</v>
      </c>
      <c r="E31" s="2" t="s">
        <v>20</v>
      </c>
      <c r="F31" s="2">
        <v>5.0</v>
      </c>
      <c r="G31" s="2">
        <v>65773.0</v>
      </c>
      <c r="H31" s="2" t="s">
        <v>21</v>
      </c>
      <c r="I31" s="2" t="s">
        <v>28</v>
      </c>
      <c r="J31" s="7" t="str">
        <f t="shared" si="1"/>
        <v>Bulk Order</v>
      </c>
      <c r="K31" s="8" t="str">
        <f t="shared" si="2"/>
        <v>Dev</v>
      </c>
    </row>
    <row r="32" ht="14.25" customHeight="1">
      <c r="A32" s="2" t="s">
        <v>131</v>
      </c>
      <c r="B32" s="2" t="s">
        <v>132</v>
      </c>
      <c r="C32" s="2" t="s">
        <v>97</v>
      </c>
      <c r="D32" s="2" t="s">
        <v>133</v>
      </c>
      <c r="E32" s="2" t="s">
        <v>134</v>
      </c>
      <c r="F32" s="2">
        <v>5.0</v>
      </c>
      <c r="G32" s="2">
        <v>67693.0</v>
      </c>
      <c r="H32" s="2" t="s">
        <v>21</v>
      </c>
      <c r="I32" s="2" t="s">
        <v>15</v>
      </c>
      <c r="J32" s="7" t="str">
        <f t="shared" si="1"/>
        <v>Bulk Order</v>
      </c>
      <c r="K32" s="8" t="str">
        <f t="shared" si="2"/>
        <v>Vikram</v>
      </c>
    </row>
    <row r="33" ht="14.25" customHeight="1">
      <c r="A33" s="2" t="s">
        <v>135</v>
      </c>
      <c r="B33" s="2" t="s">
        <v>136</v>
      </c>
      <c r="C33" s="2" t="s">
        <v>86</v>
      </c>
      <c r="D33" s="2" t="s">
        <v>137</v>
      </c>
      <c r="E33" s="2" t="s">
        <v>138</v>
      </c>
      <c r="F33" s="2">
        <v>4.0</v>
      </c>
      <c r="G33" s="2">
        <v>26320.0</v>
      </c>
      <c r="H33" s="2" t="s">
        <v>14</v>
      </c>
      <c r="I33" s="2" t="s">
        <v>28</v>
      </c>
      <c r="J33" s="7" t="str">
        <f t="shared" si="1"/>
        <v>Bulk Order</v>
      </c>
      <c r="K33" s="8" t="str">
        <f t="shared" si="2"/>
        <v>Sachin</v>
      </c>
    </row>
    <row r="34" ht="14.25" customHeight="1">
      <c r="A34" s="2" t="s">
        <v>139</v>
      </c>
      <c r="B34" s="2" t="s">
        <v>140</v>
      </c>
      <c r="C34" s="2" t="s">
        <v>86</v>
      </c>
      <c r="D34" s="2" t="s">
        <v>36</v>
      </c>
      <c r="E34" s="2" t="s">
        <v>111</v>
      </c>
      <c r="F34" s="2">
        <v>1.0</v>
      </c>
      <c r="G34" s="2">
        <v>42926.0</v>
      </c>
      <c r="H34" s="2" t="s">
        <v>14</v>
      </c>
      <c r="I34" s="2" t="s">
        <v>22</v>
      </c>
      <c r="J34" s="7" t="str">
        <f t="shared" si="1"/>
        <v>Regular Order</v>
      </c>
      <c r="K34" s="8" t="str">
        <f t="shared" si="2"/>
        <v>Simran</v>
      </c>
    </row>
    <row r="35" ht="14.25" customHeight="1">
      <c r="A35" s="2" t="s">
        <v>141</v>
      </c>
      <c r="B35" s="2" t="s">
        <v>142</v>
      </c>
      <c r="C35" s="2" t="s">
        <v>92</v>
      </c>
      <c r="D35" s="2" t="s">
        <v>93</v>
      </c>
      <c r="E35" s="2" t="s">
        <v>143</v>
      </c>
      <c r="F35" s="2">
        <v>1.0</v>
      </c>
      <c r="G35" s="2">
        <v>22275.0</v>
      </c>
      <c r="H35" s="2" t="s">
        <v>62</v>
      </c>
      <c r="I35" s="2" t="s">
        <v>15</v>
      </c>
      <c r="J35" s="7" t="str">
        <f t="shared" si="1"/>
        <v>Regular Order</v>
      </c>
      <c r="K35" s="8" t="str">
        <f t="shared" si="2"/>
        <v>Varun</v>
      </c>
    </row>
    <row r="36" ht="14.25" customHeight="1">
      <c r="A36" s="2" t="s">
        <v>144</v>
      </c>
      <c r="B36" s="2" t="s">
        <v>145</v>
      </c>
      <c r="C36" s="2" t="s">
        <v>25</v>
      </c>
      <c r="D36" s="2" t="s">
        <v>12</v>
      </c>
      <c r="E36" s="2" t="s">
        <v>101</v>
      </c>
      <c r="F36" s="2">
        <v>2.0</v>
      </c>
      <c r="G36" s="2">
        <v>60279.0</v>
      </c>
      <c r="H36" s="2" t="s">
        <v>62</v>
      </c>
      <c r="I36" s="2" t="s">
        <v>22</v>
      </c>
      <c r="J36" s="7" t="str">
        <f t="shared" si="1"/>
        <v>Regular Order</v>
      </c>
      <c r="K36" s="8" t="str">
        <f t="shared" si="2"/>
        <v>Neha</v>
      </c>
    </row>
    <row r="37" ht="14.25" customHeight="1">
      <c r="A37" s="2" t="s">
        <v>146</v>
      </c>
      <c r="B37" s="2" t="s">
        <v>147</v>
      </c>
      <c r="C37" s="2" t="s">
        <v>11</v>
      </c>
      <c r="D37" s="2" t="s">
        <v>37</v>
      </c>
      <c r="E37" s="2" t="s">
        <v>148</v>
      </c>
      <c r="F37" s="2">
        <v>2.0</v>
      </c>
      <c r="G37" s="2">
        <v>28865.0</v>
      </c>
      <c r="H37" s="2" t="s">
        <v>62</v>
      </c>
      <c r="I37" s="2" t="s">
        <v>28</v>
      </c>
      <c r="J37" s="7" t="str">
        <f t="shared" si="1"/>
        <v>Regular Order</v>
      </c>
      <c r="K37" s="8" t="str">
        <f t="shared" si="2"/>
        <v>Mohit</v>
      </c>
    </row>
    <row r="38" ht="14.25" customHeight="1">
      <c r="A38" s="2" t="s">
        <v>149</v>
      </c>
      <c r="B38" s="2" t="s">
        <v>150</v>
      </c>
      <c r="C38" s="2" t="s">
        <v>31</v>
      </c>
      <c r="D38" s="2" t="s">
        <v>56</v>
      </c>
      <c r="E38" s="2" t="s">
        <v>151</v>
      </c>
      <c r="F38" s="2">
        <v>1.0</v>
      </c>
      <c r="G38" s="2">
        <v>21221.0</v>
      </c>
      <c r="H38" s="2" t="s">
        <v>21</v>
      </c>
      <c r="I38" s="2" t="s">
        <v>28</v>
      </c>
      <c r="J38" s="7" t="str">
        <f t="shared" si="1"/>
        <v>Regular Order</v>
      </c>
      <c r="K38" s="8" t="str">
        <f t="shared" si="2"/>
        <v>Kavita</v>
      </c>
    </row>
    <row r="39" ht="14.25" customHeight="1">
      <c r="A39" s="2" t="s">
        <v>152</v>
      </c>
      <c r="B39" s="2" t="s">
        <v>153</v>
      </c>
      <c r="C39" s="2" t="s">
        <v>123</v>
      </c>
      <c r="D39" s="2" t="s">
        <v>61</v>
      </c>
      <c r="E39" s="2" t="s">
        <v>118</v>
      </c>
      <c r="F39" s="2">
        <v>5.0</v>
      </c>
      <c r="G39" s="2">
        <v>55559.0</v>
      </c>
      <c r="H39" s="2" t="s">
        <v>14</v>
      </c>
      <c r="I39" s="2" t="s">
        <v>28</v>
      </c>
      <c r="J39" s="7" t="str">
        <f t="shared" si="1"/>
        <v>Bulk Order</v>
      </c>
      <c r="K39" s="8" t="str">
        <f t="shared" si="2"/>
        <v>Nupur</v>
      </c>
    </row>
    <row r="40" ht="14.25" customHeight="1">
      <c r="A40" s="2" t="s">
        <v>154</v>
      </c>
      <c r="B40" s="2" t="s">
        <v>155</v>
      </c>
      <c r="C40" s="2" t="s">
        <v>97</v>
      </c>
      <c r="D40" s="2" t="s">
        <v>156</v>
      </c>
      <c r="E40" s="2" t="s">
        <v>89</v>
      </c>
      <c r="F40" s="2">
        <v>3.0</v>
      </c>
      <c r="G40" s="2">
        <v>2641.0</v>
      </c>
      <c r="H40" s="2" t="s">
        <v>48</v>
      </c>
      <c r="I40" s="2" t="s">
        <v>22</v>
      </c>
      <c r="J40" s="7" t="str">
        <f t="shared" si="1"/>
        <v>Bulk Order</v>
      </c>
      <c r="K40" s="8" t="str">
        <f t="shared" si="2"/>
        <v>Sunita</v>
      </c>
    </row>
    <row r="41" ht="14.25" customHeight="1">
      <c r="A41" s="2" t="s">
        <v>157</v>
      </c>
      <c r="B41" s="2" t="s">
        <v>158</v>
      </c>
      <c r="C41" s="2" t="s">
        <v>86</v>
      </c>
      <c r="D41" s="2" t="s">
        <v>159</v>
      </c>
      <c r="E41" s="2" t="s">
        <v>19</v>
      </c>
      <c r="F41" s="2">
        <v>2.0</v>
      </c>
      <c r="G41" s="2">
        <v>59131.0</v>
      </c>
      <c r="H41" s="2" t="s">
        <v>14</v>
      </c>
      <c r="I41" s="2" t="s">
        <v>22</v>
      </c>
      <c r="J41" s="7" t="str">
        <f t="shared" si="1"/>
        <v>Regular Order</v>
      </c>
      <c r="K41" s="8" t="str">
        <f t="shared" si="2"/>
        <v>Manish</v>
      </c>
    </row>
    <row r="42" ht="14.25" customHeight="1">
      <c r="A42" s="2" t="s">
        <v>160</v>
      </c>
      <c r="B42" s="2" t="s">
        <v>161</v>
      </c>
      <c r="C42" s="2" t="s">
        <v>114</v>
      </c>
      <c r="D42" s="2" t="s">
        <v>162</v>
      </c>
      <c r="E42" s="2" t="s">
        <v>127</v>
      </c>
      <c r="F42" s="2">
        <v>5.0</v>
      </c>
      <c r="G42" s="2">
        <v>63752.0</v>
      </c>
      <c r="H42" s="2" t="s">
        <v>48</v>
      </c>
      <c r="I42" s="2" t="s">
        <v>28</v>
      </c>
      <c r="J42" s="7" t="str">
        <f t="shared" si="1"/>
        <v>Bulk Order</v>
      </c>
      <c r="K42" s="8" t="str">
        <f t="shared" si="2"/>
        <v>Sunita</v>
      </c>
    </row>
    <row r="43" ht="14.25" customHeight="1">
      <c r="A43" s="2" t="s">
        <v>163</v>
      </c>
      <c r="B43" s="2" t="s">
        <v>164</v>
      </c>
      <c r="C43" s="2" t="s">
        <v>55</v>
      </c>
      <c r="D43" s="2" t="s">
        <v>134</v>
      </c>
      <c r="E43" s="2" t="s">
        <v>165</v>
      </c>
      <c r="F43" s="2">
        <v>4.0</v>
      </c>
      <c r="G43" s="2">
        <v>42104.0</v>
      </c>
      <c r="H43" s="2" t="s">
        <v>21</v>
      </c>
      <c r="I43" s="2" t="s">
        <v>22</v>
      </c>
      <c r="J43" s="7" t="str">
        <f t="shared" si="1"/>
        <v>Bulk Order</v>
      </c>
      <c r="K43" s="8" t="str">
        <f t="shared" si="2"/>
        <v>Karan</v>
      </c>
    </row>
    <row r="44" ht="14.25" customHeight="1">
      <c r="A44" s="2" t="s">
        <v>166</v>
      </c>
      <c r="B44" s="2" t="s">
        <v>167</v>
      </c>
      <c r="C44" s="2" t="s">
        <v>31</v>
      </c>
      <c r="D44" s="2" t="s">
        <v>138</v>
      </c>
      <c r="E44" s="2" t="s">
        <v>168</v>
      </c>
      <c r="F44" s="2">
        <v>2.0</v>
      </c>
      <c r="G44" s="2">
        <v>26803.0</v>
      </c>
      <c r="H44" s="2" t="s">
        <v>48</v>
      </c>
      <c r="I44" s="2" t="s">
        <v>15</v>
      </c>
      <c r="J44" s="7" t="str">
        <f t="shared" si="1"/>
        <v>Regular Order</v>
      </c>
      <c r="K44" s="8" t="str">
        <f t="shared" si="2"/>
        <v>Deepak</v>
      </c>
    </row>
    <row r="45" ht="14.25" customHeight="1">
      <c r="A45" s="2" t="s">
        <v>169</v>
      </c>
      <c r="B45" s="2" t="s">
        <v>170</v>
      </c>
      <c r="C45" s="2" t="s">
        <v>11</v>
      </c>
      <c r="D45" s="2" t="s">
        <v>171</v>
      </c>
      <c r="E45" s="2" t="s">
        <v>81</v>
      </c>
      <c r="F45" s="2">
        <v>5.0</v>
      </c>
      <c r="G45" s="2">
        <v>64309.0</v>
      </c>
      <c r="H45" s="2" t="s">
        <v>14</v>
      </c>
      <c r="I45" s="2" t="s">
        <v>28</v>
      </c>
      <c r="J45" s="7" t="str">
        <f t="shared" si="1"/>
        <v>Bulk Order</v>
      </c>
      <c r="K45" s="8" t="str">
        <f t="shared" si="2"/>
        <v>Kiran</v>
      </c>
    </row>
    <row r="46" ht="14.25" customHeight="1">
      <c r="A46" s="2" t="s">
        <v>172</v>
      </c>
      <c r="B46" s="2" t="s">
        <v>173</v>
      </c>
      <c r="C46" s="2" t="s">
        <v>92</v>
      </c>
      <c r="D46" s="2" t="s">
        <v>127</v>
      </c>
      <c r="E46" s="2" t="s">
        <v>111</v>
      </c>
      <c r="F46" s="2">
        <v>5.0</v>
      </c>
      <c r="G46" s="2">
        <v>60923.0</v>
      </c>
      <c r="H46" s="2" t="s">
        <v>14</v>
      </c>
      <c r="I46" s="2" t="s">
        <v>28</v>
      </c>
      <c r="J46" s="7" t="str">
        <f t="shared" si="1"/>
        <v>Bulk Order</v>
      </c>
      <c r="K46" s="8" t="str">
        <f t="shared" si="2"/>
        <v>Geeta</v>
      </c>
    </row>
    <row r="47" ht="14.25" customHeight="1">
      <c r="A47" s="2" t="s">
        <v>174</v>
      </c>
      <c r="B47" s="2" t="s">
        <v>175</v>
      </c>
      <c r="C47" s="2" t="s">
        <v>97</v>
      </c>
      <c r="D47" s="2" t="s">
        <v>56</v>
      </c>
      <c r="E47" s="2" t="s">
        <v>151</v>
      </c>
      <c r="F47" s="2">
        <v>1.0</v>
      </c>
      <c r="G47" s="2">
        <v>6488.0</v>
      </c>
      <c r="H47" s="2" t="s">
        <v>14</v>
      </c>
      <c r="I47" s="2" t="s">
        <v>28</v>
      </c>
      <c r="J47" s="7" t="str">
        <f t="shared" si="1"/>
        <v>Regular Order</v>
      </c>
      <c r="K47" s="8" t="str">
        <f t="shared" si="2"/>
        <v>Riya</v>
      </c>
    </row>
    <row r="48" ht="14.25" customHeight="1">
      <c r="A48" s="2" t="s">
        <v>176</v>
      </c>
      <c r="B48" s="2" t="s">
        <v>177</v>
      </c>
      <c r="C48" s="2" t="s">
        <v>25</v>
      </c>
      <c r="D48" s="2" t="s">
        <v>12</v>
      </c>
      <c r="E48" s="2" t="s">
        <v>101</v>
      </c>
      <c r="F48" s="2">
        <v>6.0</v>
      </c>
      <c r="G48" s="2">
        <v>45482.0</v>
      </c>
      <c r="H48" s="2" t="s">
        <v>14</v>
      </c>
      <c r="I48" s="2" t="s">
        <v>28</v>
      </c>
      <c r="J48" s="7" t="str">
        <f t="shared" si="1"/>
        <v>Bulk Order</v>
      </c>
      <c r="K48" s="8" t="str">
        <f t="shared" si="2"/>
        <v>Divya</v>
      </c>
    </row>
    <row r="49" ht="14.25" customHeight="1">
      <c r="A49" s="2" t="s">
        <v>178</v>
      </c>
      <c r="B49" s="2" t="s">
        <v>179</v>
      </c>
      <c r="C49" s="2" t="s">
        <v>11</v>
      </c>
      <c r="D49" s="2" t="s">
        <v>180</v>
      </c>
      <c r="E49" s="2" t="s">
        <v>181</v>
      </c>
      <c r="F49" s="2">
        <v>1.0</v>
      </c>
      <c r="G49" s="2">
        <v>47310.0</v>
      </c>
      <c r="H49" s="2" t="s">
        <v>21</v>
      </c>
      <c r="I49" s="2" t="s">
        <v>28</v>
      </c>
      <c r="J49" s="7" t="str">
        <f t="shared" si="1"/>
        <v>Regular Order</v>
      </c>
      <c r="K49" s="8" t="str">
        <f t="shared" si="2"/>
        <v>Karthik</v>
      </c>
    </row>
    <row r="50" ht="14.25" customHeight="1">
      <c r="A50" s="2" t="s">
        <v>182</v>
      </c>
      <c r="B50" s="2" t="s">
        <v>83</v>
      </c>
      <c r="C50" s="2" t="s">
        <v>123</v>
      </c>
      <c r="D50" s="2" t="s">
        <v>20</v>
      </c>
      <c r="E50" s="2" t="s">
        <v>68</v>
      </c>
      <c r="F50" s="2">
        <v>1.0</v>
      </c>
      <c r="G50" s="2">
        <v>16901.0</v>
      </c>
      <c r="H50" s="2" t="s">
        <v>48</v>
      </c>
      <c r="I50" s="2" t="s">
        <v>28</v>
      </c>
      <c r="J50" s="7" t="str">
        <f t="shared" si="1"/>
        <v>Regular Order</v>
      </c>
      <c r="K50" s="8" t="str">
        <f t="shared" si="2"/>
        <v>Pooja</v>
      </c>
    </row>
    <row r="51" ht="14.25" customHeight="1">
      <c r="A51" s="2" t="s">
        <v>183</v>
      </c>
      <c r="B51" s="2" t="s">
        <v>184</v>
      </c>
      <c r="C51" s="2" t="s">
        <v>185</v>
      </c>
      <c r="D51" s="2" t="s">
        <v>101</v>
      </c>
      <c r="E51" s="2" t="s">
        <v>13</v>
      </c>
      <c r="F51" s="2">
        <v>4.0</v>
      </c>
      <c r="G51" s="2">
        <v>36642.0</v>
      </c>
      <c r="H51" s="2" t="s">
        <v>48</v>
      </c>
      <c r="I51" s="2" t="s">
        <v>28</v>
      </c>
      <c r="J51" s="7" t="str">
        <f t="shared" si="1"/>
        <v>Bulk Order</v>
      </c>
      <c r="K51" s="8" t="str">
        <f t="shared" si="2"/>
        <v>Rohan</v>
      </c>
    </row>
    <row r="52" ht="14.25" customHeight="1">
      <c r="A52" s="2" t="s">
        <v>186</v>
      </c>
      <c r="B52" s="2" t="s">
        <v>187</v>
      </c>
      <c r="C52" s="2" t="s">
        <v>18</v>
      </c>
      <c r="D52" s="2" t="s">
        <v>188</v>
      </c>
      <c r="E52" s="2" t="s">
        <v>46</v>
      </c>
      <c r="F52" s="2">
        <v>3.0</v>
      </c>
      <c r="G52" s="2">
        <v>45563.0</v>
      </c>
      <c r="H52" s="2" t="s">
        <v>62</v>
      </c>
      <c r="I52" s="2" t="s">
        <v>22</v>
      </c>
      <c r="J52" s="7" t="str">
        <f t="shared" si="1"/>
        <v>Bulk Order</v>
      </c>
      <c r="K52" s="8" t="str">
        <f t="shared" si="2"/>
        <v>Karthik</v>
      </c>
    </row>
    <row r="53" ht="14.25" customHeight="1">
      <c r="A53" s="2" t="s">
        <v>189</v>
      </c>
      <c r="B53" s="2" t="s">
        <v>190</v>
      </c>
      <c r="C53" s="2" t="s">
        <v>86</v>
      </c>
      <c r="D53" s="2" t="s">
        <v>138</v>
      </c>
      <c r="E53" s="2" t="s">
        <v>191</v>
      </c>
      <c r="F53" s="2">
        <v>4.0</v>
      </c>
      <c r="G53" s="2">
        <v>22996.0</v>
      </c>
      <c r="H53" s="2" t="s">
        <v>62</v>
      </c>
      <c r="I53" s="2" t="s">
        <v>15</v>
      </c>
      <c r="J53" s="7" t="str">
        <f t="shared" si="1"/>
        <v>Bulk Order</v>
      </c>
      <c r="K53" s="8" t="str">
        <f t="shared" si="2"/>
        <v>Megha</v>
      </c>
    </row>
    <row r="54" ht="14.25" customHeight="1">
      <c r="A54" s="2" t="s">
        <v>192</v>
      </c>
      <c r="B54" s="2" t="s">
        <v>193</v>
      </c>
      <c r="C54" s="2" t="s">
        <v>55</v>
      </c>
      <c r="D54" s="2" t="s">
        <v>68</v>
      </c>
      <c r="E54" s="2" t="s">
        <v>56</v>
      </c>
      <c r="F54" s="2">
        <v>3.0</v>
      </c>
      <c r="G54" s="2">
        <v>44183.0</v>
      </c>
      <c r="H54" s="2" t="s">
        <v>48</v>
      </c>
      <c r="I54" s="2" t="s">
        <v>28</v>
      </c>
      <c r="J54" s="7" t="str">
        <f t="shared" si="1"/>
        <v>Bulk Order</v>
      </c>
      <c r="K54" s="8" t="str">
        <f t="shared" si="2"/>
        <v>Karthik</v>
      </c>
    </row>
    <row r="55" ht="14.25" customHeight="1">
      <c r="A55" s="2" t="s">
        <v>194</v>
      </c>
      <c r="B55" s="2" t="s">
        <v>195</v>
      </c>
      <c r="C55" s="2" t="s">
        <v>185</v>
      </c>
      <c r="D55" s="2" t="s">
        <v>36</v>
      </c>
      <c r="E55" s="2" t="s">
        <v>196</v>
      </c>
      <c r="F55" s="2">
        <v>5.0</v>
      </c>
      <c r="G55" s="2">
        <v>23977.0</v>
      </c>
      <c r="H55" s="2" t="s">
        <v>48</v>
      </c>
      <c r="I55" s="2" t="s">
        <v>22</v>
      </c>
      <c r="J55" s="7" t="str">
        <f t="shared" si="1"/>
        <v>Bulk Order</v>
      </c>
      <c r="K55" s="8" t="str">
        <f t="shared" si="2"/>
        <v>Pallavi</v>
      </c>
    </row>
    <row r="56" ht="14.25" customHeight="1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76</v>
      </c>
      <c r="F56" s="2">
        <v>4.0</v>
      </c>
      <c r="G56" s="2">
        <v>61336.0</v>
      </c>
      <c r="H56" s="2" t="s">
        <v>21</v>
      </c>
      <c r="I56" s="2" t="s">
        <v>28</v>
      </c>
      <c r="J56" s="7" t="str">
        <f t="shared" si="1"/>
        <v>Bulk Order</v>
      </c>
      <c r="K56" s="8" t="str">
        <f t="shared" si="2"/>
        <v>Ravi</v>
      </c>
    </row>
    <row r="57" ht="14.25" customHeight="1">
      <c r="A57" s="2" t="s">
        <v>201</v>
      </c>
      <c r="B57" s="2" t="s">
        <v>202</v>
      </c>
      <c r="C57" s="2" t="s">
        <v>114</v>
      </c>
      <c r="D57" s="2" t="s">
        <v>203</v>
      </c>
      <c r="E57" s="2" t="s">
        <v>171</v>
      </c>
      <c r="F57" s="2">
        <v>3.0</v>
      </c>
      <c r="G57" s="2">
        <v>28560.0</v>
      </c>
      <c r="H57" s="2" t="s">
        <v>14</v>
      </c>
      <c r="I57" s="2" t="s">
        <v>22</v>
      </c>
      <c r="J57" s="7" t="str">
        <f t="shared" si="1"/>
        <v>Bulk Order</v>
      </c>
      <c r="K57" s="8" t="str">
        <f t="shared" si="2"/>
        <v>Varun</v>
      </c>
    </row>
    <row r="58" ht="14.25" customHeight="1">
      <c r="A58" s="2" t="s">
        <v>204</v>
      </c>
      <c r="B58" s="2" t="s">
        <v>205</v>
      </c>
      <c r="C58" s="2" t="s">
        <v>25</v>
      </c>
      <c r="D58" s="2" t="s">
        <v>206</v>
      </c>
      <c r="E58" s="2" t="s">
        <v>207</v>
      </c>
      <c r="F58" s="2">
        <v>6.0</v>
      </c>
      <c r="G58" s="2">
        <v>17033.0</v>
      </c>
      <c r="H58" s="2" t="s">
        <v>48</v>
      </c>
      <c r="I58" s="2" t="s">
        <v>28</v>
      </c>
      <c r="J58" s="7" t="str">
        <f t="shared" si="1"/>
        <v>Bulk Order</v>
      </c>
      <c r="K58" s="8" t="str">
        <f t="shared" si="2"/>
        <v>Rahul</v>
      </c>
    </row>
    <row r="59" ht="14.25" customHeight="1">
      <c r="A59" s="2" t="s">
        <v>208</v>
      </c>
      <c r="B59" s="2" t="s">
        <v>209</v>
      </c>
      <c r="C59" s="2" t="s">
        <v>97</v>
      </c>
      <c r="D59" s="2" t="s">
        <v>118</v>
      </c>
      <c r="E59" s="2" t="s">
        <v>180</v>
      </c>
      <c r="F59" s="2">
        <v>4.0</v>
      </c>
      <c r="G59" s="2">
        <v>8225.0</v>
      </c>
      <c r="H59" s="2" t="s">
        <v>62</v>
      </c>
      <c r="I59" s="2" t="s">
        <v>28</v>
      </c>
      <c r="J59" s="7" t="str">
        <f t="shared" si="1"/>
        <v>Bulk Order</v>
      </c>
      <c r="K59" s="8" t="str">
        <f t="shared" si="2"/>
        <v>Ravi</v>
      </c>
    </row>
    <row r="60" ht="14.25" customHeight="1">
      <c r="A60" s="2" t="s">
        <v>210</v>
      </c>
      <c r="B60" s="2" t="s">
        <v>211</v>
      </c>
      <c r="C60" s="2" t="s">
        <v>185</v>
      </c>
      <c r="D60" s="2" t="s">
        <v>76</v>
      </c>
      <c r="E60" s="2" t="s">
        <v>65</v>
      </c>
      <c r="F60" s="2">
        <v>5.0</v>
      </c>
      <c r="G60" s="2">
        <v>32053.0</v>
      </c>
      <c r="H60" s="2" t="s">
        <v>21</v>
      </c>
      <c r="I60" s="2" t="s">
        <v>28</v>
      </c>
      <c r="J60" s="7" t="str">
        <f t="shared" si="1"/>
        <v>Bulk Order</v>
      </c>
      <c r="K60" s="8" t="str">
        <f t="shared" si="2"/>
        <v>Suraj</v>
      </c>
    </row>
    <row r="61" ht="14.25" customHeight="1">
      <c r="A61" s="2" t="s">
        <v>212</v>
      </c>
      <c r="B61" s="2" t="s">
        <v>213</v>
      </c>
      <c r="C61" s="2" t="s">
        <v>11</v>
      </c>
      <c r="D61" s="2" t="s">
        <v>73</v>
      </c>
      <c r="E61" s="2" t="s">
        <v>124</v>
      </c>
      <c r="F61" s="2">
        <v>1.0</v>
      </c>
      <c r="G61" s="2">
        <v>23765.0</v>
      </c>
      <c r="H61" s="2" t="s">
        <v>14</v>
      </c>
      <c r="I61" s="2" t="s">
        <v>28</v>
      </c>
      <c r="J61" s="7" t="str">
        <f t="shared" si="1"/>
        <v>Regular Order</v>
      </c>
      <c r="K61" s="8" t="str">
        <f t="shared" si="2"/>
        <v>Neha</v>
      </c>
    </row>
    <row r="62" ht="14.25" customHeight="1">
      <c r="A62" s="2" t="s">
        <v>214</v>
      </c>
      <c r="B62" s="2" t="s">
        <v>215</v>
      </c>
      <c r="C62" s="2" t="s">
        <v>45</v>
      </c>
      <c r="D62" s="2" t="s">
        <v>191</v>
      </c>
      <c r="E62" s="2" t="s">
        <v>27</v>
      </c>
      <c r="F62" s="2">
        <v>4.0</v>
      </c>
      <c r="G62" s="2">
        <v>63627.0</v>
      </c>
      <c r="H62" s="2" t="s">
        <v>62</v>
      </c>
      <c r="I62" s="2" t="s">
        <v>22</v>
      </c>
      <c r="J62" s="7" t="str">
        <f t="shared" si="1"/>
        <v>Bulk Order</v>
      </c>
      <c r="K62" s="8" t="str">
        <f t="shared" si="2"/>
        <v>Alok</v>
      </c>
    </row>
    <row r="63" ht="14.25" customHeight="1">
      <c r="A63" s="2" t="s">
        <v>216</v>
      </c>
      <c r="B63" s="2" t="s">
        <v>217</v>
      </c>
      <c r="C63" s="2" t="s">
        <v>199</v>
      </c>
      <c r="D63" s="2" t="s">
        <v>162</v>
      </c>
      <c r="E63" s="2" t="s">
        <v>36</v>
      </c>
      <c r="F63" s="2">
        <v>6.0</v>
      </c>
      <c r="G63" s="2">
        <v>44304.0</v>
      </c>
      <c r="H63" s="2" t="s">
        <v>48</v>
      </c>
      <c r="I63" s="2" t="s">
        <v>28</v>
      </c>
      <c r="J63" s="7" t="str">
        <f t="shared" si="1"/>
        <v>Bulk Order</v>
      </c>
      <c r="K63" s="8" t="str">
        <f t="shared" si="2"/>
        <v>Rohan</v>
      </c>
    </row>
    <row r="64" ht="14.25" customHeight="1">
      <c r="A64" s="2" t="s">
        <v>218</v>
      </c>
      <c r="B64" s="2" t="s">
        <v>219</v>
      </c>
      <c r="C64" s="2" t="s">
        <v>11</v>
      </c>
      <c r="D64" s="2" t="s">
        <v>60</v>
      </c>
      <c r="E64" s="2" t="s">
        <v>42</v>
      </c>
      <c r="F64" s="2">
        <v>5.0</v>
      </c>
      <c r="G64" s="2">
        <v>27814.0</v>
      </c>
      <c r="H64" s="2" t="s">
        <v>21</v>
      </c>
      <c r="I64" s="2" t="s">
        <v>28</v>
      </c>
      <c r="J64" s="7" t="str">
        <f t="shared" si="1"/>
        <v>Bulk Order</v>
      </c>
      <c r="K64" s="8" t="str">
        <f t="shared" si="2"/>
        <v>Pallavi</v>
      </c>
    </row>
    <row r="65" ht="14.25" customHeight="1">
      <c r="A65" s="2" t="s">
        <v>220</v>
      </c>
      <c r="B65" s="2" t="s">
        <v>221</v>
      </c>
      <c r="C65" s="2" t="s">
        <v>45</v>
      </c>
      <c r="D65" s="2" t="s">
        <v>222</v>
      </c>
      <c r="E65" s="2" t="s">
        <v>223</v>
      </c>
      <c r="F65" s="2">
        <v>2.0</v>
      </c>
      <c r="G65" s="2">
        <v>12746.0</v>
      </c>
      <c r="H65" s="2" t="s">
        <v>62</v>
      </c>
      <c r="I65" s="2" t="s">
        <v>15</v>
      </c>
      <c r="J65" s="7" t="str">
        <f t="shared" si="1"/>
        <v>Regular Order</v>
      </c>
      <c r="K65" s="8" t="str">
        <f t="shared" si="2"/>
        <v>Geeta</v>
      </c>
    </row>
    <row r="66" ht="14.25" customHeight="1">
      <c r="A66" s="2" t="s">
        <v>224</v>
      </c>
      <c r="B66" s="2" t="s">
        <v>225</v>
      </c>
      <c r="C66" s="2" t="s">
        <v>86</v>
      </c>
      <c r="D66" s="2" t="s">
        <v>162</v>
      </c>
      <c r="E66" s="2" t="s">
        <v>94</v>
      </c>
      <c r="F66" s="2">
        <v>3.0</v>
      </c>
      <c r="G66" s="2">
        <v>66758.0</v>
      </c>
      <c r="H66" s="2" t="s">
        <v>62</v>
      </c>
      <c r="I66" s="2" t="s">
        <v>28</v>
      </c>
      <c r="J66" s="7" t="str">
        <f t="shared" si="1"/>
        <v>Bulk Order</v>
      </c>
      <c r="K66" s="8" t="str">
        <f t="shared" si="2"/>
        <v>Kavita</v>
      </c>
    </row>
    <row r="67" ht="14.25" customHeight="1">
      <c r="A67" s="2" t="s">
        <v>226</v>
      </c>
      <c r="B67" s="2" t="s">
        <v>227</v>
      </c>
      <c r="C67" s="2" t="s">
        <v>25</v>
      </c>
      <c r="D67" s="2" t="s">
        <v>37</v>
      </c>
      <c r="E67" s="2" t="s">
        <v>228</v>
      </c>
      <c r="F67" s="2">
        <v>1.0</v>
      </c>
      <c r="G67" s="2">
        <v>9833.0</v>
      </c>
      <c r="H67" s="2" t="s">
        <v>48</v>
      </c>
      <c r="I67" s="2" t="s">
        <v>15</v>
      </c>
      <c r="J67" s="7" t="str">
        <f t="shared" si="1"/>
        <v>Regular Order</v>
      </c>
      <c r="K67" s="8" t="str">
        <f t="shared" si="2"/>
        <v>Vikram</v>
      </c>
    </row>
    <row r="68" ht="14.25" customHeight="1">
      <c r="A68" s="2" t="s">
        <v>229</v>
      </c>
      <c r="B68" s="2" t="s">
        <v>230</v>
      </c>
      <c r="C68" s="2" t="s">
        <v>97</v>
      </c>
      <c r="D68" s="2" t="s">
        <v>27</v>
      </c>
      <c r="E68" s="2" t="s">
        <v>231</v>
      </c>
      <c r="F68" s="2">
        <v>6.0</v>
      </c>
      <c r="G68" s="2">
        <v>19276.0</v>
      </c>
      <c r="H68" s="2" t="s">
        <v>48</v>
      </c>
      <c r="I68" s="2" t="s">
        <v>22</v>
      </c>
      <c r="J68" s="7" t="str">
        <f t="shared" si="1"/>
        <v>Bulk Order</v>
      </c>
      <c r="K68" s="8" t="str">
        <f t="shared" si="2"/>
        <v>Simran</v>
      </c>
    </row>
    <row r="69" ht="14.25" customHeight="1">
      <c r="A69" s="2" t="s">
        <v>232</v>
      </c>
      <c r="B69" s="2" t="s">
        <v>233</v>
      </c>
      <c r="C69" s="2" t="s">
        <v>59</v>
      </c>
      <c r="D69" s="2" t="s">
        <v>191</v>
      </c>
      <c r="E69" s="2" t="s">
        <v>162</v>
      </c>
      <c r="F69" s="2">
        <v>5.0</v>
      </c>
      <c r="G69" s="2">
        <v>8589.0</v>
      </c>
      <c r="H69" s="2" t="s">
        <v>21</v>
      </c>
      <c r="I69" s="2" t="s">
        <v>28</v>
      </c>
      <c r="J69" s="7" t="str">
        <f t="shared" si="1"/>
        <v>Bulk Order</v>
      </c>
      <c r="K69" s="8" t="str">
        <f t="shared" si="2"/>
        <v>Kavita</v>
      </c>
    </row>
    <row r="70" ht="14.25" customHeight="1">
      <c r="A70" s="2" t="s">
        <v>234</v>
      </c>
      <c r="B70" s="2" t="s">
        <v>235</v>
      </c>
      <c r="C70" s="2" t="s">
        <v>25</v>
      </c>
      <c r="D70" s="2" t="s">
        <v>41</v>
      </c>
      <c r="E70" s="2" t="s">
        <v>151</v>
      </c>
      <c r="F70" s="2">
        <v>1.0</v>
      </c>
      <c r="G70" s="2">
        <v>24228.0</v>
      </c>
      <c r="H70" s="2" t="s">
        <v>48</v>
      </c>
      <c r="I70" s="2" t="s">
        <v>28</v>
      </c>
      <c r="J70" s="7" t="str">
        <f t="shared" si="1"/>
        <v>Regular Order</v>
      </c>
      <c r="K70" s="8" t="str">
        <f t="shared" si="2"/>
        <v>Shalini</v>
      </c>
    </row>
    <row r="71" ht="14.25" customHeight="1">
      <c r="A71" s="2" t="s">
        <v>236</v>
      </c>
      <c r="B71" s="2" t="s">
        <v>237</v>
      </c>
      <c r="C71" s="2" t="s">
        <v>86</v>
      </c>
      <c r="D71" s="2" t="s">
        <v>156</v>
      </c>
      <c r="E71" s="2" t="s">
        <v>171</v>
      </c>
      <c r="F71" s="2">
        <v>6.0</v>
      </c>
      <c r="G71" s="2">
        <v>45999.0</v>
      </c>
      <c r="H71" s="2" t="s">
        <v>21</v>
      </c>
      <c r="I71" s="2" t="s">
        <v>28</v>
      </c>
      <c r="J71" s="7" t="str">
        <f t="shared" si="1"/>
        <v>Bulk Order</v>
      </c>
      <c r="K71" s="8" t="str">
        <f t="shared" si="2"/>
        <v>Aman</v>
      </c>
    </row>
    <row r="72" ht="14.25" customHeight="1">
      <c r="A72" s="2" t="s">
        <v>238</v>
      </c>
      <c r="B72" s="2" t="s">
        <v>239</v>
      </c>
      <c r="C72" s="2" t="s">
        <v>114</v>
      </c>
      <c r="D72" s="2" t="s">
        <v>108</v>
      </c>
      <c r="E72" s="2" t="s">
        <v>231</v>
      </c>
      <c r="F72" s="2">
        <v>6.0</v>
      </c>
      <c r="G72" s="2">
        <v>16843.0</v>
      </c>
      <c r="H72" s="2" t="s">
        <v>21</v>
      </c>
      <c r="I72" s="2" t="s">
        <v>28</v>
      </c>
      <c r="J72" s="7" t="str">
        <f t="shared" si="1"/>
        <v>Bulk Order</v>
      </c>
      <c r="K72" s="8" t="str">
        <f t="shared" si="2"/>
        <v>Ajay</v>
      </c>
    </row>
    <row r="73" ht="14.25" customHeight="1">
      <c r="A73" s="2" t="s">
        <v>240</v>
      </c>
      <c r="B73" s="2" t="s">
        <v>241</v>
      </c>
      <c r="C73" s="2" t="s">
        <v>18</v>
      </c>
      <c r="D73" s="2" t="s">
        <v>191</v>
      </c>
      <c r="E73" s="2" t="s">
        <v>36</v>
      </c>
      <c r="F73" s="2">
        <v>5.0</v>
      </c>
      <c r="G73" s="2">
        <v>11432.0</v>
      </c>
      <c r="H73" s="2" t="s">
        <v>48</v>
      </c>
      <c r="I73" s="2" t="s">
        <v>28</v>
      </c>
      <c r="J73" s="7" t="str">
        <f t="shared" si="1"/>
        <v>Bulk Order</v>
      </c>
      <c r="K73" s="8" t="str">
        <f t="shared" si="2"/>
        <v>Rashmi</v>
      </c>
    </row>
    <row r="74" ht="14.25" customHeight="1">
      <c r="A74" s="2" t="s">
        <v>242</v>
      </c>
      <c r="B74" s="2" t="s">
        <v>243</v>
      </c>
      <c r="C74" s="2" t="s">
        <v>97</v>
      </c>
      <c r="D74" s="2" t="s">
        <v>69</v>
      </c>
      <c r="E74" s="2" t="s">
        <v>244</v>
      </c>
      <c r="F74" s="2">
        <v>3.0</v>
      </c>
      <c r="G74" s="2">
        <v>6930.0</v>
      </c>
      <c r="H74" s="2" t="s">
        <v>62</v>
      </c>
      <c r="I74" s="2" t="s">
        <v>28</v>
      </c>
      <c r="J74" s="7" t="str">
        <f t="shared" si="1"/>
        <v>Bulk Order</v>
      </c>
      <c r="K74" s="8" t="str">
        <f t="shared" si="2"/>
        <v>Ankit</v>
      </c>
    </row>
    <row r="75" ht="14.25" customHeight="1">
      <c r="A75" s="2" t="s">
        <v>245</v>
      </c>
      <c r="B75" s="2" t="s">
        <v>246</v>
      </c>
      <c r="C75" s="2" t="s">
        <v>114</v>
      </c>
      <c r="D75" s="2" t="s">
        <v>98</v>
      </c>
      <c r="E75" s="2" t="s">
        <v>108</v>
      </c>
      <c r="F75" s="2">
        <v>2.0</v>
      </c>
      <c r="G75" s="2">
        <v>5931.0</v>
      </c>
      <c r="H75" s="2" t="s">
        <v>14</v>
      </c>
      <c r="I75" s="2" t="s">
        <v>28</v>
      </c>
      <c r="J75" s="7" t="str">
        <f t="shared" si="1"/>
        <v>Regular Order</v>
      </c>
      <c r="K75" s="8" t="str">
        <f t="shared" si="2"/>
        <v>Ajay</v>
      </c>
    </row>
    <row r="76" ht="14.25" customHeight="1">
      <c r="A76" s="2" t="s">
        <v>247</v>
      </c>
      <c r="B76" s="2" t="s">
        <v>248</v>
      </c>
      <c r="C76" s="2" t="s">
        <v>25</v>
      </c>
      <c r="D76" s="2" t="s">
        <v>127</v>
      </c>
      <c r="E76" s="2" t="s">
        <v>93</v>
      </c>
      <c r="F76" s="2">
        <v>4.0</v>
      </c>
      <c r="G76" s="2">
        <v>42890.0</v>
      </c>
      <c r="H76" s="2" t="s">
        <v>14</v>
      </c>
      <c r="I76" s="2" t="s">
        <v>28</v>
      </c>
      <c r="J76" s="7" t="str">
        <f t="shared" si="1"/>
        <v>Bulk Order</v>
      </c>
      <c r="K76" s="8" t="str">
        <f t="shared" si="2"/>
        <v>Ankit</v>
      </c>
    </row>
    <row r="77" ht="14.25" customHeight="1">
      <c r="A77" s="2" t="s">
        <v>249</v>
      </c>
      <c r="B77" s="2" t="s">
        <v>250</v>
      </c>
      <c r="C77" s="2" t="s">
        <v>59</v>
      </c>
      <c r="D77" s="2" t="s">
        <v>251</v>
      </c>
      <c r="E77" s="2" t="s">
        <v>77</v>
      </c>
      <c r="F77" s="2">
        <v>4.0</v>
      </c>
      <c r="G77" s="2">
        <v>44533.0</v>
      </c>
      <c r="H77" s="2" t="s">
        <v>62</v>
      </c>
      <c r="I77" s="2" t="s">
        <v>28</v>
      </c>
      <c r="J77" s="7" t="str">
        <f t="shared" si="1"/>
        <v>Bulk Order</v>
      </c>
      <c r="K77" s="8" t="str">
        <f t="shared" si="2"/>
        <v>Rohan</v>
      </c>
    </row>
    <row r="78" ht="14.25" customHeight="1">
      <c r="A78" s="2" t="s">
        <v>252</v>
      </c>
      <c r="B78" s="2" t="s">
        <v>253</v>
      </c>
      <c r="C78" s="2" t="s">
        <v>11</v>
      </c>
      <c r="D78" s="2" t="s">
        <v>98</v>
      </c>
      <c r="E78" s="2" t="s">
        <v>27</v>
      </c>
      <c r="F78" s="2">
        <v>2.0</v>
      </c>
      <c r="G78" s="2">
        <v>46616.0</v>
      </c>
      <c r="H78" s="2" t="s">
        <v>48</v>
      </c>
      <c r="I78" s="2" t="s">
        <v>22</v>
      </c>
      <c r="J78" s="7" t="str">
        <f t="shared" si="1"/>
        <v>Regular Order</v>
      </c>
      <c r="K78" s="8" t="str">
        <f t="shared" si="2"/>
        <v>Amit</v>
      </c>
    </row>
    <row r="79" ht="14.25" customHeight="1">
      <c r="A79" s="2" t="s">
        <v>254</v>
      </c>
      <c r="B79" s="2" t="s">
        <v>255</v>
      </c>
      <c r="C79" s="2" t="s">
        <v>18</v>
      </c>
      <c r="D79" s="2" t="s">
        <v>36</v>
      </c>
      <c r="E79" s="2" t="s">
        <v>196</v>
      </c>
      <c r="F79" s="2">
        <v>3.0</v>
      </c>
      <c r="G79" s="2">
        <v>57016.0</v>
      </c>
      <c r="H79" s="2" t="s">
        <v>21</v>
      </c>
      <c r="I79" s="2" t="s">
        <v>28</v>
      </c>
      <c r="J79" s="7" t="str">
        <f t="shared" si="1"/>
        <v>Bulk Order</v>
      </c>
      <c r="K79" s="8" t="str">
        <f t="shared" si="2"/>
        <v>Ankit</v>
      </c>
    </row>
    <row r="80" ht="14.25" customHeight="1">
      <c r="A80" s="2" t="s">
        <v>256</v>
      </c>
      <c r="B80" s="2" t="s">
        <v>257</v>
      </c>
      <c r="C80" s="2" t="s">
        <v>40</v>
      </c>
      <c r="D80" s="2" t="s">
        <v>12</v>
      </c>
      <c r="E80" s="2" t="s">
        <v>33</v>
      </c>
      <c r="F80" s="2">
        <v>6.0</v>
      </c>
      <c r="G80" s="2">
        <v>37999.0</v>
      </c>
      <c r="H80" s="2" t="s">
        <v>48</v>
      </c>
      <c r="I80" s="2" t="s">
        <v>15</v>
      </c>
      <c r="J80" s="7" t="str">
        <f t="shared" si="1"/>
        <v>Bulk Order</v>
      </c>
      <c r="K80" s="8" t="str">
        <f t="shared" si="2"/>
        <v>Ajay</v>
      </c>
    </row>
    <row r="81" ht="14.25" customHeight="1">
      <c r="A81" s="2" t="s">
        <v>258</v>
      </c>
      <c r="B81" s="2" t="s">
        <v>259</v>
      </c>
      <c r="C81" s="2" t="s">
        <v>97</v>
      </c>
      <c r="D81" s="2" t="s">
        <v>124</v>
      </c>
      <c r="E81" s="2" t="s">
        <v>137</v>
      </c>
      <c r="F81" s="2">
        <v>5.0</v>
      </c>
      <c r="G81" s="2">
        <v>48493.0</v>
      </c>
      <c r="H81" s="2" t="s">
        <v>21</v>
      </c>
      <c r="I81" s="2" t="s">
        <v>28</v>
      </c>
      <c r="J81" s="7" t="str">
        <f t="shared" si="1"/>
        <v>Bulk Order</v>
      </c>
      <c r="K81" s="8" t="str">
        <f t="shared" si="2"/>
        <v>Sneha</v>
      </c>
    </row>
    <row r="82" ht="14.25" customHeight="1">
      <c r="A82" s="2" t="s">
        <v>260</v>
      </c>
      <c r="B82" s="2" t="s">
        <v>261</v>
      </c>
      <c r="C82" s="2" t="s">
        <v>31</v>
      </c>
      <c r="D82" s="2" t="s">
        <v>162</v>
      </c>
      <c r="E82" s="2" t="s">
        <v>93</v>
      </c>
      <c r="F82" s="2">
        <v>2.0</v>
      </c>
      <c r="G82" s="2">
        <v>11330.0</v>
      </c>
      <c r="H82" s="2" t="s">
        <v>62</v>
      </c>
      <c r="I82" s="2" t="s">
        <v>28</v>
      </c>
      <c r="J82" s="7" t="str">
        <f t="shared" si="1"/>
        <v>Regular Order</v>
      </c>
      <c r="K82" s="8" t="str">
        <f t="shared" si="2"/>
        <v>Aditya</v>
      </c>
    </row>
    <row r="83" ht="14.25" customHeight="1">
      <c r="A83" s="2" t="s">
        <v>262</v>
      </c>
      <c r="B83" s="2" t="s">
        <v>263</v>
      </c>
      <c r="C83" s="2" t="s">
        <v>31</v>
      </c>
      <c r="D83" s="2" t="s">
        <v>81</v>
      </c>
      <c r="E83" s="2" t="s">
        <v>72</v>
      </c>
      <c r="F83" s="2">
        <v>3.0</v>
      </c>
      <c r="G83" s="2">
        <v>33535.0</v>
      </c>
      <c r="H83" s="2" t="s">
        <v>14</v>
      </c>
      <c r="I83" s="2" t="s">
        <v>28</v>
      </c>
      <c r="J83" s="7" t="str">
        <f t="shared" si="1"/>
        <v>Bulk Order</v>
      </c>
      <c r="K83" s="8" t="str">
        <f t="shared" si="2"/>
        <v>Rashmi</v>
      </c>
    </row>
    <row r="84" ht="14.25" customHeight="1">
      <c r="A84" s="2" t="s">
        <v>264</v>
      </c>
      <c r="B84" s="2" t="s">
        <v>265</v>
      </c>
      <c r="C84" s="2" t="s">
        <v>199</v>
      </c>
      <c r="D84" s="2" t="s">
        <v>56</v>
      </c>
      <c r="E84" s="2" t="s">
        <v>244</v>
      </c>
      <c r="F84" s="2">
        <v>1.0</v>
      </c>
      <c r="G84" s="2">
        <v>2992.0</v>
      </c>
      <c r="H84" s="2" t="s">
        <v>48</v>
      </c>
      <c r="I84" s="2" t="s">
        <v>22</v>
      </c>
      <c r="J84" s="7" t="str">
        <f t="shared" si="1"/>
        <v>Regular Order</v>
      </c>
      <c r="K84" s="8" t="str">
        <f t="shared" si="2"/>
        <v>Sneha</v>
      </c>
    </row>
    <row r="85" ht="14.25" customHeight="1">
      <c r="A85" s="2" t="s">
        <v>266</v>
      </c>
      <c r="B85" s="2" t="s">
        <v>267</v>
      </c>
      <c r="C85" s="2" t="s">
        <v>199</v>
      </c>
      <c r="D85" s="2" t="s">
        <v>41</v>
      </c>
      <c r="E85" s="2" t="s">
        <v>191</v>
      </c>
      <c r="F85" s="2">
        <v>5.0</v>
      </c>
      <c r="G85" s="2">
        <v>8734.0</v>
      </c>
      <c r="H85" s="2" t="s">
        <v>14</v>
      </c>
      <c r="I85" s="2" t="s">
        <v>15</v>
      </c>
      <c r="J85" s="7" t="str">
        <f t="shared" si="1"/>
        <v>Bulk Order</v>
      </c>
      <c r="K85" s="8" t="str">
        <f t="shared" si="2"/>
        <v>Tina</v>
      </c>
    </row>
    <row r="86" ht="14.25" customHeight="1">
      <c r="A86" s="2" t="s">
        <v>268</v>
      </c>
      <c r="B86" s="2" t="s">
        <v>269</v>
      </c>
      <c r="C86" s="2" t="s">
        <v>123</v>
      </c>
      <c r="D86" s="2" t="s">
        <v>118</v>
      </c>
      <c r="E86" s="2" t="s">
        <v>188</v>
      </c>
      <c r="F86" s="2">
        <v>6.0</v>
      </c>
      <c r="G86" s="2">
        <v>45602.0</v>
      </c>
      <c r="H86" s="2" t="s">
        <v>62</v>
      </c>
      <c r="I86" s="2" t="s">
        <v>28</v>
      </c>
      <c r="J86" s="7" t="str">
        <f t="shared" si="1"/>
        <v>Bulk Order</v>
      </c>
      <c r="K86" s="8" t="str">
        <f t="shared" si="2"/>
        <v>Mohit</v>
      </c>
    </row>
    <row r="87" ht="14.25" customHeight="1">
      <c r="A87" s="2" t="s">
        <v>270</v>
      </c>
      <c r="B87" s="2" t="s">
        <v>304</v>
      </c>
      <c r="C87" s="2" t="s">
        <v>31</v>
      </c>
      <c r="D87" s="2" t="s">
        <v>41</v>
      </c>
      <c r="E87" s="2" t="s">
        <v>168</v>
      </c>
      <c r="F87" s="2">
        <v>3.0</v>
      </c>
      <c r="G87" s="2">
        <v>5818.0</v>
      </c>
      <c r="H87" s="2" t="s">
        <v>14</v>
      </c>
      <c r="I87" s="2" t="s">
        <v>15</v>
      </c>
      <c r="J87" s="7" t="str">
        <f t="shared" si="1"/>
        <v>Bulk Order</v>
      </c>
      <c r="K87" s="8" t="str">
        <f t="shared" si="2"/>
        <v>Rashmi</v>
      </c>
    </row>
    <row r="88" ht="14.25" customHeight="1">
      <c r="A88" s="2" t="s">
        <v>272</v>
      </c>
      <c r="B88" s="2" t="s">
        <v>305</v>
      </c>
      <c r="C88" s="2" t="s">
        <v>97</v>
      </c>
      <c r="D88" s="2" t="s">
        <v>191</v>
      </c>
      <c r="E88" s="2" t="s">
        <v>244</v>
      </c>
      <c r="F88" s="2">
        <v>5.0</v>
      </c>
      <c r="G88" s="2">
        <v>63923.0</v>
      </c>
      <c r="H88" s="2" t="s">
        <v>14</v>
      </c>
      <c r="I88" s="2" t="s">
        <v>28</v>
      </c>
      <c r="J88" s="7" t="str">
        <f t="shared" si="1"/>
        <v>Bulk Order</v>
      </c>
      <c r="K88" s="8" t="str">
        <f t="shared" si="2"/>
        <v>Rohit</v>
      </c>
    </row>
    <row r="89" ht="14.25" customHeight="1">
      <c r="A89" s="2" t="s">
        <v>274</v>
      </c>
      <c r="B89" s="2" t="s">
        <v>306</v>
      </c>
      <c r="C89" s="2" t="s">
        <v>59</v>
      </c>
      <c r="D89" s="2" t="s">
        <v>134</v>
      </c>
      <c r="E89" s="2" t="s">
        <v>60</v>
      </c>
      <c r="F89" s="2">
        <v>5.0</v>
      </c>
      <c r="G89" s="2">
        <v>47222.0</v>
      </c>
      <c r="H89" s="2" t="s">
        <v>62</v>
      </c>
      <c r="I89" s="2" t="s">
        <v>28</v>
      </c>
      <c r="J89" s="7" t="str">
        <f t="shared" si="1"/>
        <v>Bulk Order</v>
      </c>
      <c r="K89" s="8" t="str">
        <f t="shared" si="2"/>
        <v>Amit</v>
      </c>
    </row>
    <row r="90" ht="14.25" customHeight="1">
      <c r="A90" s="2" t="s">
        <v>276</v>
      </c>
      <c r="B90" s="2" t="s">
        <v>277</v>
      </c>
      <c r="C90" s="2" t="s">
        <v>97</v>
      </c>
      <c r="D90" s="2" t="s">
        <v>36</v>
      </c>
      <c r="E90" s="2" t="s">
        <v>76</v>
      </c>
      <c r="F90" s="2">
        <v>4.0</v>
      </c>
      <c r="G90" s="2">
        <v>61768.0</v>
      </c>
      <c r="H90" s="2" t="s">
        <v>48</v>
      </c>
      <c r="I90" s="2" t="s">
        <v>28</v>
      </c>
      <c r="J90" s="7" t="str">
        <f t="shared" si="1"/>
        <v>Bulk Order</v>
      </c>
      <c r="K90" s="8" t="str">
        <f t="shared" si="2"/>
        <v>Shalini</v>
      </c>
    </row>
    <row r="91" ht="14.25" customHeight="1">
      <c r="A91" s="2" t="s">
        <v>278</v>
      </c>
      <c r="B91" s="2" t="s">
        <v>279</v>
      </c>
      <c r="C91" s="2" t="s">
        <v>40</v>
      </c>
      <c r="D91" s="2" t="s">
        <v>80</v>
      </c>
      <c r="E91" s="2" t="s">
        <v>89</v>
      </c>
      <c r="F91" s="2">
        <v>2.0</v>
      </c>
      <c r="G91" s="2">
        <v>37005.0</v>
      </c>
      <c r="H91" s="2" t="s">
        <v>14</v>
      </c>
      <c r="I91" s="2" t="s">
        <v>28</v>
      </c>
      <c r="J91" s="7" t="str">
        <f t="shared" si="1"/>
        <v>Regular Order</v>
      </c>
      <c r="K91" s="8" t="str">
        <f t="shared" si="2"/>
        <v>Neha</v>
      </c>
    </row>
    <row r="92" ht="14.25" customHeight="1">
      <c r="A92" s="2" t="s">
        <v>280</v>
      </c>
      <c r="B92" s="2" t="s">
        <v>281</v>
      </c>
      <c r="C92" s="2" t="s">
        <v>92</v>
      </c>
      <c r="D92" s="2" t="s">
        <v>26</v>
      </c>
      <c r="E92" s="2" t="s">
        <v>118</v>
      </c>
      <c r="F92" s="2">
        <v>6.0</v>
      </c>
      <c r="G92" s="2">
        <v>15373.0</v>
      </c>
      <c r="H92" s="2" t="s">
        <v>14</v>
      </c>
      <c r="I92" s="2" t="s">
        <v>15</v>
      </c>
      <c r="J92" s="7" t="str">
        <f t="shared" si="1"/>
        <v>Bulk Order</v>
      </c>
      <c r="K92" s="8" t="str">
        <f t="shared" si="2"/>
        <v>Nisha</v>
      </c>
    </row>
    <row r="93" ht="14.25" customHeight="1">
      <c r="A93" s="2" t="s">
        <v>282</v>
      </c>
      <c r="B93" s="2" t="s">
        <v>307</v>
      </c>
      <c r="C93" s="2" t="s">
        <v>11</v>
      </c>
      <c r="D93" s="2" t="s">
        <v>94</v>
      </c>
      <c r="E93" s="2" t="s">
        <v>111</v>
      </c>
      <c r="F93" s="2">
        <v>4.0</v>
      </c>
      <c r="G93" s="2">
        <v>28349.0</v>
      </c>
      <c r="H93" s="2" t="s">
        <v>21</v>
      </c>
      <c r="I93" s="2" t="s">
        <v>15</v>
      </c>
      <c r="J93" s="7" t="str">
        <f t="shared" si="1"/>
        <v>Bulk Order</v>
      </c>
      <c r="K93" s="8" t="str">
        <f t="shared" si="2"/>
        <v>Rohit</v>
      </c>
    </row>
    <row r="94" ht="14.25" customHeight="1">
      <c r="A94" s="2" t="s">
        <v>284</v>
      </c>
      <c r="B94" s="2" t="s">
        <v>285</v>
      </c>
      <c r="C94" s="2" t="s">
        <v>40</v>
      </c>
      <c r="D94" s="2" t="s">
        <v>188</v>
      </c>
      <c r="E94" s="2" t="s">
        <v>93</v>
      </c>
      <c r="F94" s="2">
        <v>2.0</v>
      </c>
      <c r="G94" s="2">
        <v>9333.0</v>
      </c>
      <c r="H94" s="2" t="s">
        <v>62</v>
      </c>
      <c r="I94" s="2" t="s">
        <v>28</v>
      </c>
      <c r="J94" s="7" t="str">
        <f t="shared" si="1"/>
        <v>Regular Order</v>
      </c>
      <c r="K94" s="8" t="str">
        <f t="shared" si="2"/>
        <v>Preeti</v>
      </c>
    </row>
    <row r="95" ht="14.25" customHeight="1">
      <c r="A95" s="2" t="s">
        <v>286</v>
      </c>
      <c r="B95" s="2" t="s">
        <v>287</v>
      </c>
      <c r="C95" s="2" t="s">
        <v>18</v>
      </c>
      <c r="D95" s="2" t="s">
        <v>134</v>
      </c>
      <c r="E95" s="2" t="s">
        <v>165</v>
      </c>
      <c r="F95" s="2">
        <v>4.0</v>
      </c>
      <c r="G95" s="2">
        <v>39697.0</v>
      </c>
      <c r="H95" s="2" t="s">
        <v>14</v>
      </c>
      <c r="I95" s="2" t="s">
        <v>28</v>
      </c>
      <c r="J95" s="7" t="str">
        <f t="shared" si="1"/>
        <v>Bulk Order</v>
      </c>
      <c r="K95" s="8" t="str">
        <f t="shared" si="2"/>
        <v>Neeraj</v>
      </c>
    </row>
    <row r="96" ht="14.25" customHeight="1">
      <c r="A96" s="2" t="s">
        <v>288</v>
      </c>
      <c r="B96" s="2" t="s">
        <v>308</v>
      </c>
      <c r="C96" s="2" t="s">
        <v>86</v>
      </c>
      <c r="D96" s="2" t="s">
        <v>133</v>
      </c>
      <c r="E96" s="2" t="s">
        <v>290</v>
      </c>
      <c r="F96" s="2">
        <v>2.0</v>
      </c>
      <c r="G96" s="2">
        <v>51052.0</v>
      </c>
      <c r="H96" s="2" t="s">
        <v>48</v>
      </c>
      <c r="I96" s="2" t="s">
        <v>28</v>
      </c>
      <c r="J96" s="7" t="str">
        <f t="shared" si="1"/>
        <v>Regular Order</v>
      </c>
      <c r="K96" s="8" t="str">
        <f t="shared" si="2"/>
        <v>Megha</v>
      </c>
    </row>
    <row r="97" ht="14.25" customHeight="1">
      <c r="A97" s="2" t="s">
        <v>291</v>
      </c>
      <c r="B97" s="2" t="s">
        <v>309</v>
      </c>
      <c r="C97" s="2" t="s">
        <v>25</v>
      </c>
      <c r="D97" s="2" t="s">
        <v>94</v>
      </c>
      <c r="E97" s="2" t="s">
        <v>65</v>
      </c>
      <c r="F97" s="2">
        <v>6.0</v>
      </c>
      <c r="G97" s="2">
        <v>28248.0</v>
      </c>
      <c r="H97" s="2" t="s">
        <v>48</v>
      </c>
      <c r="I97" s="2" t="s">
        <v>28</v>
      </c>
      <c r="J97" s="7" t="str">
        <f t="shared" si="1"/>
        <v>Bulk Order</v>
      </c>
      <c r="K97" s="8" t="str">
        <f t="shared" si="2"/>
        <v>Neeraj</v>
      </c>
    </row>
    <row r="98" ht="14.25" customHeight="1">
      <c r="A98" s="2" t="s">
        <v>293</v>
      </c>
      <c r="B98" s="2" t="s">
        <v>294</v>
      </c>
      <c r="C98" s="2" t="s">
        <v>59</v>
      </c>
      <c r="D98" s="2" t="s">
        <v>295</v>
      </c>
      <c r="E98" s="2" t="s">
        <v>290</v>
      </c>
      <c r="F98" s="2">
        <v>6.0</v>
      </c>
      <c r="G98" s="2">
        <v>38784.0</v>
      </c>
      <c r="H98" s="2" t="s">
        <v>14</v>
      </c>
      <c r="I98" s="2" t="s">
        <v>28</v>
      </c>
      <c r="J98" s="7" t="str">
        <f t="shared" si="1"/>
        <v>Bulk Order</v>
      </c>
      <c r="K98" s="8" t="str">
        <f t="shared" si="2"/>
        <v>Deepak</v>
      </c>
    </row>
    <row r="99" ht="14.25" customHeight="1">
      <c r="A99" s="2" t="s">
        <v>296</v>
      </c>
      <c r="B99" s="2" t="s">
        <v>310</v>
      </c>
      <c r="C99" s="2" t="s">
        <v>199</v>
      </c>
      <c r="D99" s="2" t="s">
        <v>188</v>
      </c>
      <c r="E99" s="2" t="s">
        <v>180</v>
      </c>
      <c r="F99" s="2">
        <v>5.0</v>
      </c>
      <c r="G99" s="2">
        <v>5900.0</v>
      </c>
      <c r="H99" s="2" t="s">
        <v>62</v>
      </c>
      <c r="I99" s="2" t="s">
        <v>28</v>
      </c>
      <c r="J99" s="7" t="str">
        <f t="shared" si="1"/>
        <v>Bulk Order</v>
      </c>
      <c r="K99" s="8" t="str">
        <f t="shared" si="2"/>
        <v>Mohit</v>
      </c>
    </row>
    <row r="100" ht="14.25" customHeight="1">
      <c r="A100" s="2" t="s">
        <v>298</v>
      </c>
      <c r="B100" s="2" t="s">
        <v>299</v>
      </c>
      <c r="C100" s="2" t="s">
        <v>31</v>
      </c>
      <c r="D100" s="2" t="s">
        <v>89</v>
      </c>
      <c r="E100" s="2" t="s">
        <v>165</v>
      </c>
      <c r="F100" s="2">
        <v>4.0</v>
      </c>
      <c r="G100" s="2">
        <v>16868.0</v>
      </c>
      <c r="H100" s="2" t="s">
        <v>48</v>
      </c>
      <c r="I100" s="2" t="s">
        <v>28</v>
      </c>
      <c r="J100" s="7" t="str">
        <f t="shared" si="1"/>
        <v>Bulk Order</v>
      </c>
      <c r="K100" s="8" t="str">
        <f t="shared" si="2"/>
        <v>Ritu</v>
      </c>
    </row>
    <row r="101" ht="14.25" customHeight="1">
      <c r="A101" s="2" t="s">
        <v>300</v>
      </c>
      <c r="B101" s="2" t="s">
        <v>311</v>
      </c>
      <c r="C101" s="2" t="s">
        <v>55</v>
      </c>
      <c r="D101" s="2" t="s">
        <v>20</v>
      </c>
      <c r="E101" s="2" t="s">
        <v>222</v>
      </c>
      <c r="F101" s="2">
        <v>2.0</v>
      </c>
      <c r="G101" s="2">
        <v>27529.0</v>
      </c>
      <c r="H101" s="2" t="s">
        <v>21</v>
      </c>
      <c r="I101" s="2" t="s">
        <v>22</v>
      </c>
      <c r="J101" s="7" t="str">
        <f t="shared" si="1"/>
        <v>Regular Order</v>
      </c>
      <c r="K101" s="8" t="str">
        <f t="shared" si="2"/>
        <v>Geeta</v>
      </c>
    </row>
    <row r="102" ht="14.25" customHeight="1">
      <c r="J102" s="7"/>
      <c r="K102" s="8"/>
    </row>
    <row r="103" ht="14.25" customHeight="1">
      <c r="J103" s="7"/>
      <c r="K103" s="8"/>
    </row>
    <row r="104" ht="14.25" customHeight="1">
      <c r="J104" s="7"/>
      <c r="K104" s="8"/>
    </row>
    <row r="105" ht="14.25" customHeight="1">
      <c r="J105" s="7"/>
      <c r="K105" s="8"/>
    </row>
    <row r="106" ht="14.25" customHeight="1">
      <c r="J106" s="7"/>
      <c r="K106" s="8"/>
    </row>
    <row r="107" ht="14.25" customHeight="1">
      <c r="J107" s="7"/>
      <c r="K107" s="8"/>
    </row>
    <row r="108" ht="14.25" customHeight="1">
      <c r="J108" s="7"/>
      <c r="K108" s="8"/>
    </row>
    <row r="109" ht="14.25" customHeight="1">
      <c r="J109" s="7"/>
      <c r="K109" s="8"/>
    </row>
    <row r="110" ht="14.25" customHeight="1">
      <c r="J110" s="7"/>
      <c r="K110" s="8"/>
    </row>
    <row r="111" ht="14.25" customHeight="1">
      <c r="J111" s="7"/>
      <c r="K111" s="8"/>
    </row>
    <row r="112" ht="14.25" customHeight="1">
      <c r="J112" s="7"/>
      <c r="K112" s="8"/>
    </row>
    <row r="113" ht="14.25" customHeight="1">
      <c r="J113" s="7"/>
      <c r="K113" s="8"/>
    </row>
    <row r="114" ht="14.25" customHeight="1">
      <c r="J114" s="7"/>
      <c r="K114" s="8"/>
    </row>
    <row r="115" ht="14.25" customHeight="1">
      <c r="J115" s="7"/>
      <c r="K115" s="8"/>
    </row>
    <row r="116" ht="14.25" customHeight="1">
      <c r="J116" s="7"/>
      <c r="K116" s="8"/>
    </row>
    <row r="117" ht="14.25" customHeight="1">
      <c r="J117" s="7"/>
      <c r="K117" s="8"/>
    </row>
    <row r="118" ht="14.25" customHeight="1">
      <c r="J118" s="7"/>
      <c r="K118" s="8"/>
    </row>
    <row r="119" ht="14.25" customHeight="1">
      <c r="J119" s="7"/>
      <c r="K119" s="8"/>
    </row>
    <row r="120" ht="14.25" customHeight="1">
      <c r="J120" s="7"/>
      <c r="K120" s="8"/>
    </row>
    <row r="121" ht="14.25" customHeight="1">
      <c r="J121" s="7"/>
      <c r="K121" s="8"/>
    </row>
    <row r="122" ht="14.25" customHeight="1">
      <c r="J122" s="7"/>
      <c r="K122" s="8"/>
    </row>
    <row r="123" ht="14.25" customHeight="1">
      <c r="J123" s="7"/>
      <c r="K123" s="8"/>
    </row>
    <row r="124" ht="14.25" customHeight="1">
      <c r="J124" s="7"/>
      <c r="K124" s="8"/>
    </row>
    <row r="125" ht="14.25" customHeight="1">
      <c r="J125" s="7"/>
      <c r="K125" s="8"/>
    </row>
    <row r="126" ht="14.25" customHeight="1">
      <c r="J126" s="7"/>
      <c r="K126" s="8"/>
    </row>
    <row r="127" ht="14.25" customHeight="1">
      <c r="J127" s="7"/>
      <c r="K127" s="8"/>
    </row>
    <row r="128" ht="14.25" customHeight="1">
      <c r="J128" s="7"/>
      <c r="K128" s="8"/>
    </row>
    <row r="129" ht="14.25" customHeight="1">
      <c r="J129" s="7"/>
      <c r="K129" s="8"/>
    </row>
    <row r="130" ht="14.25" customHeight="1">
      <c r="J130" s="7"/>
      <c r="K130" s="8"/>
    </row>
    <row r="131" ht="14.25" customHeight="1">
      <c r="J131" s="7"/>
      <c r="K131" s="8"/>
    </row>
    <row r="132" ht="14.25" customHeight="1">
      <c r="J132" s="7"/>
      <c r="K132" s="8"/>
    </row>
    <row r="133" ht="14.25" customHeight="1">
      <c r="J133" s="7"/>
      <c r="K133" s="8"/>
    </row>
    <row r="134" ht="14.25" customHeight="1">
      <c r="J134" s="7"/>
      <c r="K134" s="8"/>
    </row>
    <row r="135" ht="14.25" customHeight="1">
      <c r="J135" s="7"/>
      <c r="K135" s="8"/>
    </row>
    <row r="136" ht="14.25" customHeight="1">
      <c r="J136" s="7"/>
      <c r="K136" s="8"/>
    </row>
    <row r="137" ht="14.25" customHeight="1">
      <c r="J137" s="7"/>
      <c r="K137" s="8"/>
    </row>
    <row r="138" ht="14.25" customHeight="1">
      <c r="J138" s="7"/>
      <c r="K138" s="8"/>
    </row>
    <row r="139" ht="14.25" customHeight="1">
      <c r="J139" s="7"/>
      <c r="K139" s="8"/>
    </row>
    <row r="140" ht="14.25" customHeight="1">
      <c r="J140" s="7"/>
      <c r="K140" s="8"/>
    </row>
    <row r="141" ht="14.25" customHeight="1">
      <c r="J141" s="7"/>
      <c r="K141" s="8"/>
    </row>
    <row r="142" ht="14.25" customHeight="1">
      <c r="J142" s="7"/>
      <c r="K142" s="8"/>
    </row>
    <row r="143" ht="14.25" customHeight="1">
      <c r="J143" s="7"/>
      <c r="K143" s="8"/>
    </row>
    <row r="144" ht="14.25" customHeight="1">
      <c r="J144" s="7"/>
      <c r="K144" s="8"/>
    </row>
    <row r="145" ht="14.25" customHeight="1">
      <c r="J145" s="7"/>
      <c r="K145" s="8"/>
    </row>
    <row r="146" ht="14.25" customHeight="1">
      <c r="J146" s="7"/>
      <c r="K146" s="8"/>
    </row>
    <row r="147" ht="14.25" customHeight="1">
      <c r="J147" s="7"/>
      <c r="K147" s="8"/>
    </row>
    <row r="148" ht="14.25" customHeight="1">
      <c r="J148" s="7"/>
      <c r="K148" s="8"/>
    </row>
    <row r="149" ht="14.25" customHeight="1">
      <c r="J149" s="7"/>
      <c r="K149" s="8"/>
    </row>
    <row r="150" ht="14.25" customHeight="1">
      <c r="J150" s="7"/>
      <c r="K150" s="8"/>
    </row>
    <row r="151" ht="14.25" customHeight="1">
      <c r="J151" s="7"/>
      <c r="K151" s="8"/>
    </row>
    <row r="152" ht="14.25" customHeight="1">
      <c r="J152" s="7"/>
      <c r="K152" s="8"/>
    </row>
    <row r="153" ht="14.25" customHeight="1">
      <c r="J153" s="7"/>
      <c r="K153" s="8"/>
    </row>
    <row r="154" ht="14.25" customHeight="1">
      <c r="J154" s="7"/>
      <c r="K154" s="8"/>
    </row>
    <row r="155" ht="14.25" customHeight="1">
      <c r="J155" s="7"/>
      <c r="K155" s="8"/>
    </row>
    <row r="156" ht="14.25" customHeight="1">
      <c r="J156" s="7"/>
      <c r="K156" s="8"/>
    </row>
    <row r="157" ht="14.25" customHeight="1">
      <c r="J157" s="7"/>
      <c r="K157" s="8"/>
    </row>
    <row r="158" ht="14.25" customHeight="1">
      <c r="J158" s="7"/>
      <c r="K158" s="8"/>
    </row>
    <row r="159" ht="14.25" customHeight="1">
      <c r="J159" s="7"/>
      <c r="K159" s="8"/>
    </row>
    <row r="160" ht="14.25" customHeight="1">
      <c r="J160" s="7"/>
      <c r="K160" s="8"/>
    </row>
    <row r="161" ht="14.25" customHeight="1">
      <c r="J161" s="7"/>
      <c r="K161" s="8"/>
    </row>
    <row r="162" ht="14.25" customHeight="1">
      <c r="J162" s="7"/>
      <c r="K162" s="8"/>
    </row>
    <row r="163" ht="14.25" customHeight="1">
      <c r="J163" s="7"/>
      <c r="K163" s="8"/>
    </row>
    <row r="164" ht="14.25" customHeight="1">
      <c r="J164" s="7"/>
      <c r="K164" s="8"/>
    </row>
    <row r="165" ht="14.25" customHeight="1">
      <c r="J165" s="7"/>
      <c r="K165" s="8"/>
    </row>
    <row r="166" ht="14.25" customHeight="1">
      <c r="J166" s="7"/>
      <c r="K166" s="8"/>
    </row>
    <row r="167" ht="14.25" customHeight="1">
      <c r="J167" s="7"/>
      <c r="K167" s="8"/>
    </row>
    <row r="168" ht="14.25" customHeight="1">
      <c r="J168" s="7"/>
      <c r="K168" s="8"/>
    </row>
    <row r="169" ht="14.25" customHeight="1">
      <c r="J169" s="7"/>
      <c r="K169" s="8"/>
    </row>
    <row r="170" ht="14.25" customHeight="1">
      <c r="J170" s="7"/>
      <c r="K170" s="8"/>
    </row>
    <row r="171" ht="14.25" customHeight="1">
      <c r="J171" s="7"/>
      <c r="K171" s="8"/>
    </row>
    <row r="172" ht="14.25" customHeight="1">
      <c r="J172" s="7"/>
      <c r="K172" s="8"/>
    </row>
    <row r="173" ht="14.25" customHeight="1">
      <c r="J173" s="7"/>
      <c r="K173" s="8"/>
    </row>
    <row r="174" ht="14.25" customHeight="1">
      <c r="J174" s="7"/>
      <c r="K174" s="8"/>
    </row>
    <row r="175" ht="14.25" customHeight="1">
      <c r="J175" s="7"/>
      <c r="K175" s="8"/>
    </row>
    <row r="176" ht="14.25" customHeight="1">
      <c r="J176" s="7"/>
      <c r="K176" s="8"/>
    </row>
    <row r="177" ht="14.25" customHeight="1">
      <c r="J177" s="7"/>
      <c r="K177" s="8"/>
    </row>
    <row r="178" ht="14.25" customHeight="1">
      <c r="J178" s="7"/>
      <c r="K178" s="8"/>
    </row>
    <row r="179" ht="14.25" customHeight="1">
      <c r="J179" s="7"/>
      <c r="K179" s="8"/>
    </row>
    <row r="180" ht="14.25" customHeight="1">
      <c r="J180" s="7"/>
      <c r="K180" s="8"/>
    </row>
    <row r="181" ht="14.25" customHeight="1">
      <c r="J181" s="7"/>
      <c r="K181" s="8"/>
    </row>
    <row r="182" ht="14.25" customHeight="1">
      <c r="J182" s="7"/>
      <c r="K182" s="8"/>
    </row>
    <row r="183" ht="14.25" customHeight="1">
      <c r="J183" s="7"/>
      <c r="K183" s="8"/>
    </row>
    <row r="184" ht="14.25" customHeight="1">
      <c r="J184" s="7"/>
      <c r="K184" s="8"/>
    </row>
    <row r="185" ht="14.25" customHeight="1">
      <c r="J185" s="7"/>
      <c r="K185" s="8"/>
    </row>
    <row r="186" ht="14.25" customHeight="1">
      <c r="J186" s="7"/>
      <c r="K186" s="8"/>
    </row>
    <row r="187" ht="14.25" customHeight="1">
      <c r="J187" s="7"/>
      <c r="K187" s="8"/>
    </row>
    <row r="188" ht="14.25" customHeight="1">
      <c r="J188" s="7"/>
      <c r="K188" s="8"/>
    </row>
    <row r="189" ht="14.25" customHeight="1">
      <c r="J189" s="7"/>
      <c r="K189" s="8"/>
    </row>
    <row r="190" ht="14.25" customHeight="1">
      <c r="J190" s="7"/>
      <c r="K190" s="8"/>
    </row>
    <row r="191" ht="14.25" customHeight="1">
      <c r="J191" s="7"/>
      <c r="K191" s="8"/>
    </row>
    <row r="192" ht="14.25" customHeight="1">
      <c r="J192" s="7"/>
      <c r="K192" s="8"/>
    </row>
    <row r="193" ht="14.25" customHeight="1">
      <c r="J193" s="7"/>
      <c r="K193" s="8"/>
    </row>
    <row r="194" ht="14.25" customHeight="1">
      <c r="J194" s="7"/>
      <c r="K194" s="8"/>
    </row>
    <row r="195" ht="14.25" customHeight="1">
      <c r="J195" s="7"/>
      <c r="K195" s="8"/>
    </row>
    <row r="196" ht="14.25" customHeight="1">
      <c r="J196" s="7"/>
      <c r="K196" s="8"/>
    </row>
    <row r="197" ht="14.25" customHeight="1">
      <c r="J197" s="7"/>
      <c r="K197" s="8"/>
    </row>
    <row r="198" ht="14.25" customHeight="1">
      <c r="J198" s="7"/>
      <c r="K198" s="8"/>
    </row>
    <row r="199" ht="14.25" customHeight="1">
      <c r="J199" s="7"/>
      <c r="K199" s="8"/>
    </row>
    <row r="200" ht="14.25" customHeight="1">
      <c r="J200" s="7"/>
      <c r="K200" s="8"/>
    </row>
    <row r="201" ht="14.25" customHeight="1">
      <c r="J201" s="7"/>
      <c r="K201" s="8"/>
    </row>
    <row r="202" ht="14.25" customHeight="1">
      <c r="J202" s="7"/>
      <c r="K202" s="8"/>
    </row>
    <row r="203" ht="14.25" customHeight="1">
      <c r="J203" s="7"/>
      <c r="K203" s="8"/>
    </row>
    <row r="204" ht="14.25" customHeight="1">
      <c r="J204" s="7"/>
      <c r="K204" s="8"/>
    </row>
    <row r="205" ht="14.25" customHeight="1">
      <c r="J205" s="7"/>
      <c r="K205" s="8"/>
    </row>
    <row r="206" ht="14.25" customHeight="1">
      <c r="J206" s="7"/>
      <c r="K206" s="8"/>
    </row>
    <row r="207" ht="14.25" customHeight="1">
      <c r="J207" s="7"/>
      <c r="K207" s="8"/>
    </row>
    <row r="208" ht="14.25" customHeight="1">
      <c r="J208" s="7"/>
      <c r="K208" s="8"/>
    </row>
    <row r="209" ht="14.25" customHeight="1">
      <c r="J209" s="7"/>
      <c r="K209" s="8"/>
    </row>
    <row r="210" ht="14.25" customHeight="1">
      <c r="J210" s="7"/>
      <c r="K210" s="8"/>
    </row>
    <row r="211" ht="14.25" customHeight="1">
      <c r="J211" s="7"/>
      <c r="K211" s="8"/>
    </row>
    <row r="212" ht="14.25" customHeight="1">
      <c r="J212" s="7"/>
      <c r="K212" s="8"/>
    </row>
    <row r="213" ht="14.25" customHeight="1">
      <c r="J213" s="7"/>
      <c r="K213" s="8"/>
    </row>
    <row r="214" ht="14.25" customHeight="1">
      <c r="J214" s="7"/>
      <c r="K214" s="8"/>
    </row>
    <row r="215" ht="14.25" customHeight="1">
      <c r="J215" s="7"/>
      <c r="K215" s="8"/>
    </row>
    <row r="216" ht="14.25" customHeight="1">
      <c r="J216" s="7"/>
      <c r="K216" s="8"/>
    </row>
    <row r="217" ht="14.25" customHeight="1">
      <c r="J217" s="7"/>
      <c r="K217" s="8"/>
    </row>
    <row r="218" ht="14.25" customHeight="1">
      <c r="J218" s="7"/>
      <c r="K218" s="8"/>
    </row>
    <row r="219" ht="14.25" customHeight="1">
      <c r="J219" s="7"/>
      <c r="K219" s="8"/>
    </row>
    <row r="220" ht="14.25" customHeight="1">
      <c r="J220" s="7"/>
      <c r="K220" s="8"/>
    </row>
    <row r="221" ht="14.25" customHeight="1">
      <c r="J221" s="7"/>
      <c r="K221" s="8"/>
    </row>
    <row r="222" ht="14.25" customHeight="1">
      <c r="J222" s="7"/>
      <c r="K222" s="8"/>
    </row>
    <row r="223" ht="14.25" customHeight="1">
      <c r="J223" s="7"/>
      <c r="K223" s="8"/>
    </row>
    <row r="224" ht="14.25" customHeight="1">
      <c r="J224" s="7"/>
      <c r="K224" s="8"/>
    </row>
    <row r="225" ht="14.25" customHeight="1">
      <c r="J225" s="7"/>
      <c r="K225" s="8"/>
    </row>
    <row r="226" ht="14.25" customHeight="1">
      <c r="J226" s="7"/>
      <c r="K226" s="8"/>
    </row>
    <row r="227" ht="14.25" customHeight="1">
      <c r="J227" s="7"/>
      <c r="K227" s="8"/>
    </row>
    <row r="228" ht="14.25" customHeight="1">
      <c r="J228" s="7"/>
      <c r="K228" s="8"/>
    </row>
    <row r="229" ht="14.25" customHeight="1">
      <c r="J229" s="7"/>
      <c r="K229" s="8"/>
    </row>
    <row r="230" ht="14.25" customHeight="1">
      <c r="J230" s="7"/>
      <c r="K230" s="8"/>
    </row>
    <row r="231" ht="14.25" customHeight="1">
      <c r="J231" s="7"/>
      <c r="K231" s="8"/>
    </row>
    <row r="232" ht="14.25" customHeight="1">
      <c r="J232" s="7"/>
      <c r="K232" s="8"/>
    </row>
    <row r="233" ht="14.25" customHeight="1">
      <c r="J233" s="7"/>
      <c r="K233" s="8"/>
    </row>
    <row r="234" ht="14.25" customHeight="1">
      <c r="J234" s="7"/>
      <c r="K234" s="8"/>
    </row>
    <row r="235" ht="14.25" customHeight="1">
      <c r="J235" s="7"/>
      <c r="K235" s="8"/>
    </row>
    <row r="236" ht="14.25" customHeight="1">
      <c r="J236" s="7"/>
      <c r="K236" s="8"/>
    </row>
    <row r="237" ht="14.25" customHeight="1">
      <c r="J237" s="7"/>
      <c r="K237" s="8"/>
    </row>
    <row r="238" ht="14.25" customHeight="1">
      <c r="J238" s="7"/>
      <c r="K238" s="8"/>
    </row>
    <row r="239" ht="14.25" customHeight="1">
      <c r="J239" s="7"/>
      <c r="K239" s="8"/>
    </row>
    <row r="240" ht="14.25" customHeight="1">
      <c r="J240" s="7"/>
      <c r="K240" s="8"/>
    </row>
    <row r="241" ht="14.25" customHeight="1">
      <c r="J241" s="7"/>
      <c r="K241" s="8"/>
    </row>
    <row r="242" ht="14.25" customHeight="1">
      <c r="J242" s="7"/>
      <c r="K242" s="8"/>
    </row>
    <row r="243" ht="14.25" customHeight="1">
      <c r="J243" s="7"/>
      <c r="K243" s="8"/>
    </row>
    <row r="244" ht="14.25" customHeight="1">
      <c r="J244" s="7"/>
      <c r="K244" s="8"/>
    </row>
    <row r="245" ht="14.25" customHeight="1">
      <c r="J245" s="7"/>
      <c r="K245" s="8"/>
    </row>
    <row r="246" ht="14.25" customHeight="1">
      <c r="J246" s="7"/>
      <c r="K246" s="8"/>
    </row>
    <row r="247" ht="14.25" customHeight="1">
      <c r="J247" s="7"/>
      <c r="K247" s="8"/>
    </row>
    <row r="248" ht="14.25" customHeight="1">
      <c r="J248" s="7"/>
      <c r="K248" s="8"/>
    </row>
    <row r="249" ht="14.25" customHeight="1">
      <c r="J249" s="7"/>
      <c r="K249" s="8"/>
    </row>
    <row r="250" ht="14.25" customHeight="1">
      <c r="J250" s="7"/>
      <c r="K250" s="8"/>
    </row>
    <row r="251" ht="14.25" customHeight="1">
      <c r="J251" s="7"/>
      <c r="K251" s="8"/>
    </row>
    <row r="252" ht="14.25" customHeight="1">
      <c r="J252" s="7"/>
      <c r="K252" s="8"/>
    </row>
    <row r="253" ht="14.25" customHeight="1">
      <c r="J253" s="7"/>
      <c r="K253" s="8"/>
    </row>
    <row r="254" ht="14.25" customHeight="1">
      <c r="J254" s="7"/>
      <c r="K254" s="8"/>
    </row>
    <row r="255" ht="14.25" customHeight="1">
      <c r="J255" s="7"/>
      <c r="K255" s="8"/>
    </row>
    <row r="256" ht="14.25" customHeight="1">
      <c r="J256" s="7"/>
      <c r="K256" s="8"/>
    </row>
    <row r="257" ht="14.25" customHeight="1">
      <c r="J257" s="7"/>
      <c r="K257" s="8"/>
    </row>
    <row r="258" ht="14.25" customHeight="1">
      <c r="J258" s="7"/>
      <c r="K258" s="8"/>
    </row>
    <row r="259" ht="14.25" customHeight="1">
      <c r="J259" s="7"/>
      <c r="K259" s="8"/>
    </row>
    <row r="260" ht="14.25" customHeight="1">
      <c r="J260" s="7"/>
      <c r="K260" s="8"/>
    </row>
    <row r="261" ht="14.25" customHeight="1">
      <c r="J261" s="7"/>
      <c r="K261" s="8"/>
    </row>
    <row r="262" ht="14.25" customHeight="1">
      <c r="J262" s="7"/>
      <c r="K262" s="8"/>
    </row>
    <row r="263" ht="14.25" customHeight="1">
      <c r="J263" s="7"/>
      <c r="K263" s="8"/>
    </row>
    <row r="264" ht="14.25" customHeight="1">
      <c r="J264" s="7"/>
      <c r="K264" s="8"/>
    </row>
    <row r="265" ht="14.25" customHeight="1">
      <c r="J265" s="7"/>
      <c r="K265" s="8"/>
    </row>
    <row r="266" ht="14.25" customHeight="1">
      <c r="J266" s="7"/>
      <c r="K266" s="8"/>
    </row>
    <row r="267" ht="14.25" customHeight="1">
      <c r="J267" s="7"/>
      <c r="K267" s="8"/>
    </row>
    <row r="268" ht="14.25" customHeight="1">
      <c r="J268" s="7"/>
      <c r="K268" s="8"/>
    </row>
    <row r="269" ht="14.25" customHeight="1">
      <c r="J269" s="7"/>
      <c r="K269" s="8"/>
    </row>
    <row r="270" ht="14.25" customHeight="1">
      <c r="J270" s="7"/>
      <c r="K270" s="8"/>
    </row>
    <row r="271" ht="14.25" customHeight="1">
      <c r="J271" s="7"/>
      <c r="K271" s="8"/>
    </row>
    <row r="272" ht="14.25" customHeight="1">
      <c r="J272" s="7"/>
      <c r="K272" s="8"/>
    </row>
    <row r="273" ht="14.25" customHeight="1">
      <c r="J273" s="7"/>
      <c r="K273" s="8"/>
    </row>
    <row r="274" ht="14.25" customHeight="1">
      <c r="J274" s="7"/>
      <c r="K274" s="8"/>
    </row>
    <row r="275" ht="14.25" customHeight="1">
      <c r="J275" s="7"/>
      <c r="K275" s="8"/>
    </row>
    <row r="276" ht="14.25" customHeight="1">
      <c r="J276" s="7"/>
      <c r="K276" s="8"/>
    </row>
    <row r="277" ht="14.25" customHeight="1">
      <c r="J277" s="7"/>
      <c r="K277" s="8"/>
    </row>
    <row r="278" ht="14.25" customHeight="1">
      <c r="J278" s="7"/>
      <c r="K278" s="8"/>
    </row>
    <row r="279" ht="14.25" customHeight="1">
      <c r="J279" s="7"/>
      <c r="K279" s="8"/>
    </row>
    <row r="280" ht="14.25" customHeight="1">
      <c r="J280" s="7"/>
      <c r="K280" s="8"/>
    </row>
    <row r="281" ht="14.25" customHeight="1">
      <c r="J281" s="7"/>
      <c r="K281" s="8"/>
    </row>
    <row r="282" ht="14.25" customHeight="1">
      <c r="J282" s="7"/>
      <c r="K282" s="8"/>
    </row>
    <row r="283" ht="14.25" customHeight="1">
      <c r="J283" s="7"/>
      <c r="K283" s="8"/>
    </row>
    <row r="284" ht="14.25" customHeight="1">
      <c r="J284" s="7"/>
      <c r="K284" s="8"/>
    </row>
    <row r="285" ht="14.25" customHeight="1">
      <c r="J285" s="7"/>
      <c r="K285" s="8"/>
    </row>
    <row r="286" ht="14.25" customHeight="1">
      <c r="J286" s="7"/>
      <c r="K286" s="8"/>
    </row>
    <row r="287" ht="14.25" customHeight="1">
      <c r="J287" s="7"/>
      <c r="K287" s="8"/>
    </row>
    <row r="288" ht="14.25" customHeight="1">
      <c r="J288" s="7"/>
      <c r="K288" s="8"/>
    </row>
    <row r="289" ht="14.25" customHeight="1">
      <c r="J289" s="7"/>
      <c r="K289" s="8"/>
    </row>
    <row r="290" ht="14.25" customHeight="1">
      <c r="J290" s="7"/>
      <c r="K290" s="8"/>
    </row>
    <row r="291" ht="14.25" customHeight="1">
      <c r="J291" s="7"/>
      <c r="K291" s="8"/>
    </row>
    <row r="292" ht="14.25" customHeight="1">
      <c r="J292" s="7"/>
      <c r="K292" s="8"/>
    </row>
    <row r="293" ht="14.25" customHeight="1">
      <c r="J293" s="7"/>
      <c r="K293" s="8"/>
    </row>
    <row r="294" ht="14.25" customHeight="1">
      <c r="J294" s="7"/>
      <c r="K294" s="8"/>
    </row>
    <row r="295" ht="14.25" customHeight="1">
      <c r="J295" s="7"/>
      <c r="K295" s="8"/>
    </row>
    <row r="296" ht="14.25" customHeight="1">
      <c r="J296" s="7"/>
      <c r="K296" s="8"/>
    </row>
    <row r="297" ht="14.25" customHeight="1">
      <c r="J297" s="7"/>
      <c r="K297" s="8"/>
    </row>
    <row r="298" ht="14.25" customHeight="1">
      <c r="J298" s="7"/>
      <c r="K298" s="8"/>
    </row>
    <row r="299" ht="14.25" customHeight="1">
      <c r="J299" s="7"/>
      <c r="K299" s="8"/>
    </row>
    <row r="300" ht="14.25" customHeight="1">
      <c r="J300" s="7"/>
      <c r="K300" s="8"/>
    </row>
    <row r="301" ht="14.25" customHeight="1">
      <c r="J301" s="7"/>
      <c r="K301" s="8"/>
    </row>
    <row r="302" ht="14.25" customHeight="1">
      <c r="J302" s="7"/>
      <c r="K302" s="8"/>
    </row>
    <row r="303" ht="14.25" customHeight="1">
      <c r="J303" s="7"/>
      <c r="K303" s="8"/>
    </row>
    <row r="304" ht="14.25" customHeight="1">
      <c r="J304" s="7"/>
      <c r="K304" s="8"/>
    </row>
    <row r="305" ht="14.25" customHeight="1">
      <c r="J305" s="7"/>
      <c r="K305" s="8"/>
    </row>
    <row r="306" ht="14.25" customHeight="1">
      <c r="J306" s="7"/>
      <c r="K306" s="8"/>
    </row>
    <row r="307" ht="14.25" customHeight="1">
      <c r="J307" s="7"/>
      <c r="K307" s="8"/>
    </row>
    <row r="308" ht="14.25" customHeight="1">
      <c r="J308" s="7"/>
      <c r="K308" s="8"/>
    </row>
    <row r="309" ht="14.25" customHeight="1">
      <c r="J309" s="7"/>
      <c r="K309" s="8"/>
    </row>
    <row r="310" ht="14.25" customHeight="1">
      <c r="J310" s="7"/>
      <c r="K310" s="8"/>
    </row>
    <row r="311" ht="14.25" customHeight="1">
      <c r="J311" s="7"/>
      <c r="K311" s="8"/>
    </row>
    <row r="312" ht="14.25" customHeight="1">
      <c r="J312" s="7"/>
      <c r="K312" s="8"/>
    </row>
    <row r="313" ht="14.25" customHeight="1">
      <c r="J313" s="7"/>
      <c r="K313" s="8"/>
    </row>
    <row r="314" ht="14.25" customHeight="1">
      <c r="J314" s="7"/>
      <c r="K314" s="8"/>
    </row>
    <row r="315" ht="14.25" customHeight="1">
      <c r="J315" s="7"/>
      <c r="K315" s="8"/>
    </row>
    <row r="316" ht="14.25" customHeight="1">
      <c r="J316" s="7"/>
      <c r="K316" s="8"/>
    </row>
    <row r="317" ht="14.25" customHeight="1">
      <c r="J317" s="7"/>
      <c r="K317" s="8"/>
    </row>
    <row r="318" ht="14.25" customHeight="1">
      <c r="J318" s="7"/>
      <c r="K318" s="8"/>
    </row>
    <row r="319" ht="14.25" customHeight="1">
      <c r="J319" s="7"/>
      <c r="K319" s="8"/>
    </row>
    <row r="320" ht="14.25" customHeight="1">
      <c r="J320" s="7"/>
      <c r="K320" s="8"/>
    </row>
    <row r="321" ht="14.25" customHeight="1">
      <c r="J321" s="7"/>
      <c r="K321" s="8"/>
    </row>
    <row r="322" ht="14.25" customHeight="1">
      <c r="J322" s="7"/>
      <c r="K322" s="8"/>
    </row>
    <row r="323" ht="14.25" customHeight="1">
      <c r="J323" s="7"/>
      <c r="K323" s="8"/>
    </row>
    <row r="324" ht="14.25" customHeight="1">
      <c r="J324" s="7"/>
      <c r="K324" s="8"/>
    </row>
    <row r="325" ht="14.25" customHeight="1">
      <c r="J325" s="7"/>
      <c r="K325" s="8"/>
    </row>
    <row r="326" ht="14.25" customHeight="1">
      <c r="J326" s="7"/>
      <c r="K326" s="8"/>
    </row>
    <row r="327" ht="14.25" customHeight="1">
      <c r="J327" s="7"/>
      <c r="K327" s="8"/>
    </row>
    <row r="328" ht="14.25" customHeight="1">
      <c r="J328" s="7"/>
      <c r="K328" s="8"/>
    </row>
    <row r="329" ht="14.25" customHeight="1">
      <c r="J329" s="7"/>
      <c r="K329" s="8"/>
    </row>
    <row r="330" ht="14.25" customHeight="1">
      <c r="J330" s="7"/>
      <c r="K330" s="8"/>
    </row>
    <row r="331" ht="14.25" customHeight="1">
      <c r="J331" s="7"/>
      <c r="K331" s="8"/>
    </row>
    <row r="332" ht="14.25" customHeight="1">
      <c r="J332" s="7"/>
      <c r="K332" s="8"/>
    </row>
    <row r="333" ht="14.25" customHeight="1">
      <c r="J333" s="7"/>
      <c r="K333" s="8"/>
    </row>
    <row r="334" ht="14.25" customHeight="1">
      <c r="J334" s="7"/>
      <c r="K334" s="8"/>
    </row>
    <row r="335" ht="14.25" customHeight="1">
      <c r="J335" s="7"/>
      <c r="K335" s="8"/>
    </row>
    <row r="336" ht="14.25" customHeight="1">
      <c r="J336" s="7"/>
      <c r="K336" s="8"/>
    </row>
    <row r="337" ht="14.25" customHeight="1">
      <c r="J337" s="7"/>
      <c r="K337" s="8"/>
    </row>
    <row r="338" ht="14.25" customHeight="1">
      <c r="J338" s="7"/>
      <c r="K338" s="8"/>
    </row>
    <row r="339" ht="14.25" customHeight="1">
      <c r="J339" s="7"/>
      <c r="K339" s="8"/>
    </row>
    <row r="340" ht="14.25" customHeight="1">
      <c r="J340" s="7"/>
      <c r="K340" s="8"/>
    </row>
    <row r="341" ht="14.25" customHeight="1">
      <c r="J341" s="7"/>
      <c r="K341" s="8"/>
    </row>
    <row r="342" ht="14.25" customHeight="1">
      <c r="J342" s="7"/>
      <c r="K342" s="8"/>
    </row>
    <row r="343" ht="14.25" customHeight="1">
      <c r="J343" s="7"/>
      <c r="K343" s="8"/>
    </row>
    <row r="344" ht="14.25" customHeight="1">
      <c r="J344" s="7"/>
      <c r="K344" s="8"/>
    </row>
    <row r="345" ht="14.25" customHeight="1">
      <c r="J345" s="7"/>
      <c r="K345" s="8"/>
    </row>
    <row r="346" ht="14.25" customHeight="1">
      <c r="J346" s="7"/>
      <c r="K346" s="8"/>
    </row>
    <row r="347" ht="14.25" customHeight="1">
      <c r="J347" s="7"/>
      <c r="K347" s="8"/>
    </row>
    <row r="348" ht="14.25" customHeight="1">
      <c r="J348" s="7"/>
      <c r="K348" s="8"/>
    </row>
    <row r="349" ht="14.25" customHeight="1">
      <c r="J349" s="7"/>
      <c r="K349" s="8"/>
    </row>
    <row r="350" ht="14.25" customHeight="1">
      <c r="J350" s="7"/>
      <c r="K350" s="8"/>
    </row>
    <row r="351" ht="14.25" customHeight="1">
      <c r="J351" s="7"/>
      <c r="K351" s="8"/>
    </row>
    <row r="352" ht="14.25" customHeight="1">
      <c r="J352" s="7"/>
      <c r="K352" s="8"/>
    </row>
    <row r="353" ht="14.25" customHeight="1">
      <c r="J353" s="7"/>
      <c r="K353" s="8"/>
    </row>
    <row r="354" ht="14.25" customHeight="1">
      <c r="J354" s="7"/>
      <c r="K354" s="8"/>
    </row>
    <row r="355" ht="14.25" customHeight="1">
      <c r="J355" s="7"/>
      <c r="K355" s="8"/>
    </row>
    <row r="356" ht="14.25" customHeight="1">
      <c r="J356" s="7"/>
      <c r="K356" s="8"/>
    </row>
    <row r="357" ht="14.25" customHeight="1">
      <c r="J357" s="7"/>
      <c r="K357" s="8"/>
    </row>
    <row r="358" ht="14.25" customHeight="1">
      <c r="J358" s="7"/>
      <c r="K358" s="8"/>
    </row>
    <row r="359" ht="14.25" customHeight="1">
      <c r="J359" s="7"/>
      <c r="K359" s="8"/>
    </row>
    <row r="360" ht="14.25" customHeight="1">
      <c r="J360" s="7"/>
      <c r="K360" s="8"/>
    </row>
    <row r="361" ht="14.25" customHeight="1">
      <c r="J361" s="7"/>
      <c r="K361" s="8"/>
    </row>
    <row r="362" ht="14.25" customHeight="1">
      <c r="J362" s="7"/>
      <c r="K362" s="8"/>
    </row>
    <row r="363" ht="14.25" customHeight="1">
      <c r="J363" s="7"/>
      <c r="K363" s="8"/>
    </row>
    <row r="364" ht="14.25" customHeight="1">
      <c r="J364" s="7"/>
      <c r="K364" s="8"/>
    </row>
    <row r="365" ht="14.25" customHeight="1">
      <c r="J365" s="7"/>
      <c r="K365" s="8"/>
    </row>
    <row r="366" ht="14.25" customHeight="1">
      <c r="J366" s="7"/>
      <c r="K366" s="8"/>
    </row>
    <row r="367" ht="14.25" customHeight="1">
      <c r="J367" s="7"/>
      <c r="K367" s="8"/>
    </row>
    <row r="368" ht="14.25" customHeight="1">
      <c r="J368" s="7"/>
      <c r="K368" s="8"/>
    </row>
    <row r="369" ht="14.25" customHeight="1">
      <c r="J369" s="7"/>
      <c r="K369" s="8"/>
    </row>
    <row r="370" ht="14.25" customHeight="1">
      <c r="J370" s="7"/>
      <c r="K370" s="8"/>
    </row>
    <row r="371" ht="14.25" customHeight="1">
      <c r="J371" s="7"/>
      <c r="K371" s="8"/>
    </row>
    <row r="372" ht="14.25" customHeight="1">
      <c r="J372" s="7"/>
      <c r="K372" s="8"/>
    </row>
    <row r="373" ht="14.25" customHeight="1">
      <c r="J373" s="7"/>
      <c r="K373" s="8"/>
    </row>
    <row r="374" ht="14.25" customHeight="1">
      <c r="J374" s="7"/>
      <c r="K374" s="8"/>
    </row>
    <row r="375" ht="14.25" customHeight="1">
      <c r="J375" s="7"/>
      <c r="K375" s="8"/>
    </row>
    <row r="376" ht="14.25" customHeight="1">
      <c r="J376" s="7"/>
      <c r="K376" s="8"/>
    </row>
    <row r="377" ht="14.25" customHeight="1">
      <c r="J377" s="7"/>
      <c r="K377" s="8"/>
    </row>
    <row r="378" ht="14.25" customHeight="1">
      <c r="J378" s="7"/>
      <c r="K378" s="8"/>
    </row>
    <row r="379" ht="14.25" customHeight="1">
      <c r="J379" s="7"/>
      <c r="K379" s="8"/>
    </row>
    <row r="380" ht="14.25" customHeight="1">
      <c r="J380" s="7"/>
      <c r="K380" s="8"/>
    </row>
    <row r="381" ht="14.25" customHeight="1">
      <c r="J381" s="7"/>
      <c r="K381" s="8"/>
    </row>
    <row r="382" ht="14.25" customHeight="1">
      <c r="J382" s="7"/>
      <c r="K382" s="8"/>
    </row>
    <row r="383" ht="14.25" customHeight="1">
      <c r="J383" s="7"/>
      <c r="K383" s="8"/>
    </row>
    <row r="384" ht="14.25" customHeight="1">
      <c r="J384" s="7"/>
      <c r="K384" s="8"/>
    </row>
    <row r="385" ht="14.25" customHeight="1">
      <c r="J385" s="7"/>
      <c r="K385" s="8"/>
    </row>
    <row r="386" ht="14.25" customHeight="1">
      <c r="J386" s="7"/>
      <c r="K386" s="8"/>
    </row>
    <row r="387" ht="14.25" customHeight="1">
      <c r="J387" s="7"/>
      <c r="K387" s="8"/>
    </row>
    <row r="388" ht="14.25" customHeight="1">
      <c r="J388" s="7"/>
      <c r="K388" s="8"/>
    </row>
    <row r="389" ht="14.25" customHeight="1">
      <c r="J389" s="7"/>
      <c r="K389" s="8"/>
    </row>
    <row r="390" ht="14.25" customHeight="1">
      <c r="J390" s="7"/>
      <c r="K390" s="8"/>
    </row>
    <row r="391" ht="14.25" customHeight="1">
      <c r="J391" s="7"/>
      <c r="K391" s="8"/>
    </row>
    <row r="392" ht="14.25" customHeight="1">
      <c r="J392" s="7"/>
      <c r="K392" s="8"/>
    </row>
    <row r="393" ht="14.25" customHeight="1">
      <c r="J393" s="7"/>
      <c r="K393" s="8"/>
    </row>
    <row r="394" ht="14.25" customHeight="1">
      <c r="J394" s="7"/>
      <c r="K394" s="8"/>
    </row>
    <row r="395" ht="14.25" customHeight="1">
      <c r="J395" s="7"/>
      <c r="K395" s="8"/>
    </row>
    <row r="396" ht="14.25" customHeight="1">
      <c r="J396" s="7"/>
      <c r="K396" s="8"/>
    </row>
    <row r="397" ht="14.25" customHeight="1">
      <c r="J397" s="7"/>
      <c r="K397" s="8"/>
    </row>
    <row r="398" ht="14.25" customHeight="1">
      <c r="J398" s="7"/>
      <c r="K398" s="8"/>
    </row>
    <row r="399" ht="14.25" customHeight="1">
      <c r="J399" s="7"/>
      <c r="K399" s="8"/>
    </row>
    <row r="400" ht="14.25" customHeight="1">
      <c r="J400" s="7"/>
      <c r="K400" s="8"/>
    </row>
    <row r="401" ht="14.25" customHeight="1">
      <c r="J401" s="7"/>
      <c r="K401" s="8"/>
    </row>
    <row r="402" ht="14.25" customHeight="1">
      <c r="J402" s="7"/>
      <c r="K402" s="8"/>
    </row>
    <row r="403" ht="14.25" customHeight="1">
      <c r="J403" s="7"/>
      <c r="K403" s="8"/>
    </row>
    <row r="404" ht="14.25" customHeight="1">
      <c r="J404" s="7"/>
      <c r="K404" s="8"/>
    </row>
    <row r="405" ht="14.25" customHeight="1">
      <c r="J405" s="7"/>
      <c r="K405" s="8"/>
    </row>
    <row r="406" ht="14.25" customHeight="1">
      <c r="J406" s="7"/>
      <c r="K406" s="8"/>
    </row>
    <row r="407" ht="14.25" customHeight="1">
      <c r="J407" s="7"/>
      <c r="K407" s="8"/>
    </row>
    <row r="408" ht="14.25" customHeight="1">
      <c r="J408" s="7"/>
      <c r="K408" s="8"/>
    </row>
    <row r="409" ht="14.25" customHeight="1">
      <c r="J409" s="7"/>
      <c r="K409" s="8"/>
    </row>
    <row r="410" ht="14.25" customHeight="1">
      <c r="J410" s="7"/>
      <c r="K410" s="8"/>
    </row>
    <row r="411" ht="14.25" customHeight="1">
      <c r="J411" s="7"/>
      <c r="K411" s="8"/>
    </row>
    <row r="412" ht="14.25" customHeight="1">
      <c r="J412" s="7"/>
      <c r="K412" s="8"/>
    </row>
    <row r="413" ht="14.25" customHeight="1">
      <c r="J413" s="7"/>
      <c r="K413" s="8"/>
    </row>
    <row r="414" ht="14.25" customHeight="1">
      <c r="J414" s="7"/>
      <c r="K414" s="8"/>
    </row>
    <row r="415" ht="14.25" customHeight="1">
      <c r="J415" s="7"/>
      <c r="K415" s="8"/>
    </row>
    <row r="416" ht="14.25" customHeight="1">
      <c r="J416" s="7"/>
      <c r="K416" s="8"/>
    </row>
    <row r="417" ht="14.25" customHeight="1">
      <c r="J417" s="7"/>
      <c r="K417" s="8"/>
    </row>
    <row r="418" ht="14.25" customHeight="1">
      <c r="J418" s="7"/>
      <c r="K418" s="8"/>
    </row>
    <row r="419" ht="14.25" customHeight="1">
      <c r="J419" s="7"/>
      <c r="K419" s="8"/>
    </row>
    <row r="420" ht="14.25" customHeight="1">
      <c r="J420" s="7"/>
      <c r="K420" s="8"/>
    </row>
    <row r="421" ht="14.25" customHeight="1">
      <c r="J421" s="7"/>
      <c r="K421" s="8"/>
    </row>
    <row r="422" ht="14.25" customHeight="1">
      <c r="J422" s="7"/>
      <c r="K422" s="8"/>
    </row>
    <row r="423" ht="14.25" customHeight="1">
      <c r="J423" s="7"/>
      <c r="K423" s="8"/>
    </row>
    <row r="424" ht="14.25" customHeight="1">
      <c r="J424" s="7"/>
      <c r="K424" s="8"/>
    </row>
    <row r="425" ht="14.25" customHeight="1">
      <c r="J425" s="7"/>
      <c r="K425" s="8"/>
    </row>
    <row r="426" ht="14.25" customHeight="1">
      <c r="J426" s="7"/>
      <c r="K426" s="8"/>
    </row>
    <row r="427" ht="14.25" customHeight="1">
      <c r="J427" s="7"/>
      <c r="K427" s="8"/>
    </row>
    <row r="428" ht="14.25" customHeight="1">
      <c r="J428" s="7"/>
      <c r="K428" s="8"/>
    </row>
    <row r="429" ht="14.25" customHeight="1">
      <c r="J429" s="7"/>
      <c r="K429" s="8"/>
    </row>
    <row r="430" ht="14.25" customHeight="1">
      <c r="J430" s="7"/>
      <c r="K430" s="8"/>
    </row>
    <row r="431" ht="14.25" customHeight="1">
      <c r="J431" s="7"/>
      <c r="K431" s="8"/>
    </row>
    <row r="432" ht="14.25" customHeight="1">
      <c r="J432" s="7"/>
      <c r="K432" s="8"/>
    </row>
    <row r="433" ht="14.25" customHeight="1">
      <c r="J433" s="7"/>
      <c r="K433" s="8"/>
    </row>
    <row r="434" ht="14.25" customHeight="1">
      <c r="J434" s="7"/>
      <c r="K434" s="8"/>
    </row>
    <row r="435" ht="14.25" customHeight="1">
      <c r="J435" s="7"/>
      <c r="K435" s="8"/>
    </row>
    <row r="436" ht="14.25" customHeight="1">
      <c r="J436" s="7"/>
      <c r="K436" s="8"/>
    </row>
    <row r="437" ht="14.25" customHeight="1">
      <c r="J437" s="7"/>
      <c r="K437" s="8"/>
    </row>
    <row r="438" ht="14.25" customHeight="1">
      <c r="J438" s="7"/>
      <c r="K438" s="8"/>
    </row>
    <row r="439" ht="14.25" customHeight="1">
      <c r="J439" s="7"/>
      <c r="K439" s="8"/>
    </row>
    <row r="440" ht="14.25" customHeight="1">
      <c r="J440" s="7"/>
      <c r="K440" s="8"/>
    </row>
    <row r="441" ht="14.25" customHeight="1">
      <c r="J441" s="7"/>
      <c r="K441" s="8"/>
    </row>
    <row r="442" ht="14.25" customHeight="1">
      <c r="J442" s="7"/>
      <c r="K442" s="8"/>
    </row>
    <row r="443" ht="14.25" customHeight="1">
      <c r="J443" s="7"/>
      <c r="K443" s="8"/>
    </row>
    <row r="444" ht="14.25" customHeight="1">
      <c r="J444" s="7"/>
      <c r="K444" s="8"/>
    </row>
    <row r="445" ht="14.25" customHeight="1">
      <c r="J445" s="7"/>
      <c r="K445" s="8"/>
    </row>
    <row r="446" ht="14.25" customHeight="1">
      <c r="J446" s="7"/>
      <c r="K446" s="8"/>
    </row>
    <row r="447" ht="14.25" customHeight="1">
      <c r="J447" s="7"/>
      <c r="K447" s="8"/>
    </row>
    <row r="448" ht="14.25" customHeight="1">
      <c r="J448" s="7"/>
      <c r="K448" s="8"/>
    </row>
    <row r="449" ht="14.25" customHeight="1">
      <c r="J449" s="7"/>
      <c r="K449" s="8"/>
    </row>
    <row r="450" ht="14.25" customHeight="1">
      <c r="J450" s="7"/>
      <c r="K450" s="8"/>
    </row>
    <row r="451" ht="14.25" customHeight="1">
      <c r="J451" s="7"/>
      <c r="K451" s="8"/>
    </row>
    <row r="452" ht="14.25" customHeight="1">
      <c r="J452" s="7"/>
      <c r="K452" s="8"/>
    </row>
    <row r="453" ht="14.25" customHeight="1">
      <c r="J453" s="7"/>
      <c r="K453" s="8"/>
    </row>
    <row r="454" ht="14.25" customHeight="1">
      <c r="J454" s="7"/>
      <c r="K454" s="8"/>
    </row>
    <row r="455" ht="14.25" customHeight="1">
      <c r="J455" s="7"/>
      <c r="K455" s="8"/>
    </row>
    <row r="456" ht="14.25" customHeight="1">
      <c r="J456" s="7"/>
      <c r="K456" s="8"/>
    </row>
    <row r="457" ht="14.25" customHeight="1">
      <c r="J457" s="7"/>
      <c r="K457" s="8"/>
    </row>
    <row r="458" ht="14.25" customHeight="1">
      <c r="J458" s="7"/>
      <c r="K458" s="8"/>
    </row>
    <row r="459" ht="14.25" customHeight="1">
      <c r="J459" s="7"/>
      <c r="K459" s="8"/>
    </row>
    <row r="460" ht="14.25" customHeight="1">
      <c r="J460" s="7"/>
      <c r="K460" s="8"/>
    </row>
    <row r="461" ht="14.25" customHeight="1">
      <c r="J461" s="7"/>
      <c r="K461" s="8"/>
    </row>
    <row r="462" ht="14.25" customHeight="1">
      <c r="J462" s="7"/>
      <c r="K462" s="8"/>
    </row>
    <row r="463" ht="14.25" customHeight="1">
      <c r="J463" s="7"/>
      <c r="K463" s="8"/>
    </row>
    <row r="464" ht="14.25" customHeight="1">
      <c r="J464" s="7"/>
      <c r="K464" s="8"/>
    </row>
    <row r="465" ht="14.25" customHeight="1">
      <c r="J465" s="7"/>
      <c r="K465" s="8"/>
    </row>
    <row r="466" ht="14.25" customHeight="1">
      <c r="J466" s="7"/>
      <c r="K466" s="8"/>
    </row>
    <row r="467" ht="14.25" customHeight="1">
      <c r="J467" s="7"/>
      <c r="K467" s="8"/>
    </row>
    <row r="468" ht="14.25" customHeight="1">
      <c r="J468" s="7"/>
      <c r="K468" s="8"/>
    </row>
    <row r="469" ht="14.25" customHeight="1">
      <c r="J469" s="7"/>
      <c r="K469" s="8"/>
    </row>
    <row r="470" ht="14.25" customHeight="1">
      <c r="J470" s="7"/>
      <c r="K470" s="8"/>
    </row>
    <row r="471" ht="14.25" customHeight="1">
      <c r="J471" s="7"/>
      <c r="K471" s="8"/>
    </row>
    <row r="472" ht="14.25" customHeight="1">
      <c r="J472" s="7"/>
      <c r="K472" s="8"/>
    </row>
    <row r="473" ht="14.25" customHeight="1">
      <c r="J473" s="7"/>
      <c r="K473" s="8"/>
    </row>
    <row r="474" ht="14.25" customHeight="1">
      <c r="J474" s="7"/>
      <c r="K474" s="8"/>
    </row>
    <row r="475" ht="14.25" customHeight="1">
      <c r="J475" s="7"/>
      <c r="K475" s="8"/>
    </row>
    <row r="476" ht="14.25" customHeight="1">
      <c r="J476" s="7"/>
      <c r="K476" s="8"/>
    </row>
    <row r="477" ht="14.25" customHeight="1">
      <c r="J477" s="7"/>
      <c r="K477" s="8"/>
    </row>
    <row r="478" ht="14.25" customHeight="1">
      <c r="J478" s="7"/>
      <c r="K478" s="8"/>
    </row>
    <row r="479" ht="14.25" customHeight="1">
      <c r="J479" s="7"/>
      <c r="K479" s="8"/>
    </row>
    <row r="480" ht="14.25" customHeight="1">
      <c r="J480" s="7"/>
      <c r="K480" s="8"/>
    </row>
    <row r="481" ht="14.25" customHeight="1">
      <c r="J481" s="7"/>
      <c r="K481" s="8"/>
    </row>
    <row r="482" ht="14.25" customHeight="1">
      <c r="J482" s="7"/>
      <c r="K482" s="8"/>
    </row>
    <row r="483" ht="14.25" customHeight="1">
      <c r="J483" s="7"/>
      <c r="K483" s="8"/>
    </row>
    <row r="484" ht="14.25" customHeight="1">
      <c r="J484" s="7"/>
      <c r="K484" s="8"/>
    </row>
    <row r="485" ht="14.25" customHeight="1">
      <c r="J485" s="7"/>
      <c r="K485" s="8"/>
    </row>
    <row r="486" ht="14.25" customHeight="1">
      <c r="J486" s="7"/>
      <c r="K486" s="8"/>
    </row>
    <row r="487" ht="14.25" customHeight="1">
      <c r="J487" s="7"/>
      <c r="K487" s="8"/>
    </row>
    <row r="488" ht="14.25" customHeight="1">
      <c r="J488" s="7"/>
      <c r="K488" s="8"/>
    </row>
    <row r="489" ht="14.25" customHeight="1">
      <c r="J489" s="7"/>
      <c r="K489" s="8"/>
    </row>
    <row r="490" ht="14.25" customHeight="1">
      <c r="J490" s="7"/>
      <c r="K490" s="8"/>
    </row>
    <row r="491" ht="14.25" customHeight="1">
      <c r="J491" s="7"/>
      <c r="K491" s="8"/>
    </row>
    <row r="492" ht="14.25" customHeight="1">
      <c r="J492" s="7"/>
      <c r="K492" s="8"/>
    </row>
    <row r="493" ht="14.25" customHeight="1">
      <c r="J493" s="7"/>
      <c r="K493" s="8"/>
    </row>
    <row r="494" ht="14.25" customHeight="1">
      <c r="J494" s="7"/>
      <c r="K494" s="8"/>
    </row>
    <row r="495" ht="14.25" customHeight="1">
      <c r="J495" s="7"/>
      <c r="K495" s="8"/>
    </row>
    <row r="496" ht="14.25" customHeight="1">
      <c r="J496" s="7"/>
      <c r="K496" s="8"/>
    </row>
    <row r="497" ht="14.25" customHeight="1">
      <c r="J497" s="7"/>
      <c r="K497" s="8"/>
    </row>
    <row r="498" ht="14.25" customHeight="1">
      <c r="J498" s="7"/>
      <c r="K498" s="8"/>
    </row>
    <row r="499" ht="14.25" customHeight="1">
      <c r="J499" s="7"/>
      <c r="K499" s="8"/>
    </row>
    <row r="500" ht="14.25" customHeight="1">
      <c r="J500" s="7"/>
      <c r="K500" s="8"/>
    </row>
    <row r="501" ht="14.25" customHeight="1">
      <c r="J501" s="7"/>
      <c r="K501" s="8"/>
    </row>
    <row r="502" ht="14.25" customHeight="1">
      <c r="J502" s="7"/>
      <c r="K502" s="8"/>
    </row>
    <row r="503" ht="14.25" customHeight="1">
      <c r="J503" s="7"/>
      <c r="K503" s="8"/>
    </row>
    <row r="504" ht="14.25" customHeight="1">
      <c r="J504" s="7"/>
      <c r="K504" s="8"/>
    </row>
    <row r="505" ht="14.25" customHeight="1">
      <c r="J505" s="7"/>
      <c r="K505" s="8"/>
    </row>
    <row r="506" ht="14.25" customHeight="1">
      <c r="J506" s="7"/>
      <c r="K506" s="8"/>
    </row>
    <row r="507" ht="14.25" customHeight="1">
      <c r="J507" s="7"/>
      <c r="K507" s="8"/>
    </row>
    <row r="508" ht="14.25" customHeight="1">
      <c r="J508" s="7"/>
      <c r="K508" s="8"/>
    </row>
    <row r="509" ht="14.25" customHeight="1">
      <c r="J509" s="7"/>
      <c r="K509" s="8"/>
    </row>
    <row r="510" ht="14.25" customHeight="1">
      <c r="J510" s="7"/>
      <c r="K510" s="8"/>
    </row>
    <row r="511" ht="14.25" customHeight="1">
      <c r="J511" s="7"/>
      <c r="K511" s="8"/>
    </row>
    <row r="512" ht="14.25" customHeight="1">
      <c r="J512" s="7"/>
      <c r="K512" s="8"/>
    </row>
    <row r="513" ht="14.25" customHeight="1">
      <c r="J513" s="7"/>
      <c r="K513" s="8"/>
    </row>
    <row r="514" ht="14.25" customHeight="1">
      <c r="J514" s="7"/>
      <c r="K514" s="8"/>
    </row>
    <row r="515" ht="14.25" customHeight="1">
      <c r="J515" s="7"/>
      <c r="K515" s="8"/>
    </row>
    <row r="516" ht="14.25" customHeight="1">
      <c r="J516" s="7"/>
      <c r="K516" s="8"/>
    </row>
    <row r="517" ht="14.25" customHeight="1">
      <c r="J517" s="7"/>
      <c r="K517" s="8"/>
    </row>
    <row r="518" ht="14.25" customHeight="1">
      <c r="J518" s="7"/>
      <c r="K518" s="8"/>
    </row>
    <row r="519" ht="14.25" customHeight="1">
      <c r="J519" s="7"/>
      <c r="K519" s="8"/>
    </row>
    <row r="520" ht="14.25" customHeight="1">
      <c r="J520" s="7"/>
      <c r="K520" s="8"/>
    </row>
    <row r="521" ht="14.25" customHeight="1">
      <c r="J521" s="7"/>
      <c r="K521" s="8"/>
    </row>
    <row r="522" ht="14.25" customHeight="1">
      <c r="J522" s="7"/>
      <c r="K522" s="8"/>
    </row>
    <row r="523" ht="14.25" customHeight="1">
      <c r="J523" s="7"/>
      <c r="K523" s="8"/>
    </row>
    <row r="524" ht="14.25" customHeight="1">
      <c r="J524" s="7"/>
      <c r="K524" s="8"/>
    </row>
    <row r="525" ht="14.25" customHeight="1">
      <c r="J525" s="7"/>
      <c r="K525" s="8"/>
    </row>
    <row r="526" ht="14.25" customHeight="1">
      <c r="J526" s="7"/>
      <c r="K526" s="8"/>
    </row>
    <row r="527" ht="14.25" customHeight="1">
      <c r="J527" s="7"/>
      <c r="K527" s="8"/>
    </row>
    <row r="528" ht="14.25" customHeight="1">
      <c r="J528" s="7"/>
      <c r="K528" s="8"/>
    </row>
    <row r="529" ht="14.25" customHeight="1">
      <c r="J529" s="7"/>
      <c r="K529" s="8"/>
    </row>
    <row r="530" ht="14.25" customHeight="1">
      <c r="J530" s="7"/>
      <c r="K530" s="8"/>
    </row>
    <row r="531" ht="14.25" customHeight="1">
      <c r="J531" s="7"/>
      <c r="K531" s="8"/>
    </row>
    <row r="532" ht="14.25" customHeight="1">
      <c r="J532" s="7"/>
      <c r="K532" s="8"/>
    </row>
    <row r="533" ht="14.25" customHeight="1">
      <c r="J533" s="7"/>
      <c r="K533" s="8"/>
    </row>
    <row r="534" ht="14.25" customHeight="1">
      <c r="J534" s="7"/>
      <c r="K534" s="8"/>
    </row>
    <row r="535" ht="14.25" customHeight="1">
      <c r="J535" s="7"/>
      <c r="K535" s="8"/>
    </row>
    <row r="536" ht="14.25" customHeight="1">
      <c r="J536" s="7"/>
      <c r="K536" s="8"/>
    </row>
    <row r="537" ht="14.25" customHeight="1">
      <c r="J537" s="7"/>
      <c r="K537" s="8"/>
    </row>
    <row r="538" ht="14.25" customHeight="1">
      <c r="J538" s="7"/>
      <c r="K538" s="8"/>
    </row>
    <row r="539" ht="14.25" customHeight="1">
      <c r="J539" s="7"/>
      <c r="K539" s="8"/>
    </row>
    <row r="540" ht="14.25" customHeight="1">
      <c r="J540" s="7"/>
      <c r="K540" s="8"/>
    </row>
    <row r="541" ht="14.25" customHeight="1">
      <c r="J541" s="7"/>
      <c r="K541" s="8"/>
    </row>
    <row r="542" ht="14.25" customHeight="1">
      <c r="J542" s="7"/>
      <c r="K542" s="8"/>
    </row>
    <row r="543" ht="14.25" customHeight="1">
      <c r="J543" s="7"/>
      <c r="K543" s="8"/>
    </row>
    <row r="544" ht="14.25" customHeight="1">
      <c r="J544" s="7"/>
      <c r="K544" s="8"/>
    </row>
    <row r="545" ht="14.25" customHeight="1">
      <c r="J545" s="7"/>
      <c r="K545" s="8"/>
    </row>
    <row r="546" ht="14.25" customHeight="1">
      <c r="J546" s="7"/>
      <c r="K546" s="8"/>
    </row>
    <row r="547" ht="14.25" customHeight="1">
      <c r="J547" s="7"/>
      <c r="K547" s="8"/>
    </row>
    <row r="548" ht="14.25" customHeight="1">
      <c r="J548" s="7"/>
      <c r="K548" s="8"/>
    </row>
    <row r="549" ht="14.25" customHeight="1">
      <c r="J549" s="7"/>
      <c r="K549" s="8"/>
    </row>
    <row r="550" ht="14.25" customHeight="1">
      <c r="J550" s="7"/>
      <c r="K550" s="8"/>
    </row>
    <row r="551" ht="14.25" customHeight="1">
      <c r="J551" s="7"/>
      <c r="K551" s="8"/>
    </row>
    <row r="552" ht="14.25" customHeight="1">
      <c r="J552" s="7"/>
      <c r="K552" s="8"/>
    </row>
    <row r="553" ht="14.25" customHeight="1">
      <c r="J553" s="7"/>
      <c r="K553" s="8"/>
    </row>
    <row r="554" ht="14.25" customHeight="1">
      <c r="J554" s="7"/>
      <c r="K554" s="8"/>
    </row>
    <row r="555" ht="14.25" customHeight="1">
      <c r="J555" s="7"/>
      <c r="K555" s="8"/>
    </row>
    <row r="556" ht="14.25" customHeight="1">
      <c r="J556" s="7"/>
      <c r="K556" s="8"/>
    </row>
    <row r="557" ht="14.25" customHeight="1">
      <c r="J557" s="7"/>
      <c r="K557" s="8"/>
    </row>
    <row r="558" ht="14.25" customHeight="1">
      <c r="J558" s="7"/>
      <c r="K558" s="8"/>
    </row>
    <row r="559" ht="14.25" customHeight="1">
      <c r="J559" s="7"/>
      <c r="K559" s="8"/>
    </row>
    <row r="560" ht="14.25" customHeight="1">
      <c r="J560" s="7"/>
      <c r="K560" s="8"/>
    </row>
    <row r="561" ht="14.25" customHeight="1">
      <c r="J561" s="7"/>
      <c r="K561" s="8"/>
    </row>
    <row r="562" ht="14.25" customHeight="1">
      <c r="J562" s="7"/>
      <c r="K562" s="8"/>
    </row>
    <row r="563" ht="14.25" customHeight="1">
      <c r="J563" s="7"/>
      <c r="K563" s="8"/>
    </row>
    <row r="564" ht="14.25" customHeight="1">
      <c r="J564" s="7"/>
      <c r="K564" s="8"/>
    </row>
    <row r="565" ht="14.25" customHeight="1">
      <c r="J565" s="7"/>
      <c r="K565" s="8"/>
    </row>
    <row r="566" ht="14.25" customHeight="1">
      <c r="J566" s="7"/>
      <c r="K566" s="8"/>
    </row>
    <row r="567" ht="14.25" customHeight="1">
      <c r="J567" s="7"/>
      <c r="K567" s="8"/>
    </row>
    <row r="568" ht="14.25" customHeight="1">
      <c r="J568" s="7"/>
      <c r="K568" s="8"/>
    </row>
    <row r="569" ht="14.25" customHeight="1">
      <c r="J569" s="7"/>
      <c r="K569" s="8"/>
    </row>
    <row r="570" ht="14.25" customHeight="1">
      <c r="J570" s="7"/>
      <c r="K570" s="8"/>
    </row>
    <row r="571" ht="14.25" customHeight="1">
      <c r="J571" s="7"/>
      <c r="K571" s="8"/>
    </row>
    <row r="572" ht="14.25" customHeight="1">
      <c r="J572" s="7"/>
      <c r="K572" s="8"/>
    </row>
    <row r="573" ht="14.25" customHeight="1">
      <c r="J573" s="7"/>
      <c r="K573" s="8"/>
    </row>
    <row r="574" ht="14.25" customHeight="1">
      <c r="J574" s="7"/>
      <c r="K574" s="8"/>
    </row>
    <row r="575" ht="14.25" customHeight="1">
      <c r="J575" s="7"/>
      <c r="K575" s="8"/>
    </row>
    <row r="576" ht="14.25" customHeight="1">
      <c r="J576" s="7"/>
      <c r="K576" s="8"/>
    </row>
    <row r="577" ht="14.25" customHeight="1">
      <c r="J577" s="7"/>
      <c r="K577" s="8"/>
    </row>
    <row r="578" ht="14.25" customHeight="1">
      <c r="J578" s="7"/>
      <c r="K578" s="8"/>
    </row>
    <row r="579" ht="14.25" customHeight="1">
      <c r="J579" s="7"/>
      <c r="K579" s="8"/>
    </row>
    <row r="580" ht="14.25" customHeight="1">
      <c r="J580" s="7"/>
      <c r="K580" s="8"/>
    </row>
    <row r="581" ht="14.25" customHeight="1">
      <c r="J581" s="7"/>
      <c r="K581" s="8"/>
    </row>
    <row r="582" ht="14.25" customHeight="1">
      <c r="J582" s="7"/>
      <c r="K582" s="8"/>
    </row>
    <row r="583" ht="14.25" customHeight="1">
      <c r="J583" s="7"/>
      <c r="K583" s="8"/>
    </row>
    <row r="584" ht="14.25" customHeight="1">
      <c r="J584" s="7"/>
      <c r="K584" s="8"/>
    </row>
    <row r="585" ht="14.25" customHeight="1">
      <c r="J585" s="7"/>
      <c r="K585" s="8"/>
    </row>
    <row r="586" ht="14.25" customHeight="1">
      <c r="J586" s="7"/>
      <c r="K586" s="8"/>
    </row>
    <row r="587" ht="14.25" customHeight="1">
      <c r="J587" s="7"/>
      <c r="K587" s="8"/>
    </row>
    <row r="588" ht="14.25" customHeight="1">
      <c r="J588" s="7"/>
      <c r="K588" s="8"/>
    </row>
    <row r="589" ht="14.25" customHeight="1">
      <c r="J589" s="7"/>
      <c r="K589" s="8"/>
    </row>
    <row r="590" ht="14.25" customHeight="1">
      <c r="J590" s="7"/>
      <c r="K590" s="8"/>
    </row>
    <row r="591" ht="14.25" customHeight="1">
      <c r="J591" s="7"/>
      <c r="K591" s="8"/>
    </row>
    <row r="592" ht="14.25" customHeight="1">
      <c r="J592" s="7"/>
      <c r="K592" s="8"/>
    </row>
    <row r="593" ht="14.25" customHeight="1">
      <c r="J593" s="7"/>
      <c r="K593" s="8"/>
    </row>
    <row r="594" ht="14.25" customHeight="1">
      <c r="J594" s="7"/>
      <c r="K594" s="8"/>
    </row>
    <row r="595" ht="14.25" customHeight="1">
      <c r="J595" s="7"/>
      <c r="K595" s="8"/>
    </row>
    <row r="596" ht="14.25" customHeight="1">
      <c r="J596" s="7"/>
      <c r="K596" s="8"/>
    </row>
    <row r="597" ht="14.25" customHeight="1">
      <c r="J597" s="7"/>
      <c r="K597" s="8"/>
    </row>
    <row r="598" ht="14.25" customHeight="1">
      <c r="J598" s="7"/>
      <c r="K598" s="8"/>
    </row>
    <row r="599" ht="14.25" customHeight="1">
      <c r="J599" s="7"/>
      <c r="K599" s="8"/>
    </row>
    <row r="600" ht="14.25" customHeight="1">
      <c r="J600" s="7"/>
      <c r="K600" s="8"/>
    </row>
    <row r="601" ht="14.25" customHeight="1">
      <c r="J601" s="7"/>
      <c r="K601" s="8"/>
    </row>
    <row r="602" ht="14.25" customHeight="1">
      <c r="J602" s="7"/>
      <c r="K602" s="8"/>
    </row>
    <row r="603" ht="14.25" customHeight="1">
      <c r="J603" s="7"/>
      <c r="K603" s="8"/>
    </row>
    <row r="604" ht="14.25" customHeight="1">
      <c r="J604" s="7"/>
      <c r="K604" s="8"/>
    </row>
    <row r="605" ht="14.25" customHeight="1">
      <c r="J605" s="7"/>
      <c r="K605" s="8"/>
    </row>
    <row r="606" ht="14.25" customHeight="1">
      <c r="J606" s="7"/>
      <c r="K606" s="8"/>
    </row>
    <row r="607" ht="14.25" customHeight="1">
      <c r="J607" s="7"/>
      <c r="K607" s="8"/>
    </row>
    <row r="608" ht="14.25" customHeight="1">
      <c r="J608" s="7"/>
      <c r="K608" s="8"/>
    </row>
    <row r="609" ht="14.25" customHeight="1">
      <c r="J609" s="7"/>
      <c r="K609" s="8"/>
    </row>
    <row r="610" ht="14.25" customHeight="1">
      <c r="J610" s="7"/>
      <c r="K610" s="8"/>
    </row>
    <row r="611" ht="14.25" customHeight="1">
      <c r="J611" s="7"/>
      <c r="K611" s="8"/>
    </row>
    <row r="612" ht="14.25" customHeight="1">
      <c r="J612" s="7"/>
      <c r="K612" s="8"/>
    </row>
    <row r="613" ht="14.25" customHeight="1">
      <c r="J613" s="7"/>
      <c r="K613" s="8"/>
    </row>
    <row r="614" ht="14.25" customHeight="1">
      <c r="J614" s="7"/>
      <c r="K614" s="8"/>
    </row>
    <row r="615" ht="14.25" customHeight="1">
      <c r="J615" s="7"/>
      <c r="K615" s="8"/>
    </row>
    <row r="616" ht="14.25" customHeight="1">
      <c r="J616" s="7"/>
      <c r="K616" s="8"/>
    </row>
    <row r="617" ht="14.25" customHeight="1">
      <c r="J617" s="7"/>
      <c r="K617" s="8"/>
    </row>
    <row r="618" ht="14.25" customHeight="1">
      <c r="J618" s="7"/>
      <c r="K618" s="8"/>
    </row>
    <row r="619" ht="14.25" customHeight="1">
      <c r="J619" s="7"/>
      <c r="K619" s="8"/>
    </row>
    <row r="620" ht="14.25" customHeight="1">
      <c r="J620" s="7"/>
      <c r="K620" s="8"/>
    </row>
    <row r="621" ht="14.25" customHeight="1">
      <c r="J621" s="7"/>
      <c r="K621" s="8"/>
    </row>
    <row r="622" ht="14.25" customHeight="1">
      <c r="J622" s="7"/>
      <c r="K622" s="8"/>
    </row>
    <row r="623" ht="14.25" customHeight="1">
      <c r="J623" s="7"/>
      <c r="K623" s="8"/>
    </row>
    <row r="624" ht="14.25" customHeight="1">
      <c r="J624" s="7"/>
      <c r="K624" s="8"/>
    </row>
    <row r="625" ht="14.25" customHeight="1">
      <c r="J625" s="7"/>
      <c r="K625" s="8"/>
    </row>
    <row r="626" ht="14.25" customHeight="1">
      <c r="J626" s="7"/>
      <c r="K626" s="8"/>
    </row>
    <row r="627" ht="14.25" customHeight="1">
      <c r="J627" s="7"/>
      <c r="K627" s="8"/>
    </row>
    <row r="628" ht="14.25" customHeight="1">
      <c r="J628" s="7"/>
      <c r="K628" s="8"/>
    </row>
    <row r="629" ht="14.25" customHeight="1">
      <c r="J629" s="7"/>
      <c r="K629" s="8"/>
    </row>
    <row r="630" ht="14.25" customHeight="1">
      <c r="J630" s="7"/>
      <c r="K630" s="8"/>
    </row>
    <row r="631" ht="14.25" customHeight="1">
      <c r="J631" s="7"/>
      <c r="K631" s="8"/>
    </row>
    <row r="632" ht="14.25" customHeight="1">
      <c r="J632" s="7"/>
      <c r="K632" s="8"/>
    </row>
    <row r="633" ht="14.25" customHeight="1">
      <c r="J633" s="7"/>
      <c r="K633" s="8"/>
    </row>
    <row r="634" ht="14.25" customHeight="1">
      <c r="J634" s="7"/>
      <c r="K634" s="8"/>
    </row>
    <row r="635" ht="14.25" customHeight="1">
      <c r="J635" s="7"/>
      <c r="K635" s="8"/>
    </row>
    <row r="636" ht="14.25" customHeight="1">
      <c r="J636" s="7"/>
      <c r="K636" s="8"/>
    </row>
    <row r="637" ht="14.25" customHeight="1">
      <c r="J637" s="7"/>
      <c r="K637" s="8"/>
    </row>
    <row r="638" ht="14.25" customHeight="1">
      <c r="J638" s="7"/>
      <c r="K638" s="8"/>
    </row>
    <row r="639" ht="14.25" customHeight="1">
      <c r="J639" s="7"/>
      <c r="K639" s="8"/>
    </row>
    <row r="640" ht="14.25" customHeight="1">
      <c r="J640" s="7"/>
      <c r="K640" s="8"/>
    </row>
    <row r="641" ht="14.25" customHeight="1">
      <c r="J641" s="7"/>
      <c r="K641" s="8"/>
    </row>
    <row r="642" ht="14.25" customHeight="1">
      <c r="J642" s="7"/>
      <c r="K642" s="8"/>
    </row>
    <row r="643" ht="14.25" customHeight="1">
      <c r="J643" s="7"/>
      <c r="K643" s="8"/>
    </row>
    <row r="644" ht="14.25" customHeight="1">
      <c r="J644" s="7"/>
      <c r="K644" s="8"/>
    </row>
    <row r="645" ht="14.25" customHeight="1">
      <c r="J645" s="7"/>
      <c r="K645" s="8"/>
    </row>
    <row r="646" ht="14.25" customHeight="1">
      <c r="J646" s="7"/>
      <c r="K646" s="8"/>
    </row>
    <row r="647" ht="14.25" customHeight="1">
      <c r="J647" s="7"/>
      <c r="K647" s="8"/>
    </row>
    <row r="648" ht="14.25" customHeight="1">
      <c r="J648" s="7"/>
      <c r="K648" s="8"/>
    </row>
    <row r="649" ht="14.25" customHeight="1">
      <c r="J649" s="7"/>
      <c r="K649" s="8"/>
    </row>
    <row r="650" ht="14.25" customHeight="1">
      <c r="J650" s="7"/>
      <c r="K650" s="8"/>
    </row>
    <row r="651" ht="14.25" customHeight="1">
      <c r="J651" s="7"/>
      <c r="K651" s="8"/>
    </row>
    <row r="652" ht="14.25" customHeight="1">
      <c r="J652" s="7"/>
      <c r="K652" s="8"/>
    </row>
    <row r="653" ht="14.25" customHeight="1">
      <c r="J653" s="7"/>
      <c r="K653" s="8"/>
    </row>
    <row r="654" ht="14.25" customHeight="1">
      <c r="J654" s="7"/>
      <c r="K654" s="8"/>
    </row>
    <row r="655" ht="14.25" customHeight="1">
      <c r="J655" s="7"/>
      <c r="K655" s="8"/>
    </row>
    <row r="656" ht="14.25" customHeight="1">
      <c r="J656" s="7"/>
      <c r="K656" s="8"/>
    </row>
    <row r="657" ht="14.25" customHeight="1">
      <c r="J657" s="7"/>
      <c r="K657" s="8"/>
    </row>
    <row r="658" ht="14.25" customHeight="1">
      <c r="J658" s="7"/>
      <c r="K658" s="8"/>
    </row>
    <row r="659" ht="14.25" customHeight="1">
      <c r="J659" s="7"/>
      <c r="K659" s="8"/>
    </row>
    <row r="660" ht="14.25" customHeight="1">
      <c r="J660" s="7"/>
      <c r="K660" s="8"/>
    </row>
    <row r="661" ht="14.25" customHeight="1">
      <c r="J661" s="7"/>
      <c r="K661" s="8"/>
    </row>
    <row r="662" ht="14.25" customHeight="1">
      <c r="J662" s="7"/>
      <c r="K662" s="8"/>
    </row>
    <row r="663" ht="14.25" customHeight="1">
      <c r="J663" s="7"/>
      <c r="K663" s="8"/>
    </row>
    <row r="664" ht="14.25" customHeight="1">
      <c r="J664" s="7"/>
      <c r="K664" s="8"/>
    </row>
    <row r="665" ht="14.25" customHeight="1">
      <c r="J665" s="7"/>
      <c r="K665" s="8"/>
    </row>
    <row r="666" ht="14.25" customHeight="1">
      <c r="J666" s="7"/>
      <c r="K666" s="8"/>
    </row>
    <row r="667" ht="14.25" customHeight="1">
      <c r="J667" s="7"/>
      <c r="K667" s="8"/>
    </row>
    <row r="668" ht="14.25" customHeight="1">
      <c r="J668" s="7"/>
      <c r="K668" s="8"/>
    </row>
    <row r="669" ht="14.25" customHeight="1">
      <c r="J669" s="7"/>
      <c r="K669" s="8"/>
    </row>
    <row r="670" ht="14.25" customHeight="1">
      <c r="J670" s="7"/>
      <c r="K670" s="8"/>
    </row>
    <row r="671" ht="14.25" customHeight="1">
      <c r="J671" s="7"/>
      <c r="K671" s="8"/>
    </row>
    <row r="672" ht="14.25" customHeight="1">
      <c r="J672" s="7"/>
      <c r="K672" s="8"/>
    </row>
    <row r="673" ht="14.25" customHeight="1">
      <c r="J673" s="7"/>
      <c r="K673" s="8"/>
    </row>
    <row r="674" ht="14.25" customHeight="1">
      <c r="J674" s="7"/>
      <c r="K674" s="8"/>
    </row>
    <row r="675" ht="14.25" customHeight="1">
      <c r="J675" s="7"/>
      <c r="K675" s="8"/>
    </row>
    <row r="676" ht="14.25" customHeight="1">
      <c r="J676" s="7"/>
      <c r="K676" s="8"/>
    </row>
    <row r="677" ht="14.25" customHeight="1">
      <c r="J677" s="7"/>
      <c r="K677" s="8"/>
    </row>
    <row r="678" ht="14.25" customHeight="1">
      <c r="J678" s="7"/>
      <c r="K678" s="8"/>
    </row>
    <row r="679" ht="14.25" customHeight="1">
      <c r="J679" s="7"/>
      <c r="K679" s="8"/>
    </row>
    <row r="680" ht="14.25" customHeight="1">
      <c r="J680" s="7"/>
      <c r="K680" s="8"/>
    </row>
    <row r="681" ht="14.25" customHeight="1">
      <c r="J681" s="7"/>
      <c r="K681" s="8"/>
    </row>
    <row r="682" ht="14.25" customHeight="1">
      <c r="J682" s="7"/>
      <c r="K682" s="8"/>
    </row>
    <row r="683" ht="14.25" customHeight="1">
      <c r="J683" s="7"/>
      <c r="K683" s="8"/>
    </row>
    <row r="684" ht="14.25" customHeight="1">
      <c r="J684" s="7"/>
      <c r="K684" s="8"/>
    </row>
    <row r="685" ht="14.25" customHeight="1">
      <c r="J685" s="7"/>
      <c r="K685" s="8"/>
    </row>
    <row r="686" ht="14.25" customHeight="1">
      <c r="J686" s="7"/>
      <c r="K686" s="8"/>
    </row>
    <row r="687" ht="14.25" customHeight="1">
      <c r="J687" s="7"/>
      <c r="K687" s="8"/>
    </row>
    <row r="688" ht="14.25" customHeight="1">
      <c r="J688" s="7"/>
      <c r="K688" s="8"/>
    </row>
    <row r="689" ht="14.25" customHeight="1">
      <c r="J689" s="7"/>
      <c r="K689" s="8"/>
    </row>
    <row r="690" ht="14.25" customHeight="1">
      <c r="J690" s="7"/>
      <c r="K690" s="8"/>
    </row>
    <row r="691" ht="14.25" customHeight="1">
      <c r="J691" s="7"/>
      <c r="K691" s="8"/>
    </row>
    <row r="692" ht="14.25" customHeight="1">
      <c r="J692" s="7"/>
      <c r="K692" s="8"/>
    </row>
    <row r="693" ht="14.25" customHeight="1">
      <c r="J693" s="7"/>
      <c r="K693" s="8"/>
    </row>
    <row r="694" ht="14.25" customHeight="1">
      <c r="J694" s="7"/>
      <c r="K694" s="8"/>
    </row>
    <row r="695" ht="14.25" customHeight="1">
      <c r="J695" s="7"/>
      <c r="K695" s="8"/>
    </row>
    <row r="696" ht="14.25" customHeight="1">
      <c r="J696" s="7"/>
      <c r="K696" s="8"/>
    </row>
    <row r="697" ht="14.25" customHeight="1">
      <c r="J697" s="7"/>
      <c r="K697" s="8"/>
    </row>
    <row r="698" ht="14.25" customHeight="1">
      <c r="J698" s="7"/>
      <c r="K698" s="8"/>
    </row>
    <row r="699" ht="14.25" customHeight="1">
      <c r="J699" s="7"/>
      <c r="K699" s="8"/>
    </row>
    <row r="700" ht="14.25" customHeight="1">
      <c r="J700" s="7"/>
      <c r="K700" s="8"/>
    </row>
    <row r="701" ht="14.25" customHeight="1">
      <c r="J701" s="7"/>
      <c r="K701" s="8"/>
    </row>
    <row r="702" ht="14.25" customHeight="1">
      <c r="J702" s="7"/>
      <c r="K702" s="8"/>
    </row>
    <row r="703" ht="14.25" customHeight="1">
      <c r="J703" s="7"/>
      <c r="K703" s="8"/>
    </row>
    <row r="704" ht="14.25" customHeight="1">
      <c r="J704" s="7"/>
      <c r="K704" s="8"/>
    </row>
    <row r="705" ht="14.25" customHeight="1">
      <c r="J705" s="7"/>
      <c r="K705" s="8"/>
    </row>
    <row r="706" ht="14.25" customHeight="1">
      <c r="J706" s="7"/>
      <c r="K706" s="8"/>
    </row>
    <row r="707" ht="14.25" customHeight="1">
      <c r="J707" s="7"/>
      <c r="K707" s="8"/>
    </row>
    <row r="708" ht="14.25" customHeight="1">
      <c r="J708" s="7"/>
      <c r="K708" s="8"/>
    </row>
    <row r="709" ht="14.25" customHeight="1">
      <c r="J709" s="7"/>
      <c r="K709" s="8"/>
    </row>
    <row r="710" ht="14.25" customHeight="1">
      <c r="J710" s="7"/>
      <c r="K710" s="8"/>
    </row>
    <row r="711" ht="14.25" customHeight="1">
      <c r="J711" s="7"/>
      <c r="K711" s="8"/>
    </row>
    <row r="712" ht="14.25" customHeight="1">
      <c r="J712" s="7"/>
      <c r="K712" s="8"/>
    </row>
    <row r="713" ht="14.25" customHeight="1">
      <c r="J713" s="7"/>
      <c r="K713" s="8"/>
    </row>
    <row r="714" ht="14.25" customHeight="1">
      <c r="J714" s="7"/>
      <c r="K714" s="8"/>
    </row>
    <row r="715" ht="14.25" customHeight="1">
      <c r="J715" s="7"/>
      <c r="K715" s="8"/>
    </row>
    <row r="716" ht="14.25" customHeight="1">
      <c r="J716" s="7"/>
      <c r="K716" s="8"/>
    </row>
    <row r="717" ht="14.25" customHeight="1">
      <c r="J717" s="7"/>
      <c r="K717" s="8"/>
    </row>
    <row r="718" ht="14.25" customHeight="1">
      <c r="J718" s="7"/>
      <c r="K718" s="8"/>
    </row>
    <row r="719" ht="14.25" customHeight="1">
      <c r="J719" s="7"/>
      <c r="K719" s="8"/>
    </row>
    <row r="720" ht="14.25" customHeight="1">
      <c r="J720" s="7"/>
      <c r="K720" s="8"/>
    </row>
    <row r="721" ht="14.25" customHeight="1">
      <c r="J721" s="7"/>
      <c r="K721" s="8"/>
    </row>
    <row r="722" ht="14.25" customHeight="1">
      <c r="J722" s="7"/>
      <c r="K722" s="8"/>
    </row>
    <row r="723" ht="14.25" customHeight="1">
      <c r="J723" s="7"/>
      <c r="K723" s="8"/>
    </row>
    <row r="724" ht="14.25" customHeight="1">
      <c r="J724" s="7"/>
      <c r="K724" s="8"/>
    </row>
    <row r="725" ht="14.25" customHeight="1">
      <c r="J725" s="7"/>
      <c r="K725" s="8"/>
    </row>
    <row r="726" ht="14.25" customHeight="1">
      <c r="J726" s="7"/>
      <c r="K726" s="8"/>
    </row>
    <row r="727" ht="14.25" customHeight="1">
      <c r="J727" s="7"/>
      <c r="K727" s="8"/>
    </row>
    <row r="728" ht="14.25" customHeight="1">
      <c r="J728" s="7"/>
      <c r="K728" s="8"/>
    </row>
    <row r="729" ht="14.25" customHeight="1">
      <c r="J729" s="7"/>
      <c r="K729" s="8"/>
    </row>
    <row r="730" ht="14.25" customHeight="1">
      <c r="J730" s="7"/>
      <c r="K730" s="8"/>
    </row>
    <row r="731" ht="14.25" customHeight="1">
      <c r="J731" s="7"/>
      <c r="K731" s="8"/>
    </row>
    <row r="732" ht="14.25" customHeight="1">
      <c r="J732" s="7"/>
      <c r="K732" s="8"/>
    </row>
    <row r="733" ht="14.25" customHeight="1">
      <c r="J733" s="7"/>
      <c r="K733" s="8"/>
    </row>
    <row r="734" ht="14.25" customHeight="1">
      <c r="J734" s="7"/>
      <c r="K734" s="8"/>
    </row>
    <row r="735" ht="14.25" customHeight="1">
      <c r="J735" s="7"/>
      <c r="K735" s="8"/>
    </row>
    <row r="736" ht="14.25" customHeight="1">
      <c r="J736" s="7"/>
      <c r="K736" s="8"/>
    </row>
    <row r="737" ht="14.25" customHeight="1">
      <c r="J737" s="7"/>
      <c r="K737" s="8"/>
    </row>
    <row r="738" ht="14.25" customHeight="1">
      <c r="J738" s="7"/>
      <c r="K738" s="8"/>
    </row>
    <row r="739" ht="14.25" customHeight="1">
      <c r="J739" s="7"/>
      <c r="K739" s="8"/>
    </row>
    <row r="740" ht="14.25" customHeight="1">
      <c r="J740" s="7"/>
      <c r="K740" s="8"/>
    </row>
    <row r="741" ht="14.25" customHeight="1">
      <c r="J741" s="7"/>
      <c r="K741" s="8"/>
    </row>
    <row r="742" ht="14.25" customHeight="1">
      <c r="J742" s="7"/>
      <c r="K742" s="8"/>
    </row>
    <row r="743" ht="14.25" customHeight="1">
      <c r="J743" s="7"/>
      <c r="K743" s="8"/>
    </row>
    <row r="744" ht="14.25" customHeight="1">
      <c r="J744" s="7"/>
      <c r="K744" s="8"/>
    </row>
    <row r="745" ht="14.25" customHeight="1">
      <c r="J745" s="7"/>
      <c r="K745" s="8"/>
    </row>
    <row r="746" ht="14.25" customHeight="1">
      <c r="J746" s="7"/>
      <c r="K746" s="8"/>
    </row>
    <row r="747" ht="14.25" customHeight="1">
      <c r="J747" s="7"/>
      <c r="K747" s="8"/>
    </row>
    <row r="748" ht="14.25" customHeight="1">
      <c r="J748" s="7"/>
      <c r="K748" s="8"/>
    </row>
    <row r="749" ht="14.25" customHeight="1">
      <c r="J749" s="7"/>
      <c r="K749" s="8"/>
    </row>
    <row r="750" ht="14.25" customHeight="1">
      <c r="J750" s="7"/>
      <c r="K750" s="8"/>
    </row>
    <row r="751" ht="14.25" customHeight="1">
      <c r="J751" s="7"/>
      <c r="K751" s="8"/>
    </row>
    <row r="752" ht="14.25" customHeight="1">
      <c r="J752" s="7"/>
      <c r="K752" s="8"/>
    </row>
    <row r="753" ht="14.25" customHeight="1">
      <c r="J753" s="7"/>
      <c r="K753" s="8"/>
    </row>
    <row r="754" ht="14.25" customHeight="1">
      <c r="J754" s="7"/>
      <c r="K754" s="8"/>
    </row>
    <row r="755" ht="14.25" customHeight="1">
      <c r="J755" s="7"/>
      <c r="K755" s="8"/>
    </row>
    <row r="756" ht="14.25" customHeight="1">
      <c r="J756" s="7"/>
      <c r="K756" s="8"/>
    </row>
    <row r="757" ht="14.25" customHeight="1">
      <c r="J757" s="7"/>
      <c r="K757" s="8"/>
    </row>
    <row r="758" ht="14.25" customHeight="1">
      <c r="J758" s="7"/>
      <c r="K758" s="8"/>
    </row>
    <row r="759" ht="14.25" customHeight="1">
      <c r="J759" s="7"/>
      <c r="K759" s="8"/>
    </row>
    <row r="760" ht="14.25" customHeight="1">
      <c r="J760" s="7"/>
      <c r="K760" s="8"/>
    </row>
    <row r="761" ht="14.25" customHeight="1">
      <c r="J761" s="7"/>
      <c r="K761" s="8"/>
    </row>
    <row r="762" ht="14.25" customHeight="1">
      <c r="J762" s="7"/>
      <c r="K762" s="8"/>
    </row>
    <row r="763" ht="14.25" customHeight="1">
      <c r="J763" s="7"/>
      <c r="K763" s="8"/>
    </row>
    <row r="764" ht="14.25" customHeight="1">
      <c r="J764" s="7"/>
      <c r="K764" s="8"/>
    </row>
    <row r="765" ht="14.25" customHeight="1">
      <c r="J765" s="7"/>
      <c r="K765" s="8"/>
    </row>
    <row r="766" ht="14.25" customHeight="1">
      <c r="J766" s="7"/>
      <c r="K766" s="8"/>
    </row>
    <row r="767" ht="14.25" customHeight="1">
      <c r="J767" s="7"/>
      <c r="K767" s="8"/>
    </row>
    <row r="768" ht="14.25" customHeight="1">
      <c r="J768" s="7"/>
      <c r="K768" s="8"/>
    </row>
    <row r="769" ht="14.25" customHeight="1">
      <c r="J769" s="7"/>
      <c r="K769" s="8"/>
    </row>
    <row r="770" ht="14.25" customHeight="1">
      <c r="J770" s="7"/>
      <c r="K770" s="8"/>
    </row>
    <row r="771" ht="14.25" customHeight="1">
      <c r="J771" s="7"/>
      <c r="K771" s="8"/>
    </row>
    <row r="772" ht="14.25" customHeight="1">
      <c r="J772" s="7"/>
      <c r="K772" s="8"/>
    </row>
    <row r="773" ht="14.25" customHeight="1">
      <c r="J773" s="7"/>
      <c r="K773" s="8"/>
    </row>
    <row r="774" ht="14.25" customHeight="1">
      <c r="J774" s="7"/>
      <c r="K774" s="8"/>
    </row>
    <row r="775" ht="14.25" customHeight="1">
      <c r="J775" s="7"/>
      <c r="K775" s="8"/>
    </row>
    <row r="776" ht="14.25" customHeight="1">
      <c r="J776" s="7"/>
      <c r="K776" s="8"/>
    </row>
    <row r="777" ht="14.25" customHeight="1">
      <c r="J777" s="7"/>
      <c r="K777" s="8"/>
    </row>
    <row r="778" ht="14.25" customHeight="1">
      <c r="J778" s="7"/>
      <c r="K778" s="8"/>
    </row>
    <row r="779" ht="14.25" customHeight="1">
      <c r="J779" s="7"/>
      <c r="K779" s="8"/>
    </row>
    <row r="780" ht="14.25" customHeight="1">
      <c r="J780" s="7"/>
      <c r="K780" s="8"/>
    </row>
    <row r="781" ht="14.25" customHeight="1">
      <c r="J781" s="7"/>
      <c r="K781" s="8"/>
    </row>
    <row r="782" ht="14.25" customHeight="1">
      <c r="J782" s="7"/>
      <c r="K782" s="8"/>
    </row>
    <row r="783" ht="14.25" customHeight="1">
      <c r="J783" s="7"/>
      <c r="K783" s="8"/>
    </row>
    <row r="784" ht="14.25" customHeight="1">
      <c r="J784" s="7"/>
      <c r="K784" s="8"/>
    </row>
    <row r="785" ht="14.25" customHeight="1">
      <c r="J785" s="7"/>
      <c r="K785" s="8"/>
    </row>
    <row r="786" ht="14.25" customHeight="1">
      <c r="J786" s="7"/>
      <c r="K786" s="8"/>
    </row>
    <row r="787" ht="14.25" customHeight="1">
      <c r="J787" s="7"/>
      <c r="K787" s="8"/>
    </row>
    <row r="788" ht="14.25" customHeight="1">
      <c r="J788" s="7"/>
      <c r="K788" s="8"/>
    </row>
    <row r="789" ht="14.25" customHeight="1">
      <c r="J789" s="7"/>
      <c r="K789" s="8"/>
    </row>
    <row r="790" ht="14.25" customHeight="1">
      <c r="J790" s="7"/>
      <c r="K790" s="8"/>
    </row>
    <row r="791" ht="14.25" customHeight="1">
      <c r="J791" s="7"/>
      <c r="K791" s="8"/>
    </row>
    <row r="792" ht="14.25" customHeight="1">
      <c r="J792" s="7"/>
      <c r="K792" s="8"/>
    </row>
    <row r="793" ht="14.25" customHeight="1">
      <c r="J793" s="7"/>
      <c r="K793" s="8"/>
    </row>
    <row r="794" ht="14.25" customHeight="1">
      <c r="J794" s="7"/>
      <c r="K794" s="8"/>
    </row>
    <row r="795" ht="14.25" customHeight="1">
      <c r="J795" s="7"/>
      <c r="K795" s="8"/>
    </row>
    <row r="796" ht="14.25" customHeight="1">
      <c r="J796" s="7"/>
      <c r="K796" s="8"/>
    </row>
    <row r="797" ht="14.25" customHeight="1">
      <c r="J797" s="7"/>
      <c r="K797" s="8"/>
    </row>
    <row r="798" ht="14.25" customHeight="1">
      <c r="J798" s="7"/>
      <c r="K798" s="8"/>
    </row>
    <row r="799" ht="14.25" customHeight="1">
      <c r="J799" s="7"/>
      <c r="K799" s="8"/>
    </row>
    <row r="800" ht="14.25" customHeight="1">
      <c r="J800" s="7"/>
      <c r="K800" s="8"/>
    </row>
    <row r="801" ht="14.25" customHeight="1">
      <c r="J801" s="7"/>
      <c r="K801" s="8"/>
    </row>
    <row r="802" ht="14.25" customHeight="1">
      <c r="J802" s="7"/>
      <c r="K802" s="8"/>
    </row>
    <row r="803" ht="14.25" customHeight="1">
      <c r="J803" s="7"/>
      <c r="K803" s="8"/>
    </row>
    <row r="804" ht="14.25" customHeight="1">
      <c r="J804" s="7"/>
      <c r="K804" s="8"/>
    </row>
    <row r="805" ht="14.25" customHeight="1">
      <c r="J805" s="7"/>
      <c r="K805" s="8"/>
    </row>
    <row r="806" ht="14.25" customHeight="1">
      <c r="J806" s="7"/>
      <c r="K806" s="8"/>
    </row>
    <row r="807" ht="14.25" customHeight="1">
      <c r="J807" s="7"/>
      <c r="K807" s="8"/>
    </row>
    <row r="808" ht="14.25" customHeight="1">
      <c r="J808" s="7"/>
      <c r="K808" s="8"/>
    </row>
    <row r="809" ht="14.25" customHeight="1">
      <c r="J809" s="7"/>
      <c r="K809" s="8"/>
    </row>
    <row r="810" ht="14.25" customHeight="1">
      <c r="J810" s="7"/>
      <c r="K810" s="8"/>
    </row>
    <row r="811" ht="14.25" customHeight="1">
      <c r="J811" s="7"/>
      <c r="K811" s="8"/>
    </row>
    <row r="812" ht="14.25" customHeight="1">
      <c r="J812" s="7"/>
      <c r="K812" s="8"/>
    </row>
    <row r="813" ht="14.25" customHeight="1">
      <c r="J813" s="7"/>
      <c r="K813" s="8"/>
    </row>
    <row r="814" ht="14.25" customHeight="1">
      <c r="J814" s="7"/>
      <c r="K814" s="8"/>
    </row>
    <row r="815" ht="14.25" customHeight="1">
      <c r="J815" s="7"/>
      <c r="K815" s="8"/>
    </row>
    <row r="816" ht="14.25" customHeight="1">
      <c r="J816" s="7"/>
      <c r="K816" s="8"/>
    </row>
    <row r="817" ht="14.25" customHeight="1">
      <c r="J817" s="7"/>
      <c r="K817" s="8"/>
    </row>
    <row r="818" ht="14.25" customHeight="1">
      <c r="J818" s="7"/>
      <c r="K818" s="8"/>
    </row>
    <row r="819" ht="14.25" customHeight="1">
      <c r="J819" s="7"/>
      <c r="K819" s="8"/>
    </row>
    <row r="820" ht="14.25" customHeight="1">
      <c r="J820" s="7"/>
      <c r="K820" s="8"/>
    </row>
    <row r="821" ht="14.25" customHeight="1">
      <c r="J821" s="7"/>
      <c r="K821" s="8"/>
    </row>
    <row r="822" ht="14.25" customHeight="1">
      <c r="J822" s="7"/>
      <c r="K822" s="8"/>
    </row>
    <row r="823" ht="14.25" customHeight="1">
      <c r="J823" s="7"/>
      <c r="K823" s="8"/>
    </row>
    <row r="824" ht="14.25" customHeight="1">
      <c r="J824" s="7"/>
      <c r="K824" s="8"/>
    </row>
    <row r="825" ht="14.25" customHeight="1">
      <c r="J825" s="7"/>
      <c r="K825" s="8"/>
    </row>
    <row r="826" ht="14.25" customHeight="1">
      <c r="J826" s="7"/>
      <c r="K826" s="8"/>
    </row>
    <row r="827" ht="14.25" customHeight="1">
      <c r="J827" s="7"/>
      <c r="K827" s="8"/>
    </row>
    <row r="828" ht="14.25" customHeight="1">
      <c r="J828" s="7"/>
      <c r="K828" s="8"/>
    </row>
    <row r="829" ht="14.25" customHeight="1">
      <c r="J829" s="7"/>
      <c r="K829" s="8"/>
    </row>
    <row r="830" ht="14.25" customHeight="1">
      <c r="J830" s="7"/>
      <c r="K830" s="8"/>
    </row>
    <row r="831" ht="14.25" customHeight="1">
      <c r="J831" s="7"/>
      <c r="K831" s="8"/>
    </row>
    <row r="832" ht="14.25" customHeight="1">
      <c r="J832" s="7"/>
      <c r="K832" s="8"/>
    </row>
    <row r="833" ht="14.25" customHeight="1">
      <c r="J833" s="7"/>
      <c r="K833" s="8"/>
    </row>
    <row r="834" ht="14.25" customHeight="1">
      <c r="J834" s="7"/>
      <c r="K834" s="8"/>
    </row>
    <row r="835" ht="14.25" customHeight="1">
      <c r="J835" s="7"/>
      <c r="K835" s="8"/>
    </row>
    <row r="836" ht="14.25" customHeight="1">
      <c r="J836" s="7"/>
      <c r="K836" s="8"/>
    </row>
    <row r="837" ht="14.25" customHeight="1">
      <c r="J837" s="7"/>
      <c r="K837" s="8"/>
    </row>
    <row r="838" ht="14.25" customHeight="1">
      <c r="J838" s="7"/>
      <c r="K838" s="8"/>
    </row>
    <row r="839" ht="14.25" customHeight="1">
      <c r="J839" s="7"/>
      <c r="K839" s="8"/>
    </row>
    <row r="840" ht="14.25" customHeight="1">
      <c r="J840" s="7"/>
      <c r="K840" s="8"/>
    </row>
    <row r="841" ht="14.25" customHeight="1">
      <c r="J841" s="7"/>
      <c r="K841" s="8"/>
    </row>
    <row r="842" ht="14.25" customHeight="1">
      <c r="J842" s="7"/>
      <c r="K842" s="8"/>
    </row>
    <row r="843" ht="14.25" customHeight="1">
      <c r="J843" s="7"/>
      <c r="K843" s="8"/>
    </row>
    <row r="844" ht="14.25" customHeight="1">
      <c r="J844" s="7"/>
      <c r="K844" s="8"/>
    </row>
    <row r="845" ht="14.25" customHeight="1">
      <c r="J845" s="7"/>
      <c r="K845" s="8"/>
    </row>
    <row r="846" ht="14.25" customHeight="1">
      <c r="J846" s="7"/>
      <c r="K846" s="8"/>
    </row>
    <row r="847" ht="14.25" customHeight="1">
      <c r="J847" s="7"/>
      <c r="K847" s="8"/>
    </row>
    <row r="848" ht="14.25" customHeight="1">
      <c r="J848" s="7"/>
      <c r="K848" s="8"/>
    </row>
    <row r="849" ht="14.25" customHeight="1">
      <c r="J849" s="7"/>
      <c r="K849" s="8"/>
    </row>
    <row r="850" ht="14.25" customHeight="1">
      <c r="J850" s="7"/>
      <c r="K850" s="8"/>
    </row>
    <row r="851" ht="14.25" customHeight="1">
      <c r="J851" s="7"/>
      <c r="K851" s="8"/>
    </row>
    <row r="852" ht="14.25" customHeight="1">
      <c r="J852" s="7"/>
      <c r="K852" s="8"/>
    </row>
    <row r="853" ht="14.25" customHeight="1">
      <c r="J853" s="7"/>
      <c r="K853" s="8"/>
    </row>
    <row r="854" ht="14.25" customHeight="1">
      <c r="J854" s="7"/>
      <c r="K854" s="8"/>
    </row>
    <row r="855" ht="14.25" customHeight="1">
      <c r="J855" s="7"/>
      <c r="K855" s="8"/>
    </row>
    <row r="856" ht="14.25" customHeight="1">
      <c r="J856" s="7"/>
      <c r="K856" s="8"/>
    </row>
    <row r="857" ht="14.25" customHeight="1">
      <c r="J857" s="7"/>
      <c r="K857" s="8"/>
    </row>
    <row r="858" ht="14.25" customHeight="1">
      <c r="J858" s="7"/>
      <c r="K858" s="8"/>
    </row>
    <row r="859" ht="14.25" customHeight="1">
      <c r="J859" s="7"/>
      <c r="K859" s="8"/>
    </row>
    <row r="860" ht="14.25" customHeight="1">
      <c r="J860" s="7"/>
      <c r="K860" s="8"/>
    </row>
    <row r="861" ht="14.25" customHeight="1">
      <c r="J861" s="7"/>
      <c r="K861" s="8"/>
    </row>
    <row r="862" ht="14.25" customHeight="1">
      <c r="J862" s="7"/>
      <c r="K862" s="8"/>
    </row>
    <row r="863" ht="14.25" customHeight="1">
      <c r="J863" s="7"/>
      <c r="K863" s="8"/>
    </row>
    <row r="864" ht="14.25" customHeight="1">
      <c r="J864" s="7"/>
      <c r="K864" s="8"/>
    </row>
    <row r="865" ht="14.25" customHeight="1">
      <c r="J865" s="7"/>
      <c r="K865" s="8"/>
    </row>
    <row r="866" ht="14.25" customHeight="1">
      <c r="J866" s="7"/>
      <c r="K866" s="8"/>
    </row>
    <row r="867" ht="14.25" customHeight="1">
      <c r="J867" s="7"/>
      <c r="K867" s="8"/>
    </row>
    <row r="868" ht="14.25" customHeight="1">
      <c r="J868" s="7"/>
      <c r="K868" s="8"/>
    </row>
    <row r="869" ht="14.25" customHeight="1">
      <c r="J869" s="7"/>
      <c r="K869" s="8"/>
    </row>
    <row r="870" ht="14.25" customHeight="1">
      <c r="J870" s="7"/>
      <c r="K870" s="8"/>
    </row>
    <row r="871" ht="14.25" customHeight="1">
      <c r="J871" s="7"/>
      <c r="K871" s="8"/>
    </row>
    <row r="872" ht="14.25" customHeight="1">
      <c r="J872" s="7"/>
      <c r="K872" s="8"/>
    </row>
    <row r="873" ht="14.25" customHeight="1">
      <c r="J873" s="7"/>
      <c r="K873" s="8"/>
    </row>
    <row r="874" ht="14.25" customHeight="1">
      <c r="J874" s="7"/>
      <c r="K874" s="8"/>
    </row>
    <row r="875" ht="14.25" customHeight="1">
      <c r="J875" s="7"/>
      <c r="K875" s="8"/>
    </row>
    <row r="876" ht="14.25" customHeight="1">
      <c r="J876" s="7"/>
      <c r="K876" s="8"/>
    </row>
    <row r="877" ht="14.25" customHeight="1">
      <c r="J877" s="7"/>
      <c r="K877" s="8"/>
    </row>
    <row r="878" ht="14.25" customHeight="1">
      <c r="J878" s="7"/>
      <c r="K878" s="8"/>
    </row>
    <row r="879" ht="14.25" customHeight="1">
      <c r="J879" s="7"/>
      <c r="K879" s="8"/>
    </row>
    <row r="880" ht="14.25" customHeight="1">
      <c r="J880" s="7"/>
      <c r="K880" s="8"/>
    </row>
    <row r="881" ht="14.25" customHeight="1">
      <c r="J881" s="7"/>
      <c r="K881" s="8"/>
    </row>
    <row r="882" ht="14.25" customHeight="1">
      <c r="J882" s="7"/>
      <c r="K882" s="8"/>
    </row>
    <row r="883" ht="14.25" customHeight="1">
      <c r="J883" s="7"/>
      <c r="K883" s="8"/>
    </row>
    <row r="884" ht="14.25" customHeight="1">
      <c r="J884" s="7"/>
      <c r="K884" s="8"/>
    </row>
    <row r="885" ht="14.25" customHeight="1">
      <c r="J885" s="7"/>
      <c r="K885" s="8"/>
    </row>
    <row r="886" ht="14.25" customHeight="1">
      <c r="J886" s="7"/>
      <c r="K886" s="8"/>
    </row>
    <row r="887" ht="14.25" customHeight="1">
      <c r="J887" s="7"/>
      <c r="K887" s="8"/>
    </row>
    <row r="888" ht="14.25" customHeight="1">
      <c r="J888" s="7"/>
      <c r="K888" s="8"/>
    </row>
    <row r="889" ht="14.25" customHeight="1">
      <c r="J889" s="7"/>
      <c r="K889" s="8"/>
    </row>
    <row r="890" ht="14.25" customHeight="1">
      <c r="J890" s="7"/>
      <c r="K890" s="8"/>
    </row>
    <row r="891" ht="14.25" customHeight="1">
      <c r="J891" s="7"/>
      <c r="K891" s="8"/>
    </row>
    <row r="892" ht="14.25" customHeight="1">
      <c r="J892" s="7"/>
      <c r="K892" s="8"/>
    </row>
    <row r="893" ht="14.25" customHeight="1">
      <c r="J893" s="7"/>
      <c r="K893" s="8"/>
    </row>
    <row r="894" ht="14.25" customHeight="1">
      <c r="J894" s="7"/>
      <c r="K894" s="8"/>
    </row>
    <row r="895" ht="14.25" customHeight="1">
      <c r="J895" s="7"/>
      <c r="K895" s="8"/>
    </row>
    <row r="896" ht="14.25" customHeight="1">
      <c r="J896" s="7"/>
      <c r="K896" s="8"/>
    </row>
    <row r="897" ht="14.25" customHeight="1">
      <c r="J897" s="7"/>
      <c r="K897" s="8"/>
    </row>
    <row r="898" ht="14.25" customHeight="1">
      <c r="J898" s="7"/>
      <c r="K898" s="8"/>
    </row>
    <row r="899" ht="14.25" customHeight="1">
      <c r="J899" s="7"/>
      <c r="K899" s="8"/>
    </row>
    <row r="900" ht="14.25" customHeight="1">
      <c r="J900" s="7"/>
      <c r="K900" s="8"/>
    </row>
    <row r="901" ht="14.25" customHeight="1">
      <c r="J901" s="7"/>
      <c r="K901" s="8"/>
    </row>
    <row r="902" ht="14.25" customHeight="1">
      <c r="J902" s="7"/>
      <c r="K902" s="8"/>
    </row>
    <row r="903" ht="14.25" customHeight="1">
      <c r="J903" s="7"/>
      <c r="K903" s="8"/>
    </row>
    <row r="904" ht="14.25" customHeight="1">
      <c r="J904" s="7"/>
      <c r="K904" s="8"/>
    </row>
    <row r="905" ht="14.25" customHeight="1">
      <c r="J905" s="7"/>
      <c r="K905" s="8"/>
    </row>
    <row r="906" ht="14.25" customHeight="1">
      <c r="J906" s="7"/>
      <c r="K906" s="8"/>
    </row>
    <row r="907" ht="14.25" customHeight="1">
      <c r="J907" s="7"/>
      <c r="K907" s="8"/>
    </row>
    <row r="908" ht="14.25" customHeight="1">
      <c r="J908" s="7"/>
      <c r="K908" s="8"/>
    </row>
    <row r="909" ht="14.25" customHeight="1">
      <c r="J909" s="7"/>
      <c r="K909" s="8"/>
    </row>
    <row r="910" ht="14.25" customHeight="1">
      <c r="J910" s="7"/>
      <c r="K910" s="8"/>
    </row>
    <row r="911" ht="14.25" customHeight="1">
      <c r="J911" s="7"/>
      <c r="K911" s="8"/>
    </row>
    <row r="912" ht="14.25" customHeight="1">
      <c r="J912" s="7"/>
      <c r="K912" s="8"/>
    </row>
    <row r="913" ht="14.25" customHeight="1">
      <c r="J913" s="7"/>
      <c r="K913" s="8"/>
    </row>
    <row r="914" ht="14.25" customHeight="1">
      <c r="J914" s="7"/>
      <c r="K914" s="8"/>
    </row>
    <row r="915" ht="14.25" customHeight="1">
      <c r="J915" s="7"/>
      <c r="K915" s="8"/>
    </row>
    <row r="916" ht="14.25" customHeight="1">
      <c r="J916" s="7"/>
      <c r="K916" s="8"/>
    </row>
    <row r="917" ht="14.25" customHeight="1">
      <c r="J917" s="7"/>
      <c r="K917" s="8"/>
    </row>
    <row r="918" ht="14.25" customHeight="1">
      <c r="J918" s="7"/>
      <c r="K918" s="8"/>
    </row>
    <row r="919" ht="14.25" customHeight="1">
      <c r="J919" s="7"/>
      <c r="K919" s="8"/>
    </row>
    <row r="920" ht="14.25" customHeight="1">
      <c r="J920" s="7"/>
      <c r="K920" s="8"/>
    </row>
    <row r="921" ht="14.25" customHeight="1">
      <c r="J921" s="7"/>
      <c r="K921" s="8"/>
    </row>
    <row r="922" ht="14.25" customHeight="1">
      <c r="J922" s="7"/>
      <c r="K922" s="8"/>
    </row>
    <row r="923" ht="14.25" customHeight="1">
      <c r="J923" s="7"/>
      <c r="K923" s="8"/>
    </row>
    <row r="924" ht="14.25" customHeight="1">
      <c r="J924" s="7"/>
      <c r="K924" s="8"/>
    </row>
    <row r="925" ht="14.25" customHeight="1">
      <c r="J925" s="7"/>
      <c r="K925" s="8"/>
    </row>
    <row r="926" ht="14.25" customHeight="1">
      <c r="J926" s="7"/>
      <c r="K926" s="8"/>
    </row>
    <row r="927" ht="14.25" customHeight="1">
      <c r="J927" s="7"/>
      <c r="K927" s="8"/>
    </row>
    <row r="928" ht="14.25" customHeight="1">
      <c r="J928" s="7"/>
      <c r="K928" s="8"/>
    </row>
    <row r="929" ht="14.25" customHeight="1">
      <c r="J929" s="7"/>
      <c r="K929" s="8"/>
    </row>
    <row r="930" ht="14.25" customHeight="1">
      <c r="J930" s="7"/>
      <c r="K930" s="8"/>
    </row>
    <row r="931" ht="14.25" customHeight="1">
      <c r="J931" s="7"/>
      <c r="K931" s="8"/>
    </row>
    <row r="932" ht="14.25" customHeight="1">
      <c r="J932" s="7"/>
      <c r="K932" s="8"/>
    </row>
    <row r="933" ht="14.25" customHeight="1">
      <c r="J933" s="7"/>
      <c r="K933" s="8"/>
    </row>
    <row r="934" ht="14.25" customHeight="1">
      <c r="J934" s="7"/>
      <c r="K934" s="8"/>
    </row>
    <row r="935" ht="14.25" customHeight="1">
      <c r="J935" s="7"/>
      <c r="K935" s="8"/>
    </row>
    <row r="936" ht="14.25" customHeight="1">
      <c r="J936" s="7"/>
      <c r="K936" s="8"/>
    </row>
    <row r="937" ht="14.25" customHeight="1">
      <c r="J937" s="7"/>
      <c r="K937" s="8"/>
    </row>
    <row r="938" ht="14.25" customHeight="1">
      <c r="J938" s="7"/>
      <c r="K938" s="8"/>
    </row>
    <row r="939" ht="14.25" customHeight="1">
      <c r="J939" s="7"/>
      <c r="K939" s="8"/>
    </row>
    <row r="940" ht="14.25" customHeight="1">
      <c r="J940" s="7"/>
      <c r="K940" s="8"/>
    </row>
    <row r="941" ht="14.25" customHeight="1">
      <c r="J941" s="7"/>
      <c r="K941" s="8"/>
    </row>
    <row r="942" ht="14.25" customHeight="1">
      <c r="J942" s="7"/>
      <c r="K942" s="8"/>
    </row>
    <row r="943" ht="14.25" customHeight="1">
      <c r="J943" s="7"/>
      <c r="K943" s="8"/>
    </row>
    <row r="944" ht="14.25" customHeight="1">
      <c r="J944" s="7"/>
      <c r="K944" s="8"/>
    </row>
    <row r="945" ht="14.25" customHeight="1">
      <c r="J945" s="7"/>
      <c r="K945" s="8"/>
    </row>
    <row r="946" ht="14.25" customHeight="1">
      <c r="J946" s="7"/>
      <c r="K946" s="8"/>
    </row>
    <row r="947" ht="14.25" customHeight="1">
      <c r="J947" s="7"/>
      <c r="K947" s="8"/>
    </row>
    <row r="948" ht="14.25" customHeight="1">
      <c r="J948" s="7"/>
      <c r="K948" s="8"/>
    </row>
    <row r="949" ht="14.25" customHeight="1">
      <c r="J949" s="7"/>
      <c r="K949" s="8"/>
    </row>
    <row r="950" ht="14.25" customHeight="1">
      <c r="J950" s="7"/>
      <c r="K950" s="8"/>
    </row>
    <row r="951" ht="14.25" customHeight="1">
      <c r="J951" s="7"/>
      <c r="K951" s="8"/>
    </row>
    <row r="952" ht="14.25" customHeight="1">
      <c r="J952" s="7"/>
      <c r="K952" s="8"/>
    </row>
    <row r="953" ht="14.25" customHeight="1">
      <c r="J953" s="7"/>
      <c r="K953" s="8"/>
    </row>
    <row r="954" ht="14.25" customHeight="1">
      <c r="J954" s="7"/>
      <c r="K954" s="8"/>
    </row>
    <row r="955" ht="14.25" customHeight="1">
      <c r="J955" s="7"/>
      <c r="K955" s="8"/>
    </row>
    <row r="956" ht="14.25" customHeight="1">
      <c r="J956" s="7"/>
      <c r="K956" s="8"/>
    </row>
    <row r="957" ht="14.25" customHeight="1">
      <c r="J957" s="7"/>
      <c r="K957" s="8"/>
    </row>
    <row r="958" ht="14.25" customHeight="1">
      <c r="J958" s="7"/>
      <c r="K958" s="8"/>
    </row>
    <row r="959" ht="14.25" customHeight="1">
      <c r="J959" s="7"/>
      <c r="K959" s="8"/>
    </row>
    <row r="960" ht="14.25" customHeight="1">
      <c r="J960" s="7"/>
      <c r="K960" s="8"/>
    </row>
    <row r="961" ht="14.25" customHeight="1">
      <c r="J961" s="7"/>
      <c r="K961" s="8"/>
    </row>
    <row r="962" ht="14.25" customHeight="1">
      <c r="J962" s="7"/>
      <c r="K962" s="8"/>
    </row>
    <row r="963" ht="14.25" customHeight="1">
      <c r="J963" s="7"/>
      <c r="K963" s="8"/>
    </row>
    <row r="964" ht="14.25" customHeight="1">
      <c r="J964" s="7"/>
      <c r="K964" s="8"/>
    </row>
    <row r="965" ht="14.25" customHeight="1">
      <c r="J965" s="7"/>
      <c r="K965" s="8"/>
    </row>
    <row r="966" ht="14.25" customHeight="1">
      <c r="J966" s="7"/>
      <c r="K966" s="8"/>
    </row>
    <row r="967" ht="14.25" customHeight="1">
      <c r="J967" s="7"/>
      <c r="K967" s="8"/>
    </row>
    <row r="968" ht="14.25" customHeight="1">
      <c r="J968" s="7"/>
      <c r="K968" s="8"/>
    </row>
    <row r="969" ht="14.25" customHeight="1">
      <c r="J969" s="7"/>
      <c r="K969" s="8"/>
    </row>
    <row r="970" ht="14.25" customHeight="1">
      <c r="J970" s="7"/>
      <c r="K970" s="8"/>
    </row>
    <row r="971" ht="14.25" customHeight="1">
      <c r="J971" s="7"/>
      <c r="K971" s="8"/>
    </row>
    <row r="972" ht="14.25" customHeight="1">
      <c r="J972" s="7"/>
      <c r="K972" s="8"/>
    </row>
    <row r="973" ht="14.25" customHeight="1">
      <c r="J973" s="7"/>
      <c r="K973" s="8"/>
    </row>
    <row r="974" ht="14.25" customHeight="1">
      <c r="J974" s="7"/>
      <c r="K974" s="8"/>
    </row>
    <row r="975" ht="14.25" customHeight="1">
      <c r="J975" s="7"/>
      <c r="K975" s="8"/>
    </row>
    <row r="976" ht="14.25" customHeight="1">
      <c r="J976" s="7"/>
      <c r="K976" s="8"/>
    </row>
    <row r="977" ht="14.25" customHeight="1">
      <c r="J977" s="7"/>
      <c r="K977" s="8"/>
    </row>
    <row r="978" ht="14.25" customHeight="1">
      <c r="J978" s="7"/>
      <c r="K978" s="8"/>
    </row>
    <row r="979" ht="14.25" customHeight="1">
      <c r="J979" s="7"/>
      <c r="K979" s="8"/>
    </row>
    <row r="980" ht="14.25" customHeight="1">
      <c r="J980" s="7"/>
      <c r="K980" s="8"/>
    </row>
    <row r="981" ht="14.25" customHeight="1">
      <c r="J981" s="7"/>
      <c r="K981" s="8"/>
    </row>
    <row r="982" ht="14.25" customHeight="1">
      <c r="J982" s="7"/>
      <c r="K982" s="8"/>
    </row>
    <row r="983" ht="14.25" customHeight="1">
      <c r="J983" s="7"/>
      <c r="K983" s="8"/>
    </row>
    <row r="984" ht="14.25" customHeight="1">
      <c r="J984" s="7"/>
      <c r="K984" s="8"/>
    </row>
    <row r="985" ht="14.25" customHeight="1">
      <c r="J985" s="7"/>
      <c r="K985" s="8"/>
    </row>
    <row r="986" ht="14.25" customHeight="1">
      <c r="J986" s="7"/>
      <c r="K986" s="8"/>
    </row>
    <row r="987" ht="14.25" customHeight="1">
      <c r="J987" s="7"/>
      <c r="K987" s="8"/>
    </row>
    <row r="988" ht="14.25" customHeight="1">
      <c r="J988" s="7"/>
      <c r="K988" s="8"/>
    </row>
    <row r="989" ht="14.25" customHeight="1">
      <c r="J989" s="7"/>
      <c r="K989" s="8"/>
    </row>
    <row r="990" ht="14.25" customHeight="1">
      <c r="J990" s="7"/>
      <c r="K990" s="8"/>
    </row>
    <row r="991" ht="14.25" customHeight="1">
      <c r="J991" s="7"/>
      <c r="K991" s="8"/>
    </row>
    <row r="992" ht="14.25" customHeight="1">
      <c r="J992" s="7"/>
      <c r="K992" s="8"/>
    </row>
    <row r="993" ht="14.25" customHeight="1">
      <c r="J993" s="7"/>
      <c r="K993" s="8"/>
    </row>
    <row r="994" ht="14.25" customHeight="1">
      <c r="J994" s="7"/>
      <c r="K994" s="8"/>
    </row>
    <row r="995" ht="14.25" customHeight="1">
      <c r="J995" s="7"/>
      <c r="K995" s="8"/>
    </row>
    <row r="996" ht="14.25" customHeight="1">
      <c r="J996" s="7"/>
      <c r="K996" s="8"/>
    </row>
    <row r="997" ht="14.25" customHeight="1">
      <c r="J997" s="7"/>
      <c r="K997" s="8"/>
    </row>
    <row r="998" ht="14.25" customHeight="1">
      <c r="J998" s="7"/>
      <c r="K998" s="8"/>
    </row>
    <row r="999" ht="14.25" customHeight="1">
      <c r="J999" s="7"/>
      <c r="K999" s="8"/>
    </row>
    <row r="1000" ht="14.25" customHeight="1">
      <c r="J1000" s="7"/>
      <c r="K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8.71"/>
    <col customWidth="1" min="4" max="4" width="15.86"/>
    <col customWidth="1" min="5" max="5" width="15.29"/>
    <col customWidth="1" min="6" max="9" width="8.71"/>
    <col customWidth="1" min="10" max="10" width="25.86"/>
    <col customWidth="1" min="1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312</v>
      </c>
    </row>
    <row r="2" ht="14.25" customHeight="1">
      <c r="A2" s="2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>
        <v>1.0</v>
      </c>
      <c r="G2" s="2">
        <v>9497.0</v>
      </c>
      <c r="H2" s="2" t="s">
        <v>14</v>
      </c>
      <c r="I2" s="2" t="s">
        <v>15</v>
      </c>
      <c r="J2" s="10" t="str">
        <f t="shared" ref="J2:J101" si="1">PROPER(TRIM(B2))</f>
        <v>Sonal Reddy</v>
      </c>
    </row>
    <row r="3" ht="14.25" customHeight="1">
      <c r="A3" s="2" t="s">
        <v>16</v>
      </c>
      <c r="B3" s="4" t="s">
        <v>17</v>
      </c>
      <c r="C3" s="2" t="s">
        <v>18</v>
      </c>
      <c r="D3" s="2" t="s">
        <v>19</v>
      </c>
      <c r="E3" s="2" t="s">
        <v>20</v>
      </c>
      <c r="F3" s="2">
        <v>1.0</v>
      </c>
      <c r="G3" s="2">
        <v>8232.0</v>
      </c>
      <c r="H3" s="2" t="s">
        <v>21</v>
      </c>
      <c r="I3" s="2" t="s">
        <v>22</v>
      </c>
      <c r="J3" s="10" t="str">
        <f t="shared" si="1"/>
        <v>Varun Iyer</v>
      </c>
    </row>
    <row r="4" ht="14.25" customHeight="1">
      <c r="A4" s="2" t="s">
        <v>23</v>
      </c>
      <c r="B4" s="4" t="s">
        <v>24</v>
      </c>
      <c r="C4" s="2" t="s">
        <v>25</v>
      </c>
      <c r="D4" s="2" t="s">
        <v>26</v>
      </c>
      <c r="E4" s="2" t="s">
        <v>27</v>
      </c>
      <c r="F4" s="2">
        <v>1.0</v>
      </c>
      <c r="G4" s="2">
        <v>12436.0</v>
      </c>
      <c r="H4" s="2" t="s">
        <v>14</v>
      </c>
      <c r="I4" s="2" t="s">
        <v>28</v>
      </c>
      <c r="J4" s="10" t="str">
        <f t="shared" si="1"/>
        <v>Arjun Kaur</v>
      </c>
    </row>
    <row r="5" ht="14.25" customHeight="1">
      <c r="A5" s="2" t="s">
        <v>29</v>
      </c>
      <c r="B5" s="4" t="s">
        <v>30</v>
      </c>
      <c r="C5" s="2" t="s">
        <v>31</v>
      </c>
      <c r="D5" s="2" t="s">
        <v>32</v>
      </c>
      <c r="E5" s="2" t="s">
        <v>33</v>
      </c>
      <c r="F5" s="2">
        <v>3.0</v>
      </c>
      <c r="G5" s="2">
        <v>38830.0</v>
      </c>
      <c r="H5" s="2" t="s">
        <v>21</v>
      </c>
      <c r="I5" s="2" t="s">
        <v>28</v>
      </c>
      <c r="J5" s="10" t="str">
        <f t="shared" si="1"/>
        <v>Pallavi Malhotra</v>
      </c>
    </row>
    <row r="6" ht="14.25" customHeight="1">
      <c r="A6" s="2" t="s">
        <v>34</v>
      </c>
      <c r="B6" s="4" t="s">
        <v>35</v>
      </c>
      <c r="C6" s="2" t="s">
        <v>18</v>
      </c>
      <c r="D6" s="2" t="s">
        <v>36</v>
      </c>
      <c r="E6" s="2" t="s">
        <v>37</v>
      </c>
      <c r="F6" s="2">
        <v>2.0</v>
      </c>
      <c r="G6" s="2">
        <v>7193.0</v>
      </c>
      <c r="H6" s="2" t="s">
        <v>14</v>
      </c>
      <c r="I6" s="2" t="s">
        <v>22</v>
      </c>
      <c r="J6" s="10" t="str">
        <f t="shared" si="1"/>
        <v>Divya Kulkarni</v>
      </c>
    </row>
    <row r="7" ht="14.25" customHeight="1">
      <c r="A7" s="2" t="s">
        <v>38</v>
      </c>
      <c r="B7" s="4" t="s">
        <v>39</v>
      </c>
      <c r="C7" s="2" t="s">
        <v>40</v>
      </c>
      <c r="D7" s="2" t="s">
        <v>41</v>
      </c>
      <c r="E7" s="2" t="s">
        <v>42</v>
      </c>
      <c r="F7" s="2">
        <v>5.0</v>
      </c>
      <c r="G7" s="2">
        <v>36419.0</v>
      </c>
      <c r="H7" s="2" t="s">
        <v>14</v>
      </c>
      <c r="I7" s="2" t="s">
        <v>28</v>
      </c>
      <c r="J7" s="10" t="str">
        <f t="shared" si="1"/>
        <v>Neha Malhotra</v>
      </c>
    </row>
    <row r="8" ht="14.25" customHeight="1">
      <c r="A8" s="2" t="s">
        <v>43</v>
      </c>
      <c r="B8" s="4" t="s">
        <v>44</v>
      </c>
      <c r="C8" s="2" t="s">
        <v>45</v>
      </c>
      <c r="D8" s="2" t="s">
        <v>46</v>
      </c>
      <c r="E8" s="2" t="s">
        <v>47</v>
      </c>
      <c r="F8" s="2">
        <v>3.0</v>
      </c>
      <c r="G8" s="2">
        <v>6681.0</v>
      </c>
      <c r="H8" s="2" t="s">
        <v>48</v>
      </c>
      <c r="I8" s="2" t="s">
        <v>22</v>
      </c>
      <c r="J8" s="10" t="str">
        <f t="shared" si="1"/>
        <v>Varun Gupta</v>
      </c>
    </row>
    <row r="9" ht="14.25" customHeight="1">
      <c r="A9" s="2" t="s">
        <v>49</v>
      </c>
      <c r="B9" s="4" t="s">
        <v>50</v>
      </c>
      <c r="C9" s="2" t="s">
        <v>31</v>
      </c>
      <c r="D9" s="2" t="s">
        <v>51</v>
      </c>
      <c r="E9" s="2" t="s">
        <v>52</v>
      </c>
      <c r="F9" s="2">
        <v>5.0</v>
      </c>
      <c r="G9" s="2">
        <v>59258.0</v>
      </c>
      <c r="H9" s="2" t="s">
        <v>14</v>
      </c>
      <c r="I9" s="2" t="s">
        <v>15</v>
      </c>
      <c r="J9" s="10" t="str">
        <f t="shared" si="1"/>
        <v>Rohan Vardhan</v>
      </c>
    </row>
    <row r="10" ht="14.25" customHeight="1">
      <c r="A10" s="2" t="s">
        <v>53</v>
      </c>
      <c r="B10" s="4" t="s">
        <v>54</v>
      </c>
      <c r="C10" s="2" t="s">
        <v>55</v>
      </c>
      <c r="D10" s="2" t="s">
        <v>33</v>
      </c>
      <c r="E10" s="2" t="s">
        <v>56</v>
      </c>
      <c r="F10" s="2">
        <v>5.0</v>
      </c>
      <c r="G10" s="2">
        <v>53392.0</v>
      </c>
      <c r="H10" s="2" t="s">
        <v>48</v>
      </c>
      <c r="I10" s="2" t="s">
        <v>22</v>
      </c>
      <c r="J10" s="10" t="str">
        <f t="shared" si="1"/>
        <v>Aman Kaur</v>
      </c>
    </row>
    <row r="11" ht="14.25" customHeight="1">
      <c r="A11" s="2" t="s">
        <v>57</v>
      </c>
      <c r="B11" s="4" t="s">
        <v>58</v>
      </c>
      <c r="C11" s="2" t="s">
        <v>59</v>
      </c>
      <c r="D11" s="2" t="s">
        <v>60</v>
      </c>
      <c r="E11" s="2" t="s">
        <v>61</v>
      </c>
      <c r="F11" s="2">
        <v>5.0</v>
      </c>
      <c r="G11" s="2">
        <v>52334.0</v>
      </c>
      <c r="H11" s="2" t="s">
        <v>62</v>
      </c>
      <c r="I11" s="2" t="s">
        <v>22</v>
      </c>
      <c r="J11" s="10" t="str">
        <f t="shared" si="1"/>
        <v>Ravi Yadav</v>
      </c>
    </row>
    <row r="12" ht="14.25" customHeight="1">
      <c r="A12" s="2" t="s">
        <v>63</v>
      </c>
      <c r="B12" s="4" t="s">
        <v>64</v>
      </c>
      <c r="C12" s="2" t="s">
        <v>18</v>
      </c>
      <c r="D12" s="2" t="s">
        <v>46</v>
      </c>
      <c r="E12" s="2" t="s">
        <v>65</v>
      </c>
      <c r="F12" s="2">
        <v>2.0</v>
      </c>
      <c r="G12" s="2">
        <v>50550.0</v>
      </c>
      <c r="H12" s="2" t="s">
        <v>62</v>
      </c>
      <c r="I12" s="2" t="s">
        <v>28</v>
      </c>
      <c r="J12" s="10" t="str">
        <f t="shared" si="1"/>
        <v>Kunal Menon</v>
      </c>
    </row>
    <row r="13" ht="14.25" customHeight="1">
      <c r="A13" s="2" t="s">
        <v>66</v>
      </c>
      <c r="B13" s="4" t="s">
        <v>67</v>
      </c>
      <c r="C13" s="2" t="s">
        <v>45</v>
      </c>
      <c r="D13" s="2" t="s">
        <v>68</v>
      </c>
      <c r="E13" s="2" t="s">
        <v>69</v>
      </c>
      <c r="F13" s="2">
        <v>2.0</v>
      </c>
      <c r="G13" s="2">
        <v>69030.0</v>
      </c>
      <c r="H13" s="2" t="s">
        <v>48</v>
      </c>
      <c r="I13" s="2" t="s">
        <v>28</v>
      </c>
      <c r="J13" s="10" t="str">
        <f t="shared" si="1"/>
        <v>Nitin Malhotra</v>
      </c>
    </row>
    <row r="14" ht="14.25" customHeight="1">
      <c r="A14" s="2" t="s">
        <v>70</v>
      </c>
      <c r="B14" s="4" t="s">
        <v>71</v>
      </c>
      <c r="C14" s="2" t="s">
        <v>40</v>
      </c>
      <c r="D14" s="2" t="s">
        <v>72</v>
      </c>
      <c r="E14" s="2" t="s">
        <v>73</v>
      </c>
      <c r="F14" s="2">
        <v>4.0</v>
      </c>
      <c r="G14" s="2">
        <v>50709.0</v>
      </c>
      <c r="H14" s="2" t="s">
        <v>21</v>
      </c>
      <c r="I14" s="2" t="s">
        <v>22</v>
      </c>
      <c r="J14" s="10" t="str">
        <f t="shared" si="1"/>
        <v>Kavita Shah</v>
      </c>
    </row>
    <row r="15" ht="14.25" customHeight="1">
      <c r="A15" s="2" t="s">
        <v>74</v>
      </c>
      <c r="B15" s="4" t="s">
        <v>75</v>
      </c>
      <c r="C15" s="2" t="s">
        <v>11</v>
      </c>
      <c r="D15" s="2" t="s">
        <v>76</v>
      </c>
      <c r="E15" s="2" t="s">
        <v>77</v>
      </c>
      <c r="F15" s="2">
        <v>6.0</v>
      </c>
      <c r="G15" s="2">
        <v>48808.0</v>
      </c>
      <c r="H15" s="2" t="s">
        <v>62</v>
      </c>
      <c r="I15" s="2" t="s">
        <v>28</v>
      </c>
      <c r="J15" s="10" t="str">
        <f t="shared" si="1"/>
        <v>Mohit Menon</v>
      </c>
    </row>
    <row r="16" ht="14.25" customHeight="1">
      <c r="A16" s="2" t="s">
        <v>78</v>
      </c>
      <c r="B16" s="4" t="s">
        <v>79</v>
      </c>
      <c r="C16" s="2" t="s">
        <v>18</v>
      </c>
      <c r="D16" s="2" t="s">
        <v>80</v>
      </c>
      <c r="E16" s="2" t="s">
        <v>81</v>
      </c>
      <c r="F16" s="2">
        <v>1.0</v>
      </c>
      <c r="G16" s="2">
        <v>65648.0</v>
      </c>
      <c r="H16" s="2" t="s">
        <v>14</v>
      </c>
      <c r="I16" s="2" t="s">
        <v>28</v>
      </c>
      <c r="J16" s="10" t="str">
        <f t="shared" si="1"/>
        <v>Neeraj Das</v>
      </c>
    </row>
    <row r="17" ht="14.25" customHeight="1">
      <c r="A17" s="2" t="s">
        <v>82</v>
      </c>
      <c r="B17" s="4" t="s">
        <v>83</v>
      </c>
      <c r="C17" s="2" t="s">
        <v>45</v>
      </c>
      <c r="D17" s="2" t="s">
        <v>32</v>
      </c>
      <c r="E17" s="2" t="s">
        <v>60</v>
      </c>
      <c r="F17" s="2">
        <v>4.0</v>
      </c>
      <c r="G17" s="2">
        <v>3975.0</v>
      </c>
      <c r="H17" s="2" t="s">
        <v>48</v>
      </c>
      <c r="I17" s="2" t="s">
        <v>22</v>
      </c>
      <c r="J17" s="10" t="str">
        <f t="shared" si="1"/>
        <v>Pooja Kaur</v>
      </c>
    </row>
    <row r="18" ht="14.25" customHeight="1">
      <c r="A18" s="2" t="s">
        <v>84</v>
      </c>
      <c r="B18" s="4" t="s">
        <v>85</v>
      </c>
      <c r="C18" s="2" t="s">
        <v>86</v>
      </c>
      <c r="D18" s="2" t="s">
        <v>19</v>
      </c>
      <c r="E18" s="2" t="s">
        <v>72</v>
      </c>
      <c r="F18" s="2">
        <v>4.0</v>
      </c>
      <c r="G18" s="2">
        <v>56724.0</v>
      </c>
      <c r="H18" s="2" t="s">
        <v>62</v>
      </c>
      <c r="I18" s="2" t="s">
        <v>28</v>
      </c>
      <c r="J18" s="10" t="str">
        <f t="shared" si="1"/>
        <v>Rahul Desai</v>
      </c>
    </row>
    <row r="19" ht="14.25" customHeight="1">
      <c r="A19" s="2" t="s">
        <v>87</v>
      </c>
      <c r="B19" s="4" t="s">
        <v>88</v>
      </c>
      <c r="C19" s="2" t="s">
        <v>86</v>
      </c>
      <c r="D19" s="2" t="s">
        <v>80</v>
      </c>
      <c r="E19" s="2" t="s">
        <v>89</v>
      </c>
      <c r="F19" s="2">
        <v>2.0</v>
      </c>
      <c r="G19" s="2">
        <v>42861.0</v>
      </c>
      <c r="H19" s="2" t="s">
        <v>14</v>
      </c>
      <c r="I19" s="2" t="s">
        <v>22</v>
      </c>
      <c r="J19" s="10" t="str">
        <f t="shared" si="1"/>
        <v>Rohit Patil</v>
      </c>
    </row>
    <row r="20" ht="14.25" customHeight="1">
      <c r="A20" s="2" t="s">
        <v>90</v>
      </c>
      <c r="B20" s="4" t="s">
        <v>91</v>
      </c>
      <c r="C20" s="2" t="s">
        <v>92</v>
      </c>
      <c r="D20" s="2" t="s">
        <v>93</v>
      </c>
      <c r="E20" s="2" t="s">
        <v>94</v>
      </c>
      <c r="F20" s="2">
        <v>2.0</v>
      </c>
      <c r="G20" s="2">
        <v>47994.0</v>
      </c>
      <c r="H20" s="2" t="s">
        <v>48</v>
      </c>
      <c r="I20" s="2" t="s">
        <v>22</v>
      </c>
      <c r="J20" s="10" t="str">
        <f t="shared" si="1"/>
        <v>Mohit Khan</v>
      </c>
    </row>
    <row r="21" ht="14.25" customHeight="1">
      <c r="A21" s="2" t="s">
        <v>95</v>
      </c>
      <c r="B21" s="4" t="s">
        <v>96</v>
      </c>
      <c r="C21" s="2" t="s">
        <v>97</v>
      </c>
      <c r="D21" s="2" t="s">
        <v>41</v>
      </c>
      <c r="E21" s="2" t="s">
        <v>98</v>
      </c>
      <c r="F21" s="2">
        <v>4.0</v>
      </c>
      <c r="G21" s="2">
        <v>31475.0</v>
      </c>
      <c r="H21" s="2" t="s">
        <v>21</v>
      </c>
      <c r="I21" s="2" t="s">
        <v>22</v>
      </c>
      <c r="J21" s="10" t="str">
        <f t="shared" si="1"/>
        <v>Ritu Malhotra</v>
      </c>
    </row>
    <row r="22" ht="14.25" customHeight="1">
      <c r="A22" s="2" t="s">
        <v>99</v>
      </c>
      <c r="B22" s="4" t="s">
        <v>100</v>
      </c>
      <c r="C22" s="2" t="s">
        <v>55</v>
      </c>
      <c r="D22" s="2" t="s">
        <v>101</v>
      </c>
      <c r="E22" s="2" t="s">
        <v>33</v>
      </c>
      <c r="F22" s="2">
        <v>3.0</v>
      </c>
      <c r="G22" s="2">
        <v>40383.0</v>
      </c>
      <c r="H22" s="2" t="s">
        <v>62</v>
      </c>
      <c r="I22" s="2" t="s">
        <v>28</v>
      </c>
      <c r="J22" s="10" t="str">
        <f t="shared" si="1"/>
        <v>Arjun Vardhan</v>
      </c>
    </row>
    <row r="23" ht="14.25" customHeight="1">
      <c r="A23" s="2" t="s">
        <v>102</v>
      </c>
      <c r="B23" s="4" t="s">
        <v>103</v>
      </c>
      <c r="C23" s="2" t="s">
        <v>18</v>
      </c>
      <c r="D23" s="2" t="s">
        <v>104</v>
      </c>
      <c r="E23" s="2" t="s">
        <v>105</v>
      </c>
      <c r="F23" s="2">
        <v>1.0</v>
      </c>
      <c r="G23" s="2">
        <v>20536.0</v>
      </c>
      <c r="H23" s="2" t="s">
        <v>62</v>
      </c>
      <c r="I23" s="2" t="s">
        <v>28</v>
      </c>
      <c r="J23" s="10" t="str">
        <f t="shared" si="1"/>
        <v>Rashmi Shah</v>
      </c>
    </row>
    <row r="24" ht="14.25" customHeight="1">
      <c r="A24" s="2" t="s">
        <v>106</v>
      </c>
      <c r="B24" s="4" t="s">
        <v>107</v>
      </c>
      <c r="C24" s="2" t="s">
        <v>31</v>
      </c>
      <c r="D24" s="2" t="s">
        <v>108</v>
      </c>
      <c r="E24" s="2" t="s">
        <v>36</v>
      </c>
      <c r="F24" s="2">
        <v>1.0</v>
      </c>
      <c r="G24" s="2">
        <v>30227.0</v>
      </c>
      <c r="H24" s="2" t="s">
        <v>21</v>
      </c>
      <c r="I24" s="2" t="s">
        <v>22</v>
      </c>
      <c r="J24" s="10" t="str">
        <f t="shared" si="1"/>
        <v>Ritu Joshi</v>
      </c>
    </row>
    <row r="25" ht="14.25" customHeight="1">
      <c r="A25" s="2" t="s">
        <v>109</v>
      </c>
      <c r="B25" s="4" t="s">
        <v>110</v>
      </c>
      <c r="C25" s="2" t="s">
        <v>40</v>
      </c>
      <c r="D25" s="2" t="s">
        <v>93</v>
      </c>
      <c r="E25" s="2" t="s">
        <v>111</v>
      </c>
      <c r="F25" s="2">
        <v>3.0</v>
      </c>
      <c r="G25" s="2">
        <v>27921.0</v>
      </c>
      <c r="H25" s="2" t="s">
        <v>21</v>
      </c>
      <c r="I25" s="2" t="s">
        <v>28</v>
      </c>
      <c r="J25" s="10" t="str">
        <f t="shared" si="1"/>
        <v>Aman Menon</v>
      </c>
    </row>
    <row r="26" ht="14.25" customHeight="1">
      <c r="A26" s="2" t="s">
        <v>112</v>
      </c>
      <c r="B26" s="4" t="s">
        <v>113</v>
      </c>
      <c r="C26" s="2" t="s">
        <v>114</v>
      </c>
      <c r="D26" s="2" t="s">
        <v>115</v>
      </c>
      <c r="E26" s="2" t="s">
        <v>20</v>
      </c>
      <c r="F26" s="2">
        <v>1.0</v>
      </c>
      <c r="G26" s="2">
        <v>61599.0</v>
      </c>
      <c r="H26" s="2" t="s">
        <v>48</v>
      </c>
      <c r="I26" s="2" t="s">
        <v>28</v>
      </c>
      <c r="J26" s="10" t="str">
        <f t="shared" si="1"/>
        <v>Karan Sharma</v>
      </c>
    </row>
    <row r="27" ht="14.25" customHeight="1">
      <c r="A27" s="2" t="s">
        <v>116</v>
      </c>
      <c r="B27" s="4" t="s">
        <v>117</v>
      </c>
      <c r="C27" s="2" t="s">
        <v>55</v>
      </c>
      <c r="D27" s="2" t="s">
        <v>118</v>
      </c>
      <c r="E27" s="2" t="s">
        <v>93</v>
      </c>
      <c r="F27" s="2">
        <v>1.0</v>
      </c>
      <c r="G27" s="2">
        <v>37877.0</v>
      </c>
      <c r="H27" s="2" t="s">
        <v>21</v>
      </c>
      <c r="I27" s="2" t="s">
        <v>28</v>
      </c>
      <c r="J27" s="10" t="str">
        <f t="shared" si="1"/>
        <v>Tina Jain</v>
      </c>
    </row>
    <row r="28" ht="14.25" customHeight="1">
      <c r="A28" s="2" t="s">
        <v>119</v>
      </c>
      <c r="B28" s="4" t="s">
        <v>120</v>
      </c>
      <c r="C28" s="2" t="s">
        <v>86</v>
      </c>
      <c r="D28" s="2" t="s">
        <v>32</v>
      </c>
      <c r="E28" s="2" t="s">
        <v>20</v>
      </c>
      <c r="F28" s="2">
        <v>1.0</v>
      </c>
      <c r="G28" s="2">
        <v>4350.0</v>
      </c>
      <c r="H28" s="2" t="s">
        <v>62</v>
      </c>
      <c r="I28" s="2" t="s">
        <v>28</v>
      </c>
      <c r="J28" s="10" t="str">
        <f t="shared" si="1"/>
        <v>Shalini Patel</v>
      </c>
    </row>
    <row r="29" ht="14.25" customHeight="1">
      <c r="A29" s="2" t="s">
        <v>121</v>
      </c>
      <c r="B29" s="4" t="s">
        <v>122</v>
      </c>
      <c r="C29" s="2" t="s">
        <v>123</v>
      </c>
      <c r="D29" s="2" t="s">
        <v>124</v>
      </c>
      <c r="E29" s="2" t="s">
        <v>56</v>
      </c>
      <c r="F29" s="2">
        <v>5.0</v>
      </c>
      <c r="G29" s="2">
        <v>11087.0</v>
      </c>
      <c r="H29" s="2" t="s">
        <v>48</v>
      </c>
      <c r="I29" s="2" t="s">
        <v>22</v>
      </c>
      <c r="J29" s="10" t="str">
        <f t="shared" si="1"/>
        <v>Priya Kumar</v>
      </c>
    </row>
    <row r="30" ht="14.25" customHeight="1">
      <c r="A30" s="2" t="s">
        <v>125</v>
      </c>
      <c r="B30" s="4" t="s">
        <v>126</v>
      </c>
      <c r="C30" s="2" t="s">
        <v>11</v>
      </c>
      <c r="D30" s="2" t="s">
        <v>127</v>
      </c>
      <c r="E30" s="2" t="s">
        <v>37</v>
      </c>
      <c r="F30" s="2">
        <v>2.0</v>
      </c>
      <c r="G30" s="2">
        <v>64892.0</v>
      </c>
      <c r="H30" s="2" t="s">
        <v>21</v>
      </c>
      <c r="I30" s="2" t="s">
        <v>28</v>
      </c>
      <c r="J30" s="10" t="str">
        <f t="shared" si="1"/>
        <v>Nitin Sinha</v>
      </c>
    </row>
    <row r="31" ht="14.25" customHeight="1">
      <c r="A31" s="2" t="s">
        <v>128</v>
      </c>
      <c r="B31" s="4" t="s">
        <v>129</v>
      </c>
      <c r="C31" s="2" t="s">
        <v>123</v>
      </c>
      <c r="D31" s="2" t="s">
        <v>130</v>
      </c>
      <c r="E31" s="2" t="s">
        <v>20</v>
      </c>
      <c r="F31" s="2">
        <v>5.0</v>
      </c>
      <c r="G31" s="2">
        <v>65773.0</v>
      </c>
      <c r="H31" s="2" t="s">
        <v>21</v>
      </c>
      <c r="I31" s="2" t="s">
        <v>28</v>
      </c>
      <c r="J31" s="10" t="str">
        <f t="shared" si="1"/>
        <v>Dev Iyer</v>
      </c>
    </row>
    <row r="32" ht="14.25" customHeight="1">
      <c r="A32" s="2" t="s">
        <v>131</v>
      </c>
      <c r="B32" s="4" t="s">
        <v>132</v>
      </c>
      <c r="C32" s="2" t="s">
        <v>97</v>
      </c>
      <c r="D32" s="2" t="s">
        <v>133</v>
      </c>
      <c r="E32" s="2" t="s">
        <v>134</v>
      </c>
      <c r="F32" s="2">
        <v>5.0</v>
      </c>
      <c r="G32" s="2">
        <v>67693.0</v>
      </c>
      <c r="H32" s="2" t="s">
        <v>21</v>
      </c>
      <c r="I32" s="2" t="s">
        <v>15</v>
      </c>
      <c r="J32" s="10" t="str">
        <f t="shared" si="1"/>
        <v>Vikram Joshi</v>
      </c>
    </row>
    <row r="33" ht="14.25" customHeight="1">
      <c r="A33" s="2" t="s">
        <v>135</v>
      </c>
      <c r="B33" s="4" t="s">
        <v>136</v>
      </c>
      <c r="C33" s="2" t="s">
        <v>86</v>
      </c>
      <c r="D33" s="2" t="s">
        <v>137</v>
      </c>
      <c r="E33" s="2" t="s">
        <v>138</v>
      </c>
      <c r="F33" s="2">
        <v>4.0</v>
      </c>
      <c r="G33" s="2">
        <v>26320.0</v>
      </c>
      <c r="H33" s="2" t="s">
        <v>14</v>
      </c>
      <c r="I33" s="2" t="s">
        <v>28</v>
      </c>
      <c r="J33" s="10" t="str">
        <f t="shared" si="1"/>
        <v>Sachin Sinha</v>
      </c>
    </row>
    <row r="34" ht="14.25" customHeight="1">
      <c r="A34" s="2" t="s">
        <v>139</v>
      </c>
      <c r="B34" s="4" t="s">
        <v>140</v>
      </c>
      <c r="C34" s="2" t="s">
        <v>86</v>
      </c>
      <c r="D34" s="2" t="s">
        <v>36</v>
      </c>
      <c r="E34" s="2" t="s">
        <v>111</v>
      </c>
      <c r="F34" s="2">
        <v>1.0</v>
      </c>
      <c r="G34" s="2">
        <v>42926.0</v>
      </c>
      <c r="H34" s="2" t="s">
        <v>14</v>
      </c>
      <c r="I34" s="2" t="s">
        <v>22</v>
      </c>
      <c r="J34" s="10" t="str">
        <f t="shared" si="1"/>
        <v>Simran Singh</v>
      </c>
    </row>
    <row r="35" ht="14.25" customHeight="1">
      <c r="A35" s="2" t="s">
        <v>141</v>
      </c>
      <c r="B35" s="4" t="s">
        <v>142</v>
      </c>
      <c r="C35" s="2" t="s">
        <v>92</v>
      </c>
      <c r="D35" s="2" t="s">
        <v>93</v>
      </c>
      <c r="E35" s="2" t="s">
        <v>143</v>
      </c>
      <c r="F35" s="2">
        <v>1.0</v>
      </c>
      <c r="G35" s="2">
        <v>22275.0</v>
      </c>
      <c r="H35" s="2" t="s">
        <v>62</v>
      </c>
      <c r="I35" s="2" t="s">
        <v>15</v>
      </c>
      <c r="J35" s="10" t="str">
        <f t="shared" si="1"/>
        <v>Varun Joshi</v>
      </c>
    </row>
    <row r="36" ht="14.25" customHeight="1">
      <c r="A36" s="2" t="s">
        <v>144</v>
      </c>
      <c r="B36" s="4" t="s">
        <v>145</v>
      </c>
      <c r="C36" s="2" t="s">
        <v>25</v>
      </c>
      <c r="D36" s="2" t="s">
        <v>12</v>
      </c>
      <c r="E36" s="2" t="s">
        <v>101</v>
      </c>
      <c r="F36" s="2">
        <v>2.0</v>
      </c>
      <c r="G36" s="2">
        <v>60279.0</v>
      </c>
      <c r="H36" s="2" t="s">
        <v>62</v>
      </c>
      <c r="I36" s="2" t="s">
        <v>22</v>
      </c>
      <c r="J36" s="10" t="str">
        <f t="shared" si="1"/>
        <v>Neha Tiwari</v>
      </c>
    </row>
    <row r="37" ht="14.25" customHeight="1">
      <c r="A37" s="2" t="s">
        <v>146</v>
      </c>
      <c r="B37" s="4" t="s">
        <v>147</v>
      </c>
      <c r="C37" s="2" t="s">
        <v>11</v>
      </c>
      <c r="D37" s="2" t="s">
        <v>37</v>
      </c>
      <c r="E37" s="2" t="s">
        <v>148</v>
      </c>
      <c r="F37" s="2">
        <v>2.0</v>
      </c>
      <c r="G37" s="2">
        <v>28865.0</v>
      </c>
      <c r="H37" s="2" t="s">
        <v>62</v>
      </c>
      <c r="I37" s="2" t="s">
        <v>28</v>
      </c>
      <c r="J37" s="10" t="str">
        <f t="shared" si="1"/>
        <v>Mohit Roy</v>
      </c>
    </row>
    <row r="38" ht="14.25" customHeight="1">
      <c r="A38" s="2" t="s">
        <v>149</v>
      </c>
      <c r="B38" s="4" t="s">
        <v>150</v>
      </c>
      <c r="C38" s="2" t="s">
        <v>31</v>
      </c>
      <c r="D38" s="2" t="s">
        <v>56</v>
      </c>
      <c r="E38" s="2" t="s">
        <v>151</v>
      </c>
      <c r="F38" s="2">
        <v>1.0</v>
      </c>
      <c r="G38" s="2">
        <v>21221.0</v>
      </c>
      <c r="H38" s="2" t="s">
        <v>21</v>
      </c>
      <c r="I38" s="2" t="s">
        <v>28</v>
      </c>
      <c r="J38" s="10" t="str">
        <f t="shared" si="1"/>
        <v>Kavita Khan</v>
      </c>
    </row>
    <row r="39" ht="14.25" customHeight="1">
      <c r="A39" s="2" t="s">
        <v>152</v>
      </c>
      <c r="B39" s="4" t="s">
        <v>153</v>
      </c>
      <c r="C39" s="2" t="s">
        <v>123</v>
      </c>
      <c r="D39" s="2" t="s">
        <v>61</v>
      </c>
      <c r="E39" s="2" t="s">
        <v>118</v>
      </c>
      <c r="F39" s="2">
        <v>5.0</v>
      </c>
      <c r="G39" s="2">
        <v>55559.0</v>
      </c>
      <c r="H39" s="2" t="s">
        <v>14</v>
      </c>
      <c r="I39" s="2" t="s">
        <v>28</v>
      </c>
      <c r="J39" s="10" t="str">
        <f t="shared" si="1"/>
        <v>Nupur Shah</v>
      </c>
    </row>
    <row r="40" ht="14.25" customHeight="1">
      <c r="A40" s="2" t="s">
        <v>154</v>
      </c>
      <c r="B40" s="4" t="s">
        <v>155</v>
      </c>
      <c r="C40" s="2" t="s">
        <v>97</v>
      </c>
      <c r="D40" s="2" t="s">
        <v>156</v>
      </c>
      <c r="E40" s="2" t="s">
        <v>89</v>
      </c>
      <c r="F40" s="2">
        <v>3.0</v>
      </c>
      <c r="G40" s="2">
        <v>2641.0</v>
      </c>
      <c r="H40" s="2" t="s">
        <v>48</v>
      </c>
      <c r="I40" s="2" t="s">
        <v>22</v>
      </c>
      <c r="J40" s="10" t="str">
        <f t="shared" si="1"/>
        <v>Sunita Vardhan</v>
      </c>
    </row>
    <row r="41" ht="14.25" customHeight="1">
      <c r="A41" s="2" t="s">
        <v>157</v>
      </c>
      <c r="B41" s="4" t="s">
        <v>158</v>
      </c>
      <c r="C41" s="2" t="s">
        <v>86</v>
      </c>
      <c r="D41" s="2" t="s">
        <v>159</v>
      </c>
      <c r="E41" s="2" t="s">
        <v>19</v>
      </c>
      <c r="F41" s="2">
        <v>2.0</v>
      </c>
      <c r="G41" s="2">
        <v>59131.0</v>
      </c>
      <c r="H41" s="2" t="s">
        <v>14</v>
      </c>
      <c r="I41" s="2" t="s">
        <v>22</v>
      </c>
      <c r="J41" s="10" t="str">
        <f t="shared" si="1"/>
        <v>Manish Tiwari</v>
      </c>
    </row>
    <row r="42" ht="14.25" customHeight="1">
      <c r="A42" s="2" t="s">
        <v>160</v>
      </c>
      <c r="B42" s="4" t="s">
        <v>161</v>
      </c>
      <c r="C42" s="2" t="s">
        <v>114</v>
      </c>
      <c r="D42" s="2" t="s">
        <v>162</v>
      </c>
      <c r="E42" s="2" t="s">
        <v>127</v>
      </c>
      <c r="F42" s="2">
        <v>5.0</v>
      </c>
      <c r="G42" s="2">
        <v>63752.0</v>
      </c>
      <c r="H42" s="2" t="s">
        <v>48</v>
      </c>
      <c r="I42" s="2" t="s">
        <v>28</v>
      </c>
      <c r="J42" s="10" t="str">
        <f t="shared" si="1"/>
        <v>Sunita Iyer</v>
      </c>
    </row>
    <row r="43" ht="14.25" customHeight="1">
      <c r="A43" s="2" t="s">
        <v>163</v>
      </c>
      <c r="B43" s="4" t="s">
        <v>164</v>
      </c>
      <c r="C43" s="2" t="s">
        <v>55</v>
      </c>
      <c r="D43" s="2" t="s">
        <v>134</v>
      </c>
      <c r="E43" s="2" t="s">
        <v>165</v>
      </c>
      <c r="F43" s="2">
        <v>4.0</v>
      </c>
      <c r="G43" s="2">
        <v>42104.0</v>
      </c>
      <c r="H43" s="2" t="s">
        <v>21</v>
      </c>
      <c r="I43" s="2" t="s">
        <v>22</v>
      </c>
      <c r="J43" s="10" t="str">
        <f t="shared" si="1"/>
        <v>Karan Sinha</v>
      </c>
    </row>
    <row r="44" ht="14.25" customHeight="1">
      <c r="A44" s="2" t="s">
        <v>166</v>
      </c>
      <c r="B44" s="4" t="s">
        <v>167</v>
      </c>
      <c r="C44" s="2" t="s">
        <v>31</v>
      </c>
      <c r="D44" s="2" t="s">
        <v>138</v>
      </c>
      <c r="E44" s="2" t="s">
        <v>168</v>
      </c>
      <c r="F44" s="2">
        <v>2.0</v>
      </c>
      <c r="G44" s="2">
        <v>26803.0</v>
      </c>
      <c r="H44" s="2" t="s">
        <v>48</v>
      </c>
      <c r="I44" s="2" t="s">
        <v>15</v>
      </c>
      <c r="J44" s="10" t="str">
        <f t="shared" si="1"/>
        <v>Deepak Sharma</v>
      </c>
    </row>
    <row r="45" ht="14.25" customHeight="1">
      <c r="A45" s="2" t="s">
        <v>169</v>
      </c>
      <c r="B45" s="4" t="s">
        <v>170</v>
      </c>
      <c r="C45" s="2" t="s">
        <v>11</v>
      </c>
      <c r="D45" s="2" t="s">
        <v>171</v>
      </c>
      <c r="E45" s="2" t="s">
        <v>81</v>
      </c>
      <c r="F45" s="2">
        <v>5.0</v>
      </c>
      <c r="G45" s="2">
        <v>64309.0</v>
      </c>
      <c r="H45" s="2" t="s">
        <v>14</v>
      </c>
      <c r="I45" s="2" t="s">
        <v>28</v>
      </c>
      <c r="J45" s="10" t="str">
        <f t="shared" si="1"/>
        <v>Kiran Sinha</v>
      </c>
    </row>
    <row r="46" ht="14.25" customHeight="1">
      <c r="A46" s="2" t="s">
        <v>172</v>
      </c>
      <c r="B46" s="4" t="s">
        <v>173</v>
      </c>
      <c r="C46" s="2" t="s">
        <v>92</v>
      </c>
      <c r="D46" s="2" t="s">
        <v>127</v>
      </c>
      <c r="E46" s="2" t="s">
        <v>111</v>
      </c>
      <c r="F46" s="2">
        <v>5.0</v>
      </c>
      <c r="G46" s="2">
        <v>60923.0</v>
      </c>
      <c r="H46" s="2" t="s">
        <v>14</v>
      </c>
      <c r="I46" s="2" t="s">
        <v>28</v>
      </c>
      <c r="J46" s="10" t="str">
        <f t="shared" si="1"/>
        <v>Geeta Kumar</v>
      </c>
    </row>
    <row r="47" ht="14.25" customHeight="1">
      <c r="A47" s="2" t="s">
        <v>174</v>
      </c>
      <c r="B47" s="4" t="s">
        <v>175</v>
      </c>
      <c r="C47" s="2" t="s">
        <v>97</v>
      </c>
      <c r="D47" s="2" t="s">
        <v>56</v>
      </c>
      <c r="E47" s="2" t="s">
        <v>151</v>
      </c>
      <c r="F47" s="2">
        <v>1.0</v>
      </c>
      <c r="G47" s="2">
        <v>6488.0</v>
      </c>
      <c r="H47" s="2" t="s">
        <v>14</v>
      </c>
      <c r="I47" s="2" t="s">
        <v>28</v>
      </c>
      <c r="J47" s="10" t="str">
        <f t="shared" si="1"/>
        <v>Riya Desai</v>
      </c>
    </row>
    <row r="48" ht="14.25" customHeight="1">
      <c r="A48" s="2" t="s">
        <v>176</v>
      </c>
      <c r="B48" s="4" t="s">
        <v>177</v>
      </c>
      <c r="C48" s="2" t="s">
        <v>25</v>
      </c>
      <c r="D48" s="2" t="s">
        <v>12</v>
      </c>
      <c r="E48" s="2" t="s">
        <v>101</v>
      </c>
      <c r="F48" s="2">
        <v>6.0</v>
      </c>
      <c r="G48" s="2">
        <v>45482.0</v>
      </c>
      <c r="H48" s="2" t="s">
        <v>14</v>
      </c>
      <c r="I48" s="2" t="s">
        <v>28</v>
      </c>
      <c r="J48" s="10" t="str">
        <f t="shared" si="1"/>
        <v>Divya Reddy</v>
      </c>
    </row>
    <row r="49" ht="14.25" customHeight="1">
      <c r="A49" s="2" t="s">
        <v>178</v>
      </c>
      <c r="B49" s="4" t="s">
        <v>179</v>
      </c>
      <c r="C49" s="2" t="s">
        <v>11</v>
      </c>
      <c r="D49" s="2" t="s">
        <v>180</v>
      </c>
      <c r="E49" s="2" t="s">
        <v>181</v>
      </c>
      <c r="F49" s="2">
        <v>1.0</v>
      </c>
      <c r="G49" s="2">
        <v>47310.0</v>
      </c>
      <c r="H49" s="2" t="s">
        <v>21</v>
      </c>
      <c r="I49" s="2" t="s">
        <v>28</v>
      </c>
      <c r="J49" s="10" t="str">
        <f t="shared" si="1"/>
        <v>Karthik Gupta</v>
      </c>
    </row>
    <row r="50" ht="14.25" customHeight="1">
      <c r="A50" s="2" t="s">
        <v>182</v>
      </c>
      <c r="B50" s="4" t="s">
        <v>83</v>
      </c>
      <c r="C50" s="2" t="s">
        <v>123</v>
      </c>
      <c r="D50" s="2" t="s">
        <v>20</v>
      </c>
      <c r="E50" s="2" t="s">
        <v>68</v>
      </c>
      <c r="F50" s="2">
        <v>1.0</v>
      </c>
      <c r="G50" s="2">
        <v>16901.0</v>
      </c>
      <c r="H50" s="2" t="s">
        <v>48</v>
      </c>
      <c r="I50" s="2" t="s">
        <v>28</v>
      </c>
      <c r="J50" s="10" t="str">
        <f t="shared" si="1"/>
        <v>Pooja Kaur</v>
      </c>
    </row>
    <row r="51" ht="14.25" customHeight="1">
      <c r="A51" s="2" t="s">
        <v>183</v>
      </c>
      <c r="B51" s="4" t="s">
        <v>184</v>
      </c>
      <c r="C51" s="2" t="s">
        <v>185</v>
      </c>
      <c r="D51" s="2" t="s">
        <v>101</v>
      </c>
      <c r="E51" s="2" t="s">
        <v>13</v>
      </c>
      <c r="F51" s="2">
        <v>4.0</v>
      </c>
      <c r="G51" s="2">
        <v>36642.0</v>
      </c>
      <c r="H51" s="2" t="s">
        <v>48</v>
      </c>
      <c r="I51" s="2" t="s">
        <v>28</v>
      </c>
      <c r="J51" s="10" t="str">
        <f t="shared" si="1"/>
        <v>Rohan Kumar</v>
      </c>
    </row>
    <row r="52" ht="14.25" customHeight="1">
      <c r="A52" s="2" t="s">
        <v>186</v>
      </c>
      <c r="B52" s="4" t="s">
        <v>187</v>
      </c>
      <c r="C52" s="2" t="s">
        <v>18</v>
      </c>
      <c r="D52" s="2" t="s">
        <v>188</v>
      </c>
      <c r="E52" s="2" t="s">
        <v>46</v>
      </c>
      <c r="F52" s="2">
        <v>3.0</v>
      </c>
      <c r="G52" s="2">
        <v>45563.0</v>
      </c>
      <c r="H52" s="2" t="s">
        <v>62</v>
      </c>
      <c r="I52" s="2" t="s">
        <v>22</v>
      </c>
      <c r="J52" s="10" t="str">
        <f t="shared" si="1"/>
        <v>Karthik Khan</v>
      </c>
    </row>
    <row r="53" ht="14.25" customHeight="1">
      <c r="A53" s="2" t="s">
        <v>189</v>
      </c>
      <c r="B53" s="4" t="s">
        <v>190</v>
      </c>
      <c r="C53" s="2" t="s">
        <v>86</v>
      </c>
      <c r="D53" s="2" t="s">
        <v>138</v>
      </c>
      <c r="E53" s="2" t="s">
        <v>191</v>
      </c>
      <c r="F53" s="2">
        <v>4.0</v>
      </c>
      <c r="G53" s="2">
        <v>22996.0</v>
      </c>
      <c r="H53" s="2" t="s">
        <v>62</v>
      </c>
      <c r="I53" s="2" t="s">
        <v>15</v>
      </c>
      <c r="J53" s="10" t="str">
        <f t="shared" si="1"/>
        <v>Megha Menon</v>
      </c>
    </row>
    <row r="54" ht="14.25" customHeight="1">
      <c r="A54" s="2" t="s">
        <v>192</v>
      </c>
      <c r="B54" s="4" t="s">
        <v>193</v>
      </c>
      <c r="C54" s="2" t="s">
        <v>55</v>
      </c>
      <c r="D54" s="2" t="s">
        <v>68</v>
      </c>
      <c r="E54" s="2" t="s">
        <v>56</v>
      </c>
      <c r="F54" s="2">
        <v>3.0</v>
      </c>
      <c r="G54" s="2">
        <v>44183.0</v>
      </c>
      <c r="H54" s="2" t="s">
        <v>48</v>
      </c>
      <c r="I54" s="2" t="s">
        <v>28</v>
      </c>
      <c r="J54" s="10" t="str">
        <f t="shared" si="1"/>
        <v>Karthik Desai</v>
      </c>
    </row>
    <row r="55" ht="14.25" customHeight="1">
      <c r="A55" s="2" t="s">
        <v>194</v>
      </c>
      <c r="B55" s="4" t="s">
        <v>195</v>
      </c>
      <c r="C55" s="2" t="s">
        <v>185</v>
      </c>
      <c r="D55" s="2" t="s">
        <v>36</v>
      </c>
      <c r="E55" s="2" t="s">
        <v>196</v>
      </c>
      <c r="F55" s="2">
        <v>5.0</v>
      </c>
      <c r="G55" s="2">
        <v>23977.0</v>
      </c>
      <c r="H55" s="2" t="s">
        <v>48</v>
      </c>
      <c r="I55" s="2" t="s">
        <v>22</v>
      </c>
      <c r="J55" s="10" t="str">
        <f t="shared" si="1"/>
        <v>Pallavi Vardhan</v>
      </c>
    </row>
    <row r="56" ht="14.25" customHeight="1">
      <c r="A56" s="2" t="s">
        <v>197</v>
      </c>
      <c r="B56" s="4" t="s">
        <v>198</v>
      </c>
      <c r="C56" s="2" t="s">
        <v>199</v>
      </c>
      <c r="D56" s="2" t="s">
        <v>200</v>
      </c>
      <c r="E56" s="2" t="s">
        <v>76</v>
      </c>
      <c r="F56" s="2">
        <v>4.0</v>
      </c>
      <c r="G56" s="2">
        <v>61336.0</v>
      </c>
      <c r="H56" s="2" t="s">
        <v>21</v>
      </c>
      <c r="I56" s="2" t="s">
        <v>28</v>
      </c>
      <c r="J56" s="10" t="str">
        <f t="shared" si="1"/>
        <v>Ravi Tiwari</v>
      </c>
    </row>
    <row r="57" ht="14.25" customHeight="1">
      <c r="A57" s="2" t="s">
        <v>201</v>
      </c>
      <c r="B57" s="4" t="s">
        <v>202</v>
      </c>
      <c r="C57" s="2" t="s">
        <v>114</v>
      </c>
      <c r="D57" s="2" t="s">
        <v>203</v>
      </c>
      <c r="E57" s="2" t="s">
        <v>171</v>
      </c>
      <c r="F57" s="2">
        <v>3.0</v>
      </c>
      <c r="G57" s="2">
        <v>28560.0</v>
      </c>
      <c r="H57" s="2" t="s">
        <v>14</v>
      </c>
      <c r="I57" s="2" t="s">
        <v>22</v>
      </c>
      <c r="J57" s="10" t="str">
        <f t="shared" si="1"/>
        <v>Varun Kumar</v>
      </c>
    </row>
    <row r="58" ht="14.25" customHeight="1">
      <c r="A58" s="2" t="s">
        <v>204</v>
      </c>
      <c r="B58" s="4" t="s">
        <v>205</v>
      </c>
      <c r="C58" s="2" t="s">
        <v>25</v>
      </c>
      <c r="D58" s="2" t="s">
        <v>206</v>
      </c>
      <c r="E58" s="2" t="s">
        <v>207</v>
      </c>
      <c r="F58" s="2">
        <v>6.0</v>
      </c>
      <c r="G58" s="2">
        <v>17033.0</v>
      </c>
      <c r="H58" s="2" t="s">
        <v>48</v>
      </c>
      <c r="I58" s="2" t="s">
        <v>28</v>
      </c>
      <c r="J58" s="10" t="str">
        <f t="shared" si="1"/>
        <v>Rahul Arora</v>
      </c>
    </row>
    <row r="59" ht="14.25" customHeight="1">
      <c r="A59" s="2" t="s">
        <v>208</v>
      </c>
      <c r="B59" s="4" t="s">
        <v>209</v>
      </c>
      <c r="C59" s="2" t="s">
        <v>97</v>
      </c>
      <c r="D59" s="2" t="s">
        <v>118</v>
      </c>
      <c r="E59" s="2" t="s">
        <v>180</v>
      </c>
      <c r="F59" s="2">
        <v>4.0</v>
      </c>
      <c r="G59" s="2">
        <v>8225.0</v>
      </c>
      <c r="H59" s="2" t="s">
        <v>62</v>
      </c>
      <c r="I59" s="2" t="s">
        <v>28</v>
      </c>
      <c r="J59" s="10" t="str">
        <f t="shared" si="1"/>
        <v>Ravi Desai</v>
      </c>
    </row>
    <row r="60" ht="14.25" customHeight="1">
      <c r="A60" s="2" t="s">
        <v>210</v>
      </c>
      <c r="B60" s="4" t="s">
        <v>211</v>
      </c>
      <c r="C60" s="2" t="s">
        <v>185</v>
      </c>
      <c r="D60" s="2" t="s">
        <v>76</v>
      </c>
      <c r="E60" s="2" t="s">
        <v>65</v>
      </c>
      <c r="F60" s="2">
        <v>5.0</v>
      </c>
      <c r="G60" s="2">
        <v>32053.0</v>
      </c>
      <c r="H60" s="2" t="s">
        <v>21</v>
      </c>
      <c r="I60" s="2" t="s">
        <v>28</v>
      </c>
      <c r="J60" s="10" t="str">
        <f t="shared" si="1"/>
        <v>Suraj Gupta</v>
      </c>
    </row>
    <row r="61" ht="14.25" customHeight="1">
      <c r="A61" s="2" t="s">
        <v>212</v>
      </c>
      <c r="B61" s="4" t="s">
        <v>213</v>
      </c>
      <c r="C61" s="2" t="s">
        <v>11</v>
      </c>
      <c r="D61" s="2" t="s">
        <v>73</v>
      </c>
      <c r="E61" s="2" t="s">
        <v>124</v>
      </c>
      <c r="F61" s="2">
        <v>1.0</v>
      </c>
      <c r="G61" s="2">
        <v>23765.0</v>
      </c>
      <c r="H61" s="2" t="s">
        <v>14</v>
      </c>
      <c r="I61" s="2" t="s">
        <v>28</v>
      </c>
      <c r="J61" s="10" t="str">
        <f t="shared" si="1"/>
        <v>Neha Kumar</v>
      </c>
    </row>
    <row r="62" ht="14.25" customHeight="1">
      <c r="A62" s="2" t="s">
        <v>214</v>
      </c>
      <c r="B62" s="4" t="s">
        <v>215</v>
      </c>
      <c r="C62" s="2" t="s">
        <v>45</v>
      </c>
      <c r="D62" s="2" t="s">
        <v>191</v>
      </c>
      <c r="E62" s="2" t="s">
        <v>27</v>
      </c>
      <c r="F62" s="2">
        <v>4.0</v>
      </c>
      <c r="G62" s="2">
        <v>63627.0</v>
      </c>
      <c r="H62" s="2" t="s">
        <v>62</v>
      </c>
      <c r="I62" s="2" t="s">
        <v>22</v>
      </c>
      <c r="J62" s="10" t="str">
        <f t="shared" si="1"/>
        <v>Alok Iyer</v>
      </c>
    </row>
    <row r="63" ht="14.25" customHeight="1">
      <c r="A63" s="2" t="s">
        <v>216</v>
      </c>
      <c r="B63" s="4" t="s">
        <v>217</v>
      </c>
      <c r="C63" s="2" t="s">
        <v>199</v>
      </c>
      <c r="D63" s="2" t="s">
        <v>162</v>
      </c>
      <c r="E63" s="2" t="s">
        <v>36</v>
      </c>
      <c r="F63" s="2">
        <v>6.0</v>
      </c>
      <c r="G63" s="2">
        <v>44304.0</v>
      </c>
      <c r="H63" s="2" t="s">
        <v>48</v>
      </c>
      <c r="I63" s="2" t="s">
        <v>28</v>
      </c>
      <c r="J63" s="10" t="str">
        <f t="shared" si="1"/>
        <v>Rohan Patil</v>
      </c>
    </row>
    <row r="64" ht="14.25" customHeight="1">
      <c r="A64" s="2" t="s">
        <v>218</v>
      </c>
      <c r="B64" s="4" t="s">
        <v>219</v>
      </c>
      <c r="C64" s="2" t="s">
        <v>11</v>
      </c>
      <c r="D64" s="2" t="s">
        <v>60</v>
      </c>
      <c r="E64" s="2" t="s">
        <v>42</v>
      </c>
      <c r="F64" s="2">
        <v>5.0</v>
      </c>
      <c r="G64" s="2">
        <v>27814.0</v>
      </c>
      <c r="H64" s="2" t="s">
        <v>21</v>
      </c>
      <c r="I64" s="2" t="s">
        <v>28</v>
      </c>
      <c r="J64" s="10" t="str">
        <f t="shared" si="1"/>
        <v>Pallavi Patel</v>
      </c>
    </row>
    <row r="65" ht="14.25" customHeight="1">
      <c r="A65" s="2" t="s">
        <v>220</v>
      </c>
      <c r="B65" s="4" t="s">
        <v>221</v>
      </c>
      <c r="C65" s="2" t="s">
        <v>45</v>
      </c>
      <c r="D65" s="2" t="s">
        <v>222</v>
      </c>
      <c r="E65" s="2" t="s">
        <v>223</v>
      </c>
      <c r="F65" s="2">
        <v>2.0</v>
      </c>
      <c r="G65" s="2">
        <v>12746.0</v>
      </c>
      <c r="H65" s="2" t="s">
        <v>62</v>
      </c>
      <c r="I65" s="2" t="s">
        <v>15</v>
      </c>
      <c r="J65" s="10" t="str">
        <f t="shared" si="1"/>
        <v>Geeta Tiwari</v>
      </c>
    </row>
    <row r="66" ht="14.25" customHeight="1">
      <c r="A66" s="2" t="s">
        <v>224</v>
      </c>
      <c r="B66" s="4" t="s">
        <v>225</v>
      </c>
      <c r="C66" s="2" t="s">
        <v>86</v>
      </c>
      <c r="D66" s="2" t="s">
        <v>162</v>
      </c>
      <c r="E66" s="2" t="s">
        <v>94</v>
      </c>
      <c r="F66" s="2">
        <v>3.0</v>
      </c>
      <c r="G66" s="2">
        <v>66758.0</v>
      </c>
      <c r="H66" s="2" t="s">
        <v>62</v>
      </c>
      <c r="I66" s="2" t="s">
        <v>28</v>
      </c>
      <c r="J66" s="10" t="str">
        <f t="shared" si="1"/>
        <v>Kavita Singh</v>
      </c>
    </row>
    <row r="67" ht="14.25" customHeight="1">
      <c r="A67" s="2" t="s">
        <v>226</v>
      </c>
      <c r="B67" s="4" t="s">
        <v>227</v>
      </c>
      <c r="C67" s="2" t="s">
        <v>25</v>
      </c>
      <c r="D67" s="2" t="s">
        <v>37</v>
      </c>
      <c r="E67" s="2" t="s">
        <v>228</v>
      </c>
      <c r="F67" s="2">
        <v>1.0</v>
      </c>
      <c r="G67" s="2">
        <v>9833.0</v>
      </c>
      <c r="H67" s="2" t="s">
        <v>48</v>
      </c>
      <c r="I67" s="2" t="s">
        <v>15</v>
      </c>
      <c r="J67" s="10" t="str">
        <f t="shared" si="1"/>
        <v>Vikram Sharma</v>
      </c>
    </row>
    <row r="68" ht="14.25" customHeight="1">
      <c r="A68" s="2" t="s">
        <v>229</v>
      </c>
      <c r="B68" s="4" t="s">
        <v>230</v>
      </c>
      <c r="C68" s="2" t="s">
        <v>97</v>
      </c>
      <c r="D68" s="2" t="s">
        <v>27</v>
      </c>
      <c r="E68" s="2" t="s">
        <v>231</v>
      </c>
      <c r="F68" s="2">
        <v>6.0</v>
      </c>
      <c r="G68" s="2">
        <v>19276.0</v>
      </c>
      <c r="H68" s="2" t="s">
        <v>48</v>
      </c>
      <c r="I68" s="2" t="s">
        <v>22</v>
      </c>
      <c r="J68" s="10" t="str">
        <f t="shared" si="1"/>
        <v>Simran Agarwal</v>
      </c>
    </row>
    <row r="69" ht="14.25" customHeight="1">
      <c r="A69" s="2" t="s">
        <v>232</v>
      </c>
      <c r="B69" s="4" t="s">
        <v>233</v>
      </c>
      <c r="C69" s="2" t="s">
        <v>59</v>
      </c>
      <c r="D69" s="2" t="s">
        <v>191</v>
      </c>
      <c r="E69" s="2" t="s">
        <v>162</v>
      </c>
      <c r="F69" s="2">
        <v>5.0</v>
      </c>
      <c r="G69" s="2">
        <v>8589.0</v>
      </c>
      <c r="H69" s="2" t="s">
        <v>21</v>
      </c>
      <c r="I69" s="2" t="s">
        <v>28</v>
      </c>
      <c r="J69" s="10" t="str">
        <f t="shared" si="1"/>
        <v>Kavita Kumar</v>
      </c>
    </row>
    <row r="70" ht="14.25" customHeight="1">
      <c r="A70" s="2" t="s">
        <v>234</v>
      </c>
      <c r="B70" s="4" t="s">
        <v>235</v>
      </c>
      <c r="C70" s="2" t="s">
        <v>25</v>
      </c>
      <c r="D70" s="2" t="s">
        <v>41</v>
      </c>
      <c r="E70" s="2" t="s">
        <v>151</v>
      </c>
      <c r="F70" s="2">
        <v>1.0</v>
      </c>
      <c r="G70" s="2">
        <v>24228.0</v>
      </c>
      <c r="H70" s="2" t="s">
        <v>48</v>
      </c>
      <c r="I70" s="2" t="s">
        <v>28</v>
      </c>
      <c r="J70" s="10" t="str">
        <f t="shared" si="1"/>
        <v>Shalini Shah</v>
      </c>
    </row>
    <row r="71" ht="14.25" customHeight="1">
      <c r="A71" s="2" t="s">
        <v>236</v>
      </c>
      <c r="B71" s="4" t="s">
        <v>237</v>
      </c>
      <c r="C71" s="2" t="s">
        <v>86</v>
      </c>
      <c r="D71" s="2" t="s">
        <v>156</v>
      </c>
      <c r="E71" s="2" t="s">
        <v>171</v>
      </c>
      <c r="F71" s="2">
        <v>6.0</v>
      </c>
      <c r="G71" s="2">
        <v>45999.0</v>
      </c>
      <c r="H71" s="2" t="s">
        <v>21</v>
      </c>
      <c r="I71" s="2" t="s">
        <v>28</v>
      </c>
      <c r="J71" s="10" t="str">
        <f t="shared" si="1"/>
        <v>Aman Agarwal</v>
      </c>
    </row>
    <row r="72" ht="14.25" customHeight="1">
      <c r="A72" s="2" t="s">
        <v>238</v>
      </c>
      <c r="B72" s="4" t="s">
        <v>239</v>
      </c>
      <c r="C72" s="2" t="s">
        <v>114</v>
      </c>
      <c r="D72" s="2" t="s">
        <v>108</v>
      </c>
      <c r="E72" s="2" t="s">
        <v>231</v>
      </c>
      <c r="F72" s="2">
        <v>6.0</v>
      </c>
      <c r="G72" s="2">
        <v>16843.0</v>
      </c>
      <c r="H72" s="2" t="s">
        <v>21</v>
      </c>
      <c r="I72" s="2" t="s">
        <v>28</v>
      </c>
      <c r="J72" s="10" t="str">
        <f t="shared" si="1"/>
        <v>Ajay Nair</v>
      </c>
    </row>
    <row r="73" ht="14.25" customHeight="1">
      <c r="A73" s="2" t="s">
        <v>240</v>
      </c>
      <c r="B73" s="4" t="s">
        <v>241</v>
      </c>
      <c r="C73" s="2" t="s">
        <v>18</v>
      </c>
      <c r="D73" s="2" t="s">
        <v>191</v>
      </c>
      <c r="E73" s="2" t="s">
        <v>36</v>
      </c>
      <c r="F73" s="2">
        <v>5.0</v>
      </c>
      <c r="G73" s="2">
        <v>11432.0</v>
      </c>
      <c r="H73" s="2" t="s">
        <v>48</v>
      </c>
      <c r="I73" s="2" t="s">
        <v>28</v>
      </c>
      <c r="J73" s="10" t="str">
        <f t="shared" si="1"/>
        <v>Rashmi Agarwal</v>
      </c>
    </row>
    <row r="74" ht="14.25" customHeight="1">
      <c r="A74" s="2" t="s">
        <v>242</v>
      </c>
      <c r="B74" s="4" t="s">
        <v>243</v>
      </c>
      <c r="C74" s="2" t="s">
        <v>97</v>
      </c>
      <c r="D74" s="2" t="s">
        <v>69</v>
      </c>
      <c r="E74" s="2" t="s">
        <v>244</v>
      </c>
      <c r="F74" s="2">
        <v>3.0</v>
      </c>
      <c r="G74" s="2">
        <v>6930.0</v>
      </c>
      <c r="H74" s="2" t="s">
        <v>62</v>
      </c>
      <c r="I74" s="2" t="s">
        <v>28</v>
      </c>
      <c r="J74" s="10" t="str">
        <f t="shared" si="1"/>
        <v>Ankit Menon</v>
      </c>
    </row>
    <row r="75" ht="14.25" customHeight="1">
      <c r="A75" s="2" t="s">
        <v>245</v>
      </c>
      <c r="B75" s="4" t="s">
        <v>246</v>
      </c>
      <c r="C75" s="2" t="s">
        <v>114</v>
      </c>
      <c r="D75" s="2" t="s">
        <v>98</v>
      </c>
      <c r="E75" s="2" t="s">
        <v>108</v>
      </c>
      <c r="F75" s="2">
        <v>2.0</v>
      </c>
      <c r="G75" s="2">
        <v>5931.0</v>
      </c>
      <c r="H75" s="2" t="s">
        <v>14</v>
      </c>
      <c r="I75" s="2" t="s">
        <v>28</v>
      </c>
      <c r="J75" s="10" t="str">
        <f t="shared" si="1"/>
        <v>Ajay Vardhan</v>
      </c>
    </row>
    <row r="76" ht="14.25" customHeight="1">
      <c r="A76" s="2" t="s">
        <v>247</v>
      </c>
      <c r="B76" s="4" t="s">
        <v>248</v>
      </c>
      <c r="C76" s="2" t="s">
        <v>25</v>
      </c>
      <c r="D76" s="2" t="s">
        <v>127</v>
      </c>
      <c r="E76" s="2" t="s">
        <v>93</v>
      </c>
      <c r="F76" s="2">
        <v>4.0</v>
      </c>
      <c r="G76" s="2">
        <v>42890.0</v>
      </c>
      <c r="H76" s="2" t="s">
        <v>14</v>
      </c>
      <c r="I76" s="2" t="s">
        <v>28</v>
      </c>
      <c r="J76" s="10" t="str">
        <f t="shared" si="1"/>
        <v>Ankit Reddy</v>
      </c>
    </row>
    <row r="77" ht="14.25" customHeight="1">
      <c r="A77" s="2" t="s">
        <v>249</v>
      </c>
      <c r="B77" s="4" t="s">
        <v>250</v>
      </c>
      <c r="C77" s="2" t="s">
        <v>59</v>
      </c>
      <c r="D77" s="2" t="s">
        <v>251</v>
      </c>
      <c r="E77" s="2" t="s">
        <v>77</v>
      </c>
      <c r="F77" s="2">
        <v>4.0</v>
      </c>
      <c r="G77" s="2">
        <v>44533.0</v>
      </c>
      <c r="H77" s="2" t="s">
        <v>62</v>
      </c>
      <c r="I77" s="2" t="s">
        <v>28</v>
      </c>
      <c r="J77" s="10" t="str">
        <f t="shared" si="1"/>
        <v>Rohan Tiwari</v>
      </c>
    </row>
    <row r="78" ht="14.25" customHeight="1">
      <c r="A78" s="2" t="s">
        <v>252</v>
      </c>
      <c r="B78" s="4" t="s">
        <v>253</v>
      </c>
      <c r="C78" s="2" t="s">
        <v>11</v>
      </c>
      <c r="D78" s="2" t="s">
        <v>98</v>
      </c>
      <c r="E78" s="2" t="s">
        <v>27</v>
      </c>
      <c r="F78" s="2">
        <v>2.0</v>
      </c>
      <c r="G78" s="2">
        <v>46616.0</v>
      </c>
      <c r="H78" s="2" t="s">
        <v>48</v>
      </c>
      <c r="I78" s="2" t="s">
        <v>22</v>
      </c>
      <c r="J78" s="10" t="str">
        <f t="shared" si="1"/>
        <v>Amit Singh</v>
      </c>
    </row>
    <row r="79" ht="14.25" customHeight="1">
      <c r="A79" s="2" t="s">
        <v>254</v>
      </c>
      <c r="B79" s="4" t="s">
        <v>255</v>
      </c>
      <c r="C79" s="2" t="s">
        <v>18</v>
      </c>
      <c r="D79" s="2" t="s">
        <v>36</v>
      </c>
      <c r="E79" s="2" t="s">
        <v>196</v>
      </c>
      <c r="F79" s="2">
        <v>3.0</v>
      </c>
      <c r="G79" s="2">
        <v>57016.0</v>
      </c>
      <c r="H79" s="2" t="s">
        <v>21</v>
      </c>
      <c r="I79" s="2" t="s">
        <v>28</v>
      </c>
      <c r="J79" s="10" t="str">
        <f t="shared" si="1"/>
        <v>Ankit Kumar</v>
      </c>
    </row>
    <row r="80" ht="14.25" customHeight="1">
      <c r="A80" s="2" t="s">
        <v>256</v>
      </c>
      <c r="B80" s="4" t="s">
        <v>257</v>
      </c>
      <c r="C80" s="2" t="s">
        <v>40</v>
      </c>
      <c r="D80" s="2" t="s">
        <v>12</v>
      </c>
      <c r="E80" s="2" t="s">
        <v>33</v>
      </c>
      <c r="F80" s="2">
        <v>6.0</v>
      </c>
      <c r="G80" s="2">
        <v>37999.0</v>
      </c>
      <c r="H80" s="2" t="s">
        <v>48</v>
      </c>
      <c r="I80" s="2" t="s">
        <v>15</v>
      </c>
      <c r="J80" s="10" t="str">
        <f t="shared" si="1"/>
        <v>Ajay Roy</v>
      </c>
    </row>
    <row r="81" ht="14.25" customHeight="1">
      <c r="A81" s="2" t="s">
        <v>258</v>
      </c>
      <c r="B81" s="4" t="s">
        <v>259</v>
      </c>
      <c r="C81" s="2" t="s">
        <v>97</v>
      </c>
      <c r="D81" s="2" t="s">
        <v>124</v>
      </c>
      <c r="E81" s="2" t="s">
        <v>137</v>
      </c>
      <c r="F81" s="2">
        <v>5.0</v>
      </c>
      <c r="G81" s="2">
        <v>48493.0</v>
      </c>
      <c r="H81" s="2" t="s">
        <v>21</v>
      </c>
      <c r="I81" s="2" t="s">
        <v>28</v>
      </c>
      <c r="J81" s="10" t="str">
        <f t="shared" si="1"/>
        <v>Sneha Khan</v>
      </c>
    </row>
    <row r="82" ht="14.25" customHeight="1">
      <c r="A82" s="2" t="s">
        <v>260</v>
      </c>
      <c r="B82" s="4" t="s">
        <v>261</v>
      </c>
      <c r="C82" s="2" t="s">
        <v>31</v>
      </c>
      <c r="D82" s="2" t="s">
        <v>162</v>
      </c>
      <c r="E82" s="2" t="s">
        <v>93</v>
      </c>
      <c r="F82" s="2">
        <v>2.0</v>
      </c>
      <c r="G82" s="2">
        <v>11330.0</v>
      </c>
      <c r="H82" s="2" t="s">
        <v>62</v>
      </c>
      <c r="I82" s="2" t="s">
        <v>28</v>
      </c>
      <c r="J82" s="10" t="str">
        <f t="shared" si="1"/>
        <v>Aditya Vardhan</v>
      </c>
    </row>
    <row r="83" ht="14.25" customHeight="1">
      <c r="A83" s="2" t="s">
        <v>262</v>
      </c>
      <c r="B83" s="4" t="s">
        <v>263</v>
      </c>
      <c r="C83" s="2" t="s">
        <v>31</v>
      </c>
      <c r="D83" s="2" t="s">
        <v>81</v>
      </c>
      <c r="E83" s="2" t="s">
        <v>72</v>
      </c>
      <c r="F83" s="2">
        <v>3.0</v>
      </c>
      <c r="G83" s="2">
        <v>33535.0</v>
      </c>
      <c r="H83" s="2" t="s">
        <v>14</v>
      </c>
      <c r="I83" s="2" t="s">
        <v>28</v>
      </c>
      <c r="J83" s="10" t="str">
        <f t="shared" si="1"/>
        <v>Rashmi Das</v>
      </c>
    </row>
    <row r="84" ht="14.25" customHeight="1">
      <c r="A84" s="2" t="s">
        <v>264</v>
      </c>
      <c r="B84" s="4" t="s">
        <v>265</v>
      </c>
      <c r="C84" s="2" t="s">
        <v>199</v>
      </c>
      <c r="D84" s="2" t="s">
        <v>56</v>
      </c>
      <c r="E84" s="2" t="s">
        <v>244</v>
      </c>
      <c r="F84" s="2">
        <v>1.0</v>
      </c>
      <c r="G84" s="2">
        <v>2992.0</v>
      </c>
      <c r="H84" s="2" t="s">
        <v>48</v>
      </c>
      <c r="I84" s="2" t="s">
        <v>22</v>
      </c>
      <c r="J84" s="10" t="str">
        <f t="shared" si="1"/>
        <v>Sneha Gupta</v>
      </c>
    </row>
    <row r="85" ht="14.25" customHeight="1">
      <c r="A85" s="2" t="s">
        <v>266</v>
      </c>
      <c r="B85" s="4" t="s">
        <v>267</v>
      </c>
      <c r="C85" s="2" t="s">
        <v>199</v>
      </c>
      <c r="D85" s="2" t="s">
        <v>41</v>
      </c>
      <c r="E85" s="2" t="s">
        <v>191</v>
      </c>
      <c r="F85" s="2">
        <v>5.0</v>
      </c>
      <c r="G85" s="2">
        <v>8734.0</v>
      </c>
      <c r="H85" s="2" t="s">
        <v>14</v>
      </c>
      <c r="I85" s="2" t="s">
        <v>15</v>
      </c>
      <c r="J85" s="10" t="str">
        <f t="shared" si="1"/>
        <v>Tina Shah</v>
      </c>
    </row>
    <row r="86" ht="14.25" customHeight="1">
      <c r="A86" s="2" t="s">
        <v>268</v>
      </c>
      <c r="B86" s="4" t="s">
        <v>269</v>
      </c>
      <c r="C86" s="2" t="s">
        <v>123</v>
      </c>
      <c r="D86" s="2" t="s">
        <v>118</v>
      </c>
      <c r="E86" s="2" t="s">
        <v>188</v>
      </c>
      <c r="F86" s="2">
        <v>6.0</v>
      </c>
      <c r="G86" s="2">
        <v>45602.0</v>
      </c>
      <c r="H86" s="2" t="s">
        <v>62</v>
      </c>
      <c r="I86" s="2" t="s">
        <v>28</v>
      </c>
      <c r="J86" s="10" t="str">
        <f t="shared" si="1"/>
        <v>Mohit Gupta</v>
      </c>
    </row>
    <row r="87" ht="14.25" customHeight="1">
      <c r="A87" s="2" t="s">
        <v>270</v>
      </c>
      <c r="B87" s="4" t="s">
        <v>271</v>
      </c>
      <c r="C87" s="2" t="s">
        <v>31</v>
      </c>
      <c r="D87" s="2" t="s">
        <v>41</v>
      </c>
      <c r="E87" s="2" t="s">
        <v>168</v>
      </c>
      <c r="F87" s="2">
        <v>3.0</v>
      </c>
      <c r="G87" s="2">
        <v>5818.0</v>
      </c>
      <c r="H87" s="2" t="s">
        <v>14</v>
      </c>
      <c r="I87" s="2" t="s">
        <v>15</v>
      </c>
      <c r="J87" s="10" t="str">
        <f t="shared" si="1"/>
        <v>Rashmi Gupta</v>
      </c>
    </row>
    <row r="88" ht="14.25" customHeight="1">
      <c r="A88" s="2" t="s">
        <v>272</v>
      </c>
      <c r="B88" s="4" t="s">
        <v>273</v>
      </c>
      <c r="C88" s="2" t="s">
        <v>97</v>
      </c>
      <c r="D88" s="2" t="s">
        <v>191</v>
      </c>
      <c r="E88" s="2" t="s">
        <v>244</v>
      </c>
      <c r="F88" s="2">
        <v>5.0</v>
      </c>
      <c r="G88" s="2">
        <v>63923.0</v>
      </c>
      <c r="H88" s="2" t="s">
        <v>14</v>
      </c>
      <c r="I88" s="2" t="s">
        <v>28</v>
      </c>
      <c r="J88" s="10" t="str">
        <f t="shared" si="1"/>
        <v>Rohit Kulkarni</v>
      </c>
    </row>
    <row r="89" ht="14.25" customHeight="1">
      <c r="A89" s="2" t="s">
        <v>274</v>
      </c>
      <c r="B89" s="4" t="s">
        <v>275</v>
      </c>
      <c r="C89" s="2" t="s">
        <v>59</v>
      </c>
      <c r="D89" s="2" t="s">
        <v>134</v>
      </c>
      <c r="E89" s="2" t="s">
        <v>60</v>
      </c>
      <c r="F89" s="2">
        <v>5.0</v>
      </c>
      <c r="G89" s="2">
        <v>47222.0</v>
      </c>
      <c r="H89" s="2" t="s">
        <v>62</v>
      </c>
      <c r="I89" s="2" t="s">
        <v>28</v>
      </c>
      <c r="J89" s="10" t="str">
        <f t="shared" si="1"/>
        <v>Amit Patil</v>
      </c>
    </row>
    <row r="90" ht="14.25" customHeight="1">
      <c r="A90" s="2" t="s">
        <v>276</v>
      </c>
      <c r="B90" s="4" t="s">
        <v>277</v>
      </c>
      <c r="C90" s="2" t="s">
        <v>97</v>
      </c>
      <c r="D90" s="2" t="s">
        <v>36</v>
      </c>
      <c r="E90" s="2" t="s">
        <v>76</v>
      </c>
      <c r="F90" s="2">
        <v>4.0</v>
      </c>
      <c r="G90" s="2">
        <v>61768.0</v>
      </c>
      <c r="H90" s="2" t="s">
        <v>48</v>
      </c>
      <c r="I90" s="2" t="s">
        <v>28</v>
      </c>
      <c r="J90" s="10" t="str">
        <f t="shared" si="1"/>
        <v>Shalini Joshi</v>
      </c>
    </row>
    <row r="91" ht="14.25" customHeight="1">
      <c r="A91" s="2" t="s">
        <v>278</v>
      </c>
      <c r="B91" s="4" t="s">
        <v>279</v>
      </c>
      <c r="C91" s="2" t="s">
        <v>40</v>
      </c>
      <c r="D91" s="2" t="s">
        <v>80</v>
      </c>
      <c r="E91" s="2" t="s">
        <v>89</v>
      </c>
      <c r="F91" s="2">
        <v>2.0</v>
      </c>
      <c r="G91" s="2">
        <v>37005.0</v>
      </c>
      <c r="H91" s="2" t="s">
        <v>14</v>
      </c>
      <c r="I91" s="2" t="s">
        <v>28</v>
      </c>
      <c r="J91" s="10" t="str">
        <f t="shared" si="1"/>
        <v>Neha Iyer</v>
      </c>
    </row>
    <row r="92" ht="14.25" customHeight="1">
      <c r="A92" s="2" t="s">
        <v>280</v>
      </c>
      <c r="B92" s="4" t="s">
        <v>281</v>
      </c>
      <c r="C92" s="2" t="s">
        <v>92</v>
      </c>
      <c r="D92" s="2" t="s">
        <v>26</v>
      </c>
      <c r="E92" s="2" t="s">
        <v>118</v>
      </c>
      <c r="F92" s="2">
        <v>6.0</v>
      </c>
      <c r="G92" s="2">
        <v>15373.0</v>
      </c>
      <c r="H92" s="2" t="s">
        <v>14</v>
      </c>
      <c r="I92" s="2" t="s">
        <v>15</v>
      </c>
      <c r="J92" s="10" t="str">
        <f t="shared" si="1"/>
        <v>Nisha Shah</v>
      </c>
    </row>
    <row r="93" ht="14.25" customHeight="1">
      <c r="A93" s="2" t="s">
        <v>282</v>
      </c>
      <c r="B93" s="4" t="s">
        <v>283</v>
      </c>
      <c r="C93" s="2" t="s">
        <v>11</v>
      </c>
      <c r="D93" s="2" t="s">
        <v>94</v>
      </c>
      <c r="E93" s="2" t="s">
        <v>111</v>
      </c>
      <c r="F93" s="2">
        <v>4.0</v>
      </c>
      <c r="G93" s="2">
        <v>28349.0</v>
      </c>
      <c r="H93" s="2" t="s">
        <v>21</v>
      </c>
      <c r="I93" s="2" t="s">
        <v>15</v>
      </c>
      <c r="J93" s="10" t="str">
        <f t="shared" si="1"/>
        <v>Rohit Khan</v>
      </c>
    </row>
    <row r="94" ht="14.25" customHeight="1">
      <c r="A94" s="2" t="s">
        <v>284</v>
      </c>
      <c r="B94" s="4" t="s">
        <v>285</v>
      </c>
      <c r="C94" s="2" t="s">
        <v>40</v>
      </c>
      <c r="D94" s="2" t="s">
        <v>188</v>
      </c>
      <c r="E94" s="2" t="s">
        <v>93</v>
      </c>
      <c r="F94" s="2">
        <v>2.0</v>
      </c>
      <c r="G94" s="2">
        <v>9333.0</v>
      </c>
      <c r="H94" s="2" t="s">
        <v>62</v>
      </c>
      <c r="I94" s="2" t="s">
        <v>28</v>
      </c>
      <c r="J94" s="10" t="str">
        <f t="shared" si="1"/>
        <v>Preeti Reddy</v>
      </c>
    </row>
    <row r="95" ht="14.25" customHeight="1">
      <c r="A95" s="2" t="s">
        <v>286</v>
      </c>
      <c r="B95" s="4" t="s">
        <v>287</v>
      </c>
      <c r="C95" s="2" t="s">
        <v>18</v>
      </c>
      <c r="D95" s="2" t="s">
        <v>134</v>
      </c>
      <c r="E95" s="2" t="s">
        <v>165</v>
      </c>
      <c r="F95" s="2">
        <v>4.0</v>
      </c>
      <c r="G95" s="2">
        <v>39697.0</v>
      </c>
      <c r="H95" s="2" t="s">
        <v>14</v>
      </c>
      <c r="I95" s="2" t="s">
        <v>28</v>
      </c>
      <c r="J95" s="10" t="str">
        <f t="shared" si="1"/>
        <v>Neeraj Khan</v>
      </c>
    </row>
    <row r="96" ht="14.25" customHeight="1">
      <c r="A96" s="2" t="s">
        <v>288</v>
      </c>
      <c r="B96" s="4" t="s">
        <v>289</v>
      </c>
      <c r="C96" s="2" t="s">
        <v>86</v>
      </c>
      <c r="D96" s="2" t="s">
        <v>133</v>
      </c>
      <c r="E96" s="2" t="s">
        <v>290</v>
      </c>
      <c r="F96" s="2">
        <v>2.0</v>
      </c>
      <c r="G96" s="2">
        <v>51052.0</v>
      </c>
      <c r="H96" s="2" t="s">
        <v>48</v>
      </c>
      <c r="I96" s="2" t="s">
        <v>28</v>
      </c>
      <c r="J96" s="10" t="str">
        <f t="shared" si="1"/>
        <v>Megha Menon</v>
      </c>
    </row>
    <row r="97" ht="14.25" customHeight="1">
      <c r="A97" s="2" t="s">
        <v>291</v>
      </c>
      <c r="B97" s="4" t="s">
        <v>292</v>
      </c>
      <c r="C97" s="2" t="s">
        <v>25</v>
      </c>
      <c r="D97" s="2" t="s">
        <v>94</v>
      </c>
      <c r="E97" s="2" t="s">
        <v>65</v>
      </c>
      <c r="F97" s="2">
        <v>6.0</v>
      </c>
      <c r="G97" s="2">
        <v>28248.0</v>
      </c>
      <c r="H97" s="2" t="s">
        <v>48</v>
      </c>
      <c r="I97" s="2" t="s">
        <v>28</v>
      </c>
      <c r="J97" s="10" t="str">
        <f t="shared" si="1"/>
        <v>Neeraj Mehta</v>
      </c>
    </row>
    <row r="98" ht="14.25" customHeight="1">
      <c r="A98" s="2" t="s">
        <v>293</v>
      </c>
      <c r="B98" s="4" t="s">
        <v>294</v>
      </c>
      <c r="C98" s="2" t="s">
        <v>59</v>
      </c>
      <c r="D98" s="2" t="s">
        <v>295</v>
      </c>
      <c r="E98" s="2" t="s">
        <v>290</v>
      </c>
      <c r="F98" s="2">
        <v>6.0</v>
      </c>
      <c r="G98" s="2">
        <v>38784.0</v>
      </c>
      <c r="H98" s="2" t="s">
        <v>14</v>
      </c>
      <c r="I98" s="2" t="s">
        <v>28</v>
      </c>
      <c r="J98" s="10" t="str">
        <f t="shared" si="1"/>
        <v>Deepak Reddy</v>
      </c>
    </row>
    <row r="99" ht="14.25" customHeight="1">
      <c r="A99" s="2" t="s">
        <v>296</v>
      </c>
      <c r="B99" s="4" t="s">
        <v>297</v>
      </c>
      <c r="C99" s="2" t="s">
        <v>199</v>
      </c>
      <c r="D99" s="2" t="s">
        <v>188</v>
      </c>
      <c r="E99" s="2" t="s">
        <v>180</v>
      </c>
      <c r="F99" s="2">
        <v>5.0</v>
      </c>
      <c r="G99" s="2">
        <v>5900.0</v>
      </c>
      <c r="H99" s="2" t="s">
        <v>62</v>
      </c>
      <c r="I99" s="2" t="s">
        <v>28</v>
      </c>
      <c r="J99" s="10" t="str">
        <f t="shared" si="1"/>
        <v>Mohit Nair</v>
      </c>
    </row>
    <row r="100" ht="14.25" customHeight="1">
      <c r="A100" s="2" t="s">
        <v>298</v>
      </c>
      <c r="B100" s="4" t="s">
        <v>299</v>
      </c>
      <c r="C100" s="2" t="s">
        <v>31</v>
      </c>
      <c r="D100" s="2" t="s">
        <v>89</v>
      </c>
      <c r="E100" s="2" t="s">
        <v>165</v>
      </c>
      <c r="F100" s="2">
        <v>4.0</v>
      </c>
      <c r="G100" s="2">
        <v>16868.0</v>
      </c>
      <c r="H100" s="2" t="s">
        <v>48</v>
      </c>
      <c r="I100" s="2" t="s">
        <v>28</v>
      </c>
      <c r="J100" s="10" t="str">
        <f t="shared" si="1"/>
        <v>Ritu Reddy</v>
      </c>
    </row>
    <row r="101" ht="14.25" customHeight="1">
      <c r="A101" s="2" t="s">
        <v>300</v>
      </c>
      <c r="B101" s="4" t="s">
        <v>301</v>
      </c>
      <c r="C101" s="2" t="s">
        <v>55</v>
      </c>
      <c r="D101" s="2" t="s">
        <v>20</v>
      </c>
      <c r="E101" s="2" t="s">
        <v>222</v>
      </c>
      <c r="F101" s="2">
        <v>2.0</v>
      </c>
      <c r="G101" s="2">
        <v>27529.0</v>
      </c>
      <c r="H101" s="2" t="s">
        <v>21</v>
      </c>
      <c r="I101" s="2" t="s">
        <v>22</v>
      </c>
      <c r="J101" s="10" t="str">
        <f t="shared" si="1"/>
        <v>Geeta Reddy</v>
      </c>
    </row>
    <row r="102" ht="14.25" customHeight="1">
      <c r="J102" s="10"/>
    </row>
    <row r="103" ht="14.25" customHeight="1">
      <c r="J103" s="10"/>
    </row>
    <row r="104" ht="14.25" customHeight="1">
      <c r="J104" s="10"/>
    </row>
    <row r="105" ht="14.25" customHeight="1">
      <c r="J105" s="10"/>
    </row>
    <row r="106" ht="14.25" customHeight="1">
      <c r="J106" s="10"/>
    </row>
    <row r="107" ht="14.25" customHeight="1">
      <c r="J107" s="10"/>
    </row>
    <row r="108" ht="14.25" customHeight="1">
      <c r="J108" s="10"/>
    </row>
    <row r="109" ht="14.25" customHeight="1">
      <c r="J109" s="10"/>
    </row>
    <row r="110" ht="14.25" customHeight="1">
      <c r="J110" s="10"/>
    </row>
    <row r="111" ht="14.25" customHeight="1">
      <c r="J111" s="10"/>
    </row>
    <row r="112" ht="14.25" customHeight="1">
      <c r="J112" s="10"/>
    </row>
    <row r="113" ht="14.25" customHeight="1">
      <c r="J113" s="10"/>
    </row>
    <row r="114" ht="14.25" customHeight="1">
      <c r="J114" s="10"/>
    </row>
    <row r="115" ht="14.25" customHeight="1">
      <c r="J115" s="10"/>
    </row>
    <row r="116" ht="14.25" customHeight="1">
      <c r="J116" s="10"/>
    </row>
    <row r="117" ht="14.25" customHeight="1">
      <c r="J117" s="10"/>
    </row>
    <row r="118" ht="14.25" customHeight="1">
      <c r="J118" s="10"/>
    </row>
    <row r="119" ht="14.25" customHeight="1">
      <c r="J119" s="10"/>
    </row>
    <row r="120" ht="14.25" customHeight="1">
      <c r="J120" s="10"/>
    </row>
    <row r="121" ht="14.25" customHeight="1">
      <c r="J121" s="10"/>
    </row>
    <row r="122" ht="14.25" customHeight="1">
      <c r="J122" s="10"/>
    </row>
    <row r="123" ht="14.25" customHeight="1">
      <c r="J123" s="10"/>
    </row>
    <row r="124" ht="14.25" customHeight="1">
      <c r="J124" s="10"/>
    </row>
    <row r="125" ht="14.25" customHeight="1">
      <c r="J125" s="10"/>
    </row>
    <row r="126" ht="14.25" customHeight="1">
      <c r="J126" s="10"/>
    </row>
    <row r="127" ht="14.25" customHeight="1">
      <c r="J127" s="10"/>
    </row>
    <row r="128" ht="14.25" customHeight="1">
      <c r="J128" s="10"/>
    </row>
    <row r="129" ht="14.25" customHeight="1">
      <c r="J129" s="10"/>
    </row>
    <row r="130" ht="14.25" customHeight="1">
      <c r="J130" s="10"/>
    </row>
    <row r="131" ht="14.25" customHeight="1">
      <c r="J131" s="10"/>
    </row>
    <row r="132" ht="14.25" customHeight="1">
      <c r="J132" s="10"/>
    </row>
    <row r="133" ht="14.25" customHeight="1">
      <c r="J133" s="10"/>
    </row>
    <row r="134" ht="14.25" customHeight="1">
      <c r="J134" s="10"/>
    </row>
    <row r="135" ht="14.25" customHeight="1">
      <c r="J135" s="10"/>
    </row>
    <row r="136" ht="14.25" customHeight="1">
      <c r="J136" s="10"/>
    </row>
    <row r="137" ht="14.25" customHeight="1">
      <c r="J137" s="10"/>
    </row>
    <row r="138" ht="14.25" customHeight="1">
      <c r="J138" s="10"/>
    </row>
    <row r="139" ht="14.25" customHeight="1">
      <c r="J139" s="10"/>
    </row>
    <row r="140" ht="14.25" customHeight="1">
      <c r="J140" s="10"/>
    </row>
    <row r="141" ht="14.25" customHeight="1">
      <c r="J141" s="10"/>
    </row>
    <row r="142" ht="14.25" customHeight="1">
      <c r="J142" s="10"/>
    </row>
    <row r="143" ht="14.25" customHeight="1">
      <c r="J143" s="10"/>
    </row>
    <row r="144" ht="14.25" customHeight="1">
      <c r="J144" s="10"/>
    </row>
    <row r="145" ht="14.25" customHeight="1">
      <c r="J145" s="10"/>
    </row>
    <row r="146" ht="14.25" customHeight="1">
      <c r="J146" s="10"/>
    </row>
    <row r="147" ht="14.25" customHeight="1">
      <c r="J147" s="10"/>
    </row>
    <row r="148" ht="14.25" customHeight="1">
      <c r="J148" s="10"/>
    </row>
    <row r="149" ht="14.25" customHeight="1">
      <c r="J149" s="10"/>
    </row>
    <row r="150" ht="14.25" customHeight="1">
      <c r="J150" s="10"/>
    </row>
    <row r="151" ht="14.25" customHeight="1">
      <c r="J151" s="10"/>
    </row>
    <row r="152" ht="14.25" customHeight="1">
      <c r="J152" s="10"/>
    </row>
    <row r="153" ht="14.25" customHeight="1">
      <c r="J153" s="10"/>
    </row>
    <row r="154" ht="14.25" customHeight="1">
      <c r="J154" s="10"/>
    </row>
    <row r="155" ht="14.25" customHeight="1">
      <c r="J155" s="10"/>
    </row>
    <row r="156" ht="14.25" customHeight="1">
      <c r="J156" s="10"/>
    </row>
    <row r="157" ht="14.25" customHeight="1">
      <c r="J157" s="10"/>
    </row>
    <row r="158" ht="14.25" customHeight="1">
      <c r="J158" s="10"/>
    </row>
    <row r="159" ht="14.25" customHeight="1">
      <c r="J159" s="10"/>
    </row>
    <row r="160" ht="14.25" customHeight="1">
      <c r="J160" s="10"/>
    </row>
    <row r="161" ht="14.25" customHeight="1">
      <c r="J161" s="10"/>
    </row>
    <row r="162" ht="14.25" customHeight="1">
      <c r="J162" s="10"/>
    </row>
    <row r="163" ht="14.25" customHeight="1">
      <c r="J163" s="10"/>
    </row>
    <row r="164" ht="14.25" customHeight="1">
      <c r="J164" s="10"/>
    </row>
    <row r="165" ht="14.25" customHeight="1">
      <c r="J165" s="10"/>
    </row>
    <row r="166" ht="14.25" customHeight="1">
      <c r="J166" s="10"/>
    </row>
    <row r="167" ht="14.25" customHeight="1">
      <c r="J167" s="10"/>
    </row>
    <row r="168" ht="14.25" customHeight="1">
      <c r="J168" s="10"/>
    </row>
    <row r="169" ht="14.25" customHeight="1">
      <c r="J169" s="10"/>
    </row>
    <row r="170" ht="14.25" customHeight="1">
      <c r="J170" s="10"/>
    </row>
    <row r="171" ht="14.25" customHeight="1">
      <c r="J171" s="10"/>
    </row>
    <row r="172" ht="14.25" customHeight="1">
      <c r="J172" s="10"/>
    </row>
    <row r="173" ht="14.25" customHeight="1">
      <c r="J173" s="10"/>
    </row>
    <row r="174" ht="14.25" customHeight="1">
      <c r="J174" s="10"/>
    </row>
    <row r="175" ht="14.25" customHeight="1">
      <c r="J175" s="10"/>
    </row>
    <row r="176" ht="14.25" customHeight="1">
      <c r="J176" s="10"/>
    </row>
    <row r="177" ht="14.25" customHeight="1">
      <c r="J177" s="10"/>
    </row>
    <row r="178" ht="14.25" customHeight="1">
      <c r="J178" s="10"/>
    </row>
    <row r="179" ht="14.25" customHeight="1">
      <c r="J179" s="10"/>
    </row>
    <row r="180" ht="14.25" customHeight="1">
      <c r="J180" s="10"/>
    </row>
    <row r="181" ht="14.25" customHeight="1">
      <c r="J181" s="10"/>
    </row>
    <row r="182" ht="14.25" customHeight="1">
      <c r="J182" s="10"/>
    </row>
    <row r="183" ht="14.25" customHeight="1">
      <c r="J183" s="10"/>
    </row>
    <row r="184" ht="14.25" customHeight="1">
      <c r="J184" s="10"/>
    </row>
    <row r="185" ht="14.25" customHeight="1">
      <c r="J185" s="10"/>
    </row>
    <row r="186" ht="14.25" customHeight="1">
      <c r="J186" s="10"/>
    </row>
    <row r="187" ht="14.25" customHeight="1">
      <c r="J187" s="10"/>
    </row>
    <row r="188" ht="14.25" customHeight="1">
      <c r="J188" s="10"/>
    </row>
    <row r="189" ht="14.25" customHeight="1">
      <c r="J189" s="10"/>
    </row>
    <row r="190" ht="14.25" customHeight="1">
      <c r="J190" s="10"/>
    </row>
    <row r="191" ht="14.25" customHeight="1">
      <c r="J191" s="10"/>
    </row>
    <row r="192" ht="14.25" customHeight="1">
      <c r="J192" s="10"/>
    </row>
    <row r="193" ht="14.25" customHeight="1">
      <c r="J193" s="10"/>
    </row>
    <row r="194" ht="14.25" customHeight="1">
      <c r="J194" s="10"/>
    </row>
    <row r="195" ht="14.25" customHeight="1">
      <c r="J195" s="10"/>
    </row>
    <row r="196" ht="14.25" customHeight="1">
      <c r="J196" s="10"/>
    </row>
    <row r="197" ht="14.25" customHeight="1">
      <c r="J197" s="10"/>
    </row>
    <row r="198" ht="14.25" customHeight="1">
      <c r="J198" s="10"/>
    </row>
    <row r="199" ht="14.25" customHeight="1">
      <c r="J199" s="10"/>
    </row>
    <row r="200" ht="14.25" customHeight="1">
      <c r="J200" s="10"/>
    </row>
    <row r="201" ht="14.25" customHeight="1">
      <c r="J201" s="10"/>
    </row>
    <row r="202" ht="14.25" customHeight="1">
      <c r="J202" s="10"/>
    </row>
    <row r="203" ht="14.25" customHeight="1">
      <c r="J203" s="10"/>
    </row>
    <row r="204" ht="14.25" customHeight="1">
      <c r="J204" s="10"/>
    </row>
    <row r="205" ht="14.25" customHeight="1">
      <c r="J205" s="10"/>
    </row>
    <row r="206" ht="14.25" customHeight="1">
      <c r="J206" s="10"/>
    </row>
    <row r="207" ht="14.25" customHeight="1">
      <c r="J207" s="10"/>
    </row>
    <row r="208" ht="14.25" customHeight="1">
      <c r="J208" s="10"/>
    </row>
    <row r="209" ht="14.25" customHeight="1">
      <c r="J209" s="10"/>
    </row>
    <row r="210" ht="14.25" customHeight="1">
      <c r="J210" s="10"/>
    </row>
    <row r="211" ht="14.25" customHeight="1">
      <c r="J211" s="10"/>
    </row>
    <row r="212" ht="14.25" customHeight="1">
      <c r="J212" s="10"/>
    </row>
    <row r="213" ht="14.25" customHeight="1">
      <c r="J213" s="10"/>
    </row>
    <row r="214" ht="14.25" customHeight="1">
      <c r="J214" s="10"/>
    </row>
    <row r="215" ht="14.25" customHeight="1">
      <c r="J215" s="10"/>
    </row>
    <row r="216" ht="14.25" customHeight="1">
      <c r="J216" s="10"/>
    </row>
    <row r="217" ht="14.25" customHeight="1">
      <c r="J217" s="10"/>
    </row>
    <row r="218" ht="14.25" customHeight="1">
      <c r="J218" s="10"/>
    </row>
    <row r="219" ht="14.25" customHeight="1">
      <c r="J219" s="10"/>
    </row>
    <row r="220" ht="14.25" customHeight="1">
      <c r="J220" s="10"/>
    </row>
    <row r="221" ht="14.25" customHeight="1">
      <c r="J221" s="10"/>
    </row>
    <row r="222" ht="14.25" customHeight="1">
      <c r="J222" s="10"/>
    </row>
    <row r="223" ht="14.25" customHeight="1">
      <c r="J223" s="10"/>
    </row>
    <row r="224" ht="14.25" customHeight="1">
      <c r="J224" s="10"/>
    </row>
    <row r="225" ht="14.25" customHeight="1">
      <c r="J225" s="10"/>
    </row>
    <row r="226" ht="14.25" customHeight="1">
      <c r="J226" s="10"/>
    </row>
    <row r="227" ht="14.25" customHeight="1">
      <c r="J227" s="10"/>
    </row>
    <row r="228" ht="14.25" customHeight="1">
      <c r="J228" s="10"/>
    </row>
    <row r="229" ht="14.25" customHeight="1">
      <c r="J229" s="10"/>
    </row>
    <row r="230" ht="14.25" customHeight="1">
      <c r="J230" s="10"/>
    </row>
    <row r="231" ht="14.25" customHeight="1">
      <c r="J231" s="10"/>
    </row>
    <row r="232" ht="14.25" customHeight="1">
      <c r="J232" s="10"/>
    </row>
    <row r="233" ht="14.25" customHeight="1">
      <c r="J233" s="10"/>
    </row>
    <row r="234" ht="14.25" customHeight="1">
      <c r="J234" s="10"/>
    </row>
    <row r="235" ht="14.25" customHeight="1">
      <c r="J235" s="10"/>
    </row>
    <row r="236" ht="14.25" customHeight="1">
      <c r="J236" s="10"/>
    </row>
    <row r="237" ht="14.25" customHeight="1">
      <c r="J237" s="10"/>
    </row>
    <row r="238" ht="14.25" customHeight="1">
      <c r="J238" s="10"/>
    </row>
    <row r="239" ht="14.25" customHeight="1">
      <c r="J239" s="10"/>
    </row>
    <row r="240" ht="14.25" customHeight="1">
      <c r="J240" s="10"/>
    </row>
    <row r="241" ht="14.25" customHeight="1">
      <c r="J241" s="10"/>
    </row>
    <row r="242" ht="14.25" customHeight="1">
      <c r="J242" s="10"/>
    </row>
    <row r="243" ht="14.25" customHeight="1">
      <c r="J243" s="10"/>
    </row>
    <row r="244" ht="14.25" customHeight="1">
      <c r="J244" s="10"/>
    </row>
    <row r="245" ht="14.25" customHeight="1">
      <c r="J245" s="10"/>
    </row>
    <row r="246" ht="14.25" customHeight="1">
      <c r="J246" s="10"/>
    </row>
    <row r="247" ht="14.25" customHeight="1">
      <c r="J247" s="10"/>
    </row>
    <row r="248" ht="14.25" customHeight="1">
      <c r="J248" s="10"/>
    </row>
    <row r="249" ht="14.25" customHeight="1">
      <c r="J249" s="10"/>
    </row>
    <row r="250" ht="14.25" customHeight="1">
      <c r="J250" s="10"/>
    </row>
    <row r="251" ht="14.25" customHeight="1">
      <c r="J251" s="10"/>
    </row>
    <row r="252" ht="14.25" customHeight="1">
      <c r="J252" s="10"/>
    </row>
    <row r="253" ht="14.25" customHeight="1">
      <c r="J253" s="10"/>
    </row>
    <row r="254" ht="14.25" customHeight="1">
      <c r="J254" s="10"/>
    </row>
    <row r="255" ht="14.25" customHeight="1">
      <c r="J255" s="10"/>
    </row>
    <row r="256" ht="14.25" customHeight="1">
      <c r="J256" s="10"/>
    </row>
    <row r="257" ht="14.25" customHeight="1">
      <c r="J257" s="10"/>
    </row>
    <row r="258" ht="14.25" customHeight="1">
      <c r="J258" s="10"/>
    </row>
    <row r="259" ht="14.25" customHeight="1">
      <c r="J259" s="10"/>
    </row>
    <row r="260" ht="14.25" customHeight="1">
      <c r="J260" s="10"/>
    </row>
    <row r="261" ht="14.25" customHeight="1">
      <c r="J261" s="10"/>
    </row>
    <row r="262" ht="14.25" customHeight="1">
      <c r="J262" s="10"/>
    </row>
    <row r="263" ht="14.25" customHeight="1">
      <c r="J263" s="10"/>
    </row>
    <row r="264" ht="14.25" customHeight="1">
      <c r="J264" s="10"/>
    </row>
    <row r="265" ht="14.25" customHeight="1">
      <c r="J265" s="10"/>
    </row>
    <row r="266" ht="14.25" customHeight="1">
      <c r="J266" s="10"/>
    </row>
    <row r="267" ht="14.25" customHeight="1">
      <c r="J267" s="10"/>
    </row>
    <row r="268" ht="14.25" customHeight="1">
      <c r="J268" s="10"/>
    </row>
    <row r="269" ht="14.25" customHeight="1">
      <c r="J269" s="10"/>
    </row>
    <row r="270" ht="14.25" customHeight="1">
      <c r="J270" s="10"/>
    </row>
    <row r="271" ht="14.25" customHeight="1">
      <c r="J271" s="10"/>
    </row>
    <row r="272" ht="14.25" customHeight="1">
      <c r="J272" s="10"/>
    </row>
    <row r="273" ht="14.25" customHeight="1">
      <c r="J273" s="10"/>
    </row>
    <row r="274" ht="14.25" customHeight="1">
      <c r="J274" s="10"/>
    </row>
    <row r="275" ht="14.25" customHeight="1">
      <c r="J275" s="10"/>
    </row>
    <row r="276" ht="14.25" customHeight="1">
      <c r="J276" s="10"/>
    </row>
    <row r="277" ht="14.25" customHeight="1">
      <c r="J277" s="10"/>
    </row>
    <row r="278" ht="14.25" customHeight="1">
      <c r="J278" s="10"/>
    </row>
    <row r="279" ht="14.25" customHeight="1">
      <c r="J279" s="10"/>
    </row>
    <row r="280" ht="14.25" customHeight="1">
      <c r="J280" s="10"/>
    </row>
    <row r="281" ht="14.25" customHeight="1">
      <c r="J281" s="10"/>
    </row>
    <row r="282" ht="14.25" customHeight="1">
      <c r="J282" s="10"/>
    </row>
    <row r="283" ht="14.25" customHeight="1">
      <c r="J283" s="10"/>
    </row>
    <row r="284" ht="14.25" customHeight="1">
      <c r="J284" s="10"/>
    </row>
    <row r="285" ht="14.25" customHeight="1">
      <c r="J285" s="10"/>
    </row>
    <row r="286" ht="14.25" customHeight="1">
      <c r="J286" s="10"/>
    </row>
    <row r="287" ht="14.25" customHeight="1">
      <c r="J287" s="10"/>
    </row>
    <row r="288" ht="14.25" customHeight="1">
      <c r="J288" s="10"/>
    </row>
    <row r="289" ht="14.25" customHeight="1">
      <c r="J289" s="10"/>
    </row>
    <row r="290" ht="14.25" customHeight="1">
      <c r="J290" s="10"/>
    </row>
    <row r="291" ht="14.25" customHeight="1">
      <c r="J291" s="10"/>
    </row>
    <row r="292" ht="14.25" customHeight="1">
      <c r="J292" s="10"/>
    </row>
    <row r="293" ht="14.25" customHeight="1">
      <c r="J293" s="10"/>
    </row>
    <row r="294" ht="14.25" customHeight="1">
      <c r="J294" s="10"/>
    </row>
    <row r="295" ht="14.25" customHeight="1">
      <c r="J295" s="10"/>
    </row>
    <row r="296" ht="14.25" customHeight="1">
      <c r="J296" s="10"/>
    </row>
    <row r="297" ht="14.25" customHeight="1">
      <c r="J297" s="10"/>
    </row>
    <row r="298" ht="14.25" customHeight="1">
      <c r="J298" s="10"/>
    </row>
    <row r="299" ht="14.25" customHeight="1">
      <c r="J299" s="10"/>
    </row>
    <row r="300" ht="14.25" customHeight="1">
      <c r="J300" s="10"/>
    </row>
    <row r="301" ht="14.25" customHeight="1">
      <c r="J301" s="10"/>
    </row>
    <row r="302" ht="14.25" customHeight="1">
      <c r="J302" s="10"/>
    </row>
    <row r="303" ht="14.25" customHeight="1">
      <c r="J303" s="10"/>
    </row>
    <row r="304" ht="14.25" customHeight="1">
      <c r="J304" s="10"/>
    </row>
    <row r="305" ht="14.25" customHeight="1">
      <c r="J305" s="10"/>
    </row>
    <row r="306" ht="14.25" customHeight="1">
      <c r="J306" s="10"/>
    </row>
    <row r="307" ht="14.25" customHeight="1">
      <c r="J307" s="10"/>
    </row>
    <row r="308" ht="14.25" customHeight="1">
      <c r="J308" s="10"/>
    </row>
    <row r="309" ht="14.25" customHeight="1">
      <c r="J309" s="10"/>
    </row>
    <row r="310" ht="14.25" customHeight="1">
      <c r="J310" s="10"/>
    </row>
    <row r="311" ht="14.25" customHeight="1">
      <c r="J311" s="10"/>
    </row>
    <row r="312" ht="14.25" customHeight="1">
      <c r="J312" s="10"/>
    </row>
    <row r="313" ht="14.25" customHeight="1">
      <c r="J313" s="10"/>
    </row>
    <row r="314" ht="14.25" customHeight="1">
      <c r="J314" s="10"/>
    </row>
    <row r="315" ht="14.25" customHeight="1">
      <c r="J315" s="10"/>
    </row>
    <row r="316" ht="14.25" customHeight="1">
      <c r="J316" s="10"/>
    </row>
    <row r="317" ht="14.25" customHeight="1">
      <c r="J317" s="10"/>
    </row>
    <row r="318" ht="14.25" customHeight="1">
      <c r="J318" s="10"/>
    </row>
    <row r="319" ht="14.25" customHeight="1">
      <c r="J319" s="10"/>
    </row>
    <row r="320" ht="14.25" customHeight="1">
      <c r="J320" s="10"/>
    </row>
    <row r="321" ht="14.25" customHeight="1">
      <c r="J321" s="10"/>
    </row>
    <row r="322" ht="14.25" customHeight="1">
      <c r="J322" s="10"/>
    </row>
    <row r="323" ht="14.25" customHeight="1">
      <c r="J323" s="10"/>
    </row>
    <row r="324" ht="14.25" customHeight="1">
      <c r="J324" s="10"/>
    </row>
    <row r="325" ht="14.25" customHeight="1">
      <c r="J325" s="10"/>
    </row>
    <row r="326" ht="14.25" customHeight="1">
      <c r="J326" s="10"/>
    </row>
    <row r="327" ht="14.25" customHeight="1">
      <c r="J327" s="10"/>
    </row>
    <row r="328" ht="14.25" customHeight="1">
      <c r="J328" s="10"/>
    </row>
    <row r="329" ht="14.25" customHeight="1">
      <c r="J329" s="10"/>
    </row>
    <row r="330" ht="14.25" customHeight="1">
      <c r="J330" s="10"/>
    </row>
    <row r="331" ht="14.25" customHeight="1">
      <c r="J331" s="10"/>
    </row>
    <row r="332" ht="14.25" customHeight="1">
      <c r="J332" s="10"/>
    </row>
    <row r="333" ht="14.25" customHeight="1">
      <c r="J333" s="10"/>
    </row>
    <row r="334" ht="14.25" customHeight="1">
      <c r="J334" s="10"/>
    </row>
    <row r="335" ht="14.25" customHeight="1">
      <c r="J335" s="10"/>
    </row>
    <row r="336" ht="14.25" customHeight="1">
      <c r="J336" s="10"/>
    </row>
    <row r="337" ht="14.25" customHeight="1">
      <c r="J337" s="10"/>
    </row>
    <row r="338" ht="14.25" customHeight="1">
      <c r="J338" s="10"/>
    </row>
    <row r="339" ht="14.25" customHeight="1">
      <c r="J339" s="10"/>
    </row>
    <row r="340" ht="14.25" customHeight="1">
      <c r="J340" s="10"/>
    </row>
    <row r="341" ht="14.25" customHeight="1">
      <c r="J341" s="10"/>
    </row>
    <row r="342" ht="14.25" customHeight="1">
      <c r="J342" s="10"/>
    </row>
    <row r="343" ht="14.25" customHeight="1">
      <c r="J343" s="10"/>
    </row>
    <row r="344" ht="14.25" customHeight="1">
      <c r="J344" s="10"/>
    </row>
    <row r="345" ht="14.25" customHeight="1">
      <c r="J345" s="10"/>
    </row>
    <row r="346" ht="14.25" customHeight="1">
      <c r="J346" s="10"/>
    </row>
    <row r="347" ht="14.25" customHeight="1">
      <c r="J347" s="10"/>
    </row>
    <row r="348" ht="14.25" customHeight="1">
      <c r="J348" s="10"/>
    </row>
    <row r="349" ht="14.25" customHeight="1">
      <c r="J349" s="10"/>
    </row>
    <row r="350" ht="14.25" customHeight="1">
      <c r="J350" s="10"/>
    </row>
    <row r="351" ht="14.25" customHeight="1">
      <c r="J351" s="10"/>
    </row>
    <row r="352" ht="14.25" customHeight="1">
      <c r="J352" s="10"/>
    </row>
    <row r="353" ht="14.25" customHeight="1">
      <c r="J353" s="10"/>
    </row>
    <row r="354" ht="14.25" customHeight="1">
      <c r="J354" s="10"/>
    </row>
    <row r="355" ht="14.25" customHeight="1">
      <c r="J355" s="10"/>
    </row>
    <row r="356" ht="14.25" customHeight="1">
      <c r="J356" s="10"/>
    </row>
    <row r="357" ht="14.25" customHeight="1">
      <c r="J357" s="10"/>
    </row>
    <row r="358" ht="14.25" customHeight="1">
      <c r="J358" s="10"/>
    </row>
    <row r="359" ht="14.25" customHeight="1">
      <c r="J359" s="10"/>
    </row>
    <row r="360" ht="14.25" customHeight="1">
      <c r="J360" s="10"/>
    </row>
    <row r="361" ht="14.25" customHeight="1">
      <c r="J361" s="10"/>
    </row>
    <row r="362" ht="14.25" customHeight="1">
      <c r="J362" s="10"/>
    </row>
    <row r="363" ht="14.25" customHeight="1">
      <c r="J363" s="10"/>
    </row>
    <row r="364" ht="14.25" customHeight="1">
      <c r="J364" s="10"/>
    </row>
    <row r="365" ht="14.25" customHeight="1">
      <c r="J365" s="10"/>
    </row>
    <row r="366" ht="14.25" customHeight="1">
      <c r="J366" s="10"/>
    </row>
    <row r="367" ht="14.25" customHeight="1">
      <c r="J367" s="10"/>
    </row>
    <row r="368" ht="14.25" customHeight="1">
      <c r="J368" s="10"/>
    </row>
    <row r="369" ht="14.25" customHeight="1">
      <c r="J369" s="10"/>
    </row>
    <row r="370" ht="14.25" customHeight="1">
      <c r="J370" s="10"/>
    </row>
    <row r="371" ht="14.25" customHeight="1">
      <c r="J371" s="10"/>
    </row>
    <row r="372" ht="14.25" customHeight="1">
      <c r="J372" s="10"/>
    </row>
    <row r="373" ht="14.25" customHeight="1">
      <c r="J373" s="10"/>
    </row>
    <row r="374" ht="14.25" customHeight="1">
      <c r="J374" s="10"/>
    </row>
    <row r="375" ht="14.25" customHeight="1">
      <c r="J375" s="10"/>
    </row>
    <row r="376" ht="14.25" customHeight="1">
      <c r="J376" s="10"/>
    </row>
    <row r="377" ht="14.25" customHeight="1">
      <c r="J377" s="10"/>
    </row>
    <row r="378" ht="14.25" customHeight="1">
      <c r="J378" s="10"/>
    </row>
    <row r="379" ht="14.25" customHeight="1">
      <c r="J379" s="10"/>
    </row>
    <row r="380" ht="14.25" customHeight="1">
      <c r="J380" s="10"/>
    </row>
    <row r="381" ht="14.25" customHeight="1">
      <c r="J381" s="10"/>
    </row>
    <row r="382" ht="14.25" customHeight="1">
      <c r="J382" s="10"/>
    </row>
    <row r="383" ht="14.25" customHeight="1">
      <c r="J383" s="10"/>
    </row>
    <row r="384" ht="14.25" customHeight="1">
      <c r="J384" s="10"/>
    </row>
    <row r="385" ht="14.25" customHeight="1">
      <c r="J385" s="10"/>
    </row>
    <row r="386" ht="14.25" customHeight="1">
      <c r="J386" s="10"/>
    </row>
    <row r="387" ht="14.25" customHeight="1">
      <c r="J387" s="10"/>
    </row>
    <row r="388" ht="14.25" customHeight="1">
      <c r="J388" s="10"/>
    </row>
    <row r="389" ht="14.25" customHeight="1">
      <c r="J389" s="10"/>
    </row>
    <row r="390" ht="14.25" customHeight="1">
      <c r="J390" s="10"/>
    </row>
    <row r="391" ht="14.25" customHeight="1">
      <c r="J391" s="10"/>
    </row>
    <row r="392" ht="14.25" customHeight="1">
      <c r="J392" s="10"/>
    </row>
    <row r="393" ht="14.25" customHeight="1">
      <c r="J393" s="10"/>
    </row>
    <row r="394" ht="14.25" customHeight="1">
      <c r="J394" s="10"/>
    </row>
    <row r="395" ht="14.25" customHeight="1">
      <c r="J395" s="10"/>
    </row>
    <row r="396" ht="14.25" customHeight="1">
      <c r="J396" s="10"/>
    </row>
    <row r="397" ht="14.25" customHeight="1">
      <c r="J397" s="10"/>
    </row>
    <row r="398" ht="14.25" customHeight="1">
      <c r="J398" s="10"/>
    </row>
    <row r="399" ht="14.25" customHeight="1">
      <c r="J399" s="10"/>
    </row>
    <row r="400" ht="14.25" customHeight="1">
      <c r="J400" s="10"/>
    </row>
    <row r="401" ht="14.25" customHeight="1">
      <c r="J401" s="10"/>
    </row>
    <row r="402" ht="14.25" customHeight="1">
      <c r="J402" s="10"/>
    </row>
    <row r="403" ht="14.25" customHeight="1">
      <c r="J403" s="10"/>
    </row>
    <row r="404" ht="14.25" customHeight="1">
      <c r="J404" s="10"/>
    </row>
    <row r="405" ht="14.25" customHeight="1">
      <c r="J405" s="10"/>
    </row>
    <row r="406" ht="14.25" customHeight="1">
      <c r="J406" s="10"/>
    </row>
    <row r="407" ht="14.25" customHeight="1">
      <c r="J407" s="10"/>
    </row>
    <row r="408" ht="14.25" customHeight="1">
      <c r="J408" s="10"/>
    </row>
    <row r="409" ht="14.25" customHeight="1">
      <c r="J409" s="10"/>
    </row>
    <row r="410" ht="14.25" customHeight="1">
      <c r="J410" s="10"/>
    </row>
    <row r="411" ht="14.25" customHeight="1">
      <c r="J411" s="10"/>
    </row>
    <row r="412" ht="14.25" customHeight="1">
      <c r="J412" s="10"/>
    </row>
    <row r="413" ht="14.25" customHeight="1">
      <c r="J413" s="10"/>
    </row>
    <row r="414" ht="14.25" customHeight="1">
      <c r="J414" s="10"/>
    </row>
    <row r="415" ht="14.25" customHeight="1">
      <c r="J415" s="10"/>
    </row>
    <row r="416" ht="14.25" customHeight="1">
      <c r="J416" s="10"/>
    </row>
    <row r="417" ht="14.25" customHeight="1">
      <c r="J417" s="10"/>
    </row>
    <row r="418" ht="14.25" customHeight="1">
      <c r="J418" s="10"/>
    </row>
    <row r="419" ht="14.25" customHeight="1">
      <c r="J419" s="10"/>
    </row>
    <row r="420" ht="14.25" customHeight="1">
      <c r="J420" s="10"/>
    </row>
    <row r="421" ht="14.25" customHeight="1">
      <c r="J421" s="10"/>
    </row>
    <row r="422" ht="14.25" customHeight="1">
      <c r="J422" s="10"/>
    </row>
    <row r="423" ht="14.25" customHeight="1">
      <c r="J423" s="10"/>
    </row>
    <row r="424" ht="14.25" customHeight="1">
      <c r="J424" s="10"/>
    </row>
    <row r="425" ht="14.25" customHeight="1">
      <c r="J425" s="10"/>
    </row>
    <row r="426" ht="14.25" customHeight="1">
      <c r="J426" s="10"/>
    </row>
    <row r="427" ht="14.25" customHeight="1">
      <c r="J427" s="10"/>
    </row>
    <row r="428" ht="14.25" customHeight="1">
      <c r="J428" s="10"/>
    </row>
    <row r="429" ht="14.25" customHeight="1">
      <c r="J429" s="10"/>
    </row>
    <row r="430" ht="14.25" customHeight="1">
      <c r="J430" s="10"/>
    </row>
    <row r="431" ht="14.25" customHeight="1">
      <c r="J431" s="10"/>
    </row>
    <row r="432" ht="14.25" customHeight="1">
      <c r="J432" s="10"/>
    </row>
    <row r="433" ht="14.25" customHeight="1">
      <c r="J433" s="10"/>
    </row>
    <row r="434" ht="14.25" customHeight="1">
      <c r="J434" s="10"/>
    </row>
    <row r="435" ht="14.25" customHeight="1">
      <c r="J435" s="10"/>
    </row>
    <row r="436" ht="14.25" customHeight="1">
      <c r="J436" s="10"/>
    </row>
    <row r="437" ht="14.25" customHeight="1">
      <c r="J437" s="10"/>
    </row>
    <row r="438" ht="14.25" customHeight="1">
      <c r="J438" s="10"/>
    </row>
    <row r="439" ht="14.25" customHeight="1">
      <c r="J439" s="10"/>
    </row>
    <row r="440" ht="14.25" customHeight="1">
      <c r="J440" s="10"/>
    </row>
    <row r="441" ht="14.25" customHeight="1">
      <c r="J441" s="10"/>
    </row>
    <row r="442" ht="14.25" customHeight="1">
      <c r="J442" s="10"/>
    </row>
    <row r="443" ht="14.25" customHeight="1">
      <c r="J443" s="10"/>
    </row>
    <row r="444" ht="14.25" customHeight="1">
      <c r="J444" s="10"/>
    </row>
    <row r="445" ht="14.25" customHeight="1">
      <c r="J445" s="10"/>
    </row>
    <row r="446" ht="14.25" customHeight="1">
      <c r="J446" s="10"/>
    </row>
    <row r="447" ht="14.25" customHeight="1">
      <c r="J447" s="10"/>
    </row>
    <row r="448" ht="14.25" customHeight="1">
      <c r="J448" s="10"/>
    </row>
    <row r="449" ht="14.25" customHeight="1">
      <c r="J449" s="10"/>
    </row>
    <row r="450" ht="14.25" customHeight="1">
      <c r="J450" s="10"/>
    </row>
    <row r="451" ht="14.25" customHeight="1">
      <c r="J451" s="10"/>
    </row>
    <row r="452" ht="14.25" customHeight="1">
      <c r="J452" s="10"/>
    </row>
    <row r="453" ht="14.25" customHeight="1">
      <c r="J453" s="10"/>
    </row>
    <row r="454" ht="14.25" customHeight="1">
      <c r="J454" s="10"/>
    </row>
    <row r="455" ht="14.25" customHeight="1">
      <c r="J455" s="10"/>
    </row>
    <row r="456" ht="14.25" customHeight="1">
      <c r="J456" s="10"/>
    </row>
    <row r="457" ht="14.25" customHeight="1">
      <c r="J457" s="10"/>
    </row>
    <row r="458" ht="14.25" customHeight="1">
      <c r="J458" s="10"/>
    </row>
    <row r="459" ht="14.25" customHeight="1">
      <c r="J459" s="10"/>
    </row>
    <row r="460" ht="14.25" customHeight="1">
      <c r="J460" s="10"/>
    </row>
    <row r="461" ht="14.25" customHeight="1">
      <c r="J461" s="10"/>
    </row>
    <row r="462" ht="14.25" customHeight="1">
      <c r="J462" s="10"/>
    </row>
    <row r="463" ht="14.25" customHeight="1">
      <c r="J463" s="10"/>
    </row>
    <row r="464" ht="14.25" customHeight="1">
      <c r="J464" s="10"/>
    </row>
    <row r="465" ht="14.25" customHeight="1">
      <c r="J465" s="10"/>
    </row>
    <row r="466" ht="14.25" customHeight="1">
      <c r="J466" s="10"/>
    </row>
    <row r="467" ht="14.25" customHeight="1">
      <c r="J467" s="10"/>
    </row>
    <row r="468" ht="14.25" customHeight="1">
      <c r="J468" s="10"/>
    </row>
    <row r="469" ht="14.25" customHeight="1">
      <c r="J469" s="10"/>
    </row>
    <row r="470" ht="14.25" customHeight="1">
      <c r="J470" s="10"/>
    </row>
    <row r="471" ht="14.25" customHeight="1">
      <c r="J471" s="10"/>
    </row>
    <row r="472" ht="14.25" customHeight="1">
      <c r="J472" s="10"/>
    </row>
    <row r="473" ht="14.25" customHeight="1">
      <c r="J473" s="10"/>
    </row>
    <row r="474" ht="14.25" customHeight="1">
      <c r="J474" s="10"/>
    </row>
    <row r="475" ht="14.25" customHeight="1">
      <c r="J475" s="10"/>
    </row>
    <row r="476" ht="14.25" customHeight="1">
      <c r="J476" s="10"/>
    </row>
    <row r="477" ht="14.25" customHeight="1">
      <c r="J477" s="10"/>
    </row>
    <row r="478" ht="14.25" customHeight="1">
      <c r="J478" s="10"/>
    </row>
    <row r="479" ht="14.25" customHeight="1">
      <c r="J479" s="10"/>
    </row>
    <row r="480" ht="14.25" customHeight="1">
      <c r="J480" s="10"/>
    </row>
    <row r="481" ht="14.25" customHeight="1">
      <c r="J481" s="10"/>
    </row>
    <row r="482" ht="14.25" customHeight="1">
      <c r="J482" s="10"/>
    </row>
    <row r="483" ht="14.25" customHeight="1">
      <c r="J483" s="10"/>
    </row>
    <row r="484" ht="14.25" customHeight="1">
      <c r="J484" s="10"/>
    </row>
    <row r="485" ht="14.25" customHeight="1">
      <c r="J485" s="10"/>
    </row>
    <row r="486" ht="14.25" customHeight="1">
      <c r="J486" s="10"/>
    </row>
    <row r="487" ht="14.25" customHeight="1">
      <c r="J487" s="10"/>
    </row>
    <row r="488" ht="14.25" customHeight="1">
      <c r="J488" s="10"/>
    </row>
    <row r="489" ht="14.25" customHeight="1">
      <c r="J489" s="10"/>
    </row>
    <row r="490" ht="14.25" customHeight="1">
      <c r="J490" s="10"/>
    </row>
    <row r="491" ht="14.25" customHeight="1">
      <c r="J491" s="10"/>
    </row>
    <row r="492" ht="14.25" customHeight="1">
      <c r="J492" s="10"/>
    </row>
    <row r="493" ht="14.25" customHeight="1">
      <c r="J493" s="10"/>
    </row>
    <row r="494" ht="14.25" customHeight="1">
      <c r="J494" s="10"/>
    </row>
    <row r="495" ht="14.25" customHeight="1">
      <c r="J495" s="10"/>
    </row>
    <row r="496" ht="14.25" customHeight="1">
      <c r="J496" s="10"/>
    </row>
    <row r="497" ht="14.25" customHeight="1">
      <c r="J497" s="10"/>
    </row>
    <row r="498" ht="14.25" customHeight="1">
      <c r="J498" s="10"/>
    </row>
    <row r="499" ht="14.25" customHeight="1">
      <c r="J499" s="10"/>
    </row>
    <row r="500" ht="14.25" customHeight="1">
      <c r="J500" s="10"/>
    </row>
    <row r="501" ht="14.25" customHeight="1">
      <c r="J501" s="10"/>
    </row>
    <row r="502" ht="14.25" customHeight="1">
      <c r="J502" s="10"/>
    </row>
    <row r="503" ht="14.25" customHeight="1">
      <c r="J503" s="10"/>
    </row>
    <row r="504" ht="14.25" customHeight="1">
      <c r="J504" s="10"/>
    </row>
    <row r="505" ht="14.25" customHeight="1">
      <c r="J505" s="10"/>
    </row>
    <row r="506" ht="14.25" customHeight="1">
      <c r="J506" s="10"/>
    </row>
    <row r="507" ht="14.25" customHeight="1">
      <c r="J507" s="10"/>
    </row>
    <row r="508" ht="14.25" customHeight="1">
      <c r="J508" s="10"/>
    </row>
    <row r="509" ht="14.25" customHeight="1">
      <c r="J509" s="10"/>
    </row>
    <row r="510" ht="14.25" customHeight="1">
      <c r="J510" s="10"/>
    </row>
    <row r="511" ht="14.25" customHeight="1">
      <c r="J511" s="10"/>
    </row>
    <row r="512" ht="14.25" customHeight="1">
      <c r="J512" s="10"/>
    </row>
    <row r="513" ht="14.25" customHeight="1">
      <c r="J513" s="10"/>
    </row>
    <row r="514" ht="14.25" customHeight="1">
      <c r="J514" s="10"/>
    </row>
    <row r="515" ht="14.25" customHeight="1">
      <c r="J515" s="10"/>
    </row>
    <row r="516" ht="14.25" customHeight="1">
      <c r="J516" s="10"/>
    </row>
    <row r="517" ht="14.25" customHeight="1">
      <c r="J517" s="10"/>
    </row>
    <row r="518" ht="14.25" customHeight="1">
      <c r="J518" s="10"/>
    </row>
    <row r="519" ht="14.25" customHeight="1">
      <c r="J519" s="10"/>
    </row>
    <row r="520" ht="14.25" customHeight="1">
      <c r="J520" s="10"/>
    </row>
    <row r="521" ht="14.25" customHeight="1">
      <c r="J521" s="10"/>
    </row>
    <row r="522" ht="14.25" customHeight="1">
      <c r="J522" s="10"/>
    </row>
    <row r="523" ht="14.25" customHeight="1">
      <c r="J523" s="10"/>
    </row>
    <row r="524" ht="14.25" customHeight="1">
      <c r="J524" s="10"/>
    </row>
    <row r="525" ht="14.25" customHeight="1">
      <c r="J525" s="10"/>
    </row>
    <row r="526" ht="14.25" customHeight="1">
      <c r="J526" s="10"/>
    </row>
    <row r="527" ht="14.25" customHeight="1">
      <c r="J527" s="10"/>
    </row>
    <row r="528" ht="14.25" customHeight="1">
      <c r="J528" s="10"/>
    </row>
    <row r="529" ht="14.25" customHeight="1">
      <c r="J529" s="10"/>
    </row>
    <row r="530" ht="14.25" customHeight="1">
      <c r="J530" s="10"/>
    </row>
    <row r="531" ht="14.25" customHeight="1">
      <c r="J531" s="10"/>
    </row>
    <row r="532" ht="14.25" customHeight="1">
      <c r="J532" s="10"/>
    </row>
    <row r="533" ht="14.25" customHeight="1">
      <c r="J533" s="10"/>
    </row>
    <row r="534" ht="14.25" customHeight="1">
      <c r="J534" s="10"/>
    </row>
    <row r="535" ht="14.25" customHeight="1">
      <c r="J535" s="10"/>
    </row>
    <row r="536" ht="14.25" customHeight="1">
      <c r="J536" s="10"/>
    </row>
    <row r="537" ht="14.25" customHeight="1">
      <c r="J537" s="10"/>
    </row>
    <row r="538" ht="14.25" customHeight="1">
      <c r="J538" s="10"/>
    </row>
    <row r="539" ht="14.25" customHeight="1">
      <c r="J539" s="10"/>
    </row>
    <row r="540" ht="14.25" customHeight="1">
      <c r="J540" s="10"/>
    </row>
    <row r="541" ht="14.25" customHeight="1">
      <c r="J541" s="10"/>
    </row>
    <row r="542" ht="14.25" customHeight="1">
      <c r="J542" s="10"/>
    </row>
    <row r="543" ht="14.25" customHeight="1">
      <c r="J543" s="10"/>
    </row>
    <row r="544" ht="14.25" customHeight="1">
      <c r="J544" s="10"/>
    </row>
    <row r="545" ht="14.25" customHeight="1">
      <c r="J545" s="10"/>
    </row>
    <row r="546" ht="14.25" customHeight="1">
      <c r="J546" s="10"/>
    </row>
    <row r="547" ht="14.25" customHeight="1">
      <c r="J547" s="10"/>
    </row>
    <row r="548" ht="14.25" customHeight="1">
      <c r="J548" s="10"/>
    </row>
    <row r="549" ht="14.25" customHeight="1">
      <c r="J549" s="10"/>
    </row>
    <row r="550" ht="14.25" customHeight="1">
      <c r="J550" s="10"/>
    </row>
    <row r="551" ht="14.25" customHeight="1">
      <c r="J551" s="10"/>
    </row>
    <row r="552" ht="14.25" customHeight="1">
      <c r="J552" s="10"/>
    </row>
    <row r="553" ht="14.25" customHeight="1">
      <c r="J553" s="10"/>
    </row>
    <row r="554" ht="14.25" customHeight="1">
      <c r="J554" s="10"/>
    </row>
    <row r="555" ht="14.25" customHeight="1">
      <c r="J555" s="10"/>
    </row>
    <row r="556" ht="14.25" customHeight="1">
      <c r="J556" s="10"/>
    </row>
    <row r="557" ht="14.25" customHeight="1">
      <c r="J557" s="10"/>
    </row>
    <row r="558" ht="14.25" customHeight="1">
      <c r="J558" s="10"/>
    </row>
    <row r="559" ht="14.25" customHeight="1">
      <c r="J559" s="10"/>
    </row>
    <row r="560" ht="14.25" customHeight="1">
      <c r="J560" s="10"/>
    </row>
    <row r="561" ht="14.25" customHeight="1">
      <c r="J561" s="10"/>
    </row>
    <row r="562" ht="14.25" customHeight="1">
      <c r="J562" s="10"/>
    </row>
    <row r="563" ht="14.25" customHeight="1">
      <c r="J563" s="10"/>
    </row>
    <row r="564" ht="14.25" customHeight="1">
      <c r="J564" s="10"/>
    </row>
    <row r="565" ht="14.25" customHeight="1">
      <c r="J565" s="10"/>
    </row>
    <row r="566" ht="14.25" customHeight="1">
      <c r="J566" s="10"/>
    </row>
    <row r="567" ht="14.25" customHeight="1">
      <c r="J567" s="10"/>
    </row>
    <row r="568" ht="14.25" customHeight="1">
      <c r="J568" s="10"/>
    </row>
    <row r="569" ht="14.25" customHeight="1">
      <c r="J569" s="10"/>
    </row>
    <row r="570" ht="14.25" customHeight="1">
      <c r="J570" s="10"/>
    </row>
    <row r="571" ht="14.25" customHeight="1">
      <c r="J571" s="10"/>
    </row>
    <row r="572" ht="14.25" customHeight="1">
      <c r="J572" s="10"/>
    </row>
    <row r="573" ht="14.25" customHeight="1">
      <c r="J573" s="10"/>
    </row>
    <row r="574" ht="14.25" customHeight="1">
      <c r="J574" s="10"/>
    </row>
    <row r="575" ht="14.25" customHeight="1">
      <c r="J575" s="10"/>
    </row>
    <row r="576" ht="14.25" customHeight="1">
      <c r="J576" s="10"/>
    </row>
    <row r="577" ht="14.25" customHeight="1">
      <c r="J577" s="10"/>
    </row>
    <row r="578" ht="14.25" customHeight="1">
      <c r="J578" s="10"/>
    </row>
    <row r="579" ht="14.25" customHeight="1">
      <c r="J579" s="10"/>
    </row>
    <row r="580" ht="14.25" customHeight="1">
      <c r="J580" s="10"/>
    </row>
    <row r="581" ht="14.25" customHeight="1">
      <c r="J581" s="10"/>
    </row>
    <row r="582" ht="14.25" customHeight="1">
      <c r="J582" s="10"/>
    </row>
    <row r="583" ht="14.25" customHeight="1">
      <c r="J583" s="10"/>
    </row>
    <row r="584" ht="14.25" customHeight="1">
      <c r="J584" s="10"/>
    </row>
    <row r="585" ht="14.25" customHeight="1">
      <c r="J585" s="10"/>
    </row>
    <row r="586" ht="14.25" customHeight="1">
      <c r="J586" s="10"/>
    </row>
    <row r="587" ht="14.25" customHeight="1">
      <c r="J587" s="10"/>
    </row>
    <row r="588" ht="14.25" customHeight="1">
      <c r="J588" s="10"/>
    </row>
    <row r="589" ht="14.25" customHeight="1">
      <c r="J589" s="10"/>
    </row>
    <row r="590" ht="14.25" customHeight="1">
      <c r="J590" s="10"/>
    </row>
    <row r="591" ht="14.25" customHeight="1">
      <c r="J591" s="10"/>
    </row>
    <row r="592" ht="14.25" customHeight="1">
      <c r="J592" s="10"/>
    </row>
    <row r="593" ht="14.25" customHeight="1">
      <c r="J593" s="10"/>
    </row>
    <row r="594" ht="14.25" customHeight="1">
      <c r="J594" s="10"/>
    </row>
    <row r="595" ht="14.25" customHeight="1">
      <c r="J595" s="10"/>
    </row>
    <row r="596" ht="14.25" customHeight="1">
      <c r="J596" s="10"/>
    </row>
    <row r="597" ht="14.25" customHeight="1">
      <c r="J597" s="10"/>
    </row>
    <row r="598" ht="14.25" customHeight="1">
      <c r="J598" s="10"/>
    </row>
    <row r="599" ht="14.25" customHeight="1">
      <c r="J599" s="10"/>
    </row>
    <row r="600" ht="14.25" customHeight="1">
      <c r="J600" s="10"/>
    </row>
    <row r="601" ht="14.25" customHeight="1">
      <c r="J601" s="10"/>
    </row>
    <row r="602" ht="14.25" customHeight="1">
      <c r="J602" s="10"/>
    </row>
    <row r="603" ht="14.25" customHeight="1">
      <c r="J603" s="10"/>
    </row>
    <row r="604" ht="14.25" customHeight="1">
      <c r="J604" s="10"/>
    </row>
    <row r="605" ht="14.25" customHeight="1">
      <c r="J605" s="10"/>
    </row>
    <row r="606" ht="14.25" customHeight="1">
      <c r="J606" s="10"/>
    </row>
    <row r="607" ht="14.25" customHeight="1">
      <c r="J607" s="10"/>
    </row>
    <row r="608" ht="14.25" customHeight="1">
      <c r="J608" s="10"/>
    </row>
    <row r="609" ht="14.25" customHeight="1">
      <c r="J609" s="10"/>
    </row>
    <row r="610" ht="14.25" customHeight="1">
      <c r="J610" s="10"/>
    </row>
    <row r="611" ht="14.25" customHeight="1">
      <c r="J611" s="10"/>
    </row>
    <row r="612" ht="14.25" customHeight="1">
      <c r="J612" s="10"/>
    </row>
    <row r="613" ht="14.25" customHeight="1">
      <c r="J613" s="10"/>
    </row>
    <row r="614" ht="14.25" customHeight="1">
      <c r="J614" s="10"/>
    </row>
    <row r="615" ht="14.25" customHeight="1">
      <c r="J615" s="10"/>
    </row>
    <row r="616" ht="14.25" customHeight="1">
      <c r="J616" s="10"/>
    </row>
    <row r="617" ht="14.25" customHeight="1">
      <c r="J617" s="10"/>
    </row>
    <row r="618" ht="14.25" customHeight="1">
      <c r="J618" s="10"/>
    </row>
    <row r="619" ht="14.25" customHeight="1">
      <c r="J619" s="10"/>
    </row>
    <row r="620" ht="14.25" customHeight="1">
      <c r="J620" s="10"/>
    </row>
    <row r="621" ht="14.25" customHeight="1">
      <c r="J621" s="10"/>
    </row>
    <row r="622" ht="14.25" customHeight="1">
      <c r="J622" s="10"/>
    </row>
    <row r="623" ht="14.25" customHeight="1">
      <c r="J623" s="10"/>
    </row>
    <row r="624" ht="14.25" customHeight="1">
      <c r="J624" s="10"/>
    </row>
    <row r="625" ht="14.25" customHeight="1">
      <c r="J625" s="10"/>
    </row>
    <row r="626" ht="14.25" customHeight="1">
      <c r="J626" s="10"/>
    </row>
    <row r="627" ht="14.25" customHeight="1">
      <c r="J627" s="10"/>
    </row>
    <row r="628" ht="14.25" customHeight="1">
      <c r="J628" s="10"/>
    </row>
    <row r="629" ht="14.25" customHeight="1">
      <c r="J629" s="10"/>
    </row>
    <row r="630" ht="14.25" customHeight="1">
      <c r="J630" s="10"/>
    </row>
    <row r="631" ht="14.25" customHeight="1">
      <c r="J631" s="10"/>
    </row>
    <row r="632" ht="14.25" customHeight="1">
      <c r="J632" s="10"/>
    </row>
    <row r="633" ht="14.25" customHeight="1">
      <c r="J633" s="10"/>
    </row>
    <row r="634" ht="14.25" customHeight="1">
      <c r="J634" s="10"/>
    </row>
    <row r="635" ht="14.25" customHeight="1">
      <c r="J635" s="10"/>
    </row>
    <row r="636" ht="14.25" customHeight="1">
      <c r="J636" s="10"/>
    </row>
    <row r="637" ht="14.25" customHeight="1">
      <c r="J637" s="10"/>
    </row>
    <row r="638" ht="14.25" customHeight="1">
      <c r="J638" s="10"/>
    </row>
    <row r="639" ht="14.25" customHeight="1">
      <c r="J639" s="10"/>
    </row>
    <row r="640" ht="14.25" customHeight="1">
      <c r="J640" s="10"/>
    </row>
    <row r="641" ht="14.25" customHeight="1">
      <c r="J641" s="10"/>
    </row>
    <row r="642" ht="14.25" customHeight="1">
      <c r="J642" s="10"/>
    </row>
    <row r="643" ht="14.25" customHeight="1">
      <c r="J643" s="10"/>
    </row>
    <row r="644" ht="14.25" customHeight="1">
      <c r="J644" s="10"/>
    </row>
    <row r="645" ht="14.25" customHeight="1">
      <c r="J645" s="10"/>
    </row>
    <row r="646" ht="14.25" customHeight="1">
      <c r="J646" s="10"/>
    </row>
    <row r="647" ht="14.25" customHeight="1">
      <c r="J647" s="10"/>
    </row>
    <row r="648" ht="14.25" customHeight="1">
      <c r="J648" s="10"/>
    </row>
    <row r="649" ht="14.25" customHeight="1">
      <c r="J649" s="10"/>
    </row>
    <row r="650" ht="14.25" customHeight="1">
      <c r="J650" s="10"/>
    </row>
    <row r="651" ht="14.25" customHeight="1">
      <c r="J651" s="10"/>
    </row>
    <row r="652" ht="14.25" customHeight="1">
      <c r="J652" s="10"/>
    </row>
    <row r="653" ht="14.25" customHeight="1">
      <c r="J653" s="10"/>
    </row>
    <row r="654" ht="14.25" customHeight="1">
      <c r="J654" s="10"/>
    </row>
    <row r="655" ht="14.25" customHeight="1">
      <c r="J655" s="10"/>
    </row>
    <row r="656" ht="14.25" customHeight="1">
      <c r="J656" s="10"/>
    </row>
    <row r="657" ht="14.25" customHeight="1">
      <c r="J657" s="10"/>
    </row>
    <row r="658" ht="14.25" customHeight="1">
      <c r="J658" s="10"/>
    </row>
    <row r="659" ht="14.25" customHeight="1">
      <c r="J659" s="10"/>
    </row>
    <row r="660" ht="14.25" customHeight="1">
      <c r="J660" s="10"/>
    </row>
    <row r="661" ht="14.25" customHeight="1">
      <c r="J661" s="10"/>
    </row>
    <row r="662" ht="14.25" customHeight="1">
      <c r="J662" s="10"/>
    </row>
    <row r="663" ht="14.25" customHeight="1">
      <c r="J663" s="10"/>
    </row>
    <row r="664" ht="14.25" customHeight="1">
      <c r="J664" s="10"/>
    </row>
    <row r="665" ht="14.25" customHeight="1">
      <c r="J665" s="10"/>
    </row>
    <row r="666" ht="14.25" customHeight="1">
      <c r="J666" s="10"/>
    </row>
    <row r="667" ht="14.25" customHeight="1">
      <c r="J667" s="10"/>
    </row>
    <row r="668" ht="14.25" customHeight="1">
      <c r="J668" s="10"/>
    </row>
    <row r="669" ht="14.25" customHeight="1">
      <c r="J669" s="10"/>
    </row>
    <row r="670" ht="14.25" customHeight="1">
      <c r="J670" s="10"/>
    </row>
    <row r="671" ht="14.25" customHeight="1">
      <c r="J671" s="10"/>
    </row>
    <row r="672" ht="14.25" customHeight="1">
      <c r="J672" s="10"/>
    </row>
    <row r="673" ht="14.25" customHeight="1">
      <c r="J673" s="10"/>
    </row>
    <row r="674" ht="14.25" customHeight="1">
      <c r="J674" s="10"/>
    </row>
    <row r="675" ht="14.25" customHeight="1">
      <c r="J675" s="10"/>
    </row>
    <row r="676" ht="14.25" customHeight="1">
      <c r="J676" s="10"/>
    </row>
    <row r="677" ht="14.25" customHeight="1">
      <c r="J677" s="10"/>
    </row>
    <row r="678" ht="14.25" customHeight="1">
      <c r="J678" s="10"/>
    </row>
    <row r="679" ht="14.25" customHeight="1">
      <c r="J679" s="10"/>
    </row>
    <row r="680" ht="14.25" customHeight="1">
      <c r="J680" s="10"/>
    </row>
    <row r="681" ht="14.25" customHeight="1">
      <c r="J681" s="10"/>
    </row>
    <row r="682" ht="14.25" customHeight="1">
      <c r="J682" s="10"/>
    </row>
    <row r="683" ht="14.25" customHeight="1">
      <c r="J683" s="10"/>
    </row>
    <row r="684" ht="14.25" customHeight="1">
      <c r="J684" s="10"/>
    </row>
    <row r="685" ht="14.25" customHeight="1">
      <c r="J685" s="10"/>
    </row>
    <row r="686" ht="14.25" customHeight="1">
      <c r="J686" s="10"/>
    </row>
    <row r="687" ht="14.25" customHeight="1">
      <c r="J687" s="10"/>
    </row>
    <row r="688" ht="14.25" customHeight="1">
      <c r="J688" s="10"/>
    </row>
    <row r="689" ht="14.25" customHeight="1">
      <c r="J689" s="10"/>
    </row>
    <row r="690" ht="14.25" customHeight="1">
      <c r="J690" s="10"/>
    </row>
    <row r="691" ht="14.25" customHeight="1">
      <c r="J691" s="10"/>
    </row>
    <row r="692" ht="14.25" customHeight="1">
      <c r="J692" s="10"/>
    </row>
    <row r="693" ht="14.25" customHeight="1">
      <c r="J693" s="10"/>
    </row>
    <row r="694" ht="14.25" customHeight="1">
      <c r="J694" s="10"/>
    </row>
    <row r="695" ht="14.25" customHeight="1">
      <c r="J695" s="10"/>
    </row>
    <row r="696" ht="14.25" customHeight="1">
      <c r="J696" s="10"/>
    </row>
    <row r="697" ht="14.25" customHeight="1">
      <c r="J697" s="10"/>
    </row>
    <row r="698" ht="14.25" customHeight="1">
      <c r="J698" s="10"/>
    </row>
    <row r="699" ht="14.25" customHeight="1">
      <c r="J699" s="10"/>
    </row>
    <row r="700" ht="14.25" customHeight="1">
      <c r="J700" s="10"/>
    </row>
    <row r="701" ht="14.25" customHeight="1">
      <c r="J701" s="10"/>
    </row>
    <row r="702" ht="14.25" customHeight="1">
      <c r="J702" s="10"/>
    </row>
    <row r="703" ht="14.25" customHeight="1">
      <c r="J703" s="10"/>
    </row>
    <row r="704" ht="14.25" customHeight="1">
      <c r="J704" s="10"/>
    </row>
    <row r="705" ht="14.25" customHeight="1">
      <c r="J705" s="10"/>
    </row>
    <row r="706" ht="14.25" customHeight="1">
      <c r="J706" s="10"/>
    </row>
    <row r="707" ht="14.25" customHeight="1">
      <c r="J707" s="10"/>
    </row>
    <row r="708" ht="14.25" customHeight="1">
      <c r="J708" s="10"/>
    </row>
    <row r="709" ht="14.25" customHeight="1">
      <c r="J709" s="10"/>
    </row>
    <row r="710" ht="14.25" customHeight="1">
      <c r="J710" s="10"/>
    </row>
    <row r="711" ht="14.25" customHeight="1">
      <c r="J711" s="10"/>
    </row>
    <row r="712" ht="14.25" customHeight="1">
      <c r="J712" s="10"/>
    </row>
    <row r="713" ht="14.25" customHeight="1">
      <c r="J713" s="10"/>
    </row>
    <row r="714" ht="14.25" customHeight="1">
      <c r="J714" s="10"/>
    </row>
    <row r="715" ht="14.25" customHeight="1">
      <c r="J715" s="10"/>
    </row>
    <row r="716" ht="14.25" customHeight="1">
      <c r="J716" s="10"/>
    </row>
    <row r="717" ht="14.25" customHeight="1">
      <c r="J717" s="10"/>
    </row>
    <row r="718" ht="14.25" customHeight="1">
      <c r="J718" s="10"/>
    </row>
    <row r="719" ht="14.25" customHeight="1">
      <c r="J719" s="10"/>
    </row>
    <row r="720" ht="14.25" customHeight="1">
      <c r="J720" s="10"/>
    </row>
    <row r="721" ht="14.25" customHeight="1">
      <c r="J721" s="10"/>
    </row>
    <row r="722" ht="14.25" customHeight="1">
      <c r="J722" s="10"/>
    </row>
    <row r="723" ht="14.25" customHeight="1">
      <c r="J723" s="10"/>
    </row>
    <row r="724" ht="14.25" customHeight="1">
      <c r="J724" s="10"/>
    </row>
    <row r="725" ht="14.25" customHeight="1">
      <c r="J725" s="10"/>
    </row>
    <row r="726" ht="14.25" customHeight="1">
      <c r="J726" s="10"/>
    </row>
    <row r="727" ht="14.25" customHeight="1">
      <c r="J727" s="10"/>
    </row>
    <row r="728" ht="14.25" customHeight="1">
      <c r="J728" s="10"/>
    </row>
    <row r="729" ht="14.25" customHeight="1">
      <c r="J729" s="10"/>
    </row>
    <row r="730" ht="14.25" customHeight="1">
      <c r="J730" s="10"/>
    </row>
    <row r="731" ht="14.25" customHeight="1">
      <c r="J731" s="10"/>
    </row>
    <row r="732" ht="14.25" customHeight="1">
      <c r="J732" s="10"/>
    </row>
    <row r="733" ht="14.25" customHeight="1">
      <c r="J733" s="10"/>
    </row>
    <row r="734" ht="14.25" customHeight="1">
      <c r="J734" s="10"/>
    </row>
    <row r="735" ht="14.25" customHeight="1">
      <c r="J735" s="10"/>
    </row>
    <row r="736" ht="14.25" customHeight="1">
      <c r="J736" s="10"/>
    </row>
    <row r="737" ht="14.25" customHeight="1">
      <c r="J737" s="10"/>
    </row>
    <row r="738" ht="14.25" customHeight="1">
      <c r="J738" s="10"/>
    </row>
    <row r="739" ht="14.25" customHeight="1">
      <c r="J739" s="10"/>
    </row>
    <row r="740" ht="14.25" customHeight="1">
      <c r="J740" s="10"/>
    </row>
    <row r="741" ht="14.25" customHeight="1">
      <c r="J741" s="10"/>
    </row>
    <row r="742" ht="14.25" customHeight="1">
      <c r="J742" s="10"/>
    </row>
    <row r="743" ht="14.25" customHeight="1">
      <c r="J743" s="10"/>
    </row>
    <row r="744" ht="14.25" customHeight="1">
      <c r="J744" s="10"/>
    </row>
    <row r="745" ht="14.25" customHeight="1">
      <c r="J745" s="10"/>
    </row>
    <row r="746" ht="14.25" customHeight="1">
      <c r="J746" s="10"/>
    </row>
    <row r="747" ht="14.25" customHeight="1">
      <c r="J747" s="10"/>
    </row>
    <row r="748" ht="14.25" customHeight="1">
      <c r="J748" s="10"/>
    </row>
    <row r="749" ht="14.25" customHeight="1">
      <c r="J749" s="10"/>
    </row>
    <row r="750" ht="14.25" customHeight="1">
      <c r="J750" s="10"/>
    </row>
    <row r="751" ht="14.25" customHeight="1">
      <c r="J751" s="10"/>
    </row>
    <row r="752" ht="14.25" customHeight="1">
      <c r="J752" s="10"/>
    </row>
    <row r="753" ht="14.25" customHeight="1">
      <c r="J753" s="10"/>
    </row>
    <row r="754" ht="14.25" customHeight="1">
      <c r="J754" s="10"/>
    </row>
    <row r="755" ht="14.25" customHeight="1">
      <c r="J755" s="10"/>
    </row>
    <row r="756" ht="14.25" customHeight="1">
      <c r="J756" s="10"/>
    </row>
    <row r="757" ht="14.25" customHeight="1">
      <c r="J757" s="10"/>
    </row>
    <row r="758" ht="14.25" customHeight="1">
      <c r="J758" s="10"/>
    </row>
    <row r="759" ht="14.25" customHeight="1">
      <c r="J759" s="10"/>
    </row>
    <row r="760" ht="14.25" customHeight="1">
      <c r="J760" s="10"/>
    </row>
    <row r="761" ht="14.25" customHeight="1">
      <c r="J761" s="10"/>
    </row>
    <row r="762" ht="14.25" customHeight="1">
      <c r="J762" s="10"/>
    </row>
    <row r="763" ht="14.25" customHeight="1">
      <c r="J763" s="10"/>
    </row>
    <row r="764" ht="14.25" customHeight="1">
      <c r="J764" s="10"/>
    </row>
    <row r="765" ht="14.25" customHeight="1">
      <c r="J765" s="10"/>
    </row>
    <row r="766" ht="14.25" customHeight="1">
      <c r="J766" s="10"/>
    </row>
    <row r="767" ht="14.25" customHeight="1">
      <c r="J767" s="10"/>
    </row>
    <row r="768" ht="14.25" customHeight="1">
      <c r="J768" s="10"/>
    </row>
    <row r="769" ht="14.25" customHeight="1">
      <c r="J769" s="10"/>
    </row>
    <row r="770" ht="14.25" customHeight="1">
      <c r="J770" s="10"/>
    </row>
    <row r="771" ht="14.25" customHeight="1">
      <c r="J771" s="10"/>
    </row>
    <row r="772" ht="14.25" customHeight="1">
      <c r="J772" s="10"/>
    </row>
    <row r="773" ht="14.25" customHeight="1">
      <c r="J773" s="10"/>
    </row>
    <row r="774" ht="14.25" customHeight="1">
      <c r="J774" s="10"/>
    </row>
    <row r="775" ht="14.25" customHeight="1">
      <c r="J775" s="10"/>
    </row>
    <row r="776" ht="14.25" customHeight="1">
      <c r="J776" s="10"/>
    </row>
    <row r="777" ht="14.25" customHeight="1">
      <c r="J777" s="10"/>
    </row>
    <row r="778" ht="14.25" customHeight="1">
      <c r="J778" s="10"/>
    </row>
    <row r="779" ht="14.25" customHeight="1">
      <c r="J779" s="10"/>
    </row>
    <row r="780" ht="14.25" customHeight="1">
      <c r="J780" s="10"/>
    </row>
    <row r="781" ht="14.25" customHeight="1">
      <c r="J781" s="10"/>
    </row>
    <row r="782" ht="14.25" customHeight="1">
      <c r="J782" s="10"/>
    </row>
    <row r="783" ht="14.25" customHeight="1">
      <c r="J783" s="10"/>
    </row>
    <row r="784" ht="14.25" customHeight="1">
      <c r="J784" s="10"/>
    </row>
    <row r="785" ht="14.25" customHeight="1">
      <c r="J785" s="10"/>
    </row>
    <row r="786" ht="14.25" customHeight="1">
      <c r="J786" s="10"/>
    </row>
    <row r="787" ht="14.25" customHeight="1">
      <c r="J787" s="10"/>
    </row>
    <row r="788" ht="14.25" customHeight="1">
      <c r="J788" s="10"/>
    </row>
    <row r="789" ht="14.25" customHeight="1">
      <c r="J789" s="10"/>
    </row>
    <row r="790" ht="14.25" customHeight="1">
      <c r="J790" s="10"/>
    </row>
    <row r="791" ht="14.25" customHeight="1">
      <c r="J791" s="10"/>
    </row>
    <row r="792" ht="14.25" customHeight="1">
      <c r="J792" s="10"/>
    </row>
    <row r="793" ht="14.25" customHeight="1">
      <c r="J793" s="10"/>
    </row>
    <row r="794" ht="14.25" customHeight="1">
      <c r="J794" s="10"/>
    </row>
    <row r="795" ht="14.25" customHeight="1">
      <c r="J795" s="10"/>
    </row>
    <row r="796" ht="14.25" customHeight="1">
      <c r="J796" s="10"/>
    </row>
    <row r="797" ht="14.25" customHeight="1">
      <c r="J797" s="10"/>
    </row>
    <row r="798" ht="14.25" customHeight="1">
      <c r="J798" s="10"/>
    </row>
    <row r="799" ht="14.25" customHeight="1">
      <c r="J799" s="10"/>
    </row>
    <row r="800" ht="14.25" customHeight="1">
      <c r="J800" s="10"/>
    </row>
    <row r="801" ht="14.25" customHeight="1">
      <c r="J801" s="10"/>
    </row>
    <row r="802" ht="14.25" customHeight="1">
      <c r="J802" s="10"/>
    </row>
    <row r="803" ht="14.25" customHeight="1">
      <c r="J803" s="10"/>
    </row>
    <row r="804" ht="14.25" customHeight="1">
      <c r="J804" s="10"/>
    </row>
    <row r="805" ht="14.25" customHeight="1">
      <c r="J805" s="10"/>
    </row>
    <row r="806" ht="14.25" customHeight="1">
      <c r="J806" s="10"/>
    </row>
    <row r="807" ht="14.25" customHeight="1">
      <c r="J807" s="10"/>
    </row>
    <row r="808" ht="14.25" customHeight="1">
      <c r="J808" s="10"/>
    </row>
    <row r="809" ht="14.25" customHeight="1">
      <c r="J809" s="10"/>
    </row>
    <row r="810" ht="14.25" customHeight="1">
      <c r="J810" s="10"/>
    </row>
    <row r="811" ht="14.25" customHeight="1">
      <c r="J811" s="10"/>
    </row>
    <row r="812" ht="14.25" customHeight="1">
      <c r="J812" s="10"/>
    </row>
    <row r="813" ht="14.25" customHeight="1">
      <c r="J813" s="10"/>
    </row>
    <row r="814" ht="14.25" customHeight="1">
      <c r="J814" s="10"/>
    </row>
    <row r="815" ht="14.25" customHeight="1">
      <c r="J815" s="10"/>
    </row>
    <row r="816" ht="14.25" customHeight="1">
      <c r="J816" s="10"/>
    </row>
    <row r="817" ht="14.25" customHeight="1">
      <c r="J817" s="10"/>
    </row>
    <row r="818" ht="14.25" customHeight="1">
      <c r="J818" s="10"/>
    </row>
    <row r="819" ht="14.25" customHeight="1">
      <c r="J819" s="10"/>
    </row>
    <row r="820" ht="14.25" customHeight="1">
      <c r="J820" s="10"/>
    </row>
    <row r="821" ht="14.25" customHeight="1">
      <c r="J821" s="10"/>
    </row>
    <row r="822" ht="14.25" customHeight="1">
      <c r="J822" s="10"/>
    </row>
    <row r="823" ht="14.25" customHeight="1">
      <c r="J823" s="10"/>
    </row>
    <row r="824" ht="14.25" customHeight="1">
      <c r="J824" s="10"/>
    </row>
    <row r="825" ht="14.25" customHeight="1">
      <c r="J825" s="10"/>
    </row>
    <row r="826" ht="14.25" customHeight="1">
      <c r="J826" s="10"/>
    </row>
    <row r="827" ht="14.25" customHeight="1">
      <c r="J827" s="10"/>
    </row>
    <row r="828" ht="14.25" customHeight="1">
      <c r="J828" s="10"/>
    </row>
    <row r="829" ht="14.25" customHeight="1">
      <c r="J829" s="10"/>
    </row>
    <row r="830" ht="14.25" customHeight="1">
      <c r="J830" s="10"/>
    </row>
    <row r="831" ht="14.25" customHeight="1">
      <c r="J831" s="10"/>
    </row>
    <row r="832" ht="14.25" customHeight="1">
      <c r="J832" s="10"/>
    </row>
    <row r="833" ht="14.25" customHeight="1">
      <c r="J833" s="10"/>
    </row>
    <row r="834" ht="14.25" customHeight="1">
      <c r="J834" s="10"/>
    </row>
    <row r="835" ht="14.25" customHeight="1">
      <c r="J835" s="10"/>
    </row>
    <row r="836" ht="14.25" customHeight="1">
      <c r="J836" s="10"/>
    </row>
    <row r="837" ht="14.25" customHeight="1">
      <c r="J837" s="10"/>
    </row>
    <row r="838" ht="14.25" customHeight="1">
      <c r="J838" s="10"/>
    </row>
    <row r="839" ht="14.25" customHeight="1">
      <c r="J839" s="10"/>
    </row>
    <row r="840" ht="14.25" customHeight="1">
      <c r="J840" s="10"/>
    </row>
    <row r="841" ht="14.25" customHeight="1">
      <c r="J841" s="10"/>
    </row>
    <row r="842" ht="14.25" customHeight="1">
      <c r="J842" s="10"/>
    </row>
    <row r="843" ht="14.25" customHeight="1">
      <c r="J843" s="10"/>
    </row>
    <row r="844" ht="14.25" customHeight="1">
      <c r="J844" s="10"/>
    </row>
    <row r="845" ht="14.25" customHeight="1">
      <c r="J845" s="10"/>
    </row>
    <row r="846" ht="14.25" customHeight="1">
      <c r="J846" s="10"/>
    </row>
    <row r="847" ht="14.25" customHeight="1">
      <c r="J847" s="10"/>
    </row>
    <row r="848" ht="14.25" customHeight="1">
      <c r="J848" s="10"/>
    </row>
    <row r="849" ht="14.25" customHeight="1">
      <c r="J849" s="10"/>
    </row>
    <row r="850" ht="14.25" customHeight="1">
      <c r="J850" s="10"/>
    </row>
    <row r="851" ht="14.25" customHeight="1">
      <c r="J851" s="10"/>
    </row>
    <row r="852" ht="14.25" customHeight="1">
      <c r="J852" s="10"/>
    </row>
    <row r="853" ht="14.25" customHeight="1">
      <c r="J853" s="10"/>
    </row>
    <row r="854" ht="14.25" customHeight="1">
      <c r="J854" s="10"/>
    </row>
    <row r="855" ht="14.25" customHeight="1">
      <c r="J855" s="10"/>
    </row>
    <row r="856" ht="14.25" customHeight="1">
      <c r="J856" s="10"/>
    </row>
    <row r="857" ht="14.25" customHeight="1">
      <c r="J857" s="10"/>
    </row>
    <row r="858" ht="14.25" customHeight="1">
      <c r="J858" s="10"/>
    </row>
    <row r="859" ht="14.25" customHeight="1">
      <c r="J859" s="10"/>
    </row>
    <row r="860" ht="14.25" customHeight="1">
      <c r="J860" s="10"/>
    </row>
    <row r="861" ht="14.25" customHeight="1">
      <c r="J861" s="10"/>
    </row>
    <row r="862" ht="14.25" customHeight="1">
      <c r="J862" s="10"/>
    </row>
    <row r="863" ht="14.25" customHeight="1">
      <c r="J863" s="10"/>
    </row>
    <row r="864" ht="14.25" customHeight="1">
      <c r="J864" s="10"/>
    </row>
    <row r="865" ht="14.25" customHeight="1">
      <c r="J865" s="10"/>
    </row>
    <row r="866" ht="14.25" customHeight="1">
      <c r="J866" s="10"/>
    </row>
    <row r="867" ht="14.25" customHeight="1">
      <c r="J867" s="10"/>
    </row>
    <row r="868" ht="14.25" customHeight="1">
      <c r="J868" s="10"/>
    </row>
    <row r="869" ht="14.25" customHeight="1">
      <c r="J869" s="10"/>
    </row>
    <row r="870" ht="14.25" customHeight="1">
      <c r="J870" s="10"/>
    </row>
    <row r="871" ht="14.25" customHeight="1">
      <c r="J871" s="10"/>
    </row>
    <row r="872" ht="14.25" customHeight="1">
      <c r="J872" s="10"/>
    </row>
    <row r="873" ht="14.25" customHeight="1">
      <c r="J873" s="10"/>
    </row>
    <row r="874" ht="14.25" customHeight="1">
      <c r="J874" s="10"/>
    </row>
    <row r="875" ht="14.25" customHeight="1">
      <c r="J875" s="10"/>
    </row>
    <row r="876" ht="14.25" customHeight="1">
      <c r="J876" s="10"/>
    </row>
    <row r="877" ht="14.25" customHeight="1">
      <c r="J877" s="10"/>
    </row>
    <row r="878" ht="14.25" customHeight="1">
      <c r="J878" s="10"/>
    </row>
    <row r="879" ht="14.25" customHeight="1">
      <c r="J879" s="10"/>
    </row>
    <row r="880" ht="14.25" customHeight="1">
      <c r="J880" s="10"/>
    </row>
    <row r="881" ht="14.25" customHeight="1">
      <c r="J881" s="10"/>
    </row>
    <row r="882" ht="14.25" customHeight="1">
      <c r="J882" s="10"/>
    </row>
    <row r="883" ht="14.25" customHeight="1">
      <c r="J883" s="10"/>
    </row>
    <row r="884" ht="14.25" customHeight="1">
      <c r="J884" s="10"/>
    </row>
    <row r="885" ht="14.25" customHeight="1">
      <c r="J885" s="10"/>
    </row>
    <row r="886" ht="14.25" customHeight="1">
      <c r="J886" s="10"/>
    </row>
    <row r="887" ht="14.25" customHeight="1">
      <c r="J887" s="10"/>
    </row>
    <row r="888" ht="14.25" customHeight="1">
      <c r="J888" s="10"/>
    </row>
    <row r="889" ht="14.25" customHeight="1">
      <c r="J889" s="10"/>
    </row>
    <row r="890" ht="14.25" customHeight="1">
      <c r="J890" s="10"/>
    </row>
    <row r="891" ht="14.25" customHeight="1">
      <c r="J891" s="10"/>
    </row>
    <row r="892" ht="14.25" customHeight="1">
      <c r="J892" s="10"/>
    </row>
    <row r="893" ht="14.25" customHeight="1">
      <c r="J893" s="10"/>
    </row>
    <row r="894" ht="14.25" customHeight="1">
      <c r="J894" s="10"/>
    </row>
    <row r="895" ht="14.25" customHeight="1">
      <c r="J895" s="10"/>
    </row>
    <row r="896" ht="14.25" customHeight="1">
      <c r="J896" s="10"/>
    </row>
    <row r="897" ht="14.25" customHeight="1">
      <c r="J897" s="10"/>
    </row>
    <row r="898" ht="14.25" customHeight="1">
      <c r="J898" s="10"/>
    </row>
    <row r="899" ht="14.25" customHeight="1">
      <c r="J899" s="10"/>
    </row>
    <row r="900" ht="14.25" customHeight="1">
      <c r="J900" s="10"/>
    </row>
    <row r="901" ht="14.25" customHeight="1">
      <c r="J901" s="10"/>
    </row>
    <row r="902" ht="14.25" customHeight="1">
      <c r="J902" s="10"/>
    </row>
    <row r="903" ht="14.25" customHeight="1">
      <c r="J903" s="10"/>
    </row>
    <row r="904" ht="14.25" customHeight="1">
      <c r="J904" s="10"/>
    </row>
    <row r="905" ht="14.25" customHeight="1">
      <c r="J905" s="10"/>
    </row>
    <row r="906" ht="14.25" customHeight="1">
      <c r="J906" s="10"/>
    </row>
    <row r="907" ht="14.25" customHeight="1">
      <c r="J907" s="10"/>
    </row>
    <row r="908" ht="14.25" customHeight="1">
      <c r="J908" s="10"/>
    </row>
    <row r="909" ht="14.25" customHeight="1">
      <c r="J909" s="10"/>
    </row>
    <row r="910" ht="14.25" customHeight="1">
      <c r="J910" s="10"/>
    </row>
    <row r="911" ht="14.25" customHeight="1">
      <c r="J911" s="10"/>
    </row>
    <row r="912" ht="14.25" customHeight="1">
      <c r="J912" s="10"/>
    </row>
    <row r="913" ht="14.25" customHeight="1">
      <c r="J913" s="10"/>
    </row>
    <row r="914" ht="14.25" customHeight="1">
      <c r="J914" s="10"/>
    </row>
    <row r="915" ht="14.25" customHeight="1">
      <c r="J915" s="10"/>
    </row>
    <row r="916" ht="14.25" customHeight="1">
      <c r="J916" s="10"/>
    </row>
    <row r="917" ht="14.25" customHeight="1">
      <c r="J917" s="10"/>
    </row>
    <row r="918" ht="14.25" customHeight="1">
      <c r="J918" s="10"/>
    </row>
    <row r="919" ht="14.25" customHeight="1">
      <c r="J919" s="10"/>
    </row>
    <row r="920" ht="14.25" customHeight="1">
      <c r="J920" s="10"/>
    </row>
    <row r="921" ht="14.25" customHeight="1">
      <c r="J921" s="10"/>
    </row>
    <row r="922" ht="14.25" customHeight="1">
      <c r="J922" s="10"/>
    </row>
    <row r="923" ht="14.25" customHeight="1">
      <c r="J923" s="10"/>
    </row>
    <row r="924" ht="14.25" customHeight="1">
      <c r="J924" s="10"/>
    </row>
    <row r="925" ht="14.25" customHeight="1">
      <c r="J925" s="10"/>
    </row>
    <row r="926" ht="14.25" customHeight="1">
      <c r="J926" s="10"/>
    </row>
    <row r="927" ht="14.25" customHeight="1">
      <c r="J927" s="10"/>
    </row>
    <row r="928" ht="14.25" customHeight="1">
      <c r="J928" s="10"/>
    </row>
    <row r="929" ht="14.25" customHeight="1">
      <c r="J929" s="10"/>
    </row>
    <row r="930" ht="14.25" customHeight="1">
      <c r="J930" s="10"/>
    </row>
    <row r="931" ht="14.25" customHeight="1">
      <c r="J931" s="10"/>
    </row>
    <row r="932" ht="14.25" customHeight="1">
      <c r="J932" s="10"/>
    </row>
    <row r="933" ht="14.25" customHeight="1">
      <c r="J933" s="10"/>
    </row>
    <row r="934" ht="14.25" customHeight="1">
      <c r="J934" s="10"/>
    </row>
    <row r="935" ht="14.25" customHeight="1">
      <c r="J935" s="10"/>
    </row>
    <row r="936" ht="14.25" customHeight="1">
      <c r="J936" s="10"/>
    </row>
    <row r="937" ht="14.25" customHeight="1">
      <c r="J937" s="10"/>
    </row>
    <row r="938" ht="14.25" customHeight="1">
      <c r="J938" s="10"/>
    </row>
    <row r="939" ht="14.25" customHeight="1">
      <c r="J939" s="10"/>
    </row>
    <row r="940" ht="14.25" customHeight="1">
      <c r="J940" s="10"/>
    </row>
    <row r="941" ht="14.25" customHeight="1">
      <c r="J941" s="10"/>
    </row>
    <row r="942" ht="14.25" customHeight="1">
      <c r="J942" s="10"/>
    </row>
    <row r="943" ht="14.25" customHeight="1">
      <c r="J943" s="10"/>
    </row>
    <row r="944" ht="14.25" customHeight="1">
      <c r="J944" s="10"/>
    </row>
    <row r="945" ht="14.25" customHeight="1">
      <c r="J945" s="10"/>
    </row>
    <row r="946" ht="14.25" customHeight="1">
      <c r="J946" s="10"/>
    </row>
    <row r="947" ht="14.25" customHeight="1">
      <c r="J947" s="10"/>
    </row>
    <row r="948" ht="14.25" customHeight="1">
      <c r="J948" s="10"/>
    </row>
    <row r="949" ht="14.25" customHeight="1">
      <c r="J949" s="10"/>
    </row>
    <row r="950" ht="14.25" customHeight="1">
      <c r="J950" s="10"/>
    </row>
    <row r="951" ht="14.25" customHeight="1">
      <c r="J951" s="10"/>
    </row>
    <row r="952" ht="14.25" customHeight="1">
      <c r="J952" s="10"/>
    </row>
    <row r="953" ht="14.25" customHeight="1">
      <c r="J953" s="10"/>
    </row>
    <row r="954" ht="14.25" customHeight="1">
      <c r="J954" s="10"/>
    </row>
    <row r="955" ht="14.25" customHeight="1">
      <c r="J955" s="10"/>
    </row>
    <row r="956" ht="14.25" customHeight="1">
      <c r="J956" s="10"/>
    </row>
    <row r="957" ht="14.25" customHeight="1">
      <c r="J957" s="10"/>
    </row>
    <row r="958" ht="14.25" customHeight="1">
      <c r="J958" s="10"/>
    </row>
    <row r="959" ht="14.25" customHeight="1">
      <c r="J959" s="10"/>
    </row>
    <row r="960" ht="14.25" customHeight="1">
      <c r="J960" s="10"/>
    </row>
    <row r="961" ht="14.25" customHeight="1">
      <c r="J961" s="10"/>
    </row>
    <row r="962" ht="14.25" customHeight="1">
      <c r="J962" s="10"/>
    </row>
    <row r="963" ht="14.25" customHeight="1">
      <c r="J963" s="10"/>
    </row>
    <row r="964" ht="14.25" customHeight="1">
      <c r="J964" s="10"/>
    </row>
    <row r="965" ht="14.25" customHeight="1">
      <c r="J965" s="10"/>
    </row>
    <row r="966" ht="14.25" customHeight="1">
      <c r="J966" s="10"/>
    </row>
    <row r="967" ht="14.25" customHeight="1">
      <c r="J967" s="10"/>
    </row>
    <row r="968" ht="14.25" customHeight="1">
      <c r="J968" s="10"/>
    </row>
    <row r="969" ht="14.25" customHeight="1">
      <c r="J969" s="10"/>
    </row>
    <row r="970" ht="14.25" customHeight="1">
      <c r="J970" s="10"/>
    </row>
    <row r="971" ht="14.25" customHeight="1">
      <c r="J971" s="10"/>
    </row>
    <row r="972" ht="14.25" customHeight="1">
      <c r="J972" s="10"/>
    </row>
    <row r="973" ht="14.25" customHeight="1">
      <c r="J973" s="10"/>
    </row>
    <row r="974" ht="14.25" customHeight="1">
      <c r="J974" s="10"/>
    </row>
    <row r="975" ht="14.25" customHeight="1">
      <c r="J975" s="10"/>
    </row>
    <row r="976" ht="14.25" customHeight="1">
      <c r="J976" s="10"/>
    </row>
    <row r="977" ht="14.25" customHeight="1">
      <c r="J977" s="10"/>
    </row>
    <row r="978" ht="14.25" customHeight="1">
      <c r="J978" s="10"/>
    </row>
    <row r="979" ht="14.25" customHeight="1">
      <c r="J979" s="10"/>
    </row>
    <row r="980" ht="14.25" customHeight="1">
      <c r="J980" s="10"/>
    </row>
    <row r="981" ht="14.25" customHeight="1">
      <c r="J981" s="10"/>
    </row>
    <row r="982" ht="14.25" customHeight="1">
      <c r="J982" s="10"/>
    </row>
    <row r="983" ht="14.25" customHeight="1">
      <c r="J983" s="10"/>
    </row>
    <row r="984" ht="14.25" customHeight="1">
      <c r="J984" s="10"/>
    </row>
    <row r="985" ht="14.25" customHeight="1">
      <c r="J985" s="10"/>
    </row>
    <row r="986" ht="14.25" customHeight="1">
      <c r="J986" s="10"/>
    </row>
    <row r="987" ht="14.25" customHeight="1">
      <c r="J987" s="10"/>
    </row>
    <row r="988" ht="14.25" customHeight="1">
      <c r="J988" s="10"/>
    </row>
    <row r="989" ht="14.25" customHeight="1">
      <c r="J989" s="10"/>
    </row>
    <row r="990" ht="14.25" customHeight="1">
      <c r="J990" s="10"/>
    </row>
    <row r="991" ht="14.25" customHeight="1">
      <c r="J991" s="10"/>
    </row>
    <row r="992" ht="14.25" customHeight="1">
      <c r="J992" s="10"/>
    </row>
    <row r="993" ht="14.25" customHeight="1">
      <c r="J993" s="10"/>
    </row>
    <row r="994" ht="14.25" customHeight="1">
      <c r="J994" s="10"/>
    </row>
    <row r="995" ht="14.25" customHeight="1">
      <c r="J995" s="10"/>
    </row>
    <row r="996" ht="14.25" customHeight="1">
      <c r="J996" s="10"/>
    </row>
    <row r="997" ht="14.25" customHeight="1">
      <c r="J997" s="10"/>
    </row>
    <row r="998" ht="14.25" customHeight="1">
      <c r="J998" s="10"/>
    </row>
    <row r="999" ht="14.25" customHeight="1">
      <c r="J999" s="10"/>
    </row>
    <row r="1000" ht="14.25" customHeight="1">
      <c r="J1000" s="10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57"/>
    <col customWidth="1" min="4" max="4" width="12.0"/>
    <col customWidth="1" min="5" max="5" width="12.57"/>
    <col customWidth="1" min="6" max="9" width="8.71"/>
    <col customWidth="1" min="10" max="10" width="23.0"/>
    <col customWidth="1" min="11" max="11" width="20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313</v>
      </c>
      <c r="K1" s="12" t="s">
        <v>314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1.0</v>
      </c>
      <c r="G2" s="2">
        <v>9497.0</v>
      </c>
      <c r="H2" s="2" t="s">
        <v>14</v>
      </c>
      <c r="I2" s="2" t="s">
        <v>15</v>
      </c>
      <c r="J2" s="13">
        <f t="shared" ref="J2:J101" si="1">E2-D2</f>
        <v>11</v>
      </c>
      <c r="K2" s="14" t="str">
        <f t="shared" ref="K2:K101" si="2">IF(E2-D2&gt;7,"Late Delivery","On Time")</f>
        <v>Late Delivery</v>
      </c>
    </row>
    <row r="3" ht="14.2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1.0</v>
      </c>
      <c r="G3" s="2">
        <v>8232.0</v>
      </c>
      <c r="H3" s="2" t="s">
        <v>21</v>
      </c>
      <c r="I3" s="2" t="s">
        <v>22</v>
      </c>
      <c r="J3" s="13">
        <f t="shared" si="1"/>
        <v>11</v>
      </c>
      <c r="K3" s="14" t="str">
        <f t="shared" si="2"/>
        <v>Late Delivery</v>
      </c>
    </row>
    <row r="4" ht="14.2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1.0</v>
      </c>
      <c r="G4" s="2">
        <v>12436.0</v>
      </c>
      <c r="H4" s="2" t="s">
        <v>14</v>
      </c>
      <c r="I4" s="2" t="s">
        <v>28</v>
      </c>
      <c r="J4" s="13">
        <f t="shared" si="1"/>
        <v>9</v>
      </c>
      <c r="K4" s="14" t="str">
        <f t="shared" si="2"/>
        <v>Late Delivery</v>
      </c>
    </row>
    <row r="5" ht="14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3.0</v>
      </c>
      <c r="G5" s="2">
        <v>38830.0</v>
      </c>
      <c r="H5" s="2" t="s">
        <v>21</v>
      </c>
      <c r="I5" s="2" t="s">
        <v>28</v>
      </c>
      <c r="J5" s="13">
        <f t="shared" si="1"/>
        <v>12</v>
      </c>
      <c r="K5" s="14" t="str">
        <f t="shared" si="2"/>
        <v>Late Delivery</v>
      </c>
    </row>
    <row r="6" ht="14.25" customHeight="1">
      <c r="A6" s="2" t="s">
        <v>34</v>
      </c>
      <c r="B6" s="2" t="s">
        <v>35</v>
      </c>
      <c r="C6" s="2" t="s">
        <v>18</v>
      </c>
      <c r="D6" s="2" t="s">
        <v>36</v>
      </c>
      <c r="E6" s="2" t="s">
        <v>37</v>
      </c>
      <c r="F6" s="2">
        <v>2.0</v>
      </c>
      <c r="G6" s="2">
        <v>7193.0</v>
      </c>
      <c r="H6" s="2" t="s">
        <v>14</v>
      </c>
      <c r="I6" s="2" t="s">
        <v>22</v>
      </c>
      <c r="J6" s="13">
        <f t="shared" si="1"/>
        <v>6</v>
      </c>
      <c r="K6" s="14" t="str">
        <f t="shared" si="2"/>
        <v>On Time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5.0</v>
      </c>
      <c r="G7" s="2">
        <v>36419.0</v>
      </c>
      <c r="H7" s="2" t="s">
        <v>14</v>
      </c>
      <c r="I7" s="2" t="s">
        <v>28</v>
      </c>
      <c r="J7" s="13">
        <f t="shared" si="1"/>
        <v>5</v>
      </c>
      <c r="K7" s="14" t="str">
        <f t="shared" si="2"/>
        <v>On Time</v>
      </c>
    </row>
    <row r="8" ht="14.25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3.0</v>
      </c>
      <c r="G8" s="2">
        <v>6681.0</v>
      </c>
      <c r="H8" s="2" t="s">
        <v>48</v>
      </c>
      <c r="I8" s="2" t="s">
        <v>22</v>
      </c>
      <c r="J8" s="13">
        <f t="shared" si="1"/>
        <v>13</v>
      </c>
      <c r="K8" s="14" t="str">
        <f t="shared" si="2"/>
        <v>Late Delivery</v>
      </c>
    </row>
    <row r="9" ht="14.25" customHeight="1">
      <c r="A9" s="2" t="s">
        <v>49</v>
      </c>
      <c r="B9" s="2" t="s">
        <v>50</v>
      </c>
      <c r="C9" s="2" t="s">
        <v>31</v>
      </c>
      <c r="D9" s="2" t="s">
        <v>51</v>
      </c>
      <c r="E9" s="2" t="s">
        <v>52</v>
      </c>
      <c r="F9" s="2">
        <v>5.0</v>
      </c>
      <c r="G9" s="2">
        <v>59258.0</v>
      </c>
      <c r="H9" s="2" t="s">
        <v>14</v>
      </c>
      <c r="I9" s="2" t="s">
        <v>15</v>
      </c>
      <c r="J9" s="13">
        <f t="shared" si="1"/>
        <v>14</v>
      </c>
      <c r="K9" s="14" t="str">
        <f t="shared" si="2"/>
        <v>Late Delivery</v>
      </c>
    </row>
    <row r="10" ht="14.25" customHeight="1">
      <c r="A10" s="2" t="s">
        <v>53</v>
      </c>
      <c r="B10" s="2" t="s">
        <v>54</v>
      </c>
      <c r="C10" s="2" t="s">
        <v>55</v>
      </c>
      <c r="D10" s="2" t="s">
        <v>33</v>
      </c>
      <c r="E10" s="2" t="s">
        <v>56</v>
      </c>
      <c r="F10" s="2">
        <v>5.0</v>
      </c>
      <c r="G10" s="2">
        <v>53392.0</v>
      </c>
      <c r="H10" s="2" t="s">
        <v>48</v>
      </c>
      <c r="I10" s="2" t="s">
        <v>22</v>
      </c>
      <c r="J10" s="13">
        <f t="shared" si="1"/>
        <v>12</v>
      </c>
      <c r="K10" s="14" t="str">
        <f t="shared" si="2"/>
        <v>Late Delivery</v>
      </c>
    </row>
    <row r="11" ht="14.2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5.0</v>
      </c>
      <c r="G11" s="2">
        <v>52334.0</v>
      </c>
      <c r="H11" s="2" t="s">
        <v>62</v>
      </c>
      <c r="I11" s="2" t="s">
        <v>22</v>
      </c>
      <c r="J11" s="13">
        <f t="shared" si="1"/>
        <v>14</v>
      </c>
      <c r="K11" s="14" t="str">
        <f t="shared" si="2"/>
        <v>Late Delivery</v>
      </c>
    </row>
    <row r="12" ht="14.25" customHeight="1">
      <c r="A12" s="2" t="s">
        <v>63</v>
      </c>
      <c r="B12" s="2" t="s">
        <v>64</v>
      </c>
      <c r="C12" s="2" t="s">
        <v>18</v>
      </c>
      <c r="D12" s="2" t="s">
        <v>46</v>
      </c>
      <c r="E12" s="2" t="s">
        <v>65</v>
      </c>
      <c r="F12" s="2">
        <v>2.0</v>
      </c>
      <c r="G12" s="2">
        <v>50550.0</v>
      </c>
      <c r="H12" s="2" t="s">
        <v>62</v>
      </c>
      <c r="I12" s="2" t="s">
        <v>28</v>
      </c>
      <c r="J12" s="13">
        <f t="shared" si="1"/>
        <v>7</v>
      </c>
      <c r="K12" s="14" t="str">
        <f t="shared" si="2"/>
        <v>On Time</v>
      </c>
    </row>
    <row r="13" ht="14.25" customHeight="1">
      <c r="A13" s="2" t="s">
        <v>66</v>
      </c>
      <c r="B13" s="2" t="s">
        <v>67</v>
      </c>
      <c r="C13" s="2" t="s">
        <v>45</v>
      </c>
      <c r="D13" s="2" t="s">
        <v>68</v>
      </c>
      <c r="E13" s="2" t="s">
        <v>69</v>
      </c>
      <c r="F13" s="2">
        <v>2.0</v>
      </c>
      <c r="G13" s="2">
        <v>69030.0</v>
      </c>
      <c r="H13" s="2" t="s">
        <v>48</v>
      </c>
      <c r="I13" s="2" t="s">
        <v>28</v>
      </c>
      <c r="J13" s="13">
        <f t="shared" si="1"/>
        <v>11</v>
      </c>
      <c r="K13" s="14" t="str">
        <f t="shared" si="2"/>
        <v>Late Delivery</v>
      </c>
    </row>
    <row r="14" ht="14.25" customHeight="1">
      <c r="A14" s="2" t="s">
        <v>70</v>
      </c>
      <c r="B14" s="2" t="s">
        <v>71</v>
      </c>
      <c r="C14" s="2" t="s">
        <v>40</v>
      </c>
      <c r="D14" s="2" t="s">
        <v>72</v>
      </c>
      <c r="E14" s="2" t="s">
        <v>73</v>
      </c>
      <c r="F14" s="2">
        <v>4.0</v>
      </c>
      <c r="G14" s="2">
        <v>50709.0</v>
      </c>
      <c r="H14" s="2" t="s">
        <v>21</v>
      </c>
      <c r="I14" s="2" t="s">
        <v>22</v>
      </c>
      <c r="J14" s="13">
        <f t="shared" si="1"/>
        <v>8</v>
      </c>
      <c r="K14" s="14" t="str">
        <f t="shared" si="2"/>
        <v>Late Delivery</v>
      </c>
    </row>
    <row r="15" ht="14.25" customHeight="1">
      <c r="A15" s="2" t="s">
        <v>74</v>
      </c>
      <c r="B15" s="2" t="s">
        <v>75</v>
      </c>
      <c r="C15" s="2" t="s">
        <v>11</v>
      </c>
      <c r="D15" s="2" t="s">
        <v>76</v>
      </c>
      <c r="E15" s="2" t="s">
        <v>77</v>
      </c>
      <c r="F15" s="2">
        <v>6.0</v>
      </c>
      <c r="G15" s="2">
        <v>48808.0</v>
      </c>
      <c r="H15" s="2" t="s">
        <v>62</v>
      </c>
      <c r="I15" s="2" t="s">
        <v>28</v>
      </c>
      <c r="J15" s="13">
        <f t="shared" si="1"/>
        <v>13</v>
      </c>
      <c r="K15" s="14" t="str">
        <f t="shared" si="2"/>
        <v>Late Delivery</v>
      </c>
    </row>
    <row r="16" ht="14.25" customHeight="1">
      <c r="A16" s="2" t="s">
        <v>78</v>
      </c>
      <c r="B16" s="2" t="s">
        <v>79</v>
      </c>
      <c r="C16" s="2" t="s">
        <v>18</v>
      </c>
      <c r="D16" s="2" t="s">
        <v>80</v>
      </c>
      <c r="E16" s="2" t="s">
        <v>81</v>
      </c>
      <c r="F16" s="2">
        <v>1.0</v>
      </c>
      <c r="G16" s="2">
        <v>65648.0</v>
      </c>
      <c r="H16" s="2" t="s">
        <v>14</v>
      </c>
      <c r="I16" s="2" t="s">
        <v>28</v>
      </c>
      <c r="J16" s="13">
        <f t="shared" si="1"/>
        <v>5</v>
      </c>
      <c r="K16" s="14" t="str">
        <f t="shared" si="2"/>
        <v>On Time</v>
      </c>
    </row>
    <row r="17" ht="14.25" customHeight="1">
      <c r="A17" s="2" t="s">
        <v>82</v>
      </c>
      <c r="B17" s="2" t="s">
        <v>83</v>
      </c>
      <c r="C17" s="2" t="s">
        <v>45</v>
      </c>
      <c r="D17" s="2" t="s">
        <v>32</v>
      </c>
      <c r="E17" s="2" t="s">
        <v>60</v>
      </c>
      <c r="F17" s="2">
        <v>4.0</v>
      </c>
      <c r="G17" s="2">
        <v>3975.0</v>
      </c>
      <c r="H17" s="2" t="s">
        <v>48</v>
      </c>
      <c r="I17" s="2" t="s">
        <v>22</v>
      </c>
      <c r="J17" s="13">
        <f t="shared" si="1"/>
        <v>14</v>
      </c>
      <c r="K17" s="14" t="str">
        <f t="shared" si="2"/>
        <v>Late Delivery</v>
      </c>
    </row>
    <row r="18" ht="14.25" customHeight="1">
      <c r="A18" s="2" t="s">
        <v>84</v>
      </c>
      <c r="B18" s="2" t="s">
        <v>85</v>
      </c>
      <c r="C18" s="2" t="s">
        <v>86</v>
      </c>
      <c r="D18" s="2" t="s">
        <v>19</v>
      </c>
      <c r="E18" s="2" t="s">
        <v>72</v>
      </c>
      <c r="F18" s="2">
        <v>4.0</v>
      </c>
      <c r="G18" s="2">
        <v>56724.0</v>
      </c>
      <c r="H18" s="2" t="s">
        <v>62</v>
      </c>
      <c r="I18" s="2" t="s">
        <v>28</v>
      </c>
      <c r="J18" s="13">
        <f t="shared" si="1"/>
        <v>5</v>
      </c>
      <c r="K18" s="14" t="str">
        <f t="shared" si="2"/>
        <v>On Time</v>
      </c>
    </row>
    <row r="19" ht="14.25" customHeight="1">
      <c r="A19" s="2" t="s">
        <v>87</v>
      </c>
      <c r="B19" s="2" t="s">
        <v>88</v>
      </c>
      <c r="C19" s="2" t="s">
        <v>86</v>
      </c>
      <c r="D19" s="2" t="s">
        <v>80</v>
      </c>
      <c r="E19" s="2" t="s">
        <v>89</v>
      </c>
      <c r="F19" s="2">
        <v>2.0</v>
      </c>
      <c r="G19" s="2">
        <v>42861.0</v>
      </c>
      <c r="H19" s="2" t="s">
        <v>14</v>
      </c>
      <c r="I19" s="2" t="s">
        <v>22</v>
      </c>
      <c r="J19" s="13">
        <f t="shared" si="1"/>
        <v>11</v>
      </c>
      <c r="K19" s="14" t="str">
        <f t="shared" si="2"/>
        <v>Late Delivery</v>
      </c>
    </row>
    <row r="20" ht="14.25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2.0</v>
      </c>
      <c r="G20" s="2">
        <v>47994.0</v>
      </c>
      <c r="H20" s="2" t="s">
        <v>48</v>
      </c>
      <c r="I20" s="2" t="s">
        <v>22</v>
      </c>
      <c r="J20" s="13">
        <f t="shared" si="1"/>
        <v>2</v>
      </c>
      <c r="K20" s="14" t="str">
        <f t="shared" si="2"/>
        <v>On Time</v>
      </c>
    </row>
    <row r="21" ht="14.25" customHeight="1">
      <c r="A21" s="2" t="s">
        <v>95</v>
      </c>
      <c r="B21" s="2" t="s">
        <v>96</v>
      </c>
      <c r="C21" s="2" t="s">
        <v>97</v>
      </c>
      <c r="D21" s="2" t="s">
        <v>41</v>
      </c>
      <c r="E21" s="2" t="s">
        <v>98</v>
      </c>
      <c r="F21" s="2">
        <v>4.0</v>
      </c>
      <c r="G21" s="2">
        <v>31475.0</v>
      </c>
      <c r="H21" s="2" t="s">
        <v>21</v>
      </c>
      <c r="I21" s="2" t="s">
        <v>22</v>
      </c>
      <c r="J21" s="13">
        <f t="shared" si="1"/>
        <v>15</v>
      </c>
      <c r="K21" s="14" t="str">
        <f t="shared" si="2"/>
        <v>Late Delivery</v>
      </c>
    </row>
    <row r="22" ht="14.25" customHeight="1">
      <c r="A22" s="2" t="s">
        <v>99</v>
      </c>
      <c r="B22" s="2" t="s">
        <v>100</v>
      </c>
      <c r="C22" s="2" t="s">
        <v>55</v>
      </c>
      <c r="D22" s="2" t="s">
        <v>101</v>
      </c>
      <c r="E22" s="2" t="s">
        <v>33</v>
      </c>
      <c r="F22" s="2">
        <v>3.0</v>
      </c>
      <c r="G22" s="2">
        <v>40383.0</v>
      </c>
      <c r="H22" s="2" t="s">
        <v>62</v>
      </c>
      <c r="I22" s="2" t="s">
        <v>28</v>
      </c>
      <c r="J22" s="13">
        <f t="shared" si="1"/>
        <v>9</v>
      </c>
      <c r="K22" s="14" t="str">
        <f t="shared" si="2"/>
        <v>Late Delivery</v>
      </c>
    </row>
    <row r="23" ht="14.25" customHeight="1">
      <c r="A23" s="2" t="s">
        <v>102</v>
      </c>
      <c r="B23" s="2" t="s">
        <v>103</v>
      </c>
      <c r="C23" s="2" t="s">
        <v>18</v>
      </c>
      <c r="D23" s="2" t="s">
        <v>104</v>
      </c>
      <c r="E23" s="2" t="s">
        <v>105</v>
      </c>
      <c r="F23" s="2">
        <v>1.0</v>
      </c>
      <c r="G23" s="2">
        <v>20536.0</v>
      </c>
      <c r="H23" s="2" t="s">
        <v>62</v>
      </c>
      <c r="I23" s="2" t="s">
        <v>28</v>
      </c>
      <c r="J23" s="13">
        <f t="shared" si="1"/>
        <v>11</v>
      </c>
      <c r="K23" s="14" t="str">
        <f t="shared" si="2"/>
        <v>Late Delivery</v>
      </c>
    </row>
    <row r="24" ht="14.25" customHeight="1">
      <c r="A24" s="2" t="s">
        <v>106</v>
      </c>
      <c r="B24" s="2" t="s">
        <v>107</v>
      </c>
      <c r="C24" s="2" t="s">
        <v>31</v>
      </c>
      <c r="D24" s="2" t="s">
        <v>108</v>
      </c>
      <c r="E24" s="2" t="s">
        <v>36</v>
      </c>
      <c r="F24" s="2">
        <v>1.0</v>
      </c>
      <c r="G24" s="2">
        <v>30227.0</v>
      </c>
      <c r="H24" s="2" t="s">
        <v>21</v>
      </c>
      <c r="I24" s="2" t="s">
        <v>22</v>
      </c>
      <c r="J24" s="13">
        <f t="shared" si="1"/>
        <v>6</v>
      </c>
      <c r="K24" s="14" t="str">
        <f t="shared" si="2"/>
        <v>On Time</v>
      </c>
    </row>
    <row r="25" ht="14.25" customHeight="1">
      <c r="A25" s="2" t="s">
        <v>109</v>
      </c>
      <c r="B25" s="2" t="s">
        <v>110</v>
      </c>
      <c r="C25" s="2" t="s">
        <v>40</v>
      </c>
      <c r="D25" s="2" t="s">
        <v>93</v>
      </c>
      <c r="E25" s="2" t="s">
        <v>111</v>
      </c>
      <c r="F25" s="2">
        <v>3.0</v>
      </c>
      <c r="G25" s="2">
        <v>27921.0</v>
      </c>
      <c r="H25" s="2" t="s">
        <v>21</v>
      </c>
      <c r="I25" s="2" t="s">
        <v>28</v>
      </c>
      <c r="J25" s="13">
        <f t="shared" si="1"/>
        <v>9</v>
      </c>
      <c r="K25" s="14" t="str">
        <f t="shared" si="2"/>
        <v>Late Delivery</v>
      </c>
    </row>
    <row r="26" ht="14.25" customHeight="1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20</v>
      </c>
      <c r="F26" s="2">
        <v>1.0</v>
      </c>
      <c r="G26" s="2">
        <v>61599.0</v>
      </c>
      <c r="H26" s="2" t="s">
        <v>48</v>
      </c>
      <c r="I26" s="2" t="s">
        <v>28</v>
      </c>
      <c r="J26" s="13">
        <f t="shared" si="1"/>
        <v>10</v>
      </c>
      <c r="K26" s="14" t="str">
        <f t="shared" si="2"/>
        <v>Late Delivery</v>
      </c>
    </row>
    <row r="27" ht="14.25" customHeight="1">
      <c r="A27" s="2" t="s">
        <v>116</v>
      </c>
      <c r="B27" s="2" t="s">
        <v>117</v>
      </c>
      <c r="C27" s="2" t="s">
        <v>55</v>
      </c>
      <c r="D27" s="2" t="s">
        <v>118</v>
      </c>
      <c r="E27" s="2" t="s">
        <v>93</v>
      </c>
      <c r="F27" s="2">
        <v>1.0</v>
      </c>
      <c r="G27" s="2">
        <v>37877.0</v>
      </c>
      <c r="H27" s="2" t="s">
        <v>21</v>
      </c>
      <c r="I27" s="2" t="s">
        <v>28</v>
      </c>
      <c r="J27" s="13">
        <f t="shared" si="1"/>
        <v>6</v>
      </c>
      <c r="K27" s="14" t="str">
        <f t="shared" si="2"/>
        <v>On Time</v>
      </c>
    </row>
    <row r="28" ht="14.25" customHeight="1">
      <c r="A28" s="2" t="s">
        <v>119</v>
      </c>
      <c r="B28" s="2" t="s">
        <v>120</v>
      </c>
      <c r="C28" s="2" t="s">
        <v>86</v>
      </c>
      <c r="D28" s="2" t="s">
        <v>32</v>
      </c>
      <c r="E28" s="2" t="s">
        <v>20</v>
      </c>
      <c r="F28" s="2">
        <v>1.0</v>
      </c>
      <c r="G28" s="2">
        <v>4350.0</v>
      </c>
      <c r="H28" s="2" t="s">
        <v>62</v>
      </c>
      <c r="I28" s="2" t="s">
        <v>28</v>
      </c>
      <c r="J28" s="13">
        <f t="shared" si="1"/>
        <v>4</v>
      </c>
      <c r="K28" s="14" t="str">
        <f t="shared" si="2"/>
        <v>On Time</v>
      </c>
    </row>
    <row r="29" ht="14.25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56</v>
      </c>
      <c r="F29" s="2">
        <v>5.0</v>
      </c>
      <c r="G29" s="2">
        <v>11087.0</v>
      </c>
      <c r="H29" s="2" t="s">
        <v>48</v>
      </c>
      <c r="I29" s="2" t="s">
        <v>22</v>
      </c>
      <c r="J29" s="13">
        <f t="shared" si="1"/>
        <v>5</v>
      </c>
      <c r="K29" s="14" t="str">
        <f t="shared" si="2"/>
        <v>On Time</v>
      </c>
    </row>
    <row r="30" ht="14.25" customHeight="1">
      <c r="A30" s="2" t="s">
        <v>125</v>
      </c>
      <c r="B30" s="2" t="s">
        <v>126</v>
      </c>
      <c r="C30" s="2" t="s">
        <v>11</v>
      </c>
      <c r="D30" s="2" t="s">
        <v>127</v>
      </c>
      <c r="E30" s="2" t="s">
        <v>37</v>
      </c>
      <c r="F30" s="2">
        <v>2.0</v>
      </c>
      <c r="G30" s="2">
        <v>64892.0</v>
      </c>
      <c r="H30" s="2" t="s">
        <v>21</v>
      </c>
      <c r="I30" s="2" t="s">
        <v>28</v>
      </c>
      <c r="J30" s="13">
        <f t="shared" si="1"/>
        <v>9</v>
      </c>
      <c r="K30" s="14" t="str">
        <f t="shared" si="2"/>
        <v>Late Delivery</v>
      </c>
    </row>
    <row r="31" ht="14.25" customHeight="1">
      <c r="A31" s="2" t="s">
        <v>128</v>
      </c>
      <c r="B31" s="2" t="s">
        <v>129</v>
      </c>
      <c r="C31" s="2" t="s">
        <v>123</v>
      </c>
      <c r="D31" s="2" t="s">
        <v>130</v>
      </c>
      <c r="E31" s="2" t="s">
        <v>20</v>
      </c>
      <c r="F31" s="2">
        <v>5.0</v>
      </c>
      <c r="G31" s="2">
        <v>65773.0</v>
      </c>
      <c r="H31" s="2" t="s">
        <v>21</v>
      </c>
      <c r="I31" s="2" t="s">
        <v>28</v>
      </c>
      <c r="J31" s="13">
        <f t="shared" si="1"/>
        <v>12</v>
      </c>
      <c r="K31" s="14" t="str">
        <f t="shared" si="2"/>
        <v>Late Delivery</v>
      </c>
    </row>
    <row r="32" ht="14.25" customHeight="1">
      <c r="A32" s="2" t="s">
        <v>131</v>
      </c>
      <c r="B32" s="2" t="s">
        <v>132</v>
      </c>
      <c r="C32" s="2" t="s">
        <v>97</v>
      </c>
      <c r="D32" s="2" t="s">
        <v>133</v>
      </c>
      <c r="E32" s="2" t="s">
        <v>134</v>
      </c>
      <c r="F32" s="2">
        <v>5.0</v>
      </c>
      <c r="G32" s="2">
        <v>67693.0</v>
      </c>
      <c r="H32" s="2" t="s">
        <v>21</v>
      </c>
      <c r="I32" s="2" t="s">
        <v>15</v>
      </c>
      <c r="J32" s="13">
        <f t="shared" si="1"/>
        <v>2</v>
      </c>
      <c r="K32" s="14" t="str">
        <f t="shared" si="2"/>
        <v>On Time</v>
      </c>
    </row>
    <row r="33" ht="14.25" customHeight="1">
      <c r="A33" s="2" t="s">
        <v>135</v>
      </c>
      <c r="B33" s="2" t="s">
        <v>136</v>
      </c>
      <c r="C33" s="2" t="s">
        <v>86</v>
      </c>
      <c r="D33" s="2" t="s">
        <v>137</v>
      </c>
      <c r="E33" s="2" t="s">
        <v>138</v>
      </c>
      <c r="F33" s="2">
        <v>4.0</v>
      </c>
      <c r="G33" s="2">
        <v>26320.0</v>
      </c>
      <c r="H33" s="2" t="s">
        <v>14</v>
      </c>
      <c r="I33" s="2" t="s">
        <v>28</v>
      </c>
      <c r="J33" s="13">
        <f t="shared" si="1"/>
        <v>5</v>
      </c>
      <c r="K33" s="14" t="str">
        <f t="shared" si="2"/>
        <v>On Time</v>
      </c>
    </row>
    <row r="34" ht="14.25" customHeight="1">
      <c r="A34" s="2" t="s">
        <v>139</v>
      </c>
      <c r="B34" s="2" t="s">
        <v>140</v>
      </c>
      <c r="C34" s="2" t="s">
        <v>86</v>
      </c>
      <c r="D34" s="2" t="s">
        <v>36</v>
      </c>
      <c r="E34" s="2" t="s">
        <v>111</v>
      </c>
      <c r="F34" s="2">
        <v>1.0</v>
      </c>
      <c r="G34" s="2">
        <v>42926.0</v>
      </c>
      <c r="H34" s="2" t="s">
        <v>14</v>
      </c>
      <c r="I34" s="2" t="s">
        <v>22</v>
      </c>
      <c r="J34" s="13">
        <f t="shared" si="1"/>
        <v>10</v>
      </c>
      <c r="K34" s="14" t="str">
        <f t="shared" si="2"/>
        <v>Late Delivery</v>
      </c>
    </row>
    <row r="35" ht="14.25" customHeight="1">
      <c r="A35" s="2" t="s">
        <v>141</v>
      </c>
      <c r="B35" s="2" t="s">
        <v>142</v>
      </c>
      <c r="C35" s="2" t="s">
        <v>92</v>
      </c>
      <c r="D35" s="2" t="s">
        <v>93</v>
      </c>
      <c r="E35" s="2" t="s">
        <v>143</v>
      </c>
      <c r="F35" s="2">
        <v>1.0</v>
      </c>
      <c r="G35" s="2">
        <v>22275.0</v>
      </c>
      <c r="H35" s="2" t="s">
        <v>62</v>
      </c>
      <c r="I35" s="2" t="s">
        <v>15</v>
      </c>
      <c r="J35" s="13">
        <f t="shared" si="1"/>
        <v>12</v>
      </c>
      <c r="K35" s="14" t="str">
        <f t="shared" si="2"/>
        <v>Late Delivery</v>
      </c>
    </row>
    <row r="36" ht="14.25" customHeight="1">
      <c r="A36" s="2" t="s">
        <v>144</v>
      </c>
      <c r="B36" s="2" t="s">
        <v>145</v>
      </c>
      <c r="C36" s="2" t="s">
        <v>25</v>
      </c>
      <c r="D36" s="2" t="s">
        <v>12</v>
      </c>
      <c r="E36" s="2" t="s">
        <v>101</v>
      </c>
      <c r="F36" s="2">
        <v>2.0</v>
      </c>
      <c r="G36" s="2">
        <v>60279.0</v>
      </c>
      <c r="H36" s="2" t="s">
        <v>62</v>
      </c>
      <c r="I36" s="2" t="s">
        <v>22</v>
      </c>
      <c r="J36" s="13">
        <f t="shared" si="1"/>
        <v>6</v>
      </c>
      <c r="K36" s="14" t="str">
        <f t="shared" si="2"/>
        <v>On Time</v>
      </c>
    </row>
    <row r="37" ht="14.25" customHeight="1">
      <c r="A37" s="2" t="s">
        <v>146</v>
      </c>
      <c r="B37" s="2" t="s">
        <v>147</v>
      </c>
      <c r="C37" s="2" t="s">
        <v>11</v>
      </c>
      <c r="D37" s="2" t="s">
        <v>37</v>
      </c>
      <c r="E37" s="2" t="s">
        <v>148</v>
      </c>
      <c r="F37" s="2">
        <v>2.0</v>
      </c>
      <c r="G37" s="2">
        <v>28865.0</v>
      </c>
      <c r="H37" s="2" t="s">
        <v>62</v>
      </c>
      <c r="I37" s="2" t="s">
        <v>28</v>
      </c>
      <c r="J37" s="13">
        <f t="shared" si="1"/>
        <v>12</v>
      </c>
      <c r="K37" s="14" t="str">
        <f t="shared" si="2"/>
        <v>Late Delivery</v>
      </c>
    </row>
    <row r="38" ht="14.25" customHeight="1">
      <c r="A38" s="2" t="s">
        <v>149</v>
      </c>
      <c r="B38" s="2" t="s">
        <v>150</v>
      </c>
      <c r="C38" s="2" t="s">
        <v>31</v>
      </c>
      <c r="D38" s="2" t="s">
        <v>56</v>
      </c>
      <c r="E38" s="2" t="s">
        <v>151</v>
      </c>
      <c r="F38" s="2">
        <v>1.0</v>
      </c>
      <c r="G38" s="2">
        <v>21221.0</v>
      </c>
      <c r="H38" s="2" t="s">
        <v>21</v>
      </c>
      <c r="I38" s="2" t="s">
        <v>28</v>
      </c>
      <c r="J38" s="13">
        <f t="shared" si="1"/>
        <v>11</v>
      </c>
      <c r="K38" s="14" t="str">
        <f t="shared" si="2"/>
        <v>Late Delivery</v>
      </c>
    </row>
    <row r="39" ht="14.25" customHeight="1">
      <c r="A39" s="2" t="s">
        <v>152</v>
      </c>
      <c r="B39" s="2" t="s">
        <v>153</v>
      </c>
      <c r="C39" s="2" t="s">
        <v>123</v>
      </c>
      <c r="D39" s="2" t="s">
        <v>61</v>
      </c>
      <c r="E39" s="2" t="s">
        <v>118</v>
      </c>
      <c r="F39" s="2">
        <v>5.0</v>
      </c>
      <c r="G39" s="2">
        <v>55559.0</v>
      </c>
      <c r="H39" s="2" t="s">
        <v>14</v>
      </c>
      <c r="I39" s="2" t="s">
        <v>28</v>
      </c>
      <c r="J39" s="13">
        <f t="shared" si="1"/>
        <v>13</v>
      </c>
      <c r="K39" s="14" t="str">
        <f t="shared" si="2"/>
        <v>Late Delivery</v>
      </c>
    </row>
    <row r="40" ht="14.25" customHeight="1">
      <c r="A40" s="2" t="s">
        <v>154</v>
      </c>
      <c r="B40" s="2" t="s">
        <v>155</v>
      </c>
      <c r="C40" s="2" t="s">
        <v>97</v>
      </c>
      <c r="D40" s="2" t="s">
        <v>156</v>
      </c>
      <c r="E40" s="2" t="s">
        <v>89</v>
      </c>
      <c r="F40" s="2">
        <v>3.0</v>
      </c>
      <c r="G40" s="2">
        <v>2641.0</v>
      </c>
      <c r="H40" s="2" t="s">
        <v>48</v>
      </c>
      <c r="I40" s="2" t="s">
        <v>22</v>
      </c>
      <c r="J40" s="13">
        <f t="shared" si="1"/>
        <v>14</v>
      </c>
      <c r="K40" s="14" t="str">
        <f t="shared" si="2"/>
        <v>Late Delivery</v>
      </c>
    </row>
    <row r="41" ht="14.25" customHeight="1">
      <c r="A41" s="2" t="s">
        <v>157</v>
      </c>
      <c r="B41" s="2" t="s">
        <v>158</v>
      </c>
      <c r="C41" s="2" t="s">
        <v>86</v>
      </c>
      <c r="D41" s="2" t="s">
        <v>159</v>
      </c>
      <c r="E41" s="2" t="s">
        <v>19</v>
      </c>
      <c r="F41" s="2">
        <v>2.0</v>
      </c>
      <c r="G41" s="2">
        <v>59131.0</v>
      </c>
      <c r="H41" s="2" t="s">
        <v>14</v>
      </c>
      <c r="I41" s="2" t="s">
        <v>22</v>
      </c>
      <c r="J41" s="13">
        <f t="shared" si="1"/>
        <v>8</v>
      </c>
      <c r="K41" s="14" t="str">
        <f t="shared" si="2"/>
        <v>Late Delivery</v>
      </c>
    </row>
    <row r="42" ht="14.25" customHeight="1">
      <c r="A42" s="2" t="s">
        <v>160</v>
      </c>
      <c r="B42" s="2" t="s">
        <v>161</v>
      </c>
      <c r="C42" s="2" t="s">
        <v>114</v>
      </c>
      <c r="D42" s="2" t="s">
        <v>162</v>
      </c>
      <c r="E42" s="2" t="s">
        <v>127</v>
      </c>
      <c r="F42" s="2">
        <v>5.0</v>
      </c>
      <c r="G42" s="2">
        <v>63752.0</v>
      </c>
      <c r="H42" s="2" t="s">
        <v>48</v>
      </c>
      <c r="I42" s="2" t="s">
        <v>28</v>
      </c>
      <c r="J42" s="13">
        <f t="shared" si="1"/>
        <v>4</v>
      </c>
      <c r="K42" s="14" t="str">
        <f t="shared" si="2"/>
        <v>On Time</v>
      </c>
    </row>
    <row r="43" ht="14.25" customHeight="1">
      <c r="A43" s="2" t="s">
        <v>163</v>
      </c>
      <c r="B43" s="2" t="s">
        <v>164</v>
      </c>
      <c r="C43" s="2" t="s">
        <v>55</v>
      </c>
      <c r="D43" s="2" t="s">
        <v>134</v>
      </c>
      <c r="E43" s="2" t="s">
        <v>165</v>
      </c>
      <c r="F43" s="2">
        <v>4.0</v>
      </c>
      <c r="G43" s="2">
        <v>42104.0</v>
      </c>
      <c r="H43" s="2" t="s">
        <v>21</v>
      </c>
      <c r="I43" s="2" t="s">
        <v>22</v>
      </c>
      <c r="J43" s="13">
        <f t="shared" si="1"/>
        <v>6</v>
      </c>
      <c r="K43" s="14" t="str">
        <f t="shared" si="2"/>
        <v>On Time</v>
      </c>
    </row>
    <row r="44" ht="14.25" customHeight="1">
      <c r="A44" s="2" t="s">
        <v>166</v>
      </c>
      <c r="B44" s="2" t="s">
        <v>167</v>
      </c>
      <c r="C44" s="2" t="s">
        <v>31</v>
      </c>
      <c r="D44" s="2" t="s">
        <v>138</v>
      </c>
      <c r="E44" s="2" t="s">
        <v>168</v>
      </c>
      <c r="F44" s="2">
        <v>2.0</v>
      </c>
      <c r="G44" s="2">
        <v>26803.0</v>
      </c>
      <c r="H44" s="2" t="s">
        <v>48</v>
      </c>
      <c r="I44" s="2" t="s">
        <v>15</v>
      </c>
      <c r="J44" s="13">
        <f t="shared" si="1"/>
        <v>5</v>
      </c>
      <c r="K44" s="14" t="str">
        <f t="shared" si="2"/>
        <v>On Time</v>
      </c>
    </row>
    <row r="45" ht="14.25" customHeight="1">
      <c r="A45" s="2" t="s">
        <v>169</v>
      </c>
      <c r="B45" s="2" t="s">
        <v>170</v>
      </c>
      <c r="C45" s="2" t="s">
        <v>11</v>
      </c>
      <c r="D45" s="2" t="s">
        <v>171</v>
      </c>
      <c r="E45" s="2" t="s">
        <v>81</v>
      </c>
      <c r="F45" s="2">
        <v>5.0</v>
      </c>
      <c r="G45" s="2">
        <v>64309.0</v>
      </c>
      <c r="H45" s="2" t="s">
        <v>14</v>
      </c>
      <c r="I45" s="2" t="s">
        <v>28</v>
      </c>
      <c r="J45" s="13">
        <f t="shared" si="1"/>
        <v>4</v>
      </c>
      <c r="K45" s="14" t="str">
        <f t="shared" si="2"/>
        <v>On Time</v>
      </c>
    </row>
    <row r="46" ht="14.25" customHeight="1">
      <c r="A46" s="2" t="s">
        <v>172</v>
      </c>
      <c r="B46" s="2" t="s">
        <v>173</v>
      </c>
      <c r="C46" s="2" t="s">
        <v>92</v>
      </c>
      <c r="D46" s="2" t="s">
        <v>127</v>
      </c>
      <c r="E46" s="2" t="s">
        <v>111</v>
      </c>
      <c r="F46" s="2">
        <v>5.0</v>
      </c>
      <c r="G46" s="2">
        <v>60923.0</v>
      </c>
      <c r="H46" s="2" t="s">
        <v>14</v>
      </c>
      <c r="I46" s="2" t="s">
        <v>28</v>
      </c>
      <c r="J46" s="13">
        <f t="shared" si="1"/>
        <v>13</v>
      </c>
      <c r="K46" s="14" t="str">
        <f t="shared" si="2"/>
        <v>Late Delivery</v>
      </c>
    </row>
    <row r="47" ht="14.25" customHeight="1">
      <c r="A47" s="2" t="s">
        <v>174</v>
      </c>
      <c r="B47" s="2" t="s">
        <v>175</v>
      </c>
      <c r="C47" s="2" t="s">
        <v>97</v>
      </c>
      <c r="D47" s="2" t="s">
        <v>56</v>
      </c>
      <c r="E47" s="2" t="s">
        <v>151</v>
      </c>
      <c r="F47" s="2">
        <v>1.0</v>
      </c>
      <c r="G47" s="2">
        <v>6488.0</v>
      </c>
      <c r="H47" s="2" t="s">
        <v>14</v>
      </c>
      <c r="I47" s="2" t="s">
        <v>28</v>
      </c>
      <c r="J47" s="13">
        <f t="shared" si="1"/>
        <v>11</v>
      </c>
      <c r="K47" s="14" t="str">
        <f t="shared" si="2"/>
        <v>Late Delivery</v>
      </c>
    </row>
    <row r="48" ht="14.25" customHeight="1">
      <c r="A48" s="2" t="s">
        <v>176</v>
      </c>
      <c r="B48" s="2" t="s">
        <v>177</v>
      </c>
      <c r="C48" s="2" t="s">
        <v>25</v>
      </c>
      <c r="D48" s="2" t="s">
        <v>12</v>
      </c>
      <c r="E48" s="2" t="s">
        <v>101</v>
      </c>
      <c r="F48" s="2">
        <v>6.0</v>
      </c>
      <c r="G48" s="2">
        <v>45482.0</v>
      </c>
      <c r="H48" s="2" t="s">
        <v>14</v>
      </c>
      <c r="I48" s="2" t="s">
        <v>28</v>
      </c>
      <c r="J48" s="13">
        <f t="shared" si="1"/>
        <v>6</v>
      </c>
      <c r="K48" s="14" t="str">
        <f t="shared" si="2"/>
        <v>On Time</v>
      </c>
    </row>
    <row r="49" ht="14.25" customHeight="1">
      <c r="A49" s="2" t="s">
        <v>178</v>
      </c>
      <c r="B49" s="2" t="s">
        <v>179</v>
      </c>
      <c r="C49" s="2" t="s">
        <v>11</v>
      </c>
      <c r="D49" s="2" t="s">
        <v>180</v>
      </c>
      <c r="E49" s="2" t="s">
        <v>181</v>
      </c>
      <c r="F49" s="2">
        <v>1.0</v>
      </c>
      <c r="G49" s="2">
        <v>47310.0</v>
      </c>
      <c r="H49" s="2" t="s">
        <v>21</v>
      </c>
      <c r="I49" s="2" t="s">
        <v>28</v>
      </c>
      <c r="J49" s="13">
        <f t="shared" si="1"/>
        <v>12</v>
      </c>
      <c r="K49" s="14" t="str">
        <f t="shared" si="2"/>
        <v>Late Delivery</v>
      </c>
    </row>
    <row r="50" ht="14.25" customHeight="1">
      <c r="A50" s="2" t="s">
        <v>182</v>
      </c>
      <c r="B50" s="2" t="s">
        <v>83</v>
      </c>
      <c r="C50" s="2" t="s">
        <v>123</v>
      </c>
      <c r="D50" s="2" t="s">
        <v>20</v>
      </c>
      <c r="E50" s="2" t="s">
        <v>68</v>
      </c>
      <c r="F50" s="2">
        <v>1.0</v>
      </c>
      <c r="G50" s="2">
        <v>16901.0</v>
      </c>
      <c r="H50" s="2" t="s">
        <v>48</v>
      </c>
      <c r="I50" s="2" t="s">
        <v>28</v>
      </c>
      <c r="J50" s="13">
        <f t="shared" si="1"/>
        <v>14</v>
      </c>
      <c r="K50" s="14" t="str">
        <f t="shared" si="2"/>
        <v>Late Delivery</v>
      </c>
    </row>
    <row r="51" ht="14.25" customHeight="1">
      <c r="A51" s="2" t="s">
        <v>183</v>
      </c>
      <c r="B51" s="2" t="s">
        <v>184</v>
      </c>
      <c r="C51" s="2" t="s">
        <v>185</v>
      </c>
      <c r="D51" s="2" t="s">
        <v>101</v>
      </c>
      <c r="E51" s="2" t="s">
        <v>13</v>
      </c>
      <c r="F51" s="2">
        <v>4.0</v>
      </c>
      <c r="G51" s="2">
        <v>36642.0</v>
      </c>
      <c r="H51" s="2" t="s">
        <v>48</v>
      </c>
      <c r="I51" s="2" t="s">
        <v>28</v>
      </c>
      <c r="J51" s="13">
        <f t="shared" si="1"/>
        <v>5</v>
      </c>
      <c r="K51" s="14" t="str">
        <f t="shared" si="2"/>
        <v>On Time</v>
      </c>
    </row>
    <row r="52" ht="14.25" customHeight="1">
      <c r="A52" s="2" t="s">
        <v>186</v>
      </c>
      <c r="B52" s="2" t="s">
        <v>187</v>
      </c>
      <c r="C52" s="2" t="s">
        <v>18</v>
      </c>
      <c r="D52" s="2" t="s">
        <v>188</v>
      </c>
      <c r="E52" s="2" t="s">
        <v>46</v>
      </c>
      <c r="F52" s="2">
        <v>3.0</v>
      </c>
      <c r="G52" s="2">
        <v>45563.0</v>
      </c>
      <c r="H52" s="2" t="s">
        <v>62</v>
      </c>
      <c r="I52" s="2" t="s">
        <v>22</v>
      </c>
      <c r="J52" s="13">
        <f t="shared" si="1"/>
        <v>3</v>
      </c>
      <c r="K52" s="14" t="str">
        <f t="shared" si="2"/>
        <v>On Time</v>
      </c>
    </row>
    <row r="53" ht="14.25" customHeight="1">
      <c r="A53" s="2" t="s">
        <v>189</v>
      </c>
      <c r="B53" s="2" t="s">
        <v>190</v>
      </c>
      <c r="C53" s="2" t="s">
        <v>86</v>
      </c>
      <c r="D53" s="2" t="s">
        <v>138</v>
      </c>
      <c r="E53" s="2" t="s">
        <v>191</v>
      </c>
      <c r="F53" s="2">
        <v>4.0</v>
      </c>
      <c r="G53" s="2">
        <v>22996.0</v>
      </c>
      <c r="H53" s="2" t="s">
        <v>62</v>
      </c>
      <c r="I53" s="2" t="s">
        <v>15</v>
      </c>
      <c r="J53" s="13">
        <f t="shared" si="1"/>
        <v>3</v>
      </c>
      <c r="K53" s="14" t="str">
        <f t="shared" si="2"/>
        <v>On Time</v>
      </c>
    </row>
    <row r="54" ht="14.25" customHeight="1">
      <c r="A54" s="2" t="s">
        <v>192</v>
      </c>
      <c r="B54" s="2" t="s">
        <v>193</v>
      </c>
      <c r="C54" s="2" t="s">
        <v>55</v>
      </c>
      <c r="D54" s="2" t="s">
        <v>68</v>
      </c>
      <c r="E54" s="2" t="s">
        <v>56</v>
      </c>
      <c r="F54" s="2">
        <v>3.0</v>
      </c>
      <c r="G54" s="2">
        <v>44183.0</v>
      </c>
      <c r="H54" s="2" t="s">
        <v>48</v>
      </c>
      <c r="I54" s="2" t="s">
        <v>28</v>
      </c>
      <c r="J54" s="13">
        <f t="shared" si="1"/>
        <v>6</v>
      </c>
      <c r="K54" s="14" t="str">
        <f t="shared" si="2"/>
        <v>On Time</v>
      </c>
    </row>
    <row r="55" ht="14.25" customHeight="1">
      <c r="A55" s="2" t="s">
        <v>194</v>
      </c>
      <c r="B55" s="2" t="s">
        <v>195</v>
      </c>
      <c r="C55" s="2" t="s">
        <v>185</v>
      </c>
      <c r="D55" s="2" t="s">
        <v>36</v>
      </c>
      <c r="E55" s="2" t="s">
        <v>196</v>
      </c>
      <c r="F55" s="2">
        <v>5.0</v>
      </c>
      <c r="G55" s="2">
        <v>23977.0</v>
      </c>
      <c r="H55" s="2" t="s">
        <v>48</v>
      </c>
      <c r="I55" s="2" t="s">
        <v>22</v>
      </c>
      <c r="J55" s="13">
        <f t="shared" si="1"/>
        <v>12</v>
      </c>
      <c r="K55" s="14" t="str">
        <f t="shared" si="2"/>
        <v>Late Delivery</v>
      </c>
    </row>
    <row r="56" ht="14.25" customHeight="1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76</v>
      </c>
      <c r="F56" s="2">
        <v>4.0</v>
      </c>
      <c r="G56" s="2">
        <v>61336.0</v>
      </c>
      <c r="H56" s="2" t="s">
        <v>21</v>
      </c>
      <c r="I56" s="2" t="s">
        <v>28</v>
      </c>
      <c r="J56" s="13">
        <f t="shared" si="1"/>
        <v>9</v>
      </c>
      <c r="K56" s="14" t="str">
        <f t="shared" si="2"/>
        <v>Late Delivery</v>
      </c>
    </row>
    <row r="57" ht="14.25" customHeight="1">
      <c r="A57" s="2" t="s">
        <v>201</v>
      </c>
      <c r="B57" s="2" t="s">
        <v>202</v>
      </c>
      <c r="C57" s="2" t="s">
        <v>114</v>
      </c>
      <c r="D57" s="2" t="s">
        <v>203</v>
      </c>
      <c r="E57" s="2" t="s">
        <v>171</v>
      </c>
      <c r="F57" s="2">
        <v>3.0</v>
      </c>
      <c r="G57" s="2">
        <v>28560.0</v>
      </c>
      <c r="H57" s="2" t="s">
        <v>14</v>
      </c>
      <c r="I57" s="2" t="s">
        <v>22</v>
      </c>
      <c r="J57" s="13">
        <f t="shared" si="1"/>
        <v>7</v>
      </c>
      <c r="K57" s="14" t="str">
        <f t="shared" si="2"/>
        <v>On Time</v>
      </c>
    </row>
    <row r="58" ht="14.25" customHeight="1">
      <c r="A58" s="2" t="s">
        <v>204</v>
      </c>
      <c r="B58" s="2" t="s">
        <v>205</v>
      </c>
      <c r="C58" s="2" t="s">
        <v>25</v>
      </c>
      <c r="D58" s="2" t="s">
        <v>206</v>
      </c>
      <c r="E58" s="2" t="s">
        <v>207</v>
      </c>
      <c r="F58" s="2">
        <v>6.0</v>
      </c>
      <c r="G58" s="2">
        <v>17033.0</v>
      </c>
      <c r="H58" s="2" t="s">
        <v>48</v>
      </c>
      <c r="I58" s="2" t="s">
        <v>28</v>
      </c>
      <c r="J58" s="13">
        <f t="shared" si="1"/>
        <v>9</v>
      </c>
      <c r="K58" s="14" t="str">
        <f t="shared" si="2"/>
        <v>Late Delivery</v>
      </c>
    </row>
    <row r="59" ht="14.25" customHeight="1">
      <c r="A59" s="2" t="s">
        <v>208</v>
      </c>
      <c r="B59" s="2" t="s">
        <v>209</v>
      </c>
      <c r="C59" s="2" t="s">
        <v>97</v>
      </c>
      <c r="D59" s="2" t="s">
        <v>118</v>
      </c>
      <c r="E59" s="2" t="s">
        <v>180</v>
      </c>
      <c r="F59" s="2">
        <v>4.0</v>
      </c>
      <c r="G59" s="2">
        <v>8225.0</v>
      </c>
      <c r="H59" s="2" t="s">
        <v>62</v>
      </c>
      <c r="I59" s="2" t="s">
        <v>28</v>
      </c>
      <c r="J59" s="13">
        <f t="shared" si="1"/>
        <v>9</v>
      </c>
      <c r="K59" s="14" t="str">
        <f t="shared" si="2"/>
        <v>Late Delivery</v>
      </c>
    </row>
    <row r="60" ht="14.25" customHeight="1">
      <c r="A60" s="2" t="s">
        <v>210</v>
      </c>
      <c r="B60" s="2" t="s">
        <v>211</v>
      </c>
      <c r="C60" s="2" t="s">
        <v>185</v>
      </c>
      <c r="D60" s="2" t="s">
        <v>76</v>
      </c>
      <c r="E60" s="2" t="s">
        <v>65</v>
      </c>
      <c r="F60" s="2">
        <v>5.0</v>
      </c>
      <c r="G60" s="2">
        <v>32053.0</v>
      </c>
      <c r="H60" s="2" t="s">
        <v>21</v>
      </c>
      <c r="I60" s="2" t="s">
        <v>28</v>
      </c>
      <c r="J60" s="13">
        <f t="shared" si="1"/>
        <v>2</v>
      </c>
      <c r="K60" s="14" t="str">
        <f t="shared" si="2"/>
        <v>On Time</v>
      </c>
    </row>
    <row r="61" ht="14.25" customHeight="1">
      <c r="A61" s="2" t="s">
        <v>212</v>
      </c>
      <c r="B61" s="2" t="s">
        <v>213</v>
      </c>
      <c r="C61" s="2" t="s">
        <v>11</v>
      </c>
      <c r="D61" s="2" t="s">
        <v>73</v>
      </c>
      <c r="E61" s="2" t="s">
        <v>124</v>
      </c>
      <c r="F61" s="2">
        <v>1.0</v>
      </c>
      <c r="G61" s="2">
        <v>23765.0</v>
      </c>
      <c r="H61" s="2" t="s">
        <v>14</v>
      </c>
      <c r="I61" s="2" t="s">
        <v>28</v>
      </c>
      <c r="J61" s="13">
        <f t="shared" si="1"/>
        <v>13</v>
      </c>
      <c r="K61" s="14" t="str">
        <f t="shared" si="2"/>
        <v>Late Delivery</v>
      </c>
    </row>
    <row r="62" ht="14.25" customHeight="1">
      <c r="A62" s="2" t="s">
        <v>214</v>
      </c>
      <c r="B62" s="2" t="s">
        <v>215</v>
      </c>
      <c r="C62" s="2" t="s">
        <v>45</v>
      </c>
      <c r="D62" s="2" t="s">
        <v>191</v>
      </c>
      <c r="E62" s="2" t="s">
        <v>27</v>
      </c>
      <c r="F62" s="2">
        <v>4.0</v>
      </c>
      <c r="G62" s="2">
        <v>63627.0</v>
      </c>
      <c r="H62" s="2" t="s">
        <v>62</v>
      </c>
      <c r="I62" s="2" t="s">
        <v>22</v>
      </c>
      <c r="J62" s="13">
        <f t="shared" si="1"/>
        <v>8</v>
      </c>
      <c r="K62" s="14" t="str">
        <f t="shared" si="2"/>
        <v>Late Delivery</v>
      </c>
    </row>
    <row r="63" ht="14.25" customHeight="1">
      <c r="A63" s="2" t="s">
        <v>216</v>
      </c>
      <c r="B63" s="2" t="s">
        <v>217</v>
      </c>
      <c r="C63" s="2" t="s">
        <v>199</v>
      </c>
      <c r="D63" s="2" t="s">
        <v>162</v>
      </c>
      <c r="E63" s="2" t="s">
        <v>36</v>
      </c>
      <c r="F63" s="2">
        <v>6.0</v>
      </c>
      <c r="G63" s="2">
        <v>44304.0</v>
      </c>
      <c r="H63" s="2" t="s">
        <v>48</v>
      </c>
      <c r="I63" s="2" t="s">
        <v>28</v>
      </c>
      <c r="J63" s="13">
        <f t="shared" si="1"/>
        <v>7</v>
      </c>
      <c r="K63" s="14" t="str">
        <f t="shared" si="2"/>
        <v>On Time</v>
      </c>
    </row>
    <row r="64" ht="14.25" customHeight="1">
      <c r="A64" s="2" t="s">
        <v>218</v>
      </c>
      <c r="B64" s="2" t="s">
        <v>219</v>
      </c>
      <c r="C64" s="2" t="s">
        <v>11</v>
      </c>
      <c r="D64" s="2" t="s">
        <v>60</v>
      </c>
      <c r="E64" s="2" t="s">
        <v>42</v>
      </c>
      <c r="F64" s="2">
        <v>5.0</v>
      </c>
      <c r="G64" s="2">
        <v>27814.0</v>
      </c>
      <c r="H64" s="2" t="s">
        <v>21</v>
      </c>
      <c r="I64" s="2" t="s">
        <v>28</v>
      </c>
      <c r="J64" s="13">
        <f t="shared" si="1"/>
        <v>13</v>
      </c>
      <c r="K64" s="14" t="str">
        <f t="shared" si="2"/>
        <v>Late Delivery</v>
      </c>
    </row>
    <row r="65" ht="14.25" customHeight="1">
      <c r="A65" s="2" t="s">
        <v>220</v>
      </c>
      <c r="B65" s="2" t="s">
        <v>221</v>
      </c>
      <c r="C65" s="2" t="s">
        <v>45</v>
      </c>
      <c r="D65" s="2" t="s">
        <v>222</v>
      </c>
      <c r="E65" s="2" t="s">
        <v>223</v>
      </c>
      <c r="F65" s="2">
        <v>2.0</v>
      </c>
      <c r="G65" s="2">
        <v>12746.0</v>
      </c>
      <c r="H65" s="2" t="s">
        <v>62</v>
      </c>
      <c r="I65" s="2" t="s">
        <v>15</v>
      </c>
      <c r="J65" s="13">
        <f t="shared" si="1"/>
        <v>13</v>
      </c>
      <c r="K65" s="14" t="str">
        <f t="shared" si="2"/>
        <v>Late Delivery</v>
      </c>
    </row>
    <row r="66" ht="14.25" customHeight="1">
      <c r="A66" s="2" t="s">
        <v>224</v>
      </c>
      <c r="B66" s="2" t="s">
        <v>225</v>
      </c>
      <c r="C66" s="2" t="s">
        <v>86</v>
      </c>
      <c r="D66" s="2" t="s">
        <v>162</v>
      </c>
      <c r="E66" s="2" t="s">
        <v>94</v>
      </c>
      <c r="F66" s="2">
        <v>3.0</v>
      </c>
      <c r="G66" s="2">
        <v>66758.0</v>
      </c>
      <c r="H66" s="2" t="s">
        <v>62</v>
      </c>
      <c r="I66" s="2" t="s">
        <v>28</v>
      </c>
      <c r="J66" s="13">
        <f t="shared" si="1"/>
        <v>10</v>
      </c>
      <c r="K66" s="14" t="str">
        <f t="shared" si="2"/>
        <v>Late Delivery</v>
      </c>
    </row>
    <row r="67" ht="14.25" customHeight="1">
      <c r="A67" s="2" t="s">
        <v>226</v>
      </c>
      <c r="B67" s="2" t="s">
        <v>227</v>
      </c>
      <c r="C67" s="2" t="s">
        <v>25</v>
      </c>
      <c r="D67" s="2" t="s">
        <v>37</v>
      </c>
      <c r="E67" s="2" t="s">
        <v>228</v>
      </c>
      <c r="F67" s="2">
        <v>1.0</v>
      </c>
      <c r="G67" s="2">
        <v>9833.0</v>
      </c>
      <c r="H67" s="2" t="s">
        <v>48</v>
      </c>
      <c r="I67" s="2" t="s">
        <v>15</v>
      </c>
      <c r="J67" s="13">
        <f t="shared" si="1"/>
        <v>11</v>
      </c>
      <c r="K67" s="14" t="str">
        <f t="shared" si="2"/>
        <v>Late Delivery</v>
      </c>
    </row>
    <row r="68" ht="14.25" customHeight="1">
      <c r="A68" s="2" t="s">
        <v>229</v>
      </c>
      <c r="B68" s="2" t="s">
        <v>230</v>
      </c>
      <c r="C68" s="2" t="s">
        <v>97</v>
      </c>
      <c r="D68" s="2" t="s">
        <v>27</v>
      </c>
      <c r="E68" s="2" t="s">
        <v>231</v>
      </c>
      <c r="F68" s="2">
        <v>6.0</v>
      </c>
      <c r="G68" s="2">
        <v>19276.0</v>
      </c>
      <c r="H68" s="2" t="s">
        <v>48</v>
      </c>
      <c r="I68" s="2" t="s">
        <v>22</v>
      </c>
      <c r="J68" s="13">
        <f t="shared" si="1"/>
        <v>9</v>
      </c>
      <c r="K68" s="14" t="str">
        <f t="shared" si="2"/>
        <v>Late Delivery</v>
      </c>
    </row>
    <row r="69" ht="14.25" customHeight="1">
      <c r="A69" s="2" t="s">
        <v>232</v>
      </c>
      <c r="B69" s="2" t="s">
        <v>233</v>
      </c>
      <c r="C69" s="2" t="s">
        <v>59</v>
      </c>
      <c r="D69" s="2" t="s">
        <v>191</v>
      </c>
      <c r="E69" s="2" t="s">
        <v>162</v>
      </c>
      <c r="F69" s="2">
        <v>5.0</v>
      </c>
      <c r="G69" s="2">
        <v>8589.0</v>
      </c>
      <c r="H69" s="2" t="s">
        <v>21</v>
      </c>
      <c r="I69" s="2" t="s">
        <v>28</v>
      </c>
      <c r="J69" s="13">
        <f t="shared" si="1"/>
        <v>5</v>
      </c>
      <c r="K69" s="14" t="str">
        <f t="shared" si="2"/>
        <v>On Time</v>
      </c>
    </row>
    <row r="70" ht="14.25" customHeight="1">
      <c r="A70" s="2" t="s">
        <v>234</v>
      </c>
      <c r="B70" s="2" t="s">
        <v>235</v>
      </c>
      <c r="C70" s="2" t="s">
        <v>25</v>
      </c>
      <c r="D70" s="2" t="s">
        <v>41</v>
      </c>
      <c r="E70" s="2" t="s">
        <v>151</v>
      </c>
      <c r="F70" s="2">
        <v>1.0</v>
      </c>
      <c r="G70" s="2">
        <v>24228.0</v>
      </c>
      <c r="H70" s="2" t="s">
        <v>48</v>
      </c>
      <c r="I70" s="2" t="s">
        <v>28</v>
      </c>
      <c r="J70" s="13">
        <f t="shared" si="1"/>
        <v>13</v>
      </c>
      <c r="K70" s="14" t="str">
        <f t="shared" si="2"/>
        <v>Late Delivery</v>
      </c>
    </row>
    <row r="71" ht="14.25" customHeight="1">
      <c r="A71" s="2" t="s">
        <v>236</v>
      </c>
      <c r="B71" s="2" t="s">
        <v>237</v>
      </c>
      <c r="C71" s="2" t="s">
        <v>86</v>
      </c>
      <c r="D71" s="2" t="s">
        <v>156</v>
      </c>
      <c r="E71" s="2" t="s">
        <v>171</v>
      </c>
      <c r="F71" s="2">
        <v>6.0</v>
      </c>
      <c r="G71" s="2">
        <v>45999.0</v>
      </c>
      <c r="H71" s="2" t="s">
        <v>21</v>
      </c>
      <c r="I71" s="2" t="s">
        <v>28</v>
      </c>
      <c r="J71" s="13">
        <f t="shared" si="1"/>
        <v>4</v>
      </c>
      <c r="K71" s="14" t="str">
        <f t="shared" si="2"/>
        <v>On Time</v>
      </c>
    </row>
    <row r="72" ht="14.25" customHeight="1">
      <c r="A72" s="2" t="s">
        <v>238</v>
      </c>
      <c r="B72" s="2" t="s">
        <v>239</v>
      </c>
      <c r="C72" s="2" t="s">
        <v>114</v>
      </c>
      <c r="D72" s="2" t="s">
        <v>108</v>
      </c>
      <c r="E72" s="2" t="s">
        <v>231</v>
      </c>
      <c r="F72" s="2">
        <v>6.0</v>
      </c>
      <c r="G72" s="2">
        <v>16843.0</v>
      </c>
      <c r="H72" s="2" t="s">
        <v>21</v>
      </c>
      <c r="I72" s="2" t="s">
        <v>28</v>
      </c>
      <c r="J72" s="13">
        <f t="shared" si="1"/>
        <v>11</v>
      </c>
      <c r="K72" s="14" t="str">
        <f t="shared" si="2"/>
        <v>Late Delivery</v>
      </c>
    </row>
    <row r="73" ht="14.25" customHeight="1">
      <c r="A73" s="2" t="s">
        <v>240</v>
      </c>
      <c r="B73" s="2" t="s">
        <v>241</v>
      </c>
      <c r="C73" s="2" t="s">
        <v>18</v>
      </c>
      <c r="D73" s="2" t="s">
        <v>191</v>
      </c>
      <c r="E73" s="2" t="s">
        <v>36</v>
      </c>
      <c r="F73" s="2">
        <v>5.0</v>
      </c>
      <c r="G73" s="2">
        <v>11432.0</v>
      </c>
      <c r="H73" s="2" t="s">
        <v>48</v>
      </c>
      <c r="I73" s="2" t="s">
        <v>28</v>
      </c>
      <c r="J73" s="13">
        <f t="shared" si="1"/>
        <v>12</v>
      </c>
      <c r="K73" s="14" t="str">
        <f t="shared" si="2"/>
        <v>Late Delivery</v>
      </c>
    </row>
    <row r="74" ht="14.25" customHeight="1">
      <c r="A74" s="2" t="s">
        <v>242</v>
      </c>
      <c r="B74" s="2" t="s">
        <v>243</v>
      </c>
      <c r="C74" s="2" t="s">
        <v>97</v>
      </c>
      <c r="D74" s="2" t="s">
        <v>69</v>
      </c>
      <c r="E74" s="2" t="s">
        <v>244</v>
      </c>
      <c r="F74" s="2">
        <v>3.0</v>
      </c>
      <c r="G74" s="2">
        <v>6930.0</v>
      </c>
      <c r="H74" s="2" t="s">
        <v>62</v>
      </c>
      <c r="I74" s="2" t="s">
        <v>28</v>
      </c>
      <c r="J74" s="13">
        <f t="shared" si="1"/>
        <v>9</v>
      </c>
      <c r="K74" s="14" t="str">
        <f t="shared" si="2"/>
        <v>Late Delivery</v>
      </c>
    </row>
    <row r="75" ht="14.25" customHeight="1">
      <c r="A75" s="2" t="s">
        <v>245</v>
      </c>
      <c r="B75" s="2" t="s">
        <v>246</v>
      </c>
      <c r="C75" s="2" t="s">
        <v>114</v>
      </c>
      <c r="D75" s="2" t="s">
        <v>98</v>
      </c>
      <c r="E75" s="2" t="s">
        <v>108</v>
      </c>
      <c r="F75" s="2">
        <v>2.0</v>
      </c>
      <c r="G75" s="2">
        <v>5931.0</v>
      </c>
      <c r="H75" s="2" t="s">
        <v>14</v>
      </c>
      <c r="I75" s="2" t="s">
        <v>28</v>
      </c>
      <c r="J75" s="13">
        <f t="shared" si="1"/>
        <v>3</v>
      </c>
      <c r="K75" s="14" t="str">
        <f t="shared" si="2"/>
        <v>On Time</v>
      </c>
    </row>
    <row r="76" ht="14.25" customHeight="1">
      <c r="A76" s="2" t="s">
        <v>247</v>
      </c>
      <c r="B76" s="2" t="s">
        <v>248</v>
      </c>
      <c r="C76" s="2" t="s">
        <v>25</v>
      </c>
      <c r="D76" s="2" t="s">
        <v>127</v>
      </c>
      <c r="E76" s="2" t="s">
        <v>93</v>
      </c>
      <c r="F76" s="2">
        <v>4.0</v>
      </c>
      <c r="G76" s="2">
        <v>42890.0</v>
      </c>
      <c r="H76" s="2" t="s">
        <v>14</v>
      </c>
      <c r="I76" s="2" t="s">
        <v>28</v>
      </c>
      <c r="J76" s="13">
        <f t="shared" si="1"/>
        <v>4</v>
      </c>
      <c r="K76" s="14" t="str">
        <f t="shared" si="2"/>
        <v>On Time</v>
      </c>
    </row>
    <row r="77" ht="14.25" customHeight="1">
      <c r="A77" s="2" t="s">
        <v>249</v>
      </c>
      <c r="B77" s="2" t="s">
        <v>250</v>
      </c>
      <c r="C77" s="2" t="s">
        <v>59</v>
      </c>
      <c r="D77" s="2" t="s">
        <v>251</v>
      </c>
      <c r="E77" s="2" t="s">
        <v>77</v>
      </c>
      <c r="F77" s="2">
        <v>4.0</v>
      </c>
      <c r="G77" s="2">
        <v>44533.0</v>
      </c>
      <c r="H77" s="2" t="s">
        <v>62</v>
      </c>
      <c r="I77" s="2" t="s">
        <v>28</v>
      </c>
      <c r="J77" s="13">
        <f t="shared" si="1"/>
        <v>12</v>
      </c>
      <c r="K77" s="14" t="str">
        <f t="shared" si="2"/>
        <v>Late Delivery</v>
      </c>
    </row>
    <row r="78" ht="14.25" customHeight="1">
      <c r="A78" s="2" t="s">
        <v>252</v>
      </c>
      <c r="B78" s="2" t="s">
        <v>253</v>
      </c>
      <c r="C78" s="2" t="s">
        <v>11</v>
      </c>
      <c r="D78" s="2" t="s">
        <v>98</v>
      </c>
      <c r="E78" s="2" t="s">
        <v>27</v>
      </c>
      <c r="F78" s="2">
        <v>2.0</v>
      </c>
      <c r="G78" s="2">
        <v>46616.0</v>
      </c>
      <c r="H78" s="2" t="s">
        <v>48</v>
      </c>
      <c r="I78" s="2" t="s">
        <v>22</v>
      </c>
      <c r="J78" s="13">
        <f t="shared" si="1"/>
        <v>5</v>
      </c>
      <c r="K78" s="14" t="str">
        <f t="shared" si="2"/>
        <v>On Time</v>
      </c>
    </row>
    <row r="79" ht="14.25" customHeight="1">
      <c r="A79" s="2" t="s">
        <v>254</v>
      </c>
      <c r="B79" s="2" t="s">
        <v>255</v>
      </c>
      <c r="C79" s="2" t="s">
        <v>18</v>
      </c>
      <c r="D79" s="2" t="s">
        <v>36</v>
      </c>
      <c r="E79" s="2" t="s">
        <v>196</v>
      </c>
      <c r="F79" s="2">
        <v>3.0</v>
      </c>
      <c r="G79" s="2">
        <v>57016.0</v>
      </c>
      <c r="H79" s="2" t="s">
        <v>21</v>
      </c>
      <c r="I79" s="2" t="s">
        <v>28</v>
      </c>
      <c r="J79" s="13">
        <f t="shared" si="1"/>
        <v>12</v>
      </c>
      <c r="K79" s="14" t="str">
        <f t="shared" si="2"/>
        <v>Late Delivery</v>
      </c>
    </row>
    <row r="80" ht="14.25" customHeight="1">
      <c r="A80" s="2" t="s">
        <v>256</v>
      </c>
      <c r="B80" s="2" t="s">
        <v>257</v>
      </c>
      <c r="C80" s="2" t="s">
        <v>40</v>
      </c>
      <c r="D80" s="2" t="s">
        <v>12</v>
      </c>
      <c r="E80" s="2" t="s">
        <v>33</v>
      </c>
      <c r="F80" s="2">
        <v>6.0</v>
      </c>
      <c r="G80" s="2">
        <v>37999.0</v>
      </c>
      <c r="H80" s="2" t="s">
        <v>48</v>
      </c>
      <c r="I80" s="2" t="s">
        <v>15</v>
      </c>
      <c r="J80" s="13">
        <f t="shared" si="1"/>
        <v>15</v>
      </c>
      <c r="K80" s="14" t="str">
        <f t="shared" si="2"/>
        <v>Late Delivery</v>
      </c>
    </row>
    <row r="81" ht="14.25" customHeight="1">
      <c r="A81" s="2" t="s">
        <v>258</v>
      </c>
      <c r="B81" s="2" t="s">
        <v>259</v>
      </c>
      <c r="C81" s="2" t="s">
        <v>97</v>
      </c>
      <c r="D81" s="2" t="s">
        <v>124</v>
      </c>
      <c r="E81" s="2" t="s">
        <v>137</v>
      </c>
      <c r="F81" s="2">
        <v>5.0</v>
      </c>
      <c r="G81" s="2">
        <v>48493.0</v>
      </c>
      <c r="H81" s="2" t="s">
        <v>21</v>
      </c>
      <c r="I81" s="2" t="s">
        <v>28</v>
      </c>
      <c r="J81" s="13">
        <f t="shared" si="1"/>
        <v>7</v>
      </c>
      <c r="K81" s="14" t="str">
        <f t="shared" si="2"/>
        <v>On Time</v>
      </c>
    </row>
    <row r="82" ht="14.25" customHeight="1">
      <c r="A82" s="2" t="s">
        <v>260</v>
      </c>
      <c r="B82" s="2" t="s">
        <v>261</v>
      </c>
      <c r="C82" s="2" t="s">
        <v>31</v>
      </c>
      <c r="D82" s="2" t="s">
        <v>162</v>
      </c>
      <c r="E82" s="2" t="s">
        <v>93</v>
      </c>
      <c r="F82" s="2">
        <v>2.0</v>
      </c>
      <c r="G82" s="2">
        <v>11330.0</v>
      </c>
      <c r="H82" s="2" t="s">
        <v>62</v>
      </c>
      <c r="I82" s="2" t="s">
        <v>28</v>
      </c>
      <c r="J82" s="13">
        <f t="shared" si="1"/>
        <v>8</v>
      </c>
      <c r="K82" s="14" t="str">
        <f t="shared" si="2"/>
        <v>Late Delivery</v>
      </c>
    </row>
    <row r="83" ht="14.25" customHeight="1">
      <c r="A83" s="2" t="s">
        <v>262</v>
      </c>
      <c r="B83" s="2" t="s">
        <v>263</v>
      </c>
      <c r="C83" s="2" t="s">
        <v>31</v>
      </c>
      <c r="D83" s="2" t="s">
        <v>81</v>
      </c>
      <c r="E83" s="2" t="s">
        <v>72</v>
      </c>
      <c r="F83" s="2">
        <v>3.0</v>
      </c>
      <c r="G83" s="2">
        <v>33535.0</v>
      </c>
      <c r="H83" s="2" t="s">
        <v>14</v>
      </c>
      <c r="I83" s="2" t="s">
        <v>28</v>
      </c>
      <c r="J83" s="13">
        <f t="shared" si="1"/>
        <v>3</v>
      </c>
      <c r="K83" s="14" t="str">
        <f t="shared" si="2"/>
        <v>On Time</v>
      </c>
    </row>
    <row r="84" ht="14.25" customHeight="1">
      <c r="A84" s="2" t="s">
        <v>264</v>
      </c>
      <c r="B84" s="2" t="s">
        <v>265</v>
      </c>
      <c r="C84" s="2" t="s">
        <v>199</v>
      </c>
      <c r="D84" s="2" t="s">
        <v>56</v>
      </c>
      <c r="E84" s="2" t="s">
        <v>244</v>
      </c>
      <c r="F84" s="2">
        <v>1.0</v>
      </c>
      <c r="G84" s="2">
        <v>2992.0</v>
      </c>
      <c r="H84" s="2" t="s">
        <v>48</v>
      </c>
      <c r="I84" s="2" t="s">
        <v>22</v>
      </c>
      <c r="J84" s="13">
        <f t="shared" si="1"/>
        <v>14</v>
      </c>
      <c r="K84" s="14" t="str">
        <f t="shared" si="2"/>
        <v>Late Delivery</v>
      </c>
    </row>
    <row r="85" ht="14.25" customHeight="1">
      <c r="A85" s="2" t="s">
        <v>266</v>
      </c>
      <c r="B85" s="2" t="s">
        <v>267</v>
      </c>
      <c r="C85" s="2" t="s">
        <v>199</v>
      </c>
      <c r="D85" s="2" t="s">
        <v>41</v>
      </c>
      <c r="E85" s="2" t="s">
        <v>191</v>
      </c>
      <c r="F85" s="2">
        <v>5.0</v>
      </c>
      <c r="G85" s="2">
        <v>8734.0</v>
      </c>
      <c r="H85" s="2" t="s">
        <v>14</v>
      </c>
      <c r="I85" s="2" t="s">
        <v>15</v>
      </c>
      <c r="J85" s="13">
        <f t="shared" si="1"/>
        <v>12</v>
      </c>
      <c r="K85" s="14" t="str">
        <f t="shared" si="2"/>
        <v>Late Delivery</v>
      </c>
    </row>
    <row r="86" ht="14.25" customHeight="1">
      <c r="A86" s="2" t="s">
        <v>268</v>
      </c>
      <c r="B86" s="2" t="s">
        <v>269</v>
      </c>
      <c r="C86" s="2" t="s">
        <v>123</v>
      </c>
      <c r="D86" s="2" t="s">
        <v>118</v>
      </c>
      <c r="E86" s="2" t="s">
        <v>188</v>
      </c>
      <c r="F86" s="2">
        <v>6.0</v>
      </c>
      <c r="G86" s="2">
        <v>45602.0</v>
      </c>
      <c r="H86" s="2" t="s">
        <v>62</v>
      </c>
      <c r="I86" s="2" t="s">
        <v>28</v>
      </c>
      <c r="J86" s="13">
        <f t="shared" si="1"/>
        <v>4</v>
      </c>
      <c r="K86" s="14" t="str">
        <f t="shared" si="2"/>
        <v>On Time</v>
      </c>
    </row>
    <row r="87" ht="14.25" customHeight="1">
      <c r="A87" s="2" t="s">
        <v>270</v>
      </c>
      <c r="B87" s="2" t="s">
        <v>304</v>
      </c>
      <c r="C87" s="2" t="s">
        <v>31</v>
      </c>
      <c r="D87" s="2" t="s">
        <v>41</v>
      </c>
      <c r="E87" s="2" t="s">
        <v>168</v>
      </c>
      <c r="F87" s="2">
        <v>3.0</v>
      </c>
      <c r="G87" s="2">
        <v>5818.0</v>
      </c>
      <c r="H87" s="2" t="s">
        <v>14</v>
      </c>
      <c r="I87" s="2" t="s">
        <v>15</v>
      </c>
      <c r="J87" s="13">
        <f t="shared" si="1"/>
        <v>14</v>
      </c>
      <c r="K87" s="14" t="str">
        <f t="shared" si="2"/>
        <v>Late Delivery</v>
      </c>
    </row>
    <row r="88" ht="14.25" customHeight="1">
      <c r="A88" s="2" t="s">
        <v>272</v>
      </c>
      <c r="B88" s="2" t="s">
        <v>305</v>
      </c>
      <c r="C88" s="2" t="s">
        <v>97</v>
      </c>
      <c r="D88" s="2" t="s">
        <v>191</v>
      </c>
      <c r="E88" s="2" t="s">
        <v>244</v>
      </c>
      <c r="F88" s="2">
        <v>5.0</v>
      </c>
      <c r="G88" s="2">
        <v>63923.0</v>
      </c>
      <c r="H88" s="2" t="s">
        <v>14</v>
      </c>
      <c r="I88" s="2" t="s">
        <v>28</v>
      </c>
      <c r="J88" s="13">
        <f t="shared" si="1"/>
        <v>4</v>
      </c>
      <c r="K88" s="14" t="str">
        <f t="shared" si="2"/>
        <v>On Time</v>
      </c>
    </row>
    <row r="89" ht="14.25" customHeight="1">
      <c r="A89" s="2" t="s">
        <v>274</v>
      </c>
      <c r="B89" s="2" t="s">
        <v>306</v>
      </c>
      <c r="C89" s="2" t="s">
        <v>59</v>
      </c>
      <c r="D89" s="2" t="s">
        <v>134</v>
      </c>
      <c r="E89" s="2" t="s">
        <v>60</v>
      </c>
      <c r="F89" s="2">
        <v>5.0</v>
      </c>
      <c r="G89" s="2">
        <v>47222.0</v>
      </c>
      <c r="H89" s="2" t="s">
        <v>62</v>
      </c>
      <c r="I89" s="2" t="s">
        <v>28</v>
      </c>
      <c r="J89" s="13">
        <f t="shared" si="1"/>
        <v>5</v>
      </c>
      <c r="K89" s="14" t="str">
        <f t="shared" si="2"/>
        <v>On Time</v>
      </c>
    </row>
    <row r="90" ht="14.25" customHeight="1">
      <c r="A90" s="2" t="s">
        <v>276</v>
      </c>
      <c r="B90" s="2" t="s">
        <v>277</v>
      </c>
      <c r="C90" s="2" t="s">
        <v>97</v>
      </c>
      <c r="D90" s="2" t="s">
        <v>36</v>
      </c>
      <c r="E90" s="2" t="s">
        <v>76</v>
      </c>
      <c r="F90" s="2">
        <v>4.0</v>
      </c>
      <c r="G90" s="2">
        <v>61768.0</v>
      </c>
      <c r="H90" s="2" t="s">
        <v>48</v>
      </c>
      <c r="I90" s="2" t="s">
        <v>28</v>
      </c>
      <c r="J90" s="13">
        <f t="shared" si="1"/>
        <v>7</v>
      </c>
      <c r="K90" s="14" t="str">
        <f t="shared" si="2"/>
        <v>On Time</v>
      </c>
    </row>
    <row r="91" ht="14.25" customHeight="1">
      <c r="A91" s="2" t="s">
        <v>278</v>
      </c>
      <c r="B91" s="2" t="s">
        <v>279</v>
      </c>
      <c r="C91" s="2" t="s">
        <v>40</v>
      </c>
      <c r="D91" s="2" t="s">
        <v>80</v>
      </c>
      <c r="E91" s="2" t="s">
        <v>89</v>
      </c>
      <c r="F91" s="2">
        <v>2.0</v>
      </c>
      <c r="G91" s="2">
        <v>37005.0</v>
      </c>
      <c r="H91" s="2" t="s">
        <v>14</v>
      </c>
      <c r="I91" s="2" t="s">
        <v>28</v>
      </c>
      <c r="J91" s="13">
        <f t="shared" si="1"/>
        <v>11</v>
      </c>
      <c r="K91" s="14" t="str">
        <f t="shared" si="2"/>
        <v>Late Delivery</v>
      </c>
    </row>
    <row r="92" ht="14.25" customHeight="1">
      <c r="A92" s="2" t="s">
        <v>280</v>
      </c>
      <c r="B92" s="2" t="s">
        <v>281</v>
      </c>
      <c r="C92" s="2" t="s">
        <v>92</v>
      </c>
      <c r="D92" s="2" t="s">
        <v>26</v>
      </c>
      <c r="E92" s="2" t="s">
        <v>118</v>
      </c>
      <c r="F92" s="2">
        <v>6.0</v>
      </c>
      <c r="G92" s="2">
        <v>15373.0</v>
      </c>
      <c r="H92" s="2" t="s">
        <v>14</v>
      </c>
      <c r="I92" s="2" t="s">
        <v>15</v>
      </c>
      <c r="J92" s="13">
        <f t="shared" si="1"/>
        <v>8</v>
      </c>
      <c r="K92" s="14" t="str">
        <f t="shared" si="2"/>
        <v>Late Delivery</v>
      </c>
    </row>
    <row r="93" ht="14.25" customHeight="1">
      <c r="A93" s="2" t="s">
        <v>282</v>
      </c>
      <c r="B93" s="2" t="s">
        <v>307</v>
      </c>
      <c r="C93" s="2" t="s">
        <v>11</v>
      </c>
      <c r="D93" s="2" t="s">
        <v>94</v>
      </c>
      <c r="E93" s="2" t="s">
        <v>111</v>
      </c>
      <c r="F93" s="2">
        <v>4.0</v>
      </c>
      <c r="G93" s="2">
        <v>28349.0</v>
      </c>
      <c r="H93" s="2" t="s">
        <v>21</v>
      </c>
      <c r="I93" s="2" t="s">
        <v>15</v>
      </c>
      <c r="J93" s="13">
        <f t="shared" si="1"/>
        <v>7</v>
      </c>
      <c r="K93" s="14" t="str">
        <f t="shared" si="2"/>
        <v>On Time</v>
      </c>
    </row>
    <row r="94" ht="14.25" customHeight="1">
      <c r="A94" s="2" t="s">
        <v>284</v>
      </c>
      <c r="B94" s="2" t="s">
        <v>285</v>
      </c>
      <c r="C94" s="2" t="s">
        <v>40</v>
      </c>
      <c r="D94" s="2" t="s">
        <v>188</v>
      </c>
      <c r="E94" s="2" t="s">
        <v>93</v>
      </c>
      <c r="F94" s="2">
        <v>2.0</v>
      </c>
      <c r="G94" s="2">
        <v>9333.0</v>
      </c>
      <c r="H94" s="2" t="s">
        <v>62</v>
      </c>
      <c r="I94" s="2" t="s">
        <v>28</v>
      </c>
      <c r="J94" s="13">
        <f t="shared" si="1"/>
        <v>2</v>
      </c>
      <c r="K94" s="14" t="str">
        <f t="shared" si="2"/>
        <v>On Time</v>
      </c>
    </row>
    <row r="95" ht="14.25" customHeight="1">
      <c r="A95" s="2" t="s">
        <v>286</v>
      </c>
      <c r="B95" s="2" t="s">
        <v>287</v>
      </c>
      <c r="C95" s="2" t="s">
        <v>18</v>
      </c>
      <c r="D95" s="2" t="s">
        <v>134</v>
      </c>
      <c r="E95" s="2" t="s">
        <v>165</v>
      </c>
      <c r="F95" s="2">
        <v>4.0</v>
      </c>
      <c r="G95" s="2">
        <v>39697.0</v>
      </c>
      <c r="H95" s="2" t="s">
        <v>14</v>
      </c>
      <c r="I95" s="2" t="s">
        <v>28</v>
      </c>
      <c r="J95" s="13">
        <f t="shared" si="1"/>
        <v>6</v>
      </c>
      <c r="K95" s="14" t="str">
        <f t="shared" si="2"/>
        <v>On Time</v>
      </c>
    </row>
    <row r="96" ht="14.25" customHeight="1">
      <c r="A96" s="2" t="s">
        <v>288</v>
      </c>
      <c r="B96" s="2" t="s">
        <v>308</v>
      </c>
      <c r="C96" s="2" t="s">
        <v>86</v>
      </c>
      <c r="D96" s="2" t="s">
        <v>133</v>
      </c>
      <c r="E96" s="2" t="s">
        <v>290</v>
      </c>
      <c r="F96" s="2">
        <v>2.0</v>
      </c>
      <c r="G96" s="2">
        <v>51052.0</v>
      </c>
      <c r="H96" s="2" t="s">
        <v>48</v>
      </c>
      <c r="I96" s="2" t="s">
        <v>28</v>
      </c>
      <c r="J96" s="13">
        <f t="shared" si="1"/>
        <v>3</v>
      </c>
      <c r="K96" s="14" t="str">
        <f t="shared" si="2"/>
        <v>On Time</v>
      </c>
    </row>
    <row r="97" ht="14.25" customHeight="1">
      <c r="A97" s="2" t="s">
        <v>291</v>
      </c>
      <c r="B97" s="2" t="s">
        <v>309</v>
      </c>
      <c r="C97" s="2" t="s">
        <v>25</v>
      </c>
      <c r="D97" s="2" t="s">
        <v>94</v>
      </c>
      <c r="E97" s="2" t="s">
        <v>65</v>
      </c>
      <c r="F97" s="2">
        <v>6.0</v>
      </c>
      <c r="G97" s="2">
        <v>28248.0</v>
      </c>
      <c r="H97" s="2" t="s">
        <v>48</v>
      </c>
      <c r="I97" s="2" t="s">
        <v>28</v>
      </c>
      <c r="J97" s="13">
        <f t="shared" si="1"/>
        <v>6</v>
      </c>
      <c r="K97" s="14" t="str">
        <f t="shared" si="2"/>
        <v>On Time</v>
      </c>
    </row>
    <row r="98" ht="14.25" customHeight="1">
      <c r="A98" s="2" t="s">
        <v>293</v>
      </c>
      <c r="B98" s="2" t="s">
        <v>294</v>
      </c>
      <c r="C98" s="2" t="s">
        <v>59</v>
      </c>
      <c r="D98" s="2" t="s">
        <v>295</v>
      </c>
      <c r="E98" s="2" t="s">
        <v>290</v>
      </c>
      <c r="F98" s="2">
        <v>6.0</v>
      </c>
      <c r="G98" s="2">
        <v>38784.0</v>
      </c>
      <c r="H98" s="2" t="s">
        <v>14</v>
      </c>
      <c r="I98" s="2" t="s">
        <v>28</v>
      </c>
      <c r="J98" s="13">
        <f t="shared" si="1"/>
        <v>5</v>
      </c>
      <c r="K98" s="14" t="str">
        <f t="shared" si="2"/>
        <v>On Time</v>
      </c>
    </row>
    <row r="99" ht="14.25" customHeight="1">
      <c r="A99" s="2" t="s">
        <v>296</v>
      </c>
      <c r="B99" s="2" t="s">
        <v>310</v>
      </c>
      <c r="C99" s="2" t="s">
        <v>199</v>
      </c>
      <c r="D99" s="2" t="s">
        <v>188</v>
      </c>
      <c r="E99" s="2" t="s">
        <v>180</v>
      </c>
      <c r="F99" s="2">
        <v>5.0</v>
      </c>
      <c r="G99" s="2">
        <v>5900.0</v>
      </c>
      <c r="H99" s="2" t="s">
        <v>62</v>
      </c>
      <c r="I99" s="2" t="s">
        <v>28</v>
      </c>
      <c r="J99" s="13">
        <f t="shared" si="1"/>
        <v>5</v>
      </c>
      <c r="K99" s="14" t="str">
        <f t="shared" si="2"/>
        <v>On Time</v>
      </c>
    </row>
    <row r="100" ht="14.25" customHeight="1">
      <c r="A100" s="2" t="s">
        <v>298</v>
      </c>
      <c r="B100" s="2" t="s">
        <v>299</v>
      </c>
      <c r="C100" s="2" t="s">
        <v>31</v>
      </c>
      <c r="D100" s="2" t="s">
        <v>89</v>
      </c>
      <c r="E100" s="2" t="s">
        <v>165</v>
      </c>
      <c r="F100" s="2">
        <v>4.0</v>
      </c>
      <c r="G100" s="2">
        <v>16868.0</v>
      </c>
      <c r="H100" s="2" t="s">
        <v>48</v>
      </c>
      <c r="I100" s="2" t="s">
        <v>28</v>
      </c>
      <c r="J100" s="13">
        <f t="shared" si="1"/>
        <v>14</v>
      </c>
      <c r="K100" s="14" t="str">
        <f t="shared" si="2"/>
        <v>Late Delivery</v>
      </c>
    </row>
    <row r="101" ht="14.25" customHeight="1">
      <c r="A101" s="2" t="s">
        <v>300</v>
      </c>
      <c r="B101" s="2" t="s">
        <v>311</v>
      </c>
      <c r="C101" s="2" t="s">
        <v>55</v>
      </c>
      <c r="D101" s="2" t="s">
        <v>20</v>
      </c>
      <c r="E101" s="2" t="s">
        <v>222</v>
      </c>
      <c r="F101" s="2">
        <v>2.0</v>
      </c>
      <c r="G101" s="2">
        <v>27529.0</v>
      </c>
      <c r="H101" s="2" t="s">
        <v>21</v>
      </c>
      <c r="I101" s="2" t="s">
        <v>22</v>
      </c>
      <c r="J101" s="13">
        <f t="shared" si="1"/>
        <v>13</v>
      </c>
      <c r="K101" s="14" t="str">
        <f t="shared" si="2"/>
        <v>Late Delivery</v>
      </c>
    </row>
    <row r="102" ht="14.25" customHeight="1">
      <c r="J102" s="15"/>
      <c r="K102" s="14"/>
    </row>
    <row r="103" ht="14.25" customHeight="1">
      <c r="J103" s="15"/>
      <c r="K103" s="14"/>
    </row>
    <row r="104" ht="14.25" customHeight="1">
      <c r="J104" s="15"/>
      <c r="K104" s="14"/>
    </row>
    <row r="105" ht="14.25" customHeight="1">
      <c r="J105" s="15"/>
      <c r="K105" s="14"/>
    </row>
    <row r="106" ht="14.25" customHeight="1">
      <c r="J106" s="15"/>
      <c r="K106" s="14"/>
    </row>
    <row r="107" ht="14.25" customHeight="1">
      <c r="J107" s="15"/>
      <c r="K107" s="14"/>
    </row>
    <row r="108" ht="14.25" customHeight="1">
      <c r="J108" s="15"/>
      <c r="K108" s="14"/>
    </row>
    <row r="109" ht="14.25" customHeight="1">
      <c r="J109" s="15"/>
      <c r="K109" s="14"/>
    </row>
    <row r="110" ht="14.25" customHeight="1">
      <c r="J110" s="15"/>
      <c r="K110" s="14"/>
    </row>
    <row r="111" ht="14.25" customHeight="1">
      <c r="J111" s="15"/>
      <c r="K111" s="14"/>
    </row>
    <row r="112" ht="14.25" customHeight="1">
      <c r="J112" s="15"/>
      <c r="K112" s="14"/>
    </row>
    <row r="113" ht="14.25" customHeight="1">
      <c r="J113" s="15"/>
      <c r="K113" s="14"/>
    </row>
    <row r="114" ht="14.25" customHeight="1">
      <c r="J114" s="15"/>
      <c r="K114" s="14"/>
    </row>
    <row r="115" ht="14.25" customHeight="1">
      <c r="J115" s="15"/>
      <c r="K115" s="14"/>
    </row>
    <row r="116" ht="14.25" customHeight="1">
      <c r="J116" s="15"/>
      <c r="K116" s="14"/>
    </row>
    <row r="117" ht="14.25" customHeight="1">
      <c r="J117" s="15"/>
      <c r="K117" s="14"/>
    </row>
    <row r="118" ht="14.25" customHeight="1">
      <c r="J118" s="15"/>
      <c r="K118" s="14"/>
    </row>
    <row r="119" ht="14.25" customHeight="1">
      <c r="J119" s="15"/>
      <c r="K119" s="14"/>
    </row>
    <row r="120" ht="14.25" customHeight="1">
      <c r="J120" s="15"/>
      <c r="K120" s="14"/>
    </row>
    <row r="121" ht="14.25" customHeight="1">
      <c r="J121" s="15"/>
      <c r="K121" s="14"/>
    </row>
    <row r="122" ht="14.25" customHeight="1">
      <c r="J122" s="15"/>
      <c r="K122" s="14"/>
    </row>
    <row r="123" ht="14.25" customHeight="1">
      <c r="J123" s="15"/>
      <c r="K123" s="14"/>
    </row>
    <row r="124" ht="14.25" customHeight="1">
      <c r="J124" s="15"/>
      <c r="K124" s="14"/>
    </row>
    <row r="125" ht="14.25" customHeight="1">
      <c r="J125" s="15"/>
      <c r="K125" s="14"/>
    </row>
    <row r="126" ht="14.25" customHeight="1">
      <c r="J126" s="15"/>
      <c r="K126" s="14"/>
    </row>
    <row r="127" ht="14.25" customHeight="1">
      <c r="J127" s="15"/>
      <c r="K127" s="14"/>
    </row>
    <row r="128" ht="14.25" customHeight="1">
      <c r="J128" s="15"/>
      <c r="K128" s="14"/>
    </row>
    <row r="129" ht="14.25" customHeight="1">
      <c r="J129" s="15"/>
      <c r="K129" s="14"/>
    </row>
    <row r="130" ht="14.25" customHeight="1">
      <c r="J130" s="15"/>
      <c r="K130" s="14"/>
    </row>
    <row r="131" ht="14.25" customHeight="1">
      <c r="J131" s="15"/>
      <c r="K131" s="14"/>
    </row>
    <row r="132" ht="14.25" customHeight="1">
      <c r="J132" s="15"/>
      <c r="K132" s="14"/>
    </row>
    <row r="133" ht="14.25" customHeight="1">
      <c r="J133" s="15"/>
      <c r="K133" s="14"/>
    </row>
    <row r="134" ht="14.25" customHeight="1">
      <c r="J134" s="15"/>
      <c r="K134" s="14"/>
    </row>
    <row r="135" ht="14.25" customHeight="1">
      <c r="J135" s="15"/>
      <c r="K135" s="14"/>
    </row>
    <row r="136" ht="14.25" customHeight="1">
      <c r="J136" s="15"/>
      <c r="K136" s="14"/>
    </row>
    <row r="137" ht="14.25" customHeight="1">
      <c r="J137" s="15"/>
      <c r="K137" s="14"/>
    </row>
    <row r="138" ht="14.25" customHeight="1">
      <c r="J138" s="15"/>
      <c r="K138" s="14"/>
    </row>
    <row r="139" ht="14.25" customHeight="1">
      <c r="J139" s="15"/>
      <c r="K139" s="14"/>
    </row>
    <row r="140" ht="14.25" customHeight="1">
      <c r="J140" s="15"/>
      <c r="K140" s="14"/>
    </row>
    <row r="141" ht="14.25" customHeight="1">
      <c r="J141" s="15"/>
      <c r="K141" s="14"/>
    </row>
    <row r="142" ht="14.25" customHeight="1">
      <c r="J142" s="15"/>
      <c r="K142" s="14"/>
    </row>
    <row r="143" ht="14.25" customHeight="1">
      <c r="J143" s="15"/>
      <c r="K143" s="14"/>
    </row>
    <row r="144" ht="14.25" customHeight="1">
      <c r="J144" s="15"/>
      <c r="K144" s="14"/>
    </row>
    <row r="145" ht="14.25" customHeight="1">
      <c r="J145" s="15"/>
      <c r="K145" s="14"/>
    </row>
    <row r="146" ht="14.25" customHeight="1">
      <c r="J146" s="15"/>
      <c r="K146" s="14"/>
    </row>
    <row r="147" ht="14.25" customHeight="1">
      <c r="J147" s="15"/>
      <c r="K147" s="14"/>
    </row>
    <row r="148" ht="14.25" customHeight="1">
      <c r="J148" s="15"/>
      <c r="K148" s="14"/>
    </row>
    <row r="149" ht="14.25" customHeight="1">
      <c r="J149" s="15"/>
      <c r="K149" s="14"/>
    </row>
    <row r="150" ht="14.25" customHeight="1">
      <c r="J150" s="15"/>
      <c r="K150" s="14"/>
    </row>
    <row r="151" ht="14.25" customHeight="1">
      <c r="J151" s="15"/>
      <c r="K151" s="14"/>
    </row>
    <row r="152" ht="14.25" customHeight="1">
      <c r="J152" s="15"/>
      <c r="K152" s="14"/>
    </row>
    <row r="153" ht="14.25" customHeight="1">
      <c r="J153" s="15"/>
      <c r="K153" s="14"/>
    </row>
    <row r="154" ht="14.25" customHeight="1">
      <c r="J154" s="15"/>
      <c r="K154" s="14"/>
    </row>
    <row r="155" ht="14.25" customHeight="1">
      <c r="J155" s="15"/>
      <c r="K155" s="14"/>
    </row>
    <row r="156" ht="14.25" customHeight="1">
      <c r="J156" s="15"/>
      <c r="K156" s="14"/>
    </row>
    <row r="157" ht="14.25" customHeight="1">
      <c r="J157" s="15"/>
      <c r="K157" s="14"/>
    </row>
    <row r="158" ht="14.25" customHeight="1">
      <c r="J158" s="15"/>
      <c r="K158" s="14"/>
    </row>
    <row r="159" ht="14.25" customHeight="1">
      <c r="J159" s="15"/>
      <c r="K159" s="14"/>
    </row>
    <row r="160" ht="14.25" customHeight="1">
      <c r="J160" s="15"/>
      <c r="K160" s="14"/>
    </row>
    <row r="161" ht="14.25" customHeight="1">
      <c r="J161" s="15"/>
      <c r="K161" s="14"/>
    </row>
    <row r="162" ht="14.25" customHeight="1">
      <c r="J162" s="15"/>
      <c r="K162" s="14"/>
    </row>
    <row r="163" ht="14.25" customHeight="1">
      <c r="J163" s="15"/>
      <c r="K163" s="14"/>
    </row>
    <row r="164" ht="14.25" customHeight="1">
      <c r="J164" s="15"/>
      <c r="K164" s="14"/>
    </row>
    <row r="165" ht="14.25" customHeight="1">
      <c r="J165" s="15"/>
      <c r="K165" s="14"/>
    </row>
    <row r="166" ht="14.25" customHeight="1">
      <c r="J166" s="15"/>
      <c r="K166" s="14"/>
    </row>
    <row r="167" ht="14.25" customHeight="1">
      <c r="J167" s="15"/>
      <c r="K167" s="14"/>
    </row>
    <row r="168" ht="14.25" customHeight="1">
      <c r="J168" s="15"/>
      <c r="K168" s="14"/>
    </row>
    <row r="169" ht="14.25" customHeight="1">
      <c r="J169" s="15"/>
      <c r="K169" s="14"/>
    </row>
    <row r="170" ht="14.25" customHeight="1">
      <c r="J170" s="15"/>
      <c r="K170" s="14"/>
    </row>
    <row r="171" ht="14.25" customHeight="1">
      <c r="J171" s="15"/>
      <c r="K171" s="14"/>
    </row>
    <row r="172" ht="14.25" customHeight="1">
      <c r="J172" s="15"/>
      <c r="K172" s="14"/>
    </row>
    <row r="173" ht="14.25" customHeight="1">
      <c r="J173" s="15"/>
      <c r="K173" s="14"/>
    </row>
    <row r="174" ht="14.25" customHeight="1">
      <c r="J174" s="15"/>
      <c r="K174" s="14"/>
    </row>
    <row r="175" ht="14.25" customHeight="1">
      <c r="J175" s="15"/>
      <c r="K175" s="14"/>
    </row>
    <row r="176" ht="14.25" customHeight="1">
      <c r="J176" s="15"/>
      <c r="K176" s="14"/>
    </row>
    <row r="177" ht="14.25" customHeight="1">
      <c r="J177" s="15"/>
      <c r="K177" s="14"/>
    </row>
    <row r="178" ht="14.25" customHeight="1">
      <c r="J178" s="15"/>
      <c r="K178" s="14"/>
    </row>
    <row r="179" ht="14.25" customHeight="1">
      <c r="J179" s="15"/>
      <c r="K179" s="14"/>
    </row>
    <row r="180" ht="14.25" customHeight="1">
      <c r="J180" s="15"/>
      <c r="K180" s="14"/>
    </row>
    <row r="181" ht="14.25" customHeight="1">
      <c r="J181" s="15"/>
      <c r="K181" s="14"/>
    </row>
    <row r="182" ht="14.25" customHeight="1">
      <c r="J182" s="15"/>
      <c r="K182" s="14"/>
    </row>
    <row r="183" ht="14.25" customHeight="1">
      <c r="J183" s="15"/>
      <c r="K183" s="14"/>
    </row>
    <row r="184" ht="14.25" customHeight="1">
      <c r="J184" s="15"/>
      <c r="K184" s="14"/>
    </row>
    <row r="185" ht="14.25" customHeight="1">
      <c r="J185" s="15"/>
      <c r="K185" s="14"/>
    </row>
    <row r="186" ht="14.25" customHeight="1">
      <c r="J186" s="15"/>
      <c r="K186" s="14"/>
    </row>
    <row r="187" ht="14.25" customHeight="1">
      <c r="J187" s="15"/>
      <c r="K187" s="14"/>
    </row>
    <row r="188" ht="14.25" customHeight="1">
      <c r="J188" s="15"/>
      <c r="K188" s="14"/>
    </row>
    <row r="189" ht="14.25" customHeight="1">
      <c r="J189" s="15"/>
      <c r="K189" s="14"/>
    </row>
    <row r="190" ht="14.25" customHeight="1">
      <c r="J190" s="15"/>
      <c r="K190" s="14"/>
    </row>
    <row r="191" ht="14.25" customHeight="1">
      <c r="J191" s="15"/>
      <c r="K191" s="14"/>
    </row>
    <row r="192" ht="14.25" customHeight="1">
      <c r="J192" s="15"/>
      <c r="K192" s="14"/>
    </row>
    <row r="193" ht="14.25" customHeight="1">
      <c r="J193" s="15"/>
      <c r="K193" s="14"/>
    </row>
    <row r="194" ht="14.25" customHeight="1">
      <c r="J194" s="15"/>
      <c r="K194" s="14"/>
    </row>
    <row r="195" ht="14.25" customHeight="1">
      <c r="J195" s="15"/>
      <c r="K195" s="14"/>
    </row>
    <row r="196" ht="14.25" customHeight="1">
      <c r="J196" s="15"/>
      <c r="K196" s="14"/>
    </row>
    <row r="197" ht="14.25" customHeight="1">
      <c r="J197" s="15"/>
      <c r="K197" s="14"/>
    </row>
    <row r="198" ht="14.25" customHeight="1">
      <c r="J198" s="15"/>
      <c r="K198" s="14"/>
    </row>
    <row r="199" ht="14.25" customHeight="1">
      <c r="J199" s="15"/>
      <c r="K199" s="14"/>
    </row>
    <row r="200" ht="14.25" customHeight="1">
      <c r="J200" s="15"/>
      <c r="K200" s="14"/>
    </row>
    <row r="201" ht="14.25" customHeight="1">
      <c r="J201" s="15"/>
      <c r="K201" s="14"/>
    </row>
    <row r="202" ht="14.25" customHeight="1">
      <c r="J202" s="15"/>
      <c r="K202" s="14"/>
    </row>
    <row r="203" ht="14.25" customHeight="1">
      <c r="J203" s="15"/>
      <c r="K203" s="14"/>
    </row>
    <row r="204" ht="14.25" customHeight="1">
      <c r="J204" s="15"/>
      <c r="K204" s="14"/>
    </row>
    <row r="205" ht="14.25" customHeight="1">
      <c r="J205" s="15"/>
      <c r="K205" s="14"/>
    </row>
    <row r="206" ht="14.25" customHeight="1">
      <c r="J206" s="15"/>
      <c r="K206" s="14"/>
    </row>
    <row r="207" ht="14.25" customHeight="1">
      <c r="J207" s="15"/>
      <c r="K207" s="14"/>
    </row>
    <row r="208" ht="14.25" customHeight="1">
      <c r="J208" s="15"/>
      <c r="K208" s="14"/>
    </row>
    <row r="209" ht="14.25" customHeight="1">
      <c r="J209" s="15"/>
      <c r="K209" s="14"/>
    </row>
    <row r="210" ht="14.25" customHeight="1">
      <c r="J210" s="15"/>
      <c r="K210" s="14"/>
    </row>
    <row r="211" ht="14.25" customHeight="1">
      <c r="J211" s="15"/>
      <c r="K211" s="14"/>
    </row>
    <row r="212" ht="14.25" customHeight="1">
      <c r="J212" s="15"/>
      <c r="K212" s="14"/>
    </row>
    <row r="213" ht="14.25" customHeight="1">
      <c r="J213" s="15"/>
      <c r="K213" s="14"/>
    </row>
    <row r="214" ht="14.25" customHeight="1">
      <c r="J214" s="15"/>
      <c r="K214" s="14"/>
    </row>
    <row r="215" ht="14.25" customHeight="1">
      <c r="J215" s="15"/>
      <c r="K215" s="14"/>
    </row>
    <row r="216" ht="14.25" customHeight="1">
      <c r="J216" s="15"/>
      <c r="K216" s="14"/>
    </row>
    <row r="217" ht="14.25" customHeight="1">
      <c r="J217" s="15"/>
      <c r="K217" s="14"/>
    </row>
    <row r="218" ht="14.25" customHeight="1">
      <c r="J218" s="15"/>
      <c r="K218" s="14"/>
    </row>
    <row r="219" ht="14.25" customHeight="1">
      <c r="J219" s="15"/>
      <c r="K219" s="14"/>
    </row>
    <row r="220" ht="14.25" customHeight="1">
      <c r="J220" s="15"/>
      <c r="K220" s="14"/>
    </row>
    <row r="221" ht="14.25" customHeight="1">
      <c r="J221" s="15"/>
      <c r="K221" s="14"/>
    </row>
    <row r="222" ht="14.25" customHeight="1">
      <c r="J222" s="15"/>
      <c r="K222" s="14"/>
    </row>
    <row r="223" ht="14.25" customHeight="1">
      <c r="J223" s="15"/>
      <c r="K223" s="14"/>
    </row>
    <row r="224" ht="14.25" customHeight="1">
      <c r="J224" s="15"/>
      <c r="K224" s="14"/>
    </row>
    <row r="225" ht="14.25" customHeight="1">
      <c r="J225" s="15"/>
      <c r="K225" s="14"/>
    </row>
    <row r="226" ht="14.25" customHeight="1">
      <c r="J226" s="15"/>
      <c r="K226" s="14"/>
    </row>
    <row r="227" ht="14.25" customHeight="1">
      <c r="J227" s="15"/>
      <c r="K227" s="14"/>
    </row>
    <row r="228" ht="14.25" customHeight="1">
      <c r="J228" s="15"/>
      <c r="K228" s="14"/>
    </row>
    <row r="229" ht="14.25" customHeight="1">
      <c r="J229" s="15"/>
      <c r="K229" s="14"/>
    </row>
    <row r="230" ht="14.25" customHeight="1">
      <c r="J230" s="15"/>
      <c r="K230" s="14"/>
    </row>
    <row r="231" ht="14.25" customHeight="1">
      <c r="J231" s="15"/>
      <c r="K231" s="14"/>
    </row>
    <row r="232" ht="14.25" customHeight="1">
      <c r="J232" s="15"/>
      <c r="K232" s="14"/>
    </row>
    <row r="233" ht="14.25" customHeight="1">
      <c r="J233" s="15"/>
      <c r="K233" s="14"/>
    </row>
    <row r="234" ht="14.25" customHeight="1">
      <c r="J234" s="15"/>
      <c r="K234" s="14"/>
    </row>
    <row r="235" ht="14.25" customHeight="1">
      <c r="J235" s="15"/>
      <c r="K235" s="14"/>
    </row>
    <row r="236" ht="14.25" customHeight="1">
      <c r="J236" s="15"/>
      <c r="K236" s="14"/>
    </row>
    <row r="237" ht="14.25" customHeight="1">
      <c r="J237" s="15"/>
      <c r="K237" s="14"/>
    </row>
    <row r="238" ht="14.25" customHeight="1">
      <c r="J238" s="15"/>
      <c r="K238" s="14"/>
    </row>
    <row r="239" ht="14.25" customHeight="1">
      <c r="J239" s="15"/>
      <c r="K239" s="14"/>
    </row>
    <row r="240" ht="14.25" customHeight="1">
      <c r="J240" s="15"/>
      <c r="K240" s="14"/>
    </row>
    <row r="241" ht="14.25" customHeight="1">
      <c r="J241" s="15"/>
      <c r="K241" s="14"/>
    </row>
    <row r="242" ht="14.25" customHeight="1">
      <c r="J242" s="15"/>
      <c r="K242" s="14"/>
    </row>
    <row r="243" ht="14.25" customHeight="1">
      <c r="J243" s="15"/>
      <c r="K243" s="14"/>
    </row>
    <row r="244" ht="14.25" customHeight="1">
      <c r="J244" s="15"/>
      <c r="K244" s="14"/>
    </row>
    <row r="245" ht="14.25" customHeight="1">
      <c r="J245" s="15"/>
      <c r="K245" s="14"/>
    </row>
    <row r="246" ht="14.25" customHeight="1">
      <c r="J246" s="15"/>
      <c r="K246" s="14"/>
    </row>
    <row r="247" ht="14.25" customHeight="1">
      <c r="J247" s="15"/>
      <c r="K247" s="14"/>
    </row>
    <row r="248" ht="14.25" customHeight="1">
      <c r="J248" s="15"/>
      <c r="K248" s="14"/>
    </row>
    <row r="249" ht="14.25" customHeight="1">
      <c r="J249" s="15"/>
      <c r="K249" s="14"/>
    </row>
    <row r="250" ht="14.25" customHeight="1">
      <c r="J250" s="15"/>
      <c r="K250" s="14"/>
    </row>
    <row r="251" ht="14.25" customHeight="1">
      <c r="J251" s="15"/>
      <c r="K251" s="14"/>
    </row>
    <row r="252" ht="14.25" customHeight="1">
      <c r="J252" s="15"/>
      <c r="K252" s="14"/>
    </row>
    <row r="253" ht="14.25" customHeight="1">
      <c r="J253" s="15"/>
      <c r="K253" s="14"/>
    </row>
    <row r="254" ht="14.25" customHeight="1">
      <c r="J254" s="15"/>
      <c r="K254" s="14"/>
    </row>
    <row r="255" ht="14.25" customHeight="1">
      <c r="J255" s="15"/>
      <c r="K255" s="14"/>
    </row>
    <row r="256" ht="14.25" customHeight="1">
      <c r="J256" s="15"/>
      <c r="K256" s="14"/>
    </row>
    <row r="257" ht="14.25" customHeight="1">
      <c r="J257" s="15"/>
      <c r="K257" s="14"/>
    </row>
    <row r="258" ht="14.25" customHeight="1">
      <c r="J258" s="15"/>
      <c r="K258" s="14"/>
    </row>
    <row r="259" ht="14.25" customHeight="1">
      <c r="J259" s="15"/>
      <c r="K259" s="14"/>
    </row>
    <row r="260" ht="14.25" customHeight="1">
      <c r="J260" s="15"/>
      <c r="K260" s="14"/>
    </row>
    <row r="261" ht="14.25" customHeight="1">
      <c r="J261" s="15"/>
      <c r="K261" s="14"/>
    </row>
    <row r="262" ht="14.25" customHeight="1">
      <c r="J262" s="15"/>
      <c r="K262" s="14"/>
    </row>
    <row r="263" ht="14.25" customHeight="1">
      <c r="J263" s="15"/>
      <c r="K263" s="14"/>
    </row>
    <row r="264" ht="14.25" customHeight="1">
      <c r="J264" s="15"/>
      <c r="K264" s="14"/>
    </row>
    <row r="265" ht="14.25" customHeight="1">
      <c r="J265" s="15"/>
      <c r="K265" s="14"/>
    </row>
    <row r="266" ht="14.25" customHeight="1">
      <c r="J266" s="15"/>
      <c r="K266" s="14"/>
    </row>
    <row r="267" ht="14.25" customHeight="1">
      <c r="J267" s="15"/>
      <c r="K267" s="14"/>
    </row>
    <row r="268" ht="14.25" customHeight="1">
      <c r="J268" s="15"/>
      <c r="K268" s="14"/>
    </row>
    <row r="269" ht="14.25" customHeight="1">
      <c r="J269" s="15"/>
      <c r="K269" s="14"/>
    </row>
    <row r="270" ht="14.25" customHeight="1">
      <c r="J270" s="15"/>
      <c r="K270" s="14"/>
    </row>
    <row r="271" ht="14.25" customHeight="1">
      <c r="J271" s="15"/>
      <c r="K271" s="14"/>
    </row>
    <row r="272" ht="14.25" customHeight="1">
      <c r="J272" s="15"/>
      <c r="K272" s="14"/>
    </row>
    <row r="273" ht="14.25" customHeight="1">
      <c r="J273" s="15"/>
      <c r="K273" s="14"/>
    </row>
    <row r="274" ht="14.25" customHeight="1">
      <c r="J274" s="15"/>
      <c r="K274" s="14"/>
    </row>
    <row r="275" ht="14.25" customHeight="1">
      <c r="J275" s="15"/>
      <c r="K275" s="14"/>
    </row>
    <row r="276" ht="14.25" customHeight="1">
      <c r="J276" s="15"/>
      <c r="K276" s="14"/>
    </row>
    <row r="277" ht="14.25" customHeight="1">
      <c r="J277" s="15"/>
      <c r="K277" s="14"/>
    </row>
    <row r="278" ht="14.25" customHeight="1">
      <c r="J278" s="15"/>
      <c r="K278" s="14"/>
    </row>
    <row r="279" ht="14.25" customHeight="1">
      <c r="J279" s="15"/>
      <c r="K279" s="14"/>
    </row>
    <row r="280" ht="14.25" customHeight="1">
      <c r="J280" s="15"/>
      <c r="K280" s="14"/>
    </row>
    <row r="281" ht="14.25" customHeight="1">
      <c r="J281" s="15"/>
      <c r="K281" s="14"/>
    </row>
    <row r="282" ht="14.25" customHeight="1">
      <c r="J282" s="15"/>
      <c r="K282" s="14"/>
    </row>
    <row r="283" ht="14.25" customHeight="1">
      <c r="J283" s="15"/>
      <c r="K283" s="14"/>
    </row>
    <row r="284" ht="14.25" customHeight="1">
      <c r="J284" s="15"/>
      <c r="K284" s="14"/>
    </row>
    <row r="285" ht="14.25" customHeight="1">
      <c r="J285" s="15"/>
      <c r="K285" s="14"/>
    </row>
    <row r="286" ht="14.25" customHeight="1">
      <c r="J286" s="15"/>
      <c r="K286" s="14"/>
    </row>
    <row r="287" ht="14.25" customHeight="1">
      <c r="J287" s="15"/>
      <c r="K287" s="14"/>
    </row>
    <row r="288" ht="14.25" customHeight="1">
      <c r="J288" s="15"/>
      <c r="K288" s="14"/>
    </row>
    <row r="289" ht="14.25" customHeight="1">
      <c r="J289" s="15"/>
      <c r="K289" s="14"/>
    </row>
    <row r="290" ht="14.25" customHeight="1">
      <c r="J290" s="15"/>
      <c r="K290" s="14"/>
    </row>
    <row r="291" ht="14.25" customHeight="1">
      <c r="J291" s="15"/>
      <c r="K291" s="14"/>
    </row>
    <row r="292" ht="14.25" customHeight="1">
      <c r="J292" s="15"/>
      <c r="K292" s="14"/>
    </row>
    <row r="293" ht="14.25" customHeight="1">
      <c r="J293" s="15"/>
      <c r="K293" s="14"/>
    </row>
    <row r="294" ht="14.25" customHeight="1">
      <c r="J294" s="15"/>
      <c r="K294" s="14"/>
    </row>
    <row r="295" ht="14.25" customHeight="1">
      <c r="J295" s="15"/>
      <c r="K295" s="14"/>
    </row>
    <row r="296" ht="14.25" customHeight="1">
      <c r="J296" s="15"/>
      <c r="K296" s="14"/>
    </row>
    <row r="297" ht="14.25" customHeight="1">
      <c r="J297" s="15"/>
      <c r="K297" s="14"/>
    </row>
    <row r="298" ht="14.25" customHeight="1">
      <c r="J298" s="15"/>
      <c r="K298" s="14"/>
    </row>
    <row r="299" ht="14.25" customHeight="1">
      <c r="J299" s="15"/>
      <c r="K299" s="14"/>
    </row>
    <row r="300" ht="14.25" customHeight="1">
      <c r="J300" s="15"/>
      <c r="K300" s="14"/>
    </row>
    <row r="301" ht="14.25" customHeight="1">
      <c r="J301" s="15"/>
      <c r="K301" s="14"/>
    </row>
    <row r="302" ht="14.25" customHeight="1">
      <c r="J302" s="15"/>
      <c r="K302" s="14"/>
    </row>
    <row r="303" ht="14.25" customHeight="1">
      <c r="J303" s="15"/>
      <c r="K303" s="14"/>
    </row>
    <row r="304" ht="14.25" customHeight="1">
      <c r="J304" s="15"/>
      <c r="K304" s="14"/>
    </row>
    <row r="305" ht="14.25" customHeight="1">
      <c r="J305" s="15"/>
      <c r="K305" s="14"/>
    </row>
    <row r="306" ht="14.25" customHeight="1">
      <c r="J306" s="15"/>
      <c r="K306" s="14"/>
    </row>
    <row r="307" ht="14.25" customHeight="1">
      <c r="J307" s="15"/>
      <c r="K307" s="14"/>
    </row>
    <row r="308" ht="14.25" customHeight="1">
      <c r="J308" s="15"/>
      <c r="K308" s="14"/>
    </row>
    <row r="309" ht="14.25" customHeight="1">
      <c r="J309" s="15"/>
      <c r="K309" s="14"/>
    </row>
    <row r="310" ht="14.25" customHeight="1">
      <c r="J310" s="15"/>
      <c r="K310" s="14"/>
    </row>
    <row r="311" ht="14.25" customHeight="1">
      <c r="J311" s="15"/>
      <c r="K311" s="14"/>
    </row>
    <row r="312" ht="14.25" customHeight="1">
      <c r="J312" s="15"/>
      <c r="K312" s="14"/>
    </row>
    <row r="313" ht="14.25" customHeight="1">
      <c r="J313" s="15"/>
      <c r="K313" s="14"/>
    </row>
    <row r="314" ht="14.25" customHeight="1">
      <c r="J314" s="15"/>
      <c r="K314" s="14"/>
    </row>
    <row r="315" ht="14.25" customHeight="1">
      <c r="J315" s="15"/>
      <c r="K315" s="14"/>
    </row>
    <row r="316" ht="14.25" customHeight="1">
      <c r="J316" s="15"/>
      <c r="K316" s="14"/>
    </row>
    <row r="317" ht="14.25" customHeight="1">
      <c r="J317" s="15"/>
      <c r="K317" s="14"/>
    </row>
    <row r="318" ht="14.25" customHeight="1">
      <c r="J318" s="15"/>
      <c r="K318" s="14"/>
    </row>
    <row r="319" ht="14.25" customHeight="1">
      <c r="J319" s="15"/>
      <c r="K319" s="14"/>
    </row>
    <row r="320" ht="14.25" customHeight="1">
      <c r="J320" s="15"/>
      <c r="K320" s="14"/>
    </row>
    <row r="321" ht="14.25" customHeight="1">
      <c r="J321" s="15"/>
      <c r="K321" s="14"/>
    </row>
    <row r="322" ht="14.25" customHeight="1">
      <c r="J322" s="15"/>
      <c r="K322" s="14"/>
    </row>
    <row r="323" ht="14.25" customHeight="1">
      <c r="J323" s="15"/>
      <c r="K323" s="14"/>
    </row>
    <row r="324" ht="14.25" customHeight="1">
      <c r="J324" s="15"/>
      <c r="K324" s="14"/>
    </row>
    <row r="325" ht="14.25" customHeight="1">
      <c r="J325" s="15"/>
      <c r="K325" s="14"/>
    </row>
    <row r="326" ht="14.25" customHeight="1">
      <c r="J326" s="15"/>
      <c r="K326" s="14"/>
    </row>
    <row r="327" ht="14.25" customHeight="1">
      <c r="J327" s="15"/>
      <c r="K327" s="14"/>
    </row>
    <row r="328" ht="14.25" customHeight="1">
      <c r="J328" s="15"/>
      <c r="K328" s="14"/>
    </row>
    <row r="329" ht="14.25" customHeight="1">
      <c r="J329" s="15"/>
      <c r="K329" s="14"/>
    </row>
    <row r="330" ht="14.25" customHeight="1">
      <c r="J330" s="15"/>
      <c r="K330" s="14"/>
    </row>
    <row r="331" ht="14.25" customHeight="1">
      <c r="J331" s="15"/>
      <c r="K331" s="14"/>
    </row>
    <row r="332" ht="14.25" customHeight="1">
      <c r="J332" s="15"/>
      <c r="K332" s="14"/>
    </row>
    <row r="333" ht="14.25" customHeight="1">
      <c r="J333" s="15"/>
      <c r="K333" s="14"/>
    </row>
    <row r="334" ht="14.25" customHeight="1">
      <c r="J334" s="15"/>
      <c r="K334" s="14"/>
    </row>
    <row r="335" ht="14.25" customHeight="1">
      <c r="J335" s="15"/>
      <c r="K335" s="14"/>
    </row>
    <row r="336" ht="14.25" customHeight="1">
      <c r="J336" s="15"/>
      <c r="K336" s="14"/>
    </row>
    <row r="337" ht="14.25" customHeight="1">
      <c r="J337" s="15"/>
      <c r="K337" s="14"/>
    </row>
    <row r="338" ht="14.25" customHeight="1">
      <c r="J338" s="15"/>
      <c r="K338" s="14"/>
    </row>
    <row r="339" ht="14.25" customHeight="1">
      <c r="J339" s="15"/>
      <c r="K339" s="14"/>
    </row>
    <row r="340" ht="14.25" customHeight="1">
      <c r="J340" s="15"/>
      <c r="K340" s="14"/>
    </row>
    <row r="341" ht="14.25" customHeight="1">
      <c r="J341" s="15"/>
      <c r="K341" s="14"/>
    </row>
    <row r="342" ht="14.25" customHeight="1">
      <c r="J342" s="15"/>
      <c r="K342" s="14"/>
    </row>
    <row r="343" ht="14.25" customHeight="1">
      <c r="J343" s="15"/>
      <c r="K343" s="14"/>
    </row>
    <row r="344" ht="14.25" customHeight="1">
      <c r="J344" s="15"/>
      <c r="K344" s="14"/>
    </row>
    <row r="345" ht="14.25" customHeight="1">
      <c r="J345" s="15"/>
      <c r="K345" s="14"/>
    </row>
    <row r="346" ht="14.25" customHeight="1">
      <c r="J346" s="15"/>
      <c r="K346" s="14"/>
    </row>
    <row r="347" ht="14.25" customHeight="1">
      <c r="J347" s="15"/>
      <c r="K347" s="14"/>
    </row>
    <row r="348" ht="14.25" customHeight="1">
      <c r="J348" s="15"/>
      <c r="K348" s="14"/>
    </row>
    <row r="349" ht="14.25" customHeight="1">
      <c r="J349" s="15"/>
      <c r="K349" s="14"/>
    </row>
    <row r="350" ht="14.25" customHeight="1">
      <c r="J350" s="15"/>
      <c r="K350" s="14"/>
    </row>
    <row r="351" ht="14.25" customHeight="1">
      <c r="J351" s="15"/>
      <c r="K351" s="14"/>
    </row>
    <row r="352" ht="14.25" customHeight="1">
      <c r="J352" s="15"/>
      <c r="K352" s="14"/>
    </row>
    <row r="353" ht="14.25" customHeight="1">
      <c r="J353" s="15"/>
      <c r="K353" s="14"/>
    </row>
    <row r="354" ht="14.25" customHeight="1">
      <c r="J354" s="15"/>
      <c r="K354" s="14"/>
    </row>
    <row r="355" ht="14.25" customHeight="1">
      <c r="J355" s="15"/>
      <c r="K355" s="14"/>
    </row>
    <row r="356" ht="14.25" customHeight="1">
      <c r="J356" s="15"/>
      <c r="K356" s="14"/>
    </row>
    <row r="357" ht="14.25" customHeight="1">
      <c r="J357" s="15"/>
      <c r="K357" s="14"/>
    </row>
    <row r="358" ht="14.25" customHeight="1">
      <c r="J358" s="15"/>
      <c r="K358" s="14"/>
    </row>
    <row r="359" ht="14.25" customHeight="1">
      <c r="J359" s="15"/>
      <c r="K359" s="14"/>
    </row>
    <row r="360" ht="14.25" customHeight="1">
      <c r="J360" s="15"/>
      <c r="K360" s="14"/>
    </row>
    <row r="361" ht="14.25" customHeight="1">
      <c r="J361" s="15"/>
      <c r="K361" s="14"/>
    </row>
    <row r="362" ht="14.25" customHeight="1">
      <c r="J362" s="15"/>
      <c r="K362" s="14"/>
    </row>
    <row r="363" ht="14.25" customHeight="1">
      <c r="J363" s="15"/>
      <c r="K363" s="14"/>
    </row>
    <row r="364" ht="14.25" customHeight="1">
      <c r="J364" s="15"/>
      <c r="K364" s="14"/>
    </row>
    <row r="365" ht="14.25" customHeight="1">
      <c r="J365" s="15"/>
      <c r="K365" s="14"/>
    </row>
    <row r="366" ht="14.25" customHeight="1">
      <c r="J366" s="15"/>
      <c r="K366" s="14"/>
    </row>
    <row r="367" ht="14.25" customHeight="1">
      <c r="J367" s="15"/>
      <c r="K367" s="14"/>
    </row>
    <row r="368" ht="14.25" customHeight="1">
      <c r="J368" s="15"/>
      <c r="K368" s="14"/>
    </row>
    <row r="369" ht="14.25" customHeight="1">
      <c r="J369" s="15"/>
      <c r="K369" s="14"/>
    </row>
    <row r="370" ht="14.25" customHeight="1">
      <c r="J370" s="15"/>
      <c r="K370" s="14"/>
    </row>
    <row r="371" ht="14.25" customHeight="1">
      <c r="J371" s="15"/>
      <c r="K371" s="14"/>
    </row>
    <row r="372" ht="14.25" customHeight="1">
      <c r="J372" s="15"/>
      <c r="K372" s="14"/>
    </row>
    <row r="373" ht="14.25" customHeight="1">
      <c r="J373" s="15"/>
      <c r="K373" s="14"/>
    </row>
    <row r="374" ht="14.25" customHeight="1">
      <c r="J374" s="15"/>
      <c r="K374" s="14"/>
    </row>
    <row r="375" ht="14.25" customHeight="1">
      <c r="J375" s="15"/>
      <c r="K375" s="14"/>
    </row>
    <row r="376" ht="14.25" customHeight="1">
      <c r="J376" s="15"/>
      <c r="K376" s="14"/>
    </row>
    <row r="377" ht="14.25" customHeight="1">
      <c r="J377" s="15"/>
      <c r="K377" s="14"/>
    </row>
    <row r="378" ht="14.25" customHeight="1">
      <c r="J378" s="15"/>
      <c r="K378" s="14"/>
    </row>
    <row r="379" ht="14.25" customHeight="1">
      <c r="J379" s="15"/>
      <c r="K379" s="14"/>
    </row>
    <row r="380" ht="14.25" customHeight="1">
      <c r="J380" s="15"/>
      <c r="K380" s="14"/>
    </row>
    <row r="381" ht="14.25" customHeight="1">
      <c r="J381" s="15"/>
      <c r="K381" s="14"/>
    </row>
    <row r="382" ht="14.25" customHeight="1">
      <c r="J382" s="15"/>
      <c r="K382" s="14"/>
    </row>
    <row r="383" ht="14.25" customHeight="1">
      <c r="J383" s="15"/>
      <c r="K383" s="14"/>
    </row>
    <row r="384" ht="14.25" customHeight="1">
      <c r="J384" s="15"/>
      <c r="K384" s="14"/>
    </row>
    <row r="385" ht="14.25" customHeight="1">
      <c r="J385" s="15"/>
      <c r="K385" s="14"/>
    </row>
    <row r="386" ht="14.25" customHeight="1">
      <c r="J386" s="15"/>
      <c r="K386" s="14"/>
    </row>
    <row r="387" ht="14.25" customHeight="1">
      <c r="J387" s="15"/>
      <c r="K387" s="14"/>
    </row>
    <row r="388" ht="14.25" customHeight="1">
      <c r="J388" s="15"/>
      <c r="K388" s="14"/>
    </row>
    <row r="389" ht="14.25" customHeight="1">
      <c r="J389" s="15"/>
      <c r="K389" s="14"/>
    </row>
    <row r="390" ht="14.25" customHeight="1">
      <c r="J390" s="15"/>
      <c r="K390" s="14"/>
    </row>
    <row r="391" ht="14.25" customHeight="1">
      <c r="J391" s="15"/>
      <c r="K391" s="14"/>
    </row>
    <row r="392" ht="14.25" customHeight="1">
      <c r="J392" s="15"/>
      <c r="K392" s="14"/>
    </row>
    <row r="393" ht="14.25" customHeight="1">
      <c r="J393" s="15"/>
      <c r="K393" s="14"/>
    </row>
    <row r="394" ht="14.25" customHeight="1">
      <c r="J394" s="15"/>
      <c r="K394" s="14"/>
    </row>
    <row r="395" ht="14.25" customHeight="1">
      <c r="J395" s="15"/>
      <c r="K395" s="14"/>
    </row>
    <row r="396" ht="14.25" customHeight="1">
      <c r="J396" s="15"/>
      <c r="K396" s="14"/>
    </row>
    <row r="397" ht="14.25" customHeight="1">
      <c r="J397" s="15"/>
      <c r="K397" s="14"/>
    </row>
    <row r="398" ht="14.25" customHeight="1">
      <c r="J398" s="15"/>
      <c r="K398" s="14"/>
    </row>
    <row r="399" ht="14.25" customHeight="1">
      <c r="J399" s="15"/>
      <c r="K399" s="14"/>
    </row>
    <row r="400" ht="14.25" customHeight="1">
      <c r="J400" s="15"/>
      <c r="K400" s="14"/>
    </row>
    <row r="401" ht="14.25" customHeight="1">
      <c r="J401" s="15"/>
      <c r="K401" s="14"/>
    </row>
    <row r="402" ht="14.25" customHeight="1">
      <c r="J402" s="15"/>
      <c r="K402" s="14"/>
    </row>
    <row r="403" ht="14.25" customHeight="1">
      <c r="J403" s="15"/>
      <c r="K403" s="14"/>
    </row>
    <row r="404" ht="14.25" customHeight="1">
      <c r="J404" s="15"/>
      <c r="K404" s="14"/>
    </row>
    <row r="405" ht="14.25" customHeight="1">
      <c r="J405" s="15"/>
      <c r="K405" s="14"/>
    </row>
    <row r="406" ht="14.25" customHeight="1">
      <c r="J406" s="15"/>
      <c r="K406" s="14"/>
    </row>
    <row r="407" ht="14.25" customHeight="1">
      <c r="J407" s="15"/>
      <c r="K407" s="14"/>
    </row>
    <row r="408" ht="14.25" customHeight="1">
      <c r="J408" s="15"/>
      <c r="K408" s="14"/>
    </row>
    <row r="409" ht="14.25" customHeight="1">
      <c r="J409" s="15"/>
      <c r="K409" s="14"/>
    </row>
    <row r="410" ht="14.25" customHeight="1">
      <c r="J410" s="15"/>
      <c r="K410" s="14"/>
    </row>
    <row r="411" ht="14.25" customHeight="1">
      <c r="J411" s="15"/>
      <c r="K411" s="14"/>
    </row>
    <row r="412" ht="14.25" customHeight="1">
      <c r="J412" s="15"/>
      <c r="K412" s="14"/>
    </row>
    <row r="413" ht="14.25" customHeight="1">
      <c r="J413" s="15"/>
      <c r="K413" s="14"/>
    </row>
    <row r="414" ht="14.25" customHeight="1">
      <c r="J414" s="15"/>
      <c r="K414" s="14"/>
    </row>
    <row r="415" ht="14.25" customHeight="1">
      <c r="J415" s="15"/>
      <c r="K415" s="14"/>
    </row>
    <row r="416" ht="14.25" customHeight="1">
      <c r="J416" s="15"/>
      <c r="K416" s="14"/>
    </row>
    <row r="417" ht="14.25" customHeight="1">
      <c r="J417" s="15"/>
      <c r="K417" s="14"/>
    </row>
    <row r="418" ht="14.25" customHeight="1">
      <c r="J418" s="15"/>
      <c r="K418" s="14"/>
    </row>
    <row r="419" ht="14.25" customHeight="1">
      <c r="J419" s="15"/>
      <c r="K419" s="14"/>
    </row>
    <row r="420" ht="14.25" customHeight="1">
      <c r="J420" s="15"/>
      <c r="K420" s="14"/>
    </row>
    <row r="421" ht="14.25" customHeight="1">
      <c r="J421" s="15"/>
      <c r="K421" s="14"/>
    </row>
    <row r="422" ht="14.25" customHeight="1">
      <c r="J422" s="15"/>
      <c r="K422" s="14"/>
    </row>
    <row r="423" ht="14.25" customHeight="1">
      <c r="J423" s="15"/>
      <c r="K423" s="14"/>
    </row>
    <row r="424" ht="14.25" customHeight="1">
      <c r="J424" s="15"/>
      <c r="K424" s="14"/>
    </row>
    <row r="425" ht="14.25" customHeight="1">
      <c r="J425" s="15"/>
      <c r="K425" s="14"/>
    </row>
    <row r="426" ht="14.25" customHeight="1">
      <c r="J426" s="15"/>
      <c r="K426" s="14"/>
    </row>
    <row r="427" ht="14.25" customHeight="1">
      <c r="J427" s="15"/>
      <c r="K427" s="14"/>
    </row>
    <row r="428" ht="14.25" customHeight="1">
      <c r="J428" s="15"/>
      <c r="K428" s="14"/>
    </row>
    <row r="429" ht="14.25" customHeight="1">
      <c r="J429" s="15"/>
      <c r="K429" s="14"/>
    </row>
    <row r="430" ht="14.25" customHeight="1">
      <c r="J430" s="15"/>
      <c r="K430" s="14"/>
    </row>
    <row r="431" ht="14.25" customHeight="1">
      <c r="J431" s="15"/>
      <c r="K431" s="14"/>
    </row>
    <row r="432" ht="14.25" customHeight="1">
      <c r="J432" s="15"/>
      <c r="K432" s="14"/>
    </row>
    <row r="433" ht="14.25" customHeight="1">
      <c r="J433" s="15"/>
      <c r="K433" s="14"/>
    </row>
    <row r="434" ht="14.25" customHeight="1">
      <c r="J434" s="15"/>
      <c r="K434" s="14"/>
    </row>
    <row r="435" ht="14.25" customHeight="1">
      <c r="J435" s="15"/>
      <c r="K435" s="14"/>
    </row>
    <row r="436" ht="14.25" customHeight="1">
      <c r="J436" s="15"/>
      <c r="K436" s="14"/>
    </row>
    <row r="437" ht="14.25" customHeight="1">
      <c r="J437" s="15"/>
      <c r="K437" s="14"/>
    </row>
    <row r="438" ht="14.25" customHeight="1">
      <c r="J438" s="15"/>
      <c r="K438" s="14"/>
    </row>
    <row r="439" ht="14.25" customHeight="1">
      <c r="J439" s="15"/>
      <c r="K439" s="14"/>
    </row>
    <row r="440" ht="14.25" customHeight="1">
      <c r="J440" s="15"/>
      <c r="K440" s="14"/>
    </row>
    <row r="441" ht="14.25" customHeight="1">
      <c r="J441" s="15"/>
      <c r="K441" s="14"/>
    </row>
    <row r="442" ht="14.25" customHeight="1">
      <c r="J442" s="15"/>
      <c r="K442" s="14"/>
    </row>
    <row r="443" ht="14.25" customHeight="1">
      <c r="J443" s="15"/>
      <c r="K443" s="14"/>
    </row>
    <row r="444" ht="14.25" customHeight="1">
      <c r="J444" s="15"/>
      <c r="K444" s="14"/>
    </row>
    <row r="445" ht="14.25" customHeight="1">
      <c r="J445" s="15"/>
      <c r="K445" s="14"/>
    </row>
    <row r="446" ht="14.25" customHeight="1">
      <c r="J446" s="15"/>
      <c r="K446" s="14"/>
    </row>
    <row r="447" ht="14.25" customHeight="1">
      <c r="J447" s="15"/>
      <c r="K447" s="14"/>
    </row>
    <row r="448" ht="14.25" customHeight="1">
      <c r="J448" s="15"/>
      <c r="K448" s="14"/>
    </row>
    <row r="449" ht="14.25" customHeight="1">
      <c r="J449" s="15"/>
      <c r="K449" s="14"/>
    </row>
    <row r="450" ht="14.25" customHeight="1">
      <c r="J450" s="15"/>
      <c r="K450" s="14"/>
    </row>
    <row r="451" ht="14.25" customHeight="1">
      <c r="J451" s="15"/>
      <c r="K451" s="14"/>
    </row>
    <row r="452" ht="14.25" customHeight="1">
      <c r="J452" s="15"/>
      <c r="K452" s="14"/>
    </row>
    <row r="453" ht="14.25" customHeight="1">
      <c r="J453" s="15"/>
      <c r="K453" s="14"/>
    </row>
    <row r="454" ht="14.25" customHeight="1">
      <c r="J454" s="15"/>
      <c r="K454" s="14"/>
    </row>
    <row r="455" ht="14.25" customHeight="1">
      <c r="J455" s="15"/>
      <c r="K455" s="14"/>
    </row>
    <row r="456" ht="14.25" customHeight="1">
      <c r="J456" s="15"/>
      <c r="K456" s="14"/>
    </row>
    <row r="457" ht="14.25" customHeight="1">
      <c r="J457" s="15"/>
      <c r="K457" s="14"/>
    </row>
    <row r="458" ht="14.25" customHeight="1">
      <c r="J458" s="15"/>
      <c r="K458" s="14"/>
    </row>
    <row r="459" ht="14.25" customHeight="1">
      <c r="J459" s="15"/>
      <c r="K459" s="14"/>
    </row>
    <row r="460" ht="14.25" customHeight="1">
      <c r="J460" s="15"/>
      <c r="K460" s="14"/>
    </row>
    <row r="461" ht="14.25" customHeight="1">
      <c r="J461" s="15"/>
      <c r="K461" s="14"/>
    </row>
    <row r="462" ht="14.25" customHeight="1">
      <c r="J462" s="15"/>
      <c r="K462" s="14"/>
    </row>
    <row r="463" ht="14.25" customHeight="1">
      <c r="J463" s="15"/>
      <c r="K463" s="14"/>
    </row>
    <row r="464" ht="14.25" customHeight="1">
      <c r="J464" s="15"/>
      <c r="K464" s="14"/>
    </row>
    <row r="465" ht="14.25" customHeight="1">
      <c r="J465" s="15"/>
      <c r="K465" s="14"/>
    </row>
    <row r="466" ht="14.25" customHeight="1">
      <c r="J466" s="15"/>
      <c r="K466" s="14"/>
    </row>
    <row r="467" ht="14.25" customHeight="1">
      <c r="J467" s="15"/>
      <c r="K467" s="14"/>
    </row>
    <row r="468" ht="14.25" customHeight="1">
      <c r="J468" s="15"/>
      <c r="K468" s="14"/>
    </row>
    <row r="469" ht="14.25" customHeight="1">
      <c r="J469" s="15"/>
      <c r="K469" s="14"/>
    </row>
    <row r="470" ht="14.25" customHeight="1">
      <c r="J470" s="15"/>
      <c r="K470" s="14"/>
    </row>
    <row r="471" ht="14.25" customHeight="1">
      <c r="J471" s="15"/>
      <c r="K471" s="14"/>
    </row>
    <row r="472" ht="14.25" customHeight="1">
      <c r="J472" s="15"/>
      <c r="K472" s="14"/>
    </row>
    <row r="473" ht="14.25" customHeight="1">
      <c r="J473" s="15"/>
      <c r="K473" s="14"/>
    </row>
    <row r="474" ht="14.25" customHeight="1">
      <c r="J474" s="15"/>
      <c r="K474" s="14"/>
    </row>
    <row r="475" ht="14.25" customHeight="1">
      <c r="J475" s="15"/>
      <c r="K475" s="14"/>
    </row>
    <row r="476" ht="14.25" customHeight="1">
      <c r="J476" s="15"/>
      <c r="K476" s="14"/>
    </row>
    <row r="477" ht="14.25" customHeight="1">
      <c r="J477" s="15"/>
      <c r="K477" s="14"/>
    </row>
    <row r="478" ht="14.25" customHeight="1">
      <c r="J478" s="15"/>
      <c r="K478" s="14"/>
    </row>
    <row r="479" ht="14.25" customHeight="1">
      <c r="J479" s="15"/>
      <c r="K479" s="14"/>
    </row>
    <row r="480" ht="14.25" customHeight="1">
      <c r="J480" s="15"/>
      <c r="K480" s="14"/>
    </row>
    <row r="481" ht="14.25" customHeight="1">
      <c r="J481" s="15"/>
      <c r="K481" s="14"/>
    </row>
    <row r="482" ht="14.25" customHeight="1">
      <c r="J482" s="15"/>
      <c r="K482" s="14"/>
    </row>
    <row r="483" ht="14.25" customHeight="1">
      <c r="J483" s="15"/>
      <c r="K483" s="14"/>
    </row>
    <row r="484" ht="14.25" customHeight="1">
      <c r="J484" s="15"/>
      <c r="K484" s="14"/>
    </row>
    <row r="485" ht="14.25" customHeight="1">
      <c r="J485" s="15"/>
      <c r="K485" s="14"/>
    </row>
    <row r="486" ht="14.25" customHeight="1">
      <c r="J486" s="15"/>
      <c r="K486" s="14"/>
    </row>
    <row r="487" ht="14.25" customHeight="1">
      <c r="J487" s="15"/>
      <c r="K487" s="14"/>
    </row>
    <row r="488" ht="14.25" customHeight="1">
      <c r="J488" s="15"/>
      <c r="K488" s="14"/>
    </row>
    <row r="489" ht="14.25" customHeight="1">
      <c r="J489" s="15"/>
      <c r="K489" s="14"/>
    </row>
    <row r="490" ht="14.25" customHeight="1">
      <c r="J490" s="15"/>
      <c r="K490" s="14"/>
    </row>
    <row r="491" ht="14.25" customHeight="1">
      <c r="J491" s="15"/>
      <c r="K491" s="14"/>
    </row>
    <row r="492" ht="14.25" customHeight="1">
      <c r="J492" s="15"/>
      <c r="K492" s="14"/>
    </row>
    <row r="493" ht="14.25" customHeight="1">
      <c r="J493" s="15"/>
      <c r="K493" s="14"/>
    </row>
    <row r="494" ht="14.25" customHeight="1">
      <c r="J494" s="15"/>
      <c r="K494" s="14"/>
    </row>
    <row r="495" ht="14.25" customHeight="1">
      <c r="J495" s="15"/>
      <c r="K495" s="14"/>
    </row>
    <row r="496" ht="14.25" customHeight="1">
      <c r="J496" s="15"/>
      <c r="K496" s="14"/>
    </row>
    <row r="497" ht="14.25" customHeight="1">
      <c r="J497" s="15"/>
      <c r="K497" s="14"/>
    </row>
    <row r="498" ht="14.25" customHeight="1">
      <c r="J498" s="15"/>
      <c r="K498" s="14"/>
    </row>
    <row r="499" ht="14.25" customHeight="1">
      <c r="J499" s="15"/>
      <c r="K499" s="14"/>
    </row>
    <row r="500" ht="14.25" customHeight="1">
      <c r="J500" s="15"/>
      <c r="K500" s="14"/>
    </row>
    <row r="501" ht="14.25" customHeight="1">
      <c r="J501" s="15"/>
      <c r="K501" s="14"/>
    </row>
    <row r="502" ht="14.25" customHeight="1">
      <c r="J502" s="15"/>
      <c r="K502" s="14"/>
    </row>
    <row r="503" ht="14.25" customHeight="1">
      <c r="J503" s="15"/>
      <c r="K503" s="14"/>
    </row>
    <row r="504" ht="14.25" customHeight="1">
      <c r="J504" s="15"/>
      <c r="K504" s="14"/>
    </row>
    <row r="505" ht="14.25" customHeight="1">
      <c r="J505" s="15"/>
      <c r="K505" s="14"/>
    </row>
    <row r="506" ht="14.25" customHeight="1">
      <c r="J506" s="15"/>
      <c r="K506" s="14"/>
    </row>
    <row r="507" ht="14.25" customHeight="1">
      <c r="J507" s="15"/>
      <c r="K507" s="14"/>
    </row>
    <row r="508" ht="14.25" customHeight="1">
      <c r="J508" s="15"/>
      <c r="K508" s="14"/>
    </row>
    <row r="509" ht="14.25" customHeight="1">
      <c r="J509" s="15"/>
      <c r="K509" s="14"/>
    </row>
    <row r="510" ht="14.25" customHeight="1">
      <c r="J510" s="15"/>
      <c r="K510" s="14"/>
    </row>
    <row r="511" ht="14.25" customHeight="1">
      <c r="J511" s="15"/>
      <c r="K511" s="14"/>
    </row>
    <row r="512" ht="14.25" customHeight="1">
      <c r="J512" s="15"/>
      <c r="K512" s="14"/>
    </row>
    <row r="513" ht="14.25" customHeight="1">
      <c r="J513" s="15"/>
      <c r="K513" s="14"/>
    </row>
    <row r="514" ht="14.25" customHeight="1">
      <c r="J514" s="15"/>
      <c r="K514" s="14"/>
    </row>
    <row r="515" ht="14.25" customHeight="1">
      <c r="J515" s="15"/>
      <c r="K515" s="14"/>
    </row>
    <row r="516" ht="14.25" customHeight="1">
      <c r="J516" s="15"/>
      <c r="K516" s="14"/>
    </row>
    <row r="517" ht="14.25" customHeight="1">
      <c r="J517" s="15"/>
      <c r="K517" s="14"/>
    </row>
    <row r="518" ht="14.25" customHeight="1">
      <c r="J518" s="15"/>
      <c r="K518" s="14"/>
    </row>
    <row r="519" ht="14.25" customHeight="1">
      <c r="J519" s="15"/>
      <c r="K519" s="14"/>
    </row>
    <row r="520" ht="14.25" customHeight="1">
      <c r="J520" s="15"/>
      <c r="K520" s="14"/>
    </row>
    <row r="521" ht="14.25" customHeight="1">
      <c r="J521" s="15"/>
      <c r="K521" s="14"/>
    </row>
    <row r="522" ht="14.25" customHeight="1">
      <c r="J522" s="15"/>
      <c r="K522" s="14"/>
    </row>
    <row r="523" ht="14.25" customHeight="1">
      <c r="J523" s="15"/>
      <c r="K523" s="14"/>
    </row>
    <row r="524" ht="14.25" customHeight="1">
      <c r="J524" s="15"/>
      <c r="K524" s="14"/>
    </row>
    <row r="525" ht="14.25" customHeight="1">
      <c r="J525" s="15"/>
      <c r="K525" s="14"/>
    </row>
    <row r="526" ht="14.25" customHeight="1">
      <c r="J526" s="15"/>
      <c r="K526" s="14"/>
    </row>
    <row r="527" ht="14.25" customHeight="1">
      <c r="J527" s="15"/>
      <c r="K527" s="14"/>
    </row>
    <row r="528" ht="14.25" customHeight="1">
      <c r="J528" s="15"/>
      <c r="K528" s="14"/>
    </row>
    <row r="529" ht="14.25" customHeight="1">
      <c r="J529" s="15"/>
      <c r="K529" s="14"/>
    </row>
    <row r="530" ht="14.25" customHeight="1">
      <c r="J530" s="15"/>
      <c r="K530" s="14"/>
    </row>
    <row r="531" ht="14.25" customHeight="1">
      <c r="J531" s="15"/>
      <c r="K531" s="14"/>
    </row>
    <row r="532" ht="14.25" customHeight="1">
      <c r="J532" s="15"/>
      <c r="K532" s="14"/>
    </row>
    <row r="533" ht="14.25" customHeight="1">
      <c r="J533" s="15"/>
      <c r="K533" s="14"/>
    </row>
    <row r="534" ht="14.25" customHeight="1">
      <c r="J534" s="15"/>
      <c r="K534" s="14"/>
    </row>
    <row r="535" ht="14.25" customHeight="1">
      <c r="J535" s="15"/>
      <c r="K535" s="14"/>
    </row>
    <row r="536" ht="14.25" customHeight="1">
      <c r="J536" s="15"/>
      <c r="K536" s="14"/>
    </row>
    <row r="537" ht="14.25" customHeight="1">
      <c r="J537" s="15"/>
      <c r="K537" s="14"/>
    </row>
    <row r="538" ht="14.25" customHeight="1">
      <c r="J538" s="15"/>
      <c r="K538" s="14"/>
    </row>
    <row r="539" ht="14.25" customHeight="1">
      <c r="J539" s="15"/>
      <c r="K539" s="14"/>
    </row>
    <row r="540" ht="14.25" customHeight="1">
      <c r="J540" s="15"/>
      <c r="K540" s="14"/>
    </row>
    <row r="541" ht="14.25" customHeight="1">
      <c r="J541" s="15"/>
      <c r="K541" s="14"/>
    </row>
    <row r="542" ht="14.25" customHeight="1">
      <c r="J542" s="15"/>
      <c r="K542" s="14"/>
    </row>
    <row r="543" ht="14.25" customHeight="1">
      <c r="J543" s="15"/>
      <c r="K543" s="14"/>
    </row>
    <row r="544" ht="14.25" customHeight="1">
      <c r="J544" s="15"/>
      <c r="K544" s="14"/>
    </row>
    <row r="545" ht="14.25" customHeight="1">
      <c r="J545" s="15"/>
      <c r="K545" s="14"/>
    </row>
    <row r="546" ht="14.25" customHeight="1">
      <c r="J546" s="15"/>
      <c r="K546" s="14"/>
    </row>
    <row r="547" ht="14.25" customHeight="1">
      <c r="J547" s="15"/>
      <c r="K547" s="14"/>
    </row>
    <row r="548" ht="14.25" customHeight="1">
      <c r="J548" s="15"/>
      <c r="K548" s="14"/>
    </row>
    <row r="549" ht="14.25" customHeight="1">
      <c r="J549" s="15"/>
      <c r="K549" s="14"/>
    </row>
    <row r="550" ht="14.25" customHeight="1">
      <c r="J550" s="15"/>
      <c r="K550" s="14"/>
    </row>
    <row r="551" ht="14.25" customHeight="1">
      <c r="J551" s="15"/>
      <c r="K551" s="14"/>
    </row>
    <row r="552" ht="14.25" customHeight="1">
      <c r="J552" s="15"/>
      <c r="K552" s="14"/>
    </row>
    <row r="553" ht="14.25" customHeight="1">
      <c r="J553" s="15"/>
      <c r="K553" s="14"/>
    </row>
    <row r="554" ht="14.25" customHeight="1">
      <c r="J554" s="15"/>
      <c r="K554" s="14"/>
    </row>
    <row r="555" ht="14.25" customHeight="1">
      <c r="J555" s="15"/>
      <c r="K555" s="14"/>
    </row>
    <row r="556" ht="14.25" customHeight="1">
      <c r="J556" s="15"/>
      <c r="K556" s="14"/>
    </row>
    <row r="557" ht="14.25" customHeight="1">
      <c r="J557" s="15"/>
      <c r="K557" s="14"/>
    </row>
    <row r="558" ht="14.25" customHeight="1">
      <c r="J558" s="15"/>
      <c r="K558" s="14"/>
    </row>
    <row r="559" ht="14.25" customHeight="1">
      <c r="J559" s="15"/>
      <c r="K559" s="14"/>
    </row>
    <row r="560" ht="14.25" customHeight="1">
      <c r="J560" s="15"/>
      <c r="K560" s="14"/>
    </row>
    <row r="561" ht="14.25" customHeight="1">
      <c r="J561" s="15"/>
      <c r="K561" s="14"/>
    </row>
    <row r="562" ht="14.25" customHeight="1">
      <c r="J562" s="15"/>
      <c r="K562" s="14"/>
    </row>
    <row r="563" ht="14.25" customHeight="1">
      <c r="J563" s="15"/>
      <c r="K563" s="14"/>
    </row>
    <row r="564" ht="14.25" customHeight="1">
      <c r="J564" s="15"/>
      <c r="K564" s="14"/>
    </row>
    <row r="565" ht="14.25" customHeight="1">
      <c r="J565" s="15"/>
      <c r="K565" s="14"/>
    </row>
    <row r="566" ht="14.25" customHeight="1">
      <c r="J566" s="15"/>
      <c r="K566" s="14"/>
    </row>
    <row r="567" ht="14.25" customHeight="1">
      <c r="J567" s="15"/>
      <c r="K567" s="14"/>
    </row>
    <row r="568" ht="14.25" customHeight="1">
      <c r="J568" s="15"/>
      <c r="K568" s="14"/>
    </row>
    <row r="569" ht="14.25" customHeight="1">
      <c r="J569" s="15"/>
      <c r="K569" s="14"/>
    </row>
    <row r="570" ht="14.25" customHeight="1">
      <c r="J570" s="15"/>
      <c r="K570" s="14"/>
    </row>
    <row r="571" ht="14.25" customHeight="1">
      <c r="J571" s="15"/>
      <c r="K571" s="14"/>
    </row>
    <row r="572" ht="14.25" customHeight="1">
      <c r="J572" s="15"/>
      <c r="K572" s="14"/>
    </row>
    <row r="573" ht="14.25" customHeight="1">
      <c r="J573" s="15"/>
      <c r="K573" s="14"/>
    </row>
    <row r="574" ht="14.25" customHeight="1">
      <c r="J574" s="15"/>
      <c r="K574" s="14"/>
    </row>
    <row r="575" ht="14.25" customHeight="1">
      <c r="J575" s="15"/>
      <c r="K575" s="14"/>
    </row>
    <row r="576" ht="14.25" customHeight="1">
      <c r="J576" s="15"/>
      <c r="K576" s="14"/>
    </row>
    <row r="577" ht="14.25" customHeight="1">
      <c r="J577" s="15"/>
      <c r="K577" s="14"/>
    </row>
    <row r="578" ht="14.25" customHeight="1">
      <c r="J578" s="15"/>
      <c r="K578" s="14"/>
    </row>
    <row r="579" ht="14.25" customHeight="1">
      <c r="J579" s="15"/>
      <c r="K579" s="14"/>
    </row>
    <row r="580" ht="14.25" customHeight="1">
      <c r="J580" s="15"/>
      <c r="K580" s="14"/>
    </row>
    <row r="581" ht="14.25" customHeight="1">
      <c r="J581" s="15"/>
      <c r="K581" s="14"/>
    </row>
    <row r="582" ht="14.25" customHeight="1">
      <c r="J582" s="15"/>
      <c r="K582" s="14"/>
    </row>
    <row r="583" ht="14.25" customHeight="1">
      <c r="J583" s="15"/>
      <c r="K583" s="14"/>
    </row>
    <row r="584" ht="14.25" customHeight="1">
      <c r="J584" s="15"/>
      <c r="K584" s="14"/>
    </row>
    <row r="585" ht="14.25" customHeight="1">
      <c r="J585" s="15"/>
      <c r="K585" s="14"/>
    </row>
    <row r="586" ht="14.25" customHeight="1">
      <c r="J586" s="15"/>
      <c r="K586" s="14"/>
    </row>
    <row r="587" ht="14.25" customHeight="1">
      <c r="J587" s="15"/>
      <c r="K587" s="14"/>
    </row>
    <row r="588" ht="14.25" customHeight="1">
      <c r="J588" s="15"/>
      <c r="K588" s="14"/>
    </row>
    <row r="589" ht="14.25" customHeight="1">
      <c r="J589" s="15"/>
      <c r="K589" s="14"/>
    </row>
    <row r="590" ht="14.25" customHeight="1">
      <c r="J590" s="15"/>
      <c r="K590" s="14"/>
    </row>
    <row r="591" ht="14.25" customHeight="1">
      <c r="J591" s="15"/>
      <c r="K591" s="14"/>
    </row>
    <row r="592" ht="14.25" customHeight="1">
      <c r="J592" s="15"/>
      <c r="K592" s="14"/>
    </row>
    <row r="593" ht="14.25" customHeight="1">
      <c r="J593" s="15"/>
      <c r="K593" s="14"/>
    </row>
    <row r="594" ht="14.25" customHeight="1">
      <c r="J594" s="15"/>
      <c r="K594" s="14"/>
    </row>
    <row r="595" ht="14.25" customHeight="1">
      <c r="J595" s="15"/>
      <c r="K595" s="14"/>
    </row>
    <row r="596" ht="14.25" customHeight="1">
      <c r="J596" s="15"/>
      <c r="K596" s="14"/>
    </row>
    <row r="597" ht="14.25" customHeight="1">
      <c r="J597" s="15"/>
      <c r="K597" s="14"/>
    </row>
    <row r="598" ht="14.25" customHeight="1">
      <c r="J598" s="15"/>
      <c r="K598" s="14"/>
    </row>
    <row r="599" ht="14.25" customHeight="1">
      <c r="J599" s="15"/>
      <c r="K599" s="14"/>
    </row>
    <row r="600" ht="14.25" customHeight="1">
      <c r="J600" s="15"/>
      <c r="K600" s="14"/>
    </row>
    <row r="601" ht="14.25" customHeight="1">
      <c r="J601" s="15"/>
      <c r="K601" s="14"/>
    </row>
    <row r="602" ht="14.25" customHeight="1">
      <c r="J602" s="15"/>
      <c r="K602" s="14"/>
    </row>
    <row r="603" ht="14.25" customHeight="1">
      <c r="J603" s="15"/>
      <c r="K603" s="14"/>
    </row>
    <row r="604" ht="14.25" customHeight="1">
      <c r="J604" s="15"/>
      <c r="K604" s="14"/>
    </row>
    <row r="605" ht="14.25" customHeight="1">
      <c r="J605" s="15"/>
      <c r="K605" s="14"/>
    </row>
    <row r="606" ht="14.25" customHeight="1">
      <c r="J606" s="15"/>
      <c r="K606" s="14"/>
    </row>
    <row r="607" ht="14.25" customHeight="1">
      <c r="J607" s="15"/>
      <c r="K607" s="14"/>
    </row>
    <row r="608" ht="14.25" customHeight="1">
      <c r="J608" s="15"/>
      <c r="K608" s="14"/>
    </row>
    <row r="609" ht="14.25" customHeight="1">
      <c r="J609" s="15"/>
      <c r="K609" s="14"/>
    </row>
    <row r="610" ht="14.25" customHeight="1">
      <c r="J610" s="15"/>
      <c r="K610" s="14"/>
    </row>
    <row r="611" ht="14.25" customHeight="1">
      <c r="J611" s="15"/>
      <c r="K611" s="14"/>
    </row>
    <row r="612" ht="14.25" customHeight="1">
      <c r="J612" s="15"/>
      <c r="K612" s="14"/>
    </row>
    <row r="613" ht="14.25" customHeight="1">
      <c r="J613" s="15"/>
      <c r="K613" s="14"/>
    </row>
    <row r="614" ht="14.25" customHeight="1">
      <c r="J614" s="15"/>
      <c r="K614" s="14"/>
    </row>
    <row r="615" ht="14.25" customHeight="1">
      <c r="J615" s="15"/>
      <c r="K615" s="14"/>
    </row>
    <row r="616" ht="14.25" customHeight="1">
      <c r="J616" s="15"/>
      <c r="K616" s="14"/>
    </row>
    <row r="617" ht="14.25" customHeight="1">
      <c r="J617" s="15"/>
      <c r="K617" s="14"/>
    </row>
    <row r="618" ht="14.25" customHeight="1">
      <c r="J618" s="15"/>
      <c r="K618" s="14"/>
    </row>
    <row r="619" ht="14.25" customHeight="1">
      <c r="J619" s="15"/>
      <c r="K619" s="14"/>
    </row>
    <row r="620" ht="14.25" customHeight="1">
      <c r="J620" s="15"/>
      <c r="K620" s="14"/>
    </row>
    <row r="621" ht="14.25" customHeight="1">
      <c r="J621" s="15"/>
      <c r="K621" s="14"/>
    </row>
    <row r="622" ht="14.25" customHeight="1">
      <c r="J622" s="15"/>
      <c r="K622" s="14"/>
    </row>
    <row r="623" ht="14.25" customHeight="1">
      <c r="J623" s="15"/>
      <c r="K623" s="14"/>
    </row>
    <row r="624" ht="14.25" customHeight="1">
      <c r="J624" s="15"/>
      <c r="K624" s="14"/>
    </row>
    <row r="625" ht="14.25" customHeight="1">
      <c r="J625" s="15"/>
      <c r="K625" s="14"/>
    </row>
    <row r="626" ht="14.25" customHeight="1">
      <c r="J626" s="15"/>
      <c r="K626" s="14"/>
    </row>
    <row r="627" ht="14.25" customHeight="1">
      <c r="J627" s="15"/>
      <c r="K627" s="14"/>
    </row>
    <row r="628" ht="14.25" customHeight="1">
      <c r="J628" s="15"/>
      <c r="K628" s="14"/>
    </row>
    <row r="629" ht="14.25" customHeight="1">
      <c r="J629" s="15"/>
      <c r="K629" s="14"/>
    </row>
    <row r="630" ht="14.25" customHeight="1">
      <c r="J630" s="15"/>
      <c r="K630" s="14"/>
    </row>
    <row r="631" ht="14.25" customHeight="1">
      <c r="J631" s="15"/>
      <c r="K631" s="14"/>
    </row>
    <row r="632" ht="14.25" customHeight="1">
      <c r="J632" s="15"/>
      <c r="K632" s="14"/>
    </row>
    <row r="633" ht="14.25" customHeight="1">
      <c r="J633" s="15"/>
      <c r="K633" s="14"/>
    </row>
    <row r="634" ht="14.25" customHeight="1">
      <c r="J634" s="15"/>
      <c r="K634" s="14"/>
    </row>
    <row r="635" ht="14.25" customHeight="1">
      <c r="J635" s="15"/>
      <c r="K635" s="14"/>
    </row>
    <row r="636" ht="14.25" customHeight="1">
      <c r="J636" s="15"/>
      <c r="K636" s="14"/>
    </row>
    <row r="637" ht="14.25" customHeight="1">
      <c r="J637" s="15"/>
      <c r="K637" s="14"/>
    </row>
    <row r="638" ht="14.25" customHeight="1">
      <c r="J638" s="15"/>
      <c r="K638" s="14"/>
    </row>
    <row r="639" ht="14.25" customHeight="1">
      <c r="J639" s="15"/>
      <c r="K639" s="14"/>
    </row>
    <row r="640" ht="14.25" customHeight="1">
      <c r="J640" s="15"/>
      <c r="K640" s="14"/>
    </row>
    <row r="641" ht="14.25" customHeight="1">
      <c r="J641" s="15"/>
      <c r="K641" s="14"/>
    </row>
    <row r="642" ht="14.25" customHeight="1">
      <c r="J642" s="15"/>
      <c r="K642" s="14"/>
    </row>
    <row r="643" ht="14.25" customHeight="1">
      <c r="J643" s="15"/>
      <c r="K643" s="14"/>
    </row>
    <row r="644" ht="14.25" customHeight="1">
      <c r="J644" s="15"/>
      <c r="K644" s="14"/>
    </row>
    <row r="645" ht="14.25" customHeight="1">
      <c r="J645" s="15"/>
      <c r="K645" s="14"/>
    </row>
    <row r="646" ht="14.25" customHeight="1">
      <c r="J646" s="15"/>
      <c r="K646" s="14"/>
    </row>
    <row r="647" ht="14.25" customHeight="1">
      <c r="J647" s="15"/>
      <c r="K647" s="14"/>
    </row>
    <row r="648" ht="14.25" customHeight="1">
      <c r="J648" s="15"/>
      <c r="K648" s="14"/>
    </row>
    <row r="649" ht="14.25" customHeight="1">
      <c r="J649" s="15"/>
      <c r="K649" s="14"/>
    </row>
    <row r="650" ht="14.25" customHeight="1">
      <c r="J650" s="15"/>
      <c r="K650" s="14"/>
    </row>
    <row r="651" ht="14.25" customHeight="1">
      <c r="J651" s="15"/>
      <c r="K651" s="14"/>
    </row>
    <row r="652" ht="14.25" customHeight="1">
      <c r="J652" s="15"/>
      <c r="K652" s="14"/>
    </row>
    <row r="653" ht="14.25" customHeight="1">
      <c r="J653" s="15"/>
      <c r="K653" s="14"/>
    </row>
    <row r="654" ht="14.25" customHeight="1">
      <c r="J654" s="15"/>
      <c r="K654" s="14"/>
    </row>
    <row r="655" ht="14.25" customHeight="1">
      <c r="J655" s="15"/>
      <c r="K655" s="14"/>
    </row>
    <row r="656" ht="14.25" customHeight="1">
      <c r="J656" s="15"/>
      <c r="K656" s="14"/>
    </row>
    <row r="657" ht="14.25" customHeight="1">
      <c r="J657" s="15"/>
      <c r="K657" s="14"/>
    </row>
    <row r="658" ht="14.25" customHeight="1">
      <c r="J658" s="15"/>
      <c r="K658" s="14"/>
    </row>
    <row r="659" ht="14.25" customHeight="1">
      <c r="J659" s="15"/>
      <c r="K659" s="14"/>
    </row>
    <row r="660" ht="14.25" customHeight="1">
      <c r="J660" s="15"/>
      <c r="K660" s="14"/>
    </row>
    <row r="661" ht="14.25" customHeight="1">
      <c r="J661" s="15"/>
      <c r="K661" s="14"/>
    </row>
    <row r="662" ht="14.25" customHeight="1">
      <c r="J662" s="15"/>
      <c r="K662" s="14"/>
    </row>
    <row r="663" ht="14.25" customHeight="1">
      <c r="J663" s="15"/>
      <c r="K663" s="14"/>
    </row>
    <row r="664" ht="14.25" customHeight="1">
      <c r="J664" s="15"/>
      <c r="K664" s="14"/>
    </row>
    <row r="665" ht="14.25" customHeight="1">
      <c r="J665" s="15"/>
      <c r="K665" s="14"/>
    </row>
    <row r="666" ht="14.25" customHeight="1">
      <c r="J666" s="15"/>
      <c r="K666" s="14"/>
    </row>
    <row r="667" ht="14.25" customHeight="1">
      <c r="J667" s="15"/>
      <c r="K667" s="14"/>
    </row>
    <row r="668" ht="14.25" customHeight="1">
      <c r="J668" s="15"/>
      <c r="K668" s="14"/>
    </row>
    <row r="669" ht="14.25" customHeight="1">
      <c r="J669" s="15"/>
      <c r="K669" s="14"/>
    </row>
    <row r="670" ht="14.25" customHeight="1">
      <c r="J670" s="15"/>
      <c r="K670" s="14"/>
    </row>
    <row r="671" ht="14.25" customHeight="1">
      <c r="J671" s="15"/>
      <c r="K671" s="14"/>
    </row>
    <row r="672" ht="14.25" customHeight="1">
      <c r="J672" s="15"/>
      <c r="K672" s="14"/>
    </row>
    <row r="673" ht="14.25" customHeight="1">
      <c r="J673" s="15"/>
      <c r="K673" s="14"/>
    </row>
    <row r="674" ht="14.25" customHeight="1">
      <c r="J674" s="15"/>
      <c r="K674" s="14"/>
    </row>
    <row r="675" ht="14.25" customHeight="1">
      <c r="J675" s="15"/>
      <c r="K675" s="14"/>
    </row>
    <row r="676" ht="14.25" customHeight="1">
      <c r="J676" s="15"/>
      <c r="K676" s="14"/>
    </row>
    <row r="677" ht="14.25" customHeight="1">
      <c r="J677" s="15"/>
      <c r="K677" s="14"/>
    </row>
    <row r="678" ht="14.25" customHeight="1">
      <c r="J678" s="15"/>
      <c r="K678" s="14"/>
    </row>
    <row r="679" ht="14.25" customHeight="1">
      <c r="J679" s="15"/>
      <c r="K679" s="14"/>
    </row>
    <row r="680" ht="14.25" customHeight="1">
      <c r="J680" s="15"/>
      <c r="K680" s="14"/>
    </row>
    <row r="681" ht="14.25" customHeight="1">
      <c r="J681" s="15"/>
      <c r="K681" s="14"/>
    </row>
    <row r="682" ht="14.25" customHeight="1">
      <c r="J682" s="15"/>
      <c r="K682" s="14"/>
    </row>
    <row r="683" ht="14.25" customHeight="1">
      <c r="J683" s="15"/>
      <c r="K683" s="14"/>
    </row>
    <row r="684" ht="14.25" customHeight="1">
      <c r="J684" s="15"/>
      <c r="K684" s="14"/>
    </row>
    <row r="685" ht="14.25" customHeight="1">
      <c r="J685" s="15"/>
      <c r="K685" s="14"/>
    </row>
    <row r="686" ht="14.25" customHeight="1">
      <c r="J686" s="15"/>
      <c r="K686" s="14"/>
    </row>
    <row r="687" ht="14.25" customHeight="1">
      <c r="J687" s="15"/>
      <c r="K687" s="14"/>
    </row>
    <row r="688" ht="14.25" customHeight="1">
      <c r="J688" s="15"/>
      <c r="K688" s="14"/>
    </row>
    <row r="689" ht="14.25" customHeight="1">
      <c r="J689" s="15"/>
      <c r="K689" s="14"/>
    </row>
    <row r="690" ht="14.25" customHeight="1">
      <c r="J690" s="15"/>
      <c r="K690" s="14"/>
    </row>
    <row r="691" ht="14.25" customHeight="1">
      <c r="J691" s="15"/>
      <c r="K691" s="14"/>
    </row>
    <row r="692" ht="14.25" customHeight="1">
      <c r="J692" s="15"/>
      <c r="K692" s="14"/>
    </row>
    <row r="693" ht="14.25" customHeight="1">
      <c r="J693" s="15"/>
      <c r="K693" s="14"/>
    </row>
    <row r="694" ht="14.25" customHeight="1">
      <c r="J694" s="15"/>
      <c r="K694" s="14"/>
    </row>
    <row r="695" ht="14.25" customHeight="1">
      <c r="J695" s="15"/>
      <c r="K695" s="14"/>
    </row>
    <row r="696" ht="14.25" customHeight="1">
      <c r="J696" s="15"/>
      <c r="K696" s="14"/>
    </row>
    <row r="697" ht="14.25" customHeight="1">
      <c r="J697" s="15"/>
      <c r="K697" s="14"/>
    </row>
    <row r="698" ht="14.25" customHeight="1">
      <c r="J698" s="15"/>
      <c r="K698" s="14"/>
    </row>
    <row r="699" ht="14.25" customHeight="1">
      <c r="J699" s="15"/>
      <c r="K699" s="14"/>
    </row>
    <row r="700" ht="14.25" customHeight="1">
      <c r="J700" s="15"/>
      <c r="K700" s="14"/>
    </row>
    <row r="701" ht="14.25" customHeight="1">
      <c r="J701" s="15"/>
      <c r="K701" s="14"/>
    </row>
    <row r="702" ht="14.25" customHeight="1">
      <c r="J702" s="15"/>
      <c r="K702" s="14"/>
    </row>
    <row r="703" ht="14.25" customHeight="1">
      <c r="J703" s="15"/>
      <c r="K703" s="14"/>
    </row>
    <row r="704" ht="14.25" customHeight="1">
      <c r="J704" s="15"/>
      <c r="K704" s="14"/>
    </row>
    <row r="705" ht="14.25" customHeight="1">
      <c r="J705" s="15"/>
      <c r="K705" s="14"/>
    </row>
    <row r="706" ht="14.25" customHeight="1">
      <c r="J706" s="15"/>
      <c r="K706" s="14"/>
    </row>
    <row r="707" ht="14.25" customHeight="1">
      <c r="J707" s="15"/>
      <c r="K707" s="14"/>
    </row>
    <row r="708" ht="14.25" customHeight="1">
      <c r="J708" s="15"/>
      <c r="K708" s="14"/>
    </row>
    <row r="709" ht="14.25" customHeight="1">
      <c r="J709" s="15"/>
      <c r="K709" s="14"/>
    </row>
    <row r="710" ht="14.25" customHeight="1">
      <c r="J710" s="15"/>
      <c r="K710" s="14"/>
    </row>
    <row r="711" ht="14.25" customHeight="1">
      <c r="J711" s="15"/>
      <c r="K711" s="14"/>
    </row>
    <row r="712" ht="14.25" customHeight="1">
      <c r="J712" s="15"/>
      <c r="K712" s="14"/>
    </row>
    <row r="713" ht="14.25" customHeight="1">
      <c r="J713" s="15"/>
      <c r="K713" s="14"/>
    </row>
    <row r="714" ht="14.25" customHeight="1">
      <c r="J714" s="15"/>
      <c r="K714" s="14"/>
    </row>
    <row r="715" ht="14.25" customHeight="1">
      <c r="J715" s="15"/>
      <c r="K715" s="14"/>
    </row>
    <row r="716" ht="14.25" customHeight="1">
      <c r="J716" s="15"/>
      <c r="K716" s="14"/>
    </row>
    <row r="717" ht="14.25" customHeight="1">
      <c r="J717" s="15"/>
      <c r="K717" s="14"/>
    </row>
    <row r="718" ht="14.25" customHeight="1">
      <c r="J718" s="15"/>
      <c r="K718" s="14"/>
    </row>
    <row r="719" ht="14.25" customHeight="1">
      <c r="J719" s="15"/>
      <c r="K719" s="14"/>
    </row>
    <row r="720" ht="14.25" customHeight="1">
      <c r="J720" s="15"/>
      <c r="K720" s="14"/>
    </row>
    <row r="721" ht="14.25" customHeight="1">
      <c r="J721" s="15"/>
      <c r="K721" s="14"/>
    </row>
    <row r="722" ht="14.25" customHeight="1">
      <c r="J722" s="15"/>
      <c r="K722" s="14"/>
    </row>
    <row r="723" ht="14.25" customHeight="1">
      <c r="J723" s="15"/>
      <c r="K723" s="14"/>
    </row>
    <row r="724" ht="14.25" customHeight="1">
      <c r="J724" s="15"/>
      <c r="K724" s="14"/>
    </row>
    <row r="725" ht="14.25" customHeight="1">
      <c r="J725" s="15"/>
      <c r="K725" s="14"/>
    </row>
    <row r="726" ht="14.25" customHeight="1">
      <c r="J726" s="15"/>
      <c r="K726" s="14"/>
    </row>
    <row r="727" ht="14.25" customHeight="1">
      <c r="J727" s="15"/>
      <c r="K727" s="14"/>
    </row>
    <row r="728" ht="14.25" customHeight="1">
      <c r="J728" s="15"/>
      <c r="K728" s="14"/>
    </row>
    <row r="729" ht="14.25" customHeight="1">
      <c r="J729" s="15"/>
      <c r="K729" s="14"/>
    </row>
    <row r="730" ht="14.25" customHeight="1">
      <c r="J730" s="15"/>
      <c r="K730" s="14"/>
    </row>
    <row r="731" ht="14.25" customHeight="1">
      <c r="J731" s="15"/>
      <c r="K731" s="14"/>
    </row>
    <row r="732" ht="14.25" customHeight="1">
      <c r="J732" s="15"/>
      <c r="K732" s="14"/>
    </row>
    <row r="733" ht="14.25" customHeight="1">
      <c r="J733" s="15"/>
      <c r="K733" s="14"/>
    </row>
    <row r="734" ht="14.25" customHeight="1">
      <c r="J734" s="15"/>
      <c r="K734" s="14"/>
    </row>
    <row r="735" ht="14.25" customHeight="1">
      <c r="J735" s="15"/>
      <c r="K735" s="14"/>
    </row>
    <row r="736" ht="14.25" customHeight="1">
      <c r="J736" s="15"/>
      <c r="K736" s="14"/>
    </row>
    <row r="737" ht="14.25" customHeight="1">
      <c r="J737" s="15"/>
      <c r="K737" s="14"/>
    </row>
    <row r="738" ht="14.25" customHeight="1">
      <c r="J738" s="15"/>
      <c r="K738" s="14"/>
    </row>
    <row r="739" ht="14.25" customHeight="1">
      <c r="J739" s="15"/>
      <c r="K739" s="14"/>
    </row>
    <row r="740" ht="14.25" customHeight="1">
      <c r="J740" s="15"/>
      <c r="K740" s="14"/>
    </row>
    <row r="741" ht="14.25" customHeight="1">
      <c r="J741" s="15"/>
      <c r="K741" s="14"/>
    </row>
    <row r="742" ht="14.25" customHeight="1">
      <c r="J742" s="15"/>
      <c r="K742" s="14"/>
    </row>
    <row r="743" ht="14.25" customHeight="1">
      <c r="J743" s="15"/>
      <c r="K743" s="14"/>
    </row>
    <row r="744" ht="14.25" customHeight="1">
      <c r="J744" s="15"/>
      <c r="K744" s="14"/>
    </row>
    <row r="745" ht="14.25" customHeight="1">
      <c r="J745" s="15"/>
      <c r="K745" s="14"/>
    </row>
    <row r="746" ht="14.25" customHeight="1">
      <c r="J746" s="15"/>
      <c r="K746" s="14"/>
    </row>
    <row r="747" ht="14.25" customHeight="1">
      <c r="J747" s="15"/>
      <c r="K747" s="14"/>
    </row>
    <row r="748" ht="14.25" customHeight="1">
      <c r="J748" s="15"/>
      <c r="K748" s="14"/>
    </row>
    <row r="749" ht="14.25" customHeight="1">
      <c r="J749" s="15"/>
      <c r="K749" s="14"/>
    </row>
    <row r="750" ht="14.25" customHeight="1">
      <c r="J750" s="15"/>
      <c r="K750" s="14"/>
    </row>
    <row r="751" ht="14.25" customHeight="1">
      <c r="J751" s="15"/>
      <c r="K751" s="14"/>
    </row>
    <row r="752" ht="14.25" customHeight="1">
      <c r="J752" s="15"/>
      <c r="K752" s="14"/>
    </row>
    <row r="753" ht="14.25" customHeight="1">
      <c r="J753" s="15"/>
      <c r="K753" s="14"/>
    </row>
    <row r="754" ht="14.25" customHeight="1">
      <c r="J754" s="15"/>
      <c r="K754" s="14"/>
    </row>
    <row r="755" ht="14.25" customHeight="1">
      <c r="J755" s="15"/>
      <c r="K755" s="14"/>
    </row>
    <row r="756" ht="14.25" customHeight="1">
      <c r="J756" s="15"/>
      <c r="K756" s="14"/>
    </row>
    <row r="757" ht="14.25" customHeight="1">
      <c r="J757" s="15"/>
      <c r="K757" s="14"/>
    </row>
    <row r="758" ht="14.25" customHeight="1">
      <c r="J758" s="15"/>
      <c r="K758" s="14"/>
    </row>
    <row r="759" ht="14.25" customHeight="1">
      <c r="J759" s="15"/>
      <c r="K759" s="14"/>
    </row>
    <row r="760" ht="14.25" customHeight="1">
      <c r="J760" s="15"/>
      <c r="K760" s="14"/>
    </row>
    <row r="761" ht="14.25" customHeight="1">
      <c r="J761" s="15"/>
      <c r="K761" s="14"/>
    </row>
    <row r="762" ht="14.25" customHeight="1">
      <c r="J762" s="15"/>
      <c r="K762" s="14"/>
    </row>
    <row r="763" ht="14.25" customHeight="1">
      <c r="J763" s="15"/>
      <c r="K763" s="14"/>
    </row>
    <row r="764" ht="14.25" customHeight="1">
      <c r="J764" s="15"/>
      <c r="K764" s="14"/>
    </row>
    <row r="765" ht="14.25" customHeight="1">
      <c r="J765" s="15"/>
      <c r="K765" s="14"/>
    </row>
    <row r="766" ht="14.25" customHeight="1">
      <c r="J766" s="15"/>
      <c r="K766" s="14"/>
    </row>
    <row r="767" ht="14.25" customHeight="1">
      <c r="J767" s="15"/>
      <c r="K767" s="14"/>
    </row>
    <row r="768" ht="14.25" customHeight="1">
      <c r="J768" s="15"/>
      <c r="K768" s="14"/>
    </row>
    <row r="769" ht="14.25" customHeight="1">
      <c r="J769" s="15"/>
      <c r="K769" s="14"/>
    </row>
    <row r="770" ht="14.25" customHeight="1">
      <c r="J770" s="15"/>
      <c r="K770" s="14"/>
    </row>
    <row r="771" ht="14.25" customHeight="1">
      <c r="J771" s="15"/>
      <c r="K771" s="14"/>
    </row>
    <row r="772" ht="14.25" customHeight="1">
      <c r="J772" s="15"/>
      <c r="K772" s="14"/>
    </row>
    <row r="773" ht="14.25" customHeight="1">
      <c r="J773" s="15"/>
      <c r="K773" s="14"/>
    </row>
    <row r="774" ht="14.25" customHeight="1">
      <c r="J774" s="15"/>
      <c r="K774" s="14"/>
    </row>
    <row r="775" ht="14.25" customHeight="1">
      <c r="J775" s="15"/>
      <c r="K775" s="14"/>
    </row>
    <row r="776" ht="14.25" customHeight="1">
      <c r="J776" s="15"/>
      <c r="K776" s="14"/>
    </row>
    <row r="777" ht="14.25" customHeight="1">
      <c r="J777" s="15"/>
      <c r="K777" s="14"/>
    </row>
    <row r="778" ht="14.25" customHeight="1">
      <c r="J778" s="15"/>
      <c r="K778" s="14"/>
    </row>
    <row r="779" ht="14.25" customHeight="1">
      <c r="J779" s="15"/>
      <c r="K779" s="14"/>
    </row>
    <row r="780" ht="14.25" customHeight="1">
      <c r="J780" s="15"/>
      <c r="K780" s="14"/>
    </row>
    <row r="781" ht="14.25" customHeight="1">
      <c r="J781" s="15"/>
      <c r="K781" s="14"/>
    </row>
    <row r="782" ht="14.25" customHeight="1">
      <c r="J782" s="15"/>
      <c r="K782" s="14"/>
    </row>
    <row r="783" ht="14.25" customHeight="1">
      <c r="J783" s="15"/>
      <c r="K783" s="14"/>
    </row>
    <row r="784" ht="14.25" customHeight="1">
      <c r="J784" s="15"/>
      <c r="K784" s="14"/>
    </row>
    <row r="785" ht="14.25" customHeight="1">
      <c r="J785" s="15"/>
      <c r="K785" s="14"/>
    </row>
    <row r="786" ht="14.25" customHeight="1">
      <c r="J786" s="15"/>
      <c r="K786" s="14"/>
    </row>
    <row r="787" ht="14.25" customHeight="1">
      <c r="J787" s="15"/>
      <c r="K787" s="14"/>
    </row>
    <row r="788" ht="14.25" customHeight="1">
      <c r="J788" s="15"/>
      <c r="K788" s="14"/>
    </row>
    <row r="789" ht="14.25" customHeight="1">
      <c r="J789" s="15"/>
      <c r="K789" s="14"/>
    </row>
    <row r="790" ht="14.25" customHeight="1">
      <c r="J790" s="15"/>
      <c r="K790" s="14"/>
    </row>
    <row r="791" ht="14.25" customHeight="1">
      <c r="J791" s="15"/>
      <c r="K791" s="14"/>
    </row>
    <row r="792" ht="14.25" customHeight="1">
      <c r="J792" s="15"/>
      <c r="K792" s="14"/>
    </row>
    <row r="793" ht="14.25" customHeight="1">
      <c r="J793" s="15"/>
      <c r="K793" s="14"/>
    </row>
    <row r="794" ht="14.25" customHeight="1">
      <c r="J794" s="15"/>
      <c r="K794" s="14"/>
    </row>
    <row r="795" ht="14.25" customHeight="1">
      <c r="J795" s="15"/>
      <c r="K795" s="14"/>
    </row>
    <row r="796" ht="14.25" customHeight="1">
      <c r="J796" s="15"/>
      <c r="K796" s="14"/>
    </row>
    <row r="797" ht="14.25" customHeight="1">
      <c r="J797" s="15"/>
      <c r="K797" s="14"/>
    </row>
    <row r="798" ht="14.25" customHeight="1">
      <c r="J798" s="15"/>
      <c r="K798" s="14"/>
    </row>
    <row r="799" ht="14.25" customHeight="1">
      <c r="J799" s="15"/>
      <c r="K799" s="14"/>
    </row>
    <row r="800" ht="14.25" customHeight="1">
      <c r="J800" s="15"/>
      <c r="K800" s="14"/>
    </row>
    <row r="801" ht="14.25" customHeight="1">
      <c r="J801" s="15"/>
      <c r="K801" s="14"/>
    </row>
    <row r="802" ht="14.25" customHeight="1">
      <c r="J802" s="15"/>
      <c r="K802" s="14"/>
    </row>
    <row r="803" ht="14.25" customHeight="1">
      <c r="J803" s="15"/>
      <c r="K803" s="14"/>
    </row>
    <row r="804" ht="14.25" customHeight="1">
      <c r="J804" s="15"/>
      <c r="K804" s="14"/>
    </row>
    <row r="805" ht="14.25" customHeight="1">
      <c r="J805" s="15"/>
      <c r="K805" s="14"/>
    </row>
    <row r="806" ht="14.25" customHeight="1">
      <c r="J806" s="15"/>
      <c r="K806" s="14"/>
    </row>
    <row r="807" ht="14.25" customHeight="1">
      <c r="J807" s="15"/>
      <c r="K807" s="14"/>
    </row>
    <row r="808" ht="14.25" customHeight="1">
      <c r="J808" s="15"/>
      <c r="K808" s="14"/>
    </row>
    <row r="809" ht="14.25" customHeight="1">
      <c r="J809" s="15"/>
      <c r="K809" s="14"/>
    </row>
    <row r="810" ht="14.25" customHeight="1">
      <c r="J810" s="15"/>
      <c r="K810" s="14"/>
    </row>
    <row r="811" ht="14.25" customHeight="1">
      <c r="J811" s="15"/>
      <c r="K811" s="14"/>
    </row>
    <row r="812" ht="14.25" customHeight="1">
      <c r="J812" s="15"/>
      <c r="K812" s="14"/>
    </row>
    <row r="813" ht="14.25" customHeight="1">
      <c r="J813" s="15"/>
      <c r="K813" s="14"/>
    </row>
    <row r="814" ht="14.25" customHeight="1">
      <c r="J814" s="15"/>
      <c r="K814" s="14"/>
    </row>
    <row r="815" ht="14.25" customHeight="1">
      <c r="J815" s="15"/>
      <c r="K815" s="14"/>
    </row>
    <row r="816" ht="14.25" customHeight="1">
      <c r="J816" s="15"/>
      <c r="K816" s="14"/>
    </row>
    <row r="817" ht="14.25" customHeight="1">
      <c r="J817" s="15"/>
      <c r="K817" s="14"/>
    </row>
    <row r="818" ht="14.25" customHeight="1">
      <c r="J818" s="15"/>
      <c r="K818" s="14"/>
    </row>
    <row r="819" ht="14.25" customHeight="1">
      <c r="J819" s="15"/>
      <c r="K819" s="14"/>
    </row>
    <row r="820" ht="14.25" customHeight="1">
      <c r="J820" s="15"/>
      <c r="K820" s="14"/>
    </row>
    <row r="821" ht="14.25" customHeight="1">
      <c r="J821" s="15"/>
      <c r="K821" s="14"/>
    </row>
    <row r="822" ht="14.25" customHeight="1">
      <c r="J822" s="15"/>
      <c r="K822" s="14"/>
    </row>
    <row r="823" ht="14.25" customHeight="1">
      <c r="J823" s="15"/>
      <c r="K823" s="14"/>
    </row>
    <row r="824" ht="14.25" customHeight="1">
      <c r="J824" s="15"/>
      <c r="K824" s="14"/>
    </row>
    <row r="825" ht="14.25" customHeight="1">
      <c r="J825" s="15"/>
      <c r="K825" s="14"/>
    </row>
    <row r="826" ht="14.25" customHeight="1">
      <c r="J826" s="15"/>
      <c r="K826" s="14"/>
    </row>
    <row r="827" ht="14.25" customHeight="1">
      <c r="J827" s="15"/>
      <c r="K827" s="14"/>
    </row>
    <row r="828" ht="14.25" customHeight="1">
      <c r="J828" s="15"/>
      <c r="K828" s="14"/>
    </row>
    <row r="829" ht="14.25" customHeight="1">
      <c r="J829" s="15"/>
      <c r="K829" s="14"/>
    </row>
    <row r="830" ht="14.25" customHeight="1">
      <c r="J830" s="15"/>
      <c r="K830" s="14"/>
    </row>
    <row r="831" ht="14.25" customHeight="1">
      <c r="J831" s="15"/>
      <c r="K831" s="14"/>
    </row>
    <row r="832" ht="14.25" customHeight="1">
      <c r="J832" s="15"/>
      <c r="K832" s="14"/>
    </row>
    <row r="833" ht="14.25" customHeight="1">
      <c r="J833" s="15"/>
      <c r="K833" s="14"/>
    </row>
    <row r="834" ht="14.25" customHeight="1">
      <c r="J834" s="15"/>
      <c r="K834" s="14"/>
    </row>
    <row r="835" ht="14.25" customHeight="1">
      <c r="J835" s="15"/>
      <c r="K835" s="14"/>
    </row>
    <row r="836" ht="14.25" customHeight="1">
      <c r="J836" s="15"/>
      <c r="K836" s="14"/>
    </row>
    <row r="837" ht="14.25" customHeight="1">
      <c r="J837" s="15"/>
      <c r="K837" s="14"/>
    </row>
    <row r="838" ht="14.25" customHeight="1">
      <c r="J838" s="15"/>
      <c r="K838" s="14"/>
    </row>
    <row r="839" ht="14.25" customHeight="1">
      <c r="J839" s="15"/>
      <c r="K839" s="14"/>
    </row>
    <row r="840" ht="14.25" customHeight="1">
      <c r="J840" s="15"/>
      <c r="K840" s="14"/>
    </row>
    <row r="841" ht="14.25" customHeight="1">
      <c r="J841" s="15"/>
      <c r="K841" s="14"/>
    </row>
    <row r="842" ht="14.25" customHeight="1">
      <c r="J842" s="15"/>
      <c r="K842" s="14"/>
    </row>
    <row r="843" ht="14.25" customHeight="1">
      <c r="J843" s="15"/>
      <c r="K843" s="14"/>
    </row>
    <row r="844" ht="14.25" customHeight="1">
      <c r="J844" s="15"/>
      <c r="K844" s="14"/>
    </row>
    <row r="845" ht="14.25" customHeight="1">
      <c r="J845" s="15"/>
      <c r="K845" s="14"/>
    </row>
    <row r="846" ht="14.25" customHeight="1">
      <c r="J846" s="15"/>
      <c r="K846" s="14"/>
    </row>
    <row r="847" ht="14.25" customHeight="1">
      <c r="J847" s="15"/>
      <c r="K847" s="14"/>
    </row>
    <row r="848" ht="14.25" customHeight="1">
      <c r="J848" s="15"/>
      <c r="K848" s="14"/>
    </row>
    <row r="849" ht="14.25" customHeight="1">
      <c r="J849" s="15"/>
      <c r="K849" s="14"/>
    </row>
    <row r="850" ht="14.25" customHeight="1">
      <c r="J850" s="15"/>
      <c r="K850" s="14"/>
    </row>
    <row r="851" ht="14.25" customHeight="1">
      <c r="J851" s="15"/>
      <c r="K851" s="14"/>
    </row>
    <row r="852" ht="14.25" customHeight="1">
      <c r="J852" s="15"/>
      <c r="K852" s="14"/>
    </row>
    <row r="853" ht="14.25" customHeight="1">
      <c r="J853" s="15"/>
      <c r="K853" s="14"/>
    </row>
    <row r="854" ht="14.25" customHeight="1">
      <c r="J854" s="15"/>
      <c r="K854" s="14"/>
    </row>
    <row r="855" ht="14.25" customHeight="1">
      <c r="J855" s="15"/>
      <c r="K855" s="14"/>
    </row>
    <row r="856" ht="14.25" customHeight="1">
      <c r="J856" s="15"/>
      <c r="K856" s="14"/>
    </row>
    <row r="857" ht="14.25" customHeight="1">
      <c r="J857" s="15"/>
      <c r="K857" s="14"/>
    </row>
    <row r="858" ht="14.25" customHeight="1">
      <c r="J858" s="15"/>
      <c r="K858" s="14"/>
    </row>
    <row r="859" ht="14.25" customHeight="1">
      <c r="J859" s="15"/>
      <c r="K859" s="14"/>
    </row>
    <row r="860" ht="14.25" customHeight="1">
      <c r="J860" s="15"/>
      <c r="K860" s="14"/>
    </row>
    <row r="861" ht="14.25" customHeight="1">
      <c r="J861" s="15"/>
      <c r="K861" s="14"/>
    </row>
    <row r="862" ht="14.25" customHeight="1">
      <c r="J862" s="15"/>
      <c r="K862" s="14"/>
    </row>
    <row r="863" ht="14.25" customHeight="1">
      <c r="J863" s="15"/>
      <c r="K863" s="14"/>
    </row>
    <row r="864" ht="14.25" customHeight="1">
      <c r="J864" s="15"/>
      <c r="K864" s="14"/>
    </row>
    <row r="865" ht="14.25" customHeight="1">
      <c r="J865" s="15"/>
      <c r="K865" s="14"/>
    </row>
    <row r="866" ht="14.25" customHeight="1">
      <c r="J866" s="15"/>
      <c r="K866" s="14"/>
    </row>
    <row r="867" ht="14.25" customHeight="1">
      <c r="J867" s="15"/>
      <c r="K867" s="14"/>
    </row>
    <row r="868" ht="14.25" customHeight="1">
      <c r="J868" s="15"/>
      <c r="K868" s="14"/>
    </row>
    <row r="869" ht="14.25" customHeight="1">
      <c r="J869" s="15"/>
      <c r="K869" s="14"/>
    </row>
    <row r="870" ht="14.25" customHeight="1">
      <c r="J870" s="15"/>
      <c r="K870" s="14"/>
    </row>
    <row r="871" ht="14.25" customHeight="1">
      <c r="J871" s="15"/>
      <c r="K871" s="14"/>
    </row>
    <row r="872" ht="14.25" customHeight="1">
      <c r="J872" s="15"/>
      <c r="K872" s="14"/>
    </row>
    <row r="873" ht="14.25" customHeight="1">
      <c r="J873" s="15"/>
      <c r="K873" s="14"/>
    </row>
    <row r="874" ht="14.25" customHeight="1">
      <c r="J874" s="15"/>
      <c r="K874" s="14"/>
    </row>
    <row r="875" ht="14.25" customHeight="1">
      <c r="J875" s="15"/>
      <c r="K875" s="14"/>
    </row>
    <row r="876" ht="14.25" customHeight="1">
      <c r="J876" s="15"/>
      <c r="K876" s="14"/>
    </row>
    <row r="877" ht="14.25" customHeight="1">
      <c r="J877" s="15"/>
      <c r="K877" s="14"/>
    </row>
    <row r="878" ht="14.25" customHeight="1">
      <c r="J878" s="15"/>
      <c r="K878" s="14"/>
    </row>
    <row r="879" ht="14.25" customHeight="1">
      <c r="J879" s="15"/>
      <c r="K879" s="14"/>
    </row>
    <row r="880" ht="14.25" customHeight="1">
      <c r="J880" s="15"/>
      <c r="K880" s="14"/>
    </row>
    <row r="881" ht="14.25" customHeight="1">
      <c r="J881" s="15"/>
      <c r="K881" s="14"/>
    </row>
    <row r="882" ht="14.25" customHeight="1">
      <c r="J882" s="15"/>
      <c r="K882" s="14"/>
    </row>
    <row r="883" ht="14.25" customHeight="1">
      <c r="J883" s="15"/>
      <c r="K883" s="14"/>
    </row>
    <row r="884" ht="14.25" customHeight="1">
      <c r="J884" s="15"/>
      <c r="K884" s="14"/>
    </row>
    <row r="885" ht="14.25" customHeight="1">
      <c r="J885" s="15"/>
      <c r="K885" s="14"/>
    </row>
    <row r="886" ht="14.25" customHeight="1">
      <c r="J886" s="15"/>
      <c r="K886" s="14"/>
    </row>
    <row r="887" ht="14.25" customHeight="1">
      <c r="J887" s="15"/>
      <c r="K887" s="14"/>
    </row>
    <row r="888" ht="14.25" customHeight="1">
      <c r="J888" s="15"/>
      <c r="K888" s="14"/>
    </row>
    <row r="889" ht="14.25" customHeight="1">
      <c r="J889" s="15"/>
      <c r="K889" s="14"/>
    </row>
    <row r="890" ht="14.25" customHeight="1">
      <c r="J890" s="15"/>
      <c r="K890" s="14"/>
    </row>
    <row r="891" ht="14.25" customHeight="1">
      <c r="J891" s="15"/>
      <c r="K891" s="14"/>
    </row>
    <row r="892" ht="14.25" customHeight="1">
      <c r="J892" s="15"/>
      <c r="K892" s="14"/>
    </row>
    <row r="893" ht="14.25" customHeight="1">
      <c r="J893" s="15"/>
      <c r="K893" s="14"/>
    </row>
    <row r="894" ht="14.25" customHeight="1">
      <c r="J894" s="15"/>
      <c r="K894" s="14"/>
    </row>
    <row r="895" ht="14.25" customHeight="1">
      <c r="J895" s="15"/>
      <c r="K895" s="14"/>
    </row>
    <row r="896" ht="14.25" customHeight="1">
      <c r="J896" s="15"/>
      <c r="K896" s="14"/>
    </row>
    <row r="897" ht="14.25" customHeight="1">
      <c r="J897" s="15"/>
      <c r="K897" s="14"/>
    </row>
    <row r="898" ht="14.25" customHeight="1">
      <c r="J898" s="15"/>
      <c r="K898" s="14"/>
    </row>
    <row r="899" ht="14.25" customHeight="1">
      <c r="J899" s="15"/>
      <c r="K899" s="14"/>
    </row>
    <row r="900" ht="14.25" customHeight="1">
      <c r="J900" s="15"/>
      <c r="K900" s="14"/>
    </row>
    <row r="901" ht="14.25" customHeight="1">
      <c r="J901" s="15"/>
      <c r="K901" s="14"/>
    </row>
    <row r="902" ht="14.25" customHeight="1">
      <c r="J902" s="15"/>
      <c r="K902" s="14"/>
    </row>
    <row r="903" ht="14.25" customHeight="1">
      <c r="J903" s="15"/>
      <c r="K903" s="14"/>
    </row>
    <row r="904" ht="14.25" customHeight="1">
      <c r="J904" s="15"/>
      <c r="K904" s="14"/>
    </row>
    <row r="905" ht="14.25" customHeight="1">
      <c r="J905" s="15"/>
      <c r="K905" s="14"/>
    </row>
    <row r="906" ht="14.25" customHeight="1">
      <c r="J906" s="15"/>
      <c r="K906" s="14"/>
    </row>
    <row r="907" ht="14.25" customHeight="1">
      <c r="J907" s="15"/>
      <c r="K907" s="14"/>
    </row>
    <row r="908" ht="14.25" customHeight="1">
      <c r="J908" s="15"/>
      <c r="K908" s="14"/>
    </row>
    <row r="909" ht="14.25" customHeight="1">
      <c r="J909" s="15"/>
      <c r="K909" s="14"/>
    </row>
    <row r="910" ht="14.25" customHeight="1">
      <c r="J910" s="15"/>
      <c r="K910" s="14"/>
    </row>
    <row r="911" ht="14.25" customHeight="1">
      <c r="J911" s="15"/>
      <c r="K911" s="14"/>
    </row>
    <row r="912" ht="14.25" customHeight="1">
      <c r="J912" s="15"/>
      <c r="K912" s="14"/>
    </row>
    <row r="913" ht="14.25" customHeight="1">
      <c r="J913" s="15"/>
      <c r="K913" s="14"/>
    </row>
    <row r="914" ht="14.25" customHeight="1">
      <c r="J914" s="15"/>
      <c r="K914" s="14"/>
    </row>
    <row r="915" ht="14.25" customHeight="1">
      <c r="J915" s="15"/>
      <c r="K915" s="14"/>
    </row>
    <row r="916" ht="14.25" customHeight="1">
      <c r="J916" s="15"/>
      <c r="K916" s="14"/>
    </row>
    <row r="917" ht="14.25" customHeight="1">
      <c r="J917" s="15"/>
      <c r="K917" s="14"/>
    </row>
    <row r="918" ht="14.25" customHeight="1">
      <c r="J918" s="15"/>
      <c r="K918" s="14"/>
    </row>
    <row r="919" ht="14.25" customHeight="1">
      <c r="J919" s="15"/>
      <c r="K919" s="14"/>
    </row>
    <row r="920" ht="14.25" customHeight="1">
      <c r="J920" s="15"/>
      <c r="K920" s="14"/>
    </row>
    <row r="921" ht="14.25" customHeight="1">
      <c r="J921" s="15"/>
      <c r="K921" s="14"/>
    </row>
    <row r="922" ht="14.25" customHeight="1">
      <c r="J922" s="15"/>
      <c r="K922" s="14"/>
    </row>
    <row r="923" ht="14.25" customHeight="1">
      <c r="J923" s="15"/>
      <c r="K923" s="14"/>
    </row>
    <row r="924" ht="14.25" customHeight="1">
      <c r="J924" s="15"/>
      <c r="K924" s="14"/>
    </row>
    <row r="925" ht="14.25" customHeight="1">
      <c r="J925" s="15"/>
      <c r="K925" s="14"/>
    </row>
    <row r="926" ht="14.25" customHeight="1">
      <c r="J926" s="15"/>
      <c r="K926" s="14"/>
    </row>
    <row r="927" ht="14.25" customHeight="1">
      <c r="J927" s="15"/>
      <c r="K927" s="14"/>
    </row>
    <row r="928" ht="14.25" customHeight="1">
      <c r="J928" s="15"/>
      <c r="K928" s="14"/>
    </row>
    <row r="929" ht="14.25" customHeight="1">
      <c r="J929" s="15"/>
      <c r="K929" s="14"/>
    </row>
    <row r="930" ht="14.25" customHeight="1">
      <c r="J930" s="15"/>
      <c r="K930" s="14"/>
    </row>
    <row r="931" ht="14.25" customHeight="1">
      <c r="J931" s="15"/>
      <c r="K931" s="14"/>
    </row>
    <row r="932" ht="14.25" customHeight="1">
      <c r="J932" s="15"/>
      <c r="K932" s="14"/>
    </row>
    <row r="933" ht="14.25" customHeight="1">
      <c r="J933" s="15"/>
      <c r="K933" s="14"/>
    </row>
    <row r="934" ht="14.25" customHeight="1">
      <c r="J934" s="15"/>
      <c r="K934" s="14"/>
    </row>
    <row r="935" ht="14.25" customHeight="1">
      <c r="J935" s="15"/>
      <c r="K935" s="14"/>
    </row>
    <row r="936" ht="14.25" customHeight="1">
      <c r="J936" s="15"/>
      <c r="K936" s="14"/>
    </row>
    <row r="937" ht="14.25" customHeight="1">
      <c r="J937" s="15"/>
      <c r="K937" s="14"/>
    </row>
    <row r="938" ht="14.25" customHeight="1">
      <c r="J938" s="15"/>
      <c r="K938" s="14"/>
    </row>
    <row r="939" ht="14.25" customHeight="1">
      <c r="J939" s="15"/>
      <c r="K939" s="14"/>
    </row>
    <row r="940" ht="14.25" customHeight="1">
      <c r="J940" s="15"/>
      <c r="K940" s="14"/>
    </row>
    <row r="941" ht="14.25" customHeight="1">
      <c r="J941" s="15"/>
      <c r="K941" s="14"/>
    </row>
    <row r="942" ht="14.25" customHeight="1">
      <c r="J942" s="15"/>
      <c r="K942" s="14"/>
    </row>
    <row r="943" ht="14.25" customHeight="1">
      <c r="J943" s="15"/>
      <c r="K943" s="14"/>
    </row>
    <row r="944" ht="14.25" customHeight="1">
      <c r="J944" s="15"/>
      <c r="K944" s="14"/>
    </row>
    <row r="945" ht="14.25" customHeight="1">
      <c r="J945" s="15"/>
      <c r="K945" s="14"/>
    </row>
    <row r="946" ht="14.25" customHeight="1">
      <c r="J946" s="15"/>
      <c r="K946" s="14"/>
    </row>
    <row r="947" ht="14.25" customHeight="1">
      <c r="J947" s="15"/>
      <c r="K947" s="14"/>
    </row>
    <row r="948" ht="14.25" customHeight="1">
      <c r="J948" s="15"/>
      <c r="K948" s="14"/>
    </row>
    <row r="949" ht="14.25" customHeight="1">
      <c r="J949" s="15"/>
      <c r="K949" s="14"/>
    </row>
    <row r="950" ht="14.25" customHeight="1">
      <c r="J950" s="15"/>
      <c r="K950" s="14"/>
    </row>
    <row r="951" ht="14.25" customHeight="1">
      <c r="J951" s="15"/>
      <c r="K951" s="14"/>
    </row>
    <row r="952" ht="14.25" customHeight="1">
      <c r="J952" s="15"/>
      <c r="K952" s="14"/>
    </row>
    <row r="953" ht="14.25" customHeight="1">
      <c r="J953" s="15"/>
      <c r="K953" s="14"/>
    </row>
    <row r="954" ht="14.25" customHeight="1">
      <c r="J954" s="15"/>
      <c r="K954" s="14"/>
    </row>
    <row r="955" ht="14.25" customHeight="1">
      <c r="J955" s="15"/>
      <c r="K955" s="14"/>
    </row>
    <row r="956" ht="14.25" customHeight="1">
      <c r="J956" s="15"/>
      <c r="K956" s="14"/>
    </row>
    <row r="957" ht="14.25" customHeight="1">
      <c r="J957" s="15"/>
      <c r="K957" s="14"/>
    </row>
    <row r="958" ht="14.25" customHeight="1">
      <c r="J958" s="15"/>
      <c r="K958" s="14"/>
    </row>
    <row r="959" ht="14.25" customHeight="1">
      <c r="J959" s="15"/>
      <c r="K959" s="14"/>
    </row>
    <row r="960" ht="14.25" customHeight="1">
      <c r="J960" s="15"/>
      <c r="K960" s="14"/>
    </row>
    <row r="961" ht="14.25" customHeight="1">
      <c r="J961" s="15"/>
      <c r="K961" s="14"/>
    </row>
    <row r="962" ht="14.25" customHeight="1">
      <c r="J962" s="15"/>
      <c r="K962" s="14"/>
    </row>
    <row r="963" ht="14.25" customHeight="1">
      <c r="J963" s="15"/>
      <c r="K963" s="14"/>
    </row>
    <row r="964" ht="14.25" customHeight="1">
      <c r="J964" s="15"/>
      <c r="K964" s="14"/>
    </row>
    <row r="965" ht="14.25" customHeight="1">
      <c r="J965" s="15"/>
      <c r="K965" s="14"/>
    </row>
    <row r="966" ht="14.25" customHeight="1">
      <c r="J966" s="15"/>
      <c r="K966" s="14"/>
    </row>
    <row r="967" ht="14.25" customHeight="1">
      <c r="J967" s="15"/>
      <c r="K967" s="14"/>
    </row>
    <row r="968" ht="14.25" customHeight="1">
      <c r="J968" s="15"/>
      <c r="K968" s="14"/>
    </row>
    <row r="969" ht="14.25" customHeight="1">
      <c r="J969" s="15"/>
      <c r="K969" s="14"/>
    </row>
    <row r="970" ht="14.25" customHeight="1">
      <c r="J970" s="15"/>
      <c r="K970" s="14"/>
    </row>
    <row r="971" ht="14.25" customHeight="1">
      <c r="J971" s="15"/>
      <c r="K971" s="14"/>
    </row>
    <row r="972" ht="14.25" customHeight="1">
      <c r="J972" s="15"/>
      <c r="K972" s="14"/>
    </row>
    <row r="973" ht="14.25" customHeight="1">
      <c r="J973" s="15"/>
      <c r="K973" s="14"/>
    </row>
    <row r="974" ht="14.25" customHeight="1">
      <c r="J974" s="15"/>
      <c r="K974" s="14"/>
    </row>
    <row r="975" ht="14.25" customHeight="1">
      <c r="J975" s="15"/>
      <c r="K975" s="14"/>
    </row>
    <row r="976" ht="14.25" customHeight="1">
      <c r="J976" s="15"/>
      <c r="K976" s="14"/>
    </row>
    <row r="977" ht="14.25" customHeight="1">
      <c r="J977" s="15"/>
      <c r="K977" s="14"/>
    </row>
    <row r="978" ht="14.25" customHeight="1">
      <c r="J978" s="15"/>
      <c r="K978" s="14"/>
    </row>
    <row r="979" ht="14.25" customHeight="1">
      <c r="J979" s="15"/>
      <c r="K979" s="14"/>
    </row>
    <row r="980" ht="14.25" customHeight="1">
      <c r="J980" s="15"/>
      <c r="K980" s="14"/>
    </row>
    <row r="981" ht="14.25" customHeight="1">
      <c r="J981" s="15"/>
      <c r="K981" s="14"/>
    </row>
    <row r="982" ht="14.25" customHeight="1">
      <c r="J982" s="15"/>
      <c r="K982" s="14"/>
    </row>
    <row r="983" ht="14.25" customHeight="1">
      <c r="J983" s="15"/>
      <c r="K983" s="14"/>
    </row>
    <row r="984" ht="14.25" customHeight="1">
      <c r="J984" s="15"/>
      <c r="K984" s="14"/>
    </row>
    <row r="985" ht="14.25" customHeight="1">
      <c r="J985" s="15"/>
      <c r="K985" s="14"/>
    </row>
    <row r="986" ht="14.25" customHeight="1">
      <c r="J986" s="15"/>
      <c r="K986" s="14"/>
    </row>
    <row r="987" ht="14.25" customHeight="1">
      <c r="J987" s="15"/>
      <c r="K987" s="14"/>
    </row>
    <row r="988" ht="14.25" customHeight="1">
      <c r="J988" s="15"/>
      <c r="K988" s="14"/>
    </row>
    <row r="989" ht="14.25" customHeight="1">
      <c r="J989" s="15"/>
      <c r="K989" s="14"/>
    </row>
    <row r="990" ht="14.25" customHeight="1">
      <c r="J990" s="15"/>
      <c r="K990" s="14"/>
    </row>
    <row r="991" ht="14.25" customHeight="1">
      <c r="J991" s="15"/>
      <c r="K991" s="14"/>
    </row>
    <row r="992" ht="14.25" customHeight="1">
      <c r="J992" s="15"/>
      <c r="K992" s="14"/>
    </row>
    <row r="993" ht="14.25" customHeight="1">
      <c r="J993" s="15"/>
      <c r="K993" s="14"/>
    </row>
    <row r="994" ht="14.25" customHeight="1">
      <c r="J994" s="15"/>
      <c r="K994" s="14"/>
    </row>
    <row r="995" ht="14.25" customHeight="1">
      <c r="J995" s="15"/>
      <c r="K995" s="14"/>
    </row>
    <row r="996" ht="14.25" customHeight="1">
      <c r="J996" s="15"/>
      <c r="K996" s="14"/>
    </row>
    <row r="997" ht="14.25" customHeight="1">
      <c r="J997" s="15"/>
      <c r="K997" s="14"/>
    </row>
    <row r="998" ht="14.25" customHeight="1">
      <c r="J998" s="15"/>
      <c r="K998" s="14"/>
    </row>
    <row r="999" ht="14.25" customHeight="1">
      <c r="J999" s="15"/>
      <c r="K999" s="14"/>
    </row>
    <row r="1000" ht="14.25" customHeight="1">
      <c r="J1000" s="15"/>
      <c r="K1000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57"/>
    <col customWidth="1" min="5" max="5" width="13.29"/>
    <col customWidth="1" min="6" max="8" width="8.71"/>
    <col customWidth="1" min="9" max="9" width="11.29"/>
    <col customWidth="1" min="10" max="10" width="17.71"/>
    <col customWidth="1" min="11" max="11" width="19.0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315</v>
      </c>
      <c r="K1" s="17" t="s">
        <v>316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1.0</v>
      </c>
      <c r="G2" s="2">
        <v>9497.0</v>
      </c>
      <c r="H2" s="2" t="s">
        <v>14</v>
      </c>
      <c r="I2" s="2" t="s">
        <v>15</v>
      </c>
      <c r="J2" s="18" t="str">
        <f t="shared" ref="J2:J101" si="1">IF(AND(I2="Delivered",F2&gt;=2),"Valid","Review")</f>
        <v>Review</v>
      </c>
      <c r="K2" s="19" t="str">
        <f t="shared" ref="K2:K101" si="2">B2&amp;" ("&amp;H2&amp;")"</f>
        <v>Sonal Reddy (West)</v>
      </c>
    </row>
    <row r="3" ht="14.2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1.0</v>
      </c>
      <c r="G3" s="2">
        <v>8232.0</v>
      </c>
      <c r="H3" s="2" t="s">
        <v>21</v>
      </c>
      <c r="I3" s="2" t="s">
        <v>22</v>
      </c>
      <c r="J3" s="18" t="str">
        <f t="shared" si="1"/>
        <v>Review</v>
      </c>
      <c r="K3" s="19" t="str">
        <f t="shared" si="2"/>
        <v>Varun Iyer (North)</v>
      </c>
    </row>
    <row r="4" ht="14.2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1.0</v>
      </c>
      <c r="G4" s="2">
        <v>12436.0</v>
      </c>
      <c r="H4" s="2" t="s">
        <v>14</v>
      </c>
      <c r="I4" s="2" t="s">
        <v>28</v>
      </c>
      <c r="J4" s="18" t="str">
        <f t="shared" si="1"/>
        <v>Review</v>
      </c>
      <c r="K4" s="19" t="str">
        <f t="shared" si="2"/>
        <v>Arjun Kaur (West)</v>
      </c>
    </row>
    <row r="5" ht="14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3.0</v>
      </c>
      <c r="G5" s="2">
        <v>38830.0</v>
      </c>
      <c r="H5" s="2" t="s">
        <v>21</v>
      </c>
      <c r="I5" s="2" t="s">
        <v>28</v>
      </c>
      <c r="J5" s="18" t="str">
        <f t="shared" si="1"/>
        <v>Valid</v>
      </c>
      <c r="K5" s="19" t="str">
        <f t="shared" si="2"/>
        <v>Pallavi Malhotra (North)</v>
      </c>
    </row>
    <row r="6" ht="14.25" customHeight="1">
      <c r="A6" s="2" t="s">
        <v>34</v>
      </c>
      <c r="B6" s="2" t="s">
        <v>35</v>
      </c>
      <c r="C6" s="2" t="s">
        <v>18</v>
      </c>
      <c r="D6" s="2" t="s">
        <v>36</v>
      </c>
      <c r="E6" s="2" t="s">
        <v>37</v>
      </c>
      <c r="F6" s="2">
        <v>2.0</v>
      </c>
      <c r="G6" s="2">
        <v>7193.0</v>
      </c>
      <c r="H6" s="2" t="s">
        <v>14</v>
      </c>
      <c r="I6" s="2" t="s">
        <v>22</v>
      </c>
      <c r="J6" s="18" t="str">
        <f t="shared" si="1"/>
        <v>Review</v>
      </c>
      <c r="K6" s="19" t="str">
        <f t="shared" si="2"/>
        <v>Divya Kulkarni (West)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5.0</v>
      </c>
      <c r="G7" s="2">
        <v>36419.0</v>
      </c>
      <c r="H7" s="2" t="s">
        <v>14</v>
      </c>
      <c r="I7" s="2" t="s">
        <v>28</v>
      </c>
      <c r="J7" s="18" t="str">
        <f t="shared" si="1"/>
        <v>Valid</v>
      </c>
      <c r="K7" s="19" t="str">
        <f t="shared" si="2"/>
        <v>Neha Malhotra (West)</v>
      </c>
    </row>
    <row r="8" ht="14.25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3.0</v>
      </c>
      <c r="G8" s="2">
        <v>6681.0</v>
      </c>
      <c r="H8" s="2" t="s">
        <v>48</v>
      </c>
      <c r="I8" s="2" t="s">
        <v>22</v>
      </c>
      <c r="J8" s="18" t="str">
        <f t="shared" si="1"/>
        <v>Review</v>
      </c>
      <c r="K8" s="19" t="str">
        <f t="shared" si="2"/>
        <v>Varun Gupta (South)</v>
      </c>
    </row>
    <row r="9" ht="14.25" customHeight="1">
      <c r="A9" s="2" t="s">
        <v>49</v>
      </c>
      <c r="B9" s="2" t="s">
        <v>50</v>
      </c>
      <c r="C9" s="2" t="s">
        <v>31</v>
      </c>
      <c r="D9" s="2" t="s">
        <v>51</v>
      </c>
      <c r="E9" s="2" t="s">
        <v>52</v>
      </c>
      <c r="F9" s="2">
        <v>5.0</v>
      </c>
      <c r="G9" s="2">
        <v>59258.0</v>
      </c>
      <c r="H9" s="2" t="s">
        <v>14</v>
      </c>
      <c r="I9" s="2" t="s">
        <v>15</v>
      </c>
      <c r="J9" s="18" t="str">
        <f t="shared" si="1"/>
        <v>Review</v>
      </c>
      <c r="K9" s="19" t="str">
        <f t="shared" si="2"/>
        <v>Rohan Vardhan (West)</v>
      </c>
    </row>
    <row r="10" ht="14.25" customHeight="1">
      <c r="A10" s="2" t="s">
        <v>53</v>
      </c>
      <c r="B10" s="2" t="s">
        <v>54</v>
      </c>
      <c r="C10" s="2" t="s">
        <v>55</v>
      </c>
      <c r="D10" s="2" t="s">
        <v>33</v>
      </c>
      <c r="E10" s="2" t="s">
        <v>56</v>
      </c>
      <c r="F10" s="2">
        <v>5.0</v>
      </c>
      <c r="G10" s="2">
        <v>53392.0</v>
      </c>
      <c r="H10" s="2" t="s">
        <v>48</v>
      </c>
      <c r="I10" s="2" t="s">
        <v>22</v>
      </c>
      <c r="J10" s="18" t="str">
        <f t="shared" si="1"/>
        <v>Review</v>
      </c>
      <c r="K10" s="19" t="str">
        <f t="shared" si="2"/>
        <v>Aman Kaur (South)</v>
      </c>
    </row>
    <row r="11" ht="14.2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5.0</v>
      </c>
      <c r="G11" s="2">
        <v>52334.0</v>
      </c>
      <c r="H11" s="2" t="s">
        <v>62</v>
      </c>
      <c r="I11" s="2" t="s">
        <v>22</v>
      </c>
      <c r="J11" s="18" t="str">
        <f t="shared" si="1"/>
        <v>Review</v>
      </c>
      <c r="K11" s="19" t="str">
        <f t="shared" si="2"/>
        <v>Ravi Yadav (East)</v>
      </c>
    </row>
    <row r="12" ht="14.25" customHeight="1">
      <c r="A12" s="2" t="s">
        <v>63</v>
      </c>
      <c r="B12" s="2" t="s">
        <v>64</v>
      </c>
      <c r="C12" s="2" t="s">
        <v>18</v>
      </c>
      <c r="D12" s="2" t="s">
        <v>46</v>
      </c>
      <c r="E12" s="2" t="s">
        <v>65</v>
      </c>
      <c r="F12" s="2">
        <v>2.0</v>
      </c>
      <c r="G12" s="2">
        <v>50550.0</v>
      </c>
      <c r="H12" s="2" t="s">
        <v>62</v>
      </c>
      <c r="I12" s="2" t="s">
        <v>28</v>
      </c>
      <c r="J12" s="18" t="str">
        <f t="shared" si="1"/>
        <v>Valid</v>
      </c>
      <c r="K12" s="19" t="str">
        <f t="shared" si="2"/>
        <v>Kunal Menon (East)</v>
      </c>
    </row>
    <row r="13" ht="14.25" customHeight="1">
      <c r="A13" s="2" t="s">
        <v>66</v>
      </c>
      <c r="B13" s="2" t="s">
        <v>67</v>
      </c>
      <c r="C13" s="2" t="s">
        <v>45</v>
      </c>
      <c r="D13" s="2" t="s">
        <v>68</v>
      </c>
      <c r="E13" s="2" t="s">
        <v>69</v>
      </c>
      <c r="F13" s="2">
        <v>2.0</v>
      </c>
      <c r="G13" s="2">
        <v>69030.0</v>
      </c>
      <c r="H13" s="2" t="s">
        <v>48</v>
      </c>
      <c r="I13" s="2" t="s">
        <v>28</v>
      </c>
      <c r="J13" s="18" t="str">
        <f t="shared" si="1"/>
        <v>Valid</v>
      </c>
      <c r="K13" s="19" t="str">
        <f t="shared" si="2"/>
        <v>Nitin Malhotra (South)</v>
      </c>
    </row>
    <row r="14" ht="14.25" customHeight="1">
      <c r="A14" s="2" t="s">
        <v>70</v>
      </c>
      <c r="B14" s="2" t="s">
        <v>71</v>
      </c>
      <c r="C14" s="2" t="s">
        <v>40</v>
      </c>
      <c r="D14" s="2" t="s">
        <v>72</v>
      </c>
      <c r="E14" s="2" t="s">
        <v>73</v>
      </c>
      <c r="F14" s="2">
        <v>4.0</v>
      </c>
      <c r="G14" s="2">
        <v>50709.0</v>
      </c>
      <c r="H14" s="2" t="s">
        <v>21</v>
      </c>
      <c r="I14" s="2" t="s">
        <v>22</v>
      </c>
      <c r="J14" s="18" t="str">
        <f t="shared" si="1"/>
        <v>Review</v>
      </c>
      <c r="K14" s="19" t="str">
        <f t="shared" si="2"/>
        <v>Kavita Shah (North)</v>
      </c>
    </row>
    <row r="15" ht="14.25" customHeight="1">
      <c r="A15" s="2" t="s">
        <v>74</v>
      </c>
      <c r="B15" s="2" t="s">
        <v>75</v>
      </c>
      <c r="C15" s="2" t="s">
        <v>11</v>
      </c>
      <c r="D15" s="2" t="s">
        <v>76</v>
      </c>
      <c r="E15" s="2" t="s">
        <v>77</v>
      </c>
      <c r="F15" s="2">
        <v>6.0</v>
      </c>
      <c r="G15" s="2">
        <v>48808.0</v>
      </c>
      <c r="H15" s="2" t="s">
        <v>62</v>
      </c>
      <c r="I15" s="2" t="s">
        <v>28</v>
      </c>
      <c r="J15" s="18" t="str">
        <f t="shared" si="1"/>
        <v>Valid</v>
      </c>
      <c r="K15" s="19" t="str">
        <f t="shared" si="2"/>
        <v>Mohit Menon (East)</v>
      </c>
    </row>
    <row r="16" ht="14.25" customHeight="1">
      <c r="A16" s="2" t="s">
        <v>78</v>
      </c>
      <c r="B16" s="2" t="s">
        <v>79</v>
      </c>
      <c r="C16" s="2" t="s">
        <v>18</v>
      </c>
      <c r="D16" s="2" t="s">
        <v>80</v>
      </c>
      <c r="E16" s="2" t="s">
        <v>81</v>
      </c>
      <c r="F16" s="2">
        <v>1.0</v>
      </c>
      <c r="G16" s="2">
        <v>65648.0</v>
      </c>
      <c r="H16" s="2" t="s">
        <v>14</v>
      </c>
      <c r="I16" s="2" t="s">
        <v>28</v>
      </c>
      <c r="J16" s="18" t="str">
        <f t="shared" si="1"/>
        <v>Review</v>
      </c>
      <c r="K16" s="19" t="str">
        <f t="shared" si="2"/>
        <v>Neeraj Das (West)</v>
      </c>
    </row>
    <row r="17" ht="14.25" customHeight="1">
      <c r="A17" s="2" t="s">
        <v>82</v>
      </c>
      <c r="B17" s="2" t="s">
        <v>83</v>
      </c>
      <c r="C17" s="2" t="s">
        <v>45</v>
      </c>
      <c r="D17" s="2" t="s">
        <v>32</v>
      </c>
      <c r="E17" s="2" t="s">
        <v>60</v>
      </c>
      <c r="F17" s="2">
        <v>4.0</v>
      </c>
      <c r="G17" s="2">
        <v>3975.0</v>
      </c>
      <c r="H17" s="2" t="s">
        <v>48</v>
      </c>
      <c r="I17" s="2" t="s">
        <v>22</v>
      </c>
      <c r="J17" s="18" t="str">
        <f t="shared" si="1"/>
        <v>Review</v>
      </c>
      <c r="K17" s="19" t="str">
        <f t="shared" si="2"/>
        <v>Pooja Kaur (South)</v>
      </c>
    </row>
    <row r="18" ht="14.25" customHeight="1">
      <c r="A18" s="2" t="s">
        <v>84</v>
      </c>
      <c r="B18" s="2" t="s">
        <v>85</v>
      </c>
      <c r="C18" s="2" t="s">
        <v>86</v>
      </c>
      <c r="D18" s="2" t="s">
        <v>19</v>
      </c>
      <c r="E18" s="2" t="s">
        <v>72</v>
      </c>
      <c r="F18" s="2">
        <v>4.0</v>
      </c>
      <c r="G18" s="2">
        <v>56724.0</v>
      </c>
      <c r="H18" s="2" t="s">
        <v>62</v>
      </c>
      <c r="I18" s="2" t="s">
        <v>28</v>
      </c>
      <c r="J18" s="18" t="str">
        <f t="shared" si="1"/>
        <v>Valid</v>
      </c>
      <c r="K18" s="19" t="str">
        <f t="shared" si="2"/>
        <v>Rahul Desai (East)</v>
      </c>
    </row>
    <row r="19" ht="14.25" customHeight="1">
      <c r="A19" s="2" t="s">
        <v>87</v>
      </c>
      <c r="B19" s="2" t="s">
        <v>88</v>
      </c>
      <c r="C19" s="2" t="s">
        <v>86</v>
      </c>
      <c r="D19" s="2" t="s">
        <v>80</v>
      </c>
      <c r="E19" s="2" t="s">
        <v>89</v>
      </c>
      <c r="F19" s="2">
        <v>2.0</v>
      </c>
      <c r="G19" s="2">
        <v>42861.0</v>
      </c>
      <c r="H19" s="2" t="s">
        <v>14</v>
      </c>
      <c r="I19" s="2" t="s">
        <v>22</v>
      </c>
      <c r="J19" s="18" t="str">
        <f t="shared" si="1"/>
        <v>Review</v>
      </c>
      <c r="K19" s="19" t="str">
        <f t="shared" si="2"/>
        <v>Rohit Patil (West)</v>
      </c>
    </row>
    <row r="20" ht="14.25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2.0</v>
      </c>
      <c r="G20" s="2">
        <v>47994.0</v>
      </c>
      <c r="H20" s="2" t="s">
        <v>48</v>
      </c>
      <c r="I20" s="2" t="s">
        <v>22</v>
      </c>
      <c r="J20" s="18" t="str">
        <f t="shared" si="1"/>
        <v>Review</v>
      </c>
      <c r="K20" s="19" t="str">
        <f t="shared" si="2"/>
        <v>Mohit Khan (South)</v>
      </c>
    </row>
    <row r="21" ht="14.25" customHeight="1">
      <c r="A21" s="2" t="s">
        <v>95</v>
      </c>
      <c r="B21" s="2" t="s">
        <v>96</v>
      </c>
      <c r="C21" s="2" t="s">
        <v>97</v>
      </c>
      <c r="D21" s="2" t="s">
        <v>41</v>
      </c>
      <c r="E21" s="2" t="s">
        <v>98</v>
      </c>
      <c r="F21" s="2">
        <v>4.0</v>
      </c>
      <c r="G21" s="2">
        <v>31475.0</v>
      </c>
      <c r="H21" s="2" t="s">
        <v>21</v>
      </c>
      <c r="I21" s="2" t="s">
        <v>22</v>
      </c>
      <c r="J21" s="18" t="str">
        <f t="shared" si="1"/>
        <v>Review</v>
      </c>
      <c r="K21" s="19" t="str">
        <f t="shared" si="2"/>
        <v>Ritu Malhotra (North)</v>
      </c>
    </row>
    <row r="22" ht="14.25" customHeight="1">
      <c r="A22" s="2" t="s">
        <v>99</v>
      </c>
      <c r="B22" s="2" t="s">
        <v>100</v>
      </c>
      <c r="C22" s="2" t="s">
        <v>55</v>
      </c>
      <c r="D22" s="2" t="s">
        <v>101</v>
      </c>
      <c r="E22" s="2" t="s">
        <v>33</v>
      </c>
      <c r="F22" s="2">
        <v>3.0</v>
      </c>
      <c r="G22" s="2">
        <v>40383.0</v>
      </c>
      <c r="H22" s="2" t="s">
        <v>62</v>
      </c>
      <c r="I22" s="2" t="s">
        <v>28</v>
      </c>
      <c r="J22" s="18" t="str">
        <f t="shared" si="1"/>
        <v>Valid</v>
      </c>
      <c r="K22" s="19" t="str">
        <f t="shared" si="2"/>
        <v>Arjun Vardhan (East)</v>
      </c>
    </row>
    <row r="23" ht="14.25" customHeight="1">
      <c r="A23" s="2" t="s">
        <v>102</v>
      </c>
      <c r="B23" s="2" t="s">
        <v>103</v>
      </c>
      <c r="C23" s="2" t="s">
        <v>18</v>
      </c>
      <c r="D23" s="2" t="s">
        <v>104</v>
      </c>
      <c r="E23" s="2" t="s">
        <v>105</v>
      </c>
      <c r="F23" s="2">
        <v>1.0</v>
      </c>
      <c r="G23" s="2">
        <v>20536.0</v>
      </c>
      <c r="H23" s="2" t="s">
        <v>62</v>
      </c>
      <c r="I23" s="2" t="s">
        <v>28</v>
      </c>
      <c r="J23" s="18" t="str">
        <f t="shared" si="1"/>
        <v>Review</v>
      </c>
      <c r="K23" s="19" t="str">
        <f t="shared" si="2"/>
        <v>Rashmi Shah (East)</v>
      </c>
    </row>
    <row r="24" ht="14.25" customHeight="1">
      <c r="A24" s="2" t="s">
        <v>106</v>
      </c>
      <c r="B24" s="2" t="s">
        <v>107</v>
      </c>
      <c r="C24" s="2" t="s">
        <v>31</v>
      </c>
      <c r="D24" s="2" t="s">
        <v>108</v>
      </c>
      <c r="E24" s="2" t="s">
        <v>36</v>
      </c>
      <c r="F24" s="2">
        <v>1.0</v>
      </c>
      <c r="G24" s="2">
        <v>30227.0</v>
      </c>
      <c r="H24" s="2" t="s">
        <v>21</v>
      </c>
      <c r="I24" s="2" t="s">
        <v>22</v>
      </c>
      <c r="J24" s="18" t="str">
        <f t="shared" si="1"/>
        <v>Review</v>
      </c>
      <c r="K24" s="19" t="str">
        <f t="shared" si="2"/>
        <v>Ritu Joshi (North)</v>
      </c>
    </row>
    <row r="25" ht="14.25" customHeight="1">
      <c r="A25" s="2" t="s">
        <v>109</v>
      </c>
      <c r="B25" s="2" t="s">
        <v>110</v>
      </c>
      <c r="C25" s="2" t="s">
        <v>40</v>
      </c>
      <c r="D25" s="2" t="s">
        <v>93</v>
      </c>
      <c r="E25" s="2" t="s">
        <v>111</v>
      </c>
      <c r="F25" s="2">
        <v>3.0</v>
      </c>
      <c r="G25" s="2">
        <v>27921.0</v>
      </c>
      <c r="H25" s="2" t="s">
        <v>21</v>
      </c>
      <c r="I25" s="2" t="s">
        <v>28</v>
      </c>
      <c r="J25" s="18" t="str">
        <f t="shared" si="1"/>
        <v>Valid</v>
      </c>
      <c r="K25" s="19" t="str">
        <f t="shared" si="2"/>
        <v>Aman Menon (North)</v>
      </c>
    </row>
    <row r="26" ht="14.25" customHeight="1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20</v>
      </c>
      <c r="F26" s="2">
        <v>1.0</v>
      </c>
      <c r="G26" s="2">
        <v>61599.0</v>
      </c>
      <c r="H26" s="2" t="s">
        <v>48</v>
      </c>
      <c r="I26" s="2" t="s">
        <v>28</v>
      </c>
      <c r="J26" s="18" t="str">
        <f t="shared" si="1"/>
        <v>Review</v>
      </c>
      <c r="K26" s="19" t="str">
        <f t="shared" si="2"/>
        <v>Karan Sharma (South)</v>
      </c>
    </row>
    <row r="27" ht="14.25" customHeight="1">
      <c r="A27" s="2" t="s">
        <v>116</v>
      </c>
      <c r="B27" s="2" t="s">
        <v>117</v>
      </c>
      <c r="C27" s="2" t="s">
        <v>55</v>
      </c>
      <c r="D27" s="2" t="s">
        <v>118</v>
      </c>
      <c r="E27" s="2" t="s">
        <v>93</v>
      </c>
      <c r="F27" s="2">
        <v>1.0</v>
      </c>
      <c r="G27" s="2">
        <v>37877.0</v>
      </c>
      <c r="H27" s="2" t="s">
        <v>21</v>
      </c>
      <c r="I27" s="2" t="s">
        <v>28</v>
      </c>
      <c r="J27" s="18" t="str">
        <f t="shared" si="1"/>
        <v>Review</v>
      </c>
      <c r="K27" s="19" t="str">
        <f t="shared" si="2"/>
        <v>Tina Jain (North)</v>
      </c>
    </row>
    <row r="28" ht="14.25" customHeight="1">
      <c r="A28" s="2" t="s">
        <v>119</v>
      </c>
      <c r="B28" s="2" t="s">
        <v>120</v>
      </c>
      <c r="C28" s="2" t="s">
        <v>86</v>
      </c>
      <c r="D28" s="2" t="s">
        <v>32</v>
      </c>
      <c r="E28" s="2" t="s">
        <v>20</v>
      </c>
      <c r="F28" s="2">
        <v>1.0</v>
      </c>
      <c r="G28" s="2">
        <v>4350.0</v>
      </c>
      <c r="H28" s="2" t="s">
        <v>62</v>
      </c>
      <c r="I28" s="2" t="s">
        <v>28</v>
      </c>
      <c r="J28" s="18" t="str">
        <f t="shared" si="1"/>
        <v>Review</v>
      </c>
      <c r="K28" s="19" t="str">
        <f t="shared" si="2"/>
        <v>Shalini Patel (East)</v>
      </c>
    </row>
    <row r="29" ht="14.25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56</v>
      </c>
      <c r="F29" s="2">
        <v>5.0</v>
      </c>
      <c r="G29" s="2">
        <v>11087.0</v>
      </c>
      <c r="H29" s="2" t="s">
        <v>48</v>
      </c>
      <c r="I29" s="2" t="s">
        <v>22</v>
      </c>
      <c r="J29" s="18" t="str">
        <f t="shared" si="1"/>
        <v>Review</v>
      </c>
      <c r="K29" s="19" t="str">
        <f t="shared" si="2"/>
        <v>Priya Kumar (South)</v>
      </c>
    </row>
    <row r="30" ht="14.25" customHeight="1">
      <c r="A30" s="2" t="s">
        <v>125</v>
      </c>
      <c r="B30" s="2" t="s">
        <v>126</v>
      </c>
      <c r="C30" s="2" t="s">
        <v>11</v>
      </c>
      <c r="D30" s="2" t="s">
        <v>127</v>
      </c>
      <c r="E30" s="2" t="s">
        <v>37</v>
      </c>
      <c r="F30" s="2">
        <v>2.0</v>
      </c>
      <c r="G30" s="2">
        <v>64892.0</v>
      </c>
      <c r="H30" s="2" t="s">
        <v>21</v>
      </c>
      <c r="I30" s="2" t="s">
        <v>28</v>
      </c>
      <c r="J30" s="18" t="str">
        <f t="shared" si="1"/>
        <v>Valid</v>
      </c>
      <c r="K30" s="19" t="str">
        <f t="shared" si="2"/>
        <v>Nitin Sinha (North)</v>
      </c>
    </row>
    <row r="31" ht="14.25" customHeight="1">
      <c r="A31" s="2" t="s">
        <v>128</v>
      </c>
      <c r="B31" s="2" t="s">
        <v>129</v>
      </c>
      <c r="C31" s="2" t="s">
        <v>123</v>
      </c>
      <c r="D31" s="2" t="s">
        <v>130</v>
      </c>
      <c r="E31" s="2" t="s">
        <v>20</v>
      </c>
      <c r="F31" s="2">
        <v>5.0</v>
      </c>
      <c r="G31" s="2">
        <v>65773.0</v>
      </c>
      <c r="H31" s="2" t="s">
        <v>21</v>
      </c>
      <c r="I31" s="2" t="s">
        <v>28</v>
      </c>
      <c r="J31" s="18" t="str">
        <f t="shared" si="1"/>
        <v>Valid</v>
      </c>
      <c r="K31" s="19" t="str">
        <f t="shared" si="2"/>
        <v>Dev Iyer (North)</v>
      </c>
    </row>
    <row r="32" ht="14.25" customHeight="1">
      <c r="A32" s="2" t="s">
        <v>131</v>
      </c>
      <c r="B32" s="2" t="s">
        <v>132</v>
      </c>
      <c r="C32" s="2" t="s">
        <v>97</v>
      </c>
      <c r="D32" s="2" t="s">
        <v>133</v>
      </c>
      <c r="E32" s="2" t="s">
        <v>134</v>
      </c>
      <c r="F32" s="2">
        <v>5.0</v>
      </c>
      <c r="G32" s="2">
        <v>67693.0</v>
      </c>
      <c r="H32" s="2" t="s">
        <v>21</v>
      </c>
      <c r="I32" s="2" t="s">
        <v>15</v>
      </c>
      <c r="J32" s="18" t="str">
        <f t="shared" si="1"/>
        <v>Review</v>
      </c>
      <c r="K32" s="19" t="str">
        <f t="shared" si="2"/>
        <v>Vikram Joshi (North)</v>
      </c>
    </row>
    <row r="33" ht="14.25" customHeight="1">
      <c r="A33" s="2" t="s">
        <v>135</v>
      </c>
      <c r="B33" s="2" t="s">
        <v>136</v>
      </c>
      <c r="C33" s="2" t="s">
        <v>86</v>
      </c>
      <c r="D33" s="2" t="s">
        <v>137</v>
      </c>
      <c r="E33" s="2" t="s">
        <v>138</v>
      </c>
      <c r="F33" s="2">
        <v>4.0</v>
      </c>
      <c r="G33" s="2">
        <v>26320.0</v>
      </c>
      <c r="H33" s="2" t="s">
        <v>14</v>
      </c>
      <c r="I33" s="2" t="s">
        <v>28</v>
      </c>
      <c r="J33" s="18" t="str">
        <f t="shared" si="1"/>
        <v>Valid</v>
      </c>
      <c r="K33" s="19" t="str">
        <f t="shared" si="2"/>
        <v>Sachin Sinha (West)</v>
      </c>
    </row>
    <row r="34" ht="14.25" customHeight="1">
      <c r="A34" s="2" t="s">
        <v>139</v>
      </c>
      <c r="B34" s="2" t="s">
        <v>140</v>
      </c>
      <c r="C34" s="2" t="s">
        <v>86</v>
      </c>
      <c r="D34" s="2" t="s">
        <v>36</v>
      </c>
      <c r="E34" s="2" t="s">
        <v>111</v>
      </c>
      <c r="F34" s="2">
        <v>1.0</v>
      </c>
      <c r="G34" s="2">
        <v>42926.0</v>
      </c>
      <c r="H34" s="2" t="s">
        <v>14</v>
      </c>
      <c r="I34" s="2" t="s">
        <v>22</v>
      </c>
      <c r="J34" s="18" t="str">
        <f t="shared" si="1"/>
        <v>Review</v>
      </c>
      <c r="K34" s="19" t="str">
        <f t="shared" si="2"/>
        <v>Simran Singh (West)</v>
      </c>
    </row>
    <row r="35" ht="14.25" customHeight="1">
      <c r="A35" s="2" t="s">
        <v>141</v>
      </c>
      <c r="B35" s="2" t="s">
        <v>142</v>
      </c>
      <c r="C35" s="2" t="s">
        <v>92</v>
      </c>
      <c r="D35" s="2" t="s">
        <v>93</v>
      </c>
      <c r="E35" s="2" t="s">
        <v>143</v>
      </c>
      <c r="F35" s="2">
        <v>1.0</v>
      </c>
      <c r="G35" s="2">
        <v>22275.0</v>
      </c>
      <c r="H35" s="2" t="s">
        <v>62</v>
      </c>
      <c r="I35" s="2" t="s">
        <v>15</v>
      </c>
      <c r="J35" s="18" t="str">
        <f t="shared" si="1"/>
        <v>Review</v>
      </c>
      <c r="K35" s="19" t="str">
        <f t="shared" si="2"/>
        <v>Varun Joshi (East)</v>
      </c>
    </row>
    <row r="36" ht="14.25" customHeight="1">
      <c r="A36" s="2" t="s">
        <v>144</v>
      </c>
      <c r="B36" s="2" t="s">
        <v>145</v>
      </c>
      <c r="C36" s="2" t="s">
        <v>25</v>
      </c>
      <c r="D36" s="2" t="s">
        <v>12</v>
      </c>
      <c r="E36" s="2" t="s">
        <v>101</v>
      </c>
      <c r="F36" s="2">
        <v>2.0</v>
      </c>
      <c r="G36" s="2">
        <v>60279.0</v>
      </c>
      <c r="H36" s="2" t="s">
        <v>62</v>
      </c>
      <c r="I36" s="2" t="s">
        <v>22</v>
      </c>
      <c r="J36" s="18" t="str">
        <f t="shared" si="1"/>
        <v>Review</v>
      </c>
      <c r="K36" s="19" t="str">
        <f t="shared" si="2"/>
        <v>Neha Tiwari (East)</v>
      </c>
    </row>
    <row r="37" ht="14.25" customHeight="1">
      <c r="A37" s="2" t="s">
        <v>146</v>
      </c>
      <c r="B37" s="2" t="s">
        <v>147</v>
      </c>
      <c r="C37" s="2" t="s">
        <v>11</v>
      </c>
      <c r="D37" s="2" t="s">
        <v>37</v>
      </c>
      <c r="E37" s="2" t="s">
        <v>148</v>
      </c>
      <c r="F37" s="2">
        <v>2.0</v>
      </c>
      <c r="G37" s="2">
        <v>28865.0</v>
      </c>
      <c r="H37" s="2" t="s">
        <v>62</v>
      </c>
      <c r="I37" s="2" t="s">
        <v>28</v>
      </c>
      <c r="J37" s="18" t="str">
        <f t="shared" si="1"/>
        <v>Valid</v>
      </c>
      <c r="K37" s="19" t="str">
        <f t="shared" si="2"/>
        <v>Mohit Roy (East)</v>
      </c>
    </row>
    <row r="38" ht="14.25" customHeight="1">
      <c r="A38" s="2" t="s">
        <v>149</v>
      </c>
      <c r="B38" s="2" t="s">
        <v>150</v>
      </c>
      <c r="C38" s="2" t="s">
        <v>31</v>
      </c>
      <c r="D38" s="2" t="s">
        <v>56</v>
      </c>
      <c r="E38" s="2" t="s">
        <v>151</v>
      </c>
      <c r="F38" s="2">
        <v>1.0</v>
      </c>
      <c r="G38" s="2">
        <v>21221.0</v>
      </c>
      <c r="H38" s="2" t="s">
        <v>21</v>
      </c>
      <c r="I38" s="2" t="s">
        <v>28</v>
      </c>
      <c r="J38" s="18" t="str">
        <f t="shared" si="1"/>
        <v>Review</v>
      </c>
      <c r="K38" s="19" t="str">
        <f t="shared" si="2"/>
        <v>Kavita Khan (North)</v>
      </c>
    </row>
    <row r="39" ht="14.25" customHeight="1">
      <c r="A39" s="2" t="s">
        <v>152</v>
      </c>
      <c r="B39" s="2" t="s">
        <v>153</v>
      </c>
      <c r="C39" s="2" t="s">
        <v>123</v>
      </c>
      <c r="D39" s="2" t="s">
        <v>61</v>
      </c>
      <c r="E39" s="2" t="s">
        <v>118</v>
      </c>
      <c r="F39" s="2">
        <v>5.0</v>
      </c>
      <c r="G39" s="2">
        <v>55559.0</v>
      </c>
      <c r="H39" s="2" t="s">
        <v>14</v>
      </c>
      <c r="I39" s="2" t="s">
        <v>28</v>
      </c>
      <c r="J39" s="18" t="str">
        <f t="shared" si="1"/>
        <v>Valid</v>
      </c>
      <c r="K39" s="19" t="str">
        <f t="shared" si="2"/>
        <v>Nupur Shah (West)</v>
      </c>
    </row>
    <row r="40" ht="14.25" customHeight="1">
      <c r="A40" s="2" t="s">
        <v>154</v>
      </c>
      <c r="B40" s="2" t="s">
        <v>155</v>
      </c>
      <c r="C40" s="2" t="s">
        <v>97</v>
      </c>
      <c r="D40" s="2" t="s">
        <v>156</v>
      </c>
      <c r="E40" s="2" t="s">
        <v>89</v>
      </c>
      <c r="F40" s="2">
        <v>3.0</v>
      </c>
      <c r="G40" s="2">
        <v>2641.0</v>
      </c>
      <c r="H40" s="2" t="s">
        <v>48</v>
      </c>
      <c r="I40" s="2" t="s">
        <v>22</v>
      </c>
      <c r="J40" s="18" t="str">
        <f t="shared" si="1"/>
        <v>Review</v>
      </c>
      <c r="K40" s="19" t="str">
        <f t="shared" si="2"/>
        <v>Sunita Vardhan (South)</v>
      </c>
    </row>
    <row r="41" ht="14.25" customHeight="1">
      <c r="A41" s="2" t="s">
        <v>157</v>
      </c>
      <c r="B41" s="2" t="s">
        <v>158</v>
      </c>
      <c r="C41" s="2" t="s">
        <v>86</v>
      </c>
      <c r="D41" s="2" t="s">
        <v>159</v>
      </c>
      <c r="E41" s="2" t="s">
        <v>19</v>
      </c>
      <c r="F41" s="2">
        <v>2.0</v>
      </c>
      <c r="G41" s="2">
        <v>59131.0</v>
      </c>
      <c r="H41" s="2" t="s">
        <v>14</v>
      </c>
      <c r="I41" s="2" t="s">
        <v>22</v>
      </c>
      <c r="J41" s="18" t="str">
        <f t="shared" si="1"/>
        <v>Review</v>
      </c>
      <c r="K41" s="19" t="str">
        <f t="shared" si="2"/>
        <v>Manish Tiwari (West)</v>
      </c>
    </row>
    <row r="42" ht="14.25" customHeight="1">
      <c r="A42" s="2" t="s">
        <v>160</v>
      </c>
      <c r="B42" s="2" t="s">
        <v>161</v>
      </c>
      <c r="C42" s="2" t="s">
        <v>114</v>
      </c>
      <c r="D42" s="2" t="s">
        <v>162</v>
      </c>
      <c r="E42" s="2" t="s">
        <v>127</v>
      </c>
      <c r="F42" s="2">
        <v>5.0</v>
      </c>
      <c r="G42" s="2">
        <v>63752.0</v>
      </c>
      <c r="H42" s="2" t="s">
        <v>48</v>
      </c>
      <c r="I42" s="2" t="s">
        <v>28</v>
      </c>
      <c r="J42" s="18" t="str">
        <f t="shared" si="1"/>
        <v>Valid</v>
      </c>
      <c r="K42" s="19" t="str">
        <f t="shared" si="2"/>
        <v>Sunita Iyer (South)</v>
      </c>
    </row>
    <row r="43" ht="14.25" customHeight="1">
      <c r="A43" s="2" t="s">
        <v>163</v>
      </c>
      <c r="B43" s="2" t="s">
        <v>164</v>
      </c>
      <c r="C43" s="2" t="s">
        <v>55</v>
      </c>
      <c r="D43" s="2" t="s">
        <v>134</v>
      </c>
      <c r="E43" s="2" t="s">
        <v>165</v>
      </c>
      <c r="F43" s="2">
        <v>4.0</v>
      </c>
      <c r="G43" s="2">
        <v>42104.0</v>
      </c>
      <c r="H43" s="2" t="s">
        <v>21</v>
      </c>
      <c r="I43" s="2" t="s">
        <v>22</v>
      </c>
      <c r="J43" s="18" t="str">
        <f t="shared" si="1"/>
        <v>Review</v>
      </c>
      <c r="K43" s="19" t="str">
        <f t="shared" si="2"/>
        <v>Karan Sinha (North)</v>
      </c>
    </row>
    <row r="44" ht="14.25" customHeight="1">
      <c r="A44" s="2" t="s">
        <v>166</v>
      </c>
      <c r="B44" s="2" t="s">
        <v>167</v>
      </c>
      <c r="C44" s="2" t="s">
        <v>31</v>
      </c>
      <c r="D44" s="2" t="s">
        <v>138</v>
      </c>
      <c r="E44" s="2" t="s">
        <v>168</v>
      </c>
      <c r="F44" s="2">
        <v>2.0</v>
      </c>
      <c r="G44" s="2">
        <v>26803.0</v>
      </c>
      <c r="H44" s="2" t="s">
        <v>48</v>
      </c>
      <c r="I44" s="2" t="s">
        <v>15</v>
      </c>
      <c r="J44" s="18" t="str">
        <f t="shared" si="1"/>
        <v>Review</v>
      </c>
      <c r="K44" s="19" t="str">
        <f t="shared" si="2"/>
        <v>Deepak Sharma (South)</v>
      </c>
    </row>
    <row r="45" ht="14.25" customHeight="1">
      <c r="A45" s="2" t="s">
        <v>169</v>
      </c>
      <c r="B45" s="2" t="s">
        <v>170</v>
      </c>
      <c r="C45" s="2" t="s">
        <v>11</v>
      </c>
      <c r="D45" s="2" t="s">
        <v>171</v>
      </c>
      <c r="E45" s="2" t="s">
        <v>81</v>
      </c>
      <c r="F45" s="2">
        <v>5.0</v>
      </c>
      <c r="G45" s="2">
        <v>64309.0</v>
      </c>
      <c r="H45" s="2" t="s">
        <v>14</v>
      </c>
      <c r="I45" s="2" t="s">
        <v>28</v>
      </c>
      <c r="J45" s="18" t="str">
        <f t="shared" si="1"/>
        <v>Valid</v>
      </c>
      <c r="K45" s="19" t="str">
        <f t="shared" si="2"/>
        <v>Kiran Sinha (West)</v>
      </c>
    </row>
    <row r="46" ht="14.25" customHeight="1">
      <c r="A46" s="2" t="s">
        <v>172</v>
      </c>
      <c r="B46" s="2" t="s">
        <v>173</v>
      </c>
      <c r="C46" s="2" t="s">
        <v>92</v>
      </c>
      <c r="D46" s="2" t="s">
        <v>127</v>
      </c>
      <c r="E46" s="2" t="s">
        <v>111</v>
      </c>
      <c r="F46" s="2">
        <v>5.0</v>
      </c>
      <c r="G46" s="2">
        <v>60923.0</v>
      </c>
      <c r="H46" s="2" t="s">
        <v>14</v>
      </c>
      <c r="I46" s="2" t="s">
        <v>28</v>
      </c>
      <c r="J46" s="18" t="str">
        <f t="shared" si="1"/>
        <v>Valid</v>
      </c>
      <c r="K46" s="19" t="str">
        <f t="shared" si="2"/>
        <v>Geeta Kumar (West)</v>
      </c>
    </row>
    <row r="47" ht="14.25" customHeight="1">
      <c r="A47" s="2" t="s">
        <v>174</v>
      </c>
      <c r="B47" s="2" t="s">
        <v>175</v>
      </c>
      <c r="C47" s="2" t="s">
        <v>97</v>
      </c>
      <c r="D47" s="2" t="s">
        <v>56</v>
      </c>
      <c r="E47" s="2" t="s">
        <v>151</v>
      </c>
      <c r="F47" s="2">
        <v>1.0</v>
      </c>
      <c r="G47" s="2">
        <v>6488.0</v>
      </c>
      <c r="H47" s="2" t="s">
        <v>14</v>
      </c>
      <c r="I47" s="2" t="s">
        <v>28</v>
      </c>
      <c r="J47" s="18" t="str">
        <f t="shared" si="1"/>
        <v>Review</v>
      </c>
      <c r="K47" s="19" t="str">
        <f t="shared" si="2"/>
        <v>Riya Desai (West)</v>
      </c>
    </row>
    <row r="48" ht="14.25" customHeight="1">
      <c r="A48" s="2" t="s">
        <v>176</v>
      </c>
      <c r="B48" s="2" t="s">
        <v>177</v>
      </c>
      <c r="C48" s="2" t="s">
        <v>25</v>
      </c>
      <c r="D48" s="2" t="s">
        <v>12</v>
      </c>
      <c r="E48" s="2" t="s">
        <v>101</v>
      </c>
      <c r="F48" s="2">
        <v>6.0</v>
      </c>
      <c r="G48" s="2">
        <v>45482.0</v>
      </c>
      <c r="H48" s="2" t="s">
        <v>14</v>
      </c>
      <c r="I48" s="2" t="s">
        <v>28</v>
      </c>
      <c r="J48" s="18" t="str">
        <f t="shared" si="1"/>
        <v>Valid</v>
      </c>
      <c r="K48" s="19" t="str">
        <f t="shared" si="2"/>
        <v>Divya Reddy (West)</v>
      </c>
    </row>
    <row r="49" ht="14.25" customHeight="1">
      <c r="A49" s="2" t="s">
        <v>178</v>
      </c>
      <c r="B49" s="2" t="s">
        <v>179</v>
      </c>
      <c r="C49" s="2" t="s">
        <v>11</v>
      </c>
      <c r="D49" s="2" t="s">
        <v>180</v>
      </c>
      <c r="E49" s="2" t="s">
        <v>181</v>
      </c>
      <c r="F49" s="2">
        <v>1.0</v>
      </c>
      <c r="G49" s="2">
        <v>47310.0</v>
      </c>
      <c r="H49" s="2" t="s">
        <v>21</v>
      </c>
      <c r="I49" s="2" t="s">
        <v>28</v>
      </c>
      <c r="J49" s="18" t="str">
        <f t="shared" si="1"/>
        <v>Review</v>
      </c>
      <c r="K49" s="19" t="str">
        <f t="shared" si="2"/>
        <v>Karthik Gupta (North)</v>
      </c>
    </row>
    <row r="50" ht="14.25" customHeight="1">
      <c r="A50" s="2" t="s">
        <v>182</v>
      </c>
      <c r="B50" s="2" t="s">
        <v>83</v>
      </c>
      <c r="C50" s="2" t="s">
        <v>123</v>
      </c>
      <c r="D50" s="2" t="s">
        <v>20</v>
      </c>
      <c r="E50" s="2" t="s">
        <v>68</v>
      </c>
      <c r="F50" s="2">
        <v>1.0</v>
      </c>
      <c r="G50" s="2">
        <v>16901.0</v>
      </c>
      <c r="H50" s="2" t="s">
        <v>48</v>
      </c>
      <c r="I50" s="2" t="s">
        <v>28</v>
      </c>
      <c r="J50" s="18" t="str">
        <f t="shared" si="1"/>
        <v>Review</v>
      </c>
      <c r="K50" s="19" t="str">
        <f t="shared" si="2"/>
        <v>Pooja Kaur (South)</v>
      </c>
    </row>
    <row r="51" ht="14.25" customHeight="1">
      <c r="A51" s="2" t="s">
        <v>183</v>
      </c>
      <c r="B51" s="2" t="s">
        <v>184</v>
      </c>
      <c r="C51" s="2" t="s">
        <v>185</v>
      </c>
      <c r="D51" s="2" t="s">
        <v>101</v>
      </c>
      <c r="E51" s="2" t="s">
        <v>13</v>
      </c>
      <c r="F51" s="2">
        <v>4.0</v>
      </c>
      <c r="G51" s="2">
        <v>36642.0</v>
      </c>
      <c r="H51" s="2" t="s">
        <v>48</v>
      </c>
      <c r="I51" s="2" t="s">
        <v>28</v>
      </c>
      <c r="J51" s="18" t="str">
        <f t="shared" si="1"/>
        <v>Valid</v>
      </c>
      <c r="K51" s="19" t="str">
        <f t="shared" si="2"/>
        <v>Rohan Kumar (South)</v>
      </c>
    </row>
    <row r="52" ht="14.25" customHeight="1">
      <c r="A52" s="2" t="s">
        <v>186</v>
      </c>
      <c r="B52" s="2" t="s">
        <v>187</v>
      </c>
      <c r="C52" s="2" t="s">
        <v>18</v>
      </c>
      <c r="D52" s="2" t="s">
        <v>188</v>
      </c>
      <c r="E52" s="2" t="s">
        <v>46</v>
      </c>
      <c r="F52" s="2">
        <v>3.0</v>
      </c>
      <c r="G52" s="2">
        <v>45563.0</v>
      </c>
      <c r="H52" s="2" t="s">
        <v>62</v>
      </c>
      <c r="I52" s="2" t="s">
        <v>22</v>
      </c>
      <c r="J52" s="18" t="str">
        <f t="shared" si="1"/>
        <v>Review</v>
      </c>
      <c r="K52" s="19" t="str">
        <f t="shared" si="2"/>
        <v>Karthik Khan (East)</v>
      </c>
    </row>
    <row r="53" ht="14.25" customHeight="1">
      <c r="A53" s="2" t="s">
        <v>189</v>
      </c>
      <c r="B53" s="2" t="s">
        <v>190</v>
      </c>
      <c r="C53" s="2" t="s">
        <v>86</v>
      </c>
      <c r="D53" s="2" t="s">
        <v>138</v>
      </c>
      <c r="E53" s="2" t="s">
        <v>191</v>
      </c>
      <c r="F53" s="2">
        <v>4.0</v>
      </c>
      <c r="G53" s="2">
        <v>22996.0</v>
      </c>
      <c r="H53" s="2" t="s">
        <v>62</v>
      </c>
      <c r="I53" s="2" t="s">
        <v>15</v>
      </c>
      <c r="J53" s="18" t="str">
        <f t="shared" si="1"/>
        <v>Review</v>
      </c>
      <c r="K53" s="19" t="str">
        <f t="shared" si="2"/>
        <v>Megha Menon (East)</v>
      </c>
    </row>
    <row r="54" ht="14.25" customHeight="1">
      <c r="A54" s="2" t="s">
        <v>192</v>
      </c>
      <c r="B54" s="2" t="s">
        <v>193</v>
      </c>
      <c r="C54" s="2" t="s">
        <v>55</v>
      </c>
      <c r="D54" s="2" t="s">
        <v>68</v>
      </c>
      <c r="E54" s="2" t="s">
        <v>56</v>
      </c>
      <c r="F54" s="2">
        <v>3.0</v>
      </c>
      <c r="G54" s="2">
        <v>44183.0</v>
      </c>
      <c r="H54" s="2" t="s">
        <v>48</v>
      </c>
      <c r="I54" s="2" t="s">
        <v>28</v>
      </c>
      <c r="J54" s="18" t="str">
        <f t="shared" si="1"/>
        <v>Valid</v>
      </c>
      <c r="K54" s="19" t="str">
        <f t="shared" si="2"/>
        <v>Karthik Desai (South)</v>
      </c>
    </row>
    <row r="55" ht="14.25" customHeight="1">
      <c r="A55" s="2" t="s">
        <v>194</v>
      </c>
      <c r="B55" s="2" t="s">
        <v>195</v>
      </c>
      <c r="C55" s="2" t="s">
        <v>185</v>
      </c>
      <c r="D55" s="2" t="s">
        <v>36</v>
      </c>
      <c r="E55" s="2" t="s">
        <v>196</v>
      </c>
      <c r="F55" s="2">
        <v>5.0</v>
      </c>
      <c r="G55" s="2">
        <v>23977.0</v>
      </c>
      <c r="H55" s="2" t="s">
        <v>48</v>
      </c>
      <c r="I55" s="2" t="s">
        <v>22</v>
      </c>
      <c r="J55" s="18" t="str">
        <f t="shared" si="1"/>
        <v>Review</v>
      </c>
      <c r="K55" s="19" t="str">
        <f t="shared" si="2"/>
        <v>Pallavi Vardhan (South)</v>
      </c>
    </row>
    <row r="56" ht="14.25" customHeight="1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76</v>
      </c>
      <c r="F56" s="2">
        <v>4.0</v>
      </c>
      <c r="G56" s="2">
        <v>61336.0</v>
      </c>
      <c r="H56" s="2" t="s">
        <v>21</v>
      </c>
      <c r="I56" s="2" t="s">
        <v>28</v>
      </c>
      <c r="J56" s="18" t="str">
        <f t="shared" si="1"/>
        <v>Valid</v>
      </c>
      <c r="K56" s="19" t="str">
        <f t="shared" si="2"/>
        <v>Ravi Tiwari (North)</v>
      </c>
    </row>
    <row r="57" ht="14.25" customHeight="1">
      <c r="A57" s="2" t="s">
        <v>201</v>
      </c>
      <c r="B57" s="2" t="s">
        <v>202</v>
      </c>
      <c r="C57" s="2" t="s">
        <v>114</v>
      </c>
      <c r="D57" s="2" t="s">
        <v>203</v>
      </c>
      <c r="E57" s="2" t="s">
        <v>171</v>
      </c>
      <c r="F57" s="2">
        <v>3.0</v>
      </c>
      <c r="G57" s="2">
        <v>28560.0</v>
      </c>
      <c r="H57" s="2" t="s">
        <v>14</v>
      </c>
      <c r="I57" s="2" t="s">
        <v>22</v>
      </c>
      <c r="J57" s="18" t="str">
        <f t="shared" si="1"/>
        <v>Review</v>
      </c>
      <c r="K57" s="19" t="str">
        <f t="shared" si="2"/>
        <v>Varun Kumar (West)</v>
      </c>
    </row>
    <row r="58" ht="14.25" customHeight="1">
      <c r="A58" s="2" t="s">
        <v>204</v>
      </c>
      <c r="B58" s="2" t="s">
        <v>205</v>
      </c>
      <c r="C58" s="2" t="s">
        <v>25</v>
      </c>
      <c r="D58" s="2" t="s">
        <v>206</v>
      </c>
      <c r="E58" s="2" t="s">
        <v>207</v>
      </c>
      <c r="F58" s="2">
        <v>6.0</v>
      </c>
      <c r="G58" s="2">
        <v>17033.0</v>
      </c>
      <c r="H58" s="2" t="s">
        <v>48</v>
      </c>
      <c r="I58" s="2" t="s">
        <v>28</v>
      </c>
      <c r="J58" s="18" t="str">
        <f t="shared" si="1"/>
        <v>Valid</v>
      </c>
      <c r="K58" s="19" t="str">
        <f t="shared" si="2"/>
        <v>Rahul Arora (South)</v>
      </c>
    </row>
    <row r="59" ht="14.25" customHeight="1">
      <c r="A59" s="2" t="s">
        <v>208</v>
      </c>
      <c r="B59" s="2" t="s">
        <v>209</v>
      </c>
      <c r="C59" s="2" t="s">
        <v>97</v>
      </c>
      <c r="D59" s="2" t="s">
        <v>118</v>
      </c>
      <c r="E59" s="2" t="s">
        <v>180</v>
      </c>
      <c r="F59" s="2">
        <v>4.0</v>
      </c>
      <c r="G59" s="2">
        <v>8225.0</v>
      </c>
      <c r="H59" s="2" t="s">
        <v>62</v>
      </c>
      <c r="I59" s="2" t="s">
        <v>28</v>
      </c>
      <c r="J59" s="18" t="str">
        <f t="shared" si="1"/>
        <v>Valid</v>
      </c>
      <c r="K59" s="19" t="str">
        <f t="shared" si="2"/>
        <v>Ravi Desai (East)</v>
      </c>
    </row>
    <row r="60" ht="14.25" customHeight="1">
      <c r="A60" s="2" t="s">
        <v>210</v>
      </c>
      <c r="B60" s="2" t="s">
        <v>211</v>
      </c>
      <c r="C60" s="2" t="s">
        <v>185</v>
      </c>
      <c r="D60" s="2" t="s">
        <v>76</v>
      </c>
      <c r="E60" s="2" t="s">
        <v>65</v>
      </c>
      <c r="F60" s="2">
        <v>5.0</v>
      </c>
      <c r="G60" s="2">
        <v>32053.0</v>
      </c>
      <c r="H60" s="2" t="s">
        <v>21</v>
      </c>
      <c r="I60" s="2" t="s">
        <v>28</v>
      </c>
      <c r="J60" s="18" t="str">
        <f t="shared" si="1"/>
        <v>Valid</v>
      </c>
      <c r="K60" s="19" t="str">
        <f t="shared" si="2"/>
        <v>Suraj Gupta (North)</v>
      </c>
    </row>
    <row r="61" ht="14.25" customHeight="1">
      <c r="A61" s="2" t="s">
        <v>212</v>
      </c>
      <c r="B61" s="2" t="s">
        <v>213</v>
      </c>
      <c r="C61" s="2" t="s">
        <v>11</v>
      </c>
      <c r="D61" s="2" t="s">
        <v>73</v>
      </c>
      <c r="E61" s="2" t="s">
        <v>124</v>
      </c>
      <c r="F61" s="2">
        <v>1.0</v>
      </c>
      <c r="G61" s="2">
        <v>23765.0</v>
      </c>
      <c r="H61" s="2" t="s">
        <v>14</v>
      </c>
      <c r="I61" s="2" t="s">
        <v>28</v>
      </c>
      <c r="J61" s="18" t="str">
        <f t="shared" si="1"/>
        <v>Review</v>
      </c>
      <c r="K61" s="19" t="str">
        <f t="shared" si="2"/>
        <v>Neha Kumar (West)</v>
      </c>
    </row>
    <row r="62" ht="14.25" customHeight="1">
      <c r="A62" s="2" t="s">
        <v>214</v>
      </c>
      <c r="B62" s="2" t="s">
        <v>215</v>
      </c>
      <c r="C62" s="2" t="s">
        <v>45</v>
      </c>
      <c r="D62" s="2" t="s">
        <v>191</v>
      </c>
      <c r="E62" s="2" t="s">
        <v>27</v>
      </c>
      <c r="F62" s="2">
        <v>4.0</v>
      </c>
      <c r="G62" s="2">
        <v>63627.0</v>
      </c>
      <c r="H62" s="2" t="s">
        <v>62</v>
      </c>
      <c r="I62" s="2" t="s">
        <v>22</v>
      </c>
      <c r="J62" s="18" t="str">
        <f t="shared" si="1"/>
        <v>Review</v>
      </c>
      <c r="K62" s="19" t="str">
        <f t="shared" si="2"/>
        <v>Alok Iyer (East)</v>
      </c>
    </row>
    <row r="63" ht="14.25" customHeight="1">
      <c r="A63" s="2" t="s">
        <v>216</v>
      </c>
      <c r="B63" s="2" t="s">
        <v>217</v>
      </c>
      <c r="C63" s="2" t="s">
        <v>199</v>
      </c>
      <c r="D63" s="2" t="s">
        <v>162</v>
      </c>
      <c r="E63" s="2" t="s">
        <v>36</v>
      </c>
      <c r="F63" s="2">
        <v>6.0</v>
      </c>
      <c r="G63" s="2">
        <v>44304.0</v>
      </c>
      <c r="H63" s="2" t="s">
        <v>48</v>
      </c>
      <c r="I63" s="2" t="s">
        <v>28</v>
      </c>
      <c r="J63" s="18" t="str">
        <f t="shared" si="1"/>
        <v>Valid</v>
      </c>
      <c r="K63" s="19" t="str">
        <f t="shared" si="2"/>
        <v>Rohan Patil (South)</v>
      </c>
    </row>
    <row r="64" ht="14.25" customHeight="1">
      <c r="A64" s="2" t="s">
        <v>218</v>
      </c>
      <c r="B64" s="2" t="s">
        <v>219</v>
      </c>
      <c r="C64" s="2" t="s">
        <v>11</v>
      </c>
      <c r="D64" s="2" t="s">
        <v>60</v>
      </c>
      <c r="E64" s="2" t="s">
        <v>42</v>
      </c>
      <c r="F64" s="2">
        <v>5.0</v>
      </c>
      <c r="G64" s="2">
        <v>27814.0</v>
      </c>
      <c r="H64" s="2" t="s">
        <v>21</v>
      </c>
      <c r="I64" s="2" t="s">
        <v>28</v>
      </c>
      <c r="J64" s="18" t="str">
        <f t="shared" si="1"/>
        <v>Valid</v>
      </c>
      <c r="K64" s="19" t="str">
        <f t="shared" si="2"/>
        <v>Pallavi Patel (North)</v>
      </c>
    </row>
    <row r="65" ht="14.25" customHeight="1">
      <c r="A65" s="2" t="s">
        <v>220</v>
      </c>
      <c r="B65" s="2" t="s">
        <v>221</v>
      </c>
      <c r="C65" s="2" t="s">
        <v>45</v>
      </c>
      <c r="D65" s="2" t="s">
        <v>222</v>
      </c>
      <c r="E65" s="2" t="s">
        <v>223</v>
      </c>
      <c r="F65" s="2">
        <v>2.0</v>
      </c>
      <c r="G65" s="2">
        <v>12746.0</v>
      </c>
      <c r="H65" s="2" t="s">
        <v>62</v>
      </c>
      <c r="I65" s="2" t="s">
        <v>15</v>
      </c>
      <c r="J65" s="18" t="str">
        <f t="shared" si="1"/>
        <v>Review</v>
      </c>
      <c r="K65" s="19" t="str">
        <f t="shared" si="2"/>
        <v>Geeta Tiwari (East)</v>
      </c>
    </row>
    <row r="66" ht="14.25" customHeight="1">
      <c r="A66" s="2" t="s">
        <v>224</v>
      </c>
      <c r="B66" s="2" t="s">
        <v>225</v>
      </c>
      <c r="C66" s="2" t="s">
        <v>86</v>
      </c>
      <c r="D66" s="2" t="s">
        <v>162</v>
      </c>
      <c r="E66" s="2" t="s">
        <v>94</v>
      </c>
      <c r="F66" s="2">
        <v>3.0</v>
      </c>
      <c r="G66" s="2">
        <v>66758.0</v>
      </c>
      <c r="H66" s="2" t="s">
        <v>62</v>
      </c>
      <c r="I66" s="2" t="s">
        <v>28</v>
      </c>
      <c r="J66" s="18" t="str">
        <f t="shared" si="1"/>
        <v>Valid</v>
      </c>
      <c r="K66" s="19" t="str">
        <f t="shared" si="2"/>
        <v>Kavita Singh (East)</v>
      </c>
    </row>
    <row r="67" ht="14.25" customHeight="1">
      <c r="A67" s="2" t="s">
        <v>226</v>
      </c>
      <c r="B67" s="2" t="s">
        <v>227</v>
      </c>
      <c r="C67" s="2" t="s">
        <v>25</v>
      </c>
      <c r="D67" s="2" t="s">
        <v>37</v>
      </c>
      <c r="E67" s="2" t="s">
        <v>228</v>
      </c>
      <c r="F67" s="2">
        <v>1.0</v>
      </c>
      <c r="G67" s="2">
        <v>9833.0</v>
      </c>
      <c r="H67" s="2" t="s">
        <v>48</v>
      </c>
      <c r="I67" s="2" t="s">
        <v>15</v>
      </c>
      <c r="J67" s="18" t="str">
        <f t="shared" si="1"/>
        <v>Review</v>
      </c>
      <c r="K67" s="19" t="str">
        <f t="shared" si="2"/>
        <v>Vikram Sharma (South)</v>
      </c>
    </row>
    <row r="68" ht="14.25" customHeight="1">
      <c r="A68" s="2" t="s">
        <v>229</v>
      </c>
      <c r="B68" s="2" t="s">
        <v>230</v>
      </c>
      <c r="C68" s="2" t="s">
        <v>97</v>
      </c>
      <c r="D68" s="2" t="s">
        <v>27</v>
      </c>
      <c r="E68" s="2" t="s">
        <v>231</v>
      </c>
      <c r="F68" s="2">
        <v>6.0</v>
      </c>
      <c r="G68" s="2">
        <v>19276.0</v>
      </c>
      <c r="H68" s="2" t="s">
        <v>48</v>
      </c>
      <c r="I68" s="2" t="s">
        <v>22</v>
      </c>
      <c r="J68" s="18" t="str">
        <f t="shared" si="1"/>
        <v>Review</v>
      </c>
      <c r="K68" s="19" t="str">
        <f t="shared" si="2"/>
        <v>Simran Agarwal (South)</v>
      </c>
    </row>
    <row r="69" ht="14.25" customHeight="1">
      <c r="A69" s="2" t="s">
        <v>232</v>
      </c>
      <c r="B69" s="2" t="s">
        <v>233</v>
      </c>
      <c r="C69" s="2" t="s">
        <v>59</v>
      </c>
      <c r="D69" s="2" t="s">
        <v>191</v>
      </c>
      <c r="E69" s="2" t="s">
        <v>162</v>
      </c>
      <c r="F69" s="2">
        <v>5.0</v>
      </c>
      <c r="G69" s="2">
        <v>8589.0</v>
      </c>
      <c r="H69" s="2" t="s">
        <v>21</v>
      </c>
      <c r="I69" s="2" t="s">
        <v>28</v>
      </c>
      <c r="J69" s="18" t="str">
        <f t="shared" si="1"/>
        <v>Valid</v>
      </c>
      <c r="K69" s="19" t="str">
        <f t="shared" si="2"/>
        <v>Kavita Kumar (North)</v>
      </c>
    </row>
    <row r="70" ht="14.25" customHeight="1">
      <c r="A70" s="2" t="s">
        <v>234</v>
      </c>
      <c r="B70" s="2" t="s">
        <v>235</v>
      </c>
      <c r="C70" s="2" t="s">
        <v>25</v>
      </c>
      <c r="D70" s="2" t="s">
        <v>41</v>
      </c>
      <c r="E70" s="2" t="s">
        <v>151</v>
      </c>
      <c r="F70" s="2">
        <v>1.0</v>
      </c>
      <c r="G70" s="2">
        <v>24228.0</v>
      </c>
      <c r="H70" s="2" t="s">
        <v>48</v>
      </c>
      <c r="I70" s="2" t="s">
        <v>28</v>
      </c>
      <c r="J70" s="18" t="str">
        <f t="shared" si="1"/>
        <v>Review</v>
      </c>
      <c r="K70" s="19" t="str">
        <f t="shared" si="2"/>
        <v>Shalini Shah (South)</v>
      </c>
    </row>
    <row r="71" ht="14.25" customHeight="1">
      <c r="A71" s="2" t="s">
        <v>236</v>
      </c>
      <c r="B71" s="2" t="s">
        <v>237</v>
      </c>
      <c r="C71" s="2" t="s">
        <v>86</v>
      </c>
      <c r="D71" s="2" t="s">
        <v>156</v>
      </c>
      <c r="E71" s="2" t="s">
        <v>171</v>
      </c>
      <c r="F71" s="2">
        <v>6.0</v>
      </c>
      <c r="G71" s="2">
        <v>45999.0</v>
      </c>
      <c r="H71" s="2" t="s">
        <v>21</v>
      </c>
      <c r="I71" s="2" t="s">
        <v>28</v>
      </c>
      <c r="J71" s="18" t="str">
        <f t="shared" si="1"/>
        <v>Valid</v>
      </c>
      <c r="K71" s="19" t="str">
        <f t="shared" si="2"/>
        <v>Aman Agarwal (North)</v>
      </c>
    </row>
    <row r="72" ht="14.25" customHeight="1">
      <c r="A72" s="2" t="s">
        <v>238</v>
      </c>
      <c r="B72" s="2" t="s">
        <v>239</v>
      </c>
      <c r="C72" s="2" t="s">
        <v>114</v>
      </c>
      <c r="D72" s="2" t="s">
        <v>108</v>
      </c>
      <c r="E72" s="2" t="s">
        <v>231</v>
      </c>
      <c r="F72" s="2">
        <v>6.0</v>
      </c>
      <c r="G72" s="2">
        <v>16843.0</v>
      </c>
      <c r="H72" s="2" t="s">
        <v>21</v>
      </c>
      <c r="I72" s="2" t="s">
        <v>28</v>
      </c>
      <c r="J72" s="18" t="str">
        <f t="shared" si="1"/>
        <v>Valid</v>
      </c>
      <c r="K72" s="19" t="str">
        <f t="shared" si="2"/>
        <v>Ajay Nair (North)</v>
      </c>
    </row>
    <row r="73" ht="14.25" customHeight="1">
      <c r="A73" s="2" t="s">
        <v>240</v>
      </c>
      <c r="B73" s="2" t="s">
        <v>241</v>
      </c>
      <c r="C73" s="2" t="s">
        <v>18</v>
      </c>
      <c r="D73" s="2" t="s">
        <v>191</v>
      </c>
      <c r="E73" s="2" t="s">
        <v>36</v>
      </c>
      <c r="F73" s="2">
        <v>5.0</v>
      </c>
      <c r="G73" s="2">
        <v>11432.0</v>
      </c>
      <c r="H73" s="2" t="s">
        <v>48</v>
      </c>
      <c r="I73" s="2" t="s">
        <v>28</v>
      </c>
      <c r="J73" s="18" t="str">
        <f t="shared" si="1"/>
        <v>Valid</v>
      </c>
      <c r="K73" s="19" t="str">
        <f t="shared" si="2"/>
        <v>Rashmi Agarwal (South)</v>
      </c>
    </row>
    <row r="74" ht="14.25" customHeight="1">
      <c r="A74" s="2" t="s">
        <v>242</v>
      </c>
      <c r="B74" s="2" t="s">
        <v>243</v>
      </c>
      <c r="C74" s="2" t="s">
        <v>97</v>
      </c>
      <c r="D74" s="2" t="s">
        <v>69</v>
      </c>
      <c r="E74" s="2" t="s">
        <v>244</v>
      </c>
      <c r="F74" s="2">
        <v>3.0</v>
      </c>
      <c r="G74" s="2">
        <v>6930.0</v>
      </c>
      <c r="H74" s="2" t="s">
        <v>62</v>
      </c>
      <c r="I74" s="2" t="s">
        <v>28</v>
      </c>
      <c r="J74" s="18" t="str">
        <f t="shared" si="1"/>
        <v>Valid</v>
      </c>
      <c r="K74" s="19" t="str">
        <f t="shared" si="2"/>
        <v>Ankit Menon (East)</v>
      </c>
    </row>
    <row r="75" ht="14.25" customHeight="1">
      <c r="A75" s="2" t="s">
        <v>245</v>
      </c>
      <c r="B75" s="2" t="s">
        <v>246</v>
      </c>
      <c r="C75" s="2" t="s">
        <v>114</v>
      </c>
      <c r="D75" s="2" t="s">
        <v>98</v>
      </c>
      <c r="E75" s="2" t="s">
        <v>108</v>
      </c>
      <c r="F75" s="2">
        <v>2.0</v>
      </c>
      <c r="G75" s="2">
        <v>5931.0</v>
      </c>
      <c r="H75" s="2" t="s">
        <v>14</v>
      </c>
      <c r="I75" s="2" t="s">
        <v>28</v>
      </c>
      <c r="J75" s="18" t="str">
        <f t="shared" si="1"/>
        <v>Valid</v>
      </c>
      <c r="K75" s="19" t="str">
        <f t="shared" si="2"/>
        <v>Ajay Vardhan (West)</v>
      </c>
    </row>
    <row r="76" ht="14.25" customHeight="1">
      <c r="A76" s="2" t="s">
        <v>247</v>
      </c>
      <c r="B76" s="2" t="s">
        <v>248</v>
      </c>
      <c r="C76" s="2" t="s">
        <v>25</v>
      </c>
      <c r="D76" s="2" t="s">
        <v>127</v>
      </c>
      <c r="E76" s="2" t="s">
        <v>93</v>
      </c>
      <c r="F76" s="2">
        <v>4.0</v>
      </c>
      <c r="G76" s="2">
        <v>42890.0</v>
      </c>
      <c r="H76" s="2" t="s">
        <v>14</v>
      </c>
      <c r="I76" s="2" t="s">
        <v>28</v>
      </c>
      <c r="J76" s="18" t="str">
        <f t="shared" si="1"/>
        <v>Valid</v>
      </c>
      <c r="K76" s="19" t="str">
        <f t="shared" si="2"/>
        <v>Ankit Reddy (West)</v>
      </c>
    </row>
    <row r="77" ht="14.25" customHeight="1">
      <c r="A77" s="2" t="s">
        <v>249</v>
      </c>
      <c r="B77" s="2" t="s">
        <v>250</v>
      </c>
      <c r="C77" s="2" t="s">
        <v>59</v>
      </c>
      <c r="D77" s="2" t="s">
        <v>251</v>
      </c>
      <c r="E77" s="2" t="s">
        <v>77</v>
      </c>
      <c r="F77" s="2">
        <v>4.0</v>
      </c>
      <c r="G77" s="2">
        <v>44533.0</v>
      </c>
      <c r="H77" s="2" t="s">
        <v>62</v>
      </c>
      <c r="I77" s="2" t="s">
        <v>28</v>
      </c>
      <c r="J77" s="18" t="str">
        <f t="shared" si="1"/>
        <v>Valid</v>
      </c>
      <c r="K77" s="19" t="str">
        <f t="shared" si="2"/>
        <v>Rohan Tiwari (East)</v>
      </c>
    </row>
    <row r="78" ht="14.25" customHeight="1">
      <c r="A78" s="2" t="s">
        <v>252</v>
      </c>
      <c r="B78" s="2" t="s">
        <v>253</v>
      </c>
      <c r="C78" s="2" t="s">
        <v>11</v>
      </c>
      <c r="D78" s="2" t="s">
        <v>98</v>
      </c>
      <c r="E78" s="2" t="s">
        <v>27</v>
      </c>
      <c r="F78" s="2">
        <v>2.0</v>
      </c>
      <c r="G78" s="2">
        <v>46616.0</v>
      </c>
      <c r="H78" s="2" t="s">
        <v>48</v>
      </c>
      <c r="I78" s="2" t="s">
        <v>22</v>
      </c>
      <c r="J78" s="18" t="str">
        <f t="shared" si="1"/>
        <v>Review</v>
      </c>
      <c r="K78" s="19" t="str">
        <f t="shared" si="2"/>
        <v>Amit Singh (South)</v>
      </c>
    </row>
    <row r="79" ht="14.25" customHeight="1">
      <c r="A79" s="2" t="s">
        <v>254</v>
      </c>
      <c r="B79" s="2" t="s">
        <v>255</v>
      </c>
      <c r="C79" s="2" t="s">
        <v>18</v>
      </c>
      <c r="D79" s="2" t="s">
        <v>36</v>
      </c>
      <c r="E79" s="2" t="s">
        <v>196</v>
      </c>
      <c r="F79" s="2">
        <v>3.0</v>
      </c>
      <c r="G79" s="2">
        <v>57016.0</v>
      </c>
      <c r="H79" s="2" t="s">
        <v>21</v>
      </c>
      <c r="I79" s="2" t="s">
        <v>28</v>
      </c>
      <c r="J79" s="18" t="str">
        <f t="shared" si="1"/>
        <v>Valid</v>
      </c>
      <c r="K79" s="19" t="str">
        <f t="shared" si="2"/>
        <v>Ankit Kumar (North)</v>
      </c>
    </row>
    <row r="80" ht="14.25" customHeight="1">
      <c r="A80" s="2" t="s">
        <v>256</v>
      </c>
      <c r="B80" s="2" t="s">
        <v>257</v>
      </c>
      <c r="C80" s="2" t="s">
        <v>40</v>
      </c>
      <c r="D80" s="2" t="s">
        <v>12</v>
      </c>
      <c r="E80" s="2" t="s">
        <v>33</v>
      </c>
      <c r="F80" s="2">
        <v>6.0</v>
      </c>
      <c r="G80" s="2">
        <v>37999.0</v>
      </c>
      <c r="H80" s="2" t="s">
        <v>48</v>
      </c>
      <c r="I80" s="2" t="s">
        <v>15</v>
      </c>
      <c r="J80" s="18" t="str">
        <f t="shared" si="1"/>
        <v>Review</v>
      </c>
      <c r="K80" s="19" t="str">
        <f t="shared" si="2"/>
        <v>Ajay Roy (South)</v>
      </c>
    </row>
    <row r="81" ht="14.25" customHeight="1">
      <c r="A81" s="2" t="s">
        <v>258</v>
      </c>
      <c r="B81" s="2" t="s">
        <v>259</v>
      </c>
      <c r="C81" s="2" t="s">
        <v>97</v>
      </c>
      <c r="D81" s="2" t="s">
        <v>124</v>
      </c>
      <c r="E81" s="2" t="s">
        <v>137</v>
      </c>
      <c r="F81" s="2">
        <v>5.0</v>
      </c>
      <c r="G81" s="2">
        <v>48493.0</v>
      </c>
      <c r="H81" s="2" t="s">
        <v>21</v>
      </c>
      <c r="I81" s="2" t="s">
        <v>28</v>
      </c>
      <c r="J81" s="18" t="str">
        <f t="shared" si="1"/>
        <v>Valid</v>
      </c>
      <c r="K81" s="19" t="str">
        <f t="shared" si="2"/>
        <v>Sneha Khan (North)</v>
      </c>
    </row>
    <row r="82" ht="14.25" customHeight="1">
      <c r="A82" s="2" t="s">
        <v>260</v>
      </c>
      <c r="B82" s="2" t="s">
        <v>261</v>
      </c>
      <c r="C82" s="2" t="s">
        <v>31</v>
      </c>
      <c r="D82" s="2" t="s">
        <v>162</v>
      </c>
      <c r="E82" s="2" t="s">
        <v>93</v>
      </c>
      <c r="F82" s="2">
        <v>2.0</v>
      </c>
      <c r="G82" s="2">
        <v>11330.0</v>
      </c>
      <c r="H82" s="2" t="s">
        <v>62</v>
      </c>
      <c r="I82" s="2" t="s">
        <v>28</v>
      </c>
      <c r="J82" s="18" t="str">
        <f t="shared" si="1"/>
        <v>Valid</v>
      </c>
      <c r="K82" s="19" t="str">
        <f t="shared" si="2"/>
        <v>Aditya Vardhan (East)</v>
      </c>
    </row>
    <row r="83" ht="14.25" customHeight="1">
      <c r="A83" s="2" t="s">
        <v>262</v>
      </c>
      <c r="B83" s="2" t="s">
        <v>263</v>
      </c>
      <c r="C83" s="2" t="s">
        <v>31</v>
      </c>
      <c r="D83" s="2" t="s">
        <v>81</v>
      </c>
      <c r="E83" s="2" t="s">
        <v>72</v>
      </c>
      <c r="F83" s="2">
        <v>3.0</v>
      </c>
      <c r="G83" s="2">
        <v>33535.0</v>
      </c>
      <c r="H83" s="2" t="s">
        <v>14</v>
      </c>
      <c r="I83" s="2" t="s">
        <v>28</v>
      </c>
      <c r="J83" s="18" t="str">
        <f t="shared" si="1"/>
        <v>Valid</v>
      </c>
      <c r="K83" s="19" t="str">
        <f t="shared" si="2"/>
        <v>Rashmi Das (West)</v>
      </c>
    </row>
    <row r="84" ht="14.25" customHeight="1">
      <c r="A84" s="2" t="s">
        <v>264</v>
      </c>
      <c r="B84" s="2" t="s">
        <v>265</v>
      </c>
      <c r="C84" s="2" t="s">
        <v>199</v>
      </c>
      <c r="D84" s="2" t="s">
        <v>56</v>
      </c>
      <c r="E84" s="2" t="s">
        <v>244</v>
      </c>
      <c r="F84" s="2">
        <v>1.0</v>
      </c>
      <c r="G84" s="2">
        <v>2992.0</v>
      </c>
      <c r="H84" s="2" t="s">
        <v>48</v>
      </c>
      <c r="I84" s="2" t="s">
        <v>22</v>
      </c>
      <c r="J84" s="18" t="str">
        <f t="shared" si="1"/>
        <v>Review</v>
      </c>
      <c r="K84" s="19" t="str">
        <f t="shared" si="2"/>
        <v>Sneha Gupta (South)</v>
      </c>
    </row>
    <row r="85" ht="14.25" customHeight="1">
      <c r="A85" s="2" t="s">
        <v>266</v>
      </c>
      <c r="B85" s="2" t="s">
        <v>267</v>
      </c>
      <c r="C85" s="2" t="s">
        <v>199</v>
      </c>
      <c r="D85" s="2" t="s">
        <v>41</v>
      </c>
      <c r="E85" s="2" t="s">
        <v>191</v>
      </c>
      <c r="F85" s="2">
        <v>5.0</v>
      </c>
      <c r="G85" s="2">
        <v>8734.0</v>
      </c>
      <c r="H85" s="2" t="s">
        <v>14</v>
      </c>
      <c r="I85" s="2" t="s">
        <v>15</v>
      </c>
      <c r="J85" s="18" t="str">
        <f t="shared" si="1"/>
        <v>Review</v>
      </c>
      <c r="K85" s="19" t="str">
        <f t="shared" si="2"/>
        <v>Tina Shah (West)</v>
      </c>
    </row>
    <row r="86" ht="14.25" customHeight="1">
      <c r="A86" s="2" t="s">
        <v>268</v>
      </c>
      <c r="B86" s="2" t="s">
        <v>269</v>
      </c>
      <c r="C86" s="2" t="s">
        <v>123</v>
      </c>
      <c r="D86" s="2" t="s">
        <v>118</v>
      </c>
      <c r="E86" s="2" t="s">
        <v>188</v>
      </c>
      <c r="F86" s="2">
        <v>6.0</v>
      </c>
      <c r="G86" s="2">
        <v>45602.0</v>
      </c>
      <c r="H86" s="2" t="s">
        <v>62</v>
      </c>
      <c r="I86" s="2" t="s">
        <v>28</v>
      </c>
      <c r="J86" s="18" t="str">
        <f t="shared" si="1"/>
        <v>Valid</v>
      </c>
      <c r="K86" s="19" t="str">
        <f t="shared" si="2"/>
        <v>Mohit Gupta (East)</v>
      </c>
    </row>
    <row r="87" ht="14.25" customHeight="1">
      <c r="A87" s="2" t="s">
        <v>270</v>
      </c>
      <c r="B87" s="2" t="s">
        <v>304</v>
      </c>
      <c r="C87" s="2" t="s">
        <v>31</v>
      </c>
      <c r="D87" s="2" t="s">
        <v>41</v>
      </c>
      <c r="E87" s="2" t="s">
        <v>168</v>
      </c>
      <c r="F87" s="2">
        <v>3.0</v>
      </c>
      <c r="G87" s="2">
        <v>5818.0</v>
      </c>
      <c r="H87" s="2" t="s">
        <v>14</v>
      </c>
      <c r="I87" s="2" t="s">
        <v>15</v>
      </c>
      <c r="J87" s="18" t="str">
        <f t="shared" si="1"/>
        <v>Review</v>
      </c>
      <c r="K87" s="19" t="str">
        <f t="shared" si="2"/>
        <v>Rashmi Gupta (West)</v>
      </c>
    </row>
    <row r="88" ht="14.25" customHeight="1">
      <c r="A88" s="2" t="s">
        <v>272</v>
      </c>
      <c r="B88" s="2" t="s">
        <v>305</v>
      </c>
      <c r="C88" s="2" t="s">
        <v>97</v>
      </c>
      <c r="D88" s="2" t="s">
        <v>191</v>
      </c>
      <c r="E88" s="2" t="s">
        <v>244</v>
      </c>
      <c r="F88" s="2">
        <v>5.0</v>
      </c>
      <c r="G88" s="2">
        <v>63923.0</v>
      </c>
      <c r="H88" s="2" t="s">
        <v>14</v>
      </c>
      <c r="I88" s="2" t="s">
        <v>28</v>
      </c>
      <c r="J88" s="18" t="str">
        <f t="shared" si="1"/>
        <v>Valid</v>
      </c>
      <c r="K88" s="19" t="str">
        <f t="shared" si="2"/>
        <v>Rohit Kulkarni (West)</v>
      </c>
    </row>
    <row r="89" ht="14.25" customHeight="1">
      <c r="A89" s="2" t="s">
        <v>274</v>
      </c>
      <c r="B89" s="2" t="s">
        <v>306</v>
      </c>
      <c r="C89" s="2" t="s">
        <v>59</v>
      </c>
      <c r="D89" s="2" t="s">
        <v>134</v>
      </c>
      <c r="E89" s="2" t="s">
        <v>60</v>
      </c>
      <c r="F89" s="2">
        <v>5.0</v>
      </c>
      <c r="G89" s="2">
        <v>47222.0</v>
      </c>
      <c r="H89" s="2" t="s">
        <v>62</v>
      </c>
      <c r="I89" s="2" t="s">
        <v>28</v>
      </c>
      <c r="J89" s="18" t="str">
        <f t="shared" si="1"/>
        <v>Valid</v>
      </c>
      <c r="K89" s="19" t="str">
        <f t="shared" si="2"/>
        <v>Amit Patil (East)</v>
      </c>
    </row>
    <row r="90" ht="14.25" customHeight="1">
      <c r="A90" s="2" t="s">
        <v>276</v>
      </c>
      <c r="B90" s="2" t="s">
        <v>277</v>
      </c>
      <c r="C90" s="2" t="s">
        <v>97</v>
      </c>
      <c r="D90" s="2" t="s">
        <v>36</v>
      </c>
      <c r="E90" s="2" t="s">
        <v>76</v>
      </c>
      <c r="F90" s="2">
        <v>4.0</v>
      </c>
      <c r="G90" s="2">
        <v>61768.0</v>
      </c>
      <c r="H90" s="2" t="s">
        <v>48</v>
      </c>
      <c r="I90" s="2" t="s">
        <v>28</v>
      </c>
      <c r="J90" s="18" t="str">
        <f t="shared" si="1"/>
        <v>Valid</v>
      </c>
      <c r="K90" s="19" t="str">
        <f t="shared" si="2"/>
        <v>Shalini Joshi (South)</v>
      </c>
    </row>
    <row r="91" ht="14.25" customHeight="1">
      <c r="A91" s="2" t="s">
        <v>278</v>
      </c>
      <c r="B91" s="2" t="s">
        <v>279</v>
      </c>
      <c r="C91" s="2" t="s">
        <v>40</v>
      </c>
      <c r="D91" s="2" t="s">
        <v>80</v>
      </c>
      <c r="E91" s="2" t="s">
        <v>89</v>
      </c>
      <c r="F91" s="2">
        <v>2.0</v>
      </c>
      <c r="G91" s="2">
        <v>37005.0</v>
      </c>
      <c r="H91" s="2" t="s">
        <v>14</v>
      </c>
      <c r="I91" s="2" t="s">
        <v>28</v>
      </c>
      <c r="J91" s="18" t="str">
        <f t="shared" si="1"/>
        <v>Valid</v>
      </c>
      <c r="K91" s="19" t="str">
        <f t="shared" si="2"/>
        <v>Neha Iyer (West)</v>
      </c>
    </row>
    <row r="92" ht="14.25" customHeight="1">
      <c r="A92" s="2" t="s">
        <v>280</v>
      </c>
      <c r="B92" s="2" t="s">
        <v>281</v>
      </c>
      <c r="C92" s="2" t="s">
        <v>92</v>
      </c>
      <c r="D92" s="2" t="s">
        <v>26</v>
      </c>
      <c r="E92" s="2" t="s">
        <v>118</v>
      </c>
      <c r="F92" s="2">
        <v>6.0</v>
      </c>
      <c r="G92" s="2">
        <v>15373.0</v>
      </c>
      <c r="H92" s="2" t="s">
        <v>14</v>
      </c>
      <c r="I92" s="2" t="s">
        <v>15</v>
      </c>
      <c r="J92" s="18" t="str">
        <f t="shared" si="1"/>
        <v>Review</v>
      </c>
      <c r="K92" s="19" t="str">
        <f t="shared" si="2"/>
        <v>Nisha Shah (West)</v>
      </c>
    </row>
    <row r="93" ht="14.25" customHeight="1">
      <c r="A93" s="2" t="s">
        <v>282</v>
      </c>
      <c r="B93" s="2" t="s">
        <v>307</v>
      </c>
      <c r="C93" s="2" t="s">
        <v>11</v>
      </c>
      <c r="D93" s="2" t="s">
        <v>94</v>
      </c>
      <c r="E93" s="2" t="s">
        <v>111</v>
      </c>
      <c r="F93" s="2">
        <v>4.0</v>
      </c>
      <c r="G93" s="2">
        <v>28349.0</v>
      </c>
      <c r="H93" s="2" t="s">
        <v>21</v>
      </c>
      <c r="I93" s="2" t="s">
        <v>15</v>
      </c>
      <c r="J93" s="18" t="str">
        <f t="shared" si="1"/>
        <v>Review</v>
      </c>
      <c r="K93" s="19" t="str">
        <f t="shared" si="2"/>
        <v>Rohit Khan (North)</v>
      </c>
    </row>
    <row r="94" ht="14.25" customHeight="1">
      <c r="A94" s="2" t="s">
        <v>284</v>
      </c>
      <c r="B94" s="2" t="s">
        <v>285</v>
      </c>
      <c r="C94" s="2" t="s">
        <v>40</v>
      </c>
      <c r="D94" s="2" t="s">
        <v>188</v>
      </c>
      <c r="E94" s="2" t="s">
        <v>93</v>
      </c>
      <c r="F94" s="2">
        <v>2.0</v>
      </c>
      <c r="G94" s="2">
        <v>9333.0</v>
      </c>
      <c r="H94" s="2" t="s">
        <v>62</v>
      </c>
      <c r="I94" s="2" t="s">
        <v>28</v>
      </c>
      <c r="J94" s="18" t="str">
        <f t="shared" si="1"/>
        <v>Valid</v>
      </c>
      <c r="K94" s="19" t="str">
        <f t="shared" si="2"/>
        <v>Preeti Reddy (East)</v>
      </c>
    </row>
    <row r="95" ht="14.25" customHeight="1">
      <c r="A95" s="2" t="s">
        <v>286</v>
      </c>
      <c r="B95" s="2" t="s">
        <v>287</v>
      </c>
      <c r="C95" s="2" t="s">
        <v>18</v>
      </c>
      <c r="D95" s="2" t="s">
        <v>134</v>
      </c>
      <c r="E95" s="2" t="s">
        <v>165</v>
      </c>
      <c r="F95" s="2">
        <v>4.0</v>
      </c>
      <c r="G95" s="2">
        <v>39697.0</v>
      </c>
      <c r="H95" s="2" t="s">
        <v>14</v>
      </c>
      <c r="I95" s="2" t="s">
        <v>28</v>
      </c>
      <c r="J95" s="18" t="str">
        <f t="shared" si="1"/>
        <v>Valid</v>
      </c>
      <c r="K95" s="19" t="str">
        <f t="shared" si="2"/>
        <v>Neeraj Khan (West)</v>
      </c>
    </row>
    <row r="96" ht="14.25" customHeight="1">
      <c r="A96" s="2" t="s">
        <v>288</v>
      </c>
      <c r="B96" s="2" t="s">
        <v>308</v>
      </c>
      <c r="C96" s="2" t="s">
        <v>86</v>
      </c>
      <c r="D96" s="2" t="s">
        <v>133</v>
      </c>
      <c r="E96" s="2" t="s">
        <v>290</v>
      </c>
      <c r="F96" s="2">
        <v>2.0</v>
      </c>
      <c r="G96" s="2">
        <v>51052.0</v>
      </c>
      <c r="H96" s="2" t="s">
        <v>48</v>
      </c>
      <c r="I96" s="2" t="s">
        <v>28</v>
      </c>
      <c r="J96" s="18" t="str">
        <f t="shared" si="1"/>
        <v>Valid</v>
      </c>
      <c r="K96" s="19" t="str">
        <f t="shared" si="2"/>
        <v>Megha Mehta (South)</v>
      </c>
    </row>
    <row r="97" ht="14.25" customHeight="1">
      <c r="A97" s="2" t="s">
        <v>291</v>
      </c>
      <c r="B97" s="2" t="s">
        <v>309</v>
      </c>
      <c r="C97" s="2" t="s">
        <v>25</v>
      </c>
      <c r="D97" s="2" t="s">
        <v>94</v>
      </c>
      <c r="E97" s="2" t="s">
        <v>65</v>
      </c>
      <c r="F97" s="2">
        <v>6.0</v>
      </c>
      <c r="G97" s="2">
        <v>28248.0</v>
      </c>
      <c r="H97" s="2" t="s">
        <v>48</v>
      </c>
      <c r="I97" s="2" t="s">
        <v>28</v>
      </c>
      <c r="J97" s="18" t="str">
        <f t="shared" si="1"/>
        <v>Valid</v>
      </c>
      <c r="K97" s="19" t="str">
        <f t="shared" si="2"/>
        <v>Neeraj Mehta (South)</v>
      </c>
    </row>
    <row r="98" ht="14.25" customHeight="1">
      <c r="A98" s="2" t="s">
        <v>293</v>
      </c>
      <c r="B98" s="2" t="s">
        <v>294</v>
      </c>
      <c r="C98" s="2" t="s">
        <v>59</v>
      </c>
      <c r="D98" s="2" t="s">
        <v>295</v>
      </c>
      <c r="E98" s="2" t="s">
        <v>290</v>
      </c>
      <c r="F98" s="2">
        <v>6.0</v>
      </c>
      <c r="G98" s="2">
        <v>38784.0</v>
      </c>
      <c r="H98" s="2" t="s">
        <v>14</v>
      </c>
      <c r="I98" s="2" t="s">
        <v>28</v>
      </c>
      <c r="J98" s="18" t="str">
        <f t="shared" si="1"/>
        <v>Valid</v>
      </c>
      <c r="K98" s="19" t="str">
        <f t="shared" si="2"/>
        <v>Deepak Reddy (West)</v>
      </c>
    </row>
    <row r="99" ht="14.25" customHeight="1">
      <c r="A99" s="2" t="s">
        <v>296</v>
      </c>
      <c r="B99" s="2" t="s">
        <v>310</v>
      </c>
      <c r="C99" s="2" t="s">
        <v>199</v>
      </c>
      <c r="D99" s="2" t="s">
        <v>188</v>
      </c>
      <c r="E99" s="2" t="s">
        <v>180</v>
      </c>
      <c r="F99" s="2">
        <v>5.0</v>
      </c>
      <c r="G99" s="2">
        <v>5900.0</v>
      </c>
      <c r="H99" s="2" t="s">
        <v>62</v>
      </c>
      <c r="I99" s="2" t="s">
        <v>28</v>
      </c>
      <c r="J99" s="18" t="str">
        <f t="shared" si="1"/>
        <v>Valid</v>
      </c>
      <c r="K99" s="19" t="str">
        <f t="shared" si="2"/>
        <v>Mohit Nair (East)</v>
      </c>
    </row>
    <row r="100" ht="14.25" customHeight="1">
      <c r="A100" s="2" t="s">
        <v>298</v>
      </c>
      <c r="B100" s="2" t="s">
        <v>299</v>
      </c>
      <c r="C100" s="2" t="s">
        <v>31</v>
      </c>
      <c r="D100" s="2" t="s">
        <v>89</v>
      </c>
      <c r="E100" s="2" t="s">
        <v>165</v>
      </c>
      <c r="F100" s="2">
        <v>4.0</v>
      </c>
      <c r="G100" s="2">
        <v>16868.0</v>
      </c>
      <c r="H100" s="2" t="s">
        <v>48</v>
      </c>
      <c r="I100" s="2" t="s">
        <v>28</v>
      </c>
      <c r="J100" s="18" t="str">
        <f t="shared" si="1"/>
        <v>Valid</v>
      </c>
      <c r="K100" s="19" t="str">
        <f t="shared" si="2"/>
        <v>Ritu Reddy (South)</v>
      </c>
    </row>
    <row r="101" ht="14.25" customHeight="1">
      <c r="A101" s="2" t="s">
        <v>300</v>
      </c>
      <c r="B101" s="2" t="s">
        <v>311</v>
      </c>
      <c r="C101" s="2" t="s">
        <v>55</v>
      </c>
      <c r="D101" s="2" t="s">
        <v>20</v>
      </c>
      <c r="E101" s="2" t="s">
        <v>222</v>
      </c>
      <c r="F101" s="2">
        <v>2.0</v>
      </c>
      <c r="G101" s="2">
        <v>27529.0</v>
      </c>
      <c r="H101" s="2" t="s">
        <v>21</v>
      </c>
      <c r="I101" s="2" t="s">
        <v>22</v>
      </c>
      <c r="J101" s="18" t="str">
        <f t="shared" si="1"/>
        <v>Review</v>
      </c>
      <c r="K101" s="19" t="str">
        <f t="shared" si="2"/>
        <v>Geeta Reddy (North)</v>
      </c>
    </row>
    <row r="102" ht="14.25" customHeight="1">
      <c r="J102" s="18"/>
      <c r="K102" s="19"/>
    </row>
    <row r="103" ht="14.25" customHeight="1">
      <c r="J103" s="18"/>
      <c r="K103" s="19"/>
    </row>
    <row r="104" ht="14.25" customHeight="1">
      <c r="J104" s="18"/>
      <c r="K104" s="19"/>
    </row>
    <row r="105" ht="14.25" customHeight="1">
      <c r="J105" s="18"/>
      <c r="K105" s="19"/>
    </row>
    <row r="106" ht="14.25" customHeight="1">
      <c r="J106" s="18"/>
      <c r="K106" s="19"/>
    </row>
    <row r="107" ht="14.25" customHeight="1">
      <c r="J107" s="18"/>
      <c r="K107" s="19"/>
    </row>
    <row r="108" ht="14.25" customHeight="1">
      <c r="J108" s="18"/>
      <c r="K108" s="19"/>
    </row>
    <row r="109" ht="14.25" customHeight="1">
      <c r="J109" s="18"/>
      <c r="K109" s="19"/>
    </row>
    <row r="110" ht="14.25" customHeight="1">
      <c r="J110" s="18"/>
      <c r="K110" s="19"/>
    </row>
    <row r="111" ht="14.25" customHeight="1">
      <c r="J111" s="18"/>
      <c r="K111" s="19"/>
    </row>
    <row r="112" ht="14.25" customHeight="1">
      <c r="J112" s="18"/>
      <c r="K112" s="19"/>
    </row>
    <row r="113" ht="14.25" customHeight="1">
      <c r="J113" s="18"/>
      <c r="K113" s="19"/>
    </row>
    <row r="114" ht="14.25" customHeight="1">
      <c r="J114" s="18"/>
      <c r="K114" s="19"/>
    </row>
    <row r="115" ht="14.25" customHeight="1">
      <c r="J115" s="18"/>
      <c r="K115" s="19"/>
    </row>
    <row r="116" ht="14.25" customHeight="1">
      <c r="J116" s="18"/>
      <c r="K116" s="19"/>
    </row>
    <row r="117" ht="14.25" customHeight="1">
      <c r="J117" s="18"/>
      <c r="K117" s="19"/>
    </row>
    <row r="118" ht="14.25" customHeight="1">
      <c r="J118" s="18"/>
      <c r="K118" s="19"/>
    </row>
    <row r="119" ht="14.25" customHeight="1">
      <c r="J119" s="18"/>
      <c r="K119" s="19"/>
    </row>
    <row r="120" ht="14.25" customHeight="1">
      <c r="J120" s="18"/>
      <c r="K120" s="19"/>
    </row>
    <row r="121" ht="14.25" customHeight="1">
      <c r="J121" s="18"/>
      <c r="K121" s="19"/>
    </row>
    <row r="122" ht="14.25" customHeight="1">
      <c r="J122" s="18"/>
      <c r="K122" s="19"/>
    </row>
    <row r="123" ht="14.25" customHeight="1">
      <c r="J123" s="18"/>
      <c r="K123" s="19"/>
    </row>
    <row r="124" ht="14.25" customHeight="1">
      <c r="J124" s="18"/>
      <c r="K124" s="19"/>
    </row>
    <row r="125" ht="14.25" customHeight="1">
      <c r="J125" s="18"/>
      <c r="K125" s="19"/>
    </row>
    <row r="126" ht="14.25" customHeight="1">
      <c r="J126" s="18"/>
      <c r="K126" s="19"/>
    </row>
    <row r="127" ht="14.25" customHeight="1">
      <c r="J127" s="18"/>
      <c r="K127" s="19"/>
    </row>
    <row r="128" ht="14.25" customHeight="1">
      <c r="J128" s="18"/>
      <c r="K128" s="19"/>
    </row>
    <row r="129" ht="14.25" customHeight="1">
      <c r="J129" s="18"/>
      <c r="K129" s="19"/>
    </row>
    <row r="130" ht="14.25" customHeight="1">
      <c r="J130" s="18"/>
      <c r="K130" s="19"/>
    </row>
    <row r="131" ht="14.25" customHeight="1">
      <c r="J131" s="18"/>
      <c r="K131" s="19"/>
    </row>
    <row r="132" ht="14.25" customHeight="1">
      <c r="J132" s="18"/>
      <c r="K132" s="19"/>
    </row>
    <row r="133" ht="14.25" customHeight="1">
      <c r="J133" s="18"/>
      <c r="K133" s="19"/>
    </row>
    <row r="134" ht="14.25" customHeight="1">
      <c r="J134" s="18"/>
      <c r="K134" s="19"/>
    </row>
    <row r="135" ht="14.25" customHeight="1">
      <c r="J135" s="18"/>
      <c r="K135" s="19"/>
    </row>
    <row r="136" ht="14.25" customHeight="1">
      <c r="J136" s="18"/>
      <c r="K136" s="19"/>
    </row>
    <row r="137" ht="14.25" customHeight="1">
      <c r="J137" s="18"/>
      <c r="K137" s="19"/>
    </row>
    <row r="138" ht="14.25" customHeight="1">
      <c r="J138" s="18"/>
      <c r="K138" s="19"/>
    </row>
    <row r="139" ht="14.25" customHeight="1">
      <c r="J139" s="18"/>
      <c r="K139" s="19"/>
    </row>
    <row r="140" ht="14.25" customHeight="1">
      <c r="J140" s="18"/>
      <c r="K140" s="19"/>
    </row>
    <row r="141" ht="14.25" customHeight="1">
      <c r="J141" s="18"/>
      <c r="K141" s="19"/>
    </row>
    <row r="142" ht="14.25" customHeight="1">
      <c r="J142" s="18"/>
      <c r="K142" s="19"/>
    </row>
    <row r="143" ht="14.25" customHeight="1">
      <c r="J143" s="18"/>
      <c r="K143" s="19"/>
    </row>
    <row r="144" ht="14.25" customHeight="1">
      <c r="J144" s="18"/>
      <c r="K144" s="19"/>
    </row>
    <row r="145" ht="14.25" customHeight="1">
      <c r="J145" s="18"/>
      <c r="K145" s="19"/>
    </row>
    <row r="146" ht="14.25" customHeight="1">
      <c r="J146" s="18"/>
      <c r="K146" s="19"/>
    </row>
    <row r="147" ht="14.25" customHeight="1">
      <c r="J147" s="18"/>
      <c r="K147" s="19"/>
    </row>
    <row r="148" ht="14.25" customHeight="1">
      <c r="J148" s="18"/>
      <c r="K148" s="19"/>
    </row>
    <row r="149" ht="14.25" customHeight="1">
      <c r="J149" s="18"/>
      <c r="K149" s="19"/>
    </row>
    <row r="150" ht="14.25" customHeight="1">
      <c r="J150" s="18"/>
      <c r="K150" s="19"/>
    </row>
    <row r="151" ht="14.25" customHeight="1">
      <c r="J151" s="18"/>
      <c r="K151" s="19"/>
    </row>
    <row r="152" ht="14.25" customHeight="1">
      <c r="J152" s="18"/>
      <c r="K152" s="19"/>
    </row>
    <row r="153" ht="14.25" customHeight="1">
      <c r="J153" s="18"/>
      <c r="K153" s="19"/>
    </row>
    <row r="154" ht="14.25" customHeight="1">
      <c r="J154" s="18"/>
      <c r="K154" s="19"/>
    </row>
    <row r="155" ht="14.25" customHeight="1">
      <c r="J155" s="18"/>
      <c r="K155" s="19"/>
    </row>
    <row r="156" ht="14.25" customHeight="1">
      <c r="J156" s="18"/>
      <c r="K156" s="19"/>
    </row>
    <row r="157" ht="14.25" customHeight="1">
      <c r="J157" s="18"/>
      <c r="K157" s="19"/>
    </row>
    <row r="158" ht="14.25" customHeight="1">
      <c r="J158" s="18"/>
      <c r="K158" s="19"/>
    </row>
    <row r="159" ht="14.25" customHeight="1">
      <c r="J159" s="18"/>
      <c r="K159" s="19"/>
    </row>
    <row r="160" ht="14.25" customHeight="1">
      <c r="J160" s="18"/>
      <c r="K160" s="19"/>
    </row>
    <row r="161" ht="14.25" customHeight="1">
      <c r="J161" s="18"/>
      <c r="K161" s="19"/>
    </row>
    <row r="162" ht="14.25" customHeight="1">
      <c r="J162" s="18"/>
      <c r="K162" s="19"/>
    </row>
    <row r="163" ht="14.25" customHeight="1">
      <c r="J163" s="18"/>
      <c r="K163" s="19"/>
    </row>
    <row r="164" ht="14.25" customHeight="1">
      <c r="J164" s="18"/>
      <c r="K164" s="19"/>
    </row>
    <row r="165" ht="14.25" customHeight="1">
      <c r="J165" s="18"/>
      <c r="K165" s="19"/>
    </row>
    <row r="166" ht="14.25" customHeight="1">
      <c r="J166" s="18"/>
      <c r="K166" s="19"/>
    </row>
    <row r="167" ht="14.25" customHeight="1">
      <c r="J167" s="18"/>
      <c r="K167" s="19"/>
    </row>
    <row r="168" ht="14.25" customHeight="1">
      <c r="J168" s="18"/>
      <c r="K168" s="19"/>
    </row>
    <row r="169" ht="14.25" customHeight="1">
      <c r="J169" s="18"/>
      <c r="K169" s="19"/>
    </row>
    <row r="170" ht="14.25" customHeight="1">
      <c r="J170" s="18"/>
      <c r="K170" s="19"/>
    </row>
    <row r="171" ht="14.25" customHeight="1">
      <c r="J171" s="18"/>
      <c r="K171" s="19"/>
    </row>
    <row r="172" ht="14.25" customHeight="1">
      <c r="J172" s="18"/>
      <c r="K172" s="19"/>
    </row>
    <row r="173" ht="14.25" customHeight="1">
      <c r="J173" s="18"/>
      <c r="K173" s="19"/>
    </row>
    <row r="174" ht="14.25" customHeight="1">
      <c r="J174" s="18"/>
      <c r="K174" s="19"/>
    </row>
    <row r="175" ht="14.25" customHeight="1">
      <c r="J175" s="18"/>
      <c r="K175" s="19"/>
    </row>
    <row r="176" ht="14.25" customHeight="1">
      <c r="J176" s="18"/>
      <c r="K176" s="19"/>
    </row>
    <row r="177" ht="14.25" customHeight="1">
      <c r="J177" s="18"/>
      <c r="K177" s="19"/>
    </row>
    <row r="178" ht="14.25" customHeight="1">
      <c r="J178" s="18"/>
      <c r="K178" s="19"/>
    </row>
    <row r="179" ht="14.25" customHeight="1">
      <c r="J179" s="18"/>
      <c r="K179" s="19"/>
    </row>
    <row r="180" ht="14.25" customHeight="1">
      <c r="J180" s="18"/>
      <c r="K180" s="19"/>
    </row>
    <row r="181" ht="14.25" customHeight="1">
      <c r="J181" s="18"/>
      <c r="K181" s="19"/>
    </row>
    <row r="182" ht="14.25" customHeight="1">
      <c r="J182" s="18"/>
      <c r="K182" s="19"/>
    </row>
    <row r="183" ht="14.25" customHeight="1">
      <c r="J183" s="18"/>
      <c r="K183" s="19"/>
    </row>
    <row r="184" ht="14.25" customHeight="1">
      <c r="J184" s="18"/>
      <c r="K184" s="19"/>
    </row>
    <row r="185" ht="14.25" customHeight="1">
      <c r="J185" s="18"/>
      <c r="K185" s="19"/>
    </row>
    <row r="186" ht="14.25" customHeight="1">
      <c r="J186" s="18"/>
      <c r="K186" s="19"/>
    </row>
    <row r="187" ht="14.25" customHeight="1">
      <c r="J187" s="18"/>
      <c r="K187" s="19"/>
    </row>
    <row r="188" ht="14.25" customHeight="1">
      <c r="J188" s="18"/>
      <c r="K188" s="19"/>
    </row>
    <row r="189" ht="14.25" customHeight="1">
      <c r="J189" s="18"/>
      <c r="K189" s="19"/>
    </row>
    <row r="190" ht="14.25" customHeight="1">
      <c r="J190" s="18"/>
      <c r="K190" s="19"/>
    </row>
    <row r="191" ht="14.25" customHeight="1">
      <c r="J191" s="18"/>
      <c r="K191" s="19"/>
    </row>
    <row r="192" ht="14.25" customHeight="1">
      <c r="J192" s="18"/>
      <c r="K192" s="19"/>
    </row>
    <row r="193" ht="14.25" customHeight="1">
      <c r="J193" s="18"/>
      <c r="K193" s="19"/>
    </row>
    <row r="194" ht="14.25" customHeight="1">
      <c r="J194" s="18"/>
      <c r="K194" s="19"/>
    </row>
    <row r="195" ht="14.25" customHeight="1">
      <c r="J195" s="18"/>
      <c r="K195" s="19"/>
    </row>
    <row r="196" ht="14.25" customHeight="1">
      <c r="J196" s="18"/>
      <c r="K196" s="19"/>
    </row>
    <row r="197" ht="14.25" customHeight="1">
      <c r="J197" s="18"/>
      <c r="K197" s="19"/>
    </row>
    <row r="198" ht="14.25" customHeight="1">
      <c r="J198" s="18"/>
      <c r="K198" s="19"/>
    </row>
    <row r="199" ht="14.25" customHeight="1">
      <c r="J199" s="18"/>
      <c r="K199" s="19"/>
    </row>
    <row r="200" ht="14.25" customHeight="1">
      <c r="J200" s="18"/>
      <c r="K200" s="19"/>
    </row>
    <row r="201" ht="14.25" customHeight="1">
      <c r="J201" s="18"/>
      <c r="K201" s="19"/>
    </row>
    <row r="202" ht="14.25" customHeight="1">
      <c r="J202" s="18"/>
      <c r="K202" s="19"/>
    </row>
    <row r="203" ht="14.25" customHeight="1">
      <c r="J203" s="18"/>
      <c r="K203" s="19"/>
    </row>
    <row r="204" ht="14.25" customHeight="1">
      <c r="J204" s="18"/>
      <c r="K204" s="19"/>
    </row>
    <row r="205" ht="14.25" customHeight="1">
      <c r="J205" s="18"/>
      <c r="K205" s="19"/>
    </row>
    <row r="206" ht="14.25" customHeight="1">
      <c r="J206" s="18"/>
      <c r="K206" s="19"/>
    </row>
    <row r="207" ht="14.25" customHeight="1">
      <c r="J207" s="18"/>
      <c r="K207" s="19"/>
    </row>
    <row r="208" ht="14.25" customHeight="1">
      <c r="J208" s="18"/>
      <c r="K208" s="19"/>
    </row>
    <row r="209" ht="14.25" customHeight="1">
      <c r="J209" s="18"/>
      <c r="K209" s="19"/>
    </row>
    <row r="210" ht="14.25" customHeight="1">
      <c r="J210" s="18"/>
      <c r="K210" s="19"/>
    </row>
    <row r="211" ht="14.25" customHeight="1">
      <c r="J211" s="18"/>
      <c r="K211" s="19"/>
    </row>
    <row r="212" ht="14.25" customHeight="1">
      <c r="J212" s="18"/>
      <c r="K212" s="19"/>
    </row>
    <row r="213" ht="14.25" customHeight="1">
      <c r="J213" s="18"/>
      <c r="K213" s="19"/>
    </row>
    <row r="214" ht="14.25" customHeight="1">
      <c r="J214" s="18"/>
      <c r="K214" s="19"/>
    </row>
    <row r="215" ht="14.25" customHeight="1">
      <c r="J215" s="18"/>
      <c r="K215" s="19"/>
    </row>
    <row r="216" ht="14.25" customHeight="1">
      <c r="J216" s="18"/>
      <c r="K216" s="19"/>
    </row>
    <row r="217" ht="14.25" customHeight="1">
      <c r="J217" s="18"/>
      <c r="K217" s="19"/>
    </row>
    <row r="218" ht="14.25" customHeight="1">
      <c r="J218" s="18"/>
      <c r="K218" s="19"/>
    </row>
    <row r="219" ht="14.25" customHeight="1">
      <c r="J219" s="18"/>
      <c r="K219" s="19"/>
    </row>
    <row r="220" ht="14.25" customHeight="1">
      <c r="J220" s="18"/>
      <c r="K220" s="19"/>
    </row>
    <row r="221" ht="14.25" customHeight="1">
      <c r="J221" s="18"/>
      <c r="K221" s="19"/>
    </row>
    <row r="222" ht="14.25" customHeight="1">
      <c r="J222" s="18"/>
      <c r="K222" s="19"/>
    </row>
    <row r="223" ht="14.25" customHeight="1">
      <c r="J223" s="18"/>
      <c r="K223" s="19"/>
    </row>
    <row r="224" ht="14.25" customHeight="1">
      <c r="J224" s="18"/>
      <c r="K224" s="19"/>
    </row>
    <row r="225" ht="14.25" customHeight="1">
      <c r="J225" s="18"/>
      <c r="K225" s="19"/>
    </row>
    <row r="226" ht="14.25" customHeight="1">
      <c r="J226" s="18"/>
      <c r="K226" s="19"/>
    </row>
    <row r="227" ht="14.25" customHeight="1">
      <c r="J227" s="18"/>
      <c r="K227" s="19"/>
    </row>
    <row r="228" ht="14.25" customHeight="1">
      <c r="J228" s="18"/>
      <c r="K228" s="19"/>
    </row>
    <row r="229" ht="14.25" customHeight="1">
      <c r="J229" s="18"/>
      <c r="K229" s="19"/>
    </row>
    <row r="230" ht="14.25" customHeight="1">
      <c r="J230" s="18"/>
      <c r="K230" s="19"/>
    </row>
    <row r="231" ht="14.25" customHeight="1">
      <c r="J231" s="18"/>
      <c r="K231" s="19"/>
    </row>
    <row r="232" ht="14.25" customHeight="1">
      <c r="J232" s="18"/>
      <c r="K232" s="19"/>
    </row>
    <row r="233" ht="14.25" customHeight="1">
      <c r="J233" s="18"/>
      <c r="K233" s="19"/>
    </row>
    <row r="234" ht="14.25" customHeight="1">
      <c r="J234" s="18"/>
      <c r="K234" s="19"/>
    </row>
    <row r="235" ht="14.25" customHeight="1">
      <c r="J235" s="18"/>
      <c r="K235" s="19"/>
    </row>
    <row r="236" ht="14.25" customHeight="1">
      <c r="J236" s="18"/>
      <c r="K236" s="19"/>
    </row>
    <row r="237" ht="14.25" customHeight="1">
      <c r="J237" s="18"/>
      <c r="K237" s="19"/>
    </row>
    <row r="238" ht="14.25" customHeight="1">
      <c r="J238" s="18"/>
      <c r="K238" s="19"/>
    </row>
    <row r="239" ht="14.25" customHeight="1">
      <c r="J239" s="18"/>
      <c r="K239" s="19"/>
    </row>
    <row r="240" ht="14.25" customHeight="1">
      <c r="J240" s="18"/>
      <c r="K240" s="19"/>
    </row>
    <row r="241" ht="14.25" customHeight="1">
      <c r="J241" s="18"/>
      <c r="K241" s="19"/>
    </row>
    <row r="242" ht="14.25" customHeight="1">
      <c r="J242" s="18"/>
      <c r="K242" s="19"/>
    </row>
    <row r="243" ht="14.25" customHeight="1">
      <c r="J243" s="18"/>
      <c r="K243" s="19"/>
    </row>
    <row r="244" ht="14.25" customHeight="1">
      <c r="J244" s="18"/>
      <c r="K244" s="19"/>
    </row>
    <row r="245" ht="14.25" customHeight="1">
      <c r="J245" s="18"/>
      <c r="K245" s="19"/>
    </row>
    <row r="246" ht="14.25" customHeight="1">
      <c r="J246" s="18"/>
      <c r="K246" s="19"/>
    </row>
    <row r="247" ht="14.25" customHeight="1">
      <c r="J247" s="18"/>
      <c r="K247" s="19"/>
    </row>
    <row r="248" ht="14.25" customHeight="1">
      <c r="J248" s="18"/>
      <c r="K248" s="19"/>
    </row>
    <row r="249" ht="14.25" customHeight="1">
      <c r="J249" s="18"/>
      <c r="K249" s="19"/>
    </row>
    <row r="250" ht="14.25" customHeight="1">
      <c r="J250" s="18"/>
      <c r="K250" s="19"/>
    </row>
    <row r="251" ht="14.25" customHeight="1">
      <c r="J251" s="18"/>
      <c r="K251" s="19"/>
    </row>
    <row r="252" ht="14.25" customHeight="1">
      <c r="J252" s="18"/>
      <c r="K252" s="19"/>
    </row>
    <row r="253" ht="14.25" customHeight="1">
      <c r="J253" s="18"/>
      <c r="K253" s="19"/>
    </row>
    <row r="254" ht="14.25" customHeight="1">
      <c r="J254" s="18"/>
      <c r="K254" s="19"/>
    </row>
    <row r="255" ht="14.25" customHeight="1">
      <c r="J255" s="18"/>
      <c r="K255" s="19"/>
    </row>
    <row r="256" ht="14.25" customHeight="1">
      <c r="J256" s="18"/>
      <c r="K256" s="19"/>
    </row>
    <row r="257" ht="14.25" customHeight="1">
      <c r="J257" s="18"/>
      <c r="K257" s="19"/>
    </row>
    <row r="258" ht="14.25" customHeight="1">
      <c r="J258" s="18"/>
      <c r="K258" s="19"/>
    </row>
    <row r="259" ht="14.25" customHeight="1">
      <c r="J259" s="18"/>
      <c r="K259" s="19"/>
    </row>
    <row r="260" ht="14.25" customHeight="1">
      <c r="J260" s="18"/>
      <c r="K260" s="19"/>
    </row>
    <row r="261" ht="14.25" customHeight="1">
      <c r="J261" s="18"/>
      <c r="K261" s="19"/>
    </row>
    <row r="262" ht="14.25" customHeight="1">
      <c r="J262" s="18"/>
      <c r="K262" s="19"/>
    </row>
    <row r="263" ht="14.25" customHeight="1">
      <c r="J263" s="18"/>
      <c r="K263" s="19"/>
    </row>
    <row r="264" ht="14.25" customHeight="1">
      <c r="J264" s="18"/>
      <c r="K264" s="19"/>
    </row>
    <row r="265" ht="14.25" customHeight="1">
      <c r="J265" s="18"/>
      <c r="K265" s="19"/>
    </row>
    <row r="266" ht="14.25" customHeight="1">
      <c r="J266" s="18"/>
      <c r="K266" s="19"/>
    </row>
    <row r="267" ht="14.25" customHeight="1">
      <c r="J267" s="18"/>
      <c r="K267" s="19"/>
    </row>
    <row r="268" ht="14.25" customHeight="1">
      <c r="J268" s="18"/>
      <c r="K268" s="19"/>
    </row>
    <row r="269" ht="14.25" customHeight="1">
      <c r="J269" s="18"/>
      <c r="K269" s="19"/>
    </row>
    <row r="270" ht="14.25" customHeight="1">
      <c r="J270" s="18"/>
      <c r="K270" s="19"/>
    </row>
    <row r="271" ht="14.25" customHeight="1">
      <c r="J271" s="18"/>
      <c r="K271" s="19"/>
    </row>
    <row r="272" ht="14.25" customHeight="1">
      <c r="J272" s="18"/>
      <c r="K272" s="19"/>
    </row>
    <row r="273" ht="14.25" customHeight="1">
      <c r="J273" s="18"/>
      <c r="K273" s="19"/>
    </row>
    <row r="274" ht="14.25" customHeight="1">
      <c r="J274" s="18"/>
      <c r="K274" s="19"/>
    </row>
    <row r="275" ht="14.25" customHeight="1">
      <c r="J275" s="18"/>
      <c r="K275" s="19"/>
    </row>
    <row r="276" ht="14.25" customHeight="1">
      <c r="J276" s="18"/>
      <c r="K276" s="19"/>
    </row>
    <row r="277" ht="14.25" customHeight="1">
      <c r="J277" s="18"/>
      <c r="K277" s="19"/>
    </row>
    <row r="278" ht="14.25" customHeight="1">
      <c r="J278" s="18"/>
      <c r="K278" s="19"/>
    </row>
    <row r="279" ht="14.25" customHeight="1">
      <c r="J279" s="18"/>
      <c r="K279" s="19"/>
    </row>
    <row r="280" ht="14.25" customHeight="1">
      <c r="J280" s="18"/>
      <c r="K280" s="19"/>
    </row>
    <row r="281" ht="14.25" customHeight="1">
      <c r="J281" s="18"/>
      <c r="K281" s="19"/>
    </row>
    <row r="282" ht="14.25" customHeight="1">
      <c r="J282" s="18"/>
      <c r="K282" s="19"/>
    </row>
    <row r="283" ht="14.25" customHeight="1">
      <c r="J283" s="18"/>
      <c r="K283" s="19"/>
    </row>
    <row r="284" ht="14.25" customHeight="1">
      <c r="J284" s="18"/>
      <c r="K284" s="19"/>
    </row>
    <row r="285" ht="14.25" customHeight="1">
      <c r="J285" s="18"/>
      <c r="K285" s="19"/>
    </row>
    <row r="286" ht="14.25" customHeight="1">
      <c r="J286" s="18"/>
      <c r="K286" s="19"/>
    </row>
    <row r="287" ht="14.25" customHeight="1">
      <c r="J287" s="18"/>
      <c r="K287" s="19"/>
    </row>
    <row r="288" ht="14.25" customHeight="1">
      <c r="J288" s="18"/>
      <c r="K288" s="19"/>
    </row>
    <row r="289" ht="14.25" customHeight="1">
      <c r="J289" s="18"/>
      <c r="K289" s="19"/>
    </row>
    <row r="290" ht="14.25" customHeight="1">
      <c r="J290" s="18"/>
      <c r="K290" s="19"/>
    </row>
    <row r="291" ht="14.25" customHeight="1">
      <c r="J291" s="18"/>
      <c r="K291" s="19"/>
    </row>
    <row r="292" ht="14.25" customHeight="1">
      <c r="J292" s="18"/>
      <c r="K292" s="19"/>
    </row>
    <row r="293" ht="14.25" customHeight="1">
      <c r="J293" s="18"/>
      <c r="K293" s="19"/>
    </row>
    <row r="294" ht="14.25" customHeight="1">
      <c r="J294" s="18"/>
      <c r="K294" s="19"/>
    </row>
    <row r="295" ht="14.25" customHeight="1">
      <c r="J295" s="18"/>
      <c r="K295" s="19"/>
    </row>
    <row r="296" ht="14.25" customHeight="1">
      <c r="J296" s="18"/>
      <c r="K296" s="19"/>
    </row>
    <row r="297" ht="14.25" customHeight="1">
      <c r="J297" s="18"/>
      <c r="K297" s="19"/>
    </row>
    <row r="298" ht="14.25" customHeight="1">
      <c r="J298" s="18"/>
      <c r="K298" s="19"/>
    </row>
    <row r="299" ht="14.25" customHeight="1">
      <c r="J299" s="18"/>
      <c r="K299" s="19"/>
    </row>
    <row r="300" ht="14.25" customHeight="1">
      <c r="J300" s="18"/>
      <c r="K300" s="19"/>
    </row>
    <row r="301" ht="14.25" customHeight="1">
      <c r="J301" s="18"/>
      <c r="K301" s="19"/>
    </row>
    <row r="302" ht="14.25" customHeight="1">
      <c r="J302" s="18"/>
      <c r="K302" s="19"/>
    </row>
    <row r="303" ht="14.25" customHeight="1">
      <c r="J303" s="18"/>
      <c r="K303" s="19"/>
    </row>
    <row r="304" ht="14.25" customHeight="1">
      <c r="J304" s="18"/>
      <c r="K304" s="19"/>
    </row>
    <row r="305" ht="14.25" customHeight="1">
      <c r="J305" s="18"/>
      <c r="K305" s="19"/>
    </row>
    <row r="306" ht="14.25" customHeight="1">
      <c r="J306" s="18"/>
      <c r="K306" s="19"/>
    </row>
    <row r="307" ht="14.25" customHeight="1">
      <c r="J307" s="18"/>
      <c r="K307" s="19"/>
    </row>
    <row r="308" ht="14.25" customHeight="1">
      <c r="J308" s="18"/>
      <c r="K308" s="19"/>
    </row>
    <row r="309" ht="14.25" customHeight="1">
      <c r="J309" s="18"/>
      <c r="K309" s="19"/>
    </row>
    <row r="310" ht="14.25" customHeight="1">
      <c r="J310" s="18"/>
      <c r="K310" s="19"/>
    </row>
    <row r="311" ht="14.25" customHeight="1">
      <c r="J311" s="18"/>
      <c r="K311" s="19"/>
    </row>
    <row r="312" ht="14.25" customHeight="1">
      <c r="J312" s="18"/>
      <c r="K312" s="19"/>
    </row>
    <row r="313" ht="14.25" customHeight="1">
      <c r="J313" s="18"/>
      <c r="K313" s="19"/>
    </row>
    <row r="314" ht="14.25" customHeight="1">
      <c r="J314" s="18"/>
      <c r="K314" s="19"/>
    </row>
    <row r="315" ht="14.25" customHeight="1">
      <c r="J315" s="18"/>
      <c r="K315" s="19"/>
    </row>
    <row r="316" ht="14.25" customHeight="1">
      <c r="J316" s="18"/>
      <c r="K316" s="19"/>
    </row>
    <row r="317" ht="14.25" customHeight="1">
      <c r="J317" s="18"/>
      <c r="K317" s="19"/>
    </row>
    <row r="318" ht="14.25" customHeight="1">
      <c r="J318" s="18"/>
      <c r="K318" s="19"/>
    </row>
    <row r="319" ht="14.25" customHeight="1">
      <c r="J319" s="18"/>
      <c r="K319" s="19"/>
    </row>
    <row r="320" ht="14.25" customHeight="1">
      <c r="J320" s="18"/>
      <c r="K320" s="19"/>
    </row>
    <row r="321" ht="14.25" customHeight="1">
      <c r="J321" s="18"/>
      <c r="K321" s="19"/>
    </row>
    <row r="322" ht="14.25" customHeight="1">
      <c r="J322" s="18"/>
      <c r="K322" s="19"/>
    </row>
    <row r="323" ht="14.25" customHeight="1">
      <c r="J323" s="18"/>
      <c r="K323" s="19"/>
    </row>
    <row r="324" ht="14.25" customHeight="1">
      <c r="J324" s="18"/>
      <c r="K324" s="19"/>
    </row>
    <row r="325" ht="14.25" customHeight="1">
      <c r="J325" s="18"/>
      <c r="K325" s="19"/>
    </row>
    <row r="326" ht="14.25" customHeight="1">
      <c r="J326" s="18"/>
      <c r="K326" s="19"/>
    </row>
    <row r="327" ht="14.25" customHeight="1">
      <c r="J327" s="18"/>
      <c r="K327" s="19"/>
    </row>
    <row r="328" ht="14.25" customHeight="1">
      <c r="J328" s="18"/>
      <c r="K328" s="19"/>
    </row>
    <row r="329" ht="14.25" customHeight="1">
      <c r="J329" s="18"/>
      <c r="K329" s="19"/>
    </row>
    <row r="330" ht="14.25" customHeight="1">
      <c r="J330" s="18"/>
      <c r="K330" s="19"/>
    </row>
    <row r="331" ht="14.25" customHeight="1">
      <c r="J331" s="18"/>
      <c r="K331" s="19"/>
    </row>
    <row r="332" ht="14.25" customHeight="1">
      <c r="J332" s="18"/>
      <c r="K332" s="19"/>
    </row>
    <row r="333" ht="14.25" customHeight="1">
      <c r="J333" s="18"/>
      <c r="K333" s="19"/>
    </row>
    <row r="334" ht="14.25" customHeight="1">
      <c r="J334" s="18"/>
      <c r="K334" s="19"/>
    </row>
    <row r="335" ht="14.25" customHeight="1">
      <c r="J335" s="18"/>
      <c r="K335" s="19"/>
    </row>
    <row r="336" ht="14.25" customHeight="1">
      <c r="J336" s="18"/>
      <c r="K336" s="19"/>
    </row>
    <row r="337" ht="14.25" customHeight="1">
      <c r="J337" s="18"/>
      <c r="K337" s="19"/>
    </row>
    <row r="338" ht="14.25" customHeight="1">
      <c r="J338" s="18"/>
      <c r="K338" s="19"/>
    </row>
    <row r="339" ht="14.25" customHeight="1">
      <c r="J339" s="18"/>
      <c r="K339" s="19"/>
    </row>
    <row r="340" ht="14.25" customHeight="1">
      <c r="J340" s="18"/>
      <c r="K340" s="19"/>
    </row>
    <row r="341" ht="14.25" customHeight="1">
      <c r="J341" s="18"/>
      <c r="K341" s="19"/>
    </row>
    <row r="342" ht="14.25" customHeight="1">
      <c r="J342" s="18"/>
      <c r="K342" s="19"/>
    </row>
    <row r="343" ht="14.25" customHeight="1">
      <c r="J343" s="18"/>
      <c r="K343" s="19"/>
    </row>
    <row r="344" ht="14.25" customHeight="1">
      <c r="J344" s="18"/>
      <c r="K344" s="19"/>
    </row>
    <row r="345" ht="14.25" customHeight="1">
      <c r="J345" s="18"/>
      <c r="K345" s="19"/>
    </row>
    <row r="346" ht="14.25" customHeight="1">
      <c r="J346" s="18"/>
      <c r="K346" s="19"/>
    </row>
    <row r="347" ht="14.25" customHeight="1">
      <c r="J347" s="18"/>
      <c r="K347" s="19"/>
    </row>
    <row r="348" ht="14.25" customHeight="1">
      <c r="J348" s="18"/>
      <c r="K348" s="19"/>
    </row>
    <row r="349" ht="14.25" customHeight="1">
      <c r="J349" s="18"/>
      <c r="K349" s="19"/>
    </row>
    <row r="350" ht="14.25" customHeight="1">
      <c r="J350" s="18"/>
      <c r="K350" s="19"/>
    </row>
    <row r="351" ht="14.25" customHeight="1">
      <c r="J351" s="18"/>
      <c r="K351" s="19"/>
    </row>
    <row r="352" ht="14.25" customHeight="1">
      <c r="J352" s="18"/>
      <c r="K352" s="19"/>
    </row>
    <row r="353" ht="14.25" customHeight="1">
      <c r="J353" s="18"/>
      <c r="K353" s="19"/>
    </row>
    <row r="354" ht="14.25" customHeight="1">
      <c r="J354" s="18"/>
      <c r="K354" s="19"/>
    </row>
    <row r="355" ht="14.25" customHeight="1">
      <c r="J355" s="18"/>
      <c r="K355" s="19"/>
    </row>
    <row r="356" ht="14.25" customHeight="1">
      <c r="J356" s="18"/>
      <c r="K356" s="19"/>
    </row>
    <row r="357" ht="14.25" customHeight="1">
      <c r="J357" s="18"/>
      <c r="K357" s="19"/>
    </row>
    <row r="358" ht="14.25" customHeight="1">
      <c r="J358" s="18"/>
      <c r="K358" s="19"/>
    </row>
    <row r="359" ht="14.25" customHeight="1">
      <c r="J359" s="18"/>
      <c r="K359" s="19"/>
    </row>
    <row r="360" ht="14.25" customHeight="1">
      <c r="J360" s="18"/>
      <c r="K360" s="19"/>
    </row>
    <row r="361" ht="14.25" customHeight="1">
      <c r="J361" s="18"/>
      <c r="K361" s="19"/>
    </row>
    <row r="362" ht="14.25" customHeight="1">
      <c r="J362" s="18"/>
      <c r="K362" s="19"/>
    </row>
    <row r="363" ht="14.25" customHeight="1">
      <c r="J363" s="18"/>
      <c r="K363" s="19"/>
    </row>
    <row r="364" ht="14.25" customHeight="1">
      <c r="J364" s="18"/>
      <c r="K364" s="19"/>
    </row>
    <row r="365" ht="14.25" customHeight="1">
      <c r="J365" s="18"/>
      <c r="K365" s="19"/>
    </row>
    <row r="366" ht="14.25" customHeight="1">
      <c r="J366" s="18"/>
      <c r="K366" s="19"/>
    </row>
    <row r="367" ht="14.25" customHeight="1">
      <c r="J367" s="18"/>
      <c r="K367" s="19"/>
    </row>
    <row r="368" ht="14.25" customHeight="1">
      <c r="J368" s="18"/>
      <c r="K368" s="19"/>
    </row>
    <row r="369" ht="14.25" customHeight="1">
      <c r="J369" s="18"/>
      <c r="K369" s="19"/>
    </row>
    <row r="370" ht="14.25" customHeight="1">
      <c r="J370" s="18"/>
      <c r="K370" s="19"/>
    </row>
    <row r="371" ht="14.25" customHeight="1">
      <c r="J371" s="18"/>
      <c r="K371" s="19"/>
    </row>
    <row r="372" ht="14.25" customHeight="1">
      <c r="J372" s="18"/>
      <c r="K372" s="19"/>
    </row>
    <row r="373" ht="14.25" customHeight="1">
      <c r="J373" s="18"/>
      <c r="K373" s="19"/>
    </row>
    <row r="374" ht="14.25" customHeight="1">
      <c r="J374" s="18"/>
      <c r="K374" s="19"/>
    </row>
    <row r="375" ht="14.25" customHeight="1">
      <c r="J375" s="18"/>
      <c r="K375" s="19"/>
    </row>
    <row r="376" ht="14.25" customHeight="1">
      <c r="J376" s="18"/>
      <c r="K376" s="19"/>
    </row>
    <row r="377" ht="14.25" customHeight="1">
      <c r="J377" s="18"/>
      <c r="K377" s="19"/>
    </row>
    <row r="378" ht="14.25" customHeight="1">
      <c r="J378" s="18"/>
      <c r="K378" s="19"/>
    </row>
    <row r="379" ht="14.25" customHeight="1">
      <c r="J379" s="18"/>
      <c r="K379" s="19"/>
    </row>
    <row r="380" ht="14.25" customHeight="1">
      <c r="J380" s="18"/>
      <c r="K380" s="19"/>
    </row>
    <row r="381" ht="14.25" customHeight="1">
      <c r="J381" s="18"/>
      <c r="K381" s="19"/>
    </row>
    <row r="382" ht="14.25" customHeight="1">
      <c r="J382" s="18"/>
      <c r="K382" s="19"/>
    </row>
    <row r="383" ht="14.25" customHeight="1">
      <c r="J383" s="18"/>
      <c r="K383" s="19"/>
    </row>
    <row r="384" ht="14.25" customHeight="1">
      <c r="J384" s="18"/>
      <c r="K384" s="19"/>
    </row>
    <row r="385" ht="14.25" customHeight="1">
      <c r="J385" s="18"/>
      <c r="K385" s="19"/>
    </row>
    <row r="386" ht="14.25" customHeight="1">
      <c r="J386" s="18"/>
      <c r="K386" s="19"/>
    </row>
    <row r="387" ht="14.25" customHeight="1">
      <c r="J387" s="18"/>
      <c r="K387" s="19"/>
    </row>
    <row r="388" ht="14.25" customHeight="1">
      <c r="J388" s="18"/>
      <c r="K388" s="19"/>
    </row>
    <row r="389" ht="14.25" customHeight="1">
      <c r="J389" s="18"/>
      <c r="K389" s="19"/>
    </row>
    <row r="390" ht="14.25" customHeight="1">
      <c r="J390" s="18"/>
      <c r="K390" s="19"/>
    </row>
    <row r="391" ht="14.25" customHeight="1">
      <c r="J391" s="18"/>
      <c r="K391" s="19"/>
    </row>
    <row r="392" ht="14.25" customHeight="1">
      <c r="J392" s="18"/>
      <c r="K392" s="19"/>
    </row>
    <row r="393" ht="14.25" customHeight="1">
      <c r="J393" s="18"/>
      <c r="K393" s="19"/>
    </row>
    <row r="394" ht="14.25" customHeight="1">
      <c r="J394" s="18"/>
      <c r="K394" s="19"/>
    </row>
    <row r="395" ht="14.25" customHeight="1">
      <c r="J395" s="18"/>
      <c r="K395" s="19"/>
    </row>
    <row r="396" ht="14.25" customHeight="1">
      <c r="J396" s="18"/>
      <c r="K396" s="19"/>
    </row>
    <row r="397" ht="14.25" customHeight="1">
      <c r="J397" s="18"/>
      <c r="K397" s="19"/>
    </row>
    <row r="398" ht="14.25" customHeight="1">
      <c r="J398" s="18"/>
      <c r="K398" s="19"/>
    </row>
    <row r="399" ht="14.25" customHeight="1">
      <c r="J399" s="18"/>
      <c r="K399" s="19"/>
    </row>
    <row r="400" ht="14.25" customHeight="1">
      <c r="J400" s="18"/>
      <c r="K400" s="19"/>
    </row>
    <row r="401" ht="14.25" customHeight="1">
      <c r="J401" s="18"/>
      <c r="K401" s="19"/>
    </row>
    <row r="402" ht="14.25" customHeight="1">
      <c r="J402" s="18"/>
      <c r="K402" s="19"/>
    </row>
    <row r="403" ht="14.25" customHeight="1">
      <c r="J403" s="18"/>
      <c r="K403" s="19"/>
    </row>
    <row r="404" ht="14.25" customHeight="1">
      <c r="J404" s="18"/>
      <c r="K404" s="19"/>
    </row>
    <row r="405" ht="14.25" customHeight="1">
      <c r="J405" s="18"/>
      <c r="K405" s="19"/>
    </row>
    <row r="406" ht="14.25" customHeight="1">
      <c r="J406" s="18"/>
      <c r="K406" s="19"/>
    </row>
    <row r="407" ht="14.25" customHeight="1">
      <c r="J407" s="18"/>
      <c r="K407" s="19"/>
    </row>
    <row r="408" ht="14.25" customHeight="1">
      <c r="J408" s="18"/>
      <c r="K408" s="19"/>
    </row>
    <row r="409" ht="14.25" customHeight="1">
      <c r="J409" s="18"/>
      <c r="K409" s="19"/>
    </row>
    <row r="410" ht="14.25" customHeight="1">
      <c r="J410" s="18"/>
      <c r="K410" s="19"/>
    </row>
    <row r="411" ht="14.25" customHeight="1">
      <c r="J411" s="18"/>
      <c r="K411" s="19"/>
    </row>
    <row r="412" ht="14.25" customHeight="1">
      <c r="J412" s="18"/>
      <c r="K412" s="19"/>
    </row>
    <row r="413" ht="14.25" customHeight="1">
      <c r="J413" s="18"/>
      <c r="K413" s="19"/>
    </row>
    <row r="414" ht="14.25" customHeight="1">
      <c r="J414" s="18"/>
      <c r="K414" s="19"/>
    </row>
    <row r="415" ht="14.25" customHeight="1">
      <c r="J415" s="18"/>
      <c r="K415" s="19"/>
    </row>
    <row r="416" ht="14.25" customHeight="1">
      <c r="J416" s="18"/>
      <c r="K416" s="19"/>
    </row>
    <row r="417" ht="14.25" customHeight="1">
      <c r="J417" s="18"/>
      <c r="K417" s="19"/>
    </row>
    <row r="418" ht="14.25" customHeight="1">
      <c r="J418" s="18"/>
      <c r="K418" s="19"/>
    </row>
    <row r="419" ht="14.25" customHeight="1">
      <c r="J419" s="18"/>
      <c r="K419" s="19"/>
    </row>
    <row r="420" ht="14.25" customHeight="1">
      <c r="J420" s="18"/>
      <c r="K420" s="19"/>
    </row>
    <row r="421" ht="14.25" customHeight="1">
      <c r="J421" s="18"/>
      <c r="K421" s="19"/>
    </row>
    <row r="422" ht="14.25" customHeight="1">
      <c r="J422" s="18"/>
      <c r="K422" s="19"/>
    </row>
    <row r="423" ht="14.25" customHeight="1">
      <c r="J423" s="18"/>
      <c r="K423" s="19"/>
    </row>
    <row r="424" ht="14.25" customHeight="1">
      <c r="J424" s="18"/>
      <c r="K424" s="19"/>
    </row>
    <row r="425" ht="14.25" customHeight="1">
      <c r="J425" s="18"/>
      <c r="K425" s="19"/>
    </row>
    <row r="426" ht="14.25" customHeight="1">
      <c r="J426" s="18"/>
      <c r="K426" s="19"/>
    </row>
    <row r="427" ht="14.25" customHeight="1">
      <c r="J427" s="18"/>
      <c r="K427" s="19"/>
    </row>
    <row r="428" ht="14.25" customHeight="1">
      <c r="J428" s="18"/>
      <c r="K428" s="19"/>
    </row>
    <row r="429" ht="14.25" customHeight="1">
      <c r="J429" s="18"/>
      <c r="K429" s="19"/>
    </row>
    <row r="430" ht="14.25" customHeight="1">
      <c r="J430" s="18"/>
      <c r="K430" s="19"/>
    </row>
    <row r="431" ht="14.25" customHeight="1">
      <c r="J431" s="18"/>
      <c r="K431" s="19"/>
    </row>
    <row r="432" ht="14.25" customHeight="1">
      <c r="J432" s="18"/>
      <c r="K432" s="19"/>
    </row>
    <row r="433" ht="14.25" customHeight="1">
      <c r="J433" s="18"/>
      <c r="K433" s="19"/>
    </row>
    <row r="434" ht="14.25" customHeight="1">
      <c r="J434" s="18"/>
      <c r="K434" s="19"/>
    </row>
    <row r="435" ht="14.25" customHeight="1">
      <c r="J435" s="18"/>
      <c r="K435" s="19"/>
    </row>
    <row r="436" ht="14.25" customHeight="1">
      <c r="J436" s="18"/>
      <c r="K436" s="19"/>
    </row>
    <row r="437" ht="14.25" customHeight="1">
      <c r="J437" s="18"/>
      <c r="K437" s="19"/>
    </row>
    <row r="438" ht="14.25" customHeight="1">
      <c r="J438" s="18"/>
      <c r="K438" s="19"/>
    </row>
    <row r="439" ht="14.25" customHeight="1">
      <c r="J439" s="18"/>
      <c r="K439" s="19"/>
    </row>
    <row r="440" ht="14.25" customHeight="1">
      <c r="J440" s="18"/>
      <c r="K440" s="19"/>
    </row>
    <row r="441" ht="14.25" customHeight="1">
      <c r="J441" s="18"/>
      <c r="K441" s="19"/>
    </row>
    <row r="442" ht="14.25" customHeight="1">
      <c r="J442" s="18"/>
      <c r="K442" s="19"/>
    </row>
    <row r="443" ht="14.25" customHeight="1">
      <c r="J443" s="18"/>
      <c r="K443" s="19"/>
    </row>
    <row r="444" ht="14.25" customHeight="1">
      <c r="J444" s="18"/>
      <c r="K444" s="19"/>
    </row>
    <row r="445" ht="14.25" customHeight="1">
      <c r="J445" s="18"/>
      <c r="K445" s="19"/>
    </row>
    <row r="446" ht="14.25" customHeight="1">
      <c r="J446" s="18"/>
      <c r="K446" s="19"/>
    </row>
    <row r="447" ht="14.25" customHeight="1">
      <c r="J447" s="18"/>
      <c r="K447" s="19"/>
    </row>
    <row r="448" ht="14.25" customHeight="1">
      <c r="J448" s="18"/>
      <c r="K448" s="19"/>
    </row>
    <row r="449" ht="14.25" customHeight="1">
      <c r="J449" s="18"/>
      <c r="K449" s="19"/>
    </row>
    <row r="450" ht="14.25" customHeight="1">
      <c r="J450" s="18"/>
      <c r="K450" s="19"/>
    </row>
    <row r="451" ht="14.25" customHeight="1">
      <c r="J451" s="18"/>
      <c r="K451" s="19"/>
    </row>
    <row r="452" ht="14.25" customHeight="1">
      <c r="J452" s="18"/>
      <c r="K452" s="19"/>
    </row>
    <row r="453" ht="14.25" customHeight="1">
      <c r="J453" s="18"/>
      <c r="K453" s="19"/>
    </row>
    <row r="454" ht="14.25" customHeight="1">
      <c r="J454" s="18"/>
      <c r="K454" s="19"/>
    </row>
    <row r="455" ht="14.25" customHeight="1">
      <c r="J455" s="18"/>
      <c r="K455" s="19"/>
    </row>
    <row r="456" ht="14.25" customHeight="1">
      <c r="J456" s="18"/>
      <c r="K456" s="19"/>
    </row>
    <row r="457" ht="14.25" customHeight="1">
      <c r="J457" s="18"/>
      <c r="K457" s="19"/>
    </row>
    <row r="458" ht="14.25" customHeight="1">
      <c r="J458" s="18"/>
      <c r="K458" s="19"/>
    </row>
    <row r="459" ht="14.25" customHeight="1">
      <c r="J459" s="18"/>
      <c r="K459" s="19"/>
    </row>
    <row r="460" ht="14.25" customHeight="1">
      <c r="J460" s="18"/>
      <c r="K460" s="19"/>
    </row>
    <row r="461" ht="14.25" customHeight="1">
      <c r="J461" s="18"/>
      <c r="K461" s="19"/>
    </row>
    <row r="462" ht="14.25" customHeight="1">
      <c r="J462" s="18"/>
      <c r="K462" s="19"/>
    </row>
    <row r="463" ht="14.25" customHeight="1">
      <c r="J463" s="18"/>
      <c r="K463" s="19"/>
    </row>
    <row r="464" ht="14.25" customHeight="1">
      <c r="J464" s="18"/>
      <c r="K464" s="19"/>
    </row>
    <row r="465" ht="14.25" customHeight="1">
      <c r="J465" s="18"/>
      <c r="K465" s="19"/>
    </row>
    <row r="466" ht="14.25" customHeight="1">
      <c r="J466" s="18"/>
      <c r="K466" s="19"/>
    </row>
    <row r="467" ht="14.25" customHeight="1">
      <c r="J467" s="18"/>
      <c r="K467" s="19"/>
    </row>
    <row r="468" ht="14.25" customHeight="1">
      <c r="J468" s="18"/>
      <c r="K468" s="19"/>
    </row>
    <row r="469" ht="14.25" customHeight="1">
      <c r="J469" s="18"/>
      <c r="K469" s="19"/>
    </row>
    <row r="470" ht="14.25" customHeight="1">
      <c r="J470" s="18"/>
      <c r="K470" s="19"/>
    </row>
    <row r="471" ht="14.25" customHeight="1">
      <c r="J471" s="18"/>
      <c r="K471" s="19"/>
    </row>
    <row r="472" ht="14.25" customHeight="1">
      <c r="J472" s="18"/>
      <c r="K472" s="19"/>
    </row>
    <row r="473" ht="14.25" customHeight="1">
      <c r="J473" s="18"/>
      <c r="K473" s="19"/>
    </row>
    <row r="474" ht="14.25" customHeight="1">
      <c r="J474" s="18"/>
      <c r="K474" s="19"/>
    </row>
    <row r="475" ht="14.25" customHeight="1">
      <c r="J475" s="18"/>
      <c r="K475" s="19"/>
    </row>
    <row r="476" ht="14.25" customHeight="1">
      <c r="J476" s="18"/>
      <c r="K476" s="19"/>
    </row>
    <row r="477" ht="14.25" customHeight="1">
      <c r="J477" s="18"/>
      <c r="K477" s="19"/>
    </row>
    <row r="478" ht="14.25" customHeight="1">
      <c r="J478" s="18"/>
      <c r="K478" s="19"/>
    </row>
    <row r="479" ht="14.25" customHeight="1">
      <c r="J479" s="18"/>
      <c r="K479" s="19"/>
    </row>
    <row r="480" ht="14.25" customHeight="1">
      <c r="J480" s="18"/>
      <c r="K480" s="19"/>
    </row>
    <row r="481" ht="14.25" customHeight="1">
      <c r="J481" s="18"/>
      <c r="K481" s="19"/>
    </row>
    <row r="482" ht="14.25" customHeight="1">
      <c r="J482" s="18"/>
      <c r="K482" s="19"/>
    </row>
    <row r="483" ht="14.25" customHeight="1">
      <c r="J483" s="18"/>
      <c r="K483" s="19"/>
    </row>
    <row r="484" ht="14.25" customHeight="1">
      <c r="J484" s="18"/>
      <c r="K484" s="19"/>
    </row>
    <row r="485" ht="14.25" customHeight="1">
      <c r="J485" s="18"/>
      <c r="K485" s="19"/>
    </row>
    <row r="486" ht="14.25" customHeight="1">
      <c r="J486" s="18"/>
      <c r="K486" s="19"/>
    </row>
    <row r="487" ht="14.25" customHeight="1">
      <c r="J487" s="18"/>
      <c r="K487" s="19"/>
    </row>
    <row r="488" ht="14.25" customHeight="1">
      <c r="J488" s="18"/>
      <c r="K488" s="19"/>
    </row>
    <row r="489" ht="14.25" customHeight="1">
      <c r="J489" s="18"/>
      <c r="K489" s="19"/>
    </row>
    <row r="490" ht="14.25" customHeight="1">
      <c r="J490" s="18"/>
      <c r="K490" s="19"/>
    </row>
    <row r="491" ht="14.25" customHeight="1">
      <c r="J491" s="18"/>
      <c r="K491" s="19"/>
    </row>
    <row r="492" ht="14.25" customHeight="1">
      <c r="J492" s="18"/>
      <c r="K492" s="19"/>
    </row>
    <row r="493" ht="14.25" customHeight="1">
      <c r="J493" s="18"/>
      <c r="K493" s="19"/>
    </row>
    <row r="494" ht="14.25" customHeight="1">
      <c r="J494" s="18"/>
      <c r="K494" s="19"/>
    </row>
    <row r="495" ht="14.25" customHeight="1">
      <c r="J495" s="18"/>
      <c r="K495" s="19"/>
    </row>
    <row r="496" ht="14.25" customHeight="1">
      <c r="J496" s="18"/>
      <c r="K496" s="19"/>
    </row>
    <row r="497" ht="14.25" customHeight="1">
      <c r="J497" s="18"/>
      <c r="K497" s="19"/>
    </row>
    <row r="498" ht="14.25" customHeight="1">
      <c r="J498" s="18"/>
      <c r="K498" s="19"/>
    </row>
    <row r="499" ht="14.25" customHeight="1">
      <c r="J499" s="18"/>
      <c r="K499" s="19"/>
    </row>
    <row r="500" ht="14.25" customHeight="1">
      <c r="J500" s="18"/>
      <c r="K500" s="19"/>
    </row>
    <row r="501" ht="14.25" customHeight="1">
      <c r="J501" s="18"/>
      <c r="K501" s="19"/>
    </row>
    <row r="502" ht="14.25" customHeight="1">
      <c r="J502" s="18"/>
      <c r="K502" s="19"/>
    </row>
    <row r="503" ht="14.25" customHeight="1">
      <c r="J503" s="18"/>
      <c r="K503" s="19"/>
    </row>
    <row r="504" ht="14.25" customHeight="1">
      <c r="J504" s="18"/>
      <c r="K504" s="19"/>
    </row>
    <row r="505" ht="14.25" customHeight="1">
      <c r="J505" s="18"/>
      <c r="K505" s="19"/>
    </row>
    <row r="506" ht="14.25" customHeight="1">
      <c r="J506" s="18"/>
      <c r="K506" s="19"/>
    </row>
    <row r="507" ht="14.25" customHeight="1">
      <c r="J507" s="18"/>
      <c r="K507" s="19"/>
    </row>
    <row r="508" ht="14.25" customHeight="1">
      <c r="J508" s="18"/>
      <c r="K508" s="19"/>
    </row>
    <row r="509" ht="14.25" customHeight="1">
      <c r="J509" s="18"/>
      <c r="K509" s="19"/>
    </row>
    <row r="510" ht="14.25" customHeight="1">
      <c r="J510" s="18"/>
      <c r="K510" s="19"/>
    </row>
    <row r="511" ht="14.25" customHeight="1">
      <c r="J511" s="18"/>
      <c r="K511" s="19"/>
    </row>
    <row r="512" ht="14.25" customHeight="1">
      <c r="J512" s="18"/>
      <c r="K512" s="19"/>
    </row>
    <row r="513" ht="14.25" customHeight="1">
      <c r="J513" s="18"/>
      <c r="K513" s="19"/>
    </row>
    <row r="514" ht="14.25" customHeight="1">
      <c r="J514" s="18"/>
      <c r="K514" s="19"/>
    </row>
    <row r="515" ht="14.25" customHeight="1">
      <c r="J515" s="18"/>
      <c r="K515" s="19"/>
    </row>
    <row r="516" ht="14.25" customHeight="1">
      <c r="J516" s="18"/>
      <c r="K516" s="19"/>
    </row>
    <row r="517" ht="14.25" customHeight="1">
      <c r="J517" s="18"/>
      <c r="K517" s="19"/>
    </row>
    <row r="518" ht="14.25" customHeight="1">
      <c r="J518" s="18"/>
      <c r="K518" s="19"/>
    </row>
    <row r="519" ht="14.25" customHeight="1">
      <c r="J519" s="18"/>
      <c r="K519" s="19"/>
    </row>
    <row r="520" ht="14.25" customHeight="1">
      <c r="J520" s="18"/>
      <c r="K520" s="19"/>
    </row>
    <row r="521" ht="14.25" customHeight="1">
      <c r="J521" s="18"/>
      <c r="K521" s="19"/>
    </row>
    <row r="522" ht="14.25" customHeight="1">
      <c r="J522" s="18"/>
      <c r="K522" s="19"/>
    </row>
    <row r="523" ht="14.25" customHeight="1">
      <c r="J523" s="18"/>
      <c r="K523" s="19"/>
    </row>
    <row r="524" ht="14.25" customHeight="1">
      <c r="J524" s="18"/>
      <c r="K524" s="19"/>
    </row>
    <row r="525" ht="14.25" customHeight="1">
      <c r="J525" s="18"/>
      <c r="K525" s="19"/>
    </row>
    <row r="526" ht="14.25" customHeight="1">
      <c r="J526" s="18"/>
      <c r="K526" s="19"/>
    </row>
    <row r="527" ht="14.25" customHeight="1">
      <c r="J527" s="18"/>
      <c r="K527" s="19"/>
    </row>
    <row r="528" ht="14.25" customHeight="1">
      <c r="J528" s="18"/>
      <c r="K528" s="19"/>
    </row>
    <row r="529" ht="14.25" customHeight="1">
      <c r="J529" s="18"/>
      <c r="K529" s="19"/>
    </row>
    <row r="530" ht="14.25" customHeight="1">
      <c r="J530" s="18"/>
      <c r="K530" s="19"/>
    </row>
    <row r="531" ht="14.25" customHeight="1">
      <c r="J531" s="18"/>
      <c r="K531" s="19"/>
    </row>
    <row r="532" ht="14.25" customHeight="1">
      <c r="J532" s="18"/>
      <c r="K532" s="19"/>
    </row>
    <row r="533" ht="14.25" customHeight="1">
      <c r="J533" s="18"/>
      <c r="K533" s="19"/>
    </row>
    <row r="534" ht="14.25" customHeight="1">
      <c r="J534" s="18"/>
      <c r="K534" s="19"/>
    </row>
    <row r="535" ht="14.25" customHeight="1">
      <c r="J535" s="18"/>
      <c r="K535" s="19"/>
    </row>
    <row r="536" ht="14.25" customHeight="1">
      <c r="J536" s="18"/>
      <c r="K536" s="19"/>
    </row>
    <row r="537" ht="14.25" customHeight="1">
      <c r="J537" s="18"/>
      <c r="K537" s="19"/>
    </row>
    <row r="538" ht="14.25" customHeight="1">
      <c r="J538" s="18"/>
      <c r="K538" s="19"/>
    </row>
    <row r="539" ht="14.25" customHeight="1">
      <c r="J539" s="18"/>
      <c r="K539" s="19"/>
    </row>
    <row r="540" ht="14.25" customHeight="1">
      <c r="J540" s="18"/>
      <c r="K540" s="19"/>
    </row>
    <row r="541" ht="14.25" customHeight="1">
      <c r="J541" s="18"/>
      <c r="K541" s="19"/>
    </row>
    <row r="542" ht="14.25" customHeight="1">
      <c r="J542" s="18"/>
      <c r="K542" s="19"/>
    </row>
    <row r="543" ht="14.25" customHeight="1">
      <c r="J543" s="18"/>
      <c r="K543" s="19"/>
    </row>
    <row r="544" ht="14.25" customHeight="1">
      <c r="J544" s="18"/>
      <c r="K544" s="19"/>
    </row>
    <row r="545" ht="14.25" customHeight="1">
      <c r="J545" s="18"/>
      <c r="K545" s="19"/>
    </row>
    <row r="546" ht="14.25" customHeight="1">
      <c r="J546" s="18"/>
      <c r="K546" s="19"/>
    </row>
    <row r="547" ht="14.25" customHeight="1">
      <c r="J547" s="18"/>
      <c r="K547" s="19"/>
    </row>
    <row r="548" ht="14.25" customHeight="1">
      <c r="J548" s="18"/>
      <c r="K548" s="19"/>
    </row>
    <row r="549" ht="14.25" customHeight="1">
      <c r="J549" s="18"/>
      <c r="K549" s="19"/>
    </row>
    <row r="550" ht="14.25" customHeight="1">
      <c r="J550" s="18"/>
      <c r="K550" s="19"/>
    </row>
    <row r="551" ht="14.25" customHeight="1">
      <c r="J551" s="18"/>
      <c r="K551" s="19"/>
    </row>
    <row r="552" ht="14.25" customHeight="1">
      <c r="J552" s="18"/>
      <c r="K552" s="19"/>
    </row>
    <row r="553" ht="14.25" customHeight="1">
      <c r="J553" s="18"/>
      <c r="K553" s="19"/>
    </row>
    <row r="554" ht="14.25" customHeight="1">
      <c r="J554" s="18"/>
      <c r="K554" s="19"/>
    </row>
    <row r="555" ht="14.25" customHeight="1">
      <c r="J555" s="18"/>
      <c r="K555" s="19"/>
    </row>
    <row r="556" ht="14.25" customHeight="1">
      <c r="J556" s="18"/>
      <c r="K556" s="19"/>
    </row>
    <row r="557" ht="14.25" customHeight="1">
      <c r="J557" s="18"/>
      <c r="K557" s="19"/>
    </row>
    <row r="558" ht="14.25" customHeight="1">
      <c r="J558" s="18"/>
      <c r="K558" s="19"/>
    </row>
    <row r="559" ht="14.25" customHeight="1">
      <c r="J559" s="18"/>
      <c r="K559" s="19"/>
    </row>
    <row r="560" ht="14.25" customHeight="1">
      <c r="J560" s="18"/>
      <c r="K560" s="19"/>
    </row>
    <row r="561" ht="14.25" customHeight="1">
      <c r="J561" s="18"/>
      <c r="K561" s="19"/>
    </row>
    <row r="562" ht="14.25" customHeight="1">
      <c r="J562" s="18"/>
      <c r="K562" s="19"/>
    </row>
    <row r="563" ht="14.25" customHeight="1">
      <c r="J563" s="18"/>
      <c r="K563" s="19"/>
    </row>
    <row r="564" ht="14.25" customHeight="1">
      <c r="J564" s="18"/>
      <c r="K564" s="19"/>
    </row>
    <row r="565" ht="14.25" customHeight="1">
      <c r="J565" s="18"/>
      <c r="K565" s="19"/>
    </row>
    <row r="566" ht="14.25" customHeight="1">
      <c r="J566" s="18"/>
      <c r="K566" s="19"/>
    </row>
    <row r="567" ht="14.25" customHeight="1">
      <c r="J567" s="18"/>
      <c r="K567" s="19"/>
    </row>
    <row r="568" ht="14.25" customHeight="1">
      <c r="J568" s="18"/>
      <c r="K568" s="19"/>
    </row>
    <row r="569" ht="14.25" customHeight="1">
      <c r="J569" s="18"/>
      <c r="K569" s="19"/>
    </row>
    <row r="570" ht="14.25" customHeight="1">
      <c r="J570" s="18"/>
      <c r="K570" s="19"/>
    </row>
    <row r="571" ht="14.25" customHeight="1">
      <c r="J571" s="18"/>
      <c r="K571" s="19"/>
    </row>
    <row r="572" ht="14.25" customHeight="1">
      <c r="J572" s="18"/>
      <c r="K572" s="19"/>
    </row>
    <row r="573" ht="14.25" customHeight="1">
      <c r="J573" s="18"/>
      <c r="K573" s="19"/>
    </row>
    <row r="574" ht="14.25" customHeight="1">
      <c r="J574" s="18"/>
      <c r="K574" s="19"/>
    </row>
    <row r="575" ht="14.25" customHeight="1">
      <c r="J575" s="18"/>
      <c r="K575" s="19"/>
    </row>
    <row r="576" ht="14.25" customHeight="1">
      <c r="J576" s="18"/>
      <c r="K576" s="19"/>
    </row>
    <row r="577" ht="14.25" customHeight="1">
      <c r="J577" s="18"/>
      <c r="K577" s="19"/>
    </row>
    <row r="578" ht="14.25" customHeight="1">
      <c r="J578" s="18"/>
      <c r="K578" s="19"/>
    </row>
    <row r="579" ht="14.25" customHeight="1">
      <c r="J579" s="18"/>
      <c r="K579" s="19"/>
    </row>
    <row r="580" ht="14.25" customHeight="1">
      <c r="J580" s="18"/>
      <c r="K580" s="19"/>
    </row>
    <row r="581" ht="14.25" customHeight="1">
      <c r="J581" s="18"/>
      <c r="K581" s="19"/>
    </row>
    <row r="582" ht="14.25" customHeight="1">
      <c r="J582" s="18"/>
      <c r="K582" s="19"/>
    </row>
    <row r="583" ht="14.25" customHeight="1">
      <c r="J583" s="18"/>
      <c r="K583" s="19"/>
    </row>
    <row r="584" ht="14.25" customHeight="1">
      <c r="J584" s="18"/>
      <c r="K584" s="19"/>
    </row>
    <row r="585" ht="14.25" customHeight="1">
      <c r="J585" s="18"/>
      <c r="K585" s="19"/>
    </row>
    <row r="586" ht="14.25" customHeight="1">
      <c r="J586" s="18"/>
      <c r="K586" s="19"/>
    </row>
    <row r="587" ht="14.25" customHeight="1">
      <c r="J587" s="18"/>
      <c r="K587" s="19"/>
    </row>
    <row r="588" ht="14.25" customHeight="1">
      <c r="J588" s="18"/>
      <c r="K588" s="19"/>
    </row>
    <row r="589" ht="14.25" customHeight="1">
      <c r="J589" s="18"/>
      <c r="K589" s="19"/>
    </row>
    <row r="590" ht="14.25" customHeight="1">
      <c r="J590" s="18"/>
      <c r="K590" s="19"/>
    </row>
    <row r="591" ht="14.25" customHeight="1">
      <c r="J591" s="18"/>
      <c r="K591" s="19"/>
    </row>
    <row r="592" ht="14.25" customHeight="1">
      <c r="J592" s="18"/>
      <c r="K592" s="19"/>
    </row>
    <row r="593" ht="14.25" customHeight="1">
      <c r="J593" s="18"/>
      <c r="K593" s="19"/>
    </row>
    <row r="594" ht="14.25" customHeight="1">
      <c r="J594" s="18"/>
      <c r="K594" s="19"/>
    </row>
    <row r="595" ht="14.25" customHeight="1">
      <c r="J595" s="18"/>
      <c r="K595" s="19"/>
    </row>
    <row r="596" ht="14.25" customHeight="1">
      <c r="J596" s="18"/>
      <c r="K596" s="19"/>
    </row>
    <row r="597" ht="14.25" customHeight="1">
      <c r="J597" s="18"/>
      <c r="K597" s="19"/>
    </row>
    <row r="598" ht="14.25" customHeight="1">
      <c r="J598" s="18"/>
      <c r="K598" s="19"/>
    </row>
    <row r="599" ht="14.25" customHeight="1">
      <c r="J599" s="18"/>
      <c r="K599" s="19"/>
    </row>
    <row r="600" ht="14.25" customHeight="1">
      <c r="J600" s="18"/>
      <c r="K600" s="19"/>
    </row>
    <row r="601" ht="14.25" customHeight="1">
      <c r="J601" s="18"/>
      <c r="K601" s="19"/>
    </row>
    <row r="602" ht="14.25" customHeight="1">
      <c r="J602" s="18"/>
      <c r="K602" s="19"/>
    </row>
    <row r="603" ht="14.25" customHeight="1">
      <c r="J603" s="18"/>
      <c r="K603" s="19"/>
    </row>
    <row r="604" ht="14.25" customHeight="1">
      <c r="J604" s="18"/>
      <c r="K604" s="19"/>
    </row>
    <row r="605" ht="14.25" customHeight="1">
      <c r="J605" s="18"/>
      <c r="K605" s="19"/>
    </row>
    <row r="606" ht="14.25" customHeight="1">
      <c r="J606" s="18"/>
      <c r="K606" s="19"/>
    </row>
    <row r="607" ht="14.25" customHeight="1">
      <c r="J607" s="18"/>
      <c r="K607" s="19"/>
    </row>
    <row r="608" ht="14.25" customHeight="1">
      <c r="J608" s="18"/>
      <c r="K608" s="19"/>
    </row>
    <row r="609" ht="14.25" customHeight="1">
      <c r="J609" s="18"/>
      <c r="K609" s="19"/>
    </row>
    <row r="610" ht="14.25" customHeight="1">
      <c r="J610" s="18"/>
      <c r="K610" s="19"/>
    </row>
    <row r="611" ht="14.25" customHeight="1">
      <c r="J611" s="18"/>
      <c r="K611" s="19"/>
    </row>
    <row r="612" ht="14.25" customHeight="1">
      <c r="J612" s="18"/>
      <c r="K612" s="19"/>
    </row>
    <row r="613" ht="14.25" customHeight="1">
      <c r="J613" s="18"/>
      <c r="K613" s="19"/>
    </row>
    <row r="614" ht="14.25" customHeight="1">
      <c r="J614" s="18"/>
      <c r="K614" s="19"/>
    </row>
    <row r="615" ht="14.25" customHeight="1">
      <c r="J615" s="18"/>
      <c r="K615" s="19"/>
    </row>
    <row r="616" ht="14.25" customHeight="1">
      <c r="J616" s="18"/>
      <c r="K616" s="19"/>
    </row>
    <row r="617" ht="14.25" customHeight="1">
      <c r="J617" s="18"/>
      <c r="K617" s="19"/>
    </row>
    <row r="618" ht="14.25" customHeight="1">
      <c r="J618" s="18"/>
      <c r="K618" s="19"/>
    </row>
    <row r="619" ht="14.25" customHeight="1">
      <c r="J619" s="18"/>
      <c r="K619" s="19"/>
    </row>
    <row r="620" ht="14.25" customHeight="1">
      <c r="J620" s="18"/>
      <c r="K620" s="19"/>
    </row>
    <row r="621" ht="14.25" customHeight="1">
      <c r="J621" s="18"/>
      <c r="K621" s="19"/>
    </row>
    <row r="622" ht="14.25" customHeight="1">
      <c r="J622" s="18"/>
      <c r="K622" s="19"/>
    </row>
    <row r="623" ht="14.25" customHeight="1">
      <c r="J623" s="18"/>
      <c r="K623" s="19"/>
    </row>
    <row r="624" ht="14.25" customHeight="1">
      <c r="J624" s="18"/>
      <c r="K624" s="19"/>
    </row>
    <row r="625" ht="14.25" customHeight="1">
      <c r="J625" s="18"/>
      <c r="K625" s="19"/>
    </row>
    <row r="626" ht="14.25" customHeight="1">
      <c r="J626" s="18"/>
      <c r="K626" s="19"/>
    </row>
    <row r="627" ht="14.25" customHeight="1">
      <c r="J627" s="18"/>
      <c r="K627" s="19"/>
    </row>
    <row r="628" ht="14.25" customHeight="1">
      <c r="J628" s="18"/>
      <c r="K628" s="19"/>
    </row>
    <row r="629" ht="14.25" customHeight="1">
      <c r="J629" s="18"/>
      <c r="K629" s="19"/>
    </row>
    <row r="630" ht="14.25" customHeight="1">
      <c r="J630" s="18"/>
      <c r="K630" s="19"/>
    </row>
    <row r="631" ht="14.25" customHeight="1">
      <c r="J631" s="18"/>
      <c r="K631" s="19"/>
    </row>
    <row r="632" ht="14.25" customHeight="1">
      <c r="J632" s="18"/>
      <c r="K632" s="19"/>
    </row>
    <row r="633" ht="14.25" customHeight="1">
      <c r="J633" s="18"/>
      <c r="K633" s="19"/>
    </row>
    <row r="634" ht="14.25" customHeight="1">
      <c r="J634" s="18"/>
      <c r="K634" s="19"/>
    </row>
    <row r="635" ht="14.25" customHeight="1">
      <c r="J635" s="18"/>
      <c r="K635" s="19"/>
    </row>
    <row r="636" ht="14.25" customHeight="1">
      <c r="J636" s="18"/>
      <c r="K636" s="19"/>
    </row>
    <row r="637" ht="14.25" customHeight="1">
      <c r="J637" s="18"/>
      <c r="K637" s="19"/>
    </row>
    <row r="638" ht="14.25" customHeight="1">
      <c r="J638" s="18"/>
      <c r="K638" s="19"/>
    </row>
    <row r="639" ht="14.25" customHeight="1">
      <c r="J639" s="18"/>
      <c r="K639" s="19"/>
    </row>
    <row r="640" ht="14.25" customHeight="1">
      <c r="J640" s="18"/>
      <c r="K640" s="19"/>
    </row>
    <row r="641" ht="14.25" customHeight="1">
      <c r="J641" s="18"/>
      <c r="K641" s="19"/>
    </row>
    <row r="642" ht="14.25" customHeight="1">
      <c r="J642" s="18"/>
      <c r="K642" s="19"/>
    </row>
    <row r="643" ht="14.25" customHeight="1">
      <c r="J643" s="18"/>
      <c r="K643" s="19"/>
    </row>
    <row r="644" ht="14.25" customHeight="1">
      <c r="J644" s="18"/>
      <c r="K644" s="19"/>
    </row>
    <row r="645" ht="14.25" customHeight="1">
      <c r="J645" s="18"/>
      <c r="K645" s="19"/>
    </row>
    <row r="646" ht="14.25" customHeight="1">
      <c r="J646" s="18"/>
      <c r="K646" s="19"/>
    </row>
    <row r="647" ht="14.25" customHeight="1">
      <c r="J647" s="18"/>
      <c r="K647" s="19"/>
    </row>
    <row r="648" ht="14.25" customHeight="1">
      <c r="J648" s="18"/>
      <c r="K648" s="19"/>
    </row>
    <row r="649" ht="14.25" customHeight="1">
      <c r="J649" s="18"/>
      <c r="K649" s="19"/>
    </row>
    <row r="650" ht="14.25" customHeight="1">
      <c r="J650" s="18"/>
      <c r="K650" s="19"/>
    </row>
    <row r="651" ht="14.25" customHeight="1">
      <c r="J651" s="18"/>
      <c r="K651" s="19"/>
    </row>
    <row r="652" ht="14.25" customHeight="1">
      <c r="J652" s="18"/>
      <c r="K652" s="19"/>
    </row>
    <row r="653" ht="14.25" customHeight="1">
      <c r="J653" s="18"/>
      <c r="K653" s="19"/>
    </row>
    <row r="654" ht="14.25" customHeight="1">
      <c r="J654" s="18"/>
      <c r="K654" s="19"/>
    </row>
    <row r="655" ht="14.25" customHeight="1">
      <c r="J655" s="18"/>
      <c r="K655" s="19"/>
    </row>
    <row r="656" ht="14.25" customHeight="1">
      <c r="J656" s="18"/>
      <c r="K656" s="19"/>
    </row>
    <row r="657" ht="14.25" customHeight="1">
      <c r="J657" s="18"/>
      <c r="K657" s="19"/>
    </row>
    <row r="658" ht="14.25" customHeight="1">
      <c r="J658" s="18"/>
      <c r="K658" s="19"/>
    </row>
    <row r="659" ht="14.25" customHeight="1">
      <c r="J659" s="18"/>
      <c r="K659" s="19"/>
    </row>
    <row r="660" ht="14.25" customHeight="1">
      <c r="J660" s="18"/>
      <c r="K660" s="19"/>
    </row>
    <row r="661" ht="14.25" customHeight="1">
      <c r="J661" s="18"/>
      <c r="K661" s="19"/>
    </row>
    <row r="662" ht="14.25" customHeight="1">
      <c r="J662" s="18"/>
      <c r="K662" s="19"/>
    </row>
    <row r="663" ht="14.25" customHeight="1">
      <c r="J663" s="18"/>
      <c r="K663" s="19"/>
    </row>
    <row r="664" ht="14.25" customHeight="1">
      <c r="J664" s="18"/>
      <c r="K664" s="19"/>
    </row>
    <row r="665" ht="14.25" customHeight="1">
      <c r="J665" s="18"/>
      <c r="K665" s="19"/>
    </row>
    <row r="666" ht="14.25" customHeight="1">
      <c r="J666" s="18"/>
      <c r="K666" s="19"/>
    </row>
    <row r="667" ht="14.25" customHeight="1">
      <c r="J667" s="18"/>
      <c r="K667" s="19"/>
    </row>
    <row r="668" ht="14.25" customHeight="1">
      <c r="J668" s="18"/>
      <c r="K668" s="19"/>
    </row>
    <row r="669" ht="14.25" customHeight="1">
      <c r="J669" s="18"/>
      <c r="K669" s="19"/>
    </row>
    <row r="670" ht="14.25" customHeight="1">
      <c r="J670" s="18"/>
      <c r="K670" s="19"/>
    </row>
    <row r="671" ht="14.25" customHeight="1">
      <c r="J671" s="18"/>
      <c r="K671" s="19"/>
    </row>
    <row r="672" ht="14.25" customHeight="1">
      <c r="J672" s="18"/>
      <c r="K672" s="19"/>
    </row>
    <row r="673" ht="14.25" customHeight="1">
      <c r="J673" s="18"/>
      <c r="K673" s="19"/>
    </row>
    <row r="674" ht="14.25" customHeight="1">
      <c r="J674" s="18"/>
      <c r="K674" s="19"/>
    </row>
    <row r="675" ht="14.25" customHeight="1">
      <c r="J675" s="18"/>
      <c r="K675" s="19"/>
    </row>
    <row r="676" ht="14.25" customHeight="1">
      <c r="J676" s="18"/>
      <c r="K676" s="19"/>
    </row>
    <row r="677" ht="14.25" customHeight="1">
      <c r="J677" s="18"/>
      <c r="K677" s="19"/>
    </row>
    <row r="678" ht="14.25" customHeight="1">
      <c r="J678" s="18"/>
      <c r="K678" s="19"/>
    </row>
    <row r="679" ht="14.25" customHeight="1">
      <c r="J679" s="18"/>
      <c r="K679" s="19"/>
    </row>
    <row r="680" ht="14.25" customHeight="1">
      <c r="J680" s="18"/>
      <c r="K680" s="19"/>
    </row>
    <row r="681" ht="14.25" customHeight="1">
      <c r="J681" s="18"/>
      <c r="K681" s="19"/>
    </row>
    <row r="682" ht="14.25" customHeight="1">
      <c r="J682" s="18"/>
      <c r="K682" s="19"/>
    </row>
    <row r="683" ht="14.25" customHeight="1">
      <c r="J683" s="18"/>
      <c r="K683" s="19"/>
    </row>
    <row r="684" ht="14.25" customHeight="1">
      <c r="J684" s="18"/>
      <c r="K684" s="19"/>
    </row>
    <row r="685" ht="14.25" customHeight="1">
      <c r="J685" s="18"/>
      <c r="K685" s="19"/>
    </row>
    <row r="686" ht="14.25" customHeight="1">
      <c r="J686" s="18"/>
      <c r="K686" s="19"/>
    </row>
    <row r="687" ht="14.25" customHeight="1">
      <c r="J687" s="18"/>
      <c r="K687" s="19"/>
    </row>
    <row r="688" ht="14.25" customHeight="1">
      <c r="J688" s="18"/>
      <c r="K688" s="19"/>
    </row>
    <row r="689" ht="14.25" customHeight="1">
      <c r="J689" s="18"/>
      <c r="K689" s="19"/>
    </row>
    <row r="690" ht="14.25" customHeight="1">
      <c r="J690" s="18"/>
      <c r="K690" s="19"/>
    </row>
    <row r="691" ht="14.25" customHeight="1">
      <c r="J691" s="18"/>
      <c r="K691" s="19"/>
    </row>
    <row r="692" ht="14.25" customHeight="1">
      <c r="J692" s="18"/>
      <c r="K692" s="19"/>
    </row>
    <row r="693" ht="14.25" customHeight="1">
      <c r="J693" s="18"/>
      <c r="K693" s="19"/>
    </row>
    <row r="694" ht="14.25" customHeight="1">
      <c r="J694" s="18"/>
      <c r="K694" s="19"/>
    </row>
    <row r="695" ht="14.25" customHeight="1">
      <c r="J695" s="18"/>
      <c r="K695" s="19"/>
    </row>
    <row r="696" ht="14.25" customHeight="1">
      <c r="J696" s="18"/>
      <c r="K696" s="19"/>
    </row>
    <row r="697" ht="14.25" customHeight="1">
      <c r="J697" s="18"/>
      <c r="K697" s="19"/>
    </row>
    <row r="698" ht="14.25" customHeight="1">
      <c r="J698" s="18"/>
      <c r="K698" s="19"/>
    </row>
    <row r="699" ht="14.25" customHeight="1">
      <c r="J699" s="18"/>
      <c r="K699" s="19"/>
    </row>
    <row r="700" ht="14.25" customHeight="1">
      <c r="J700" s="18"/>
      <c r="K700" s="19"/>
    </row>
    <row r="701" ht="14.25" customHeight="1">
      <c r="J701" s="18"/>
      <c r="K701" s="19"/>
    </row>
    <row r="702" ht="14.25" customHeight="1">
      <c r="J702" s="18"/>
      <c r="K702" s="19"/>
    </row>
    <row r="703" ht="14.25" customHeight="1">
      <c r="J703" s="18"/>
      <c r="K703" s="19"/>
    </row>
    <row r="704" ht="14.25" customHeight="1">
      <c r="J704" s="18"/>
      <c r="K704" s="19"/>
    </row>
    <row r="705" ht="14.25" customHeight="1">
      <c r="J705" s="18"/>
      <c r="K705" s="19"/>
    </row>
    <row r="706" ht="14.25" customHeight="1">
      <c r="J706" s="18"/>
      <c r="K706" s="19"/>
    </row>
    <row r="707" ht="14.25" customHeight="1">
      <c r="J707" s="18"/>
      <c r="K707" s="19"/>
    </row>
    <row r="708" ht="14.25" customHeight="1">
      <c r="J708" s="18"/>
      <c r="K708" s="19"/>
    </row>
    <row r="709" ht="14.25" customHeight="1">
      <c r="J709" s="18"/>
      <c r="K709" s="19"/>
    </row>
    <row r="710" ht="14.25" customHeight="1">
      <c r="J710" s="18"/>
      <c r="K710" s="19"/>
    </row>
    <row r="711" ht="14.25" customHeight="1">
      <c r="J711" s="18"/>
      <c r="K711" s="19"/>
    </row>
    <row r="712" ht="14.25" customHeight="1">
      <c r="J712" s="18"/>
      <c r="K712" s="19"/>
    </row>
    <row r="713" ht="14.25" customHeight="1">
      <c r="J713" s="18"/>
      <c r="K713" s="19"/>
    </row>
    <row r="714" ht="14.25" customHeight="1">
      <c r="J714" s="18"/>
      <c r="K714" s="19"/>
    </row>
    <row r="715" ht="14.25" customHeight="1">
      <c r="J715" s="18"/>
      <c r="K715" s="19"/>
    </row>
    <row r="716" ht="14.25" customHeight="1">
      <c r="J716" s="18"/>
      <c r="K716" s="19"/>
    </row>
    <row r="717" ht="14.25" customHeight="1">
      <c r="J717" s="18"/>
      <c r="K717" s="19"/>
    </row>
    <row r="718" ht="14.25" customHeight="1">
      <c r="J718" s="18"/>
      <c r="K718" s="19"/>
    </row>
    <row r="719" ht="14.25" customHeight="1">
      <c r="J719" s="18"/>
      <c r="K719" s="19"/>
    </row>
    <row r="720" ht="14.25" customHeight="1">
      <c r="J720" s="18"/>
      <c r="K720" s="19"/>
    </row>
    <row r="721" ht="14.25" customHeight="1">
      <c r="J721" s="18"/>
      <c r="K721" s="19"/>
    </row>
    <row r="722" ht="14.25" customHeight="1">
      <c r="J722" s="18"/>
      <c r="K722" s="19"/>
    </row>
    <row r="723" ht="14.25" customHeight="1">
      <c r="J723" s="18"/>
      <c r="K723" s="19"/>
    </row>
    <row r="724" ht="14.25" customHeight="1">
      <c r="J724" s="18"/>
      <c r="K724" s="19"/>
    </row>
    <row r="725" ht="14.25" customHeight="1">
      <c r="J725" s="18"/>
      <c r="K725" s="19"/>
    </row>
    <row r="726" ht="14.25" customHeight="1">
      <c r="J726" s="18"/>
      <c r="K726" s="19"/>
    </row>
    <row r="727" ht="14.25" customHeight="1">
      <c r="J727" s="18"/>
      <c r="K727" s="19"/>
    </row>
    <row r="728" ht="14.25" customHeight="1">
      <c r="J728" s="18"/>
      <c r="K728" s="19"/>
    </row>
    <row r="729" ht="14.25" customHeight="1">
      <c r="J729" s="18"/>
      <c r="K729" s="19"/>
    </row>
    <row r="730" ht="14.25" customHeight="1">
      <c r="J730" s="18"/>
      <c r="K730" s="19"/>
    </row>
    <row r="731" ht="14.25" customHeight="1">
      <c r="J731" s="18"/>
      <c r="K731" s="19"/>
    </row>
    <row r="732" ht="14.25" customHeight="1">
      <c r="J732" s="18"/>
      <c r="K732" s="19"/>
    </row>
    <row r="733" ht="14.25" customHeight="1">
      <c r="J733" s="18"/>
      <c r="K733" s="19"/>
    </row>
    <row r="734" ht="14.25" customHeight="1">
      <c r="J734" s="18"/>
      <c r="K734" s="19"/>
    </row>
    <row r="735" ht="14.25" customHeight="1">
      <c r="J735" s="18"/>
      <c r="K735" s="19"/>
    </row>
    <row r="736" ht="14.25" customHeight="1">
      <c r="J736" s="18"/>
      <c r="K736" s="19"/>
    </row>
    <row r="737" ht="14.25" customHeight="1">
      <c r="J737" s="18"/>
      <c r="K737" s="19"/>
    </row>
    <row r="738" ht="14.25" customHeight="1">
      <c r="J738" s="18"/>
      <c r="K738" s="19"/>
    </row>
    <row r="739" ht="14.25" customHeight="1">
      <c r="J739" s="18"/>
      <c r="K739" s="19"/>
    </row>
    <row r="740" ht="14.25" customHeight="1">
      <c r="J740" s="18"/>
      <c r="K740" s="19"/>
    </row>
    <row r="741" ht="14.25" customHeight="1">
      <c r="J741" s="18"/>
      <c r="K741" s="19"/>
    </row>
    <row r="742" ht="14.25" customHeight="1">
      <c r="J742" s="18"/>
      <c r="K742" s="19"/>
    </row>
    <row r="743" ht="14.25" customHeight="1">
      <c r="J743" s="18"/>
      <c r="K743" s="19"/>
    </row>
    <row r="744" ht="14.25" customHeight="1">
      <c r="J744" s="18"/>
      <c r="K744" s="19"/>
    </row>
    <row r="745" ht="14.25" customHeight="1">
      <c r="J745" s="18"/>
      <c r="K745" s="19"/>
    </row>
    <row r="746" ht="14.25" customHeight="1">
      <c r="J746" s="18"/>
      <c r="K746" s="19"/>
    </row>
    <row r="747" ht="14.25" customHeight="1">
      <c r="J747" s="18"/>
      <c r="K747" s="19"/>
    </row>
    <row r="748" ht="14.25" customHeight="1">
      <c r="J748" s="18"/>
      <c r="K748" s="19"/>
    </row>
    <row r="749" ht="14.25" customHeight="1">
      <c r="J749" s="18"/>
      <c r="K749" s="19"/>
    </row>
    <row r="750" ht="14.25" customHeight="1">
      <c r="J750" s="18"/>
      <c r="K750" s="19"/>
    </row>
    <row r="751" ht="14.25" customHeight="1">
      <c r="J751" s="18"/>
      <c r="K751" s="19"/>
    </row>
    <row r="752" ht="14.25" customHeight="1">
      <c r="J752" s="18"/>
      <c r="K752" s="19"/>
    </row>
    <row r="753" ht="14.25" customHeight="1">
      <c r="J753" s="18"/>
      <c r="K753" s="19"/>
    </row>
    <row r="754" ht="14.25" customHeight="1">
      <c r="J754" s="18"/>
      <c r="K754" s="19"/>
    </row>
    <row r="755" ht="14.25" customHeight="1">
      <c r="J755" s="18"/>
      <c r="K755" s="19"/>
    </row>
    <row r="756" ht="14.25" customHeight="1">
      <c r="J756" s="18"/>
      <c r="K756" s="19"/>
    </row>
    <row r="757" ht="14.25" customHeight="1">
      <c r="J757" s="18"/>
      <c r="K757" s="19"/>
    </row>
    <row r="758" ht="14.25" customHeight="1">
      <c r="J758" s="18"/>
      <c r="K758" s="19"/>
    </row>
    <row r="759" ht="14.25" customHeight="1">
      <c r="J759" s="18"/>
      <c r="K759" s="19"/>
    </row>
    <row r="760" ht="14.25" customHeight="1">
      <c r="J760" s="18"/>
      <c r="K760" s="19"/>
    </row>
    <row r="761" ht="14.25" customHeight="1">
      <c r="J761" s="18"/>
      <c r="K761" s="19"/>
    </row>
    <row r="762" ht="14.25" customHeight="1">
      <c r="J762" s="18"/>
      <c r="K762" s="19"/>
    </row>
    <row r="763" ht="14.25" customHeight="1">
      <c r="J763" s="18"/>
      <c r="K763" s="19"/>
    </row>
    <row r="764" ht="14.25" customHeight="1">
      <c r="J764" s="18"/>
      <c r="K764" s="19"/>
    </row>
    <row r="765" ht="14.25" customHeight="1">
      <c r="J765" s="18"/>
      <c r="K765" s="19"/>
    </row>
    <row r="766" ht="14.25" customHeight="1">
      <c r="J766" s="18"/>
      <c r="K766" s="19"/>
    </row>
    <row r="767" ht="14.25" customHeight="1">
      <c r="J767" s="18"/>
      <c r="K767" s="19"/>
    </row>
    <row r="768" ht="14.25" customHeight="1">
      <c r="J768" s="18"/>
      <c r="K768" s="19"/>
    </row>
    <row r="769" ht="14.25" customHeight="1">
      <c r="J769" s="18"/>
      <c r="K769" s="19"/>
    </row>
    <row r="770" ht="14.25" customHeight="1">
      <c r="J770" s="18"/>
      <c r="K770" s="19"/>
    </row>
    <row r="771" ht="14.25" customHeight="1">
      <c r="J771" s="18"/>
      <c r="K771" s="19"/>
    </row>
    <row r="772" ht="14.25" customHeight="1">
      <c r="J772" s="18"/>
      <c r="K772" s="19"/>
    </row>
    <row r="773" ht="14.25" customHeight="1">
      <c r="J773" s="18"/>
      <c r="K773" s="19"/>
    </row>
    <row r="774" ht="14.25" customHeight="1">
      <c r="J774" s="18"/>
      <c r="K774" s="19"/>
    </row>
    <row r="775" ht="14.25" customHeight="1">
      <c r="J775" s="18"/>
      <c r="K775" s="19"/>
    </row>
    <row r="776" ht="14.25" customHeight="1">
      <c r="J776" s="18"/>
      <c r="K776" s="19"/>
    </row>
    <row r="777" ht="14.25" customHeight="1">
      <c r="J777" s="18"/>
      <c r="K777" s="19"/>
    </row>
    <row r="778" ht="14.25" customHeight="1">
      <c r="J778" s="18"/>
      <c r="K778" s="19"/>
    </row>
    <row r="779" ht="14.25" customHeight="1">
      <c r="J779" s="18"/>
      <c r="K779" s="19"/>
    </row>
    <row r="780" ht="14.25" customHeight="1">
      <c r="J780" s="18"/>
      <c r="K780" s="19"/>
    </row>
    <row r="781" ht="14.25" customHeight="1">
      <c r="J781" s="18"/>
      <c r="K781" s="19"/>
    </row>
    <row r="782" ht="14.25" customHeight="1">
      <c r="J782" s="18"/>
      <c r="K782" s="19"/>
    </row>
    <row r="783" ht="14.25" customHeight="1">
      <c r="J783" s="18"/>
      <c r="K783" s="19"/>
    </row>
    <row r="784" ht="14.25" customHeight="1">
      <c r="J784" s="18"/>
      <c r="K784" s="19"/>
    </row>
    <row r="785" ht="14.25" customHeight="1">
      <c r="J785" s="18"/>
      <c r="K785" s="19"/>
    </row>
    <row r="786" ht="14.25" customHeight="1">
      <c r="J786" s="18"/>
      <c r="K786" s="19"/>
    </row>
    <row r="787" ht="14.25" customHeight="1">
      <c r="J787" s="18"/>
      <c r="K787" s="19"/>
    </row>
    <row r="788" ht="14.25" customHeight="1">
      <c r="J788" s="18"/>
      <c r="K788" s="19"/>
    </row>
    <row r="789" ht="14.25" customHeight="1">
      <c r="J789" s="18"/>
      <c r="K789" s="19"/>
    </row>
    <row r="790" ht="14.25" customHeight="1">
      <c r="J790" s="18"/>
      <c r="K790" s="19"/>
    </row>
    <row r="791" ht="14.25" customHeight="1">
      <c r="J791" s="18"/>
      <c r="K791" s="19"/>
    </row>
    <row r="792" ht="14.25" customHeight="1">
      <c r="J792" s="18"/>
      <c r="K792" s="19"/>
    </row>
    <row r="793" ht="14.25" customHeight="1">
      <c r="J793" s="18"/>
      <c r="K793" s="19"/>
    </row>
    <row r="794" ht="14.25" customHeight="1">
      <c r="J794" s="18"/>
      <c r="K794" s="19"/>
    </row>
    <row r="795" ht="14.25" customHeight="1">
      <c r="J795" s="18"/>
      <c r="K795" s="19"/>
    </row>
    <row r="796" ht="14.25" customHeight="1">
      <c r="J796" s="18"/>
      <c r="K796" s="19"/>
    </row>
    <row r="797" ht="14.25" customHeight="1">
      <c r="J797" s="18"/>
      <c r="K797" s="19"/>
    </row>
    <row r="798" ht="14.25" customHeight="1">
      <c r="J798" s="18"/>
      <c r="K798" s="19"/>
    </row>
    <row r="799" ht="14.25" customHeight="1">
      <c r="J799" s="18"/>
      <c r="K799" s="19"/>
    </row>
    <row r="800" ht="14.25" customHeight="1">
      <c r="J800" s="18"/>
      <c r="K800" s="19"/>
    </row>
    <row r="801" ht="14.25" customHeight="1">
      <c r="J801" s="18"/>
      <c r="K801" s="19"/>
    </row>
    <row r="802" ht="14.25" customHeight="1">
      <c r="J802" s="18"/>
      <c r="K802" s="19"/>
    </row>
    <row r="803" ht="14.25" customHeight="1">
      <c r="J803" s="18"/>
      <c r="K803" s="19"/>
    </row>
    <row r="804" ht="14.25" customHeight="1">
      <c r="J804" s="18"/>
      <c r="K804" s="19"/>
    </row>
    <row r="805" ht="14.25" customHeight="1">
      <c r="J805" s="18"/>
      <c r="K805" s="19"/>
    </row>
    <row r="806" ht="14.25" customHeight="1">
      <c r="J806" s="18"/>
      <c r="K806" s="19"/>
    </row>
    <row r="807" ht="14.25" customHeight="1">
      <c r="J807" s="18"/>
      <c r="K807" s="19"/>
    </row>
    <row r="808" ht="14.25" customHeight="1">
      <c r="J808" s="18"/>
      <c r="K808" s="19"/>
    </row>
    <row r="809" ht="14.25" customHeight="1">
      <c r="J809" s="18"/>
      <c r="K809" s="19"/>
    </row>
    <row r="810" ht="14.25" customHeight="1">
      <c r="J810" s="18"/>
      <c r="K810" s="19"/>
    </row>
    <row r="811" ht="14.25" customHeight="1">
      <c r="J811" s="18"/>
      <c r="K811" s="19"/>
    </row>
    <row r="812" ht="14.25" customHeight="1">
      <c r="J812" s="18"/>
      <c r="K812" s="19"/>
    </row>
    <row r="813" ht="14.25" customHeight="1">
      <c r="J813" s="18"/>
      <c r="K813" s="19"/>
    </row>
    <row r="814" ht="14.25" customHeight="1">
      <c r="J814" s="18"/>
      <c r="K814" s="19"/>
    </row>
    <row r="815" ht="14.25" customHeight="1">
      <c r="J815" s="18"/>
      <c r="K815" s="19"/>
    </row>
    <row r="816" ht="14.25" customHeight="1">
      <c r="J816" s="18"/>
      <c r="K816" s="19"/>
    </row>
    <row r="817" ht="14.25" customHeight="1">
      <c r="J817" s="18"/>
      <c r="K817" s="19"/>
    </row>
    <row r="818" ht="14.25" customHeight="1">
      <c r="J818" s="18"/>
      <c r="K818" s="19"/>
    </row>
    <row r="819" ht="14.25" customHeight="1">
      <c r="J819" s="18"/>
      <c r="K819" s="19"/>
    </row>
    <row r="820" ht="14.25" customHeight="1">
      <c r="J820" s="18"/>
      <c r="K820" s="19"/>
    </row>
    <row r="821" ht="14.25" customHeight="1">
      <c r="J821" s="18"/>
      <c r="K821" s="19"/>
    </row>
    <row r="822" ht="14.25" customHeight="1">
      <c r="J822" s="18"/>
      <c r="K822" s="19"/>
    </row>
    <row r="823" ht="14.25" customHeight="1">
      <c r="J823" s="18"/>
      <c r="K823" s="19"/>
    </row>
    <row r="824" ht="14.25" customHeight="1">
      <c r="J824" s="18"/>
      <c r="K824" s="19"/>
    </row>
    <row r="825" ht="14.25" customHeight="1">
      <c r="J825" s="18"/>
      <c r="K825" s="19"/>
    </row>
    <row r="826" ht="14.25" customHeight="1">
      <c r="J826" s="18"/>
      <c r="K826" s="19"/>
    </row>
    <row r="827" ht="14.25" customHeight="1">
      <c r="J827" s="18"/>
      <c r="K827" s="19"/>
    </row>
    <row r="828" ht="14.25" customHeight="1">
      <c r="J828" s="18"/>
      <c r="K828" s="19"/>
    </row>
    <row r="829" ht="14.25" customHeight="1">
      <c r="J829" s="18"/>
      <c r="K829" s="19"/>
    </row>
    <row r="830" ht="14.25" customHeight="1">
      <c r="J830" s="18"/>
      <c r="K830" s="19"/>
    </row>
    <row r="831" ht="14.25" customHeight="1">
      <c r="J831" s="18"/>
      <c r="K831" s="19"/>
    </row>
    <row r="832" ht="14.25" customHeight="1">
      <c r="J832" s="18"/>
      <c r="K832" s="19"/>
    </row>
    <row r="833" ht="14.25" customHeight="1">
      <c r="J833" s="18"/>
      <c r="K833" s="19"/>
    </row>
    <row r="834" ht="14.25" customHeight="1">
      <c r="J834" s="18"/>
      <c r="K834" s="19"/>
    </row>
    <row r="835" ht="14.25" customHeight="1">
      <c r="J835" s="18"/>
      <c r="K835" s="19"/>
    </row>
    <row r="836" ht="14.25" customHeight="1">
      <c r="J836" s="18"/>
      <c r="K836" s="19"/>
    </row>
    <row r="837" ht="14.25" customHeight="1">
      <c r="J837" s="18"/>
      <c r="K837" s="19"/>
    </row>
    <row r="838" ht="14.25" customHeight="1">
      <c r="J838" s="18"/>
      <c r="K838" s="19"/>
    </row>
    <row r="839" ht="14.25" customHeight="1">
      <c r="J839" s="18"/>
      <c r="K839" s="19"/>
    </row>
    <row r="840" ht="14.25" customHeight="1">
      <c r="J840" s="18"/>
      <c r="K840" s="19"/>
    </row>
    <row r="841" ht="14.25" customHeight="1">
      <c r="J841" s="18"/>
      <c r="K841" s="19"/>
    </row>
    <row r="842" ht="14.25" customHeight="1">
      <c r="J842" s="18"/>
      <c r="K842" s="19"/>
    </row>
    <row r="843" ht="14.25" customHeight="1">
      <c r="J843" s="18"/>
      <c r="K843" s="19"/>
    </row>
    <row r="844" ht="14.25" customHeight="1">
      <c r="J844" s="18"/>
      <c r="K844" s="19"/>
    </row>
    <row r="845" ht="14.25" customHeight="1">
      <c r="J845" s="18"/>
      <c r="K845" s="19"/>
    </row>
    <row r="846" ht="14.25" customHeight="1">
      <c r="J846" s="18"/>
      <c r="K846" s="19"/>
    </row>
    <row r="847" ht="14.25" customHeight="1">
      <c r="J847" s="18"/>
      <c r="K847" s="19"/>
    </row>
    <row r="848" ht="14.25" customHeight="1">
      <c r="J848" s="18"/>
      <c r="K848" s="19"/>
    </row>
    <row r="849" ht="14.25" customHeight="1">
      <c r="J849" s="18"/>
      <c r="K849" s="19"/>
    </row>
    <row r="850" ht="14.25" customHeight="1">
      <c r="J850" s="18"/>
      <c r="K850" s="19"/>
    </row>
    <row r="851" ht="14.25" customHeight="1">
      <c r="J851" s="18"/>
      <c r="K851" s="19"/>
    </row>
    <row r="852" ht="14.25" customHeight="1">
      <c r="J852" s="18"/>
      <c r="K852" s="19"/>
    </row>
    <row r="853" ht="14.25" customHeight="1">
      <c r="J853" s="18"/>
      <c r="K853" s="19"/>
    </row>
    <row r="854" ht="14.25" customHeight="1">
      <c r="J854" s="18"/>
      <c r="K854" s="19"/>
    </row>
    <row r="855" ht="14.25" customHeight="1">
      <c r="J855" s="18"/>
      <c r="K855" s="19"/>
    </row>
    <row r="856" ht="14.25" customHeight="1">
      <c r="J856" s="18"/>
      <c r="K856" s="19"/>
    </row>
    <row r="857" ht="14.25" customHeight="1">
      <c r="J857" s="18"/>
      <c r="K857" s="19"/>
    </row>
    <row r="858" ht="14.25" customHeight="1">
      <c r="J858" s="18"/>
      <c r="K858" s="19"/>
    </row>
    <row r="859" ht="14.25" customHeight="1">
      <c r="J859" s="18"/>
      <c r="K859" s="19"/>
    </row>
    <row r="860" ht="14.25" customHeight="1">
      <c r="J860" s="18"/>
      <c r="K860" s="19"/>
    </row>
    <row r="861" ht="14.25" customHeight="1">
      <c r="J861" s="18"/>
      <c r="K861" s="19"/>
    </row>
    <row r="862" ht="14.25" customHeight="1">
      <c r="J862" s="18"/>
      <c r="K862" s="19"/>
    </row>
    <row r="863" ht="14.25" customHeight="1">
      <c r="J863" s="18"/>
      <c r="K863" s="19"/>
    </row>
    <row r="864" ht="14.25" customHeight="1">
      <c r="J864" s="18"/>
      <c r="K864" s="19"/>
    </row>
    <row r="865" ht="14.25" customHeight="1">
      <c r="J865" s="18"/>
      <c r="K865" s="19"/>
    </row>
    <row r="866" ht="14.25" customHeight="1">
      <c r="J866" s="18"/>
      <c r="K866" s="19"/>
    </row>
    <row r="867" ht="14.25" customHeight="1">
      <c r="J867" s="18"/>
      <c r="K867" s="19"/>
    </row>
    <row r="868" ht="14.25" customHeight="1">
      <c r="J868" s="18"/>
      <c r="K868" s="19"/>
    </row>
    <row r="869" ht="14.25" customHeight="1">
      <c r="J869" s="18"/>
      <c r="K869" s="19"/>
    </row>
    <row r="870" ht="14.25" customHeight="1">
      <c r="J870" s="18"/>
      <c r="K870" s="19"/>
    </row>
    <row r="871" ht="14.25" customHeight="1">
      <c r="J871" s="18"/>
      <c r="K871" s="19"/>
    </row>
    <row r="872" ht="14.25" customHeight="1">
      <c r="J872" s="18"/>
      <c r="K872" s="19"/>
    </row>
    <row r="873" ht="14.25" customHeight="1">
      <c r="J873" s="18"/>
      <c r="K873" s="19"/>
    </row>
    <row r="874" ht="14.25" customHeight="1">
      <c r="J874" s="18"/>
      <c r="K874" s="19"/>
    </row>
    <row r="875" ht="14.25" customHeight="1">
      <c r="J875" s="18"/>
      <c r="K875" s="19"/>
    </row>
    <row r="876" ht="14.25" customHeight="1">
      <c r="J876" s="18"/>
      <c r="K876" s="19"/>
    </row>
    <row r="877" ht="14.25" customHeight="1">
      <c r="J877" s="18"/>
      <c r="K877" s="19"/>
    </row>
    <row r="878" ht="14.25" customHeight="1">
      <c r="J878" s="18"/>
      <c r="K878" s="19"/>
    </row>
    <row r="879" ht="14.25" customHeight="1">
      <c r="J879" s="18"/>
      <c r="K879" s="19"/>
    </row>
    <row r="880" ht="14.25" customHeight="1">
      <c r="J880" s="18"/>
      <c r="K880" s="19"/>
    </row>
    <row r="881" ht="14.25" customHeight="1">
      <c r="J881" s="18"/>
      <c r="K881" s="19"/>
    </row>
    <row r="882" ht="14.25" customHeight="1">
      <c r="J882" s="18"/>
      <c r="K882" s="19"/>
    </row>
    <row r="883" ht="14.25" customHeight="1">
      <c r="J883" s="18"/>
      <c r="K883" s="19"/>
    </row>
    <row r="884" ht="14.25" customHeight="1">
      <c r="J884" s="18"/>
      <c r="K884" s="19"/>
    </row>
    <row r="885" ht="14.25" customHeight="1">
      <c r="J885" s="18"/>
      <c r="K885" s="19"/>
    </row>
    <row r="886" ht="14.25" customHeight="1">
      <c r="J886" s="18"/>
      <c r="K886" s="19"/>
    </row>
    <row r="887" ht="14.25" customHeight="1">
      <c r="J887" s="18"/>
      <c r="K887" s="19"/>
    </row>
    <row r="888" ht="14.25" customHeight="1">
      <c r="J888" s="18"/>
      <c r="K888" s="19"/>
    </row>
    <row r="889" ht="14.25" customHeight="1">
      <c r="J889" s="18"/>
      <c r="K889" s="19"/>
    </row>
    <row r="890" ht="14.25" customHeight="1">
      <c r="J890" s="18"/>
      <c r="K890" s="19"/>
    </row>
    <row r="891" ht="14.25" customHeight="1">
      <c r="J891" s="18"/>
      <c r="K891" s="19"/>
    </row>
    <row r="892" ht="14.25" customHeight="1">
      <c r="J892" s="18"/>
      <c r="K892" s="19"/>
    </row>
    <row r="893" ht="14.25" customHeight="1">
      <c r="J893" s="18"/>
      <c r="K893" s="19"/>
    </row>
    <row r="894" ht="14.25" customHeight="1">
      <c r="J894" s="18"/>
      <c r="K894" s="19"/>
    </row>
    <row r="895" ht="14.25" customHeight="1">
      <c r="J895" s="18"/>
      <c r="K895" s="19"/>
    </row>
    <row r="896" ht="14.25" customHeight="1">
      <c r="J896" s="18"/>
      <c r="K896" s="19"/>
    </row>
    <row r="897" ht="14.25" customHeight="1">
      <c r="J897" s="18"/>
      <c r="K897" s="19"/>
    </row>
    <row r="898" ht="14.25" customHeight="1">
      <c r="J898" s="18"/>
      <c r="K898" s="19"/>
    </row>
    <row r="899" ht="14.25" customHeight="1">
      <c r="J899" s="18"/>
      <c r="K899" s="19"/>
    </row>
    <row r="900" ht="14.25" customHeight="1">
      <c r="J900" s="18"/>
      <c r="K900" s="19"/>
    </row>
    <row r="901" ht="14.25" customHeight="1">
      <c r="J901" s="18"/>
      <c r="K901" s="19"/>
    </row>
    <row r="902" ht="14.25" customHeight="1">
      <c r="J902" s="18"/>
      <c r="K902" s="19"/>
    </row>
    <row r="903" ht="14.25" customHeight="1">
      <c r="J903" s="18"/>
      <c r="K903" s="19"/>
    </row>
    <row r="904" ht="14.25" customHeight="1">
      <c r="J904" s="18"/>
      <c r="K904" s="19"/>
    </row>
    <row r="905" ht="14.25" customHeight="1">
      <c r="J905" s="18"/>
      <c r="K905" s="19"/>
    </row>
    <row r="906" ht="14.25" customHeight="1">
      <c r="J906" s="18"/>
      <c r="K906" s="19"/>
    </row>
    <row r="907" ht="14.25" customHeight="1">
      <c r="J907" s="18"/>
      <c r="K907" s="19"/>
    </row>
    <row r="908" ht="14.25" customHeight="1">
      <c r="J908" s="18"/>
      <c r="K908" s="19"/>
    </row>
    <row r="909" ht="14.25" customHeight="1">
      <c r="J909" s="18"/>
      <c r="K909" s="19"/>
    </row>
    <row r="910" ht="14.25" customHeight="1">
      <c r="J910" s="18"/>
      <c r="K910" s="19"/>
    </row>
    <row r="911" ht="14.25" customHeight="1">
      <c r="J911" s="18"/>
      <c r="K911" s="19"/>
    </row>
    <row r="912" ht="14.25" customHeight="1">
      <c r="J912" s="18"/>
      <c r="K912" s="19"/>
    </row>
    <row r="913" ht="14.25" customHeight="1">
      <c r="J913" s="18"/>
      <c r="K913" s="19"/>
    </row>
    <row r="914" ht="14.25" customHeight="1">
      <c r="J914" s="18"/>
      <c r="K914" s="19"/>
    </row>
    <row r="915" ht="14.25" customHeight="1">
      <c r="J915" s="18"/>
      <c r="K915" s="19"/>
    </row>
    <row r="916" ht="14.25" customHeight="1">
      <c r="J916" s="18"/>
      <c r="K916" s="19"/>
    </row>
    <row r="917" ht="14.25" customHeight="1">
      <c r="J917" s="18"/>
      <c r="K917" s="19"/>
    </row>
    <row r="918" ht="14.25" customHeight="1">
      <c r="J918" s="18"/>
      <c r="K918" s="19"/>
    </row>
    <row r="919" ht="14.25" customHeight="1">
      <c r="J919" s="18"/>
      <c r="K919" s="19"/>
    </row>
    <row r="920" ht="14.25" customHeight="1">
      <c r="J920" s="18"/>
      <c r="K920" s="19"/>
    </row>
    <row r="921" ht="14.25" customHeight="1">
      <c r="J921" s="18"/>
      <c r="K921" s="19"/>
    </row>
    <row r="922" ht="14.25" customHeight="1">
      <c r="J922" s="18"/>
      <c r="K922" s="19"/>
    </row>
    <row r="923" ht="14.25" customHeight="1">
      <c r="J923" s="18"/>
      <c r="K923" s="19"/>
    </row>
    <row r="924" ht="14.25" customHeight="1">
      <c r="J924" s="18"/>
      <c r="K924" s="19"/>
    </row>
    <row r="925" ht="14.25" customHeight="1">
      <c r="J925" s="18"/>
      <c r="K925" s="19"/>
    </row>
    <row r="926" ht="14.25" customHeight="1">
      <c r="J926" s="18"/>
      <c r="K926" s="19"/>
    </row>
    <row r="927" ht="14.25" customHeight="1">
      <c r="J927" s="18"/>
      <c r="K927" s="19"/>
    </row>
    <row r="928" ht="14.25" customHeight="1">
      <c r="J928" s="18"/>
      <c r="K928" s="19"/>
    </row>
    <row r="929" ht="14.25" customHeight="1">
      <c r="J929" s="18"/>
      <c r="K929" s="19"/>
    </row>
    <row r="930" ht="14.25" customHeight="1">
      <c r="J930" s="18"/>
      <c r="K930" s="19"/>
    </row>
    <row r="931" ht="14.25" customHeight="1">
      <c r="J931" s="18"/>
      <c r="K931" s="19"/>
    </row>
    <row r="932" ht="14.25" customHeight="1">
      <c r="J932" s="18"/>
      <c r="K932" s="19"/>
    </row>
    <row r="933" ht="14.25" customHeight="1">
      <c r="J933" s="18"/>
      <c r="K933" s="19"/>
    </row>
    <row r="934" ht="14.25" customHeight="1">
      <c r="J934" s="18"/>
      <c r="K934" s="19"/>
    </row>
    <row r="935" ht="14.25" customHeight="1">
      <c r="J935" s="18"/>
      <c r="K935" s="19"/>
    </row>
    <row r="936" ht="14.25" customHeight="1">
      <c r="J936" s="18"/>
      <c r="K936" s="19"/>
    </row>
    <row r="937" ht="14.25" customHeight="1">
      <c r="J937" s="18"/>
      <c r="K937" s="19"/>
    </row>
    <row r="938" ht="14.25" customHeight="1">
      <c r="J938" s="18"/>
      <c r="K938" s="19"/>
    </row>
    <row r="939" ht="14.25" customHeight="1">
      <c r="J939" s="18"/>
      <c r="K939" s="19"/>
    </row>
    <row r="940" ht="14.25" customHeight="1">
      <c r="J940" s="18"/>
      <c r="K940" s="19"/>
    </row>
    <row r="941" ht="14.25" customHeight="1">
      <c r="J941" s="18"/>
      <c r="K941" s="19"/>
    </row>
    <row r="942" ht="14.25" customHeight="1">
      <c r="J942" s="18"/>
      <c r="K942" s="19"/>
    </row>
    <row r="943" ht="14.25" customHeight="1">
      <c r="J943" s="18"/>
      <c r="K943" s="19"/>
    </row>
    <row r="944" ht="14.25" customHeight="1">
      <c r="J944" s="18"/>
      <c r="K944" s="19"/>
    </row>
    <row r="945" ht="14.25" customHeight="1">
      <c r="J945" s="18"/>
      <c r="K945" s="19"/>
    </row>
    <row r="946" ht="14.25" customHeight="1">
      <c r="J946" s="18"/>
      <c r="K946" s="19"/>
    </row>
    <row r="947" ht="14.25" customHeight="1">
      <c r="J947" s="18"/>
      <c r="K947" s="19"/>
    </row>
    <row r="948" ht="14.25" customHeight="1">
      <c r="J948" s="18"/>
      <c r="K948" s="19"/>
    </row>
    <row r="949" ht="14.25" customHeight="1">
      <c r="J949" s="18"/>
      <c r="K949" s="19"/>
    </row>
    <row r="950" ht="14.25" customHeight="1">
      <c r="J950" s="18"/>
      <c r="K950" s="19"/>
    </row>
    <row r="951" ht="14.25" customHeight="1">
      <c r="J951" s="18"/>
      <c r="K951" s="19"/>
    </row>
    <row r="952" ht="14.25" customHeight="1">
      <c r="J952" s="18"/>
      <c r="K952" s="19"/>
    </row>
    <row r="953" ht="14.25" customHeight="1">
      <c r="J953" s="18"/>
      <c r="K953" s="19"/>
    </row>
    <row r="954" ht="14.25" customHeight="1">
      <c r="J954" s="18"/>
      <c r="K954" s="19"/>
    </row>
    <row r="955" ht="14.25" customHeight="1">
      <c r="J955" s="18"/>
      <c r="K955" s="19"/>
    </row>
    <row r="956" ht="14.25" customHeight="1">
      <c r="J956" s="18"/>
      <c r="K956" s="19"/>
    </row>
    <row r="957" ht="14.25" customHeight="1">
      <c r="J957" s="18"/>
      <c r="K957" s="19"/>
    </row>
    <row r="958" ht="14.25" customHeight="1">
      <c r="J958" s="18"/>
      <c r="K958" s="19"/>
    </row>
    <row r="959" ht="14.25" customHeight="1">
      <c r="J959" s="18"/>
      <c r="K959" s="19"/>
    </row>
    <row r="960" ht="14.25" customHeight="1">
      <c r="J960" s="18"/>
      <c r="K960" s="19"/>
    </row>
    <row r="961" ht="14.25" customHeight="1">
      <c r="J961" s="18"/>
      <c r="K961" s="19"/>
    </row>
    <row r="962" ht="14.25" customHeight="1">
      <c r="J962" s="18"/>
      <c r="K962" s="19"/>
    </row>
    <row r="963" ht="14.25" customHeight="1">
      <c r="J963" s="18"/>
      <c r="K963" s="19"/>
    </row>
    <row r="964" ht="14.25" customHeight="1">
      <c r="J964" s="18"/>
      <c r="K964" s="19"/>
    </row>
    <row r="965" ht="14.25" customHeight="1">
      <c r="J965" s="18"/>
      <c r="K965" s="19"/>
    </row>
    <row r="966" ht="14.25" customHeight="1">
      <c r="J966" s="18"/>
      <c r="K966" s="19"/>
    </row>
    <row r="967" ht="14.25" customHeight="1">
      <c r="J967" s="18"/>
      <c r="K967" s="19"/>
    </row>
    <row r="968" ht="14.25" customHeight="1">
      <c r="J968" s="18"/>
      <c r="K968" s="19"/>
    </row>
    <row r="969" ht="14.25" customHeight="1">
      <c r="J969" s="18"/>
      <c r="K969" s="19"/>
    </row>
    <row r="970" ht="14.25" customHeight="1">
      <c r="J970" s="18"/>
      <c r="K970" s="19"/>
    </row>
    <row r="971" ht="14.25" customHeight="1">
      <c r="J971" s="18"/>
      <c r="K971" s="19"/>
    </row>
    <row r="972" ht="14.25" customHeight="1">
      <c r="J972" s="18"/>
      <c r="K972" s="19"/>
    </row>
    <row r="973" ht="14.25" customHeight="1">
      <c r="J973" s="18"/>
      <c r="K973" s="19"/>
    </row>
    <row r="974" ht="14.25" customHeight="1">
      <c r="J974" s="18"/>
      <c r="K974" s="19"/>
    </row>
    <row r="975" ht="14.25" customHeight="1">
      <c r="J975" s="18"/>
      <c r="K975" s="19"/>
    </row>
    <row r="976" ht="14.25" customHeight="1">
      <c r="J976" s="18"/>
      <c r="K976" s="19"/>
    </row>
    <row r="977" ht="14.25" customHeight="1">
      <c r="J977" s="18"/>
      <c r="K977" s="19"/>
    </row>
    <row r="978" ht="14.25" customHeight="1">
      <c r="J978" s="18"/>
      <c r="K978" s="19"/>
    </row>
    <row r="979" ht="14.25" customHeight="1">
      <c r="J979" s="18"/>
      <c r="K979" s="19"/>
    </row>
    <row r="980" ht="14.25" customHeight="1">
      <c r="J980" s="18"/>
      <c r="K980" s="19"/>
    </row>
    <row r="981" ht="14.25" customHeight="1">
      <c r="J981" s="18"/>
      <c r="K981" s="19"/>
    </row>
    <row r="982" ht="14.25" customHeight="1">
      <c r="J982" s="18"/>
      <c r="K982" s="19"/>
    </row>
    <row r="983" ht="14.25" customHeight="1">
      <c r="J983" s="18"/>
      <c r="K983" s="19"/>
    </row>
    <row r="984" ht="14.25" customHeight="1">
      <c r="J984" s="18"/>
      <c r="K984" s="19"/>
    </row>
    <row r="985" ht="14.25" customHeight="1">
      <c r="J985" s="18"/>
      <c r="K985" s="19"/>
    </row>
    <row r="986" ht="14.25" customHeight="1">
      <c r="J986" s="18"/>
      <c r="K986" s="19"/>
    </row>
    <row r="987" ht="14.25" customHeight="1">
      <c r="J987" s="18"/>
      <c r="K987" s="19"/>
    </row>
    <row r="988" ht="14.25" customHeight="1">
      <c r="J988" s="18"/>
      <c r="K988" s="19"/>
    </row>
    <row r="989" ht="14.25" customHeight="1">
      <c r="J989" s="18"/>
      <c r="K989" s="19"/>
    </row>
    <row r="990" ht="14.25" customHeight="1">
      <c r="J990" s="18"/>
      <c r="K990" s="19"/>
    </row>
    <row r="991" ht="14.25" customHeight="1">
      <c r="J991" s="18"/>
      <c r="K991" s="19"/>
    </row>
    <row r="992" ht="14.25" customHeight="1">
      <c r="J992" s="18"/>
      <c r="K992" s="19"/>
    </row>
    <row r="993" ht="14.25" customHeight="1">
      <c r="J993" s="18"/>
      <c r="K993" s="19"/>
    </row>
    <row r="994" ht="14.25" customHeight="1">
      <c r="J994" s="18"/>
      <c r="K994" s="19"/>
    </row>
    <row r="995" ht="14.25" customHeight="1">
      <c r="J995" s="18"/>
      <c r="K995" s="19"/>
    </row>
    <row r="996" ht="14.25" customHeight="1">
      <c r="J996" s="18"/>
      <c r="K996" s="19"/>
    </row>
    <row r="997" ht="14.25" customHeight="1">
      <c r="J997" s="18"/>
      <c r="K997" s="19"/>
    </row>
    <row r="998" ht="14.25" customHeight="1">
      <c r="J998" s="18"/>
      <c r="K998" s="19"/>
    </row>
    <row r="999" ht="14.25" customHeight="1">
      <c r="J999" s="18"/>
      <c r="K999" s="19"/>
    </row>
    <row r="1000" ht="14.25" customHeight="1">
      <c r="J1000" s="18"/>
      <c r="K1000" s="1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8.71"/>
    <col customWidth="1" min="4" max="4" width="14.57"/>
    <col customWidth="1" min="5" max="9" width="8.71"/>
    <col customWidth="1" min="10" max="10" width="15.86"/>
    <col customWidth="1" min="11" max="11" width="17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0" t="s">
        <v>317</v>
      </c>
      <c r="K1" s="21" t="s">
        <v>318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1.0</v>
      </c>
      <c r="G2" s="2">
        <v>9497.0</v>
      </c>
      <c r="H2" s="2" t="s">
        <v>14</v>
      </c>
      <c r="I2" s="2" t="s">
        <v>15</v>
      </c>
      <c r="J2" s="22">
        <f t="shared" ref="J2:J101" si="1">VALUE(RIGHT(A2,3))</f>
        <v>1</v>
      </c>
      <c r="K2" s="23" t="str">
        <f t="shared" ref="K2:K101" si="2">IF(OR(C2="Laptop",C2="Phone",C2="Tablet",C2="Monitor",C2="Keyboard",C2="Mouse",C2="Headphones",C2="Speaker",C2="Smartwatch"),
"Electronics Item",
"Furniture Item"
)</f>
        <v>Electronics Item</v>
      </c>
    </row>
    <row r="3" ht="14.2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1.0</v>
      </c>
      <c r="G3" s="2">
        <v>8232.0</v>
      </c>
      <c r="H3" s="2" t="s">
        <v>21</v>
      </c>
      <c r="I3" s="2" t="s">
        <v>22</v>
      </c>
      <c r="J3" s="22">
        <f t="shared" si="1"/>
        <v>2</v>
      </c>
      <c r="K3" s="23" t="str">
        <f t="shared" si="2"/>
        <v>Electronics Item</v>
      </c>
    </row>
    <row r="4" ht="14.2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1.0</v>
      </c>
      <c r="G4" s="2">
        <v>12436.0</v>
      </c>
      <c r="H4" s="2" t="s">
        <v>14</v>
      </c>
      <c r="I4" s="2" t="s">
        <v>28</v>
      </c>
      <c r="J4" s="22">
        <f t="shared" si="1"/>
        <v>3</v>
      </c>
      <c r="K4" s="23" t="str">
        <f t="shared" si="2"/>
        <v>Electronics Item</v>
      </c>
    </row>
    <row r="5" ht="14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3.0</v>
      </c>
      <c r="G5" s="2">
        <v>38830.0</v>
      </c>
      <c r="H5" s="2" t="s">
        <v>21</v>
      </c>
      <c r="I5" s="2" t="s">
        <v>28</v>
      </c>
      <c r="J5" s="22">
        <f t="shared" si="1"/>
        <v>4</v>
      </c>
      <c r="K5" s="23" t="str">
        <f t="shared" si="2"/>
        <v>Furniture Item</v>
      </c>
    </row>
    <row r="6" ht="14.25" customHeight="1">
      <c r="A6" s="2" t="s">
        <v>34</v>
      </c>
      <c r="B6" s="2" t="s">
        <v>35</v>
      </c>
      <c r="C6" s="2" t="s">
        <v>18</v>
      </c>
      <c r="D6" s="2" t="s">
        <v>36</v>
      </c>
      <c r="E6" s="2" t="s">
        <v>37</v>
      </c>
      <c r="F6" s="2">
        <v>2.0</v>
      </c>
      <c r="G6" s="2">
        <v>7193.0</v>
      </c>
      <c r="H6" s="2" t="s">
        <v>14</v>
      </c>
      <c r="I6" s="2" t="s">
        <v>22</v>
      </c>
      <c r="J6" s="22">
        <f t="shared" si="1"/>
        <v>5</v>
      </c>
      <c r="K6" s="23" t="str">
        <f t="shared" si="2"/>
        <v>Electronics Item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5.0</v>
      </c>
      <c r="G7" s="2">
        <v>36419.0</v>
      </c>
      <c r="H7" s="2" t="s">
        <v>14</v>
      </c>
      <c r="I7" s="2" t="s">
        <v>28</v>
      </c>
      <c r="J7" s="22">
        <f t="shared" si="1"/>
        <v>6</v>
      </c>
      <c r="K7" s="23" t="str">
        <f t="shared" si="2"/>
        <v>Electronics Item</v>
      </c>
    </row>
    <row r="8" ht="14.25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3.0</v>
      </c>
      <c r="G8" s="2">
        <v>6681.0</v>
      </c>
      <c r="H8" s="2" t="s">
        <v>48</v>
      </c>
      <c r="I8" s="2" t="s">
        <v>22</v>
      </c>
      <c r="J8" s="22">
        <f t="shared" si="1"/>
        <v>7</v>
      </c>
      <c r="K8" s="23" t="str">
        <f t="shared" si="2"/>
        <v>Furniture Item</v>
      </c>
    </row>
    <row r="9" ht="14.25" customHeight="1">
      <c r="A9" s="2" t="s">
        <v>49</v>
      </c>
      <c r="B9" s="2" t="s">
        <v>50</v>
      </c>
      <c r="C9" s="2" t="s">
        <v>31</v>
      </c>
      <c r="D9" s="2" t="s">
        <v>51</v>
      </c>
      <c r="E9" s="2" t="s">
        <v>52</v>
      </c>
      <c r="F9" s="2">
        <v>5.0</v>
      </c>
      <c r="G9" s="2">
        <v>59258.0</v>
      </c>
      <c r="H9" s="2" t="s">
        <v>14</v>
      </c>
      <c r="I9" s="2" t="s">
        <v>15</v>
      </c>
      <c r="J9" s="22">
        <f t="shared" si="1"/>
        <v>8</v>
      </c>
      <c r="K9" s="23" t="str">
        <f t="shared" si="2"/>
        <v>Furniture Item</v>
      </c>
    </row>
    <row r="10" ht="14.25" customHeight="1">
      <c r="A10" s="2" t="s">
        <v>53</v>
      </c>
      <c r="B10" s="2" t="s">
        <v>54</v>
      </c>
      <c r="C10" s="2" t="s">
        <v>55</v>
      </c>
      <c r="D10" s="2" t="s">
        <v>33</v>
      </c>
      <c r="E10" s="2" t="s">
        <v>56</v>
      </c>
      <c r="F10" s="2">
        <v>5.0</v>
      </c>
      <c r="G10" s="2">
        <v>53392.0</v>
      </c>
      <c r="H10" s="2" t="s">
        <v>48</v>
      </c>
      <c r="I10" s="2" t="s">
        <v>22</v>
      </c>
      <c r="J10" s="22">
        <f t="shared" si="1"/>
        <v>9</v>
      </c>
      <c r="K10" s="23" t="str">
        <f t="shared" si="2"/>
        <v>Furniture Item</v>
      </c>
    </row>
    <row r="11" ht="14.2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5.0</v>
      </c>
      <c r="G11" s="2">
        <v>52334.0</v>
      </c>
      <c r="H11" s="2" t="s">
        <v>62</v>
      </c>
      <c r="I11" s="2" t="s">
        <v>22</v>
      </c>
      <c r="J11" s="22">
        <f t="shared" si="1"/>
        <v>10</v>
      </c>
      <c r="K11" s="23" t="str">
        <f t="shared" si="2"/>
        <v>Electronics Item</v>
      </c>
    </row>
    <row r="12" ht="14.25" customHeight="1">
      <c r="A12" s="2" t="s">
        <v>63</v>
      </c>
      <c r="B12" s="2" t="s">
        <v>64</v>
      </c>
      <c r="C12" s="2" t="s">
        <v>18</v>
      </c>
      <c r="D12" s="2" t="s">
        <v>46</v>
      </c>
      <c r="E12" s="2" t="s">
        <v>65</v>
      </c>
      <c r="F12" s="2">
        <v>2.0</v>
      </c>
      <c r="G12" s="2">
        <v>50550.0</v>
      </c>
      <c r="H12" s="2" t="s">
        <v>62</v>
      </c>
      <c r="I12" s="2" t="s">
        <v>28</v>
      </c>
      <c r="J12" s="22">
        <f t="shared" si="1"/>
        <v>11</v>
      </c>
      <c r="K12" s="23" t="str">
        <f t="shared" si="2"/>
        <v>Electronics Item</v>
      </c>
    </row>
    <row r="13" ht="14.25" customHeight="1">
      <c r="A13" s="2" t="s">
        <v>66</v>
      </c>
      <c r="B13" s="2" t="s">
        <v>67</v>
      </c>
      <c r="C13" s="2" t="s">
        <v>45</v>
      </c>
      <c r="D13" s="2" t="s">
        <v>68</v>
      </c>
      <c r="E13" s="2" t="s">
        <v>69</v>
      </c>
      <c r="F13" s="2">
        <v>2.0</v>
      </c>
      <c r="G13" s="2">
        <v>69030.0</v>
      </c>
      <c r="H13" s="2" t="s">
        <v>48</v>
      </c>
      <c r="I13" s="2" t="s">
        <v>28</v>
      </c>
      <c r="J13" s="22">
        <f t="shared" si="1"/>
        <v>12</v>
      </c>
      <c r="K13" s="23" t="str">
        <f t="shared" si="2"/>
        <v>Furniture Item</v>
      </c>
    </row>
    <row r="14" ht="14.25" customHeight="1">
      <c r="A14" s="2" t="s">
        <v>70</v>
      </c>
      <c r="B14" s="2" t="s">
        <v>71</v>
      </c>
      <c r="C14" s="2" t="s">
        <v>40</v>
      </c>
      <c r="D14" s="2" t="s">
        <v>72</v>
      </c>
      <c r="E14" s="2" t="s">
        <v>73</v>
      </c>
      <c r="F14" s="2">
        <v>4.0</v>
      </c>
      <c r="G14" s="2">
        <v>50709.0</v>
      </c>
      <c r="H14" s="2" t="s">
        <v>21</v>
      </c>
      <c r="I14" s="2" t="s">
        <v>22</v>
      </c>
      <c r="J14" s="22">
        <f t="shared" si="1"/>
        <v>13</v>
      </c>
      <c r="K14" s="23" t="str">
        <f t="shared" si="2"/>
        <v>Electronics Item</v>
      </c>
    </row>
    <row r="15" ht="14.25" customHeight="1">
      <c r="A15" s="2" t="s">
        <v>74</v>
      </c>
      <c r="B15" s="2" t="s">
        <v>75</v>
      </c>
      <c r="C15" s="2" t="s">
        <v>11</v>
      </c>
      <c r="D15" s="2" t="s">
        <v>76</v>
      </c>
      <c r="E15" s="2" t="s">
        <v>77</v>
      </c>
      <c r="F15" s="2">
        <v>6.0</v>
      </c>
      <c r="G15" s="2">
        <v>48808.0</v>
      </c>
      <c r="H15" s="2" t="s">
        <v>62</v>
      </c>
      <c r="I15" s="2" t="s">
        <v>28</v>
      </c>
      <c r="J15" s="22">
        <f t="shared" si="1"/>
        <v>14</v>
      </c>
      <c r="K15" s="23" t="str">
        <f t="shared" si="2"/>
        <v>Electronics Item</v>
      </c>
    </row>
    <row r="16" ht="14.25" customHeight="1">
      <c r="A16" s="2" t="s">
        <v>78</v>
      </c>
      <c r="B16" s="2" t="s">
        <v>79</v>
      </c>
      <c r="C16" s="2" t="s">
        <v>18</v>
      </c>
      <c r="D16" s="2" t="s">
        <v>80</v>
      </c>
      <c r="E16" s="2" t="s">
        <v>81</v>
      </c>
      <c r="F16" s="2">
        <v>1.0</v>
      </c>
      <c r="G16" s="2">
        <v>65648.0</v>
      </c>
      <c r="H16" s="2" t="s">
        <v>14</v>
      </c>
      <c r="I16" s="2" t="s">
        <v>28</v>
      </c>
      <c r="J16" s="22">
        <f t="shared" si="1"/>
        <v>15</v>
      </c>
      <c r="K16" s="23" t="str">
        <f t="shared" si="2"/>
        <v>Electronics Item</v>
      </c>
    </row>
    <row r="17" ht="14.25" customHeight="1">
      <c r="A17" s="2" t="s">
        <v>82</v>
      </c>
      <c r="B17" s="2" t="s">
        <v>83</v>
      </c>
      <c r="C17" s="2" t="s">
        <v>45</v>
      </c>
      <c r="D17" s="2" t="s">
        <v>32</v>
      </c>
      <c r="E17" s="2" t="s">
        <v>60</v>
      </c>
      <c r="F17" s="2">
        <v>4.0</v>
      </c>
      <c r="G17" s="2">
        <v>3975.0</v>
      </c>
      <c r="H17" s="2" t="s">
        <v>48</v>
      </c>
      <c r="I17" s="2" t="s">
        <v>22</v>
      </c>
      <c r="J17" s="22">
        <f t="shared" si="1"/>
        <v>16</v>
      </c>
      <c r="K17" s="23" t="str">
        <f t="shared" si="2"/>
        <v>Furniture Item</v>
      </c>
    </row>
    <row r="18" ht="14.25" customHeight="1">
      <c r="A18" s="2" t="s">
        <v>84</v>
      </c>
      <c r="B18" s="2" t="s">
        <v>85</v>
      </c>
      <c r="C18" s="2" t="s">
        <v>86</v>
      </c>
      <c r="D18" s="2" t="s">
        <v>19</v>
      </c>
      <c r="E18" s="2" t="s">
        <v>72</v>
      </c>
      <c r="F18" s="2">
        <v>4.0</v>
      </c>
      <c r="G18" s="2">
        <v>56724.0</v>
      </c>
      <c r="H18" s="2" t="s">
        <v>62</v>
      </c>
      <c r="I18" s="2" t="s">
        <v>28</v>
      </c>
      <c r="J18" s="22">
        <f t="shared" si="1"/>
        <v>17</v>
      </c>
      <c r="K18" s="23" t="str">
        <f t="shared" si="2"/>
        <v>Furniture Item</v>
      </c>
    </row>
    <row r="19" ht="14.25" customHeight="1">
      <c r="A19" s="2" t="s">
        <v>87</v>
      </c>
      <c r="B19" s="2" t="s">
        <v>88</v>
      </c>
      <c r="C19" s="2" t="s">
        <v>86</v>
      </c>
      <c r="D19" s="2" t="s">
        <v>80</v>
      </c>
      <c r="E19" s="2" t="s">
        <v>89</v>
      </c>
      <c r="F19" s="2">
        <v>2.0</v>
      </c>
      <c r="G19" s="2">
        <v>42861.0</v>
      </c>
      <c r="H19" s="2" t="s">
        <v>14</v>
      </c>
      <c r="I19" s="2" t="s">
        <v>22</v>
      </c>
      <c r="J19" s="22">
        <f t="shared" si="1"/>
        <v>18</v>
      </c>
      <c r="K19" s="23" t="str">
        <f t="shared" si="2"/>
        <v>Furniture Item</v>
      </c>
    </row>
    <row r="20" ht="14.25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2.0</v>
      </c>
      <c r="G20" s="2">
        <v>47994.0</v>
      </c>
      <c r="H20" s="2" t="s">
        <v>48</v>
      </c>
      <c r="I20" s="2" t="s">
        <v>22</v>
      </c>
      <c r="J20" s="22">
        <f t="shared" si="1"/>
        <v>19</v>
      </c>
      <c r="K20" s="23" t="str">
        <f t="shared" si="2"/>
        <v>Electronics Item</v>
      </c>
    </row>
    <row r="21" ht="14.25" customHeight="1">
      <c r="A21" s="2" t="s">
        <v>95</v>
      </c>
      <c r="B21" s="2" t="s">
        <v>96</v>
      </c>
      <c r="C21" s="2" t="s">
        <v>97</v>
      </c>
      <c r="D21" s="2" t="s">
        <v>41</v>
      </c>
      <c r="E21" s="2" t="s">
        <v>98</v>
      </c>
      <c r="F21" s="2">
        <v>4.0</v>
      </c>
      <c r="G21" s="2">
        <v>31475.0</v>
      </c>
      <c r="H21" s="2" t="s">
        <v>21</v>
      </c>
      <c r="I21" s="2" t="s">
        <v>22</v>
      </c>
      <c r="J21" s="22">
        <f t="shared" si="1"/>
        <v>20</v>
      </c>
      <c r="K21" s="23" t="str">
        <f t="shared" si="2"/>
        <v>Furniture Item</v>
      </c>
    </row>
    <row r="22" ht="14.25" customHeight="1">
      <c r="A22" s="2" t="s">
        <v>99</v>
      </c>
      <c r="B22" s="2" t="s">
        <v>100</v>
      </c>
      <c r="C22" s="2" t="s">
        <v>55</v>
      </c>
      <c r="D22" s="2" t="s">
        <v>101</v>
      </c>
      <c r="E22" s="2" t="s">
        <v>33</v>
      </c>
      <c r="F22" s="2">
        <v>3.0</v>
      </c>
      <c r="G22" s="2">
        <v>40383.0</v>
      </c>
      <c r="H22" s="2" t="s">
        <v>62</v>
      </c>
      <c r="I22" s="2" t="s">
        <v>28</v>
      </c>
      <c r="J22" s="22">
        <f t="shared" si="1"/>
        <v>21</v>
      </c>
      <c r="K22" s="23" t="str">
        <f t="shared" si="2"/>
        <v>Furniture Item</v>
      </c>
    </row>
    <row r="23" ht="14.25" customHeight="1">
      <c r="A23" s="2" t="s">
        <v>102</v>
      </c>
      <c r="B23" s="2" t="s">
        <v>103</v>
      </c>
      <c r="C23" s="2" t="s">
        <v>18</v>
      </c>
      <c r="D23" s="2" t="s">
        <v>104</v>
      </c>
      <c r="E23" s="2" t="s">
        <v>105</v>
      </c>
      <c r="F23" s="2">
        <v>1.0</v>
      </c>
      <c r="G23" s="2">
        <v>20536.0</v>
      </c>
      <c r="H23" s="2" t="s">
        <v>62</v>
      </c>
      <c r="I23" s="2" t="s">
        <v>28</v>
      </c>
      <c r="J23" s="22">
        <f t="shared" si="1"/>
        <v>22</v>
      </c>
      <c r="K23" s="23" t="str">
        <f t="shared" si="2"/>
        <v>Electronics Item</v>
      </c>
    </row>
    <row r="24" ht="14.25" customHeight="1">
      <c r="A24" s="2" t="s">
        <v>106</v>
      </c>
      <c r="B24" s="2" t="s">
        <v>107</v>
      </c>
      <c r="C24" s="2" t="s">
        <v>31</v>
      </c>
      <c r="D24" s="2" t="s">
        <v>108</v>
      </c>
      <c r="E24" s="2" t="s">
        <v>36</v>
      </c>
      <c r="F24" s="2">
        <v>1.0</v>
      </c>
      <c r="G24" s="2">
        <v>30227.0</v>
      </c>
      <c r="H24" s="2" t="s">
        <v>21</v>
      </c>
      <c r="I24" s="2" t="s">
        <v>22</v>
      </c>
      <c r="J24" s="22">
        <f t="shared" si="1"/>
        <v>23</v>
      </c>
      <c r="K24" s="23" t="str">
        <f t="shared" si="2"/>
        <v>Furniture Item</v>
      </c>
    </row>
    <row r="25" ht="14.25" customHeight="1">
      <c r="A25" s="2" t="s">
        <v>109</v>
      </c>
      <c r="B25" s="2" t="s">
        <v>110</v>
      </c>
      <c r="C25" s="2" t="s">
        <v>40</v>
      </c>
      <c r="D25" s="2" t="s">
        <v>93</v>
      </c>
      <c r="E25" s="2" t="s">
        <v>111</v>
      </c>
      <c r="F25" s="2">
        <v>3.0</v>
      </c>
      <c r="G25" s="2">
        <v>27921.0</v>
      </c>
      <c r="H25" s="2" t="s">
        <v>21</v>
      </c>
      <c r="I25" s="2" t="s">
        <v>28</v>
      </c>
      <c r="J25" s="22">
        <f t="shared" si="1"/>
        <v>24</v>
      </c>
      <c r="K25" s="23" t="str">
        <f t="shared" si="2"/>
        <v>Electronics Item</v>
      </c>
    </row>
    <row r="26" ht="14.25" customHeight="1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20</v>
      </c>
      <c r="F26" s="2">
        <v>1.0</v>
      </c>
      <c r="G26" s="2">
        <v>61599.0</v>
      </c>
      <c r="H26" s="2" t="s">
        <v>48</v>
      </c>
      <c r="I26" s="2" t="s">
        <v>28</v>
      </c>
      <c r="J26" s="22">
        <f t="shared" si="1"/>
        <v>25</v>
      </c>
      <c r="K26" s="23" t="str">
        <f t="shared" si="2"/>
        <v>Furniture Item</v>
      </c>
    </row>
    <row r="27" ht="14.25" customHeight="1">
      <c r="A27" s="2" t="s">
        <v>116</v>
      </c>
      <c r="B27" s="2" t="s">
        <v>117</v>
      </c>
      <c r="C27" s="2" t="s">
        <v>55</v>
      </c>
      <c r="D27" s="2" t="s">
        <v>118</v>
      </c>
      <c r="E27" s="2" t="s">
        <v>93</v>
      </c>
      <c r="F27" s="2">
        <v>1.0</v>
      </c>
      <c r="G27" s="2">
        <v>37877.0</v>
      </c>
      <c r="H27" s="2" t="s">
        <v>21</v>
      </c>
      <c r="I27" s="2" t="s">
        <v>28</v>
      </c>
      <c r="J27" s="22">
        <f t="shared" si="1"/>
        <v>26</v>
      </c>
      <c r="K27" s="23" t="str">
        <f t="shared" si="2"/>
        <v>Furniture Item</v>
      </c>
    </row>
    <row r="28" ht="14.25" customHeight="1">
      <c r="A28" s="2" t="s">
        <v>119</v>
      </c>
      <c r="B28" s="2" t="s">
        <v>120</v>
      </c>
      <c r="C28" s="2" t="s">
        <v>86</v>
      </c>
      <c r="D28" s="2" t="s">
        <v>32</v>
      </c>
      <c r="E28" s="2" t="s">
        <v>20</v>
      </c>
      <c r="F28" s="2">
        <v>1.0</v>
      </c>
      <c r="G28" s="2">
        <v>4350.0</v>
      </c>
      <c r="H28" s="2" t="s">
        <v>62</v>
      </c>
      <c r="I28" s="2" t="s">
        <v>28</v>
      </c>
      <c r="J28" s="22">
        <f t="shared" si="1"/>
        <v>27</v>
      </c>
      <c r="K28" s="23" t="str">
        <f t="shared" si="2"/>
        <v>Furniture Item</v>
      </c>
    </row>
    <row r="29" ht="14.25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56</v>
      </c>
      <c r="F29" s="2">
        <v>5.0</v>
      </c>
      <c r="G29" s="2">
        <v>11087.0</v>
      </c>
      <c r="H29" s="2" t="s">
        <v>48</v>
      </c>
      <c r="I29" s="2" t="s">
        <v>22</v>
      </c>
      <c r="J29" s="22">
        <f t="shared" si="1"/>
        <v>28</v>
      </c>
      <c r="K29" s="23" t="str">
        <f t="shared" si="2"/>
        <v>Electronics Item</v>
      </c>
    </row>
    <row r="30" ht="14.25" customHeight="1">
      <c r="A30" s="2" t="s">
        <v>125</v>
      </c>
      <c r="B30" s="2" t="s">
        <v>126</v>
      </c>
      <c r="C30" s="2" t="s">
        <v>11</v>
      </c>
      <c r="D30" s="2" t="s">
        <v>127</v>
      </c>
      <c r="E30" s="2" t="s">
        <v>37</v>
      </c>
      <c r="F30" s="2">
        <v>2.0</v>
      </c>
      <c r="G30" s="2">
        <v>64892.0</v>
      </c>
      <c r="H30" s="2" t="s">
        <v>21</v>
      </c>
      <c r="I30" s="2" t="s">
        <v>28</v>
      </c>
      <c r="J30" s="22">
        <f t="shared" si="1"/>
        <v>29</v>
      </c>
      <c r="K30" s="23" t="str">
        <f t="shared" si="2"/>
        <v>Electronics Item</v>
      </c>
    </row>
    <row r="31" ht="14.25" customHeight="1">
      <c r="A31" s="2" t="s">
        <v>128</v>
      </c>
      <c r="B31" s="2" t="s">
        <v>129</v>
      </c>
      <c r="C31" s="2" t="s">
        <v>123</v>
      </c>
      <c r="D31" s="2" t="s">
        <v>130</v>
      </c>
      <c r="E31" s="2" t="s">
        <v>20</v>
      </c>
      <c r="F31" s="2">
        <v>5.0</v>
      </c>
      <c r="G31" s="2">
        <v>65773.0</v>
      </c>
      <c r="H31" s="2" t="s">
        <v>21</v>
      </c>
      <c r="I31" s="2" t="s">
        <v>28</v>
      </c>
      <c r="J31" s="22">
        <f t="shared" si="1"/>
        <v>30</v>
      </c>
      <c r="K31" s="23" t="str">
        <f t="shared" si="2"/>
        <v>Electronics Item</v>
      </c>
    </row>
    <row r="32" ht="14.25" customHeight="1">
      <c r="A32" s="2" t="s">
        <v>131</v>
      </c>
      <c r="B32" s="2" t="s">
        <v>132</v>
      </c>
      <c r="C32" s="2" t="s">
        <v>97</v>
      </c>
      <c r="D32" s="2" t="s">
        <v>133</v>
      </c>
      <c r="E32" s="2" t="s">
        <v>134</v>
      </c>
      <c r="F32" s="2">
        <v>5.0</v>
      </c>
      <c r="G32" s="2">
        <v>67693.0</v>
      </c>
      <c r="H32" s="2" t="s">
        <v>21</v>
      </c>
      <c r="I32" s="2" t="s">
        <v>15</v>
      </c>
      <c r="J32" s="22">
        <f t="shared" si="1"/>
        <v>31</v>
      </c>
      <c r="K32" s="23" t="str">
        <f t="shared" si="2"/>
        <v>Furniture Item</v>
      </c>
    </row>
    <row r="33" ht="14.25" customHeight="1">
      <c r="A33" s="2" t="s">
        <v>135</v>
      </c>
      <c r="B33" s="2" t="s">
        <v>136</v>
      </c>
      <c r="C33" s="2" t="s">
        <v>86</v>
      </c>
      <c r="D33" s="2" t="s">
        <v>137</v>
      </c>
      <c r="E33" s="2" t="s">
        <v>138</v>
      </c>
      <c r="F33" s="2">
        <v>4.0</v>
      </c>
      <c r="G33" s="2">
        <v>26320.0</v>
      </c>
      <c r="H33" s="2" t="s">
        <v>14</v>
      </c>
      <c r="I33" s="2" t="s">
        <v>28</v>
      </c>
      <c r="J33" s="22">
        <f t="shared" si="1"/>
        <v>32</v>
      </c>
      <c r="K33" s="23" t="str">
        <f t="shared" si="2"/>
        <v>Furniture Item</v>
      </c>
    </row>
    <row r="34" ht="14.25" customHeight="1">
      <c r="A34" s="2" t="s">
        <v>139</v>
      </c>
      <c r="B34" s="2" t="s">
        <v>140</v>
      </c>
      <c r="C34" s="2" t="s">
        <v>86</v>
      </c>
      <c r="D34" s="2" t="s">
        <v>36</v>
      </c>
      <c r="E34" s="2" t="s">
        <v>111</v>
      </c>
      <c r="F34" s="2">
        <v>1.0</v>
      </c>
      <c r="G34" s="2">
        <v>42926.0</v>
      </c>
      <c r="H34" s="2" t="s">
        <v>14</v>
      </c>
      <c r="I34" s="2" t="s">
        <v>22</v>
      </c>
      <c r="J34" s="22">
        <f t="shared" si="1"/>
        <v>33</v>
      </c>
      <c r="K34" s="23" t="str">
        <f t="shared" si="2"/>
        <v>Furniture Item</v>
      </c>
    </row>
    <row r="35" ht="14.25" customHeight="1">
      <c r="A35" s="2" t="s">
        <v>141</v>
      </c>
      <c r="B35" s="2" t="s">
        <v>142</v>
      </c>
      <c r="C35" s="2" t="s">
        <v>92</v>
      </c>
      <c r="D35" s="2" t="s">
        <v>93</v>
      </c>
      <c r="E35" s="2" t="s">
        <v>143</v>
      </c>
      <c r="F35" s="2">
        <v>1.0</v>
      </c>
      <c r="G35" s="2">
        <v>22275.0</v>
      </c>
      <c r="H35" s="2" t="s">
        <v>62</v>
      </c>
      <c r="I35" s="2" t="s">
        <v>15</v>
      </c>
      <c r="J35" s="22">
        <f t="shared" si="1"/>
        <v>34</v>
      </c>
      <c r="K35" s="23" t="str">
        <f t="shared" si="2"/>
        <v>Electronics Item</v>
      </c>
    </row>
    <row r="36" ht="14.25" customHeight="1">
      <c r="A36" s="2" t="s">
        <v>144</v>
      </c>
      <c r="B36" s="2" t="s">
        <v>145</v>
      </c>
      <c r="C36" s="2" t="s">
        <v>25</v>
      </c>
      <c r="D36" s="2" t="s">
        <v>12</v>
      </c>
      <c r="E36" s="2" t="s">
        <v>101</v>
      </c>
      <c r="F36" s="2">
        <v>2.0</v>
      </c>
      <c r="G36" s="2">
        <v>60279.0</v>
      </c>
      <c r="H36" s="2" t="s">
        <v>62</v>
      </c>
      <c r="I36" s="2" t="s">
        <v>22</v>
      </c>
      <c r="J36" s="22">
        <f t="shared" si="1"/>
        <v>35</v>
      </c>
      <c r="K36" s="23" t="str">
        <f t="shared" si="2"/>
        <v>Electronics Item</v>
      </c>
    </row>
    <row r="37" ht="14.25" customHeight="1">
      <c r="A37" s="2" t="s">
        <v>146</v>
      </c>
      <c r="B37" s="2" t="s">
        <v>147</v>
      </c>
      <c r="C37" s="2" t="s">
        <v>11</v>
      </c>
      <c r="D37" s="2" t="s">
        <v>37</v>
      </c>
      <c r="E37" s="2" t="s">
        <v>148</v>
      </c>
      <c r="F37" s="2">
        <v>2.0</v>
      </c>
      <c r="G37" s="2">
        <v>28865.0</v>
      </c>
      <c r="H37" s="2" t="s">
        <v>62</v>
      </c>
      <c r="I37" s="2" t="s">
        <v>28</v>
      </c>
      <c r="J37" s="22">
        <f t="shared" si="1"/>
        <v>36</v>
      </c>
      <c r="K37" s="23" t="str">
        <f t="shared" si="2"/>
        <v>Electronics Item</v>
      </c>
    </row>
    <row r="38" ht="14.25" customHeight="1">
      <c r="A38" s="2" t="s">
        <v>149</v>
      </c>
      <c r="B38" s="2" t="s">
        <v>150</v>
      </c>
      <c r="C38" s="2" t="s">
        <v>31</v>
      </c>
      <c r="D38" s="2" t="s">
        <v>56</v>
      </c>
      <c r="E38" s="2" t="s">
        <v>151</v>
      </c>
      <c r="F38" s="2">
        <v>1.0</v>
      </c>
      <c r="G38" s="2">
        <v>21221.0</v>
      </c>
      <c r="H38" s="2" t="s">
        <v>21</v>
      </c>
      <c r="I38" s="2" t="s">
        <v>28</v>
      </c>
      <c r="J38" s="22">
        <f t="shared" si="1"/>
        <v>37</v>
      </c>
      <c r="K38" s="23" t="str">
        <f t="shared" si="2"/>
        <v>Furniture Item</v>
      </c>
    </row>
    <row r="39" ht="14.25" customHeight="1">
      <c r="A39" s="2" t="s">
        <v>152</v>
      </c>
      <c r="B39" s="2" t="s">
        <v>153</v>
      </c>
      <c r="C39" s="2" t="s">
        <v>123</v>
      </c>
      <c r="D39" s="2" t="s">
        <v>61</v>
      </c>
      <c r="E39" s="2" t="s">
        <v>118</v>
      </c>
      <c r="F39" s="2">
        <v>5.0</v>
      </c>
      <c r="G39" s="2">
        <v>55559.0</v>
      </c>
      <c r="H39" s="2" t="s">
        <v>14</v>
      </c>
      <c r="I39" s="2" t="s">
        <v>28</v>
      </c>
      <c r="J39" s="22">
        <f t="shared" si="1"/>
        <v>38</v>
      </c>
      <c r="K39" s="23" t="str">
        <f t="shared" si="2"/>
        <v>Electronics Item</v>
      </c>
    </row>
    <row r="40" ht="14.25" customHeight="1">
      <c r="A40" s="2" t="s">
        <v>154</v>
      </c>
      <c r="B40" s="2" t="s">
        <v>155</v>
      </c>
      <c r="C40" s="2" t="s">
        <v>97</v>
      </c>
      <c r="D40" s="2" t="s">
        <v>156</v>
      </c>
      <c r="E40" s="2" t="s">
        <v>89</v>
      </c>
      <c r="F40" s="2">
        <v>3.0</v>
      </c>
      <c r="G40" s="2">
        <v>2641.0</v>
      </c>
      <c r="H40" s="2" t="s">
        <v>48</v>
      </c>
      <c r="I40" s="2" t="s">
        <v>22</v>
      </c>
      <c r="J40" s="22">
        <f t="shared" si="1"/>
        <v>39</v>
      </c>
      <c r="K40" s="23" t="str">
        <f t="shared" si="2"/>
        <v>Furniture Item</v>
      </c>
    </row>
    <row r="41" ht="14.25" customHeight="1">
      <c r="A41" s="2" t="s">
        <v>157</v>
      </c>
      <c r="B41" s="2" t="s">
        <v>158</v>
      </c>
      <c r="C41" s="2" t="s">
        <v>86</v>
      </c>
      <c r="D41" s="2" t="s">
        <v>159</v>
      </c>
      <c r="E41" s="2" t="s">
        <v>19</v>
      </c>
      <c r="F41" s="2">
        <v>2.0</v>
      </c>
      <c r="G41" s="2">
        <v>59131.0</v>
      </c>
      <c r="H41" s="2" t="s">
        <v>14</v>
      </c>
      <c r="I41" s="2" t="s">
        <v>22</v>
      </c>
      <c r="J41" s="22">
        <f t="shared" si="1"/>
        <v>40</v>
      </c>
      <c r="K41" s="23" t="str">
        <f t="shared" si="2"/>
        <v>Furniture Item</v>
      </c>
    </row>
    <row r="42" ht="14.25" customHeight="1">
      <c r="A42" s="2" t="s">
        <v>160</v>
      </c>
      <c r="B42" s="2" t="s">
        <v>161</v>
      </c>
      <c r="C42" s="2" t="s">
        <v>114</v>
      </c>
      <c r="D42" s="2" t="s">
        <v>162</v>
      </c>
      <c r="E42" s="2" t="s">
        <v>127</v>
      </c>
      <c r="F42" s="2">
        <v>5.0</v>
      </c>
      <c r="G42" s="2">
        <v>63752.0</v>
      </c>
      <c r="H42" s="2" t="s">
        <v>48</v>
      </c>
      <c r="I42" s="2" t="s">
        <v>28</v>
      </c>
      <c r="J42" s="22">
        <f t="shared" si="1"/>
        <v>41</v>
      </c>
      <c r="K42" s="23" t="str">
        <f t="shared" si="2"/>
        <v>Furniture Item</v>
      </c>
    </row>
    <row r="43" ht="14.25" customHeight="1">
      <c r="A43" s="2" t="s">
        <v>163</v>
      </c>
      <c r="B43" s="2" t="s">
        <v>164</v>
      </c>
      <c r="C43" s="2" t="s">
        <v>55</v>
      </c>
      <c r="D43" s="2" t="s">
        <v>134</v>
      </c>
      <c r="E43" s="2" t="s">
        <v>165</v>
      </c>
      <c r="F43" s="2">
        <v>4.0</v>
      </c>
      <c r="G43" s="2">
        <v>42104.0</v>
      </c>
      <c r="H43" s="2" t="s">
        <v>21</v>
      </c>
      <c r="I43" s="2" t="s">
        <v>22</v>
      </c>
      <c r="J43" s="22">
        <f t="shared" si="1"/>
        <v>42</v>
      </c>
      <c r="K43" s="23" t="str">
        <f t="shared" si="2"/>
        <v>Furniture Item</v>
      </c>
    </row>
    <row r="44" ht="14.25" customHeight="1">
      <c r="A44" s="2" t="s">
        <v>166</v>
      </c>
      <c r="B44" s="2" t="s">
        <v>167</v>
      </c>
      <c r="C44" s="2" t="s">
        <v>31</v>
      </c>
      <c r="D44" s="2" t="s">
        <v>138</v>
      </c>
      <c r="E44" s="2" t="s">
        <v>168</v>
      </c>
      <c r="F44" s="2">
        <v>2.0</v>
      </c>
      <c r="G44" s="2">
        <v>26803.0</v>
      </c>
      <c r="H44" s="2" t="s">
        <v>48</v>
      </c>
      <c r="I44" s="2" t="s">
        <v>15</v>
      </c>
      <c r="J44" s="22">
        <f t="shared" si="1"/>
        <v>43</v>
      </c>
      <c r="K44" s="23" t="str">
        <f t="shared" si="2"/>
        <v>Furniture Item</v>
      </c>
    </row>
    <row r="45" ht="14.25" customHeight="1">
      <c r="A45" s="2" t="s">
        <v>169</v>
      </c>
      <c r="B45" s="2" t="s">
        <v>170</v>
      </c>
      <c r="C45" s="2" t="s">
        <v>11</v>
      </c>
      <c r="D45" s="2" t="s">
        <v>171</v>
      </c>
      <c r="E45" s="2" t="s">
        <v>81</v>
      </c>
      <c r="F45" s="2">
        <v>5.0</v>
      </c>
      <c r="G45" s="2">
        <v>64309.0</v>
      </c>
      <c r="H45" s="2" t="s">
        <v>14</v>
      </c>
      <c r="I45" s="2" t="s">
        <v>28</v>
      </c>
      <c r="J45" s="22">
        <f t="shared" si="1"/>
        <v>44</v>
      </c>
      <c r="K45" s="23" t="str">
        <f t="shared" si="2"/>
        <v>Electronics Item</v>
      </c>
    </row>
    <row r="46" ht="14.25" customHeight="1">
      <c r="A46" s="2" t="s">
        <v>172</v>
      </c>
      <c r="B46" s="2" t="s">
        <v>173</v>
      </c>
      <c r="C46" s="2" t="s">
        <v>92</v>
      </c>
      <c r="D46" s="2" t="s">
        <v>127</v>
      </c>
      <c r="E46" s="2" t="s">
        <v>111</v>
      </c>
      <c r="F46" s="2">
        <v>5.0</v>
      </c>
      <c r="G46" s="2">
        <v>60923.0</v>
      </c>
      <c r="H46" s="2" t="s">
        <v>14</v>
      </c>
      <c r="I46" s="2" t="s">
        <v>28</v>
      </c>
      <c r="J46" s="22">
        <f t="shared" si="1"/>
        <v>45</v>
      </c>
      <c r="K46" s="23" t="str">
        <f t="shared" si="2"/>
        <v>Electronics Item</v>
      </c>
    </row>
    <row r="47" ht="14.25" customHeight="1">
      <c r="A47" s="2" t="s">
        <v>174</v>
      </c>
      <c r="B47" s="2" t="s">
        <v>175</v>
      </c>
      <c r="C47" s="2" t="s">
        <v>97</v>
      </c>
      <c r="D47" s="2" t="s">
        <v>56</v>
      </c>
      <c r="E47" s="2" t="s">
        <v>151</v>
      </c>
      <c r="F47" s="2">
        <v>1.0</v>
      </c>
      <c r="G47" s="2">
        <v>6488.0</v>
      </c>
      <c r="H47" s="2" t="s">
        <v>14</v>
      </c>
      <c r="I47" s="2" t="s">
        <v>28</v>
      </c>
      <c r="J47" s="22">
        <f t="shared" si="1"/>
        <v>46</v>
      </c>
      <c r="K47" s="23" t="str">
        <f t="shared" si="2"/>
        <v>Furniture Item</v>
      </c>
    </row>
    <row r="48" ht="14.25" customHeight="1">
      <c r="A48" s="2" t="s">
        <v>176</v>
      </c>
      <c r="B48" s="2" t="s">
        <v>177</v>
      </c>
      <c r="C48" s="2" t="s">
        <v>25</v>
      </c>
      <c r="D48" s="2" t="s">
        <v>12</v>
      </c>
      <c r="E48" s="2" t="s">
        <v>101</v>
      </c>
      <c r="F48" s="2">
        <v>6.0</v>
      </c>
      <c r="G48" s="2">
        <v>45482.0</v>
      </c>
      <c r="H48" s="2" t="s">
        <v>14</v>
      </c>
      <c r="I48" s="2" t="s">
        <v>28</v>
      </c>
      <c r="J48" s="22">
        <f t="shared" si="1"/>
        <v>47</v>
      </c>
      <c r="K48" s="23" t="str">
        <f t="shared" si="2"/>
        <v>Electronics Item</v>
      </c>
    </row>
    <row r="49" ht="14.25" customHeight="1">
      <c r="A49" s="2" t="s">
        <v>178</v>
      </c>
      <c r="B49" s="2" t="s">
        <v>179</v>
      </c>
      <c r="C49" s="2" t="s">
        <v>11</v>
      </c>
      <c r="D49" s="2" t="s">
        <v>180</v>
      </c>
      <c r="E49" s="2" t="s">
        <v>181</v>
      </c>
      <c r="F49" s="2">
        <v>1.0</v>
      </c>
      <c r="G49" s="2">
        <v>47310.0</v>
      </c>
      <c r="H49" s="2" t="s">
        <v>21</v>
      </c>
      <c r="I49" s="2" t="s">
        <v>28</v>
      </c>
      <c r="J49" s="22">
        <f t="shared" si="1"/>
        <v>48</v>
      </c>
      <c r="K49" s="23" t="str">
        <f t="shared" si="2"/>
        <v>Electronics Item</v>
      </c>
    </row>
    <row r="50" ht="14.25" customHeight="1">
      <c r="A50" s="2" t="s">
        <v>182</v>
      </c>
      <c r="B50" s="2" t="s">
        <v>83</v>
      </c>
      <c r="C50" s="2" t="s">
        <v>123</v>
      </c>
      <c r="D50" s="2" t="s">
        <v>20</v>
      </c>
      <c r="E50" s="2" t="s">
        <v>68</v>
      </c>
      <c r="F50" s="2">
        <v>1.0</v>
      </c>
      <c r="G50" s="2">
        <v>16901.0</v>
      </c>
      <c r="H50" s="2" t="s">
        <v>48</v>
      </c>
      <c r="I50" s="2" t="s">
        <v>28</v>
      </c>
      <c r="J50" s="22">
        <f t="shared" si="1"/>
        <v>49</v>
      </c>
      <c r="K50" s="23" t="str">
        <f t="shared" si="2"/>
        <v>Electronics Item</v>
      </c>
    </row>
    <row r="51" ht="14.25" customHeight="1">
      <c r="A51" s="2" t="s">
        <v>183</v>
      </c>
      <c r="B51" s="2" t="s">
        <v>184</v>
      </c>
      <c r="C51" s="2" t="s">
        <v>185</v>
      </c>
      <c r="D51" s="2" t="s">
        <v>101</v>
      </c>
      <c r="E51" s="2" t="s">
        <v>13</v>
      </c>
      <c r="F51" s="2">
        <v>4.0</v>
      </c>
      <c r="G51" s="2">
        <v>36642.0</v>
      </c>
      <c r="H51" s="2" t="s">
        <v>48</v>
      </c>
      <c r="I51" s="2" t="s">
        <v>28</v>
      </c>
      <c r="J51" s="22">
        <f t="shared" si="1"/>
        <v>50</v>
      </c>
      <c r="K51" s="23" t="str">
        <f t="shared" si="2"/>
        <v>Electronics Item</v>
      </c>
    </row>
    <row r="52" ht="14.25" customHeight="1">
      <c r="A52" s="2" t="s">
        <v>186</v>
      </c>
      <c r="B52" s="2" t="s">
        <v>187</v>
      </c>
      <c r="C52" s="2" t="s">
        <v>18</v>
      </c>
      <c r="D52" s="2" t="s">
        <v>188</v>
      </c>
      <c r="E52" s="2" t="s">
        <v>46</v>
      </c>
      <c r="F52" s="2">
        <v>3.0</v>
      </c>
      <c r="G52" s="2">
        <v>45563.0</v>
      </c>
      <c r="H52" s="2" t="s">
        <v>62</v>
      </c>
      <c r="I52" s="2" t="s">
        <v>22</v>
      </c>
      <c r="J52" s="22">
        <f t="shared" si="1"/>
        <v>51</v>
      </c>
      <c r="K52" s="23" t="str">
        <f t="shared" si="2"/>
        <v>Electronics Item</v>
      </c>
    </row>
    <row r="53" ht="14.25" customHeight="1">
      <c r="A53" s="2" t="s">
        <v>189</v>
      </c>
      <c r="B53" s="2" t="s">
        <v>190</v>
      </c>
      <c r="C53" s="2" t="s">
        <v>86</v>
      </c>
      <c r="D53" s="2" t="s">
        <v>138</v>
      </c>
      <c r="E53" s="2" t="s">
        <v>191</v>
      </c>
      <c r="F53" s="2">
        <v>4.0</v>
      </c>
      <c r="G53" s="2">
        <v>22996.0</v>
      </c>
      <c r="H53" s="2" t="s">
        <v>62</v>
      </c>
      <c r="I53" s="2" t="s">
        <v>15</v>
      </c>
      <c r="J53" s="22">
        <f t="shared" si="1"/>
        <v>52</v>
      </c>
      <c r="K53" s="23" t="str">
        <f t="shared" si="2"/>
        <v>Furniture Item</v>
      </c>
    </row>
    <row r="54" ht="14.25" customHeight="1">
      <c r="A54" s="2" t="s">
        <v>192</v>
      </c>
      <c r="B54" s="2" t="s">
        <v>193</v>
      </c>
      <c r="C54" s="2" t="s">
        <v>55</v>
      </c>
      <c r="D54" s="2" t="s">
        <v>68</v>
      </c>
      <c r="E54" s="2" t="s">
        <v>56</v>
      </c>
      <c r="F54" s="2">
        <v>3.0</v>
      </c>
      <c r="G54" s="2">
        <v>44183.0</v>
      </c>
      <c r="H54" s="2" t="s">
        <v>48</v>
      </c>
      <c r="I54" s="2" t="s">
        <v>28</v>
      </c>
      <c r="J54" s="22">
        <f t="shared" si="1"/>
        <v>53</v>
      </c>
      <c r="K54" s="23" t="str">
        <f t="shared" si="2"/>
        <v>Furniture Item</v>
      </c>
    </row>
    <row r="55" ht="14.25" customHeight="1">
      <c r="A55" s="2" t="s">
        <v>194</v>
      </c>
      <c r="B55" s="2" t="s">
        <v>195</v>
      </c>
      <c r="C55" s="2" t="s">
        <v>185</v>
      </c>
      <c r="D55" s="2" t="s">
        <v>36</v>
      </c>
      <c r="E55" s="2" t="s">
        <v>196</v>
      </c>
      <c r="F55" s="2">
        <v>5.0</v>
      </c>
      <c r="G55" s="2">
        <v>23977.0</v>
      </c>
      <c r="H55" s="2" t="s">
        <v>48</v>
      </c>
      <c r="I55" s="2" t="s">
        <v>22</v>
      </c>
      <c r="J55" s="22">
        <f t="shared" si="1"/>
        <v>54</v>
      </c>
      <c r="K55" s="23" t="str">
        <f t="shared" si="2"/>
        <v>Electronics Item</v>
      </c>
    </row>
    <row r="56" ht="14.25" customHeight="1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76</v>
      </c>
      <c r="F56" s="2">
        <v>4.0</v>
      </c>
      <c r="G56" s="2">
        <v>61336.0</v>
      </c>
      <c r="H56" s="2" t="s">
        <v>21</v>
      </c>
      <c r="I56" s="2" t="s">
        <v>28</v>
      </c>
      <c r="J56" s="22">
        <f t="shared" si="1"/>
        <v>55</v>
      </c>
      <c r="K56" s="23" t="str">
        <f t="shared" si="2"/>
        <v>Electronics Item</v>
      </c>
    </row>
    <row r="57" ht="14.25" customHeight="1">
      <c r="A57" s="2" t="s">
        <v>201</v>
      </c>
      <c r="B57" s="2" t="s">
        <v>202</v>
      </c>
      <c r="C57" s="2" t="s">
        <v>114</v>
      </c>
      <c r="D57" s="2" t="s">
        <v>203</v>
      </c>
      <c r="E57" s="2" t="s">
        <v>171</v>
      </c>
      <c r="F57" s="2">
        <v>3.0</v>
      </c>
      <c r="G57" s="2">
        <v>28560.0</v>
      </c>
      <c r="H57" s="2" t="s">
        <v>14</v>
      </c>
      <c r="I57" s="2" t="s">
        <v>22</v>
      </c>
      <c r="J57" s="22">
        <f t="shared" si="1"/>
        <v>56</v>
      </c>
      <c r="K57" s="23" t="str">
        <f t="shared" si="2"/>
        <v>Furniture Item</v>
      </c>
    </row>
    <row r="58" ht="14.25" customHeight="1">
      <c r="A58" s="2" t="s">
        <v>204</v>
      </c>
      <c r="B58" s="2" t="s">
        <v>205</v>
      </c>
      <c r="C58" s="2" t="s">
        <v>25</v>
      </c>
      <c r="D58" s="2" t="s">
        <v>206</v>
      </c>
      <c r="E58" s="2" t="s">
        <v>207</v>
      </c>
      <c r="F58" s="2">
        <v>6.0</v>
      </c>
      <c r="G58" s="2">
        <v>17033.0</v>
      </c>
      <c r="H58" s="2" t="s">
        <v>48</v>
      </c>
      <c r="I58" s="2" t="s">
        <v>28</v>
      </c>
      <c r="J58" s="22">
        <f t="shared" si="1"/>
        <v>57</v>
      </c>
      <c r="K58" s="23" t="str">
        <f t="shared" si="2"/>
        <v>Electronics Item</v>
      </c>
    </row>
    <row r="59" ht="14.25" customHeight="1">
      <c r="A59" s="2" t="s">
        <v>208</v>
      </c>
      <c r="B59" s="2" t="s">
        <v>209</v>
      </c>
      <c r="C59" s="2" t="s">
        <v>97</v>
      </c>
      <c r="D59" s="2" t="s">
        <v>118</v>
      </c>
      <c r="E59" s="2" t="s">
        <v>180</v>
      </c>
      <c r="F59" s="2">
        <v>4.0</v>
      </c>
      <c r="G59" s="2">
        <v>8225.0</v>
      </c>
      <c r="H59" s="2" t="s">
        <v>62</v>
      </c>
      <c r="I59" s="2" t="s">
        <v>28</v>
      </c>
      <c r="J59" s="22">
        <f t="shared" si="1"/>
        <v>58</v>
      </c>
      <c r="K59" s="23" t="str">
        <f t="shared" si="2"/>
        <v>Furniture Item</v>
      </c>
    </row>
    <row r="60" ht="14.25" customHeight="1">
      <c r="A60" s="2" t="s">
        <v>210</v>
      </c>
      <c r="B60" s="2" t="s">
        <v>211</v>
      </c>
      <c r="C60" s="2" t="s">
        <v>185</v>
      </c>
      <c r="D60" s="2" t="s">
        <v>76</v>
      </c>
      <c r="E60" s="2" t="s">
        <v>65</v>
      </c>
      <c r="F60" s="2">
        <v>5.0</v>
      </c>
      <c r="G60" s="2">
        <v>32053.0</v>
      </c>
      <c r="H60" s="2" t="s">
        <v>21</v>
      </c>
      <c r="I60" s="2" t="s">
        <v>28</v>
      </c>
      <c r="J60" s="22">
        <f t="shared" si="1"/>
        <v>59</v>
      </c>
      <c r="K60" s="23" t="str">
        <f t="shared" si="2"/>
        <v>Electronics Item</v>
      </c>
    </row>
    <row r="61" ht="14.25" customHeight="1">
      <c r="A61" s="2" t="s">
        <v>212</v>
      </c>
      <c r="B61" s="2" t="s">
        <v>213</v>
      </c>
      <c r="C61" s="2" t="s">
        <v>11</v>
      </c>
      <c r="D61" s="2" t="s">
        <v>73</v>
      </c>
      <c r="E61" s="2" t="s">
        <v>124</v>
      </c>
      <c r="F61" s="2">
        <v>1.0</v>
      </c>
      <c r="G61" s="2">
        <v>23765.0</v>
      </c>
      <c r="H61" s="2" t="s">
        <v>14</v>
      </c>
      <c r="I61" s="2" t="s">
        <v>28</v>
      </c>
      <c r="J61" s="22">
        <f t="shared" si="1"/>
        <v>60</v>
      </c>
      <c r="K61" s="23" t="str">
        <f t="shared" si="2"/>
        <v>Electronics Item</v>
      </c>
    </row>
    <row r="62" ht="14.25" customHeight="1">
      <c r="A62" s="2" t="s">
        <v>214</v>
      </c>
      <c r="B62" s="2" t="s">
        <v>215</v>
      </c>
      <c r="C62" s="2" t="s">
        <v>45</v>
      </c>
      <c r="D62" s="2" t="s">
        <v>191</v>
      </c>
      <c r="E62" s="2" t="s">
        <v>27</v>
      </c>
      <c r="F62" s="2">
        <v>4.0</v>
      </c>
      <c r="G62" s="2">
        <v>63627.0</v>
      </c>
      <c r="H62" s="2" t="s">
        <v>62</v>
      </c>
      <c r="I62" s="2" t="s">
        <v>22</v>
      </c>
      <c r="J62" s="22">
        <f t="shared" si="1"/>
        <v>61</v>
      </c>
      <c r="K62" s="23" t="str">
        <f t="shared" si="2"/>
        <v>Furniture Item</v>
      </c>
    </row>
    <row r="63" ht="14.25" customHeight="1">
      <c r="A63" s="2" t="s">
        <v>216</v>
      </c>
      <c r="B63" s="2" t="s">
        <v>217</v>
      </c>
      <c r="C63" s="2" t="s">
        <v>199</v>
      </c>
      <c r="D63" s="2" t="s">
        <v>162</v>
      </c>
      <c r="E63" s="2" t="s">
        <v>36</v>
      </c>
      <c r="F63" s="2">
        <v>6.0</v>
      </c>
      <c r="G63" s="2">
        <v>44304.0</v>
      </c>
      <c r="H63" s="2" t="s">
        <v>48</v>
      </c>
      <c r="I63" s="2" t="s">
        <v>28</v>
      </c>
      <c r="J63" s="22">
        <f t="shared" si="1"/>
        <v>62</v>
      </c>
      <c r="K63" s="23" t="str">
        <f t="shared" si="2"/>
        <v>Electronics Item</v>
      </c>
    </row>
    <row r="64" ht="14.25" customHeight="1">
      <c r="A64" s="2" t="s">
        <v>218</v>
      </c>
      <c r="B64" s="2" t="s">
        <v>219</v>
      </c>
      <c r="C64" s="2" t="s">
        <v>11</v>
      </c>
      <c r="D64" s="2" t="s">
        <v>60</v>
      </c>
      <c r="E64" s="2" t="s">
        <v>42</v>
      </c>
      <c r="F64" s="2">
        <v>5.0</v>
      </c>
      <c r="G64" s="2">
        <v>27814.0</v>
      </c>
      <c r="H64" s="2" t="s">
        <v>21</v>
      </c>
      <c r="I64" s="2" t="s">
        <v>28</v>
      </c>
      <c r="J64" s="22">
        <f t="shared" si="1"/>
        <v>63</v>
      </c>
      <c r="K64" s="23" t="str">
        <f t="shared" si="2"/>
        <v>Electronics Item</v>
      </c>
    </row>
    <row r="65" ht="14.25" customHeight="1">
      <c r="A65" s="2" t="s">
        <v>220</v>
      </c>
      <c r="B65" s="2" t="s">
        <v>221</v>
      </c>
      <c r="C65" s="2" t="s">
        <v>45</v>
      </c>
      <c r="D65" s="2" t="s">
        <v>222</v>
      </c>
      <c r="E65" s="2" t="s">
        <v>223</v>
      </c>
      <c r="F65" s="2">
        <v>2.0</v>
      </c>
      <c r="G65" s="2">
        <v>12746.0</v>
      </c>
      <c r="H65" s="2" t="s">
        <v>62</v>
      </c>
      <c r="I65" s="2" t="s">
        <v>15</v>
      </c>
      <c r="J65" s="22">
        <f t="shared" si="1"/>
        <v>64</v>
      </c>
      <c r="K65" s="23" t="str">
        <f t="shared" si="2"/>
        <v>Furniture Item</v>
      </c>
    </row>
    <row r="66" ht="14.25" customHeight="1">
      <c r="A66" s="2" t="s">
        <v>224</v>
      </c>
      <c r="B66" s="2" t="s">
        <v>225</v>
      </c>
      <c r="C66" s="2" t="s">
        <v>86</v>
      </c>
      <c r="D66" s="2" t="s">
        <v>162</v>
      </c>
      <c r="E66" s="2" t="s">
        <v>94</v>
      </c>
      <c r="F66" s="2">
        <v>3.0</v>
      </c>
      <c r="G66" s="2">
        <v>66758.0</v>
      </c>
      <c r="H66" s="2" t="s">
        <v>62</v>
      </c>
      <c r="I66" s="2" t="s">
        <v>28</v>
      </c>
      <c r="J66" s="22">
        <f t="shared" si="1"/>
        <v>65</v>
      </c>
      <c r="K66" s="23" t="str">
        <f t="shared" si="2"/>
        <v>Furniture Item</v>
      </c>
    </row>
    <row r="67" ht="14.25" customHeight="1">
      <c r="A67" s="2" t="s">
        <v>226</v>
      </c>
      <c r="B67" s="2" t="s">
        <v>227</v>
      </c>
      <c r="C67" s="2" t="s">
        <v>25</v>
      </c>
      <c r="D67" s="2" t="s">
        <v>37</v>
      </c>
      <c r="E67" s="2" t="s">
        <v>228</v>
      </c>
      <c r="F67" s="2">
        <v>1.0</v>
      </c>
      <c r="G67" s="2">
        <v>9833.0</v>
      </c>
      <c r="H67" s="2" t="s">
        <v>48</v>
      </c>
      <c r="I67" s="2" t="s">
        <v>15</v>
      </c>
      <c r="J67" s="22">
        <f t="shared" si="1"/>
        <v>66</v>
      </c>
      <c r="K67" s="23" t="str">
        <f t="shared" si="2"/>
        <v>Electronics Item</v>
      </c>
    </row>
    <row r="68" ht="14.25" customHeight="1">
      <c r="A68" s="2" t="s">
        <v>229</v>
      </c>
      <c r="B68" s="2" t="s">
        <v>230</v>
      </c>
      <c r="C68" s="2" t="s">
        <v>97</v>
      </c>
      <c r="D68" s="2" t="s">
        <v>27</v>
      </c>
      <c r="E68" s="2" t="s">
        <v>231</v>
      </c>
      <c r="F68" s="2">
        <v>6.0</v>
      </c>
      <c r="G68" s="2">
        <v>19276.0</v>
      </c>
      <c r="H68" s="2" t="s">
        <v>48</v>
      </c>
      <c r="I68" s="2" t="s">
        <v>22</v>
      </c>
      <c r="J68" s="22">
        <f t="shared" si="1"/>
        <v>67</v>
      </c>
      <c r="K68" s="23" t="str">
        <f t="shared" si="2"/>
        <v>Furniture Item</v>
      </c>
    </row>
    <row r="69" ht="14.25" customHeight="1">
      <c r="A69" s="2" t="s">
        <v>232</v>
      </c>
      <c r="B69" s="2" t="s">
        <v>233</v>
      </c>
      <c r="C69" s="2" t="s">
        <v>59</v>
      </c>
      <c r="D69" s="2" t="s">
        <v>191</v>
      </c>
      <c r="E69" s="2" t="s">
        <v>162</v>
      </c>
      <c r="F69" s="2">
        <v>5.0</v>
      </c>
      <c r="G69" s="2">
        <v>8589.0</v>
      </c>
      <c r="H69" s="2" t="s">
        <v>21</v>
      </c>
      <c r="I69" s="2" t="s">
        <v>28</v>
      </c>
      <c r="J69" s="22">
        <f t="shared" si="1"/>
        <v>68</v>
      </c>
      <c r="K69" s="23" t="str">
        <f t="shared" si="2"/>
        <v>Electronics Item</v>
      </c>
    </row>
    <row r="70" ht="14.25" customHeight="1">
      <c r="A70" s="2" t="s">
        <v>234</v>
      </c>
      <c r="B70" s="2" t="s">
        <v>235</v>
      </c>
      <c r="C70" s="2" t="s">
        <v>25</v>
      </c>
      <c r="D70" s="2" t="s">
        <v>41</v>
      </c>
      <c r="E70" s="2" t="s">
        <v>151</v>
      </c>
      <c r="F70" s="2">
        <v>1.0</v>
      </c>
      <c r="G70" s="2">
        <v>24228.0</v>
      </c>
      <c r="H70" s="2" t="s">
        <v>48</v>
      </c>
      <c r="I70" s="2" t="s">
        <v>28</v>
      </c>
      <c r="J70" s="22">
        <f t="shared" si="1"/>
        <v>69</v>
      </c>
      <c r="K70" s="23" t="str">
        <f t="shared" si="2"/>
        <v>Electronics Item</v>
      </c>
    </row>
    <row r="71" ht="14.25" customHeight="1">
      <c r="A71" s="2" t="s">
        <v>236</v>
      </c>
      <c r="B71" s="2" t="s">
        <v>237</v>
      </c>
      <c r="C71" s="2" t="s">
        <v>86</v>
      </c>
      <c r="D71" s="2" t="s">
        <v>156</v>
      </c>
      <c r="E71" s="2" t="s">
        <v>171</v>
      </c>
      <c r="F71" s="2">
        <v>6.0</v>
      </c>
      <c r="G71" s="2">
        <v>45999.0</v>
      </c>
      <c r="H71" s="2" t="s">
        <v>21</v>
      </c>
      <c r="I71" s="2" t="s">
        <v>28</v>
      </c>
      <c r="J71" s="22">
        <f t="shared" si="1"/>
        <v>70</v>
      </c>
      <c r="K71" s="23" t="str">
        <f t="shared" si="2"/>
        <v>Furniture Item</v>
      </c>
    </row>
    <row r="72" ht="14.25" customHeight="1">
      <c r="A72" s="2" t="s">
        <v>238</v>
      </c>
      <c r="B72" s="2" t="s">
        <v>239</v>
      </c>
      <c r="C72" s="2" t="s">
        <v>114</v>
      </c>
      <c r="D72" s="2" t="s">
        <v>108</v>
      </c>
      <c r="E72" s="2" t="s">
        <v>231</v>
      </c>
      <c r="F72" s="2">
        <v>6.0</v>
      </c>
      <c r="G72" s="2">
        <v>16843.0</v>
      </c>
      <c r="H72" s="2" t="s">
        <v>21</v>
      </c>
      <c r="I72" s="2" t="s">
        <v>28</v>
      </c>
      <c r="J72" s="22">
        <f t="shared" si="1"/>
        <v>71</v>
      </c>
      <c r="K72" s="23" t="str">
        <f t="shared" si="2"/>
        <v>Furniture Item</v>
      </c>
    </row>
    <row r="73" ht="14.25" customHeight="1">
      <c r="A73" s="2" t="s">
        <v>240</v>
      </c>
      <c r="B73" s="2" t="s">
        <v>241</v>
      </c>
      <c r="C73" s="2" t="s">
        <v>18</v>
      </c>
      <c r="D73" s="2" t="s">
        <v>191</v>
      </c>
      <c r="E73" s="2" t="s">
        <v>36</v>
      </c>
      <c r="F73" s="2">
        <v>5.0</v>
      </c>
      <c r="G73" s="2">
        <v>11432.0</v>
      </c>
      <c r="H73" s="2" t="s">
        <v>48</v>
      </c>
      <c r="I73" s="2" t="s">
        <v>28</v>
      </c>
      <c r="J73" s="22">
        <f t="shared" si="1"/>
        <v>72</v>
      </c>
      <c r="K73" s="23" t="str">
        <f t="shared" si="2"/>
        <v>Electronics Item</v>
      </c>
    </row>
    <row r="74" ht="14.25" customHeight="1">
      <c r="A74" s="2" t="s">
        <v>242</v>
      </c>
      <c r="B74" s="2" t="s">
        <v>243</v>
      </c>
      <c r="C74" s="2" t="s">
        <v>97</v>
      </c>
      <c r="D74" s="2" t="s">
        <v>69</v>
      </c>
      <c r="E74" s="2" t="s">
        <v>244</v>
      </c>
      <c r="F74" s="2">
        <v>3.0</v>
      </c>
      <c r="G74" s="2">
        <v>6930.0</v>
      </c>
      <c r="H74" s="2" t="s">
        <v>62</v>
      </c>
      <c r="I74" s="2" t="s">
        <v>28</v>
      </c>
      <c r="J74" s="22">
        <f t="shared" si="1"/>
        <v>73</v>
      </c>
      <c r="K74" s="23" t="str">
        <f t="shared" si="2"/>
        <v>Furniture Item</v>
      </c>
    </row>
    <row r="75" ht="14.25" customHeight="1">
      <c r="A75" s="2" t="s">
        <v>245</v>
      </c>
      <c r="B75" s="2" t="s">
        <v>246</v>
      </c>
      <c r="C75" s="2" t="s">
        <v>114</v>
      </c>
      <c r="D75" s="2" t="s">
        <v>98</v>
      </c>
      <c r="E75" s="2" t="s">
        <v>108</v>
      </c>
      <c r="F75" s="2">
        <v>2.0</v>
      </c>
      <c r="G75" s="2">
        <v>5931.0</v>
      </c>
      <c r="H75" s="2" t="s">
        <v>14</v>
      </c>
      <c r="I75" s="2" t="s">
        <v>28</v>
      </c>
      <c r="J75" s="22">
        <f t="shared" si="1"/>
        <v>74</v>
      </c>
      <c r="K75" s="23" t="str">
        <f t="shared" si="2"/>
        <v>Furniture Item</v>
      </c>
    </row>
    <row r="76" ht="14.25" customHeight="1">
      <c r="A76" s="2" t="s">
        <v>247</v>
      </c>
      <c r="B76" s="2" t="s">
        <v>248</v>
      </c>
      <c r="C76" s="2" t="s">
        <v>25</v>
      </c>
      <c r="D76" s="2" t="s">
        <v>127</v>
      </c>
      <c r="E76" s="2" t="s">
        <v>93</v>
      </c>
      <c r="F76" s="2">
        <v>4.0</v>
      </c>
      <c r="G76" s="2">
        <v>42890.0</v>
      </c>
      <c r="H76" s="2" t="s">
        <v>14</v>
      </c>
      <c r="I76" s="2" t="s">
        <v>28</v>
      </c>
      <c r="J76" s="22">
        <f t="shared" si="1"/>
        <v>75</v>
      </c>
      <c r="K76" s="23" t="str">
        <f t="shared" si="2"/>
        <v>Electronics Item</v>
      </c>
    </row>
    <row r="77" ht="14.25" customHeight="1">
      <c r="A77" s="2" t="s">
        <v>249</v>
      </c>
      <c r="B77" s="2" t="s">
        <v>250</v>
      </c>
      <c r="C77" s="2" t="s">
        <v>59</v>
      </c>
      <c r="D77" s="2" t="s">
        <v>251</v>
      </c>
      <c r="E77" s="2" t="s">
        <v>77</v>
      </c>
      <c r="F77" s="2">
        <v>4.0</v>
      </c>
      <c r="G77" s="2">
        <v>44533.0</v>
      </c>
      <c r="H77" s="2" t="s">
        <v>62</v>
      </c>
      <c r="I77" s="2" t="s">
        <v>28</v>
      </c>
      <c r="J77" s="22">
        <f t="shared" si="1"/>
        <v>76</v>
      </c>
      <c r="K77" s="23" t="str">
        <f t="shared" si="2"/>
        <v>Electronics Item</v>
      </c>
    </row>
    <row r="78" ht="14.25" customHeight="1">
      <c r="A78" s="2" t="s">
        <v>252</v>
      </c>
      <c r="B78" s="2" t="s">
        <v>253</v>
      </c>
      <c r="C78" s="2" t="s">
        <v>11</v>
      </c>
      <c r="D78" s="2" t="s">
        <v>98</v>
      </c>
      <c r="E78" s="2" t="s">
        <v>27</v>
      </c>
      <c r="F78" s="2">
        <v>2.0</v>
      </c>
      <c r="G78" s="2">
        <v>46616.0</v>
      </c>
      <c r="H78" s="2" t="s">
        <v>48</v>
      </c>
      <c r="I78" s="2" t="s">
        <v>22</v>
      </c>
      <c r="J78" s="22">
        <f t="shared" si="1"/>
        <v>77</v>
      </c>
      <c r="K78" s="23" t="str">
        <f t="shared" si="2"/>
        <v>Electronics Item</v>
      </c>
    </row>
    <row r="79" ht="14.25" customHeight="1">
      <c r="A79" s="2" t="s">
        <v>254</v>
      </c>
      <c r="B79" s="2" t="s">
        <v>255</v>
      </c>
      <c r="C79" s="2" t="s">
        <v>18</v>
      </c>
      <c r="D79" s="2" t="s">
        <v>36</v>
      </c>
      <c r="E79" s="2" t="s">
        <v>196</v>
      </c>
      <c r="F79" s="2">
        <v>3.0</v>
      </c>
      <c r="G79" s="2">
        <v>57016.0</v>
      </c>
      <c r="H79" s="2" t="s">
        <v>21</v>
      </c>
      <c r="I79" s="2" t="s">
        <v>28</v>
      </c>
      <c r="J79" s="22">
        <f t="shared" si="1"/>
        <v>78</v>
      </c>
      <c r="K79" s="23" t="str">
        <f t="shared" si="2"/>
        <v>Electronics Item</v>
      </c>
    </row>
    <row r="80" ht="14.25" customHeight="1">
      <c r="A80" s="2" t="s">
        <v>256</v>
      </c>
      <c r="B80" s="2" t="s">
        <v>257</v>
      </c>
      <c r="C80" s="2" t="s">
        <v>40</v>
      </c>
      <c r="D80" s="2" t="s">
        <v>12</v>
      </c>
      <c r="E80" s="2" t="s">
        <v>33</v>
      </c>
      <c r="F80" s="2">
        <v>6.0</v>
      </c>
      <c r="G80" s="2">
        <v>37999.0</v>
      </c>
      <c r="H80" s="2" t="s">
        <v>48</v>
      </c>
      <c r="I80" s="2" t="s">
        <v>15</v>
      </c>
      <c r="J80" s="22">
        <f t="shared" si="1"/>
        <v>79</v>
      </c>
      <c r="K80" s="23" t="str">
        <f t="shared" si="2"/>
        <v>Electronics Item</v>
      </c>
    </row>
    <row r="81" ht="14.25" customHeight="1">
      <c r="A81" s="2" t="s">
        <v>258</v>
      </c>
      <c r="B81" s="2" t="s">
        <v>259</v>
      </c>
      <c r="C81" s="2" t="s">
        <v>97</v>
      </c>
      <c r="D81" s="2" t="s">
        <v>124</v>
      </c>
      <c r="E81" s="2" t="s">
        <v>137</v>
      </c>
      <c r="F81" s="2">
        <v>5.0</v>
      </c>
      <c r="G81" s="2">
        <v>48493.0</v>
      </c>
      <c r="H81" s="2" t="s">
        <v>21</v>
      </c>
      <c r="I81" s="2" t="s">
        <v>28</v>
      </c>
      <c r="J81" s="22">
        <f t="shared" si="1"/>
        <v>80</v>
      </c>
      <c r="K81" s="23" t="str">
        <f t="shared" si="2"/>
        <v>Furniture Item</v>
      </c>
    </row>
    <row r="82" ht="14.25" customHeight="1">
      <c r="A82" s="2" t="s">
        <v>260</v>
      </c>
      <c r="B82" s="2" t="s">
        <v>261</v>
      </c>
      <c r="C82" s="2" t="s">
        <v>31</v>
      </c>
      <c r="D82" s="2" t="s">
        <v>162</v>
      </c>
      <c r="E82" s="2" t="s">
        <v>93</v>
      </c>
      <c r="F82" s="2">
        <v>2.0</v>
      </c>
      <c r="G82" s="2">
        <v>11330.0</v>
      </c>
      <c r="H82" s="2" t="s">
        <v>62</v>
      </c>
      <c r="I82" s="2" t="s">
        <v>28</v>
      </c>
      <c r="J82" s="22">
        <f t="shared" si="1"/>
        <v>81</v>
      </c>
      <c r="K82" s="23" t="str">
        <f t="shared" si="2"/>
        <v>Furniture Item</v>
      </c>
    </row>
    <row r="83" ht="14.25" customHeight="1">
      <c r="A83" s="2" t="s">
        <v>262</v>
      </c>
      <c r="B83" s="2" t="s">
        <v>263</v>
      </c>
      <c r="C83" s="2" t="s">
        <v>31</v>
      </c>
      <c r="D83" s="2" t="s">
        <v>81</v>
      </c>
      <c r="E83" s="2" t="s">
        <v>72</v>
      </c>
      <c r="F83" s="2">
        <v>3.0</v>
      </c>
      <c r="G83" s="2">
        <v>33535.0</v>
      </c>
      <c r="H83" s="2" t="s">
        <v>14</v>
      </c>
      <c r="I83" s="2" t="s">
        <v>28</v>
      </c>
      <c r="J83" s="22">
        <f t="shared" si="1"/>
        <v>82</v>
      </c>
      <c r="K83" s="23" t="str">
        <f t="shared" si="2"/>
        <v>Furniture Item</v>
      </c>
    </row>
    <row r="84" ht="14.25" customHeight="1">
      <c r="A84" s="2" t="s">
        <v>264</v>
      </c>
      <c r="B84" s="2" t="s">
        <v>265</v>
      </c>
      <c r="C84" s="2" t="s">
        <v>199</v>
      </c>
      <c r="D84" s="2" t="s">
        <v>56</v>
      </c>
      <c r="E84" s="2" t="s">
        <v>244</v>
      </c>
      <c r="F84" s="2">
        <v>1.0</v>
      </c>
      <c r="G84" s="2">
        <v>2992.0</v>
      </c>
      <c r="H84" s="2" t="s">
        <v>48</v>
      </c>
      <c r="I84" s="2" t="s">
        <v>22</v>
      </c>
      <c r="J84" s="22">
        <f t="shared" si="1"/>
        <v>83</v>
      </c>
      <c r="K84" s="23" t="str">
        <f t="shared" si="2"/>
        <v>Electronics Item</v>
      </c>
    </row>
    <row r="85" ht="14.25" customHeight="1">
      <c r="A85" s="2" t="s">
        <v>266</v>
      </c>
      <c r="B85" s="2" t="s">
        <v>267</v>
      </c>
      <c r="C85" s="2" t="s">
        <v>199</v>
      </c>
      <c r="D85" s="2" t="s">
        <v>41</v>
      </c>
      <c r="E85" s="2" t="s">
        <v>191</v>
      </c>
      <c r="F85" s="2">
        <v>5.0</v>
      </c>
      <c r="G85" s="2">
        <v>8734.0</v>
      </c>
      <c r="H85" s="2" t="s">
        <v>14</v>
      </c>
      <c r="I85" s="2" t="s">
        <v>15</v>
      </c>
      <c r="J85" s="22">
        <f t="shared" si="1"/>
        <v>84</v>
      </c>
      <c r="K85" s="23" t="str">
        <f t="shared" si="2"/>
        <v>Electronics Item</v>
      </c>
    </row>
    <row r="86" ht="14.25" customHeight="1">
      <c r="A86" s="2" t="s">
        <v>268</v>
      </c>
      <c r="B86" s="2" t="s">
        <v>269</v>
      </c>
      <c r="C86" s="2" t="s">
        <v>123</v>
      </c>
      <c r="D86" s="2" t="s">
        <v>118</v>
      </c>
      <c r="E86" s="2" t="s">
        <v>188</v>
      </c>
      <c r="F86" s="2">
        <v>6.0</v>
      </c>
      <c r="G86" s="2">
        <v>45602.0</v>
      </c>
      <c r="H86" s="2" t="s">
        <v>62</v>
      </c>
      <c r="I86" s="2" t="s">
        <v>28</v>
      </c>
      <c r="J86" s="22">
        <f t="shared" si="1"/>
        <v>85</v>
      </c>
      <c r="K86" s="23" t="str">
        <f t="shared" si="2"/>
        <v>Electronics Item</v>
      </c>
    </row>
    <row r="87" ht="14.25" customHeight="1">
      <c r="A87" s="2" t="s">
        <v>270</v>
      </c>
      <c r="B87" s="2" t="s">
        <v>304</v>
      </c>
      <c r="C87" s="2" t="s">
        <v>31</v>
      </c>
      <c r="D87" s="2" t="s">
        <v>41</v>
      </c>
      <c r="E87" s="2" t="s">
        <v>168</v>
      </c>
      <c r="F87" s="2">
        <v>3.0</v>
      </c>
      <c r="G87" s="2">
        <v>5818.0</v>
      </c>
      <c r="H87" s="2" t="s">
        <v>14</v>
      </c>
      <c r="I87" s="2" t="s">
        <v>15</v>
      </c>
      <c r="J87" s="22">
        <f t="shared" si="1"/>
        <v>86</v>
      </c>
      <c r="K87" s="23" t="str">
        <f t="shared" si="2"/>
        <v>Furniture Item</v>
      </c>
    </row>
    <row r="88" ht="14.25" customHeight="1">
      <c r="A88" s="2" t="s">
        <v>272</v>
      </c>
      <c r="B88" s="2" t="s">
        <v>305</v>
      </c>
      <c r="C88" s="2" t="s">
        <v>97</v>
      </c>
      <c r="D88" s="2" t="s">
        <v>191</v>
      </c>
      <c r="E88" s="2" t="s">
        <v>244</v>
      </c>
      <c r="F88" s="2">
        <v>5.0</v>
      </c>
      <c r="G88" s="2">
        <v>63923.0</v>
      </c>
      <c r="H88" s="2" t="s">
        <v>14</v>
      </c>
      <c r="I88" s="2" t="s">
        <v>28</v>
      </c>
      <c r="J88" s="22">
        <f t="shared" si="1"/>
        <v>87</v>
      </c>
      <c r="K88" s="23" t="str">
        <f t="shared" si="2"/>
        <v>Furniture Item</v>
      </c>
    </row>
    <row r="89" ht="14.25" customHeight="1">
      <c r="A89" s="2" t="s">
        <v>274</v>
      </c>
      <c r="B89" s="2" t="s">
        <v>306</v>
      </c>
      <c r="C89" s="2" t="s">
        <v>59</v>
      </c>
      <c r="D89" s="2" t="s">
        <v>134</v>
      </c>
      <c r="E89" s="2" t="s">
        <v>60</v>
      </c>
      <c r="F89" s="2">
        <v>5.0</v>
      </c>
      <c r="G89" s="2">
        <v>47222.0</v>
      </c>
      <c r="H89" s="2" t="s">
        <v>62</v>
      </c>
      <c r="I89" s="2" t="s">
        <v>28</v>
      </c>
      <c r="J89" s="22">
        <f t="shared" si="1"/>
        <v>88</v>
      </c>
      <c r="K89" s="23" t="str">
        <f t="shared" si="2"/>
        <v>Electronics Item</v>
      </c>
    </row>
    <row r="90" ht="14.25" customHeight="1">
      <c r="A90" s="2" t="s">
        <v>276</v>
      </c>
      <c r="B90" s="2" t="s">
        <v>277</v>
      </c>
      <c r="C90" s="2" t="s">
        <v>97</v>
      </c>
      <c r="D90" s="2" t="s">
        <v>36</v>
      </c>
      <c r="E90" s="2" t="s">
        <v>76</v>
      </c>
      <c r="F90" s="2">
        <v>4.0</v>
      </c>
      <c r="G90" s="2">
        <v>61768.0</v>
      </c>
      <c r="H90" s="2" t="s">
        <v>48</v>
      </c>
      <c r="I90" s="2" t="s">
        <v>28</v>
      </c>
      <c r="J90" s="22">
        <f t="shared" si="1"/>
        <v>89</v>
      </c>
      <c r="K90" s="23" t="str">
        <f t="shared" si="2"/>
        <v>Furniture Item</v>
      </c>
    </row>
    <row r="91" ht="14.25" customHeight="1">
      <c r="A91" s="2" t="s">
        <v>278</v>
      </c>
      <c r="B91" s="2" t="s">
        <v>279</v>
      </c>
      <c r="C91" s="2" t="s">
        <v>40</v>
      </c>
      <c r="D91" s="2" t="s">
        <v>80</v>
      </c>
      <c r="E91" s="2" t="s">
        <v>89</v>
      </c>
      <c r="F91" s="2">
        <v>2.0</v>
      </c>
      <c r="G91" s="2">
        <v>37005.0</v>
      </c>
      <c r="H91" s="2" t="s">
        <v>14</v>
      </c>
      <c r="I91" s="2" t="s">
        <v>28</v>
      </c>
      <c r="J91" s="22">
        <f t="shared" si="1"/>
        <v>90</v>
      </c>
      <c r="K91" s="23" t="str">
        <f t="shared" si="2"/>
        <v>Electronics Item</v>
      </c>
    </row>
    <row r="92" ht="14.25" customHeight="1">
      <c r="A92" s="2" t="s">
        <v>280</v>
      </c>
      <c r="B92" s="2" t="s">
        <v>281</v>
      </c>
      <c r="C92" s="2" t="s">
        <v>92</v>
      </c>
      <c r="D92" s="2" t="s">
        <v>26</v>
      </c>
      <c r="E92" s="2" t="s">
        <v>118</v>
      </c>
      <c r="F92" s="2">
        <v>6.0</v>
      </c>
      <c r="G92" s="2">
        <v>15373.0</v>
      </c>
      <c r="H92" s="2" t="s">
        <v>14</v>
      </c>
      <c r="I92" s="2" t="s">
        <v>15</v>
      </c>
      <c r="J92" s="22">
        <f t="shared" si="1"/>
        <v>91</v>
      </c>
      <c r="K92" s="23" t="str">
        <f t="shared" si="2"/>
        <v>Electronics Item</v>
      </c>
    </row>
    <row r="93" ht="14.25" customHeight="1">
      <c r="A93" s="2" t="s">
        <v>282</v>
      </c>
      <c r="B93" s="2" t="s">
        <v>307</v>
      </c>
      <c r="C93" s="2" t="s">
        <v>11</v>
      </c>
      <c r="D93" s="2" t="s">
        <v>94</v>
      </c>
      <c r="E93" s="2" t="s">
        <v>111</v>
      </c>
      <c r="F93" s="2">
        <v>4.0</v>
      </c>
      <c r="G93" s="2">
        <v>28349.0</v>
      </c>
      <c r="H93" s="2" t="s">
        <v>21</v>
      </c>
      <c r="I93" s="2" t="s">
        <v>15</v>
      </c>
      <c r="J93" s="22">
        <f t="shared" si="1"/>
        <v>92</v>
      </c>
      <c r="K93" s="23" t="str">
        <f t="shared" si="2"/>
        <v>Electronics Item</v>
      </c>
    </row>
    <row r="94" ht="14.25" customHeight="1">
      <c r="A94" s="2" t="s">
        <v>284</v>
      </c>
      <c r="B94" s="2" t="s">
        <v>285</v>
      </c>
      <c r="C94" s="2" t="s">
        <v>40</v>
      </c>
      <c r="D94" s="2" t="s">
        <v>188</v>
      </c>
      <c r="E94" s="2" t="s">
        <v>93</v>
      </c>
      <c r="F94" s="2">
        <v>2.0</v>
      </c>
      <c r="G94" s="2">
        <v>9333.0</v>
      </c>
      <c r="H94" s="2" t="s">
        <v>62</v>
      </c>
      <c r="I94" s="2" t="s">
        <v>28</v>
      </c>
      <c r="J94" s="22">
        <f t="shared" si="1"/>
        <v>93</v>
      </c>
      <c r="K94" s="23" t="str">
        <f t="shared" si="2"/>
        <v>Electronics Item</v>
      </c>
    </row>
    <row r="95" ht="14.25" customHeight="1">
      <c r="A95" s="2" t="s">
        <v>286</v>
      </c>
      <c r="B95" s="2" t="s">
        <v>287</v>
      </c>
      <c r="C95" s="2" t="s">
        <v>18</v>
      </c>
      <c r="D95" s="2" t="s">
        <v>134</v>
      </c>
      <c r="E95" s="2" t="s">
        <v>165</v>
      </c>
      <c r="F95" s="2">
        <v>4.0</v>
      </c>
      <c r="G95" s="2">
        <v>39697.0</v>
      </c>
      <c r="H95" s="2" t="s">
        <v>14</v>
      </c>
      <c r="I95" s="2" t="s">
        <v>28</v>
      </c>
      <c r="J95" s="22">
        <f t="shared" si="1"/>
        <v>94</v>
      </c>
      <c r="K95" s="23" t="str">
        <f t="shared" si="2"/>
        <v>Electronics Item</v>
      </c>
    </row>
    <row r="96" ht="14.25" customHeight="1">
      <c r="A96" s="2" t="s">
        <v>288</v>
      </c>
      <c r="B96" s="2" t="s">
        <v>308</v>
      </c>
      <c r="C96" s="2" t="s">
        <v>86</v>
      </c>
      <c r="D96" s="2" t="s">
        <v>133</v>
      </c>
      <c r="E96" s="2" t="s">
        <v>290</v>
      </c>
      <c r="F96" s="2">
        <v>2.0</v>
      </c>
      <c r="G96" s="2">
        <v>51052.0</v>
      </c>
      <c r="H96" s="2" t="s">
        <v>48</v>
      </c>
      <c r="I96" s="2" t="s">
        <v>28</v>
      </c>
      <c r="J96" s="22">
        <f t="shared" si="1"/>
        <v>95</v>
      </c>
      <c r="K96" s="23" t="str">
        <f t="shared" si="2"/>
        <v>Furniture Item</v>
      </c>
    </row>
    <row r="97" ht="14.25" customHeight="1">
      <c r="A97" s="2" t="s">
        <v>291</v>
      </c>
      <c r="B97" s="2" t="s">
        <v>309</v>
      </c>
      <c r="C97" s="2" t="s">
        <v>25</v>
      </c>
      <c r="D97" s="2" t="s">
        <v>94</v>
      </c>
      <c r="E97" s="2" t="s">
        <v>65</v>
      </c>
      <c r="F97" s="2">
        <v>6.0</v>
      </c>
      <c r="G97" s="2">
        <v>28248.0</v>
      </c>
      <c r="H97" s="2" t="s">
        <v>48</v>
      </c>
      <c r="I97" s="2" t="s">
        <v>28</v>
      </c>
      <c r="J97" s="22">
        <f t="shared" si="1"/>
        <v>96</v>
      </c>
      <c r="K97" s="23" t="str">
        <f t="shared" si="2"/>
        <v>Electronics Item</v>
      </c>
    </row>
    <row r="98" ht="14.25" customHeight="1">
      <c r="A98" s="2" t="s">
        <v>293</v>
      </c>
      <c r="B98" s="2" t="s">
        <v>294</v>
      </c>
      <c r="C98" s="2" t="s">
        <v>59</v>
      </c>
      <c r="D98" s="2" t="s">
        <v>295</v>
      </c>
      <c r="E98" s="2" t="s">
        <v>290</v>
      </c>
      <c r="F98" s="2">
        <v>6.0</v>
      </c>
      <c r="G98" s="2">
        <v>38784.0</v>
      </c>
      <c r="H98" s="2" t="s">
        <v>14</v>
      </c>
      <c r="I98" s="2" t="s">
        <v>28</v>
      </c>
      <c r="J98" s="22">
        <f t="shared" si="1"/>
        <v>97</v>
      </c>
      <c r="K98" s="23" t="str">
        <f t="shared" si="2"/>
        <v>Electronics Item</v>
      </c>
    </row>
    <row r="99" ht="14.25" customHeight="1">
      <c r="A99" s="2" t="s">
        <v>296</v>
      </c>
      <c r="B99" s="2" t="s">
        <v>310</v>
      </c>
      <c r="C99" s="2" t="s">
        <v>199</v>
      </c>
      <c r="D99" s="2" t="s">
        <v>188</v>
      </c>
      <c r="E99" s="2" t="s">
        <v>180</v>
      </c>
      <c r="F99" s="2">
        <v>5.0</v>
      </c>
      <c r="G99" s="2">
        <v>5900.0</v>
      </c>
      <c r="H99" s="2" t="s">
        <v>62</v>
      </c>
      <c r="I99" s="2" t="s">
        <v>28</v>
      </c>
      <c r="J99" s="22">
        <f t="shared" si="1"/>
        <v>98</v>
      </c>
      <c r="K99" s="23" t="str">
        <f t="shared" si="2"/>
        <v>Electronics Item</v>
      </c>
    </row>
    <row r="100" ht="14.25" customHeight="1">
      <c r="A100" s="2" t="s">
        <v>298</v>
      </c>
      <c r="B100" s="2" t="s">
        <v>299</v>
      </c>
      <c r="C100" s="2" t="s">
        <v>31</v>
      </c>
      <c r="D100" s="2" t="s">
        <v>89</v>
      </c>
      <c r="E100" s="2" t="s">
        <v>165</v>
      </c>
      <c r="F100" s="2">
        <v>4.0</v>
      </c>
      <c r="G100" s="2">
        <v>16868.0</v>
      </c>
      <c r="H100" s="2" t="s">
        <v>48</v>
      </c>
      <c r="I100" s="2" t="s">
        <v>28</v>
      </c>
      <c r="J100" s="22">
        <f t="shared" si="1"/>
        <v>99</v>
      </c>
      <c r="K100" s="23" t="str">
        <f t="shared" si="2"/>
        <v>Furniture Item</v>
      </c>
    </row>
    <row r="101" ht="14.25" customHeight="1">
      <c r="A101" s="2" t="s">
        <v>300</v>
      </c>
      <c r="B101" s="2" t="s">
        <v>311</v>
      </c>
      <c r="C101" s="2" t="s">
        <v>55</v>
      </c>
      <c r="D101" s="2" t="s">
        <v>20</v>
      </c>
      <c r="E101" s="2" t="s">
        <v>222</v>
      </c>
      <c r="F101" s="2">
        <v>2.0</v>
      </c>
      <c r="G101" s="2">
        <v>27529.0</v>
      </c>
      <c r="H101" s="2" t="s">
        <v>21</v>
      </c>
      <c r="I101" s="2" t="s">
        <v>22</v>
      </c>
      <c r="J101" s="22">
        <f t="shared" si="1"/>
        <v>100</v>
      </c>
      <c r="K101" s="23" t="str">
        <f t="shared" si="2"/>
        <v>Furniture Item</v>
      </c>
    </row>
    <row r="102" ht="14.25" customHeight="1">
      <c r="J102" s="22"/>
      <c r="K102" s="23"/>
    </row>
    <row r="103" ht="14.25" customHeight="1">
      <c r="J103" s="22"/>
      <c r="K103" s="23"/>
    </row>
    <row r="104" ht="14.25" customHeight="1">
      <c r="J104" s="22"/>
      <c r="K104" s="23"/>
    </row>
    <row r="105" ht="14.25" customHeight="1">
      <c r="J105" s="22"/>
      <c r="K105" s="23"/>
    </row>
    <row r="106" ht="14.25" customHeight="1">
      <c r="J106" s="22"/>
      <c r="K106" s="23"/>
    </row>
    <row r="107" ht="14.25" customHeight="1">
      <c r="J107" s="22"/>
      <c r="K107" s="23"/>
    </row>
    <row r="108" ht="14.25" customHeight="1">
      <c r="J108" s="22"/>
      <c r="K108" s="23"/>
    </row>
    <row r="109" ht="14.25" customHeight="1">
      <c r="J109" s="22"/>
      <c r="K109" s="23"/>
    </row>
    <row r="110" ht="14.25" customHeight="1">
      <c r="J110" s="22"/>
      <c r="K110" s="23"/>
    </row>
    <row r="111" ht="14.25" customHeight="1">
      <c r="J111" s="22"/>
      <c r="K111" s="23"/>
    </row>
    <row r="112" ht="14.25" customHeight="1">
      <c r="J112" s="22"/>
      <c r="K112" s="23"/>
    </row>
    <row r="113" ht="14.25" customHeight="1">
      <c r="J113" s="22"/>
      <c r="K113" s="23"/>
    </row>
    <row r="114" ht="14.25" customHeight="1">
      <c r="J114" s="22"/>
      <c r="K114" s="23"/>
    </row>
    <row r="115" ht="14.25" customHeight="1">
      <c r="J115" s="22"/>
      <c r="K115" s="23"/>
    </row>
    <row r="116" ht="14.25" customHeight="1">
      <c r="J116" s="22"/>
      <c r="K116" s="23"/>
    </row>
    <row r="117" ht="14.25" customHeight="1">
      <c r="J117" s="22"/>
      <c r="K117" s="23"/>
    </row>
    <row r="118" ht="14.25" customHeight="1">
      <c r="J118" s="22"/>
      <c r="K118" s="23"/>
    </row>
    <row r="119" ht="14.25" customHeight="1">
      <c r="J119" s="22"/>
      <c r="K119" s="23"/>
    </row>
    <row r="120" ht="14.25" customHeight="1">
      <c r="J120" s="22"/>
      <c r="K120" s="23"/>
    </row>
    <row r="121" ht="14.25" customHeight="1">
      <c r="J121" s="22"/>
      <c r="K121" s="23"/>
    </row>
    <row r="122" ht="14.25" customHeight="1">
      <c r="J122" s="22"/>
      <c r="K122" s="23"/>
    </row>
    <row r="123" ht="14.25" customHeight="1">
      <c r="J123" s="22"/>
      <c r="K123" s="23"/>
    </row>
    <row r="124" ht="14.25" customHeight="1">
      <c r="J124" s="22"/>
      <c r="K124" s="23"/>
    </row>
    <row r="125" ht="14.25" customHeight="1">
      <c r="J125" s="22"/>
      <c r="K125" s="23"/>
    </row>
    <row r="126" ht="14.25" customHeight="1">
      <c r="J126" s="22"/>
      <c r="K126" s="23"/>
    </row>
    <row r="127" ht="14.25" customHeight="1">
      <c r="J127" s="22"/>
      <c r="K127" s="23"/>
    </row>
    <row r="128" ht="14.25" customHeight="1">
      <c r="J128" s="22"/>
      <c r="K128" s="23"/>
    </row>
    <row r="129" ht="14.25" customHeight="1">
      <c r="J129" s="22"/>
      <c r="K129" s="23"/>
    </row>
    <row r="130" ht="14.25" customHeight="1">
      <c r="J130" s="22"/>
      <c r="K130" s="23"/>
    </row>
    <row r="131" ht="14.25" customHeight="1">
      <c r="J131" s="22"/>
      <c r="K131" s="23"/>
    </row>
    <row r="132" ht="14.25" customHeight="1">
      <c r="J132" s="22"/>
      <c r="K132" s="23"/>
    </row>
    <row r="133" ht="14.25" customHeight="1">
      <c r="J133" s="22"/>
      <c r="K133" s="23"/>
    </row>
    <row r="134" ht="14.25" customHeight="1">
      <c r="J134" s="22"/>
      <c r="K134" s="23"/>
    </row>
    <row r="135" ht="14.25" customHeight="1">
      <c r="J135" s="22"/>
      <c r="K135" s="23"/>
    </row>
    <row r="136" ht="14.25" customHeight="1">
      <c r="J136" s="22"/>
      <c r="K136" s="23"/>
    </row>
    <row r="137" ht="14.25" customHeight="1">
      <c r="J137" s="22"/>
      <c r="K137" s="23"/>
    </row>
    <row r="138" ht="14.25" customHeight="1">
      <c r="J138" s="22"/>
      <c r="K138" s="23"/>
    </row>
    <row r="139" ht="14.25" customHeight="1">
      <c r="J139" s="22"/>
      <c r="K139" s="23"/>
    </row>
    <row r="140" ht="14.25" customHeight="1">
      <c r="J140" s="22"/>
      <c r="K140" s="23"/>
    </row>
    <row r="141" ht="14.25" customHeight="1">
      <c r="J141" s="22"/>
      <c r="K141" s="23"/>
    </row>
    <row r="142" ht="14.25" customHeight="1">
      <c r="J142" s="22"/>
      <c r="K142" s="23"/>
    </row>
    <row r="143" ht="14.25" customHeight="1">
      <c r="J143" s="22"/>
      <c r="K143" s="23"/>
    </row>
    <row r="144" ht="14.25" customHeight="1">
      <c r="J144" s="22"/>
      <c r="K144" s="23"/>
    </row>
    <row r="145" ht="14.25" customHeight="1">
      <c r="J145" s="22"/>
      <c r="K145" s="23"/>
    </row>
    <row r="146" ht="14.25" customHeight="1">
      <c r="J146" s="22"/>
      <c r="K146" s="23"/>
    </row>
    <row r="147" ht="14.25" customHeight="1">
      <c r="J147" s="22"/>
      <c r="K147" s="23"/>
    </row>
    <row r="148" ht="14.25" customHeight="1">
      <c r="J148" s="22"/>
      <c r="K148" s="23"/>
    </row>
    <row r="149" ht="14.25" customHeight="1">
      <c r="J149" s="22"/>
      <c r="K149" s="23"/>
    </row>
    <row r="150" ht="14.25" customHeight="1">
      <c r="J150" s="22"/>
      <c r="K150" s="23"/>
    </row>
    <row r="151" ht="14.25" customHeight="1">
      <c r="J151" s="22"/>
      <c r="K151" s="23"/>
    </row>
    <row r="152" ht="14.25" customHeight="1">
      <c r="J152" s="22"/>
      <c r="K152" s="23"/>
    </row>
    <row r="153" ht="14.25" customHeight="1">
      <c r="J153" s="22"/>
      <c r="K153" s="23"/>
    </row>
    <row r="154" ht="14.25" customHeight="1">
      <c r="J154" s="22"/>
      <c r="K154" s="23"/>
    </row>
    <row r="155" ht="14.25" customHeight="1">
      <c r="J155" s="22"/>
      <c r="K155" s="23"/>
    </row>
    <row r="156" ht="14.25" customHeight="1">
      <c r="J156" s="22"/>
      <c r="K156" s="23"/>
    </row>
    <row r="157" ht="14.25" customHeight="1">
      <c r="J157" s="22"/>
      <c r="K157" s="23"/>
    </row>
    <row r="158" ht="14.25" customHeight="1">
      <c r="J158" s="22"/>
      <c r="K158" s="23"/>
    </row>
    <row r="159" ht="14.25" customHeight="1">
      <c r="J159" s="22"/>
      <c r="K159" s="23"/>
    </row>
    <row r="160" ht="14.25" customHeight="1">
      <c r="J160" s="22"/>
      <c r="K160" s="23"/>
    </row>
    <row r="161" ht="14.25" customHeight="1">
      <c r="J161" s="22"/>
      <c r="K161" s="23"/>
    </row>
    <row r="162" ht="14.25" customHeight="1">
      <c r="J162" s="22"/>
      <c r="K162" s="23"/>
    </row>
    <row r="163" ht="14.25" customHeight="1">
      <c r="J163" s="22"/>
      <c r="K163" s="23"/>
    </row>
    <row r="164" ht="14.25" customHeight="1">
      <c r="J164" s="22"/>
      <c r="K164" s="23"/>
    </row>
    <row r="165" ht="14.25" customHeight="1">
      <c r="J165" s="22"/>
      <c r="K165" s="23"/>
    </row>
    <row r="166" ht="14.25" customHeight="1">
      <c r="J166" s="22"/>
      <c r="K166" s="23"/>
    </row>
    <row r="167" ht="14.25" customHeight="1">
      <c r="J167" s="22"/>
      <c r="K167" s="23"/>
    </row>
    <row r="168" ht="14.25" customHeight="1">
      <c r="J168" s="22"/>
      <c r="K168" s="23"/>
    </row>
    <row r="169" ht="14.25" customHeight="1">
      <c r="J169" s="22"/>
      <c r="K169" s="23"/>
    </row>
    <row r="170" ht="14.25" customHeight="1">
      <c r="J170" s="22"/>
      <c r="K170" s="23"/>
    </row>
    <row r="171" ht="14.25" customHeight="1">
      <c r="J171" s="22"/>
      <c r="K171" s="23"/>
    </row>
    <row r="172" ht="14.25" customHeight="1">
      <c r="J172" s="22"/>
      <c r="K172" s="23"/>
    </row>
    <row r="173" ht="14.25" customHeight="1">
      <c r="J173" s="22"/>
      <c r="K173" s="23"/>
    </row>
    <row r="174" ht="14.25" customHeight="1">
      <c r="J174" s="22"/>
      <c r="K174" s="23"/>
    </row>
    <row r="175" ht="14.25" customHeight="1">
      <c r="J175" s="22"/>
      <c r="K175" s="23"/>
    </row>
    <row r="176" ht="14.25" customHeight="1">
      <c r="J176" s="22"/>
      <c r="K176" s="23"/>
    </row>
    <row r="177" ht="14.25" customHeight="1">
      <c r="J177" s="22"/>
      <c r="K177" s="23"/>
    </row>
    <row r="178" ht="14.25" customHeight="1">
      <c r="J178" s="22"/>
      <c r="K178" s="23"/>
    </row>
    <row r="179" ht="14.25" customHeight="1">
      <c r="J179" s="22"/>
      <c r="K179" s="23"/>
    </row>
    <row r="180" ht="14.25" customHeight="1">
      <c r="J180" s="22"/>
      <c r="K180" s="23"/>
    </row>
    <row r="181" ht="14.25" customHeight="1">
      <c r="J181" s="22"/>
      <c r="K181" s="23"/>
    </row>
    <row r="182" ht="14.25" customHeight="1">
      <c r="J182" s="22"/>
      <c r="K182" s="23"/>
    </row>
    <row r="183" ht="14.25" customHeight="1">
      <c r="J183" s="22"/>
      <c r="K183" s="23"/>
    </row>
    <row r="184" ht="14.25" customHeight="1">
      <c r="J184" s="22"/>
      <c r="K184" s="23"/>
    </row>
    <row r="185" ht="14.25" customHeight="1">
      <c r="J185" s="22"/>
      <c r="K185" s="23"/>
    </row>
    <row r="186" ht="14.25" customHeight="1">
      <c r="J186" s="22"/>
      <c r="K186" s="23"/>
    </row>
    <row r="187" ht="14.25" customHeight="1">
      <c r="J187" s="22"/>
      <c r="K187" s="23"/>
    </row>
    <row r="188" ht="14.25" customHeight="1">
      <c r="J188" s="22"/>
      <c r="K188" s="23"/>
    </row>
    <row r="189" ht="14.25" customHeight="1">
      <c r="J189" s="22"/>
      <c r="K189" s="23"/>
    </row>
    <row r="190" ht="14.25" customHeight="1">
      <c r="J190" s="22"/>
      <c r="K190" s="23"/>
    </row>
    <row r="191" ht="14.25" customHeight="1">
      <c r="J191" s="22"/>
      <c r="K191" s="23"/>
    </row>
    <row r="192" ht="14.25" customHeight="1">
      <c r="J192" s="22"/>
      <c r="K192" s="23"/>
    </row>
    <row r="193" ht="14.25" customHeight="1">
      <c r="J193" s="22"/>
      <c r="K193" s="23"/>
    </row>
    <row r="194" ht="14.25" customHeight="1">
      <c r="J194" s="22"/>
      <c r="K194" s="23"/>
    </row>
    <row r="195" ht="14.25" customHeight="1">
      <c r="J195" s="22"/>
      <c r="K195" s="23"/>
    </row>
    <row r="196" ht="14.25" customHeight="1">
      <c r="J196" s="22"/>
      <c r="K196" s="23"/>
    </row>
    <row r="197" ht="14.25" customHeight="1">
      <c r="J197" s="22"/>
      <c r="K197" s="23"/>
    </row>
    <row r="198" ht="14.25" customHeight="1">
      <c r="J198" s="22"/>
      <c r="K198" s="23"/>
    </row>
    <row r="199" ht="14.25" customHeight="1">
      <c r="J199" s="22"/>
      <c r="K199" s="23"/>
    </row>
    <row r="200" ht="14.25" customHeight="1">
      <c r="J200" s="22"/>
      <c r="K200" s="23"/>
    </row>
    <row r="201" ht="14.25" customHeight="1">
      <c r="J201" s="22"/>
      <c r="K201" s="23"/>
    </row>
    <row r="202" ht="14.25" customHeight="1">
      <c r="J202" s="22"/>
      <c r="K202" s="23"/>
    </row>
    <row r="203" ht="14.25" customHeight="1">
      <c r="J203" s="22"/>
      <c r="K203" s="23"/>
    </row>
    <row r="204" ht="14.25" customHeight="1">
      <c r="J204" s="22"/>
      <c r="K204" s="23"/>
    </row>
    <row r="205" ht="14.25" customHeight="1">
      <c r="J205" s="22"/>
      <c r="K205" s="23"/>
    </row>
    <row r="206" ht="14.25" customHeight="1">
      <c r="J206" s="22"/>
      <c r="K206" s="23"/>
    </row>
    <row r="207" ht="14.25" customHeight="1">
      <c r="J207" s="22"/>
      <c r="K207" s="23"/>
    </row>
    <row r="208" ht="14.25" customHeight="1">
      <c r="J208" s="22"/>
      <c r="K208" s="23"/>
    </row>
    <row r="209" ht="14.25" customHeight="1">
      <c r="J209" s="22"/>
      <c r="K209" s="23"/>
    </row>
    <row r="210" ht="14.25" customHeight="1">
      <c r="J210" s="22"/>
      <c r="K210" s="23"/>
    </row>
    <row r="211" ht="14.25" customHeight="1">
      <c r="J211" s="22"/>
      <c r="K211" s="23"/>
    </row>
    <row r="212" ht="14.25" customHeight="1">
      <c r="J212" s="22"/>
      <c r="K212" s="23"/>
    </row>
    <row r="213" ht="14.25" customHeight="1">
      <c r="J213" s="22"/>
      <c r="K213" s="23"/>
    </row>
    <row r="214" ht="14.25" customHeight="1">
      <c r="J214" s="22"/>
      <c r="K214" s="23"/>
    </row>
    <row r="215" ht="14.25" customHeight="1">
      <c r="J215" s="22"/>
      <c r="K215" s="23"/>
    </row>
    <row r="216" ht="14.25" customHeight="1">
      <c r="J216" s="22"/>
      <c r="K216" s="23"/>
    </row>
    <row r="217" ht="14.25" customHeight="1">
      <c r="J217" s="22"/>
      <c r="K217" s="23"/>
    </row>
    <row r="218" ht="14.25" customHeight="1">
      <c r="J218" s="22"/>
      <c r="K218" s="23"/>
    </row>
    <row r="219" ht="14.25" customHeight="1">
      <c r="J219" s="22"/>
      <c r="K219" s="23"/>
    </row>
    <row r="220" ht="14.25" customHeight="1">
      <c r="J220" s="22"/>
      <c r="K220" s="23"/>
    </row>
    <row r="221" ht="14.25" customHeight="1">
      <c r="J221" s="22"/>
      <c r="K221" s="23"/>
    </row>
    <row r="222" ht="14.25" customHeight="1">
      <c r="J222" s="22"/>
      <c r="K222" s="23"/>
    </row>
    <row r="223" ht="14.25" customHeight="1">
      <c r="J223" s="22"/>
      <c r="K223" s="23"/>
    </row>
    <row r="224" ht="14.25" customHeight="1">
      <c r="J224" s="22"/>
      <c r="K224" s="23"/>
    </row>
    <row r="225" ht="14.25" customHeight="1">
      <c r="J225" s="22"/>
      <c r="K225" s="23"/>
    </row>
    <row r="226" ht="14.25" customHeight="1">
      <c r="J226" s="22"/>
      <c r="K226" s="23"/>
    </row>
    <row r="227" ht="14.25" customHeight="1">
      <c r="J227" s="22"/>
      <c r="K227" s="23"/>
    </row>
    <row r="228" ht="14.25" customHeight="1">
      <c r="J228" s="22"/>
      <c r="K228" s="23"/>
    </row>
    <row r="229" ht="14.25" customHeight="1">
      <c r="J229" s="22"/>
      <c r="K229" s="23"/>
    </row>
    <row r="230" ht="14.25" customHeight="1">
      <c r="J230" s="22"/>
      <c r="K230" s="23"/>
    </row>
    <row r="231" ht="14.25" customHeight="1">
      <c r="J231" s="22"/>
      <c r="K231" s="23"/>
    </row>
    <row r="232" ht="14.25" customHeight="1">
      <c r="J232" s="22"/>
      <c r="K232" s="23"/>
    </row>
    <row r="233" ht="14.25" customHeight="1">
      <c r="J233" s="22"/>
      <c r="K233" s="23"/>
    </row>
    <row r="234" ht="14.25" customHeight="1">
      <c r="J234" s="22"/>
      <c r="K234" s="23"/>
    </row>
    <row r="235" ht="14.25" customHeight="1">
      <c r="J235" s="22"/>
      <c r="K235" s="23"/>
    </row>
    <row r="236" ht="14.25" customHeight="1">
      <c r="J236" s="22"/>
      <c r="K236" s="23"/>
    </row>
    <row r="237" ht="14.25" customHeight="1">
      <c r="J237" s="22"/>
      <c r="K237" s="23"/>
    </row>
    <row r="238" ht="14.25" customHeight="1">
      <c r="J238" s="22"/>
      <c r="K238" s="23"/>
    </row>
    <row r="239" ht="14.25" customHeight="1">
      <c r="J239" s="22"/>
      <c r="K239" s="23"/>
    </row>
    <row r="240" ht="14.25" customHeight="1">
      <c r="J240" s="22"/>
      <c r="K240" s="23"/>
    </row>
    <row r="241" ht="14.25" customHeight="1">
      <c r="J241" s="22"/>
      <c r="K241" s="23"/>
    </row>
    <row r="242" ht="14.25" customHeight="1">
      <c r="J242" s="22"/>
      <c r="K242" s="23"/>
    </row>
    <row r="243" ht="14.25" customHeight="1">
      <c r="J243" s="22"/>
      <c r="K243" s="23"/>
    </row>
    <row r="244" ht="14.25" customHeight="1">
      <c r="J244" s="22"/>
      <c r="K244" s="23"/>
    </row>
    <row r="245" ht="14.25" customHeight="1">
      <c r="J245" s="22"/>
      <c r="K245" s="23"/>
    </row>
    <row r="246" ht="14.25" customHeight="1">
      <c r="J246" s="22"/>
      <c r="K246" s="23"/>
    </row>
    <row r="247" ht="14.25" customHeight="1">
      <c r="J247" s="22"/>
      <c r="K247" s="23"/>
    </row>
    <row r="248" ht="14.25" customHeight="1">
      <c r="J248" s="22"/>
      <c r="K248" s="23"/>
    </row>
    <row r="249" ht="14.25" customHeight="1">
      <c r="J249" s="22"/>
      <c r="K249" s="23"/>
    </row>
    <row r="250" ht="14.25" customHeight="1">
      <c r="J250" s="22"/>
      <c r="K250" s="23"/>
    </row>
    <row r="251" ht="14.25" customHeight="1">
      <c r="J251" s="22"/>
      <c r="K251" s="23"/>
    </row>
    <row r="252" ht="14.25" customHeight="1">
      <c r="J252" s="22"/>
      <c r="K252" s="23"/>
    </row>
    <row r="253" ht="14.25" customHeight="1">
      <c r="J253" s="22"/>
      <c r="K253" s="23"/>
    </row>
    <row r="254" ht="14.25" customHeight="1">
      <c r="J254" s="22"/>
      <c r="K254" s="23"/>
    </row>
    <row r="255" ht="14.25" customHeight="1">
      <c r="J255" s="22"/>
      <c r="K255" s="23"/>
    </row>
    <row r="256" ht="14.25" customHeight="1">
      <c r="J256" s="22"/>
      <c r="K256" s="23"/>
    </row>
    <row r="257" ht="14.25" customHeight="1">
      <c r="J257" s="22"/>
      <c r="K257" s="23"/>
    </row>
    <row r="258" ht="14.25" customHeight="1">
      <c r="J258" s="22"/>
      <c r="K258" s="23"/>
    </row>
    <row r="259" ht="14.25" customHeight="1">
      <c r="J259" s="22"/>
      <c r="K259" s="23"/>
    </row>
    <row r="260" ht="14.25" customHeight="1">
      <c r="J260" s="22"/>
      <c r="K260" s="23"/>
    </row>
    <row r="261" ht="14.25" customHeight="1">
      <c r="J261" s="22"/>
      <c r="K261" s="23"/>
    </row>
    <row r="262" ht="14.25" customHeight="1">
      <c r="J262" s="22"/>
      <c r="K262" s="23"/>
    </row>
    <row r="263" ht="14.25" customHeight="1">
      <c r="J263" s="22"/>
      <c r="K263" s="23"/>
    </row>
    <row r="264" ht="14.25" customHeight="1">
      <c r="J264" s="22"/>
      <c r="K264" s="23"/>
    </row>
    <row r="265" ht="14.25" customHeight="1">
      <c r="J265" s="22"/>
      <c r="K265" s="23"/>
    </row>
    <row r="266" ht="14.25" customHeight="1">
      <c r="J266" s="22"/>
      <c r="K266" s="23"/>
    </row>
    <row r="267" ht="14.25" customHeight="1">
      <c r="J267" s="22"/>
      <c r="K267" s="23"/>
    </row>
    <row r="268" ht="14.25" customHeight="1">
      <c r="J268" s="22"/>
      <c r="K268" s="23"/>
    </row>
    <row r="269" ht="14.25" customHeight="1">
      <c r="J269" s="22"/>
      <c r="K269" s="23"/>
    </row>
    <row r="270" ht="14.25" customHeight="1">
      <c r="J270" s="22"/>
      <c r="K270" s="23"/>
    </row>
    <row r="271" ht="14.25" customHeight="1">
      <c r="J271" s="22"/>
      <c r="K271" s="23"/>
    </row>
    <row r="272" ht="14.25" customHeight="1">
      <c r="J272" s="22"/>
      <c r="K272" s="23"/>
    </row>
    <row r="273" ht="14.25" customHeight="1">
      <c r="J273" s="22"/>
      <c r="K273" s="23"/>
    </row>
    <row r="274" ht="14.25" customHeight="1">
      <c r="J274" s="22"/>
      <c r="K274" s="23"/>
    </row>
    <row r="275" ht="14.25" customHeight="1">
      <c r="J275" s="22"/>
      <c r="K275" s="23"/>
    </row>
    <row r="276" ht="14.25" customHeight="1">
      <c r="J276" s="22"/>
      <c r="K276" s="23"/>
    </row>
    <row r="277" ht="14.25" customHeight="1">
      <c r="J277" s="22"/>
      <c r="K277" s="23"/>
    </row>
    <row r="278" ht="14.25" customHeight="1">
      <c r="J278" s="22"/>
      <c r="K278" s="23"/>
    </row>
    <row r="279" ht="14.25" customHeight="1">
      <c r="J279" s="22"/>
      <c r="K279" s="23"/>
    </row>
    <row r="280" ht="14.25" customHeight="1">
      <c r="J280" s="22"/>
      <c r="K280" s="23"/>
    </row>
    <row r="281" ht="14.25" customHeight="1">
      <c r="J281" s="22"/>
      <c r="K281" s="23"/>
    </row>
    <row r="282" ht="14.25" customHeight="1">
      <c r="J282" s="22"/>
      <c r="K282" s="23"/>
    </row>
    <row r="283" ht="14.25" customHeight="1">
      <c r="J283" s="22"/>
      <c r="K283" s="23"/>
    </row>
    <row r="284" ht="14.25" customHeight="1">
      <c r="J284" s="22"/>
      <c r="K284" s="23"/>
    </row>
    <row r="285" ht="14.25" customHeight="1">
      <c r="J285" s="22"/>
      <c r="K285" s="23"/>
    </row>
    <row r="286" ht="14.25" customHeight="1">
      <c r="J286" s="22"/>
      <c r="K286" s="23"/>
    </row>
    <row r="287" ht="14.25" customHeight="1">
      <c r="J287" s="22"/>
      <c r="K287" s="23"/>
    </row>
    <row r="288" ht="14.25" customHeight="1">
      <c r="J288" s="22"/>
      <c r="K288" s="23"/>
    </row>
    <row r="289" ht="14.25" customHeight="1">
      <c r="J289" s="22"/>
      <c r="K289" s="23"/>
    </row>
    <row r="290" ht="14.25" customHeight="1">
      <c r="J290" s="22"/>
      <c r="K290" s="23"/>
    </row>
    <row r="291" ht="14.25" customHeight="1">
      <c r="J291" s="22"/>
      <c r="K291" s="23"/>
    </row>
    <row r="292" ht="14.25" customHeight="1">
      <c r="J292" s="22"/>
      <c r="K292" s="23"/>
    </row>
    <row r="293" ht="14.25" customHeight="1">
      <c r="J293" s="22"/>
      <c r="K293" s="23"/>
    </row>
    <row r="294" ht="14.25" customHeight="1">
      <c r="J294" s="22"/>
      <c r="K294" s="23"/>
    </row>
    <row r="295" ht="14.25" customHeight="1">
      <c r="J295" s="22"/>
      <c r="K295" s="23"/>
    </row>
    <row r="296" ht="14.25" customHeight="1">
      <c r="J296" s="22"/>
      <c r="K296" s="23"/>
    </row>
    <row r="297" ht="14.25" customHeight="1">
      <c r="J297" s="22"/>
      <c r="K297" s="23"/>
    </row>
    <row r="298" ht="14.25" customHeight="1">
      <c r="J298" s="22"/>
      <c r="K298" s="23"/>
    </row>
    <row r="299" ht="14.25" customHeight="1">
      <c r="J299" s="22"/>
      <c r="K299" s="23"/>
    </row>
    <row r="300" ht="14.25" customHeight="1">
      <c r="J300" s="22"/>
      <c r="K300" s="23"/>
    </row>
    <row r="301" ht="14.25" customHeight="1">
      <c r="J301" s="22"/>
      <c r="K301" s="23"/>
    </row>
    <row r="302" ht="14.25" customHeight="1">
      <c r="J302" s="22"/>
      <c r="K302" s="23"/>
    </row>
    <row r="303" ht="14.25" customHeight="1">
      <c r="J303" s="22"/>
      <c r="K303" s="23"/>
    </row>
    <row r="304" ht="14.25" customHeight="1">
      <c r="J304" s="22"/>
      <c r="K304" s="23"/>
    </row>
    <row r="305" ht="14.25" customHeight="1">
      <c r="J305" s="22"/>
      <c r="K305" s="23"/>
    </row>
    <row r="306" ht="14.25" customHeight="1">
      <c r="J306" s="22"/>
      <c r="K306" s="23"/>
    </row>
    <row r="307" ht="14.25" customHeight="1">
      <c r="J307" s="22"/>
      <c r="K307" s="23"/>
    </row>
    <row r="308" ht="14.25" customHeight="1">
      <c r="J308" s="22"/>
      <c r="K308" s="23"/>
    </row>
    <row r="309" ht="14.25" customHeight="1">
      <c r="J309" s="22"/>
      <c r="K309" s="23"/>
    </row>
    <row r="310" ht="14.25" customHeight="1">
      <c r="J310" s="22"/>
      <c r="K310" s="23"/>
    </row>
    <row r="311" ht="14.25" customHeight="1">
      <c r="J311" s="22"/>
      <c r="K311" s="23"/>
    </row>
    <row r="312" ht="14.25" customHeight="1">
      <c r="J312" s="22"/>
      <c r="K312" s="23"/>
    </row>
    <row r="313" ht="14.25" customHeight="1">
      <c r="J313" s="22"/>
      <c r="K313" s="23"/>
    </row>
    <row r="314" ht="14.25" customHeight="1">
      <c r="J314" s="22"/>
      <c r="K314" s="23"/>
    </row>
    <row r="315" ht="14.25" customHeight="1">
      <c r="J315" s="22"/>
      <c r="K315" s="23"/>
    </row>
    <row r="316" ht="14.25" customHeight="1">
      <c r="J316" s="22"/>
      <c r="K316" s="23"/>
    </row>
    <row r="317" ht="14.25" customHeight="1">
      <c r="J317" s="22"/>
      <c r="K317" s="23"/>
    </row>
    <row r="318" ht="14.25" customHeight="1">
      <c r="J318" s="22"/>
      <c r="K318" s="23"/>
    </row>
    <row r="319" ht="14.25" customHeight="1">
      <c r="J319" s="22"/>
      <c r="K319" s="23"/>
    </row>
    <row r="320" ht="14.25" customHeight="1">
      <c r="J320" s="22"/>
      <c r="K320" s="23"/>
    </row>
    <row r="321" ht="14.25" customHeight="1">
      <c r="J321" s="22"/>
      <c r="K321" s="23"/>
    </row>
    <row r="322" ht="14.25" customHeight="1">
      <c r="J322" s="22"/>
      <c r="K322" s="23"/>
    </row>
    <row r="323" ht="14.25" customHeight="1">
      <c r="J323" s="22"/>
      <c r="K323" s="23"/>
    </row>
    <row r="324" ht="14.25" customHeight="1">
      <c r="J324" s="22"/>
      <c r="K324" s="23"/>
    </row>
    <row r="325" ht="14.25" customHeight="1">
      <c r="J325" s="22"/>
      <c r="K325" s="23"/>
    </row>
    <row r="326" ht="14.25" customHeight="1">
      <c r="J326" s="22"/>
      <c r="K326" s="23"/>
    </row>
    <row r="327" ht="14.25" customHeight="1">
      <c r="J327" s="22"/>
      <c r="K327" s="23"/>
    </row>
    <row r="328" ht="14.25" customHeight="1">
      <c r="J328" s="22"/>
      <c r="K328" s="23"/>
    </row>
    <row r="329" ht="14.25" customHeight="1">
      <c r="J329" s="22"/>
      <c r="K329" s="23"/>
    </row>
    <row r="330" ht="14.25" customHeight="1">
      <c r="J330" s="22"/>
      <c r="K330" s="23"/>
    </row>
    <row r="331" ht="14.25" customHeight="1">
      <c r="J331" s="22"/>
      <c r="K331" s="23"/>
    </row>
    <row r="332" ht="14.25" customHeight="1">
      <c r="J332" s="22"/>
      <c r="K332" s="23"/>
    </row>
    <row r="333" ht="14.25" customHeight="1">
      <c r="J333" s="22"/>
      <c r="K333" s="23"/>
    </row>
    <row r="334" ht="14.25" customHeight="1">
      <c r="J334" s="22"/>
      <c r="K334" s="23"/>
    </row>
    <row r="335" ht="14.25" customHeight="1">
      <c r="J335" s="22"/>
      <c r="K335" s="23"/>
    </row>
    <row r="336" ht="14.25" customHeight="1">
      <c r="J336" s="22"/>
      <c r="K336" s="23"/>
    </row>
    <row r="337" ht="14.25" customHeight="1">
      <c r="J337" s="22"/>
      <c r="K337" s="23"/>
    </row>
    <row r="338" ht="14.25" customHeight="1">
      <c r="J338" s="22"/>
      <c r="K338" s="23"/>
    </row>
    <row r="339" ht="14.25" customHeight="1">
      <c r="J339" s="22"/>
      <c r="K339" s="23"/>
    </row>
    <row r="340" ht="14.25" customHeight="1">
      <c r="J340" s="22"/>
      <c r="K340" s="23"/>
    </row>
    <row r="341" ht="14.25" customHeight="1">
      <c r="J341" s="22"/>
      <c r="K341" s="23"/>
    </row>
    <row r="342" ht="14.25" customHeight="1">
      <c r="J342" s="22"/>
      <c r="K342" s="23"/>
    </row>
    <row r="343" ht="14.25" customHeight="1">
      <c r="J343" s="22"/>
      <c r="K343" s="23"/>
    </row>
    <row r="344" ht="14.25" customHeight="1">
      <c r="J344" s="22"/>
      <c r="K344" s="23"/>
    </row>
    <row r="345" ht="14.25" customHeight="1">
      <c r="J345" s="22"/>
      <c r="K345" s="23"/>
    </row>
    <row r="346" ht="14.25" customHeight="1">
      <c r="J346" s="22"/>
      <c r="K346" s="23"/>
    </row>
    <row r="347" ht="14.25" customHeight="1">
      <c r="J347" s="22"/>
      <c r="K347" s="23"/>
    </row>
    <row r="348" ht="14.25" customHeight="1">
      <c r="J348" s="22"/>
      <c r="K348" s="23"/>
    </row>
    <row r="349" ht="14.25" customHeight="1">
      <c r="J349" s="22"/>
      <c r="K349" s="23"/>
    </row>
    <row r="350" ht="14.25" customHeight="1">
      <c r="J350" s="22"/>
      <c r="K350" s="23"/>
    </row>
    <row r="351" ht="14.25" customHeight="1">
      <c r="J351" s="22"/>
      <c r="K351" s="23"/>
    </row>
    <row r="352" ht="14.25" customHeight="1">
      <c r="J352" s="22"/>
      <c r="K352" s="23"/>
    </row>
    <row r="353" ht="14.25" customHeight="1">
      <c r="J353" s="22"/>
      <c r="K353" s="23"/>
    </row>
    <row r="354" ht="14.25" customHeight="1">
      <c r="J354" s="22"/>
      <c r="K354" s="23"/>
    </row>
    <row r="355" ht="14.25" customHeight="1">
      <c r="J355" s="22"/>
      <c r="K355" s="23"/>
    </row>
    <row r="356" ht="14.25" customHeight="1">
      <c r="J356" s="22"/>
      <c r="K356" s="23"/>
    </row>
    <row r="357" ht="14.25" customHeight="1">
      <c r="J357" s="22"/>
      <c r="K357" s="23"/>
    </row>
    <row r="358" ht="14.25" customHeight="1">
      <c r="J358" s="22"/>
      <c r="K358" s="23"/>
    </row>
    <row r="359" ht="14.25" customHeight="1">
      <c r="J359" s="22"/>
      <c r="K359" s="23"/>
    </row>
    <row r="360" ht="14.25" customHeight="1">
      <c r="J360" s="22"/>
      <c r="K360" s="23"/>
    </row>
    <row r="361" ht="14.25" customHeight="1">
      <c r="J361" s="22"/>
      <c r="K361" s="23"/>
    </row>
    <row r="362" ht="14.25" customHeight="1">
      <c r="J362" s="22"/>
      <c r="K362" s="23"/>
    </row>
    <row r="363" ht="14.25" customHeight="1">
      <c r="J363" s="22"/>
      <c r="K363" s="23"/>
    </row>
    <row r="364" ht="14.25" customHeight="1">
      <c r="J364" s="22"/>
      <c r="K364" s="23"/>
    </row>
    <row r="365" ht="14.25" customHeight="1">
      <c r="J365" s="22"/>
      <c r="K365" s="23"/>
    </row>
    <row r="366" ht="14.25" customHeight="1">
      <c r="J366" s="22"/>
      <c r="K366" s="23"/>
    </row>
    <row r="367" ht="14.25" customHeight="1">
      <c r="J367" s="22"/>
      <c r="K367" s="23"/>
    </row>
    <row r="368" ht="14.25" customHeight="1">
      <c r="J368" s="22"/>
      <c r="K368" s="23"/>
    </row>
    <row r="369" ht="14.25" customHeight="1">
      <c r="J369" s="22"/>
      <c r="K369" s="23"/>
    </row>
    <row r="370" ht="14.25" customHeight="1">
      <c r="J370" s="22"/>
      <c r="K370" s="23"/>
    </row>
    <row r="371" ht="14.25" customHeight="1">
      <c r="J371" s="22"/>
      <c r="K371" s="23"/>
    </row>
    <row r="372" ht="14.25" customHeight="1">
      <c r="J372" s="22"/>
      <c r="K372" s="23"/>
    </row>
    <row r="373" ht="14.25" customHeight="1">
      <c r="J373" s="22"/>
      <c r="K373" s="23"/>
    </row>
    <row r="374" ht="14.25" customHeight="1">
      <c r="J374" s="22"/>
      <c r="K374" s="23"/>
    </row>
    <row r="375" ht="14.25" customHeight="1">
      <c r="J375" s="22"/>
      <c r="K375" s="23"/>
    </row>
    <row r="376" ht="14.25" customHeight="1">
      <c r="J376" s="22"/>
      <c r="K376" s="23"/>
    </row>
    <row r="377" ht="14.25" customHeight="1">
      <c r="J377" s="22"/>
      <c r="K377" s="23"/>
    </row>
    <row r="378" ht="14.25" customHeight="1">
      <c r="J378" s="22"/>
      <c r="K378" s="23"/>
    </row>
    <row r="379" ht="14.25" customHeight="1">
      <c r="J379" s="22"/>
      <c r="K379" s="23"/>
    </row>
    <row r="380" ht="14.25" customHeight="1">
      <c r="J380" s="22"/>
      <c r="K380" s="23"/>
    </row>
    <row r="381" ht="14.25" customHeight="1">
      <c r="J381" s="22"/>
      <c r="K381" s="23"/>
    </row>
    <row r="382" ht="14.25" customHeight="1">
      <c r="J382" s="22"/>
      <c r="K382" s="23"/>
    </row>
    <row r="383" ht="14.25" customHeight="1">
      <c r="J383" s="22"/>
      <c r="K383" s="23"/>
    </row>
    <row r="384" ht="14.25" customHeight="1">
      <c r="J384" s="22"/>
      <c r="K384" s="23"/>
    </row>
    <row r="385" ht="14.25" customHeight="1">
      <c r="J385" s="22"/>
      <c r="K385" s="23"/>
    </row>
    <row r="386" ht="14.25" customHeight="1">
      <c r="J386" s="22"/>
      <c r="K386" s="23"/>
    </row>
    <row r="387" ht="14.25" customHeight="1">
      <c r="J387" s="22"/>
      <c r="K387" s="23"/>
    </row>
    <row r="388" ht="14.25" customHeight="1">
      <c r="J388" s="22"/>
      <c r="K388" s="23"/>
    </row>
    <row r="389" ht="14.25" customHeight="1">
      <c r="J389" s="22"/>
      <c r="K389" s="23"/>
    </row>
    <row r="390" ht="14.25" customHeight="1">
      <c r="J390" s="22"/>
      <c r="K390" s="23"/>
    </row>
    <row r="391" ht="14.25" customHeight="1">
      <c r="J391" s="22"/>
      <c r="K391" s="23"/>
    </row>
    <row r="392" ht="14.25" customHeight="1">
      <c r="J392" s="22"/>
      <c r="K392" s="23"/>
    </row>
    <row r="393" ht="14.25" customHeight="1">
      <c r="J393" s="22"/>
      <c r="K393" s="23"/>
    </row>
    <row r="394" ht="14.25" customHeight="1">
      <c r="J394" s="22"/>
      <c r="K394" s="23"/>
    </row>
    <row r="395" ht="14.25" customHeight="1">
      <c r="J395" s="22"/>
      <c r="K395" s="23"/>
    </row>
    <row r="396" ht="14.25" customHeight="1">
      <c r="J396" s="22"/>
      <c r="K396" s="23"/>
    </row>
    <row r="397" ht="14.25" customHeight="1">
      <c r="J397" s="22"/>
      <c r="K397" s="23"/>
    </row>
    <row r="398" ht="14.25" customHeight="1">
      <c r="J398" s="22"/>
      <c r="K398" s="23"/>
    </row>
    <row r="399" ht="14.25" customHeight="1">
      <c r="J399" s="22"/>
      <c r="K399" s="23"/>
    </row>
    <row r="400" ht="14.25" customHeight="1">
      <c r="J400" s="22"/>
      <c r="K400" s="23"/>
    </row>
    <row r="401" ht="14.25" customHeight="1">
      <c r="J401" s="22"/>
      <c r="K401" s="23"/>
    </row>
    <row r="402" ht="14.25" customHeight="1">
      <c r="J402" s="22"/>
      <c r="K402" s="23"/>
    </row>
    <row r="403" ht="14.25" customHeight="1">
      <c r="J403" s="22"/>
      <c r="K403" s="23"/>
    </row>
    <row r="404" ht="14.25" customHeight="1">
      <c r="J404" s="22"/>
      <c r="K404" s="23"/>
    </row>
    <row r="405" ht="14.25" customHeight="1">
      <c r="J405" s="22"/>
      <c r="K405" s="23"/>
    </row>
    <row r="406" ht="14.25" customHeight="1">
      <c r="J406" s="22"/>
      <c r="K406" s="23"/>
    </row>
    <row r="407" ht="14.25" customHeight="1">
      <c r="J407" s="22"/>
      <c r="K407" s="23"/>
    </row>
    <row r="408" ht="14.25" customHeight="1">
      <c r="J408" s="22"/>
      <c r="K408" s="23"/>
    </row>
    <row r="409" ht="14.25" customHeight="1">
      <c r="J409" s="22"/>
      <c r="K409" s="23"/>
    </row>
    <row r="410" ht="14.25" customHeight="1">
      <c r="J410" s="22"/>
      <c r="K410" s="23"/>
    </row>
    <row r="411" ht="14.25" customHeight="1">
      <c r="J411" s="22"/>
      <c r="K411" s="23"/>
    </row>
    <row r="412" ht="14.25" customHeight="1">
      <c r="J412" s="22"/>
      <c r="K412" s="23"/>
    </row>
    <row r="413" ht="14.25" customHeight="1">
      <c r="J413" s="22"/>
      <c r="K413" s="23"/>
    </row>
    <row r="414" ht="14.25" customHeight="1">
      <c r="J414" s="22"/>
      <c r="K414" s="23"/>
    </row>
    <row r="415" ht="14.25" customHeight="1">
      <c r="J415" s="22"/>
      <c r="K415" s="23"/>
    </row>
    <row r="416" ht="14.25" customHeight="1">
      <c r="J416" s="22"/>
      <c r="K416" s="23"/>
    </row>
    <row r="417" ht="14.25" customHeight="1">
      <c r="J417" s="22"/>
      <c r="K417" s="23"/>
    </row>
    <row r="418" ht="14.25" customHeight="1">
      <c r="J418" s="22"/>
      <c r="K418" s="23"/>
    </row>
    <row r="419" ht="14.25" customHeight="1">
      <c r="J419" s="22"/>
      <c r="K419" s="23"/>
    </row>
    <row r="420" ht="14.25" customHeight="1">
      <c r="J420" s="22"/>
      <c r="K420" s="23"/>
    </row>
    <row r="421" ht="14.25" customHeight="1">
      <c r="J421" s="22"/>
      <c r="K421" s="23"/>
    </row>
    <row r="422" ht="14.25" customHeight="1">
      <c r="J422" s="22"/>
      <c r="K422" s="23"/>
    </row>
    <row r="423" ht="14.25" customHeight="1">
      <c r="J423" s="22"/>
      <c r="K423" s="23"/>
    </row>
    <row r="424" ht="14.25" customHeight="1">
      <c r="J424" s="22"/>
      <c r="K424" s="23"/>
    </row>
    <row r="425" ht="14.25" customHeight="1">
      <c r="J425" s="22"/>
      <c r="K425" s="23"/>
    </row>
    <row r="426" ht="14.25" customHeight="1">
      <c r="J426" s="22"/>
      <c r="K426" s="23"/>
    </row>
    <row r="427" ht="14.25" customHeight="1">
      <c r="J427" s="22"/>
      <c r="K427" s="23"/>
    </row>
    <row r="428" ht="14.25" customHeight="1">
      <c r="J428" s="22"/>
      <c r="K428" s="23"/>
    </row>
    <row r="429" ht="14.25" customHeight="1">
      <c r="J429" s="22"/>
      <c r="K429" s="23"/>
    </row>
    <row r="430" ht="14.25" customHeight="1">
      <c r="J430" s="22"/>
      <c r="K430" s="23"/>
    </row>
    <row r="431" ht="14.25" customHeight="1">
      <c r="J431" s="22"/>
      <c r="K431" s="23"/>
    </row>
    <row r="432" ht="14.25" customHeight="1">
      <c r="J432" s="22"/>
      <c r="K432" s="23"/>
    </row>
    <row r="433" ht="14.25" customHeight="1">
      <c r="J433" s="22"/>
      <c r="K433" s="23"/>
    </row>
    <row r="434" ht="14.25" customHeight="1">
      <c r="J434" s="22"/>
      <c r="K434" s="23"/>
    </row>
    <row r="435" ht="14.25" customHeight="1">
      <c r="J435" s="22"/>
      <c r="K435" s="23"/>
    </row>
    <row r="436" ht="14.25" customHeight="1">
      <c r="J436" s="22"/>
      <c r="K436" s="23"/>
    </row>
    <row r="437" ht="14.25" customHeight="1">
      <c r="J437" s="22"/>
      <c r="K437" s="23"/>
    </row>
    <row r="438" ht="14.25" customHeight="1">
      <c r="J438" s="22"/>
      <c r="K438" s="23"/>
    </row>
    <row r="439" ht="14.25" customHeight="1">
      <c r="J439" s="22"/>
      <c r="K439" s="23"/>
    </row>
    <row r="440" ht="14.25" customHeight="1">
      <c r="J440" s="22"/>
      <c r="K440" s="23"/>
    </row>
    <row r="441" ht="14.25" customHeight="1">
      <c r="J441" s="22"/>
      <c r="K441" s="23"/>
    </row>
    <row r="442" ht="14.25" customHeight="1">
      <c r="J442" s="22"/>
      <c r="K442" s="23"/>
    </row>
    <row r="443" ht="14.25" customHeight="1">
      <c r="J443" s="22"/>
      <c r="K443" s="23"/>
    </row>
    <row r="444" ht="14.25" customHeight="1">
      <c r="J444" s="22"/>
      <c r="K444" s="23"/>
    </row>
    <row r="445" ht="14.25" customHeight="1">
      <c r="J445" s="22"/>
      <c r="K445" s="23"/>
    </row>
    <row r="446" ht="14.25" customHeight="1">
      <c r="J446" s="22"/>
      <c r="K446" s="23"/>
    </row>
    <row r="447" ht="14.25" customHeight="1">
      <c r="J447" s="22"/>
      <c r="K447" s="23"/>
    </row>
    <row r="448" ht="14.25" customHeight="1">
      <c r="J448" s="22"/>
      <c r="K448" s="23"/>
    </row>
    <row r="449" ht="14.25" customHeight="1">
      <c r="J449" s="22"/>
      <c r="K449" s="23"/>
    </row>
    <row r="450" ht="14.25" customHeight="1">
      <c r="J450" s="22"/>
      <c r="K450" s="23"/>
    </row>
    <row r="451" ht="14.25" customHeight="1">
      <c r="J451" s="22"/>
      <c r="K451" s="23"/>
    </row>
    <row r="452" ht="14.25" customHeight="1">
      <c r="J452" s="22"/>
      <c r="K452" s="23"/>
    </row>
    <row r="453" ht="14.25" customHeight="1">
      <c r="J453" s="22"/>
      <c r="K453" s="23"/>
    </row>
    <row r="454" ht="14.25" customHeight="1">
      <c r="J454" s="22"/>
      <c r="K454" s="23"/>
    </row>
    <row r="455" ht="14.25" customHeight="1">
      <c r="J455" s="22"/>
      <c r="K455" s="23"/>
    </row>
    <row r="456" ht="14.25" customHeight="1">
      <c r="J456" s="22"/>
      <c r="K456" s="23"/>
    </row>
    <row r="457" ht="14.25" customHeight="1">
      <c r="J457" s="22"/>
      <c r="K457" s="23"/>
    </row>
    <row r="458" ht="14.25" customHeight="1">
      <c r="J458" s="22"/>
      <c r="K458" s="23"/>
    </row>
    <row r="459" ht="14.25" customHeight="1">
      <c r="J459" s="22"/>
      <c r="K459" s="23"/>
    </row>
    <row r="460" ht="14.25" customHeight="1">
      <c r="J460" s="22"/>
      <c r="K460" s="23"/>
    </row>
    <row r="461" ht="14.25" customHeight="1">
      <c r="J461" s="22"/>
      <c r="K461" s="23"/>
    </row>
    <row r="462" ht="14.25" customHeight="1">
      <c r="J462" s="22"/>
      <c r="K462" s="23"/>
    </row>
    <row r="463" ht="14.25" customHeight="1">
      <c r="J463" s="22"/>
      <c r="K463" s="23"/>
    </row>
    <row r="464" ht="14.25" customHeight="1">
      <c r="J464" s="22"/>
      <c r="K464" s="23"/>
    </row>
    <row r="465" ht="14.25" customHeight="1">
      <c r="J465" s="22"/>
      <c r="K465" s="23"/>
    </row>
    <row r="466" ht="14.25" customHeight="1">
      <c r="J466" s="22"/>
      <c r="K466" s="23"/>
    </row>
    <row r="467" ht="14.25" customHeight="1">
      <c r="J467" s="22"/>
      <c r="K467" s="23"/>
    </row>
    <row r="468" ht="14.25" customHeight="1">
      <c r="J468" s="22"/>
      <c r="K468" s="23"/>
    </row>
    <row r="469" ht="14.25" customHeight="1">
      <c r="J469" s="22"/>
      <c r="K469" s="23"/>
    </row>
    <row r="470" ht="14.25" customHeight="1">
      <c r="J470" s="22"/>
      <c r="K470" s="23"/>
    </row>
    <row r="471" ht="14.25" customHeight="1">
      <c r="J471" s="22"/>
      <c r="K471" s="23"/>
    </row>
    <row r="472" ht="14.25" customHeight="1">
      <c r="J472" s="22"/>
      <c r="K472" s="23"/>
    </row>
    <row r="473" ht="14.25" customHeight="1">
      <c r="J473" s="22"/>
      <c r="K473" s="23"/>
    </row>
    <row r="474" ht="14.25" customHeight="1">
      <c r="J474" s="22"/>
      <c r="K474" s="23"/>
    </row>
    <row r="475" ht="14.25" customHeight="1">
      <c r="J475" s="22"/>
      <c r="K475" s="23"/>
    </row>
    <row r="476" ht="14.25" customHeight="1">
      <c r="J476" s="22"/>
      <c r="K476" s="23"/>
    </row>
    <row r="477" ht="14.25" customHeight="1">
      <c r="J477" s="22"/>
      <c r="K477" s="23"/>
    </row>
    <row r="478" ht="14.25" customHeight="1">
      <c r="J478" s="22"/>
      <c r="K478" s="23"/>
    </row>
    <row r="479" ht="14.25" customHeight="1">
      <c r="J479" s="22"/>
      <c r="K479" s="23"/>
    </row>
    <row r="480" ht="14.25" customHeight="1">
      <c r="J480" s="22"/>
      <c r="K480" s="23"/>
    </row>
    <row r="481" ht="14.25" customHeight="1">
      <c r="J481" s="22"/>
      <c r="K481" s="23"/>
    </row>
    <row r="482" ht="14.25" customHeight="1">
      <c r="J482" s="22"/>
      <c r="K482" s="23"/>
    </row>
    <row r="483" ht="14.25" customHeight="1">
      <c r="J483" s="22"/>
      <c r="K483" s="23"/>
    </row>
    <row r="484" ht="14.25" customHeight="1">
      <c r="J484" s="22"/>
      <c r="K484" s="23"/>
    </row>
    <row r="485" ht="14.25" customHeight="1">
      <c r="J485" s="22"/>
      <c r="K485" s="23"/>
    </row>
    <row r="486" ht="14.25" customHeight="1">
      <c r="J486" s="22"/>
      <c r="K486" s="23"/>
    </row>
    <row r="487" ht="14.25" customHeight="1">
      <c r="J487" s="22"/>
      <c r="K487" s="23"/>
    </row>
    <row r="488" ht="14.25" customHeight="1">
      <c r="J488" s="22"/>
      <c r="K488" s="23"/>
    </row>
    <row r="489" ht="14.25" customHeight="1">
      <c r="J489" s="22"/>
      <c r="K489" s="23"/>
    </row>
    <row r="490" ht="14.25" customHeight="1">
      <c r="J490" s="22"/>
      <c r="K490" s="23"/>
    </row>
    <row r="491" ht="14.25" customHeight="1">
      <c r="J491" s="22"/>
      <c r="K491" s="23"/>
    </row>
    <row r="492" ht="14.25" customHeight="1">
      <c r="J492" s="22"/>
      <c r="K492" s="23"/>
    </row>
    <row r="493" ht="14.25" customHeight="1">
      <c r="J493" s="22"/>
      <c r="K493" s="23"/>
    </row>
    <row r="494" ht="14.25" customHeight="1">
      <c r="J494" s="22"/>
      <c r="K494" s="23"/>
    </row>
    <row r="495" ht="14.25" customHeight="1">
      <c r="J495" s="22"/>
      <c r="K495" s="23"/>
    </row>
    <row r="496" ht="14.25" customHeight="1">
      <c r="J496" s="22"/>
      <c r="K496" s="23"/>
    </row>
    <row r="497" ht="14.25" customHeight="1">
      <c r="J497" s="22"/>
      <c r="K497" s="23"/>
    </row>
    <row r="498" ht="14.25" customHeight="1">
      <c r="J498" s="22"/>
      <c r="K498" s="23"/>
    </row>
    <row r="499" ht="14.25" customHeight="1">
      <c r="J499" s="22"/>
      <c r="K499" s="23"/>
    </row>
    <row r="500" ht="14.25" customHeight="1">
      <c r="J500" s="22"/>
      <c r="K500" s="23"/>
    </row>
    <row r="501" ht="14.25" customHeight="1">
      <c r="J501" s="22"/>
      <c r="K501" s="23"/>
    </row>
    <row r="502" ht="14.25" customHeight="1">
      <c r="J502" s="22"/>
      <c r="K502" s="23"/>
    </row>
    <row r="503" ht="14.25" customHeight="1">
      <c r="J503" s="22"/>
      <c r="K503" s="23"/>
    </row>
    <row r="504" ht="14.25" customHeight="1">
      <c r="J504" s="22"/>
      <c r="K504" s="23"/>
    </row>
    <row r="505" ht="14.25" customHeight="1">
      <c r="J505" s="22"/>
      <c r="K505" s="23"/>
    </row>
    <row r="506" ht="14.25" customHeight="1">
      <c r="J506" s="22"/>
      <c r="K506" s="23"/>
    </row>
    <row r="507" ht="14.25" customHeight="1">
      <c r="J507" s="22"/>
      <c r="K507" s="23"/>
    </row>
    <row r="508" ht="14.25" customHeight="1">
      <c r="J508" s="22"/>
      <c r="K508" s="23"/>
    </row>
    <row r="509" ht="14.25" customHeight="1">
      <c r="J509" s="22"/>
      <c r="K509" s="23"/>
    </row>
    <row r="510" ht="14.25" customHeight="1">
      <c r="J510" s="22"/>
      <c r="K510" s="23"/>
    </row>
    <row r="511" ht="14.25" customHeight="1">
      <c r="J511" s="22"/>
      <c r="K511" s="23"/>
    </row>
    <row r="512" ht="14.25" customHeight="1">
      <c r="J512" s="22"/>
      <c r="K512" s="23"/>
    </row>
    <row r="513" ht="14.25" customHeight="1">
      <c r="J513" s="22"/>
      <c r="K513" s="23"/>
    </row>
    <row r="514" ht="14.25" customHeight="1">
      <c r="J514" s="22"/>
      <c r="K514" s="23"/>
    </row>
    <row r="515" ht="14.25" customHeight="1">
      <c r="J515" s="22"/>
      <c r="K515" s="23"/>
    </row>
    <row r="516" ht="14.25" customHeight="1">
      <c r="J516" s="22"/>
      <c r="K516" s="23"/>
    </row>
    <row r="517" ht="14.25" customHeight="1">
      <c r="J517" s="22"/>
      <c r="K517" s="23"/>
    </row>
    <row r="518" ht="14.25" customHeight="1">
      <c r="J518" s="22"/>
      <c r="K518" s="23"/>
    </row>
    <row r="519" ht="14.25" customHeight="1">
      <c r="J519" s="22"/>
      <c r="K519" s="23"/>
    </row>
    <row r="520" ht="14.25" customHeight="1">
      <c r="J520" s="22"/>
      <c r="K520" s="23"/>
    </row>
    <row r="521" ht="14.25" customHeight="1">
      <c r="J521" s="22"/>
      <c r="K521" s="23"/>
    </row>
    <row r="522" ht="14.25" customHeight="1">
      <c r="J522" s="22"/>
      <c r="K522" s="23"/>
    </row>
    <row r="523" ht="14.25" customHeight="1">
      <c r="J523" s="22"/>
      <c r="K523" s="23"/>
    </row>
    <row r="524" ht="14.25" customHeight="1">
      <c r="J524" s="22"/>
      <c r="K524" s="23"/>
    </row>
    <row r="525" ht="14.25" customHeight="1">
      <c r="J525" s="22"/>
      <c r="K525" s="23"/>
    </row>
    <row r="526" ht="14.25" customHeight="1">
      <c r="J526" s="22"/>
      <c r="K526" s="23"/>
    </row>
    <row r="527" ht="14.25" customHeight="1">
      <c r="J527" s="22"/>
      <c r="K527" s="23"/>
    </row>
    <row r="528" ht="14.25" customHeight="1">
      <c r="J528" s="22"/>
      <c r="K528" s="23"/>
    </row>
    <row r="529" ht="14.25" customHeight="1">
      <c r="J529" s="22"/>
      <c r="K529" s="23"/>
    </row>
    <row r="530" ht="14.25" customHeight="1">
      <c r="J530" s="22"/>
      <c r="K530" s="23"/>
    </row>
    <row r="531" ht="14.25" customHeight="1">
      <c r="J531" s="22"/>
      <c r="K531" s="23"/>
    </row>
    <row r="532" ht="14.25" customHeight="1">
      <c r="J532" s="22"/>
      <c r="K532" s="23"/>
    </row>
    <row r="533" ht="14.25" customHeight="1">
      <c r="J533" s="22"/>
      <c r="K533" s="23"/>
    </row>
    <row r="534" ht="14.25" customHeight="1">
      <c r="J534" s="22"/>
      <c r="K534" s="23"/>
    </row>
    <row r="535" ht="14.25" customHeight="1">
      <c r="J535" s="22"/>
      <c r="K535" s="23"/>
    </row>
    <row r="536" ht="14.25" customHeight="1">
      <c r="J536" s="22"/>
      <c r="K536" s="23"/>
    </row>
    <row r="537" ht="14.25" customHeight="1">
      <c r="J537" s="22"/>
      <c r="K537" s="23"/>
    </row>
    <row r="538" ht="14.25" customHeight="1">
      <c r="J538" s="22"/>
      <c r="K538" s="23"/>
    </row>
    <row r="539" ht="14.25" customHeight="1">
      <c r="J539" s="22"/>
      <c r="K539" s="23"/>
    </row>
    <row r="540" ht="14.25" customHeight="1">
      <c r="J540" s="22"/>
      <c r="K540" s="23"/>
    </row>
    <row r="541" ht="14.25" customHeight="1">
      <c r="J541" s="22"/>
      <c r="K541" s="23"/>
    </row>
    <row r="542" ht="14.25" customHeight="1">
      <c r="J542" s="22"/>
      <c r="K542" s="23"/>
    </row>
    <row r="543" ht="14.25" customHeight="1">
      <c r="J543" s="22"/>
      <c r="K543" s="23"/>
    </row>
    <row r="544" ht="14.25" customHeight="1">
      <c r="J544" s="22"/>
      <c r="K544" s="23"/>
    </row>
    <row r="545" ht="14.25" customHeight="1">
      <c r="J545" s="22"/>
      <c r="K545" s="23"/>
    </row>
    <row r="546" ht="14.25" customHeight="1">
      <c r="J546" s="22"/>
      <c r="K546" s="23"/>
    </row>
    <row r="547" ht="14.25" customHeight="1">
      <c r="J547" s="22"/>
      <c r="K547" s="23"/>
    </row>
    <row r="548" ht="14.25" customHeight="1">
      <c r="J548" s="22"/>
      <c r="K548" s="23"/>
    </row>
    <row r="549" ht="14.25" customHeight="1">
      <c r="J549" s="22"/>
      <c r="K549" s="23"/>
    </row>
    <row r="550" ht="14.25" customHeight="1">
      <c r="J550" s="22"/>
      <c r="K550" s="23"/>
    </row>
    <row r="551" ht="14.25" customHeight="1">
      <c r="J551" s="22"/>
      <c r="K551" s="23"/>
    </row>
    <row r="552" ht="14.25" customHeight="1">
      <c r="J552" s="22"/>
      <c r="K552" s="23"/>
    </row>
    <row r="553" ht="14.25" customHeight="1">
      <c r="J553" s="22"/>
      <c r="K553" s="23"/>
    </row>
    <row r="554" ht="14.25" customHeight="1">
      <c r="J554" s="22"/>
      <c r="K554" s="23"/>
    </row>
    <row r="555" ht="14.25" customHeight="1">
      <c r="J555" s="22"/>
      <c r="K555" s="23"/>
    </row>
    <row r="556" ht="14.25" customHeight="1">
      <c r="J556" s="22"/>
      <c r="K556" s="23"/>
    </row>
    <row r="557" ht="14.25" customHeight="1">
      <c r="J557" s="22"/>
      <c r="K557" s="23"/>
    </row>
    <row r="558" ht="14.25" customHeight="1">
      <c r="J558" s="22"/>
      <c r="K558" s="23"/>
    </row>
    <row r="559" ht="14.25" customHeight="1">
      <c r="J559" s="22"/>
      <c r="K559" s="23"/>
    </row>
    <row r="560" ht="14.25" customHeight="1">
      <c r="J560" s="22"/>
      <c r="K560" s="23"/>
    </row>
    <row r="561" ht="14.25" customHeight="1">
      <c r="J561" s="22"/>
      <c r="K561" s="23"/>
    </row>
    <row r="562" ht="14.25" customHeight="1">
      <c r="J562" s="22"/>
      <c r="K562" s="23"/>
    </row>
    <row r="563" ht="14.25" customHeight="1">
      <c r="J563" s="22"/>
      <c r="K563" s="23"/>
    </row>
    <row r="564" ht="14.25" customHeight="1">
      <c r="J564" s="22"/>
      <c r="K564" s="23"/>
    </row>
    <row r="565" ht="14.25" customHeight="1">
      <c r="J565" s="22"/>
      <c r="K565" s="23"/>
    </row>
    <row r="566" ht="14.25" customHeight="1">
      <c r="J566" s="22"/>
      <c r="K566" s="23"/>
    </row>
    <row r="567" ht="14.25" customHeight="1">
      <c r="J567" s="22"/>
      <c r="K567" s="23"/>
    </row>
    <row r="568" ht="14.25" customHeight="1">
      <c r="J568" s="22"/>
      <c r="K568" s="23"/>
    </row>
    <row r="569" ht="14.25" customHeight="1">
      <c r="J569" s="22"/>
      <c r="K569" s="23"/>
    </row>
    <row r="570" ht="14.25" customHeight="1">
      <c r="J570" s="22"/>
      <c r="K570" s="23"/>
    </row>
    <row r="571" ht="14.25" customHeight="1">
      <c r="J571" s="22"/>
      <c r="K571" s="23"/>
    </row>
    <row r="572" ht="14.25" customHeight="1">
      <c r="J572" s="22"/>
      <c r="K572" s="23"/>
    </row>
    <row r="573" ht="14.25" customHeight="1">
      <c r="J573" s="22"/>
      <c r="K573" s="23"/>
    </row>
    <row r="574" ht="14.25" customHeight="1">
      <c r="J574" s="22"/>
      <c r="K574" s="23"/>
    </row>
    <row r="575" ht="14.25" customHeight="1">
      <c r="J575" s="22"/>
      <c r="K575" s="23"/>
    </row>
    <row r="576" ht="14.25" customHeight="1">
      <c r="J576" s="22"/>
      <c r="K576" s="23"/>
    </row>
    <row r="577" ht="14.25" customHeight="1">
      <c r="J577" s="22"/>
      <c r="K577" s="23"/>
    </row>
    <row r="578" ht="14.25" customHeight="1">
      <c r="J578" s="22"/>
      <c r="K578" s="23"/>
    </row>
    <row r="579" ht="14.25" customHeight="1">
      <c r="J579" s="22"/>
      <c r="K579" s="23"/>
    </row>
    <row r="580" ht="14.25" customHeight="1">
      <c r="J580" s="22"/>
      <c r="K580" s="23"/>
    </row>
    <row r="581" ht="14.25" customHeight="1">
      <c r="J581" s="22"/>
      <c r="K581" s="23"/>
    </row>
    <row r="582" ht="14.25" customHeight="1">
      <c r="J582" s="22"/>
      <c r="K582" s="23"/>
    </row>
    <row r="583" ht="14.25" customHeight="1">
      <c r="J583" s="22"/>
      <c r="K583" s="23"/>
    </row>
    <row r="584" ht="14.25" customHeight="1">
      <c r="J584" s="22"/>
      <c r="K584" s="23"/>
    </row>
    <row r="585" ht="14.25" customHeight="1">
      <c r="J585" s="22"/>
      <c r="K585" s="23"/>
    </row>
    <row r="586" ht="14.25" customHeight="1">
      <c r="J586" s="22"/>
      <c r="K586" s="23"/>
    </row>
    <row r="587" ht="14.25" customHeight="1">
      <c r="J587" s="22"/>
      <c r="K587" s="23"/>
    </row>
    <row r="588" ht="14.25" customHeight="1">
      <c r="J588" s="22"/>
      <c r="K588" s="23"/>
    </row>
    <row r="589" ht="14.25" customHeight="1">
      <c r="J589" s="22"/>
      <c r="K589" s="23"/>
    </row>
    <row r="590" ht="14.25" customHeight="1">
      <c r="J590" s="22"/>
      <c r="K590" s="23"/>
    </row>
    <row r="591" ht="14.25" customHeight="1">
      <c r="J591" s="22"/>
      <c r="K591" s="23"/>
    </row>
    <row r="592" ht="14.25" customHeight="1">
      <c r="J592" s="22"/>
      <c r="K592" s="23"/>
    </row>
    <row r="593" ht="14.25" customHeight="1">
      <c r="J593" s="22"/>
      <c r="K593" s="23"/>
    </row>
    <row r="594" ht="14.25" customHeight="1">
      <c r="J594" s="22"/>
      <c r="K594" s="23"/>
    </row>
    <row r="595" ht="14.25" customHeight="1">
      <c r="J595" s="22"/>
      <c r="K595" s="23"/>
    </row>
    <row r="596" ht="14.25" customHeight="1">
      <c r="J596" s="22"/>
      <c r="K596" s="23"/>
    </row>
    <row r="597" ht="14.25" customHeight="1">
      <c r="J597" s="22"/>
      <c r="K597" s="23"/>
    </row>
    <row r="598" ht="14.25" customHeight="1">
      <c r="J598" s="22"/>
      <c r="K598" s="23"/>
    </row>
    <row r="599" ht="14.25" customHeight="1">
      <c r="J599" s="22"/>
      <c r="K599" s="23"/>
    </row>
    <row r="600" ht="14.25" customHeight="1">
      <c r="J600" s="22"/>
      <c r="K600" s="23"/>
    </row>
    <row r="601" ht="14.25" customHeight="1">
      <c r="J601" s="22"/>
      <c r="K601" s="23"/>
    </row>
    <row r="602" ht="14.25" customHeight="1">
      <c r="J602" s="22"/>
      <c r="K602" s="23"/>
    </row>
    <row r="603" ht="14.25" customHeight="1">
      <c r="J603" s="22"/>
      <c r="K603" s="23"/>
    </row>
    <row r="604" ht="14.25" customHeight="1">
      <c r="J604" s="22"/>
      <c r="K604" s="23"/>
    </row>
    <row r="605" ht="14.25" customHeight="1">
      <c r="J605" s="22"/>
      <c r="K605" s="23"/>
    </row>
    <row r="606" ht="14.25" customHeight="1">
      <c r="J606" s="22"/>
      <c r="K606" s="23"/>
    </row>
    <row r="607" ht="14.25" customHeight="1">
      <c r="J607" s="22"/>
      <c r="K607" s="23"/>
    </row>
    <row r="608" ht="14.25" customHeight="1">
      <c r="J608" s="22"/>
      <c r="K608" s="23"/>
    </row>
    <row r="609" ht="14.25" customHeight="1">
      <c r="J609" s="22"/>
      <c r="K609" s="23"/>
    </row>
    <row r="610" ht="14.25" customHeight="1">
      <c r="J610" s="22"/>
      <c r="K610" s="23"/>
    </row>
    <row r="611" ht="14.25" customHeight="1">
      <c r="J611" s="22"/>
      <c r="K611" s="23"/>
    </row>
    <row r="612" ht="14.25" customHeight="1">
      <c r="J612" s="22"/>
      <c r="K612" s="23"/>
    </row>
    <row r="613" ht="14.25" customHeight="1">
      <c r="J613" s="22"/>
      <c r="K613" s="23"/>
    </row>
    <row r="614" ht="14.25" customHeight="1">
      <c r="J614" s="22"/>
      <c r="K614" s="23"/>
    </row>
    <row r="615" ht="14.25" customHeight="1">
      <c r="J615" s="22"/>
      <c r="K615" s="23"/>
    </row>
    <row r="616" ht="14.25" customHeight="1">
      <c r="J616" s="22"/>
      <c r="K616" s="23"/>
    </row>
    <row r="617" ht="14.25" customHeight="1">
      <c r="J617" s="22"/>
      <c r="K617" s="23"/>
    </row>
    <row r="618" ht="14.25" customHeight="1">
      <c r="J618" s="22"/>
      <c r="K618" s="23"/>
    </row>
    <row r="619" ht="14.25" customHeight="1">
      <c r="J619" s="22"/>
      <c r="K619" s="23"/>
    </row>
    <row r="620" ht="14.25" customHeight="1">
      <c r="J620" s="22"/>
      <c r="K620" s="23"/>
    </row>
    <row r="621" ht="14.25" customHeight="1">
      <c r="J621" s="22"/>
      <c r="K621" s="23"/>
    </row>
    <row r="622" ht="14.25" customHeight="1">
      <c r="J622" s="22"/>
      <c r="K622" s="23"/>
    </row>
    <row r="623" ht="14.25" customHeight="1">
      <c r="J623" s="22"/>
      <c r="K623" s="23"/>
    </row>
    <row r="624" ht="14.25" customHeight="1">
      <c r="J624" s="22"/>
      <c r="K624" s="23"/>
    </row>
    <row r="625" ht="14.25" customHeight="1">
      <c r="J625" s="22"/>
      <c r="K625" s="23"/>
    </row>
    <row r="626" ht="14.25" customHeight="1">
      <c r="J626" s="22"/>
      <c r="K626" s="23"/>
    </row>
    <row r="627" ht="14.25" customHeight="1">
      <c r="J627" s="22"/>
      <c r="K627" s="23"/>
    </row>
    <row r="628" ht="14.25" customHeight="1">
      <c r="J628" s="22"/>
      <c r="K628" s="23"/>
    </row>
    <row r="629" ht="14.25" customHeight="1">
      <c r="J629" s="22"/>
      <c r="K629" s="23"/>
    </row>
    <row r="630" ht="14.25" customHeight="1">
      <c r="J630" s="22"/>
      <c r="K630" s="23"/>
    </row>
    <row r="631" ht="14.25" customHeight="1">
      <c r="J631" s="22"/>
      <c r="K631" s="23"/>
    </row>
    <row r="632" ht="14.25" customHeight="1">
      <c r="J632" s="22"/>
      <c r="K632" s="23"/>
    </row>
    <row r="633" ht="14.25" customHeight="1">
      <c r="J633" s="22"/>
      <c r="K633" s="23"/>
    </row>
    <row r="634" ht="14.25" customHeight="1">
      <c r="J634" s="22"/>
      <c r="K634" s="23"/>
    </row>
    <row r="635" ht="14.25" customHeight="1">
      <c r="J635" s="22"/>
      <c r="K635" s="23"/>
    </row>
    <row r="636" ht="14.25" customHeight="1">
      <c r="J636" s="22"/>
      <c r="K636" s="23"/>
    </row>
    <row r="637" ht="14.25" customHeight="1">
      <c r="J637" s="22"/>
      <c r="K637" s="23"/>
    </row>
    <row r="638" ht="14.25" customHeight="1">
      <c r="J638" s="22"/>
      <c r="K638" s="23"/>
    </row>
    <row r="639" ht="14.25" customHeight="1">
      <c r="J639" s="22"/>
      <c r="K639" s="23"/>
    </row>
    <row r="640" ht="14.25" customHeight="1">
      <c r="J640" s="22"/>
      <c r="K640" s="23"/>
    </row>
    <row r="641" ht="14.25" customHeight="1">
      <c r="J641" s="22"/>
      <c r="K641" s="23"/>
    </row>
    <row r="642" ht="14.25" customHeight="1">
      <c r="J642" s="22"/>
      <c r="K642" s="23"/>
    </row>
    <row r="643" ht="14.25" customHeight="1">
      <c r="J643" s="22"/>
      <c r="K643" s="23"/>
    </row>
    <row r="644" ht="14.25" customHeight="1">
      <c r="J644" s="22"/>
      <c r="K644" s="23"/>
    </row>
    <row r="645" ht="14.25" customHeight="1">
      <c r="J645" s="22"/>
      <c r="K645" s="23"/>
    </row>
    <row r="646" ht="14.25" customHeight="1">
      <c r="J646" s="22"/>
      <c r="K646" s="23"/>
    </row>
    <row r="647" ht="14.25" customHeight="1">
      <c r="J647" s="22"/>
      <c r="K647" s="23"/>
    </row>
    <row r="648" ht="14.25" customHeight="1">
      <c r="J648" s="22"/>
      <c r="K648" s="23"/>
    </row>
    <row r="649" ht="14.25" customHeight="1">
      <c r="J649" s="22"/>
      <c r="K649" s="23"/>
    </row>
    <row r="650" ht="14.25" customHeight="1">
      <c r="J650" s="22"/>
      <c r="K650" s="23"/>
    </row>
    <row r="651" ht="14.25" customHeight="1">
      <c r="J651" s="22"/>
      <c r="K651" s="23"/>
    </row>
    <row r="652" ht="14.25" customHeight="1">
      <c r="J652" s="22"/>
      <c r="K652" s="23"/>
    </row>
    <row r="653" ht="14.25" customHeight="1">
      <c r="J653" s="22"/>
      <c r="K653" s="23"/>
    </row>
    <row r="654" ht="14.25" customHeight="1">
      <c r="J654" s="22"/>
      <c r="K654" s="23"/>
    </row>
    <row r="655" ht="14.25" customHeight="1">
      <c r="J655" s="22"/>
      <c r="K655" s="23"/>
    </row>
    <row r="656" ht="14.25" customHeight="1">
      <c r="J656" s="22"/>
      <c r="K656" s="23"/>
    </row>
    <row r="657" ht="14.25" customHeight="1">
      <c r="J657" s="22"/>
      <c r="K657" s="23"/>
    </row>
    <row r="658" ht="14.25" customHeight="1">
      <c r="J658" s="22"/>
      <c r="K658" s="23"/>
    </row>
    <row r="659" ht="14.25" customHeight="1">
      <c r="J659" s="22"/>
      <c r="K659" s="23"/>
    </row>
    <row r="660" ht="14.25" customHeight="1">
      <c r="J660" s="22"/>
      <c r="K660" s="23"/>
    </row>
    <row r="661" ht="14.25" customHeight="1">
      <c r="J661" s="22"/>
      <c r="K661" s="23"/>
    </row>
    <row r="662" ht="14.25" customHeight="1">
      <c r="J662" s="22"/>
      <c r="K662" s="23"/>
    </row>
    <row r="663" ht="14.25" customHeight="1">
      <c r="J663" s="22"/>
      <c r="K663" s="23"/>
    </row>
    <row r="664" ht="14.25" customHeight="1">
      <c r="J664" s="22"/>
      <c r="K664" s="23"/>
    </row>
    <row r="665" ht="14.25" customHeight="1">
      <c r="J665" s="22"/>
      <c r="K665" s="23"/>
    </row>
    <row r="666" ht="14.25" customHeight="1">
      <c r="J666" s="22"/>
      <c r="K666" s="23"/>
    </row>
    <row r="667" ht="14.25" customHeight="1">
      <c r="J667" s="22"/>
      <c r="K667" s="23"/>
    </row>
    <row r="668" ht="14.25" customHeight="1">
      <c r="J668" s="22"/>
      <c r="K668" s="23"/>
    </row>
    <row r="669" ht="14.25" customHeight="1">
      <c r="J669" s="22"/>
      <c r="K669" s="23"/>
    </row>
    <row r="670" ht="14.25" customHeight="1">
      <c r="J670" s="22"/>
      <c r="K670" s="23"/>
    </row>
    <row r="671" ht="14.25" customHeight="1">
      <c r="J671" s="22"/>
      <c r="K671" s="23"/>
    </row>
    <row r="672" ht="14.25" customHeight="1">
      <c r="J672" s="22"/>
      <c r="K672" s="23"/>
    </row>
    <row r="673" ht="14.25" customHeight="1">
      <c r="J673" s="22"/>
      <c r="K673" s="23"/>
    </row>
    <row r="674" ht="14.25" customHeight="1">
      <c r="J674" s="22"/>
      <c r="K674" s="23"/>
    </row>
    <row r="675" ht="14.25" customHeight="1">
      <c r="J675" s="22"/>
      <c r="K675" s="23"/>
    </row>
    <row r="676" ht="14.25" customHeight="1">
      <c r="J676" s="22"/>
      <c r="K676" s="23"/>
    </row>
    <row r="677" ht="14.25" customHeight="1">
      <c r="J677" s="22"/>
      <c r="K677" s="23"/>
    </row>
    <row r="678" ht="14.25" customHeight="1">
      <c r="J678" s="22"/>
      <c r="K678" s="23"/>
    </row>
    <row r="679" ht="14.25" customHeight="1">
      <c r="J679" s="22"/>
      <c r="K679" s="23"/>
    </row>
    <row r="680" ht="14.25" customHeight="1">
      <c r="J680" s="22"/>
      <c r="K680" s="23"/>
    </row>
    <row r="681" ht="14.25" customHeight="1">
      <c r="J681" s="22"/>
      <c r="K681" s="23"/>
    </row>
    <row r="682" ht="14.25" customHeight="1">
      <c r="J682" s="22"/>
      <c r="K682" s="23"/>
    </row>
    <row r="683" ht="14.25" customHeight="1">
      <c r="J683" s="22"/>
      <c r="K683" s="23"/>
    </row>
    <row r="684" ht="14.25" customHeight="1">
      <c r="J684" s="22"/>
      <c r="K684" s="23"/>
    </row>
    <row r="685" ht="14.25" customHeight="1">
      <c r="J685" s="22"/>
      <c r="K685" s="23"/>
    </row>
    <row r="686" ht="14.25" customHeight="1">
      <c r="J686" s="22"/>
      <c r="K686" s="23"/>
    </row>
    <row r="687" ht="14.25" customHeight="1">
      <c r="J687" s="22"/>
      <c r="K687" s="23"/>
    </row>
    <row r="688" ht="14.25" customHeight="1">
      <c r="J688" s="22"/>
      <c r="K688" s="23"/>
    </row>
    <row r="689" ht="14.25" customHeight="1">
      <c r="J689" s="22"/>
      <c r="K689" s="23"/>
    </row>
    <row r="690" ht="14.25" customHeight="1">
      <c r="J690" s="22"/>
      <c r="K690" s="23"/>
    </row>
    <row r="691" ht="14.25" customHeight="1">
      <c r="J691" s="22"/>
      <c r="K691" s="23"/>
    </row>
    <row r="692" ht="14.25" customHeight="1">
      <c r="J692" s="22"/>
      <c r="K692" s="23"/>
    </row>
    <row r="693" ht="14.25" customHeight="1">
      <c r="J693" s="22"/>
      <c r="K693" s="23"/>
    </row>
    <row r="694" ht="14.25" customHeight="1">
      <c r="J694" s="22"/>
      <c r="K694" s="23"/>
    </row>
    <row r="695" ht="14.25" customHeight="1">
      <c r="J695" s="22"/>
      <c r="K695" s="23"/>
    </row>
    <row r="696" ht="14.25" customHeight="1">
      <c r="J696" s="22"/>
      <c r="K696" s="23"/>
    </row>
    <row r="697" ht="14.25" customHeight="1">
      <c r="J697" s="22"/>
      <c r="K697" s="23"/>
    </row>
    <row r="698" ht="14.25" customHeight="1">
      <c r="J698" s="22"/>
      <c r="K698" s="23"/>
    </row>
    <row r="699" ht="14.25" customHeight="1">
      <c r="J699" s="22"/>
      <c r="K699" s="23"/>
    </row>
    <row r="700" ht="14.25" customHeight="1">
      <c r="J700" s="22"/>
      <c r="K700" s="23"/>
    </row>
    <row r="701" ht="14.25" customHeight="1">
      <c r="J701" s="22"/>
      <c r="K701" s="23"/>
    </row>
    <row r="702" ht="14.25" customHeight="1">
      <c r="J702" s="22"/>
      <c r="K702" s="23"/>
    </row>
    <row r="703" ht="14.25" customHeight="1">
      <c r="J703" s="22"/>
      <c r="K703" s="23"/>
    </row>
    <row r="704" ht="14.25" customHeight="1">
      <c r="J704" s="22"/>
      <c r="K704" s="23"/>
    </row>
    <row r="705" ht="14.25" customHeight="1">
      <c r="J705" s="22"/>
      <c r="K705" s="23"/>
    </row>
    <row r="706" ht="14.25" customHeight="1">
      <c r="J706" s="22"/>
      <c r="K706" s="23"/>
    </row>
    <row r="707" ht="14.25" customHeight="1">
      <c r="J707" s="22"/>
      <c r="K707" s="23"/>
    </row>
    <row r="708" ht="14.25" customHeight="1">
      <c r="J708" s="22"/>
      <c r="K708" s="23"/>
    </row>
    <row r="709" ht="14.25" customHeight="1">
      <c r="J709" s="22"/>
      <c r="K709" s="23"/>
    </row>
    <row r="710" ht="14.25" customHeight="1">
      <c r="J710" s="22"/>
      <c r="K710" s="23"/>
    </row>
    <row r="711" ht="14.25" customHeight="1">
      <c r="J711" s="22"/>
      <c r="K711" s="23"/>
    </row>
    <row r="712" ht="14.25" customHeight="1">
      <c r="J712" s="22"/>
      <c r="K712" s="23"/>
    </row>
    <row r="713" ht="14.25" customHeight="1">
      <c r="J713" s="22"/>
      <c r="K713" s="23"/>
    </row>
    <row r="714" ht="14.25" customHeight="1">
      <c r="J714" s="22"/>
      <c r="K714" s="23"/>
    </row>
    <row r="715" ht="14.25" customHeight="1">
      <c r="J715" s="22"/>
      <c r="K715" s="23"/>
    </row>
    <row r="716" ht="14.25" customHeight="1">
      <c r="J716" s="22"/>
      <c r="K716" s="23"/>
    </row>
    <row r="717" ht="14.25" customHeight="1">
      <c r="J717" s="22"/>
      <c r="K717" s="23"/>
    </row>
    <row r="718" ht="14.25" customHeight="1">
      <c r="J718" s="22"/>
      <c r="K718" s="23"/>
    </row>
    <row r="719" ht="14.25" customHeight="1">
      <c r="J719" s="22"/>
      <c r="K719" s="23"/>
    </row>
    <row r="720" ht="14.25" customHeight="1">
      <c r="J720" s="22"/>
      <c r="K720" s="23"/>
    </row>
    <row r="721" ht="14.25" customHeight="1">
      <c r="J721" s="22"/>
      <c r="K721" s="23"/>
    </row>
    <row r="722" ht="14.25" customHeight="1">
      <c r="J722" s="22"/>
      <c r="K722" s="23"/>
    </row>
    <row r="723" ht="14.25" customHeight="1">
      <c r="J723" s="22"/>
      <c r="K723" s="23"/>
    </row>
    <row r="724" ht="14.25" customHeight="1">
      <c r="J724" s="22"/>
      <c r="K724" s="23"/>
    </row>
    <row r="725" ht="14.25" customHeight="1">
      <c r="J725" s="22"/>
      <c r="K725" s="23"/>
    </row>
    <row r="726" ht="14.25" customHeight="1">
      <c r="J726" s="22"/>
      <c r="K726" s="23"/>
    </row>
    <row r="727" ht="14.25" customHeight="1">
      <c r="J727" s="22"/>
      <c r="K727" s="23"/>
    </row>
    <row r="728" ht="14.25" customHeight="1">
      <c r="J728" s="22"/>
      <c r="K728" s="23"/>
    </row>
    <row r="729" ht="14.25" customHeight="1">
      <c r="J729" s="22"/>
      <c r="K729" s="23"/>
    </row>
    <row r="730" ht="14.25" customHeight="1">
      <c r="J730" s="22"/>
      <c r="K730" s="23"/>
    </row>
    <row r="731" ht="14.25" customHeight="1">
      <c r="J731" s="22"/>
      <c r="K731" s="23"/>
    </row>
    <row r="732" ht="14.25" customHeight="1">
      <c r="J732" s="22"/>
      <c r="K732" s="23"/>
    </row>
    <row r="733" ht="14.25" customHeight="1">
      <c r="J733" s="22"/>
      <c r="K733" s="23"/>
    </row>
    <row r="734" ht="14.25" customHeight="1">
      <c r="J734" s="22"/>
      <c r="K734" s="23"/>
    </row>
    <row r="735" ht="14.25" customHeight="1">
      <c r="J735" s="22"/>
      <c r="K735" s="23"/>
    </row>
    <row r="736" ht="14.25" customHeight="1">
      <c r="J736" s="22"/>
      <c r="K736" s="23"/>
    </row>
    <row r="737" ht="14.25" customHeight="1">
      <c r="J737" s="22"/>
      <c r="K737" s="23"/>
    </row>
    <row r="738" ht="14.25" customHeight="1">
      <c r="J738" s="22"/>
      <c r="K738" s="23"/>
    </row>
    <row r="739" ht="14.25" customHeight="1">
      <c r="J739" s="22"/>
      <c r="K739" s="23"/>
    </row>
    <row r="740" ht="14.25" customHeight="1">
      <c r="J740" s="22"/>
      <c r="K740" s="23"/>
    </row>
    <row r="741" ht="14.25" customHeight="1">
      <c r="J741" s="22"/>
      <c r="K741" s="23"/>
    </row>
    <row r="742" ht="14.25" customHeight="1">
      <c r="J742" s="22"/>
      <c r="K742" s="23"/>
    </row>
    <row r="743" ht="14.25" customHeight="1">
      <c r="J743" s="22"/>
      <c r="K743" s="23"/>
    </row>
    <row r="744" ht="14.25" customHeight="1">
      <c r="J744" s="22"/>
      <c r="K744" s="23"/>
    </row>
    <row r="745" ht="14.25" customHeight="1">
      <c r="J745" s="22"/>
      <c r="K745" s="23"/>
    </row>
    <row r="746" ht="14.25" customHeight="1">
      <c r="J746" s="22"/>
      <c r="K746" s="23"/>
    </row>
    <row r="747" ht="14.25" customHeight="1">
      <c r="J747" s="22"/>
      <c r="K747" s="23"/>
    </row>
    <row r="748" ht="14.25" customHeight="1">
      <c r="J748" s="22"/>
      <c r="K748" s="23"/>
    </row>
    <row r="749" ht="14.25" customHeight="1">
      <c r="J749" s="22"/>
      <c r="K749" s="23"/>
    </row>
    <row r="750" ht="14.25" customHeight="1">
      <c r="J750" s="22"/>
      <c r="K750" s="23"/>
    </row>
    <row r="751" ht="14.25" customHeight="1">
      <c r="J751" s="22"/>
      <c r="K751" s="23"/>
    </row>
    <row r="752" ht="14.25" customHeight="1">
      <c r="J752" s="22"/>
      <c r="K752" s="23"/>
    </row>
    <row r="753" ht="14.25" customHeight="1">
      <c r="J753" s="22"/>
      <c r="K753" s="23"/>
    </row>
    <row r="754" ht="14.25" customHeight="1">
      <c r="J754" s="22"/>
      <c r="K754" s="23"/>
    </row>
    <row r="755" ht="14.25" customHeight="1">
      <c r="J755" s="22"/>
      <c r="K755" s="23"/>
    </row>
    <row r="756" ht="14.25" customHeight="1">
      <c r="J756" s="22"/>
      <c r="K756" s="23"/>
    </row>
    <row r="757" ht="14.25" customHeight="1">
      <c r="J757" s="22"/>
      <c r="K757" s="23"/>
    </row>
    <row r="758" ht="14.25" customHeight="1">
      <c r="J758" s="22"/>
      <c r="K758" s="23"/>
    </row>
    <row r="759" ht="14.25" customHeight="1">
      <c r="J759" s="22"/>
      <c r="K759" s="23"/>
    </row>
    <row r="760" ht="14.25" customHeight="1">
      <c r="J760" s="22"/>
      <c r="K760" s="23"/>
    </row>
    <row r="761" ht="14.25" customHeight="1">
      <c r="J761" s="22"/>
      <c r="K761" s="23"/>
    </row>
    <row r="762" ht="14.25" customHeight="1">
      <c r="J762" s="22"/>
      <c r="K762" s="23"/>
    </row>
    <row r="763" ht="14.25" customHeight="1">
      <c r="J763" s="22"/>
      <c r="K763" s="23"/>
    </row>
    <row r="764" ht="14.25" customHeight="1">
      <c r="J764" s="22"/>
      <c r="K764" s="23"/>
    </row>
    <row r="765" ht="14.25" customHeight="1">
      <c r="J765" s="22"/>
      <c r="K765" s="23"/>
    </row>
    <row r="766" ht="14.25" customHeight="1">
      <c r="J766" s="22"/>
      <c r="K766" s="23"/>
    </row>
    <row r="767" ht="14.25" customHeight="1">
      <c r="J767" s="22"/>
      <c r="K767" s="23"/>
    </row>
    <row r="768" ht="14.25" customHeight="1">
      <c r="J768" s="22"/>
      <c r="K768" s="23"/>
    </row>
    <row r="769" ht="14.25" customHeight="1">
      <c r="J769" s="22"/>
      <c r="K769" s="23"/>
    </row>
    <row r="770" ht="14.25" customHeight="1">
      <c r="J770" s="22"/>
      <c r="K770" s="23"/>
    </row>
    <row r="771" ht="14.25" customHeight="1">
      <c r="J771" s="22"/>
      <c r="K771" s="23"/>
    </row>
    <row r="772" ht="14.25" customHeight="1">
      <c r="J772" s="22"/>
      <c r="K772" s="23"/>
    </row>
    <row r="773" ht="14.25" customHeight="1">
      <c r="J773" s="22"/>
      <c r="K773" s="23"/>
    </row>
    <row r="774" ht="14.25" customHeight="1">
      <c r="J774" s="22"/>
      <c r="K774" s="23"/>
    </row>
    <row r="775" ht="14.25" customHeight="1">
      <c r="J775" s="22"/>
      <c r="K775" s="23"/>
    </row>
    <row r="776" ht="14.25" customHeight="1">
      <c r="J776" s="22"/>
      <c r="K776" s="23"/>
    </row>
    <row r="777" ht="14.25" customHeight="1">
      <c r="J777" s="22"/>
      <c r="K777" s="23"/>
    </row>
    <row r="778" ht="14.25" customHeight="1">
      <c r="J778" s="22"/>
      <c r="K778" s="23"/>
    </row>
    <row r="779" ht="14.25" customHeight="1">
      <c r="J779" s="22"/>
      <c r="K779" s="23"/>
    </row>
    <row r="780" ht="14.25" customHeight="1">
      <c r="J780" s="22"/>
      <c r="K780" s="23"/>
    </row>
    <row r="781" ht="14.25" customHeight="1">
      <c r="J781" s="22"/>
      <c r="K781" s="23"/>
    </row>
    <row r="782" ht="14.25" customHeight="1">
      <c r="J782" s="22"/>
      <c r="K782" s="23"/>
    </row>
    <row r="783" ht="14.25" customHeight="1">
      <c r="J783" s="22"/>
      <c r="K783" s="23"/>
    </row>
    <row r="784" ht="14.25" customHeight="1">
      <c r="J784" s="22"/>
      <c r="K784" s="23"/>
    </row>
    <row r="785" ht="14.25" customHeight="1">
      <c r="J785" s="22"/>
      <c r="K785" s="23"/>
    </row>
    <row r="786" ht="14.25" customHeight="1">
      <c r="J786" s="22"/>
      <c r="K786" s="23"/>
    </row>
    <row r="787" ht="14.25" customHeight="1">
      <c r="J787" s="22"/>
      <c r="K787" s="23"/>
    </row>
    <row r="788" ht="14.25" customHeight="1">
      <c r="J788" s="22"/>
      <c r="K788" s="23"/>
    </row>
    <row r="789" ht="14.25" customHeight="1">
      <c r="J789" s="22"/>
      <c r="K789" s="23"/>
    </row>
    <row r="790" ht="14.25" customHeight="1">
      <c r="J790" s="22"/>
      <c r="K790" s="23"/>
    </row>
    <row r="791" ht="14.25" customHeight="1">
      <c r="J791" s="22"/>
      <c r="K791" s="23"/>
    </row>
    <row r="792" ht="14.25" customHeight="1">
      <c r="J792" s="22"/>
      <c r="K792" s="23"/>
    </row>
    <row r="793" ht="14.25" customHeight="1">
      <c r="J793" s="22"/>
      <c r="K793" s="23"/>
    </row>
    <row r="794" ht="14.25" customHeight="1">
      <c r="J794" s="22"/>
      <c r="K794" s="23"/>
    </row>
    <row r="795" ht="14.25" customHeight="1">
      <c r="J795" s="22"/>
      <c r="K795" s="23"/>
    </row>
    <row r="796" ht="14.25" customHeight="1">
      <c r="J796" s="22"/>
      <c r="K796" s="23"/>
    </row>
    <row r="797" ht="14.25" customHeight="1">
      <c r="J797" s="22"/>
      <c r="K797" s="23"/>
    </row>
    <row r="798" ht="14.25" customHeight="1">
      <c r="J798" s="22"/>
      <c r="K798" s="23"/>
    </row>
    <row r="799" ht="14.25" customHeight="1">
      <c r="J799" s="22"/>
      <c r="K799" s="23"/>
    </row>
    <row r="800" ht="14.25" customHeight="1">
      <c r="J800" s="22"/>
      <c r="K800" s="23"/>
    </row>
    <row r="801" ht="14.25" customHeight="1">
      <c r="J801" s="22"/>
      <c r="K801" s="23"/>
    </row>
    <row r="802" ht="14.25" customHeight="1">
      <c r="J802" s="22"/>
      <c r="K802" s="23"/>
    </row>
    <row r="803" ht="14.25" customHeight="1">
      <c r="J803" s="22"/>
      <c r="K803" s="23"/>
    </row>
    <row r="804" ht="14.25" customHeight="1">
      <c r="J804" s="22"/>
      <c r="K804" s="23"/>
    </row>
    <row r="805" ht="14.25" customHeight="1">
      <c r="J805" s="22"/>
      <c r="K805" s="23"/>
    </row>
    <row r="806" ht="14.25" customHeight="1">
      <c r="J806" s="22"/>
      <c r="K806" s="23"/>
    </row>
    <row r="807" ht="14.25" customHeight="1">
      <c r="J807" s="22"/>
      <c r="K807" s="23"/>
    </row>
    <row r="808" ht="14.25" customHeight="1">
      <c r="J808" s="22"/>
      <c r="K808" s="23"/>
    </row>
    <row r="809" ht="14.25" customHeight="1">
      <c r="J809" s="22"/>
      <c r="K809" s="23"/>
    </row>
    <row r="810" ht="14.25" customHeight="1">
      <c r="J810" s="22"/>
      <c r="K810" s="23"/>
    </row>
    <row r="811" ht="14.25" customHeight="1">
      <c r="J811" s="22"/>
      <c r="K811" s="23"/>
    </row>
    <row r="812" ht="14.25" customHeight="1">
      <c r="J812" s="22"/>
      <c r="K812" s="23"/>
    </row>
    <row r="813" ht="14.25" customHeight="1">
      <c r="J813" s="22"/>
      <c r="K813" s="23"/>
    </row>
    <row r="814" ht="14.25" customHeight="1">
      <c r="J814" s="22"/>
      <c r="K814" s="23"/>
    </row>
    <row r="815" ht="14.25" customHeight="1">
      <c r="J815" s="22"/>
      <c r="K815" s="23"/>
    </row>
    <row r="816" ht="14.25" customHeight="1">
      <c r="J816" s="22"/>
      <c r="K816" s="23"/>
    </row>
    <row r="817" ht="14.25" customHeight="1">
      <c r="J817" s="22"/>
      <c r="K817" s="23"/>
    </row>
    <row r="818" ht="14.25" customHeight="1">
      <c r="J818" s="22"/>
      <c r="K818" s="23"/>
    </row>
    <row r="819" ht="14.25" customHeight="1">
      <c r="J819" s="22"/>
      <c r="K819" s="23"/>
    </row>
    <row r="820" ht="14.25" customHeight="1">
      <c r="J820" s="22"/>
      <c r="K820" s="23"/>
    </row>
    <row r="821" ht="14.25" customHeight="1">
      <c r="J821" s="22"/>
      <c r="K821" s="23"/>
    </row>
    <row r="822" ht="14.25" customHeight="1">
      <c r="J822" s="22"/>
      <c r="K822" s="23"/>
    </row>
    <row r="823" ht="14.25" customHeight="1">
      <c r="J823" s="22"/>
      <c r="K823" s="23"/>
    </row>
    <row r="824" ht="14.25" customHeight="1">
      <c r="J824" s="22"/>
      <c r="K824" s="23"/>
    </row>
    <row r="825" ht="14.25" customHeight="1">
      <c r="J825" s="22"/>
      <c r="K825" s="23"/>
    </row>
    <row r="826" ht="14.25" customHeight="1">
      <c r="J826" s="22"/>
      <c r="K826" s="23"/>
    </row>
    <row r="827" ht="14.25" customHeight="1">
      <c r="J827" s="22"/>
      <c r="K827" s="23"/>
    </row>
    <row r="828" ht="14.25" customHeight="1">
      <c r="J828" s="22"/>
      <c r="K828" s="23"/>
    </row>
    <row r="829" ht="14.25" customHeight="1">
      <c r="J829" s="22"/>
      <c r="K829" s="23"/>
    </row>
    <row r="830" ht="14.25" customHeight="1">
      <c r="J830" s="22"/>
      <c r="K830" s="23"/>
    </row>
    <row r="831" ht="14.25" customHeight="1">
      <c r="J831" s="22"/>
      <c r="K831" s="23"/>
    </row>
    <row r="832" ht="14.25" customHeight="1">
      <c r="J832" s="22"/>
      <c r="K832" s="23"/>
    </row>
    <row r="833" ht="14.25" customHeight="1">
      <c r="J833" s="22"/>
      <c r="K833" s="23"/>
    </row>
    <row r="834" ht="14.25" customHeight="1">
      <c r="J834" s="22"/>
      <c r="K834" s="23"/>
    </row>
    <row r="835" ht="14.25" customHeight="1">
      <c r="J835" s="22"/>
      <c r="K835" s="23"/>
    </row>
    <row r="836" ht="14.25" customHeight="1">
      <c r="J836" s="22"/>
      <c r="K836" s="23"/>
    </row>
    <row r="837" ht="14.25" customHeight="1">
      <c r="J837" s="22"/>
      <c r="K837" s="23"/>
    </row>
    <row r="838" ht="14.25" customHeight="1">
      <c r="J838" s="22"/>
      <c r="K838" s="23"/>
    </row>
    <row r="839" ht="14.25" customHeight="1">
      <c r="J839" s="22"/>
      <c r="K839" s="23"/>
    </row>
    <row r="840" ht="14.25" customHeight="1">
      <c r="J840" s="22"/>
      <c r="K840" s="23"/>
    </row>
    <row r="841" ht="14.25" customHeight="1">
      <c r="J841" s="22"/>
      <c r="K841" s="23"/>
    </row>
    <row r="842" ht="14.25" customHeight="1">
      <c r="J842" s="22"/>
      <c r="K842" s="23"/>
    </row>
    <row r="843" ht="14.25" customHeight="1">
      <c r="J843" s="22"/>
      <c r="K843" s="23"/>
    </row>
    <row r="844" ht="14.25" customHeight="1">
      <c r="J844" s="22"/>
      <c r="K844" s="23"/>
    </row>
    <row r="845" ht="14.25" customHeight="1">
      <c r="J845" s="22"/>
      <c r="K845" s="23"/>
    </row>
    <row r="846" ht="14.25" customHeight="1">
      <c r="J846" s="22"/>
      <c r="K846" s="23"/>
    </row>
    <row r="847" ht="14.25" customHeight="1">
      <c r="J847" s="22"/>
      <c r="K847" s="23"/>
    </row>
    <row r="848" ht="14.25" customHeight="1">
      <c r="J848" s="22"/>
      <c r="K848" s="23"/>
    </row>
    <row r="849" ht="14.25" customHeight="1">
      <c r="J849" s="22"/>
      <c r="K849" s="23"/>
    </row>
    <row r="850" ht="14.25" customHeight="1">
      <c r="J850" s="22"/>
      <c r="K850" s="23"/>
    </row>
    <row r="851" ht="14.25" customHeight="1">
      <c r="J851" s="22"/>
      <c r="K851" s="23"/>
    </row>
    <row r="852" ht="14.25" customHeight="1">
      <c r="J852" s="22"/>
      <c r="K852" s="23"/>
    </row>
    <row r="853" ht="14.25" customHeight="1">
      <c r="J853" s="22"/>
      <c r="K853" s="23"/>
    </row>
    <row r="854" ht="14.25" customHeight="1">
      <c r="J854" s="22"/>
      <c r="K854" s="23"/>
    </row>
    <row r="855" ht="14.25" customHeight="1">
      <c r="J855" s="22"/>
      <c r="K855" s="23"/>
    </row>
    <row r="856" ht="14.25" customHeight="1">
      <c r="J856" s="22"/>
      <c r="K856" s="23"/>
    </row>
    <row r="857" ht="14.25" customHeight="1">
      <c r="J857" s="22"/>
      <c r="K857" s="23"/>
    </row>
    <row r="858" ht="14.25" customHeight="1">
      <c r="J858" s="22"/>
      <c r="K858" s="23"/>
    </row>
    <row r="859" ht="14.25" customHeight="1">
      <c r="J859" s="22"/>
      <c r="K859" s="23"/>
    </row>
    <row r="860" ht="14.25" customHeight="1">
      <c r="J860" s="22"/>
      <c r="K860" s="23"/>
    </row>
    <row r="861" ht="14.25" customHeight="1">
      <c r="J861" s="22"/>
      <c r="K861" s="23"/>
    </row>
    <row r="862" ht="14.25" customHeight="1">
      <c r="J862" s="22"/>
      <c r="K862" s="23"/>
    </row>
    <row r="863" ht="14.25" customHeight="1">
      <c r="J863" s="22"/>
      <c r="K863" s="23"/>
    </row>
    <row r="864" ht="14.25" customHeight="1">
      <c r="J864" s="22"/>
      <c r="K864" s="23"/>
    </row>
    <row r="865" ht="14.25" customHeight="1">
      <c r="J865" s="22"/>
      <c r="K865" s="23"/>
    </row>
    <row r="866" ht="14.25" customHeight="1">
      <c r="J866" s="22"/>
      <c r="K866" s="23"/>
    </row>
    <row r="867" ht="14.25" customHeight="1">
      <c r="J867" s="22"/>
      <c r="K867" s="23"/>
    </row>
    <row r="868" ht="14.25" customHeight="1">
      <c r="J868" s="22"/>
      <c r="K868" s="23"/>
    </row>
    <row r="869" ht="14.25" customHeight="1">
      <c r="J869" s="22"/>
      <c r="K869" s="23"/>
    </row>
    <row r="870" ht="14.25" customHeight="1">
      <c r="J870" s="22"/>
      <c r="K870" s="23"/>
    </row>
    <row r="871" ht="14.25" customHeight="1">
      <c r="J871" s="22"/>
      <c r="K871" s="23"/>
    </row>
    <row r="872" ht="14.25" customHeight="1">
      <c r="J872" s="22"/>
      <c r="K872" s="23"/>
    </row>
    <row r="873" ht="14.25" customHeight="1">
      <c r="J873" s="22"/>
      <c r="K873" s="23"/>
    </row>
    <row r="874" ht="14.25" customHeight="1">
      <c r="J874" s="22"/>
      <c r="K874" s="23"/>
    </row>
    <row r="875" ht="14.25" customHeight="1">
      <c r="J875" s="22"/>
      <c r="K875" s="23"/>
    </row>
    <row r="876" ht="14.25" customHeight="1">
      <c r="J876" s="22"/>
      <c r="K876" s="23"/>
    </row>
    <row r="877" ht="14.25" customHeight="1">
      <c r="J877" s="22"/>
      <c r="K877" s="23"/>
    </row>
    <row r="878" ht="14.25" customHeight="1">
      <c r="J878" s="22"/>
      <c r="K878" s="23"/>
    </row>
    <row r="879" ht="14.25" customHeight="1">
      <c r="J879" s="22"/>
      <c r="K879" s="23"/>
    </row>
    <row r="880" ht="14.25" customHeight="1">
      <c r="J880" s="22"/>
      <c r="K880" s="23"/>
    </row>
    <row r="881" ht="14.25" customHeight="1">
      <c r="J881" s="22"/>
      <c r="K881" s="23"/>
    </row>
    <row r="882" ht="14.25" customHeight="1">
      <c r="J882" s="22"/>
      <c r="K882" s="23"/>
    </row>
    <row r="883" ht="14.25" customHeight="1">
      <c r="J883" s="22"/>
      <c r="K883" s="23"/>
    </row>
    <row r="884" ht="14.25" customHeight="1">
      <c r="J884" s="22"/>
      <c r="K884" s="23"/>
    </row>
    <row r="885" ht="14.25" customHeight="1">
      <c r="J885" s="22"/>
      <c r="K885" s="23"/>
    </row>
    <row r="886" ht="14.25" customHeight="1">
      <c r="J886" s="22"/>
      <c r="K886" s="23"/>
    </row>
    <row r="887" ht="14.25" customHeight="1">
      <c r="J887" s="22"/>
      <c r="K887" s="23"/>
    </row>
    <row r="888" ht="14.25" customHeight="1">
      <c r="J888" s="22"/>
      <c r="K888" s="23"/>
    </row>
    <row r="889" ht="14.25" customHeight="1">
      <c r="J889" s="22"/>
      <c r="K889" s="23"/>
    </row>
    <row r="890" ht="14.25" customHeight="1">
      <c r="J890" s="22"/>
      <c r="K890" s="23"/>
    </row>
    <row r="891" ht="14.25" customHeight="1">
      <c r="J891" s="22"/>
      <c r="K891" s="23"/>
    </row>
    <row r="892" ht="14.25" customHeight="1">
      <c r="J892" s="22"/>
      <c r="K892" s="23"/>
    </row>
    <row r="893" ht="14.25" customHeight="1">
      <c r="J893" s="22"/>
      <c r="K893" s="23"/>
    </row>
    <row r="894" ht="14.25" customHeight="1">
      <c r="J894" s="22"/>
      <c r="K894" s="23"/>
    </row>
    <row r="895" ht="14.25" customHeight="1">
      <c r="J895" s="22"/>
      <c r="K895" s="23"/>
    </row>
    <row r="896" ht="14.25" customHeight="1">
      <c r="J896" s="22"/>
      <c r="K896" s="23"/>
    </row>
    <row r="897" ht="14.25" customHeight="1">
      <c r="J897" s="22"/>
      <c r="K897" s="23"/>
    </row>
    <row r="898" ht="14.25" customHeight="1">
      <c r="J898" s="22"/>
      <c r="K898" s="23"/>
    </row>
    <row r="899" ht="14.25" customHeight="1">
      <c r="J899" s="22"/>
      <c r="K899" s="23"/>
    </row>
    <row r="900" ht="14.25" customHeight="1">
      <c r="J900" s="22"/>
      <c r="K900" s="23"/>
    </row>
    <row r="901" ht="14.25" customHeight="1">
      <c r="J901" s="22"/>
      <c r="K901" s="23"/>
    </row>
    <row r="902" ht="14.25" customHeight="1">
      <c r="J902" s="22"/>
      <c r="K902" s="23"/>
    </row>
    <row r="903" ht="14.25" customHeight="1">
      <c r="J903" s="22"/>
      <c r="K903" s="23"/>
    </row>
    <row r="904" ht="14.25" customHeight="1">
      <c r="J904" s="22"/>
      <c r="K904" s="23"/>
    </row>
    <row r="905" ht="14.25" customHeight="1">
      <c r="J905" s="22"/>
      <c r="K905" s="23"/>
    </row>
    <row r="906" ht="14.25" customHeight="1">
      <c r="J906" s="22"/>
      <c r="K906" s="23"/>
    </row>
    <row r="907" ht="14.25" customHeight="1">
      <c r="J907" s="22"/>
      <c r="K907" s="23"/>
    </row>
    <row r="908" ht="14.25" customHeight="1">
      <c r="J908" s="22"/>
      <c r="K908" s="23"/>
    </row>
    <row r="909" ht="14.25" customHeight="1">
      <c r="J909" s="22"/>
      <c r="K909" s="23"/>
    </row>
    <row r="910" ht="14.25" customHeight="1">
      <c r="J910" s="22"/>
      <c r="K910" s="23"/>
    </row>
    <row r="911" ht="14.25" customHeight="1">
      <c r="J911" s="22"/>
      <c r="K911" s="23"/>
    </row>
    <row r="912" ht="14.25" customHeight="1">
      <c r="J912" s="22"/>
      <c r="K912" s="23"/>
    </row>
    <row r="913" ht="14.25" customHeight="1">
      <c r="J913" s="22"/>
      <c r="K913" s="23"/>
    </row>
    <row r="914" ht="14.25" customHeight="1">
      <c r="J914" s="22"/>
      <c r="K914" s="23"/>
    </row>
    <row r="915" ht="14.25" customHeight="1">
      <c r="J915" s="22"/>
      <c r="K915" s="23"/>
    </row>
    <row r="916" ht="14.25" customHeight="1">
      <c r="J916" s="22"/>
      <c r="K916" s="23"/>
    </row>
    <row r="917" ht="14.25" customHeight="1">
      <c r="J917" s="22"/>
      <c r="K917" s="23"/>
    </row>
    <row r="918" ht="14.25" customHeight="1">
      <c r="J918" s="22"/>
      <c r="K918" s="23"/>
    </row>
    <row r="919" ht="14.25" customHeight="1">
      <c r="J919" s="22"/>
      <c r="K919" s="23"/>
    </row>
    <row r="920" ht="14.25" customHeight="1">
      <c r="J920" s="22"/>
      <c r="K920" s="23"/>
    </row>
    <row r="921" ht="14.25" customHeight="1">
      <c r="J921" s="22"/>
      <c r="K921" s="23"/>
    </row>
    <row r="922" ht="14.25" customHeight="1">
      <c r="J922" s="22"/>
      <c r="K922" s="23"/>
    </row>
    <row r="923" ht="14.25" customHeight="1">
      <c r="J923" s="22"/>
      <c r="K923" s="23"/>
    </row>
    <row r="924" ht="14.25" customHeight="1">
      <c r="J924" s="22"/>
      <c r="K924" s="23"/>
    </row>
    <row r="925" ht="14.25" customHeight="1">
      <c r="J925" s="22"/>
      <c r="K925" s="23"/>
    </row>
    <row r="926" ht="14.25" customHeight="1">
      <c r="J926" s="22"/>
      <c r="K926" s="23"/>
    </row>
    <row r="927" ht="14.25" customHeight="1">
      <c r="J927" s="22"/>
      <c r="K927" s="23"/>
    </row>
    <row r="928" ht="14.25" customHeight="1">
      <c r="J928" s="22"/>
      <c r="K928" s="23"/>
    </row>
    <row r="929" ht="14.25" customHeight="1">
      <c r="J929" s="22"/>
      <c r="K929" s="23"/>
    </row>
    <row r="930" ht="14.25" customHeight="1">
      <c r="J930" s="22"/>
      <c r="K930" s="23"/>
    </row>
    <row r="931" ht="14.25" customHeight="1">
      <c r="J931" s="22"/>
      <c r="K931" s="23"/>
    </row>
    <row r="932" ht="14.25" customHeight="1">
      <c r="J932" s="22"/>
      <c r="K932" s="23"/>
    </row>
    <row r="933" ht="14.25" customHeight="1">
      <c r="J933" s="22"/>
      <c r="K933" s="23"/>
    </row>
    <row r="934" ht="14.25" customHeight="1">
      <c r="J934" s="22"/>
      <c r="K934" s="23"/>
    </row>
    <row r="935" ht="14.25" customHeight="1">
      <c r="J935" s="22"/>
      <c r="K935" s="23"/>
    </row>
    <row r="936" ht="14.25" customHeight="1">
      <c r="J936" s="22"/>
      <c r="K936" s="23"/>
    </row>
    <row r="937" ht="14.25" customHeight="1">
      <c r="J937" s="22"/>
      <c r="K937" s="23"/>
    </row>
    <row r="938" ht="14.25" customHeight="1">
      <c r="J938" s="22"/>
      <c r="K938" s="23"/>
    </row>
    <row r="939" ht="14.25" customHeight="1">
      <c r="J939" s="22"/>
      <c r="K939" s="23"/>
    </row>
    <row r="940" ht="14.25" customHeight="1">
      <c r="J940" s="22"/>
      <c r="K940" s="23"/>
    </row>
    <row r="941" ht="14.25" customHeight="1">
      <c r="J941" s="22"/>
      <c r="K941" s="23"/>
    </row>
    <row r="942" ht="14.25" customHeight="1">
      <c r="J942" s="22"/>
      <c r="K942" s="23"/>
    </row>
    <row r="943" ht="14.25" customHeight="1">
      <c r="J943" s="22"/>
      <c r="K943" s="23"/>
    </row>
    <row r="944" ht="14.25" customHeight="1">
      <c r="J944" s="22"/>
      <c r="K944" s="23"/>
    </row>
    <row r="945" ht="14.25" customHeight="1">
      <c r="J945" s="22"/>
      <c r="K945" s="23"/>
    </row>
    <row r="946" ht="14.25" customHeight="1">
      <c r="J946" s="22"/>
      <c r="K946" s="23"/>
    </row>
    <row r="947" ht="14.25" customHeight="1">
      <c r="J947" s="22"/>
      <c r="K947" s="23"/>
    </row>
    <row r="948" ht="14.25" customHeight="1">
      <c r="J948" s="22"/>
      <c r="K948" s="23"/>
    </row>
    <row r="949" ht="14.25" customHeight="1">
      <c r="J949" s="22"/>
      <c r="K949" s="23"/>
    </row>
    <row r="950" ht="14.25" customHeight="1">
      <c r="J950" s="22"/>
      <c r="K950" s="23"/>
    </row>
    <row r="951" ht="14.25" customHeight="1">
      <c r="J951" s="22"/>
      <c r="K951" s="23"/>
    </row>
    <row r="952" ht="14.25" customHeight="1">
      <c r="J952" s="22"/>
      <c r="K952" s="23"/>
    </row>
    <row r="953" ht="14.25" customHeight="1">
      <c r="J953" s="22"/>
      <c r="K953" s="23"/>
    </row>
    <row r="954" ht="14.25" customHeight="1">
      <c r="J954" s="22"/>
      <c r="K954" s="23"/>
    </row>
    <row r="955" ht="14.25" customHeight="1">
      <c r="J955" s="22"/>
      <c r="K955" s="23"/>
    </row>
    <row r="956" ht="14.25" customHeight="1">
      <c r="J956" s="22"/>
      <c r="K956" s="23"/>
    </row>
    <row r="957" ht="14.25" customHeight="1">
      <c r="J957" s="22"/>
      <c r="K957" s="23"/>
    </row>
    <row r="958" ht="14.25" customHeight="1">
      <c r="J958" s="22"/>
      <c r="K958" s="23"/>
    </row>
    <row r="959" ht="14.25" customHeight="1">
      <c r="J959" s="22"/>
      <c r="K959" s="23"/>
    </row>
    <row r="960" ht="14.25" customHeight="1">
      <c r="J960" s="22"/>
      <c r="K960" s="23"/>
    </row>
    <row r="961" ht="14.25" customHeight="1">
      <c r="J961" s="22"/>
      <c r="K961" s="23"/>
    </row>
    <row r="962" ht="14.25" customHeight="1">
      <c r="J962" s="22"/>
      <c r="K962" s="23"/>
    </row>
    <row r="963" ht="14.25" customHeight="1">
      <c r="J963" s="22"/>
      <c r="K963" s="23"/>
    </row>
    <row r="964" ht="14.25" customHeight="1">
      <c r="J964" s="22"/>
      <c r="K964" s="23"/>
    </row>
    <row r="965" ht="14.25" customHeight="1">
      <c r="J965" s="22"/>
      <c r="K965" s="23"/>
    </row>
    <row r="966" ht="14.25" customHeight="1">
      <c r="J966" s="22"/>
      <c r="K966" s="23"/>
    </row>
    <row r="967" ht="14.25" customHeight="1">
      <c r="J967" s="22"/>
      <c r="K967" s="23"/>
    </row>
    <row r="968" ht="14.25" customHeight="1">
      <c r="J968" s="22"/>
      <c r="K968" s="23"/>
    </row>
    <row r="969" ht="14.25" customHeight="1">
      <c r="J969" s="22"/>
      <c r="K969" s="23"/>
    </row>
    <row r="970" ht="14.25" customHeight="1">
      <c r="J970" s="22"/>
      <c r="K970" s="23"/>
    </row>
    <row r="971" ht="14.25" customHeight="1">
      <c r="J971" s="22"/>
      <c r="K971" s="23"/>
    </row>
    <row r="972" ht="14.25" customHeight="1">
      <c r="J972" s="22"/>
      <c r="K972" s="23"/>
    </row>
    <row r="973" ht="14.25" customHeight="1">
      <c r="J973" s="22"/>
      <c r="K973" s="23"/>
    </row>
    <row r="974" ht="14.25" customHeight="1">
      <c r="J974" s="22"/>
      <c r="K974" s="23"/>
    </row>
    <row r="975" ht="14.25" customHeight="1">
      <c r="J975" s="22"/>
      <c r="K975" s="23"/>
    </row>
    <row r="976" ht="14.25" customHeight="1">
      <c r="J976" s="22"/>
      <c r="K976" s="23"/>
    </row>
    <row r="977" ht="14.25" customHeight="1">
      <c r="J977" s="22"/>
      <c r="K977" s="23"/>
    </row>
    <row r="978" ht="14.25" customHeight="1">
      <c r="J978" s="22"/>
      <c r="K978" s="23"/>
    </row>
    <row r="979" ht="14.25" customHeight="1">
      <c r="J979" s="22"/>
      <c r="K979" s="23"/>
    </row>
    <row r="980" ht="14.25" customHeight="1">
      <c r="J980" s="22"/>
      <c r="K980" s="23"/>
    </row>
    <row r="981" ht="14.25" customHeight="1">
      <c r="J981" s="22"/>
      <c r="K981" s="23"/>
    </row>
    <row r="982" ht="14.25" customHeight="1">
      <c r="J982" s="22"/>
      <c r="K982" s="23"/>
    </row>
    <row r="983" ht="14.25" customHeight="1">
      <c r="J983" s="22"/>
      <c r="K983" s="23"/>
    </row>
    <row r="984" ht="14.25" customHeight="1">
      <c r="J984" s="22"/>
      <c r="K984" s="23"/>
    </row>
    <row r="985" ht="14.25" customHeight="1">
      <c r="J985" s="22"/>
      <c r="K985" s="23"/>
    </row>
    <row r="986" ht="14.25" customHeight="1">
      <c r="J986" s="22"/>
      <c r="K986" s="23"/>
    </row>
    <row r="987" ht="14.25" customHeight="1">
      <c r="J987" s="22"/>
      <c r="K987" s="23"/>
    </row>
    <row r="988" ht="14.25" customHeight="1">
      <c r="J988" s="22"/>
      <c r="K988" s="23"/>
    </row>
    <row r="989" ht="14.25" customHeight="1">
      <c r="J989" s="22"/>
      <c r="K989" s="23"/>
    </row>
    <row r="990" ht="14.25" customHeight="1">
      <c r="J990" s="22"/>
      <c r="K990" s="23"/>
    </row>
    <row r="991" ht="14.25" customHeight="1">
      <c r="J991" s="22"/>
      <c r="K991" s="23"/>
    </row>
    <row r="992" ht="14.25" customHeight="1">
      <c r="J992" s="22"/>
      <c r="K992" s="23"/>
    </row>
    <row r="993" ht="14.25" customHeight="1">
      <c r="J993" s="22"/>
      <c r="K993" s="23"/>
    </row>
    <row r="994" ht="14.25" customHeight="1">
      <c r="J994" s="22"/>
      <c r="K994" s="23"/>
    </row>
    <row r="995" ht="14.25" customHeight="1">
      <c r="J995" s="22"/>
      <c r="K995" s="23"/>
    </row>
    <row r="996" ht="14.25" customHeight="1">
      <c r="J996" s="22"/>
      <c r="K996" s="23"/>
    </row>
    <row r="997" ht="14.25" customHeight="1">
      <c r="J997" s="22"/>
      <c r="K997" s="23"/>
    </row>
    <row r="998" ht="14.25" customHeight="1">
      <c r="J998" s="22"/>
      <c r="K998" s="23"/>
    </row>
    <row r="999" ht="14.25" customHeight="1">
      <c r="J999" s="22"/>
      <c r="K999" s="23"/>
    </row>
    <row r="1000" ht="14.25" customHeight="1">
      <c r="J1000" s="22"/>
      <c r="K1000" s="2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23.71"/>
    <col customWidth="1" min="11" max="11" width="20.71"/>
    <col customWidth="1" min="12" max="12" width="22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4" t="s">
        <v>319</v>
      </c>
      <c r="K1" s="25" t="s">
        <v>320</v>
      </c>
      <c r="L1" s="26" t="s">
        <v>321</v>
      </c>
    </row>
    <row r="2" ht="14.2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1.0</v>
      </c>
      <c r="G2" s="2">
        <v>9497.0</v>
      </c>
      <c r="H2" s="2" t="s">
        <v>14</v>
      </c>
      <c r="I2" s="2" t="s">
        <v>15</v>
      </c>
      <c r="J2" s="14">
        <f t="shared" ref="J2:J101" si="1">DATEDIF(D2,TODAY(),"M")</f>
        <v>16</v>
      </c>
      <c r="K2" s="8" t="str">
        <f t="shared" ref="K2:K101" si="2">IF(OR(I2="Cancelled",I2=0),"Invalid Order","Valid Order")</f>
        <v>Invalid Order</v>
      </c>
      <c r="L2" s="27" t="str">
        <f t="shared" ref="L2:L101" si="3">IF(I2="Delivered",
"Delivered in "&amp;(E2-D2)&amp;" days",
"Pending for "&amp;DATEDIF(D2,TODAY(),"D")&amp;" days"
)</f>
        <v>Pending for 505 days</v>
      </c>
    </row>
    <row r="3" ht="14.2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1.0</v>
      </c>
      <c r="G3" s="2">
        <v>8232.0</v>
      </c>
      <c r="H3" s="2" t="s">
        <v>21</v>
      </c>
      <c r="I3" s="2" t="s">
        <v>22</v>
      </c>
      <c r="J3" s="14">
        <f t="shared" si="1"/>
        <v>16</v>
      </c>
      <c r="K3" s="8" t="str">
        <f t="shared" si="2"/>
        <v>Valid Order</v>
      </c>
      <c r="L3" s="27" t="str">
        <f t="shared" si="3"/>
        <v>Pending for 509 days</v>
      </c>
    </row>
    <row r="4" ht="14.2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1.0</v>
      </c>
      <c r="G4" s="2">
        <v>12436.0</v>
      </c>
      <c r="H4" s="2" t="s">
        <v>14</v>
      </c>
      <c r="I4" s="2" t="s">
        <v>28</v>
      </c>
      <c r="J4" s="14">
        <f t="shared" si="1"/>
        <v>15</v>
      </c>
      <c r="K4" s="8" t="str">
        <f t="shared" si="2"/>
        <v>Valid Order</v>
      </c>
      <c r="L4" s="27" t="str">
        <f t="shared" si="3"/>
        <v>Delivered in 9 days</v>
      </c>
    </row>
    <row r="5" ht="14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>
        <v>3.0</v>
      </c>
      <c r="G5" s="2">
        <v>38830.0</v>
      </c>
      <c r="H5" s="2" t="s">
        <v>21</v>
      </c>
      <c r="I5" s="2" t="s">
        <v>28</v>
      </c>
      <c r="J5" s="14">
        <f t="shared" si="1"/>
        <v>16</v>
      </c>
      <c r="K5" s="8" t="str">
        <f t="shared" si="2"/>
        <v>Valid Order</v>
      </c>
      <c r="L5" s="27" t="str">
        <f t="shared" si="3"/>
        <v>Delivered in 12 days</v>
      </c>
    </row>
    <row r="6" ht="14.25" customHeight="1">
      <c r="A6" s="2" t="s">
        <v>34</v>
      </c>
      <c r="B6" s="2" t="s">
        <v>35</v>
      </c>
      <c r="C6" s="2" t="s">
        <v>18</v>
      </c>
      <c r="D6" s="2" t="s">
        <v>36</v>
      </c>
      <c r="E6" s="2" t="s">
        <v>37</v>
      </c>
      <c r="F6" s="2">
        <v>2.0</v>
      </c>
      <c r="G6" s="2">
        <v>7193.0</v>
      </c>
      <c r="H6" s="2" t="s">
        <v>14</v>
      </c>
      <c r="I6" s="2" t="s">
        <v>22</v>
      </c>
      <c r="J6" s="14">
        <f t="shared" si="1"/>
        <v>14</v>
      </c>
      <c r="K6" s="8" t="str">
        <f t="shared" si="2"/>
        <v>Valid Order</v>
      </c>
      <c r="L6" s="27" t="str">
        <f t="shared" si="3"/>
        <v>Pending for 456 days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5.0</v>
      </c>
      <c r="G7" s="2">
        <v>36419.0</v>
      </c>
      <c r="H7" s="2" t="s">
        <v>14</v>
      </c>
      <c r="I7" s="2" t="s">
        <v>28</v>
      </c>
      <c r="J7" s="14">
        <f t="shared" si="1"/>
        <v>15</v>
      </c>
      <c r="K7" s="8" t="str">
        <f t="shared" si="2"/>
        <v>Valid Order</v>
      </c>
      <c r="L7" s="27" t="str">
        <f t="shared" si="3"/>
        <v>Delivered in 5 days</v>
      </c>
    </row>
    <row r="8" ht="14.25" customHeight="1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3.0</v>
      </c>
      <c r="G8" s="2">
        <v>6681.0</v>
      </c>
      <c r="H8" s="2" t="s">
        <v>48</v>
      </c>
      <c r="I8" s="2" t="s">
        <v>22</v>
      </c>
      <c r="J8" s="14">
        <f t="shared" si="1"/>
        <v>14</v>
      </c>
      <c r="K8" s="8" t="str">
        <f t="shared" si="2"/>
        <v>Valid Order</v>
      </c>
      <c r="L8" s="27" t="str">
        <f t="shared" si="3"/>
        <v>Pending for 454 days</v>
      </c>
    </row>
    <row r="9" ht="14.25" customHeight="1">
      <c r="A9" s="2" t="s">
        <v>49</v>
      </c>
      <c r="B9" s="2" t="s">
        <v>50</v>
      </c>
      <c r="C9" s="2" t="s">
        <v>31</v>
      </c>
      <c r="D9" s="2" t="s">
        <v>51</v>
      </c>
      <c r="E9" s="2" t="s">
        <v>52</v>
      </c>
      <c r="F9" s="2">
        <v>5.0</v>
      </c>
      <c r="G9" s="2">
        <v>59258.0</v>
      </c>
      <c r="H9" s="2" t="s">
        <v>14</v>
      </c>
      <c r="I9" s="2" t="s">
        <v>15</v>
      </c>
      <c r="J9" s="14">
        <f t="shared" si="1"/>
        <v>16</v>
      </c>
      <c r="K9" s="8" t="str">
        <f t="shared" si="2"/>
        <v>Invalid Order</v>
      </c>
      <c r="L9" s="27" t="str">
        <f t="shared" si="3"/>
        <v>Pending for 491 days</v>
      </c>
    </row>
    <row r="10" ht="14.25" customHeight="1">
      <c r="A10" s="2" t="s">
        <v>53</v>
      </c>
      <c r="B10" s="2" t="s">
        <v>54</v>
      </c>
      <c r="C10" s="2" t="s">
        <v>55</v>
      </c>
      <c r="D10" s="2" t="s">
        <v>33</v>
      </c>
      <c r="E10" s="2" t="s">
        <v>56</v>
      </c>
      <c r="F10" s="2">
        <v>5.0</v>
      </c>
      <c r="G10" s="2">
        <v>53392.0</v>
      </c>
      <c r="H10" s="2" t="s">
        <v>48</v>
      </c>
      <c r="I10" s="2" t="s">
        <v>22</v>
      </c>
      <c r="J10" s="14">
        <f t="shared" si="1"/>
        <v>16</v>
      </c>
      <c r="K10" s="8" t="str">
        <f t="shared" si="2"/>
        <v>Valid Order</v>
      </c>
      <c r="L10" s="27" t="str">
        <f t="shared" si="3"/>
        <v>Pending for 490 days</v>
      </c>
    </row>
    <row r="11" ht="14.2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5.0</v>
      </c>
      <c r="G11" s="2">
        <v>52334.0</v>
      </c>
      <c r="H11" s="2" t="s">
        <v>62</v>
      </c>
      <c r="I11" s="2" t="s">
        <v>22</v>
      </c>
      <c r="J11" s="14">
        <f t="shared" si="1"/>
        <v>16</v>
      </c>
      <c r="K11" s="8" t="str">
        <f t="shared" si="2"/>
        <v>Valid Order</v>
      </c>
      <c r="L11" s="27" t="str">
        <f t="shared" si="3"/>
        <v>Pending for 488 days</v>
      </c>
    </row>
    <row r="12" ht="14.25" customHeight="1">
      <c r="A12" s="2" t="s">
        <v>63</v>
      </c>
      <c r="B12" s="2" t="s">
        <v>64</v>
      </c>
      <c r="C12" s="2" t="s">
        <v>18</v>
      </c>
      <c r="D12" s="2" t="s">
        <v>46</v>
      </c>
      <c r="E12" s="2" t="s">
        <v>65</v>
      </c>
      <c r="F12" s="2">
        <v>2.0</v>
      </c>
      <c r="G12" s="2">
        <v>50550.0</v>
      </c>
      <c r="H12" s="2" t="s">
        <v>62</v>
      </c>
      <c r="I12" s="2" t="s">
        <v>28</v>
      </c>
      <c r="J12" s="14">
        <f t="shared" si="1"/>
        <v>14</v>
      </c>
      <c r="K12" s="8" t="str">
        <f t="shared" si="2"/>
        <v>Valid Order</v>
      </c>
      <c r="L12" s="27" t="str">
        <f t="shared" si="3"/>
        <v>Delivered in 7 days</v>
      </c>
    </row>
    <row r="13" ht="14.25" customHeight="1">
      <c r="A13" s="2" t="s">
        <v>66</v>
      </c>
      <c r="B13" s="2" t="s">
        <v>67</v>
      </c>
      <c r="C13" s="2" t="s">
        <v>45</v>
      </c>
      <c r="D13" s="2" t="s">
        <v>68</v>
      </c>
      <c r="E13" s="2" t="s">
        <v>69</v>
      </c>
      <c r="F13" s="2">
        <v>2.0</v>
      </c>
      <c r="G13" s="2">
        <v>69030.0</v>
      </c>
      <c r="H13" s="2" t="s">
        <v>48</v>
      </c>
      <c r="I13" s="2" t="s">
        <v>28</v>
      </c>
      <c r="J13" s="14">
        <f t="shared" si="1"/>
        <v>15</v>
      </c>
      <c r="K13" s="8" t="str">
        <f t="shared" si="2"/>
        <v>Valid Order</v>
      </c>
      <c r="L13" s="27" t="str">
        <f t="shared" si="3"/>
        <v>Delivered in 11 days</v>
      </c>
    </row>
    <row r="14" ht="14.25" customHeight="1">
      <c r="A14" s="2" t="s">
        <v>70</v>
      </c>
      <c r="B14" s="2" t="s">
        <v>71</v>
      </c>
      <c r="C14" s="2" t="s">
        <v>40</v>
      </c>
      <c r="D14" s="2" t="s">
        <v>72</v>
      </c>
      <c r="E14" s="2" t="s">
        <v>73</v>
      </c>
      <c r="F14" s="2">
        <v>4.0</v>
      </c>
      <c r="G14" s="2">
        <v>50709.0</v>
      </c>
      <c r="H14" s="2" t="s">
        <v>21</v>
      </c>
      <c r="I14" s="2" t="s">
        <v>22</v>
      </c>
      <c r="J14" s="14">
        <f t="shared" si="1"/>
        <v>16</v>
      </c>
      <c r="K14" s="8" t="str">
        <f t="shared" si="2"/>
        <v>Valid Order</v>
      </c>
      <c r="L14" s="27" t="str">
        <f t="shared" si="3"/>
        <v>Pending for 504 days</v>
      </c>
    </row>
    <row r="15" ht="14.25" customHeight="1">
      <c r="A15" s="2" t="s">
        <v>74</v>
      </c>
      <c r="B15" s="2" t="s">
        <v>75</v>
      </c>
      <c r="C15" s="2" t="s">
        <v>11</v>
      </c>
      <c r="D15" s="2" t="s">
        <v>76</v>
      </c>
      <c r="E15" s="2" t="s">
        <v>77</v>
      </c>
      <c r="F15" s="2">
        <v>6.0</v>
      </c>
      <c r="G15" s="2">
        <v>48808.0</v>
      </c>
      <c r="H15" s="2" t="s">
        <v>62</v>
      </c>
      <c r="I15" s="2" t="s">
        <v>28</v>
      </c>
      <c r="J15" s="14">
        <f t="shared" si="1"/>
        <v>14</v>
      </c>
      <c r="K15" s="8" t="str">
        <f t="shared" si="2"/>
        <v>Valid Order</v>
      </c>
      <c r="L15" s="27" t="str">
        <f t="shared" si="3"/>
        <v>Delivered in 13 days</v>
      </c>
    </row>
    <row r="16" ht="14.25" customHeight="1">
      <c r="A16" s="2" t="s">
        <v>78</v>
      </c>
      <c r="B16" s="2" t="s">
        <v>79</v>
      </c>
      <c r="C16" s="2" t="s">
        <v>18</v>
      </c>
      <c r="D16" s="2" t="s">
        <v>80</v>
      </c>
      <c r="E16" s="2" t="s">
        <v>81</v>
      </c>
      <c r="F16" s="2">
        <v>1.0</v>
      </c>
      <c r="G16" s="2">
        <v>65648.0</v>
      </c>
      <c r="H16" s="2" t="s">
        <v>14</v>
      </c>
      <c r="I16" s="2" t="s">
        <v>28</v>
      </c>
      <c r="J16" s="14">
        <f t="shared" si="1"/>
        <v>16</v>
      </c>
      <c r="K16" s="8" t="str">
        <f t="shared" si="2"/>
        <v>Valid Order</v>
      </c>
      <c r="L16" s="27" t="str">
        <f t="shared" si="3"/>
        <v>Delivered in 5 days</v>
      </c>
    </row>
    <row r="17" ht="14.25" customHeight="1">
      <c r="A17" s="2" t="s">
        <v>82</v>
      </c>
      <c r="B17" s="2" t="s">
        <v>83</v>
      </c>
      <c r="C17" s="2" t="s">
        <v>45</v>
      </c>
      <c r="D17" s="2" t="s">
        <v>32</v>
      </c>
      <c r="E17" s="2" t="s">
        <v>60</v>
      </c>
      <c r="F17" s="2">
        <v>4.0</v>
      </c>
      <c r="G17" s="2">
        <v>3975.0</v>
      </c>
      <c r="H17" s="2" t="s">
        <v>48</v>
      </c>
      <c r="I17" s="2" t="s">
        <v>22</v>
      </c>
      <c r="J17" s="14">
        <f t="shared" si="1"/>
        <v>16</v>
      </c>
      <c r="K17" s="8" t="str">
        <f t="shared" si="2"/>
        <v>Valid Order</v>
      </c>
      <c r="L17" s="27" t="str">
        <f t="shared" si="3"/>
        <v>Pending for 502 days</v>
      </c>
    </row>
    <row r="18" ht="14.25" customHeight="1">
      <c r="A18" s="2" t="s">
        <v>84</v>
      </c>
      <c r="B18" s="2" t="s">
        <v>85</v>
      </c>
      <c r="C18" s="2" t="s">
        <v>86</v>
      </c>
      <c r="D18" s="2" t="s">
        <v>19</v>
      </c>
      <c r="E18" s="2" t="s">
        <v>72</v>
      </c>
      <c r="F18" s="2">
        <v>4.0</v>
      </c>
      <c r="G18" s="2">
        <v>56724.0</v>
      </c>
      <c r="H18" s="2" t="s">
        <v>62</v>
      </c>
      <c r="I18" s="2" t="s">
        <v>28</v>
      </c>
      <c r="J18" s="14">
        <f t="shared" si="1"/>
        <v>16</v>
      </c>
      <c r="K18" s="8" t="str">
        <f t="shared" si="2"/>
        <v>Valid Order</v>
      </c>
      <c r="L18" s="27" t="str">
        <f t="shared" si="3"/>
        <v>Delivered in 5 days</v>
      </c>
    </row>
    <row r="19" ht="14.25" customHeight="1">
      <c r="A19" s="2" t="s">
        <v>87</v>
      </c>
      <c r="B19" s="2" t="s">
        <v>88</v>
      </c>
      <c r="C19" s="2" t="s">
        <v>86</v>
      </c>
      <c r="D19" s="2" t="s">
        <v>80</v>
      </c>
      <c r="E19" s="2" t="s">
        <v>89</v>
      </c>
      <c r="F19" s="2">
        <v>2.0</v>
      </c>
      <c r="G19" s="2">
        <v>42861.0</v>
      </c>
      <c r="H19" s="2" t="s">
        <v>14</v>
      </c>
      <c r="I19" s="2" t="s">
        <v>22</v>
      </c>
      <c r="J19" s="14">
        <f t="shared" si="1"/>
        <v>16</v>
      </c>
      <c r="K19" s="8" t="str">
        <f t="shared" si="2"/>
        <v>Valid Order</v>
      </c>
      <c r="L19" s="27" t="str">
        <f t="shared" si="3"/>
        <v>Pending for 512 days</v>
      </c>
    </row>
    <row r="20" ht="14.25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>
        <v>2.0</v>
      </c>
      <c r="G20" s="2">
        <v>47994.0</v>
      </c>
      <c r="H20" s="2" t="s">
        <v>48</v>
      </c>
      <c r="I20" s="2" t="s">
        <v>22</v>
      </c>
      <c r="J20" s="14">
        <f t="shared" si="1"/>
        <v>14</v>
      </c>
      <c r="K20" s="8" t="str">
        <f t="shared" si="2"/>
        <v>Valid Order</v>
      </c>
      <c r="L20" s="27" t="str">
        <f t="shared" si="3"/>
        <v>Pending for 455 days</v>
      </c>
    </row>
    <row r="21" ht="14.25" customHeight="1">
      <c r="A21" s="2" t="s">
        <v>95</v>
      </c>
      <c r="B21" s="2" t="s">
        <v>96</v>
      </c>
      <c r="C21" s="2" t="s">
        <v>97</v>
      </c>
      <c r="D21" s="2" t="s">
        <v>41</v>
      </c>
      <c r="E21" s="2" t="s">
        <v>98</v>
      </c>
      <c r="F21" s="2">
        <v>4.0</v>
      </c>
      <c r="G21" s="2">
        <v>31475.0</v>
      </c>
      <c r="H21" s="2" t="s">
        <v>21</v>
      </c>
      <c r="I21" s="2" t="s">
        <v>22</v>
      </c>
      <c r="J21" s="14">
        <f t="shared" si="1"/>
        <v>15</v>
      </c>
      <c r="K21" s="8" t="str">
        <f t="shared" si="2"/>
        <v>Valid Order</v>
      </c>
      <c r="L21" s="27" t="str">
        <f t="shared" si="3"/>
        <v>Pending for 480 days</v>
      </c>
    </row>
    <row r="22" ht="14.25" customHeight="1">
      <c r="A22" s="2" t="s">
        <v>99</v>
      </c>
      <c r="B22" s="2" t="s">
        <v>100</v>
      </c>
      <c r="C22" s="2" t="s">
        <v>55</v>
      </c>
      <c r="D22" s="2" t="s">
        <v>101</v>
      </c>
      <c r="E22" s="2" t="s">
        <v>33</v>
      </c>
      <c r="F22" s="2">
        <v>3.0</v>
      </c>
      <c r="G22" s="2">
        <v>40383.0</v>
      </c>
      <c r="H22" s="2" t="s">
        <v>62</v>
      </c>
      <c r="I22" s="2" t="s">
        <v>28</v>
      </c>
      <c r="J22" s="14">
        <f t="shared" si="1"/>
        <v>16</v>
      </c>
      <c r="K22" s="8" t="str">
        <f t="shared" si="2"/>
        <v>Valid Order</v>
      </c>
      <c r="L22" s="27" t="str">
        <f t="shared" si="3"/>
        <v>Delivered in 9 days</v>
      </c>
    </row>
    <row r="23" ht="14.25" customHeight="1">
      <c r="A23" s="2" t="s">
        <v>102</v>
      </c>
      <c r="B23" s="2" t="s">
        <v>103</v>
      </c>
      <c r="C23" s="2" t="s">
        <v>18</v>
      </c>
      <c r="D23" s="2" t="s">
        <v>104</v>
      </c>
      <c r="E23" s="2" t="s">
        <v>105</v>
      </c>
      <c r="F23" s="2">
        <v>1.0</v>
      </c>
      <c r="G23" s="2">
        <v>20536.0</v>
      </c>
      <c r="H23" s="2" t="s">
        <v>62</v>
      </c>
      <c r="I23" s="2" t="s">
        <v>28</v>
      </c>
      <c r="J23" s="14">
        <f t="shared" si="1"/>
        <v>16</v>
      </c>
      <c r="K23" s="8" t="str">
        <f t="shared" si="2"/>
        <v>Valid Order</v>
      </c>
      <c r="L23" s="27" t="str">
        <f t="shared" si="3"/>
        <v>Delivered in 11 days</v>
      </c>
    </row>
    <row r="24" ht="14.25" customHeight="1">
      <c r="A24" s="2" t="s">
        <v>106</v>
      </c>
      <c r="B24" s="2" t="s">
        <v>107</v>
      </c>
      <c r="C24" s="2" t="s">
        <v>31</v>
      </c>
      <c r="D24" s="2" t="s">
        <v>108</v>
      </c>
      <c r="E24" s="2" t="s">
        <v>36</v>
      </c>
      <c r="F24" s="2">
        <v>1.0</v>
      </c>
      <c r="G24" s="2">
        <v>30227.0</v>
      </c>
      <c r="H24" s="2" t="s">
        <v>21</v>
      </c>
      <c r="I24" s="2" t="s">
        <v>22</v>
      </c>
      <c r="J24" s="14">
        <f t="shared" si="1"/>
        <v>15</v>
      </c>
      <c r="K24" s="8" t="str">
        <f t="shared" si="2"/>
        <v>Valid Order</v>
      </c>
      <c r="L24" s="27" t="str">
        <f t="shared" si="3"/>
        <v>Pending for 462 days</v>
      </c>
    </row>
    <row r="25" ht="14.25" customHeight="1">
      <c r="A25" s="2" t="s">
        <v>109</v>
      </c>
      <c r="B25" s="2" t="s">
        <v>110</v>
      </c>
      <c r="C25" s="2" t="s">
        <v>40</v>
      </c>
      <c r="D25" s="2" t="s">
        <v>93</v>
      </c>
      <c r="E25" s="2" t="s">
        <v>111</v>
      </c>
      <c r="F25" s="2">
        <v>3.0</v>
      </c>
      <c r="G25" s="2">
        <v>27921.0</v>
      </c>
      <c r="H25" s="2" t="s">
        <v>21</v>
      </c>
      <c r="I25" s="2" t="s">
        <v>28</v>
      </c>
      <c r="J25" s="14">
        <f t="shared" si="1"/>
        <v>14</v>
      </c>
      <c r="K25" s="8" t="str">
        <f t="shared" si="2"/>
        <v>Valid Order</v>
      </c>
      <c r="L25" s="27" t="str">
        <f t="shared" si="3"/>
        <v>Delivered in 9 days</v>
      </c>
    </row>
    <row r="26" ht="14.25" customHeight="1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20</v>
      </c>
      <c r="F26" s="2">
        <v>1.0</v>
      </c>
      <c r="G26" s="2">
        <v>61599.0</v>
      </c>
      <c r="H26" s="2" t="s">
        <v>48</v>
      </c>
      <c r="I26" s="2" t="s">
        <v>28</v>
      </c>
      <c r="J26" s="14">
        <f t="shared" si="1"/>
        <v>16</v>
      </c>
      <c r="K26" s="8" t="str">
        <f t="shared" si="2"/>
        <v>Valid Order</v>
      </c>
      <c r="L26" s="27" t="str">
        <f t="shared" si="3"/>
        <v>Delivered in 10 days</v>
      </c>
    </row>
    <row r="27" ht="14.25" customHeight="1">
      <c r="A27" s="2" t="s">
        <v>116</v>
      </c>
      <c r="B27" s="2" t="s">
        <v>117</v>
      </c>
      <c r="C27" s="2" t="s">
        <v>55</v>
      </c>
      <c r="D27" s="2" t="s">
        <v>118</v>
      </c>
      <c r="E27" s="2" t="s">
        <v>93</v>
      </c>
      <c r="F27" s="2">
        <v>1.0</v>
      </c>
      <c r="G27" s="2">
        <v>37877.0</v>
      </c>
      <c r="H27" s="2" t="s">
        <v>21</v>
      </c>
      <c r="I27" s="2" t="s">
        <v>28</v>
      </c>
      <c r="J27" s="14">
        <f t="shared" si="1"/>
        <v>15</v>
      </c>
      <c r="K27" s="8" t="str">
        <f t="shared" si="2"/>
        <v>Valid Order</v>
      </c>
      <c r="L27" s="27" t="str">
        <f t="shared" si="3"/>
        <v>Delivered in 6 days</v>
      </c>
    </row>
    <row r="28" ht="14.25" customHeight="1">
      <c r="A28" s="2" t="s">
        <v>119</v>
      </c>
      <c r="B28" s="2" t="s">
        <v>120</v>
      </c>
      <c r="C28" s="2" t="s">
        <v>86</v>
      </c>
      <c r="D28" s="2" t="s">
        <v>32</v>
      </c>
      <c r="E28" s="2" t="s">
        <v>20</v>
      </c>
      <c r="F28" s="2">
        <v>1.0</v>
      </c>
      <c r="G28" s="2">
        <v>4350.0</v>
      </c>
      <c r="H28" s="2" t="s">
        <v>62</v>
      </c>
      <c r="I28" s="2" t="s">
        <v>28</v>
      </c>
      <c r="J28" s="14">
        <f t="shared" si="1"/>
        <v>16</v>
      </c>
      <c r="K28" s="8" t="str">
        <f t="shared" si="2"/>
        <v>Valid Order</v>
      </c>
      <c r="L28" s="27" t="str">
        <f t="shared" si="3"/>
        <v>Delivered in 4 days</v>
      </c>
    </row>
    <row r="29" ht="14.25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56</v>
      </c>
      <c r="F29" s="2">
        <v>5.0</v>
      </c>
      <c r="G29" s="2">
        <v>11087.0</v>
      </c>
      <c r="H29" s="2" t="s">
        <v>48</v>
      </c>
      <c r="I29" s="2" t="s">
        <v>22</v>
      </c>
      <c r="J29" s="14">
        <f t="shared" si="1"/>
        <v>15</v>
      </c>
      <c r="K29" s="8" t="str">
        <f t="shared" si="2"/>
        <v>Valid Order</v>
      </c>
      <c r="L29" s="27" t="str">
        <f t="shared" si="3"/>
        <v>Pending for 483 days</v>
      </c>
    </row>
    <row r="30" ht="14.25" customHeight="1">
      <c r="A30" s="2" t="s">
        <v>125</v>
      </c>
      <c r="B30" s="2" t="s">
        <v>126</v>
      </c>
      <c r="C30" s="2" t="s">
        <v>11</v>
      </c>
      <c r="D30" s="2" t="s">
        <v>127</v>
      </c>
      <c r="E30" s="2" t="s">
        <v>37</v>
      </c>
      <c r="F30" s="2">
        <v>2.0</v>
      </c>
      <c r="G30" s="2">
        <v>64892.0</v>
      </c>
      <c r="H30" s="2" t="s">
        <v>21</v>
      </c>
      <c r="I30" s="2" t="s">
        <v>28</v>
      </c>
      <c r="J30" s="14">
        <f t="shared" si="1"/>
        <v>15</v>
      </c>
      <c r="K30" s="8" t="str">
        <f t="shared" si="2"/>
        <v>Valid Order</v>
      </c>
      <c r="L30" s="27" t="str">
        <f t="shared" si="3"/>
        <v>Delivered in 9 days</v>
      </c>
    </row>
    <row r="31" ht="14.25" customHeight="1">
      <c r="A31" s="2" t="s">
        <v>128</v>
      </c>
      <c r="B31" s="2" t="s">
        <v>129</v>
      </c>
      <c r="C31" s="2" t="s">
        <v>123</v>
      </c>
      <c r="D31" s="2" t="s">
        <v>130</v>
      </c>
      <c r="E31" s="2" t="s">
        <v>20</v>
      </c>
      <c r="F31" s="2">
        <v>5.0</v>
      </c>
      <c r="G31" s="2">
        <v>65773.0</v>
      </c>
      <c r="H31" s="2" t="s">
        <v>21</v>
      </c>
      <c r="I31" s="2" t="s">
        <v>28</v>
      </c>
      <c r="J31" s="14">
        <f t="shared" si="1"/>
        <v>16</v>
      </c>
      <c r="K31" s="8" t="str">
        <f t="shared" si="2"/>
        <v>Valid Order</v>
      </c>
      <c r="L31" s="27" t="str">
        <f t="shared" si="3"/>
        <v>Delivered in 12 days</v>
      </c>
    </row>
    <row r="32" ht="14.25" customHeight="1">
      <c r="A32" s="2" t="s">
        <v>131</v>
      </c>
      <c r="B32" s="2" t="s">
        <v>132</v>
      </c>
      <c r="C32" s="2" t="s">
        <v>97</v>
      </c>
      <c r="D32" s="2" t="s">
        <v>133</v>
      </c>
      <c r="E32" s="2" t="s">
        <v>134</v>
      </c>
      <c r="F32" s="2">
        <v>5.0</v>
      </c>
      <c r="G32" s="2">
        <v>67693.0</v>
      </c>
      <c r="H32" s="2" t="s">
        <v>21</v>
      </c>
      <c r="I32" s="2" t="s">
        <v>15</v>
      </c>
      <c r="J32" s="14">
        <f t="shared" si="1"/>
        <v>16</v>
      </c>
      <c r="K32" s="8" t="str">
        <f t="shared" si="2"/>
        <v>Invalid Order</v>
      </c>
      <c r="L32" s="27" t="str">
        <f t="shared" si="3"/>
        <v>Pending for 495 days</v>
      </c>
    </row>
    <row r="33" ht="14.25" customHeight="1">
      <c r="A33" s="2" t="s">
        <v>135</v>
      </c>
      <c r="B33" s="2" t="s">
        <v>136</v>
      </c>
      <c r="C33" s="2" t="s">
        <v>86</v>
      </c>
      <c r="D33" s="2" t="s">
        <v>137</v>
      </c>
      <c r="E33" s="2" t="s">
        <v>138</v>
      </c>
      <c r="F33" s="2">
        <v>4.0</v>
      </c>
      <c r="G33" s="2">
        <v>26320.0</v>
      </c>
      <c r="H33" s="2" t="s">
        <v>14</v>
      </c>
      <c r="I33" s="2" t="s">
        <v>28</v>
      </c>
      <c r="J33" s="14">
        <f t="shared" si="1"/>
        <v>15</v>
      </c>
      <c r="K33" s="8" t="str">
        <f t="shared" si="2"/>
        <v>Valid Order</v>
      </c>
      <c r="L33" s="27" t="str">
        <f t="shared" si="3"/>
        <v>Delivered in 5 days</v>
      </c>
    </row>
    <row r="34" ht="14.25" customHeight="1">
      <c r="A34" s="2" t="s">
        <v>139</v>
      </c>
      <c r="B34" s="2" t="s">
        <v>140</v>
      </c>
      <c r="C34" s="2" t="s">
        <v>86</v>
      </c>
      <c r="D34" s="2" t="s">
        <v>36</v>
      </c>
      <c r="E34" s="2" t="s">
        <v>111</v>
      </c>
      <c r="F34" s="2">
        <v>1.0</v>
      </c>
      <c r="G34" s="2">
        <v>42926.0</v>
      </c>
      <c r="H34" s="2" t="s">
        <v>14</v>
      </c>
      <c r="I34" s="2" t="s">
        <v>22</v>
      </c>
      <c r="J34" s="14">
        <f t="shared" si="1"/>
        <v>14</v>
      </c>
      <c r="K34" s="8" t="str">
        <f t="shared" si="2"/>
        <v>Valid Order</v>
      </c>
      <c r="L34" s="27" t="str">
        <f t="shared" si="3"/>
        <v>Pending for 456 days</v>
      </c>
    </row>
    <row r="35" ht="14.25" customHeight="1">
      <c r="A35" s="2" t="s">
        <v>141</v>
      </c>
      <c r="B35" s="2" t="s">
        <v>142</v>
      </c>
      <c r="C35" s="2" t="s">
        <v>92</v>
      </c>
      <c r="D35" s="2" t="s">
        <v>93</v>
      </c>
      <c r="E35" s="2" t="s">
        <v>143</v>
      </c>
      <c r="F35" s="2">
        <v>1.0</v>
      </c>
      <c r="G35" s="2">
        <v>22275.0</v>
      </c>
      <c r="H35" s="2" t="s">
        <v>62</v>
      </c>
      <c r="I35" s="2" t="s">
        <v>15</v>
      </c>
      <c r="J35" s="14">
        <f t="shared" si="1"/>
        <v>14</v>
      </c>
      <c r="K35" s="8" t="str">
        <f t="shared" si="2"/>
        <v>Invalid Order</v>
      </c>
      <c r="L35" s="27" t="str">
        <f t="shared" si="3"/>
        <v>Pending for 455 days</v>
      </c>
    </row>
    <row r="36" ht="14.25" customHeight="1">
      <c r="A36" s="2" t="s">
        <v>144</v>
      </c>
      <c r="B36" s="2" t="s">
        <v>145</v>
      </c>
      <c r="C36" s="2" t="s">
        <v>25</v>
      </c>
      <c r="D36" s="2" t="s">
        <v>12</v>
      </c>
      <c r="E36" s="2" t="s">
        <v>101</v>
      </c>
      <c r="F36" s="2">
        <v>2.0</v>
      </c>
      <c r="G36" s="2">
        <v>60279.0</v>
      </c>
      <c r="H36" s="2" t="s">
        <v>62</v>
      </c>
      <c r="I36" s="2" t="s">
        <v>22</v>
      </c>
      <c r="J36" s="14">
        <f t="shared" si="1"/>
        <v>16</v>
      </c>
      <c r="K36" s="8" t="str">
        <f t="shared" si="2"/>
        <v>Valid Order</v>
      </c>
      <c r="L36" s="27" t="str">
        <f t="shared" si="3"/>
        <v>Pending for 505 days</v>
      </c>
    </row>
    <row r="37" ht="14.25" customHeight="1">
      <c r="A37" s="2" t="s">
        <v>146</v>
      </c>
      <c r="B37" s="2" t="s">
        <v>147</v>
      </c>
      <c r="C37" s="2" t="s">
        <v>11</v>
      </c>
      <c r="D37" s="2" t="s">
        <v>37</v>
      </c>
      <c r="E37" s="2" t="s">
        <v>148</v>
      </c>
      <c r="F37" s="2">
        <v>2.0</v>
      </c>
      <c r="G37" s="2">
        <v>28865.0</v>
      </c>
      <c r="H37" s="2" t="s">
        <v>62</v>
      </c>
      <c r="I37" s="2" t="s">
        <v>28</v>
      </c>
      <c r="J37" s="14">
        <f t="shared" si="1"/>
        <v>14</v>
      </c>
      <c r="K37" s="8" t="str">
        <f t="shared" si="2"/>
        <v>Valid Order</v>
      </c>
      <c r="L37" s="27" t="str">
        <f t="shared" si="3"/>
        <v>Delivered in 12 days</v>
      </c>
    </row>
    <row r="38" ht="14.25" customHeight="1">
      <c r="A38" s="2" t="s">
        <v>149</v>
      </c>
      <c r="B38" s="2" t="s">
        <v>150</v>
      </c>
      <c r="C38" s="2" t="s">
        <v>31</v>
      </c>
      <c r="D38" s="2" t="s">
        <v>56</v>
      </c>
      <c r="E38" s="2" t="s">
        <v>151</v>
      </c>
      <c r="F38" s="2">
        <v>1.0</v>
      </c>
      <c r="G38" s="2">
        <v>21221.0</v>
      </c>
      <c r="H38" s="2" t="s">
        <v>21</v>
      </c>
      <c r="I38" s="2" t="s">
        <v>28</v>
      </c>
      <c r="J38" s="14">
        <f t="shared" si="1"/>
        <v>15</v>
      </c>
      <c r="K38" s="8" t="str">
        <f t="shared" si="2"/>
        <v>Valid Order</v>
      </c>
      <c r="L38" s="27" t="str">
        <f t="shared" si="3"/>
        <v>Delivered in 11 days</v>
      </c>
    </row>
    <row r="39" ht="14.25" customHeight="1">
      <c r="A39" s="2" t="s">
        <v>152</v>
      </c>
      <c r="B39" s="2" t="s">
        <v>153</v>
      </c>
      <c r="C39" s="2" t="s">
        <v>123</v>
      </c>
      <c r="D39" s="2" t="s">
        <v>61</v>
      </c>
      <c r="E39" s="2" t="s">
        <v>118</v>
      </c>
      <c r="F39" s="2">
        <v>5.0</v>
      </c>
      <c r="G39" s="2">
        <v>55559.0</v>
      </c>
      <c r="H39" s="2" t="s">
        <v>14</v>
      </c>
      <c r="I39" s="2" t="s">
        <v>28</v>
      </c>
      <c r="J39" s="14">
        <f t="shared" si="1"/>
        <v>15</v>
      </c>
      <c r="K39" s="8" t="str">
        <f t="shared" si="2"/>
        <v>Valid Order</v>
      </c>
      <c r="L39" s="27" t="str">
        <f t="shared" si="3"/>
        <v>Delivered in 13 days</v>
      </c>
    </row>
    <row r="40" ht="14.25" customHeight="1">
      <c r="A40" s="2" t="s">
        <v>154</v>
      </c>
      <c r="B40" s="2" t="s">
        <v>155</v>
      </c>
      <c r="C40" s="2" t="s">
        <v>97</v>
      </c>
      <c r="D40" s="2" t="s">
        <v>156</v>
      </c>
      <c r="E40" s="2" t="s">
        <v>89</v>
      </c>
      <c r="F40" s="2">
        <v>3.0</v>
      </c>
      <c r="G40" s="2">
        <v>2641.0</v>
      </c>
      <c r="H40" s="2" t="s">
        <v>48</v>
      </c>
      <c r="I40" s="2" t="s">
        <v>22</v>
      </c>
      <c r="J40" s="14">
        <f t="shared" si="1"/>
        <v>16</v>
      </c>
      <c r="K40" s="8" t="str">
        <f t="shared" si="2"/>
        <v>Valid Order</v>
      </c>
      <c r="L40" s="27" t="str">
        <f t="shared" si="3"/>
        <v>Pending for 515 days</v>
      </c>
    </row>
    <row r="41" ht="14.25" customHeight="1">
      <c r="A41" s="2" t="s">
        <v>157</v>
      </c>
      <c r="B41" s="2" t="s">
        <v>158</v>
      </c>
      <c r="C41" s="2" t="s">
        <v>86</v>
      </c>
      <c r="D41" s="2" t="s">
        <v>159</v>
      </c>
      <c r="E41" s="2" t="s">
        <v>19</v>
      </c>
      <c r="F41" s="2">
        <v>2.0</v>
      </c>
      <c r="G41" s="2">
        <v>59131.0</v>
      </c>
      <c r="H41" s="2" t="s">
        <v>14</v>
      </c>
      <c r="I41" s="2" t="s">
        <v>22</v>
      </c>
      <c r="J41" s="14">
        <f t="shared" si="1"/>
        <v>17</v>
      </c>
      <c r="K41" s="8" t="str">
        <f t="shared" si="2"/>
        <v>Valid Order</v>
      </c>
      <c r="L41" s="27" t="str">
        <f t="shared" si="3"/>
        <v>Pending for 517 days</v>
      </c>
    </row>
    <row r="42" ht="14.25" customHeight="1">
      <c r="A42" s="2" t="s">
        <v>160</v>
      </c>
      <c r="B42" s="2" t="s">
        <v>161</v>
      </c>
      <c r="C42" s="2" t="s">
        <v>114</v>
      </c>
      <c r="D42" s="2" t="s">
        <v>162</v>
      </c>
      <c r="E42" s="2" t="s">
        <v>127</v>
      </c>
      <c r="F42" s="2">
        <v>5.0</v>
      </c>
      <c r="G42" s="2">
        <v>63752.0</v>
      </c>
      <c r="H42" s="2" t="s">
        <v>48</v>
      </c>
      <c r="I42" s="2" t="s">
        <v>28</v>
      </c>
      <c r="J42" s="14">
        <f t="shared" si="1"/>
        <v>15</v>
      </c>
      <c r="K42" s="8" t="str">
        <f t="shared" si="2"/>
        <v>Valid Order</v>
      </c>
      <c r="L42" s="27" t="str">
        <f t="shared" si="3"/>
        <v>Delivered in 4 days</v>
      </c>
    </row>
    <row r="43" ht="14.25" customHeight="1">
      <c r="A43" s="2" t="s">
        <v>163</v>
      </c>
      <c r="B43" s="2" t="s">
        <v>164</v>
      </c>
      <c r="C43" s="2" t="s">
        <v>55</v>
      </c>
      <c r="D43" s="2" t="s">
        <v>134</v>
      </c>
      <c r="E43" s="2" t="s">
        <v>165</v>
      </c>
      <c r="F43" s="2">
        <v>4.0</v>
      </c>
      <c r="G43" s="2">
        <v>42104.0</v>
      </c>
      <c r="H43" s="2" t="s">
        <v>21</v>
      </c>
      <c r="I43" s="2" t="s">
        <v>22</v>
      </c>
      <c r="J43" s="14">
        <f t="shared" si="1"/>
        <v>16</v>
      </c>
      <c r="K43" s="8" t="str">
        <f t="shared" si="2"/>
        <v>Valid Order</v>
      </c>
      <c r="L43" s="27" t="str">
        <f t="shared" si="3"/>
        <v>Pending for 493 days</v>
      </c>
    </row>
    <row r="44" ht="14.25" customHeight="1">
      <c r="A44" s="2" t="s">
        <v>166</v>
      </c>
      <c r="B44" s="2" t="s">
        <v>167</v>
      </c>
      <c r="C44" s="2" t="s">
        <v>31</v>
      </c>
      <c r="D44" s="2" t="s">
        <v>138</v>
      </c>
      <c r="E44" s="2" t="s">
        <v>168</v>
      </c>
      <c r="F44" s="2">
        <v>2.0</v>
      </c>
      <c r="G44" s="2">
        <v>26803.0</v>
      </c>
      <c r="H44" s="2" t="s">
        <v>48</v>
      </c>
      <c r="I44" s="2" t="s">
        <v>15</v>
      </c>
      <c r="J44" s="14">
        <f t="shared" si="1"/>
        <v>15</v>
      </c>
      <c r="K44" s="8" t="str">
        <f t="shared" si="2"/>
        <v>Invalid Order</v>
      </c>
      <c r="L44" s="27" t="str">
        <f t="shared" si="3"/>
        <v>Pending for 471 days</v>
      </c>
    </row>
    <row r="45" ht="14.25" customHeight="1">
      <c r="A45" s="2" t="s">
        <v>169</v>
      </c>
      <c r="B45" s="2" t="s">
        <v>170</v>
      </c>
      <c r="C45" s="2" t="s">
        <v>11</v>
      </c>
      <c r="D45" s="2" t="s">
        <v>171</v>
      </c>
      <c r="E45" s="2" t="s">
        <v>81</v>
      </c>
      <c r="F45" s="2">
        <v>5.0</v>
      </c>
      <c r="G45" s="2">
        <v>64309.0</v>
      </c>
      <c r="H45" s="2" t="s">
        <v>14</v>
      </c>
      <c r="I45" s="2" t="s">
        <v>28</v>
      </c>
      <c r="J45" s="14">
        <f t="shared" si="1"/>
        <v>16</v>
      </c>
      <c r="K45" s="8" t="str">
        <f t="shared" si="2"/>
        <v>Valid Order</v>
      </c>
      <c r="L45" s="27" t="str">
        <f t="shared" si="3"/>
        <v>Delivered in 4 days</v>
      </c>
    </row>
    <row r="46" ht="14.25" customHeight="1">
      <c r="A46" s="2" t="s">
        <v>172</v>
      </c>
      <c r="B46" s="2" t="s">
        <v>173</v>
      </c>
      <c r="C46" s="2" t="s">
        <v>92</v>
      </c>
      <c r="D46" s="2" t="s">
        <v>127</v>
      </c>
      <c r="E46" s="2" t="s">
        <v>111</v>
      </c>
      <c r="F46" s="2">
        <v>5.0</v>
      </c>
      <c r="G46" s="2">
        <v>60923.0</v>
      </c>
      <c r="H46" s="2" t="s">
        <v>14</v>
      </c>
      <c r="I46" s="2" t="s">
        <v>28</v>
      </c>
      <c r="J46" s="14">
        <f t="shared" si="1"/>
        <v>15</v>
      </c>
      <c r="K46" s="8" t="str">
        <f t="shared" si="2"/>
        <v>Valid Order</v>
      </c>
      <c r="L46" s="27" t="str">
        <f t="shared" si="3"/>
        <v>Delivered in 13 days</v>
      </c>
    </row>
    <row r="47" ht="14.25" customHeight="1">
      <c r="A47" s="2" t="s">
        <v>174</v>
      </c>
      <c r="B47" s="2" t="s">
        <v>175</v>
      </c>
      <c r="C47" s="2" t="s">
        <v>97</v>
      </c>
      <c r="D47" s="2" t="s">
        <v>56</v>
      </c>
      <c r="E47" s="2" t="s">
        <v>151</v>
      </c>
      <c r="F47" s="2">
        <v>1.0</v>
      </c>
      <c r="G47" s="2">
        <v>6488.0</v>
      </c>
      <c r="H47" s="2" t="s">
        <v>14</v>
      </c>
      <c r="I47" s="2" t="s">
        <v>28</v>
      </c>
      <c r="J47" s="14">
        <f t="shared" si="1"/>
        <v>15</v>
      </c>
      <c r="K47" s="8" t="str">
        <f t="shared" si="2"/>
        <v>Valid Order</v>
      </c>
      <c r="L47" s="27" t="str">
        <f t="shared" si="3"/>
        <v>Delivered in 11 days</v>
      </c>
    </row>
    <row r="48" ht="14.25" customHeight="1">
      <c r="A48" s="2" t="s">
        <v>176</v>
      </c>
      <c r="B48" s="2" t="s">
        <v>177</v>
      </c>
      <c r="C48" s="2" t="s">
        <v>25</v>
      </c>
      <c r="D48" s="2" t="s">
        <v>12</v>
      </c>
      <c r="E48" s="2" t="s">
        <v>101</v>
      </c>
      <c r="F48" s="2">
        <v>6.0</v>
      </c>
      <c r="G48" s="2">
        <v>45482.0</v>
      </c>
      <c r="H48" s="2" t="s">
        <v>14</v>
      </c>
      <c r="I48" s="2" t="s">
        <v>28</v>
      </c>
      <c r="J48" s="14">
        <f t="shared" si="1"/>
        <v>16</v>
      </c>
      <c r="K48" s="8" t="str">
        <f t="shared" si="2"/>
        <v>Valid Order</v>
      </c>
      <c r="L48" s="27" t="str">
        <f t="shared" si="3"/>
        <v>Delivered in 6 days</v>
      </c>
    </row>
    <row r="49" ht="14.25" customHeight="1">
      <c r="A49" s="2" t="s">
        <v>178</v>
      </c>
      <c r="B49" s="2" t="s">
        <v>179</v>
      </c>
      <c r="C49" s="2" t="s">
        <v>11</v>
      </c>
      <c r="D49" s="2" t="s">
        <v>180</v>
      </c>
      <c r="E49" s="2" t="s">
        <v>181</v>
      </c>
      <c r="F49" s="2">
        <v>1.0</v>
      </c>
      <c r="G49" s="2">
        <v>47310.0</v>
      </c>
      <c r="H49" s="2" t="s">
        <v>21</v>
      </c>
      <c r="I49" s="2" t="s">
        <v>28</v>
      </c>
      <c r="J49" s="14">
        <f t="shared" si="1"/>
        <v>14</v>
      </c>
      <c r="K49" s="8" t="str">
        <f t="shared" si="2"/>
        <v>Valid Order</v>
      </c>
      <c r="L49" s="27" t="str">
        <f t="shared" si="3"/>
        <v>Delivered in 12 days</v>
      </c>
    </row>
    <row r="50" ht="14.25" customHeight="1">
      <c r="A50" s="2" t="s">
        <v>182</v>
      </c>
      <c r="B50" s="2" t="s">
        <v>83</v>
      </c>
      <c r="C50" s="2" t="s">
        <v>123</v>
      </c>
      <c r="D50" s="2" t="s">
        <v>20</v>
      </c>
      <c r="E50" s="2" t="s">
        <v>68</v>
      </c>
      <c r="F50" s="2">
        <v>1.0</v>
      </c>
      <c r="G50" s="2">
        <v>16901.0</v>
      </c>
      <c r="H50" s="2" t="s">
        <v>48</v>
      </c>
      <c r="I50" s="2" t="s">
        <v>28</v>
      </c>
      <c r="J50" s="14">
        <f t="shared" si="1"/>
        <v>16</v>
      </c>
      <c r="K50" s="8" t="str">
        <f t="shared" si="2"/>
        <v>Valid Order</v>
      </c>
      <c r="L50" s="27" t="str">
        <f t="shared" si="3"/>
        <v>Delivered in 14 days</v>
      </c>
    </row>
    <row r="51" ht="14.25" customHeight="1">
      <c r="A51" s="2" t="s">
        <v>183</v>
      </c>
      <c r="B51" s="2" t="s">
        <v>184</v>
      </c>
      <c r="C51" s="2" t="s">
        <v>185</v>
      </c>
      <c r="D51" s="2" t="s">
        <v>101</v>
      </c>
      <c r="E51" s="2" t="s">
        <v>13</v>
      </c>
      <c r="F51" s="2">
        <v>4.0</v>
      </c>
      <c r="G51" s="2">
        <v>36642.0</v>
      </c>
      <c r="H51" s="2" t="s">
        <v>48</v>
      </c>
      <c r="I51" s="2" t="s">
        <v>28</v>
      </c>
      <c r="J51" s="14">
        <f t="shared" si="1"/>
        <v>16</v>
      </c>
      <c r="K51" s="8" t="str">
        <f t="shared" si="2"/>
        <v>Valid Order</v>
      </c>
      <c r="L51" s="27" t="str">
        <f t="shared" si="3"/>
        <v>Delivered in 5 days</v>
      </c>
    </row>
    <row r="52" ht="14.25" customHeight="1">
      <c r="A52" s="2" t="s">
        <v>186</v>
      </c>
      <c r="B52" s="2" t="s">
        <v>187</v>
      </c>
      <c r="C52" s="2" t="s">
        <v>18</v>
      </c>
      <c r="D52" s="2" t="s">
        <v>188</v>
      </c>
      <c r="E52" s="2" t="s">
        <v>46</v>
      </c>
      <c r="F52" s="2">
        <v>3.0</v>
      </c>
      <c r="G52" s="2">
        <v>45563.0</v>
      </c>
      <c r="H52" s="2" t="s">
        <v>62</v>
      </c>
      <c r="I52" s="2" t="s">
        <v>22</v>
      </c>
      <c r="J52" s="14">
        <f t="shared" si="1"/>
        <v>15</v>
      </c>
      <c r="K52" s="8" t="str">
        <f t="shared" si="2"/>
        <v>Valid Order</v>
      </c>
      <c r="L52" s="27" t="str">
        <f t="shared" si="3"/>
        <v>Pending for 457 days</v>
      </c>
    </row>
    <row r="53" ht="14.25" customHeight="1">
      <c r="A53" s="2" t="s">
        <v>189</v>
      </c>
      <c r="B53" s="2" t="s">
        <v>190</v>
      </c>
      <c r="C53" s="2" t="s">
        <v>86</v>
      </c>
      <c r="D53" s="2" t="s">
        <v>138</v>
      </c>
      <c r="E53" s="2" t="s">
        <v>191</v>
      </c>
      <c r="F53" s="2">
        <v>4.0</v>
      </c>
      <c r="G53" s="2">
        <v>22996.0</v>
      </c>
      <c r="H53" s="2" t="s">
        <v>62</v>
      </c>
      <c r="I53" s="2" t="s">
        <v>15</v>
      </c>
      <c r="J53" s="14">
        <f t="shared" si="1"/>
        <v>15</v>
      </c>
      <c r="K53" s="8" t="str">
        <f t="shared" si="2"/>
        <v>Invalid Order</v>
      </c>
      <c r="L53" s="27" t="str">
        <f t="shared" si="3"/>
        <v>Pending for 471 days</v>
      </c>
    </row>
    <row r="54" ht="14.25" customHeight="1">
      <c r="A54" s="2" t="s">
        <v>192</v>
      </c>
      <c r="B54" s="2" t="s">
        <v>193</v>
      </c>
      <c r="C54" s="2" t="s">
        <v>55</v>
      </c>
      <c r="D54" s="2" t="s">
        <v>68</v>
      </c>
      <c r="E54" s="2" t="s">
        <v>56</v>
      </c>
      <c r="F54" s="2">
        <v>3.0</v>
      </c>
      <c r="G54" s="2">
        <v>44183.0</v>
      </c>
      <c r="H54" s="2" t="s">
        <v>48</v>
      </c>
      <c r="I54" s="2" t="s">
        <v>28</v>
      </c>
      <c r="J54" s="14">
        <f t="shared" si="1"/>
        <v>15</v>
      </c>
      <c r="K54" s="8" t="str">
        <f t="shared" si="2"/>
        <v>Valid Order</v>
      </c>
      <c r="L54" s="27" t="str">
        <f t="shared" si="3"/>
        <v>Delivered in 6 days</v>
      </c>
    </row>
    <row r="55" ht="14.25" customHeight="1">
      <c r="A55" s="2" t="s">
        <v>194</v>
      </c>
      <c r="B55" s="2" t="s">
        <v>195</v>
      </c>
      <c r="C55" s="2" t="s">
        <v>185</v>
      </c>
      <c r="D55" s="2" t="s">
        <v>36</v>
      </c>
      <c r="E55" s="2" t="s">
        <v>196</v>
      </c>
      <c r="F55" s="2">
        <v>5.0</v>
      </c>
      <c r="G55" s="2">
        <v>23977.0</v>
      </c>
      <c r="H55" s="2" t="s">
        <v>48</v>
      </c>
      <c r="I55" s="2" t="s">
        <v>22</v>
      </c>
      <c r="J55" s="14">
        <f t="shared" si="1"/>
        <v>14</v>
      </c>
      <c r="K55" s="8" t="str">
        <f t="shared" si="2"/>
        <v>Valid Order</v>
      </c>
      <c r="L55" s="27" t="str">
        <f t="shared" si="3"/>
        <v>Pending for 456 days</v>
      </c>
    </row>
    <row r="56" ht="14.25" customHeight="1">
      <c r="A56" s="2" t="s">
        <v>197</v>
      </c>
      <c r="B56" s="2" t="s">
        <v>198</v>
      </c>
      <c r="C56" s="2" t="s">
        <v>199</v>
      </c>
      <c r="D56" s="2" t="s">
        <v>200</v>
      </c>
      <c r="E56" s="2" t="s">
        <v>76</v>
      </c>
      <c r="F56" s="2">
        <v>4.0</v>
      </c>
      <c r="G56" s="2">
        <v>61336.0</v>
      </c>
      <c r="H56" s="2" t="s">
        <v>21</v>
      </c>
      <c r="I56" s="2" t="s">
        <v>28</v>
      </c>
      <c r="J56" s="14">
        <f t="shared" si="1"/>
        <v>15</v>
      </c>
      <c r="K56" s="8" t="str">
        <f t="shared" si="2"/>
        <v>Valid Order</v>
      </c>
      <c r="L56" s="27" t="str">
        <f t="shared" si="3"/>
        <v>Delivered in 9 days</v>
      </c>
    </row>
    <row r="57" ht="14.25" customHeight="1">
      <c r="A57" s="2" t="s">
        <v>201</v>
      </c>
      <c r="B57" s="2" t="s">
        <v>202</v>
      </c>
      <c r="C57" s="2" t="s">
        <v>114</v>
      </c>
      <c r="D57" s="2" t="s">
        <v>203</v>
      </c>
      <c r="E57" s="2" t="s">
        <v>171</v>
      </c>
      <c r="F57" s="2">
        <v>3.0</v>
      </c>
      <c r="G57" s="2">
        <v>28560.0</v>
      </c>
      <c r="H57" s="2" t="s">
        <v>14</v>
      </c>
      <c r="I57" s="2" t="s">
        <v>22</v>
      </c>
      <c r="J57" s="14">
        <f t="shared" si="1"/>
        <v>17</v>
      </c>
      <c r="K57" s="8" t="str">
        <f t="shared" si="2"/>
        <v>Valid Order</v>
      </c>
      <c r="L57" s="27" t="str">
        <f t="shared" si="3"/>
        <v>Pending for 518 days</v>
      </c>
    </row>
    <row r="58" ht="14.25" customHeight="1">
      <c r="A58" s="2" t="s">
        <v>204</v>
      </c>
      <c r="B58" s="2" t="s">
        <v>205</v>
      </c>
      <c r="C58" s="2" t="s">
        <v>25</v>
      </c>
      <c r="D58" s="2" t="s">
        <v>206</v>
      </c>
      <c r="E58" s="2" t="s">
        <v>207</v>
      </c>
      <c r="F58" s="2">
        <v>6.0</v>
      </c>
      <c r="G58" s="2">
        <v>17033.0</v>
      </c>
      <c r="H58" s="2" t="s">
        <v>48</v>
      </c>
      <c r="I58" s="2" t="s">
        <v>28</v>
      </c>
      <c r="J58" s="14">
        <f t="shared" si="1"/>
        <v>15</v>
      </c>
      <c r="K58" s="8" t="str">
        <f t="shared" si="2"/>
        <v>Valid Order</v>
      </c>
      <c r="L58" s="27" t="str">
        <f t="shared" si="3"/>
        <v>Delivered in 9 days</v>
      </c>
    </row>
    <row r="59" ht="14.25" customHeight="1">
      <c r="A59" s="2" t="s">
        <v>208</v>
      </c>
      <c r="B59" s="2" t="s">
        <v>209</v>
      </c>
      <c r="C59" s="2" t="s">
        <v>97</v>
      </c>
      <c r="D59" s="2" t="s">
        <v>118</v>
      </c>
      <c r="E59" s="2" t="s">
        <v>180</v>
      </c>
      <c r="F59" s="2">
        <v>4.0</v>
      </c>
      <c r="G59" s="2">
        <v>8225.0</v>
      </c>
      <c r="H59" s="2" t="s">
        <v>62</v>
      </c>
      <c r="I59" s="2" t="s">
        <v>28</v>
      </c>
      <c r="J59" s="14">
        <f t="shared" si="1"/>
        <v>15</v>
      </c>
      <c r="K59" s="8" t="str">
        <f t="shared" si="2"/>
        <v>Valid Order</v>
      </c>
      <c r="L59" s="27" t="str">
        <f t="shared" si="3"/>
        <v>Delivered in 9 days</v>
      </c>
    </row>
    <row r="60" ht="14.25" customHeight="1">
      <c r="A60" s="2" t="s">
        <v>210</v>
      </c>
      <c r="B60" s="2" t="s">
        <v>211</v>
      </c>
      <c r="C60" s="2" t="s">
        <v>185</v>
      </c>
      <c r="D60" s="2" t="s">
        <v>76</v>
      </c>
      <c r="E60" s="2" t="s">
        <v>65</v>
      </c>
      <c r="F60" s="2">
        <v>5.0</v>
      </c>
      <c r="G60" s="2">
        <v>32053.0</v>
      </c>
      <c r="H60" s="2" t="s">
        <v>21</v>
      </c>
      <c r="I60" s="2" t="s">
        <v>28</v>
      </c>
      <c r="J60" s="14">
        <f t="shared" si="1"/>
        <v>14</v>
      </c>
      <c r="K60" s="8" t="str">
        <f t="shared" si="2"/>
        <v>Valid Order</v>
      </c>
      <c r="L60" s="27" t="str">
        <f t="shared" si="3"/>
        <v>Delivered in 2 days</v>
      </c>
    </row>
    <row r="61" ht="14.25" customHeight="1">
      <c r="A61" s="2" t="s">
        <v>212</v>
      </c>
      <c r="B61" s="2" t="s">
        <v>213</v>
      </c>
      <c r="C61" s="2" t="s">
        <v>11</v>
      </c>
      <c r="D61" s="2" t="s">
        <v>73</v>
      </c>
      <c r="E61" s="2" t="s">
        <v>124</v>
      </c>
      <c r="F61" s="2">
        <v>1.0</v>
      </c>
      <c r="G61" s="2">
        <v>23765.0</v>
      </c>
      <c r="H61" s="2" t="s">
        <v>14</v>
      </c>
      <c r="I61" s="2" t="s">
        <v>28</v>
      </c>
      <c r="J61" s="14">
        <f t="shared" si="1"/>
        <v>16</v>
      </c>
      <c r="K61" s="8" t="str">
        <f t="shared" si="2"/>
        <v>Valid Order</v>
      </c>
      <c r="L61" s="27" t="str">
        <f t="shared" si="3"/>
        <v>Delivered in 13 days</v>
      </c>
    </row>
    <row r="62" ht="14.25" customHeight="1">
      <c r="A62" s="2" t="s">
        <v>214</v>
      </c>
      <c r="B62" s="2" t="s">
        <v>215</v>
      </c>
      <c r="C62" s="2" t="s">
        <v>45</v>
      </c>
      <c r="D62" s="2" t="s">
        <v>191</v>
      </c>
      <c r="E62" s="2" t="s">
        <v>27</v>
      </c>
      <c r="F62" s="2">
        <v>4.0</v>
      </c>
      <c r="G62" s="2">
        <v>63627.0</v>
      </c>
      <c r="H62" s="2" t="s">
        <v>62</v>
      </c>
      <c r="I62" s="2" t="s">
        <v>22</v>
      </c>
      <c r="J62" s="14">
        <f t="shared" si="1"/>
        <v>15</v>
      </c>
      <c r="K62" s="8" t="str">
        <f t="shared" si="2"/>
        <v>Valid Order</v>
      </c>
      <c r="L62" s="27" t="str">
        <f t="shared" si="3"/>
        <v>Pending for 468 days</v>
      </c>
    </row>
    <row r="63" ht="14.25" customHeight="1">
      <c r="A63" s="2" t="s">
        <v>216</v>
      </c>
      <c r="B63" s="2" t="s">
        <v>217</v>
      </c>
      <c r="C63" s="2" t="s">
        <v>199</v>
      </c>
      <c r="D63" s="2" t="s">
        <v>162</v>
      </c>
      <c r="E63" s="2" t="s">
        <v>36</v>
      </c>
      <c r="F63" s="2">
        <v>6.0</v>
      </c>
      <c r="G63" s="2">
        <v>44304.0</v>
      </c>
      <c r="H63" s="2" t="s">
        <v>48</v>
      </c>
      <c r="I63" s="2" t="s">
        <v>28</v>
      </c>
      <c r="J63" s="14">
        <f t="shared" si="1"/>
        <v>15</v>
      </c>
      <c r="K63" s="8" t="str">
        <f t="shared" si="2"/>
        <v>Valid Order</v>
      </c>
      <c r="L63" s="27" t="str">
        <f t="shared" si="3"/>
        <v>Delivered in 7 days</v>
      </c>
    </row>
    <row r="64" ht="14.25" customHeight="1">
      <c r="A64" s="2" t="s">
        <v>218</v>
      </c>
      <c r="B64" s="2" t="s">
        <v>219</v>
      </c>
      <c r="C64" s="2" t="s">
        <v>11</v>
      </c>
      <c r="D64" s="2" t="s">
        <v>60</v>
      </c>
      <c r="E64" s="2" t="s">
        <v>42</v>
      </c>
      <c r="F64" s="2">
        <v>5.0</v>
      </c>
      <c r="G64" s="2">
        <v>27814.0</v>
      </c>
      <c r="H64" s="2" t="s">
        <v>21</v>
      </c>
      <c r="I64" s="2" t="s">
        <v>28</v>
      </c>
      <c r="J64" s="14">
        <f t="shared" si="1"/>
        <v>16</v>
      </c>
      <c r="K64" s="8" t="str">
        <f t="shared" si="2"/>
        <v>Valid Order</v>
      </c>
      <c r="L64" s="27" t="str">
        <f t="shared" si="3"/>
        <v>Delivered in 13 days</v>
      </c>
    </row>
    <row r="65" ht="14.25" customHeight="1">
      <c r="A65" s="2" t="s">
        <v>220</v>
      </c>
      <c r="B65" s="2" t="s">
        <v>221</v>
      </c>
      <c r="C65" s="2" t="s">
        <v>45</v>
      </c>
      <c r="D65" s="2" t="s">
        <v>222</v>
      </c>
      <c r="E65" s="2" t="s">
        <v>223</v>
      </c>
      <c r="F65" s="2">
        <v>2.0</v>
      </c>
      <c r="G65" s="2">
        <v>12746.0</v>
      </c>
      <c r="H65" s="2" t="s">
        <v>62</v>
      </c>
      <c r="I65" s="2" t="s">
        <v>15</v>
      </c>
      <c r="J65" s="14">
        <f t="shared" si="1"/>
        <v>16</v>
      </c>
      <c r="K65" s="8" t="str">
        <f t="shared" si="2"/>
        <v>Invalid Order</v>
      </c>
      <c r="L65" s="27" t="str">
        <f t="shared" si="3"/>
        <v>Pending for 485 days</v>
      </c>
    </row>
    <row r="66" ht="14.25" customHeight="1">
      <c r="A66" s="2" t="s">
        <v>224</v>
      </c>
      <c r="B66" s="2" t="s">
        <v>225</v>
      </c>
      <c r="C66" s="2" t="s">
        <v>86</v>
      </c>
      <c r="D66" s="2" t="s">
        <v>162</v>
      </c>
      <c r="E66" s="2" t="s">
        <v>94</v>
      </c>
      <c r="F66" s="2">
        <v>3.0</v>
      </c>
      <c r="G66" s="2">
        <v>66758.0</v>
      </c>
      <c r="H66" s="2" t="s">
        <v>62</v>
      </c>
      <c r="I66" s="2" t="s">
        <v>28</v>
      </c>
      <c r="J66" s="14">
        <f t="shared" si="1"/>
        <v>15</v>
      </c>
      <c r="K66" s="8" t="str">
        <f t="shared" si="2"/>
        <v>Valid Order</v>
      </c>
      <c r="L66" s="27" t="str">
        <f t="shared" si="3"/>
        <v>Delivered in 10 days</v>
      </c>
    </row>
    <row r="67" ht="14.25" customHeight="1">
      <c r="A67" s="2" t="s">
        <v>226</v>
      </c>
      <c r="B67" s="2" t="s">
        <v>227</v>
      </c>
      <c r="C67" s="2" t="s">
        <v>25</v>
      </c>
      <c r="D67" s="2" t="s">
        <v>37</v>
      </c>
      <c r="E67" s="2" t="s">
        <v>228</v>
      </c>
      <c r="F67" s="2">
        <v>1.0</v>
      </c>
      <c r="G67" s="2">
        <v>9833.0</v>
      </c>
      <c r="H67" s="2" t="s">
        <v>48</v>
      </c>
      <c r="I67" s="2" t="s">
        <v>15</v>
      </c>
      <c r="J67" s="14">
        <f t="shared" si="1"/>
        <v>14</v>
      </c>
      <c r="K67" s="8" t="str">
        <f t="shared" si="2"/>
        <v>Invalid Order</v>
      </c>
      <c r="L67" s="27" t="str">
        <f t="shared" si="3"/>
        <v>Pending for 450 days</v>
      </c>
    </row>
    <row r="68" ht="14.25" customHeight="1">
      <c r="A68" s="2" t="s">
        <v>229</v>
      </c>
      <c r="B68" s="2" t="s">
        <v>230</v>
      </c>
      <c r="C68" s="2" t="s">
        <v>97</v>
      </c>
      <c r="D68" s="2" t="s">
        <v>27</v>
      </c>
      <c r="E68" s="2" t="s">
        <v>231</v>
      </c>
      <c r="F68" s="2">
        <v>6.0</v>
      </c>
      <c r="G68" s="2">
        <v>19276.0</v>
      </c>
      <c r="H68" s="2" t="s">
        <v>48</v>
      </c>
      <c r="I68" s="2" t="s">
        <v>22</v>
      </c>
      <c r="J68" s="14">
        <f t="shared" si="1"/>
        <v>15</v>
      </c>
      <c r="K68" s="8" t="str">
        <f t="shared" si="2"/>
        <v>Valid Order</v>
      </c>
      <c r="L68" s="27" t="str">
        <f t="shared" si="3"/>
        <v>Pending for 460 days</v>
      </c>
    </row>
    <row r="69" ht="14.25" customHeight="1">
      <c r="A69" s="2" t="s">
        <v>232</v>
      </c>
      <c r="B69" s="2" t="s">
        <v>233</v>
      </c>
      <c r="C69" s="2" t="s">
        <v>59</v>
      </c>
      <c r="D69" s="2" t="s">
        <v>191</v>
      </c>
      <c r="E69" s="2" t="s">
        <v>162</v>
      </c>
      <c r="F69" s="2">
        <v>5.0</v>
      </c>
      <c r="G69" s="2">
        <v>8589.0</v>
      </c>
      <c r="H69" s="2" t="s">
        <v>21</v>
      </c>
      <c r="I69" s="2" t="s">
        <v>28</v>
      </c>
      <c r="J69" s="14">
        <f t="shared" si="1"/>
        <v>15</v>
      </c>
      <c r="K69" s="8" t="str">
        <f t="shared" si="2"/>
        <v>Valid Order</v>
      </c>
      <c r="L69" s="27" t="str">
        <f t="shared" si="3"/>
        <v>Delivered in 5 days</v>
      </c>
    </row>
    <row r="70" ht="14.25" customHeight="1">
      <c r="A70" s="2" t="s">
        <v>234</v>
      </c>
      <c r="B70" s="2" t="s">
        <v>235</v>
      </c>
      <c r="C70" s="2" t="s">
        <v>25</v>
      </c>
      <c r="D70" s="2" t="s">
        <v>41</v>
      </c>
      <c r="E70" s="2" t="s">
        <v>151</v>
      </c>
      <c r="F70" s="2">
        <v>1.0</v>
      </c>
      <c r="G70" s="2">
        <v>24228.0</v>
      </c>
      <c r="H70" s="2" t="s">
        <v>48</v>
      </c>
      <c r="I70" s="2" t="s">
        <v>28</v>
      </c>
      <c r="J70" s="14">
        <f t="shared" si="1"/>
        <v>15</v>
      </c>
      <c r="K70" s="8" t="str">
        <f t="shared" si="2"/>
        <v>Valid Order</v>
      </c>
      <c r="L70" s="27" t="str">
        <f t="shared" si="3"/>
        <v>Delivered in 13 days</v>
      </c>
    </row>
    <row r="71" ht="14.25" customHeight="1">
      <c r="A71" s="2" t="s">
        <v>236</v>
      </c>
      <c r="B71" s="2" t="s">
        <v>237</v>
      </c>
      <c r="C71" s="2" t="s">
        <v>86</v>
      </c>
      <c r="D71" s="2" t="s">
        <v>156</v>
      </c>
      <c r="E71" s="2" t="s">
        <v>171</v>
      </c>
      <c r="F71" s="2">
        <v>6.0</v>
      </c>
      <c r="G71" s="2">
        <v>45999.0</v>
      </c>
      <c r="H71" s="2" t="s">
        <v>21</v>
      </c>
      <c r="I71" s="2" t="s">
        <v>28</v>
      </c>
      <c r="J71" s="14">
        <f t="shared" si="1"/>
        <v>16</v>
      </c>
      <c r="K71" s="8" t="str">
        <f t="shared" si="2"/>
        <v>Valid Order</v>
      </c>
      <c r="L71" s="27" t="str">
        <f t="shared" si="3"/>
        <v>Delivered in 4 days</v>
      </c>
    </row>
    <row r="72" ht="14.25" customHeight="1">
      <c r="A72" s="2" t="s">
        <v>238</v>
      </c>
      <c r="B72" s="2" t="s">
        <v>239</v>
      </c>
      <c r="C72" s="2" t="s">
        <v>114</v>
      </c>
      <c r="D72" s="2" t="s">
        <v>108</v>
      </c>
      <c r="E72" s="2" t="s">
        <v>231</v>
      </c>
      <c r="F72" s="2">
        <v>6.0</v>
      </c>
      <c r="G72" s="2">
        <v>16843.0</v>
      </c>
      <c r="H72" s="2" t="s">
        <v>21</v>
      </c>
      <c r="I72" s="2" t="s">
        <v>28</v>
      </c>
      <c r="J72" s="14">
        <f t="shared" si="1"/>
        <v>15</v>
      </c>
      <c r="K72" s="8" t="str">
        <f t="shared" si="2"/>
        <v>Valid Order</v>
      </c>
      <c r="L72" s="27" t="str">
        <f t="shared" si="3"/>
        <v>Delivered in 11 days</v>
      </c>
    </row>
    <row r="73" ht="14.25" customHeight="1">
      <c r="A73" s="2" t="s">
        <v>240</v>
      </c>
      <c r="B73" s="2" t="s">
        <v>241</v>
      </c>
      <c r="C73" s="2" t="s">
        <v>18</v>
      </c>
      <c r="D73" s="2" t="s">
        <v>191</v>
      </c>
      <c r="E73" s="2" t="s">
        <v>36</v>
      </c>
      <c r="F73" s="2">
        <v>5.0</v>
      </c>
      <c r="G73" s="2">
        <v>11432.0</v>
      </c>
      <c r="H73" s="2" t="s">
        <v>48</v>
      </c>
      <c r="I73" s="2" t="s">
        <v>28</v>
      </c>
      <c r="J73" s="14">
        <f t="shared" si="1"/>
        <v>15</v>
      </c>
      <c r="K73" s="8" t="str">
        <f t="shared" si="2"/>
        <v>Valid Order</v>
      </c>
      <c r="L73" s="27" t="str">
        <f t="shared" si="3"/>
        <v>Delivered in 12 days</v>
      </c>
    </row>
    <row r="74" ht="14.25" customHeight="1">
      <c r="A74" s="2" t="s">
        <v>242</v>
      </c>
      <c r="B74" s="2" t="s">
        <v>243</v>
      </c>
      <c r="C74" s="2" t="s">
        <v>97</v>
      </c>
      <c r="D74" s="2" t="s">
        <v>69</v>
      </c>
      <c r="E74" s="2" t="s">
        <v>244</v>
      </c>
      <c r="F74" s="2">
        <v>3.0</v>
      </c>
      <c r="G74" s="2">
        <v>6930.0</v>
      </c>
      <c r="H74" s="2" t="s">
        <v>62</v>
      </c>
      <c r="I74" s="2" t="s">
        <v>28</v>
      </c>
      <c r="J74" s="14">
        <f t="shared" si="1"/>
        <v>15</v>
      </c>
      <c r="K74" s="8" t="str">
        <f t="shared" si="2"/>
        <v>Valid Order</v>
      </c>
      <c r="L74" s="27" t="str">
        <f t="shared" si="3"/>
        <v>Delivered in 9 days</v>
      </c>
    </row>
    <row r="75" ht="14.25" customHeight="1">
      <c r="A75" s="2" t="s">
        <v>245</v>
      </c>
      <c r="B75" s="2" t="s">
        <v>246</v>
      </c>
      <c r="C75" s="2" t="s">
        <v>114</v>
      </c>
      <c r="D75" s="2" t="s">
        <v>98</v>
      </c>
      <c r="E75" s="2" t="s">
        <v>108</v>
      </c>
      <c r="F75" s="2">
        <v>2.0</v>
      </c>
      <c r="G75" s="2">
        <v>5931.0</v>
      </c>
      <c r="H75" s="2" t="s">
        <v>14</v>
      </c>
      <c r="I75" s="2" t="s">
        <v>28</v>
      </c>
      <c r="J75" s="14">
        <f t="shared" si="1"/>
        <v>15</v>
      </c>
      <c r="K75" s="8" t="str">
        <f t="shared" si="2"/>
        <v>Valid Order</v>
      </c>
      <c r="L75" s="27" t="str">
        <f t="shared" si="3"/>
        <v>Delivered in 3 days</v>
      </c>
    </row>
    <row r="76" ht="14.25" customHeight="1">
      <c r="A76" s="2" t="s">
        <v>247</v>
      </c>
      <c r="B76" s="2" t="s">
        <v>248</v>
      </c>
      <c r="C76" s="2" t="s">
        <v>25</v>
      </c>
      <c r="D76" s="2" t="s">
        <v>127</v>
      </c>
      <c r="E76" s="2" t="s">
        <v>93</v>
      </c>
      <c r="F76" s="2">
        <v>4.0</v>
      </c>
      <c r="G76" s="2">
        <v>42890.0</v>
      </c>
      <c r="H76" s="2" t="s">
        <v>14</v>
      </c>
      <c r="I76" s="2" t="s">
        <v>28</v>
      </c>
      <c r="J76" s="14">
        <f t="shared" si="1"/>
        <v>15</v>
      </c>
      <c r="K76" s="8" t="str">
        <f t="shared" si="2"/>
        <v>Valid Order</v>
      </c>
      <c r="L76" s="27" t="str">
        <f t="shared" si="3"/>
        <v>Delivered in 4 days</v>
      </c>
    </row>
    <row r="77" ht="14.25" customHeight="1">
      <c r="A77" s="2" t="s">
        <v>249</v>
      </c>
      <c r="B77" s="2" t="s">
        <v>250</v>
      </c>
      <c r="C77" s="2" t="s">
        <v>59</v>
      </c>
      <c r="D77" s="2" t="s">
        <v>251</v>
      </c>
      <c r="E77" s="2" t="s">
        <v>77</v>
      </c>
      <c r="F77" s="2">
        <v>4.0</v>
      </c>
      <c r="G77" s="2">
        <v>44533.0</v>
      </c>
      <c r="H77" s="2" t="s">
        <v>62</v>
      </c>
      <c r="I77" s="2" t="s">
        <v>28</v>
      </c>
      <c r="J77" s="14">
        <f t="shared" si="1"/>
        <v>14</v>
      </c>
      <c r="K77" s="8" t="str">
        <f t="shared" si="2"/>
        <v>Valid Order</v>
      </c>
      <c r="L77" s="27" t="str">
        <f t="shared" si="3"/>
        <v>Delivered in 12 days</v>
      </c>
    </row>
    <row r="78" ht="14.25" customHeight="1">
      <c r="A78" s="2" t="s">
        <v>252</v>
      </c>
      <c r="B78" s="2" t="s">
        <v>253</v>
      </c>
      <c r="C78" s="2" t="s">
        <v>11</v>
      </c>
      <c r="D78" s="2" t="s">
        <v>98</v>
      </c>
      <c r="E78" s="2" t="s">
        <v>27</v>
      </c>
      <c r="F78" s="2">
        <v>2.0</v>
      </c>
      <c r="G78" s="2">
        <v>46616.0</v>
      </c>
      <c r="H78" s="2" t="s">
        <v>48</v>
      </c>
      <c r="I78" s="2" t="s">
        <v>22</v>
      </c>
      <c r="J78" s="14">
        <f t="shared" si="1"/>
        <v>15</v>
      </c>
      <c r="K78" s="8" t="str">
        <f t="shared" si="2"/>
        <v>Valid Order</v>
      </c>
      <c r="L78" s="27" t="str">
        <f t="shared" si="3"/>
        <v>Pending for 465 days</v>
      </c>
    </row>
    <row r="79" ht="14.25" customHeight="1">
      <c r="A79" s="2" t="s">
        <v>254</v>
      </c>
      <c r="B79" s="2" t="s">
        <v>255</v>
      </c>
      <c r="C79" s="2" t="s">
        <v>18</v>
      </c>
      <c r="D79" s="2" t="s">
        <v>36</v>
      </c>
      <c r="E79" s="2" t="s">
        <v>196</v>
      </c>
      <c r="F79" s="2">
        <v>3.0</v>
      </c>
      <c r="G79" s="2">
        <v>57016.0</v>
      </c>
      <c r="H79" s="2" t="s">
        <v>21</v>
      </c>
      <c r="I79" s="2" t="s">
        <v>28</v>
      </c>
      <c r="J79" s="14">
        <f t="shared" si="1"/>
        <v>14</v>
      </c>
      <c r="K79" s="8" t="str">
        <f t="shared" si="2"/>
        <v>Valid Order</v>
      </c>
      <c r="L79" s="27" t="str">
        <f t="shared" si="3"/>
        <v>Delivered in 12 days</v>
      </c>
    </row>
    <row r="80" ht="14.25" customHeight="1">
      <c r="A80" s="2" t="s">
        <v>256</v>
      </c>
      <c r="B80" s="2" t="s">
        <v>257</v>
      </c>
      <c r="C80" s="2" t="s">
        <v>40</v>
      </c>
      <c r="D80" s="2" t="s">
        <v>12</v>
      </c>
      <c r="E80" s="2" t="s">
        <v>33</v>
      </c>
      <c r="F80" s="2">
        <v>6.0</v>
      </c>
      <c r="G80" s="2">
        <v>37999.0</v>
      </c>
      <c r="H80" s="2" t="s">
        <v>48</v>
      </c>
      <c r="I80" s="2" t="s">
        <v>15</v>
      </c>
      <c r="J80" s="14">
        <f t="shared" si="1"/>
        <v>16</v>
      </c>
      <c r="K80" s="8" t="str">
        <f t="shared" si="2"/>
        <v>Invalid Order</v>
      </c>
      <c r="L80" s="27" t="str">
        <f t="shared" si="3"/>
        <v>Pending for 505 days</v>
      </c>
    </row>
    <row r="81" ht="14.25" customHeight="1">
      <c r="A81" s="2" t="s">
        <v>258</v>
      </c>
      <c r="B81" s="2" t="s">
        <v>259</v>
      </c>
      <c r="C81" s="2" t="s">
        <v>97</v>
      </c>
      <c r="D81" s="2" t="s">
        <v>124</v>
      </c>
      <c r="E81" s="2" t="s">
        <v>137</v>
      </c>
      <c r="F81" s="2">
        <v>5.0</v>
      </c>
      <c r="G81" s="2">
        <v>48493.0</v>
      </c>
      <c r="H81" s="2" t="s">
        <v>21</v>
      </c>
      <c r="I81" s="2" t="s">
        <v>28</v>
      </c>
      <c r="J81" s="14">
        <f t="shared" si="1"/>
        <v>15</v>
      </c>
      <c r="K81" s="8" t="str">
        <f t="shared" si="2"/>
        <v>Valid Order</v>
      </c>
      <c r="L81" s="27" t="str">
        <f t="shared" si="3"/>
        <v>Delivered in 7 days</v>
      </c>
    </row>
    <row r="82" ht="14.25" customHeight="1">
      <c r="A82" s="2" t="s">
        <v>260</v>
      </c>
      <c r="B82" s="2" t="s">
        <v>261</v>
      </c>
      <c r="C82" s="2" t="s">
        <v>31</v>
      </c>
      <c r="D82" s="2" t="s">
        <v>162</v>
      </c>
      <c r="E82" s="2" t="s">
        <v>93</v>
      </c>
      <c r="F82" s="2">
        <v>2.0</v>
      </c>
      <c r="G82" s="2">
        <v>11330.0</v>
      </c>
      <c r="H82" s="2" t="s">
        <v>62</v>
      </c>
      <c r="I82" s="2" t="s">
        <v>28</v>
      </c>
      <c r="J82" s="14">
        <f t="shared" si="1"/>
        <v>15</v>
      </c>
      <c r="K82" s="8" t="str">
        <f t="shared" si="2"/>
        <v>Valid Order</v>
      </c>
      <c r="L82" s="27" t="str">
        <f t="shared" si="3"/>
        <v>Delivered in 8 days</v>
      </c>
    </row>
    <row r="83" ht="14.25" customHeight="1">
      <c r="A83" s="2" t="s">
        <v>262</v>
      </c>
      <c r="B83" s="2" t="s">
        <v>263</v>
      </c>
      <c r="C83" s="2" t="s">
        <v>31</v>
      </c>
      <c r="D83" s="2" t="s">
        <v>81</v>
      </c>
      <c r="E83" s="2" t="s">
        <v>72</v>
      </c>
      <c r="F83" s="2">
        <v>3.0</v>
      </c>
      <c r="G83" s="2">
        <v>33535.0</v>
      </c>
      <c r="H83" s="2" t="s">
        <v>14</v>
      </c>
      <c r="I83" s="2" t="s">
        <v>28</v>
      </c>
      <c r="J83" s="14">
        <f t="shared" si="1"/>
        <v>16</v>
      </c>
      <c r="K83" s="8" t="str">
        <f t="shared" si="2"/>
        <v>Valid Order</v>
      </c>
      <c r="L83" s="27" t="str">
        <f t="shared" si="3"/>
        <v>Delivered in 3 days</v>
      </c>
    </row>
    <row r="84" ht="14.25" customHeight="1">
      <c r="A84" s="2" t="s">
        <v>264</v>
      </c>
      <c r="B84" s="2" t="s">
        <v>265</v>
      </c>
      <c r="C84" s="2" t="s">
        <v>199</v>
      </c>
      <c r="D84" s="2" t="s">
        <v>56</v>
      </c>
      <c r="E84" s="2" t="s">
        <v>244</v>
      </c>
      <c r="F84" s="2">
        <v>1.0</v>
      </c>
      <c r="G84" s="2">
        <v>2992.0</v>
      </c>
      <c r="H84" s="2" t="s">
        <v>48</v>
      </c>
      <c r="I84" s="2" t="s">
        <v>22</v>
      </c>
      <c r="J84" s="14">
        <f t="shared" si="1"/>
        <v>15</v>
      </c>
      <c r="K84" s="8" t="str">
        <f t="shared" si="2"/>
        <v>Valid Order</v>
      </c>
      <c r="L84" s="27" t="str">
        <f t="shared" si="3"/>
        <v>Pending for 478 days</v>
      </c>
    </row>
    <row r="85" ht="14.25" customHeight="1">
      <c r="A85" s="2" t="s">
        <v>266</v>
      </c>
      <c r="B85" s="2" t="s">
        <v>267</v>
      </c>
      <c r="C85" s="2" t="s">
        <v>199</v>
      </c>
      <c r="D85" s="2" t="s">
        <v>41</v>
      </c>
      <c r="E85" s="2" t="s">
        <v>191</v>
      </c>
      <c r="F85" s="2">
        <v>5.0</v>
      </c>
      <c r="G85" s="2">
        <v>8734.0</v>
      </c>
      <c r="H85" s="2" t="s">
        <v>14</v>
      </c>
      <c r="I85" s="2" t="s">
        <v>15</v>
      </c>
      <c r="J85" s="14">
        <f t="shared" si="1"/>
        <v>15</v>
      </c>
      <c r="K85" s="8" t="str">
        <f t="shared" si="2"/>
        <v>Invalid Order</v>
      </c>
      <c r="L85" s="27" t="str">
        <f t="shared" si="3"/>
        <v>Pending for 480 days</v>
      </c>
    </row>
    <row r="86" ht="14.25" customHeight="1">
      <c r="A86" s="2" t="s">
        <v>268</v>
      </c>
      <c r="B86" s="2" t="s">
        <v>269</v>
      </c>
      <c r="C86" s="2" t="s">
        <v>123</v>
      </c>
      <c r="D86" s="2" t="s">
        <v>118</v>
      </c>
      <c r="E86" s="2" t="s">
        <v>188</v>
      </c>
      <c r="F86" s="2">
        <v>6.0</v>
      </c>
      <c r="G86" s="2">
        <v>45602.0</v>
      </c>
      <c r="H86" s="2" t="s">
        <v>62</v>
      </c>
      <c r="I86" s="2" t="s">
        <v>28</v>
      </c>
      <c r="J86" s="14">
        <f t="shared" si="1"/>
        <v>15</v>
      </c>
      <c r="K86" s="8" t="str">
        <f t="shared" si="2"/>
        <v>Valid Order</v>
      </c>
      <c r="L86" s="27" t="str">
        <f t="shared" si="3"/>
        <v>Delivered in 4 days</v>
      </c>
    </row>
    <row r="87" ht="14.25" customHeight="1">
      <c r="A87" s="2" t="s">
        <v>270</v>
      </c>
      <c r="B87" s="2" t="s">
        <v>304</v>
      </c>
      <c r="C87" s="2" t="s">
        <v>31</v>
      </c>
      <c r="D87" s="2" t="s">
        <v>41</v>
      </c>
      <c r="E87" s="2" t="s">
        <v>168</v>
      </c>
      <c r="F87" s="2">
        <v>3.0</v>
      </c>
      <c r="G87" s="2">
        <v>5818.0</v>
      </c>
      <c r="H87" s="2" t="s">
        <v>14</v>
      </c>
      <c r="I87" s="2" t="s">
        <v>15</v>
      </c>
      <c r="J87" s="14">
        <f t="shared" si="1"/>
        <v>15</v>
      </c>
      <c r="K87" s="8" t="str">
        <f t="shared" si="2"/>
        <v>Invalid Order</v>
      </c>
      <c r="L87" s="27" t="str">
        <f t="shared" si="3"/>
        <v>Pending for 480 days</v>
      </c>
    </row>
    <row r="88" ht="14.25" customHeight="1">
      <c r="A88" s="2" t="s">
        <v>272</v>
      </c>
      <c r="B88" s="2" t="s">
        <v>305</v>
      </c>
      <c r="C88" s="2" t="s">
        <v>97</v>
      </c>
      <c r="D88" s="2" t="s">
        <v>191</v>
      </c>
      <c r="E88" s="2" t="s">
        <v>244</v>
      </c>
      <c r="F88" s="2">
        <v>5.0</v>
      </c>
      <c r="G88" s="2">
        <v>63923.0</v>
      </c>
      <c r="H88" s="2" t="s">
        <v>14</v>
      </c>
      <c r="I88" s="2" t="s">
        <v>28</v>
      </c>
      <c r="J88" s="14">
        <f t="shared" si="1"/>
        <v>15</v>
      </c>
      <c r="K88" s="8" t="str">
        <f t="shared" si="2"/>
        <v>Valid Order</v>
      </c>
      <c r="L88" s="27" t="str">
        <f t="shared" si="3"/>
        <v>Delivered in 4 days</v>
      </c>
    </row>
    <row r="89" ht="14.25" customHeight="1">
      <c r="A89" s="2" t="s">
        <v>274</v>
      </c>
      <c r="B89" s="2" t="s">
        <v>306</v>
      </c>
      <c r="C89" s="2" t="s">
        <v>59</v>
      </c>
      <c r="D89" s="2" t="s">
        <v>134</v>
      </c>
      <c r="E89" s="2" t="s">
        <v>60</v>
      </c>
      <c r="F89" s="2">
        <v>5.0</v>
      </c>
      <c r="G89" s="2">
        <v>47222.0</v>
      </c>
      <c r="H89" s="2" t="s">
        <v>62</v>
      </c>
      <c r="I89" s="2" t="s">
        <v>28</v>
      </c>
      <c r="J89" s="14">
        <f t="shared" si="1"/>
        <v>16</v>
      </c>
      <c r="K89" s="8" t="str">
        <f t="shared" si="2"/>
        <v>Valid Order</v>
      </c>
      <c r="L89" s="27" t="str">
        <f t="shared" si="3"/>
        <v>Delivered in 5 days</v>
      </c>
    </row>
    <row r="90" ht="14.25" customHeight="1">
      <c r="A90" s="2" t="s">
        <v>276</v>
      </c>
      <c r="B90" s="2" t="s">
        <v>277</v>
      </c>
      <c r="C90" s="2" t="s">
        <v>97</v>
      </c>
      <c r="D90" s="2" t="s">
        <v>36</v>
      </c>
      <c r="E90" s="2" t="s">
        <v>76</v>
      </c>
      <c r="F90" s="2">
        <v>4.0</v>
      </c>
      <c r="G90" s="2">
        <v>61768.0</v>
      </c>
      <c r="H90" s="2" t="s">
        <v>48</v>
      </c>
      <c r="I90" s="2" t="s">
        <v>28</v>
      </c>
      <c r="J90" s="14">
        <f t="shared" si="1"/>
        <v>14</v>
      </c>
      <c r="K90" s="8" t="str">
        <f t="shared" si="2"/>
        <v>Valid Order</v>
      </c>
      <c r="L90" s="27" t="str">
        <f t="shared" si="3"/>
        <v>Delivered in 7 days</v>
      </c>
    </row>
    <row r="91" ht="14.25" customHeight="1">
      <c r="A91" s="2" t="s">
        <v>278</v>
      </c>
      <c r="B91" s="2" t="s">
        <v>279</v>
      </c>
      <c r="C91" s="2" t="s">
        <v>40</v>
      </c>
      <c r="D91" s="2" t="s">
        <v>80</v>
      </c>
      <c r="E91" s="2" t="s">
        <v>89</v>
      </c>
      <c r="F91" s="2">
        <v>2.0</v>
      </c>
      <c r="G91" s="2">
        <v>37005.0</v>
      </c>
      <c r="H91" s="2" t="s">
        <v>14</v>
      </c>
      <c r="I91" s="2" t="s">
        <v>28</v>
      </c>
      <c r="J91" s="14">
        <f t="shared" si="1"/>
        <v>16</v>
      </c>
      <c r="K91" s="8" t="str">
        <f t="shared" si="2"/>
        <v>Valid Order</v>
      </c>
      <c r="L91" s="27" t="str">
        <f t="shared" si="3"/>
        <v>Delivered in 11 days</v>
      </c>
    </row>
    <row r="92" ht="14.25" customHeight="1">
      <c r="A92" s="2" t="s">
        <v>280</v>
      </c>
      <c r="B92" s="2" t="s">
        <v>281</v>
      </c>
      <c r="C92" s="2" t="s">
        <v>92</v>
      </c>
      <c r="D92" s="2" t="s">
        <v>26</v>
      </c>
      <c r="E92" s="2" t="s">
        <v>118</v>
      </c>
      <c r="F92" s="2">
        <v>6.0</v>
      </c>
      <c r="G92" s="2">
        <v>15373.0</v>
      </c>
      <c r="H92" s="2" t="s">
        <v>14</v>
      </c>
      <c r="I92" s="2" t="s">
        <v>15</v>
      </c>
      <c r="J92" s="14">
        <f t="shared" si="1"/>
        <v>15</v>
      </c>
      <c r="K92" s="8" t="str">
        <f t="shared" si="2"/>
        <v>Invalid Order</v>
      </c>
      <c r="L92" s="27" t="str">
        <f t="shared" si="3"/>
        <v>Pending for 469 days</v>
      </c>
    </row>
    <row r="93" ht="14.25" customHeight="1">
      <c r="A93" s="2" t="s">
        <v>282</v>
      </c>
      <c r="B93" s="2" t="s">
        <v>307</v>
      </c>
      <c r="C93" s="2" t="s">
        <v>11</v>
      </c>
      <c r="D93" s="2" t="s">
        <v>94</v>
      </c>
      <c r="E93" s="2" t="s">
        <v>111</v>
      </c>
      <c r="F93" s="2">
        <v>4.0</v>
      </c>
      <c r="G93" s="2">
        <v>28349.0</v>
      </c>
      <c r="H93" s="2" t="s">
        <v>21</v>
      </c>
      <c r="I93" s="2" t="s">
        <v>15</v>
      </c>
      <c r="J93" s="14">
        <f t="shared" si="1"/>
        <v>14</v>
      </c>
      <c r="K93" s="8" t="str">
        <f t="shared" si="2"/>
        <v>Invalid Order</v>
      </c>
      <c r="L93" s="27" t="str">
        <f t="shared" si="3"/>
        <v>Pending for 453 days</v>
      </c>
    </row>
    <row r="94" ht="14.25" customHeight="1">
      <c r="A94" s="2" t="s">
        <v>284</v>
      </c>
      <c r="B94" s="2" t="s">
        <v>285</v>
      </c>
      <c r="C94" s="2" t="s">
        <v>40</v>
      </c>
      <c r="D94" s="2" t="s">
        <v>188</v>
      </c>
      <c r="E94" s="2" t="s">
        <v>93</v>
      </c>
      <c r="F94" s="2">
        <v>2.0</v>
      </c>
      <c r="G94" s="2">
        <v>9333.0</v>
      </c>
      <c r="H94" s="2" t="s">
        <v>62</v>
      </c>
      <c r="I94" s="2" t="s">
        <v>28</v>
      </c>
      <c r="J94" s="14">
        <f t="shared" si="1"/>
        <v>15</v>
      </c>
      <c r="K94" s="8" t="str">
        <f t="shared" si="2"/>
        <v>Valid Order</v>
      </c>
      <c r="L94" s="27" t="str">
        <f t="shared" si="3"/>
        <v>Delivered in 2 days</v>
      </c>
    </row>
    <row r="95" ht="14.25" customHeight="1">
      <c r="A95" s="2" t="s">
        <v>286</v>
      </c>
      <c r="B95" s="2" t="s">
        <v>287</v>
      </c>
      <c r="C95" s="2" t="s">
        <v>18</v>
      </c>
      <c r="D95" s="2" t="s">
        <v>134</v>
      </c>
      <c r="E95" s="2" t="s">
        <v>165</v>
      </c>
      <c r="F95" s="2">
        <v>4.0</v>
      </c>
      <c r="G95" s="2">
        <v>39697.0</v>
      </c>
      <c r="H95" s="2" t="s">
        <v>14</v>
      </c>
      <c r="I95" s="2" t="s">
        <v>28</v>
      </c>
      <c r="J95" s="14">
        <f t="shared" si="1"/>
        <v>16</v>
      </c>
      <c r="K95" s="8" t="str">
        <f t="shared" si="2"/>
        <v>Valid Order</v>
      </c>
      <c r="L95" s="27" t="str">
        <f t="shared" si="3"/>
        <v>Delivered in 6 days</v>
      </c>
    </row>
    <row r="96" ht="14.25" customHeight="1">
      <c r="A96" s="2" t="s">
        <v>288</v>
      </c>
      <c r="B96" s="2" t="s">
        <v>308</v>
      </c>
      <c r="C96" s="2" t="s">
        <v>86</v>
      </c>
      <c r="D96" s="2" t="s">
        <v>133</v>
      </c>
      <c r="E96" s="2" t="s">
        <v>290</v>
      </c>
      <c r="F96" s="2">
        <v>2.0</v>
      </c>
      <c r="G96" s="2">
        <v>51052.0</v>
      </c>
      <c r="H96" s="2" t="s">
        <v>48</v>
      </c>
      <c r="I96" s="2" t="s">
        <v>28</v>
      </c>
      <c r="J96" s="14">
        <f t="shared" si="1"/>
        <v>16</v>
      </c>
      <c r="K96" s="8" t="str">
        <f t="shared" si="2"/>
        <v>Valid Order</v>
      </c>
      <c r="L96" s="27" t="str">
        <f t="shared" si="3"/>
        <v>Delivered in 3 days</v>
      </c>
    </row>
    <row r="97" ht="14.25" customHeight="1">
      <c r="A97" s="2" t="s">
        <v>291</v>
      </c>
      <c r="B97" s="2" t="s">
        <v>309</v>
      </c>
      <c r="C97" s="2" t="s">
        <v>25</v>
      </c>
      <c r="D97" s="2" t="s">
        <v>94</v>
      </c>
      <c r="E97" s="2" t="s">
        <v>65</v>
      </c>
      <c r="F97" s="2">
        <v>6.0</v>
      </c>
      <c r="G97" s="2">
        <v>28248.0</v>
      </c>
      <c r="H97" s="2" t="s">
        <v>48</v>
      </c>
      <c r="I97" s="2" t="s">
        <v>28</v>
      </c>
      <c r="J97" s="14">
        <f t="shared" si="1"/>
        <v>14</v>
      </c>
      <c r="K97" s="8" t="str">
        <f t="shared" si="2"/>
        <v>Valid Order</v>
      </c>
      <c r="L97" s="27" t="str">
        <f t="shared" si="3"/>
        <v>Delivered in 6 days</v>
      </c>
    </row>
    <row r="98" ht="14.25" customHeight="1">
      <c r="A98" s="2" t="s">
        <v>293</v>
      </c>
      <c r="B98" s="2" t="s">
        <v>294</v>
      </c>
      <c r="C98" s="2" t="s">
        <v>59</v>
      </c>
      <c r="D98" s="2" t="s">
        <v>295</v>
      </c>
      <c r="E98" s="2" t="s">
        <v>290</v>
      </c>
      <c r="F98" s="2">
        <v>6.0</v>
      </c>
      <c r="G98" s="2">
        <v>38784.0</v>
      </c>
      <c r="H98" s="2" t="s">
        <v>14</v>
      </c>
      <c r="I98" s="2" t="s">
        <v>28</v>
      </c>
      <c r="J98" s="14">
        <f t="shared" si="1"/>
        <v>16</v>
      </c>
      <c r="K98" s="8" t="str">
        <f t="shared" si="2"/>
        <v>Valid Order</v>
      </c>
      <c r="L98" s="27" t="str">
        <f t="shared" si="3"/>
        <v>Delivered in 5 days</v>
      </c>
    </row>
    <row r="99" ht="14.25" customHeight="1">
      <c r="A99" s="2" t="s">
        <v>296</v>
      </c>
      <c r="B99" s="2" t="s">
        <v>310</v>
      </c>
      <c r="C99" s="2" t="s">
        <v>199</v>
      </c>
      <c r="D99" s="2" t="s">
        <v>188</v>
      </c>
      <c r="E99" s="2" t="s">
        <v>180</v>
      </c>
      <c r="F99" s="2">
        <v>5.0</v>
      </c>
      <c r="G99" s="2">
        <v>5900.0</v>
      </c>
      <c r="H99" s="2" t="s">
        <v>62</v>
      </c>
      <c r="I99" s="2" t="s">
        <v>28</v>
      </c>
      <c r="J99" s="14">
        <f t="shared" si="1"/>
        <v>15</v>
      </c>
      <c r="K99" s="8" t="str">
        <f t="shared" si="2"/>
        <v>Valid Order</v>
      </c>
      <c r="L99" s="27" t="str">
        <f t="shared" si="3"/>
        <v>Delivered in 5 days</v>
      </c>
    </row>
    <row r="100" ht="14.25" customHeight="1">
      <c r="A100" s="2" t="s">
        <v>298</v>
      </c>
      <c r="B100" s="2" t="s">
        <v>299</v>
      </c>
      <c r="C100" s="2" t="s">
        <v>31</v>
      </c>
      <c r="D100" s="2" t="s">
        <v>89</v>
      </c>
      <c r="E100" s="2" t="s">
        <v>165</v>
      </c>
      <c r="F100" s="2">
        <v>4.0</v>
      </c>
      <c r="G100" s="2">
        <v>16868.0</v>
      </c>
      <c r="H100" s="2" t="s">
        <v>48</v>
      </c>
      <c r="I100" s="2" t="s">
        <v>28</v>
      </c>
      <c r="J100" s="14">
        <f t="shared" si="1"/>
        <v>16</v>
      </c>
      <c r="K100" s="8" t="str">
        <f t="shared" si="2"/>
        <v>Valid Order</v>
      </c>
      <c r="L100" s="27" t="str">
        <f t="shared" si="3"/>
        <v>Delivered in 14 days</v>
      </c>
    </row>
    <row r="101" ht="14.25" customHeight="1">
      <c r="A101" s="2" t="s">
        <v>300</v>
      </c>
      <c r="B101" s="2" t="s">
        <v>311</v>
      </c>
      <c r="C101" s="2" t="s">
        <v>55</v>
      </c>
      <c r="D101" s="2" t="s">
        <v>20</v>
      </c>
      <c r="E101" s="2" t="s">
        <v>222</v>
      </c>
      <c r="F101" s="2">
        <v>2.0</v>
      </c>
      <c r="G101" s="2">
        <v>27529.0</v>
      </c>
      <c r="H101" s="2" t="s">
        <v>21</v>
      </c>
      <c r="I101" s="2" t="s">
        <v>22</v>
      </c>
      <c r="J101" s="14">
        <f t="shared" si="1"/>
        <v>16</v>
      </c>
      <c r="K101" s="8" t="str">
        <f t="shared" si="2"/>
        <v>Valid Order</v>
      </c>
      <c r="L101" s="27" t="str">
        <f t="shared" si="3"/>
        <v>Pending for 498 days</v>
      </c>
    </row>
    <row r="102" ht="14.25" customHeight="1">
      <c r="J102" s="14"/>
      <c r="K102" s="8"/>
      <c r="L102" s="27"/>
    </row>
    <row r="103" ht="14.25" customHeight="1">
      <c r="J103" s="14"/>
      <c r="K103" s="8"/>
      <c r="L103" s="27"/>
    </row>
    <row r="104" ht="14.25" customHeight="1">
      <c r="J104" s="14"/>
      <c r="K104" s="8"/>
      <c r="L104" s="27"/>
    </row>
    <row r="105" ht="14.25" customHeight="1">
      <c r="J105" s="14"/>
      <c r="K105" s="8"/>
      <c r="L105" s="27"/>
    </row>
    <row r="106" ht="14.25" customHeight="1">
      <c r="J106" s="14"/>
      <c r="K106" s="8"/>
      <c r="L106" s="27"/>
    </row>
    <row r="107" ht="14.25" customHeight="1">
      <c r="J107" s="14"/>
      <c r="K107" s="8"/>
      <c r="L107" s="27"/>
    </row>
    <row r="108" ht="14.25" customHeight="1">
      <c r="J108" s="14"/>
      <c r="K108" s="8"/>
      <c r="L108" s="27"/>
    </row>
    <row r="109" ht="14.25" customHeight="1">
      <c r="J109" s="14"/>
      <c r="K109" s="8"/>
      <c r="L109" s="27"/>
    </row>
    <row r="110" ht="14.25" customHeight="1">
      <c r="J110" s="14"/>
      <c r="K110" s="8"/>
      <c r="L110" s="27"/>
    </row>
    <row r="111" ht="14.25" customHeight="1">
      <c r="J111" s="14"/>
      <c r="K111" s="8"/>
      <c r="L111" s="27"/>
    </row>
    <row r="112" ht="14.25" customHeight="1">
      <c r="J112" s="14"/>
      <c r="K112" s="8"/>
      <c r="L112" s="27"/>
    </row>
    <row r="113" ht="14.25" customHeight="1">
      <c r="J113" s="14"/>
      <c r="K113" s="8"/>
      <c r="L113" s="27"/>
    </row>
    <row r="114" ht="14.25" customHeight="1">
      <c r="J114" s="14"/>
      <c r="K114" s="8"/>
      <c r="L114" s="27"/>
    </row>
    <row r="115" ht="14.25" customHeight="1">
      <c r="J115" s="14"/>
      <c r="K115" s="8"/>
      <c r="L115" s="27"/>
    </row>
    <row r="116" ht="14.25" customHeight="1">
      <c r="J116" s="14"/>
      <c r="K116" s="8"/>
      <c r="L116" s="27"/>
    </row>
    <row r="117" ht="14.25" customHeight="1">
      <c r="J117" s="14"/>
      <c r="K117" s="8"/>
      <c r="L117" s="27"/>
    </row>
    <row r="118" ht="14.25" customHeight="1">
      <c r="J118" s="14"/>
      <c r="K118" s="8"/>
      <c r="L118" s="27"/>
    </row>
    <row r="119" ht="14.25" customHeight="1">
      <c r="J119" s="14"/>
      <c r="K119" s="8"/>
      <c r="L119" s="27"/>
    </row>
    <row r="120" ht="14.25" customHeight="1">
      <c r="J120" s="14"/>
      <c r="K120" s="8"/>
      <c r="L120" s="27"/>
    </row>
    <row r="121" ht="14.25" customHeight="1">
      <c r="J121" s="14"/>
      <c r="K121" s="8"/>
      <c r="L121" s="27"/>
    </row>
    <row r="122" ht="14.25" customHeight="1">
      <c r="J122" s="14"/>
      <c r="K122" s="8"/>
      <c r="L122" s="27"/>
    </row>
    <row r="123" ht="14.25" customHeight="1">
      <c r="J123" s="14"/>
      <c r="K123" s="8"/>
      <c r="L123" s="27"/>
    </row>
    <row r="124" ht="14.25" customHeight="1">
      <c r="J124" s="14"/>
      <c r="K124" s="8"/>
      <c r="L124" s="27"/>
    </row>
    <row r="125" ht="14.25" customHeight="1">
      <c r="J125" s="14"/>
      <c r="K125" s="8"/>
      <c r="L125" s="27"/>
    </row>
    <row r="126" ht="14.25" customHeight="1">
      <c r="J126" s="14"/>
      <c r="K126" s="8"/>
      <c r="L126" s="27"/>
    </row>
    <row r="127" ht="14.25" customHeight="1">
      <c r="J127" s="14"/>
      <c r="K127" s="8"/>
      <c r="L127" s="27"/>
    </row>
    <row r="128" ht="14.25" customHeight="1">
      <c r="J128" s="14"/>
      <c r="K128" s="8"/>
      <c r="L128" s="27"/>
    </row>
    <row r="129" ht="14.25" customHeight="1">
      <c r="J129" s="14"/>
      <c r="K129" s="8"/>
      <c r="L129" s="27"/>
    </row>
    <row r="130" ht="14.25" customHeight="1">
      <c r="J130" s="14"/>
      <c r="K130" s="8"/>
      <c r="L130" s="27"/>
    </row>
    <row r="131" ht="14.25" customHeight="1">
      <c r="J131" s="14"/>
      <c r="K131" s="8"/>
      <c r="L131" s="27"/>
    </row>
    <row r="132" ht="14.25" customHeight="1">
      <c r="J132" s="14"/>
      <c r="K132" s="8"/>
      <c r="L132" s="27"/>
    </row>
    <row r="133" ht="14.25" customHeight="1">
      <c r="J133" s="14"/>
      <c r="K133" s="8"/>
      <c r="L133" s="27"/>
    </row>
    <row r="134" ht="14.25" customHeight="1">
      <c r="J134" s="14"/>
      <c r="K134" s="8"/>
      <c r="L134" s="27"/>
    </row>
    <row r="135" ht="14.25" customHeight="1">
      <c r="J135" s="14"/>
      <c r="K135" s="8"/>
      <c r="L135" s="27"/>
    </row>
    <row r="136" ht="14.25" customHeight="1">
      <c r="J136" s="14"/>
      <c r="K136" s="8"/>
      <c r="L136" s="27"/>
    </row>
    <row r="137" ht="14.25" customHeight="1">
      <c r="J137" s="14"/>
      <c r="K137" s="8"/>
      <c r="L137" s="27"/>
    </row>
    <row r="138" ht="14.25" customHeight="1">
      <c r="J138" s="14"/>
      <c r="K138" s="8"/>
      <c r="L138" s="27"/>
    </row>
    <row r="139" ht="14.25" customHeight="1">
      <c r="J139" s="14"/>
      <c r="K139" s="8"/>
      <c r="L139" s="27"/>
    </row>
    <row r="140" ht="14.25" customHeight="1">
      <c r="J140" s="14"/>
      <c r="K140" s="8"/>
      <c r="L140" s="27"/>
    </row>
    <row r="141" ht="14.25" customHeight="1">
      <c r="J141" s="14"/>
      <c r="K141" s="8"/>
      <c r="L141" s="27"/>
    </row>
    <row r="142" ht="14.25" customHeight="1">
      <c r="J142" s="14"/>
      <c r="K142" s="8"/>
      <c r="L142" s="27"/>
    </row>
    <row r="143" ht="14.25" customHeight="1">
      <c r="J143" s="14"/>
      <c r="K143" s="8"/>
      <c r="L143" s="27"/>
    </row>
    <row r="144" ht="14.25" customHeight="1">
      <c r="J144" s="14"/>
      <c r="K144" s="8"/>
      <c r="L144" s="27"/>
    </row>
    <row r="145" ht="14.25" customHeight="1">
      <c r="J145" s="14"/>
      <c r="K145" s="8"/>
      <c r="L145" s="27"/>
    </row>
    <row r="146" ht="14.25" customHeight="1">
      <c r="J146" s="14"/>
      <c r="K146" s="8"/>
      <c r="L146" s="27"/>
    </row>
    <row r="147" ht="14.25" customHeight="1">
      <c r="J147" s="14"/>
      <c r="K147" s="8"/>
      <c r="L147" s="27"/>
    </row>
    <row r="148" ht="14.25" customHeight="1">
      <c r="J148" s="14"/>
      <c r="K148" s="8"/>
      <c r="L148" s="27"/>
    </row>
    <row r="149" ht="14.25" customHeight="1">
      <c r="J149" s="14"/>
      <c r="K149" s="8"/>
      <c r="L149" s="27"/>
    </row>
    <row r="150" ht="14.25" customHeight="1">
      <c r="J150" s="14"/>
      <c r="K150" s="8"/>
      <c r="L150" s="27"/>
    </row>
    <row r="151" ht="14.25" customHeight="1">
      <c r="J151" s="14"/>
      <c r="K151" s="8"/>
      <c r="L151" s="27"/>
    </row>
    <row r="152" ht="14.25" customHeight="1">
      <c r="J152" s="14"/>
      <c r="K152" s="8"/>
      <c r="L152" s="27"/>
    </row>
    <row r="153" ht="14.25" customHeight="1">
      <c r="J153" s="14"/>
      <c r="K153" s="8"/>
      <c r="L153" s="27"/>
    </row>
    <row r="154" ht="14.25" customHeight="1">
      <c r="J154" s="14"/>
      <c r="K154" s="8"/>
      <c r="L154" s="27"/>
    </row>
    <row r="155" ht="14.25" customHeight="1">
      <c r="J155" s="14"/>
      <c r="K155" s="8"/>
      <c r="L155" s="27"/>
    </row>
    <row r="156" ht="14.25" customHeight="1">
      <c r="J156" s="14"/>
      <c r="K156" s="8"/>
      <c r="L156" s="27"/>
    </row>
    <row r="157" ht="14.25" customHeight="1">
      <c r="J157" s="14"/>
      <c r="K157" s="8"/>
      <c r="L157" s="27"/>
    </row>
    <row r="158" ht="14.25" customHeight="1">
      <c r="J158" s="14"/>
      <c r="K158" s="8"/>
      <c r="L158" s="27"/>
    </row>
    <row r="159" ht="14.25" customHeight="1">
      <c r="J159" s="14"/>
      <c r="K159" s="8"/>
      <c r="L159" s="27"/>
    </row>
    <row r="160" ht="14.25" customHeight="1">
      <c r="J160" s="14"/>
      <c r="K160" s="8"/>
      <c r="L160" s="27"/>
    </row>
    <row r="161" ht="14.25" customHeight="1">
      <c r="J161" s="14"/>
      <c r="K161" s="8"/>
      <c r="L161" s="27"/>
    </row>
    <row r="162" ht="14.25" customHeight="1">
      <c r="J162" s="14"/>
      <c r="K162" s="8"/>
      <c r="L162" s="27"/>
    </row>
    <row r="163" ht="14.25" customHeight="1">
      <c r="J163" s="14"/>
      <c r="K163" s="8"/>
      <c r="L163" s="27"/>
    </row>
    <row r="164" ht="14.25" customHeight="1">
      <c r="J164" s="14"/>
      <c r="K164" s="8"/>
      <c r="L164" s="27"/>
    </row>
    <row r="165" ht="14.25" customHeight="1">
      <c r="J165" s="14"/>
      <c r="K165" s="8"/>
      <c r="L165" s="27"/>
    </row>
    <row r="166" ht="14.25" customHeight="1">
      <c r="J166" s="14"/>
      <c r="K166" s="8"/>
      <c r="L166" s="27"/>
    </row>
    <row r="167" ht="14.25" customHeight="1">
      <c r="J167" s="14"/>
      <c r="K167" s="8"/>
      <c r="L167" s="27"/>
    </row>
    <row r="168" ht="14.25" customHeight="1">
      <c r="J168" s="14"/>
      <c r="K168" s="8"/>
      <c r="L168" s="27"/>
    </row>
    <row r="169" ht="14.25" customHeight="1">
      <c r="J169" s="14"/>
      <c r="K169" s="8"/>
      <c r="L169" s="27"/>
    </row>
    <row r="170" ht="14.25" customHeight="1">
      <c r="J170" s="14"/>
      <c r="K170" s="8"/>
      <c r="L170" s="27"/>
    </row>
    <row r="171" ht="14.25" customHeight="1">
      <c r="J171" s="14"/>
      <c r="K171" s="8"/>
      <c r="L171" s="27"/>
    </row>
    <row r="172" ht="14.25" customHeight="1">
      <c r="J172" s="14"/>
      <c r="K172" s="8"/>
      <c r="L172" s="27"/>
    </row>
    <row r="173" ht="14.25" customHeight="1">
      <c r="J173" s="14"/>
      <c r="K173" s="8"/>
      <c r="L173" s="27"/>
    </row>
    <row r="174" ht="14.25" customHeight="1">
      <c r="J174" s="14"/>
      <c r="K174" s="8"/>
      <c r="L174" s="27"/>
    </row>
    <row r="175" ht="14.25" customHeight="1">
      <c r="J175" s="14"/>
      <c r="K175" s="8"/>
      <c r="L175" s="27"/>
    </row>
    <row r="176" ht="14.25" customHeight="1">
      <c r="J176" s="14"/>
      <c r="K176" s="8"/>
      <c r="L176" s="27"/>
    </row>
    <row r="177" ht="14.25" customHeight="1">
      <c r="J177" s="14"/>
      <c r="K177" s="8"/>
      <c r="L177" s="27"/>
    </row>
    <row r="178" ht="14.25" customHeight="1">
      <c r="J178" s="14"/>
      <c r="K178" s="8"/>
      <c r="L178" s="27"/>
    </row>
    <row r="179" ht="14.25" customHeight="1">
      <c r="J179" s="14"/>
      <c r="K179" s="8"/>
      <c r="L179" s="27"/>
    </row>
    <row r="180" ht="14.25" customHeight="1">
      <c r="J180" s="14"/>
      <c r="K180" s="8"/>
      <c r="L180" s="27"/>
    </row>
    <row r="181" ht="14.25" customHeight="1">
      <c r="J181" s="14"/>
      <c r="K181" s="8"/>
      <c r="L181" s="27"/>
    </row>
    <row r="182" ht="14.25" customHeight="1">
      <c r="J182" s="14"/>
      <c r="K182" s="8"/>
      <c r="L182" s="27"/>
    </row>
    <row r="183" ht="14.25" customHeight="1">
      <c r="J183" s="14"/>
      <c r="K183" s="8"/>
      <c r="L183" s="27"/>
    </row>
    <row r="184" ht="14.25" customHeight="1">
      <c r="J184" s="14"/>
      <c r="K184" s="8"/>
      <c r="L184" s="27"/>
    </row>
    <row r="185" ht="14.25" customHeight="1">
      <c r="J185" s="14"/>
      <c r="K185" s="8"/>
      <c r="L185" s="27"/>
    </row>
    <row r="186" ht="14.25" customHeight="1">
      <c r="J186" s="14"/>
      <c r="K186" s="8"/>
      <c r="L186" s="27"/>
    </row>
    <row r="187" ht="14.25" customHeight="1">
      <c r="J187" s="14"/>
      <c r="K187" s="8"/>
      <c r="L187" s="27"/>
    </row>
    <row r="188" ht="14.25" customHeight="1">
      <c r="J188" s="14"/>
      <c r="K188" s="8"/>
      <c r="L188" s="27"/>
    </row>
    <row r="189" ht="14.25" customHeight="1">
      <c r="J189" s="14"/>
      <c r="K189" s="8"/>
      <c r="L189" s="27"/>
    </row>
    <row r="190" ht="14.25" customHeight="1">
      <c r="J190" s="14"/>
      <c r="K190" s="8"/>
      <c r="L190" s="27"/>
    </row>
    <row r="191" ht="14.25" customHeight="1">
      <c r="J191" s="14"/>
      <c r="K191" s="8"/>
      <c r="L191" s="27"/>
    </row>
    <row r="192" ht="14.25" customHeight="1">
      <c r="J192" s="14"/>
      <c r="K192" s="8"/>
      <c r="L192" s="27"/>
    </row>
    <row r="193" ht="14.25" customHeight="1">
      <c r="J193" s="14"/>
      <c r="K193" s="8"/>
      <c r="L193" s="27"/>
    </row>
    <row r="194" ht="14.25" customHeight="1">
      <c r="J194" s="14"/>
      <c r="K194" s="8"/>
      <c r="L194" s="27"/>
    </row>
    <row r="195" ht="14.25" customHeight="1">
      <c r="J195" s="14"/>
      <c r="K195" s="8"/>
      <c r="L195" s="27"/>
    </row>
    <row r="196" ht="14.25" customHeight="1">
      <c r="J196" s="14"/>
      <c r="K196" s="8"/>
      <c r="L196" s="27"/>
    </row>
    <row r="197" ht="14.25" customHeight="1">
      <c r="J197" s="14"/>
      <c r="K197" s="8"/>
      <c r="L197" s="27"/>
    </row>
    <row r="198" ht="14.25" customHeight="1">
      <c r="J198" s="14"/>
      <c r="K198" s="8"/>
      <c r="L198" s="27"/>
    </row>
    <row r="199" ht="14.25" customHeight="1">
      <c r="J199" s="14"/>
      <c r="K199" s="8"/>
      <c r="L199" s="27"/>
    </row>
    <row r="200" ht="14.25" customHeight="1">
      <c r="J200" s="14"/>
      <c r="K200" s="8"/>
      <c r="L200" s="27"/>
    </row>
    <row r="201" ht="14.25" customHeight="1">
      <c r="J201" s="14"/>
      <c r="K201" s="8"/>
      <c r="L201" s="27"/>
    </row>
    <row r="202" ht="14.25" customHeight="1">
      <c r="J202" s="14"/>
      <c r="K202" s="8"/>
      <c r="L202" s="27"/>
    </row>
    <row r="203" ht="14.25" customHeight="1">
      <c r="J203" s="14"/>
      <c r="K203" s="8"/>
      <c r="L203" s="27"/>
    </row>
    <row r="204" ht="14.25" customHeight="1">
      <c r="J204" s="14"/>
      <c r="K204" s="8"/>
      <c r="L204" s="27"/>
    </row>
    <row r="205" ht="14.25" customHeight="1">
      <c r="J205" s="14"/>
      <c r="K205" s="8"/>
      <c r="L205" s="27"/>
    </row>
    <row r="206" ht="14.25" customHeight="1">
      <c r="J206" s="14"/>
      <c r="K206" s="8"/>
      <c r="L206" s="27"/>
    </row>
    <row r="207" ht="14.25" customHeight="1">
      <c r="J207" s="14"/>
      <c r="K207" s="8"/>
      <c r="L207" s="27"/>
    </row>
    <row r="208" ht="14.25" customHeight="1">
      <c r="J208" s="14"/>
      <c r="K208" s="8"/>
      <c r="L208" s="27"/>
    </row>
    <row r="209" ht="14.25" customHeight="1">
      <c r="J209" s="14"/>
      <c r="K209" s="8"/>
      <c r="L209" s="27"/>
    </row>
    <row r="210" ht="14.25" customHeight="1">
      <c r="J210" s="14"/>
      <c r="K210" s="8"/>
      <c r="L210" s="27"/>
    </row>
    <row r="211" ht="14.25" customHeight="1">
      <c r="J211" s="14"/>
      <c r="K211" s="8"/>
      <c r="L211" s="27"/>
    </row>
    <row r="212" ht="14.25" customHeight="1">
      <c r="J212" s="14"/>
      <c r="K212" s="8"/>
      <c r="L212" s="27"/>
    </row>
    <row r="213" ht="14.25" customHeight="1">
      <c r="J213" s="14"/>
      <c r="K213" s="8"/>
      <c r="L213" s="27"/>
    </row>
    <row r="214" ht="14.25" customHeight="1">
      <c r="J214" s="14"/>
      <c r="K214" s="8"/>
      <c r="L214" s="27"/>
    </row>
    <row r="215" ht="14.25" customHeight="1">
      <c r="J215" s="14"/>
      <c r="K215" s="8"/>
      <c r="L215" s="27"/>
    </row>
    <row r="216" ht="14.25" customHeight="1">
      <c r="J216" s="14"/>
      <c r="K216" s="8"/>
      <c r="L216" s="27"/>
    </row>
    <row r="217" ht="14.25" customHeight="1">
      <c r="J217" s="14"/>
      <c r="K217" s="8"/>
      <c r="L217" s="27"/>
    </row>
    <row r="218" ht="14.25" customHeight="1">
      <c r="J218" s="14"/>
      <c r="K218" s="8"/>
      <c r="L218" s="27"/>
    </row>
    <row r="219" ht="14.25" customHeight="1">
      <c r="J219" s="14"/>
      <c r="K219" s="8"/>
      <c r="L219" s="27"/>
    </row>
    <row r="220" ht="14.25" customHeight="1">
      <c r="J220" s="14"/>
      <c r="K220" s="8"/>
      <c r="L220" s="27"/>
    </row>
    <row r="221" ht="14.25" customHeight="1">
      <c r="J221" s="14"/>
      <c r="K221" s="8"/>
      <c r="L221" s="27"/>
    </row>
    <row r="222" ht="14.25" customHeight="1">
      <c r="J222" s="14"/>
      <c r="K222" s="8"/>
      <c r="L222" s="27"/>
    </row>
    <row r="223" ht="14.25" customHeight="1">
      <c r="J223" s="14"/>
      <c r="K223" s="8"/>
      <c r="L223" s="27"/>
    </row>
    <row r="224" ht="14.25" customHeight="1">
      <c r="J224" s="14"/>
      <c r="K224" s="8"/>
      <c r="L224" s="27"/>
    </row>
    <row r="225" ht="14.25" customHeight="1">
      <c r="J225" s="14"/>
      <c r="K225" s="8"/>
      <c r="L225" s="27"/>
    </row>
    <row r="226" ht="14.25" customHeight="1">
      <c r="J226" s="14"/>
      <c r="K226" s="8"/>
      <c r="L226" s="27"/>
    </row>
    <row r="227" ht="14.25" customHeight="1">
      <c r="J227" s="14"/>
      <c r="K227" s="8"/>
      <c r="L227" s="27"/>
    </row>
    <row r="228" ht="14.25" customHeight="1">
      <c r="J228" s="14"/>
      <c r="K228" s="8"/>
      <c r="L228" s="27"/>
    </row>
    <row r="229" ht="14.25" customHeight="1">
      <c r="J229" s="14"/>
      <c r="K229" s="8"/>
      <c r="L229" s="27"/>
    </row>
    <row r="230" ht="14.25" customHeight="1">
      <c r="J230" s="14"/>
      <c r="K230" s="8"/>
      <c r="L230" s="27"/>
    </row>
    <row r="231" ht="14.25" customHeight="1">
      <c r="J231" s="14"/>
      <c r="K231" s="8"/>
      <c r="L231" s="27"/>
    </row>
    <row r="232" ht="14.25" customHeight="1">
      <c r="J232" s="14"/>
      <c r="K232" s="8"/>
      <c r="L232" s="27"/>
    </row>
    <row r="233" ht="14.25" customHeight="1">
      <c r="J233" s="14"/>
      <c r="K233" s="8"/>
      <c r="L233" s="27"/>
    </row>
    <row r="234" ht="14.25" customHeight="1">
      <c r="J234" s="14"/>
      <c r="K234" s="8"/>
      <c r="L234" s="27"/>
    </row>
    <row r="235" ht="14.25" customHeight="1">
      <c r="J235" s="14"/>
      <c r="K235" s="8"/>
      <c r="L235" s="27"/>
    </row>
    <row r="236" ht="14.25" customHeight="1">
      <c r="J236" s="14"/>
      <c r="K236" s="8"/>
      <c r="L236" s="27"/>
    </row>
    <row r="237" ht="14.25" customHeight="1">
      <c r="J237" s="14"/>
      <c r="K237" s="8"/>
      <c r="L237" s="27"/>
    </row>
    <row r="238" ht="14.25" customHeight="1">
      <c r="J238" s="14"/>
      <c r="K238" s="8"/>
      <c r="L238" s="27"/>
    </row>
    <row r="239" ht="14.25" customHeight="1">
      <c r="J239" s="14"/>
      <c r="K239" s="8"/>
      <c r="L239" s="27"/>
    </row>
    <row r="240" ht="14.25" customHeight="1">
      <c r="J240" s="14"/>
      <c r="K240" s="8"/>
      <c r="L240" s="27"/>
    </row>
    <row r="241" ht="14.25" customHeight="1">
      <c r="J241" s="14"/>
      <c r="K241" s="8"/>
      <c r="L241" s="27"/>
    </row>
    <row r="242" ht="14.25" customHeight="1">
      <c r="J242" s="14"/>
      <c r="K242" s="8"/>
      <c r="L242" s="27"/>
    </row>
    <row r="243" ht="14.25" customHeight="1">
      <c r="J243" s="14"/>
      <c r="K243" s="8"/>
      <c r="L243" s="27"/>
    </row>
    <row r="244" ht="14.25" customHeight="1">
      <c r="J244" s="14"/>
      <c r="K244" s="8"/>
      <c r="L244" s="27"/>
    </row>
    <row r="245" ht="14.25" customHeight="1">
      <c r="J245" s="14"/>
      <c r="K245" s="8"/>
      <c r="L245" s="27"/>
    </row>
    <row r="246" ht="14.25" customHeight="1">
      <c r="J246" s="14"/>
      <c r="K246" s="8"/>
      <c r="L246" s="27"/>
    </row>
    <row r="247" ht="14.25" customHeight="1">
      <c r="J247" s="14"/>
      <c r="K247" s="8"/>
      <c r="L247" s="27"/>
    </row>
    <row r="248" ht="14.25" customHeight="1">
      <c r="J248" s="14"/>
      <c r="K248" s="8"/>
      <c r="L248" s="27"/>
    </row>
    <row r="249" ht="14.25" customHeight="1">
      <c r="J249" s="14"/>
      <c r="K249" s="8"/>
      <c r="L249" s="27"/>
    </row>
    <row r="250" ht="14.25" customHeight="1">
      <c r="J250" s="14"/>
      <c r="K250" s="8"/>
      <c r="L250" s="27"/>
    </row>
    <row r="251" ht="14.25" customHeight="1">
      <c r="J251" s="14"/>
      <c r="K251" s="8"/>
      <c r="L251" s="27"/>
    </row>
    <row r="252" ht="14.25" customHeight="1">
      <c r="J252" s="14"/>
      <c r="K252" s="8"/>
      <c r="L252" s="27"/>
    </row>
    <row r="253" ht="14.25" customHeight="1">
      <c r="J253" s="14"/>
      <c r="K253" s="8"/>
      <c r="L253" s="27"/>
    </row>
    <row r="254" ht="14.25" customHeight="1">
      <c r="J254" s="14"/>
      <c r="K254" s="8"/>
      <c r="L254" s="27"/>
    </row>
    <row r="255" ht="14.25" customHeight="1">
      <c r="J255" s="14"/>
      <c r="K255" s="8"/>
      <c r="L255" s="27"/>
    </row>
    <row r="256" ht="14.25" customHeight="1">
      <c r="J256" s="14"/>
      <c r="K256" s="8"/>
      <c r="L256" s="27"/>
    </row>
    <row r="257" ht="14.25" customHeight="1">
      <c r="J257" s="14"/>
      <c r="K257" s="8"/>
      <c r="L257" s="27"/>
    </row>
    <row r="258" ht="14.25" customHeight="1">
      <c r="J258" s="14"/>
      <c r="K258" s="8"/>
      <c r="L258" s="27"/>
    </row>
    <row r="259" ht="14.25" customHeight="1">
      <c r="J259" s="14"/>
      <c r="K259" s="8"/>
      <c r="L259" s="27"/>
    </row>
    <row r="260" ht="14.25" customHeight="1">
      <c r="J260" s="14"/>
      <c r="K260" s="8"/>
      <c r="L260" s="27"/>
    </row>
    <row r="261" ht="14.25" customHeight="1">
      <c r="J261" s="14"/>
      <c r="K261" s="8"/>
      <c r="L261" s="27"/>
    </row>
    <row r="262" ht="14.25" customHeight="1">
      <c r="J262" s="14"/>
      <c r="K262" s="8"/>
      <c r="L262" s="27"/>
    </row>
    <row r="263" ht="14.25" customHeight="1">
      <c r="J263" s="14"/>
      <c r="K263" s="8"/>
      <c r="L263" s="27"/>
    </row>
    <row r="264" ht="14.25" customHeight="1">
      <c r="J264" s="14"/>
      <c r="K264" s="8"/>
      <c r="L264" s="27"/>
    </row>
    <row r="265" ht="14.25" customHeight="1">
      <c r="J265" s="14"/>
      <c r="K265" s="8"/>
      <c r="L265" s="27"/>
    </row>
    <row r="266" ht="14.25" customHeight="1">
      <c r="J266" s="14"/>
      <c r="K266" s="8"/>
      <c r="L266" s="27"/>
    </row>
    <row r="267" ht="14.25" customHeight="1">
      <c r="J267" s="14"/>
      <c r="K267" s="8"/>
      <c r="L267" s="27"/>
    </row>
    <row r="268" ht="14.25" customHeight="1">
      <c r="J268" s="14"/>
      <c r="K268" s="8"/>
      <c r="L268" s="27"/>
    </row>
    <row r="269" ht="14.25" customHeight="1">
      <c r="J269" s="14"/>
      <c r="K269" s="8"/>
      <c r="L269" s="27"/>
    </row>
    <row r="270" ht="14.25" customHeight="1">
      <c r="J270" s="14"/>
      <c r="K270" s="8"/>
      <c r="L270" s="27"/>
    </row>
    <row r="271" ht="14.25" customHeight="1">
      <c r="J271" s="14"/>
      <c r="K271" s="8"/>
      <c r="L271" s="27"/>
    </row>
    <row r="272" ht="14.25" customHeight="1">
      <c r="J272" s="14"/>
      <c r="K272" s="8"/>
      <c r="L272" s="27"/>
    </row>
    <row r="273" ht="14.25" customHeight="1">
      <c r="J273" s="14"/>
      <c r="K273" s="8"/>
      <c r="L273" s="27"/>
    </row>
    <row r="274" ht="14.25" customHeight="1">
      <c r="J274" s="14"/>
      <c r="K274" s="8"/>
      <c r="L274" s="27"/>
    </row>
    <row r="275" ht="14.25" customHeight="1">
      <c r="J275" s="14"/>
      <c r="K275" s="8"/>
      <c r="L275" s="27"/>
    </row>
    <row r="276" ht="14.25" customHeight="1">
      <c r="J276" s="14"/>
      <c r="K276" s="8"/>
      <c r="L276" s="27"/>
    </row>
    <row r="277" ht="14.25" customHeight="1">
      <c r="J277" s="14"/>
      <c r="K277" s="8"/>
      <c r="L277" s="27"/>
    </row>
    <row r="278" ht="14.25" customHeight="1">
      <c r="J278" s="14"/>
      <c r="K278" s="8"/>
      <c r="L278" s="27"/>
    </row>
    <row r="279" ht="14.25" customHeight="1">
      <c r="J279" s="14"/>
      <c r="K279" s="8"/>
      <c r="L279" s="27"/>
    </row>
    <row r="280" ht="14.25" customHeight="1">
      <c r="J280" s="14"/>
      <c r="K280" s="8"/>
      <c r="L280" s="27"/>
    </row>
    <row r="281" ht="14.25" customHeight="1">
      <c r="J281" s="14"/>
      <c r="K281" s="8"/>
      <c r="L281" s="27"/>
    </row>
    <row r="282" ht="14.25" customHeight="1">
      <c r="J282" s="14"/>
      <c r="K282" s="8"/>
      <c r="L282" s="27"/>
    </row>
    <row r="283" ht="14.25" customHeight="1">
      <c r="J283" s="14"/>
      <c r="K283" s="8"/>
      <c r="L283" s="27"/>
    </row>
    <row r="284" ht="14.25" customHeight="1">
      <c r="J284" s="14"/>
      <c r="K284" s="8"/>
      <c r="L284" s="27"/>
    </row>
    <row r="285" ht="14.25" customHeight="1">
      <c r="J285" s="14"/>
      <c r="K285" s="8"/>
      <c r="L285" s="27"/>
    </row>
    <row r="286" ht="14.25" customHeight="1">
      <c r="J286" s="14"/>
      <c r="K286" s="8"/>
      <c r="L286" s="27"/>
    </row>
    <row r="287" ht="14.25" customHeight="1">
      <c r="J287" s="14"/>
      <c r="K287" s="8"/>
      <c r="L287" s="27"/>
    </row>
    <row r="288" ht="14.25" customHeight="1">
      <c r="J288" s="14"/>
      <c r="K288" s="8"/>
      <c r="L288" s="27"/>
    </row>
    <row r="289" ht="14.25" customHeight="1">
      <c r="J289" s="14"/>
      <c r="K289" s="8"/>
      <c r="L289" s="27"/>
    </row>
    <row r="290" ht="14.25" customHeight="1">
      <c r="J290" s="14"/>
      <c r="K290" s="8"/>
      <c r="L290" s="27"/>
    </row>
    <row r="291" ht="14.25" customHeight="1">
      <c r="J291" s="14"/>
      <c r="K291" s="8"/>
      <c r="L291" s="27"/>
    </row>
    <row r="292" ht="14.25" customHeight="1">
      <c r="J292" s="14"/>
      <c r="K292" s="8"/>
      <c r="L292" s="27"/>
    </row>
    <row r="293" ht="14.25" customHeight="1">
      <c r="J293" s="14"/>
      <c r="K293" s="8"/>
      <c r="L293" s="27"/>
    </row>
    <row r="294" ht="14.25" customHeight="1">
      <c r="J294" s="14"/>
      <c r="K294" s="8"/>
      <c r="L294" s="27"/>
    </row>
    <row r="295" ht="14.25" customHeight="1">
      <c r="J295" s="14"/>
      <c r="K295" s="8"/>
      <c r="L295" s="27"/>
    </row>
    <row r="296" ht="14.25" customHeight="1">
      <c r="J296" s="14"/>
      <c r="K296" s="8"/>
      <c r="L296" s="27"/>
    </row>
    <row r="297" ht="14.25" customHeight="1">
      <c r="J297" s="14"/>
      <c r="K297" s="8"/>
      <c r="L297" s="27"/>
    </row>
    <row r="298" ht="14.25" customHeight="1">
      <c r="J298" s="14"/>
      <c r="K298" s="8"/>
      <c r="L298" s="27"/>
    </row>
    <row r="299" ht="14.25" customHeight="1">
      <c r="J299" s="14"/>
      <c r="K299" s="8"/>
      <c r="L299" s="27"/>
    </row>
    <row r="300" ht="14.25" customHeight="1">
      <c r="J300" s="14"/>
      <c r="K300" s="8"/>
      <c r="L300" s="27"/>
    </row>
    <row r="301" ht="14.25" customHeight="1">
      <c r="J301" s="14"/>
      <c r="K301" s="8"/>
      <c r="L301" s="27"/>
    </row>
    <row r="302" ht="14.25" customHeight="1">
      <c r="J302" s="14"/>
      <c r="K302" s="8"/>
      <c r="L302" s="27"/>
    </row>
    <row r="303" ht="14.25" customHeight="1">
      <c r="J303" s="14"/>
      <c r="K303" s="8"/>
      <c r="L303" s="27"/>
    </row>
    <row r="304" ht="14.25" customHeight="1">
      <c r="J304" s="14"/>
      <c r="K304" s="8"/>
      <c r="L304" s="27"/>
    </row>
    <row r="305" ht="14.25" customHeight="1">
      <c r="J305" s="14"/>
      <c r="K305" s="8"/>
      <c r="L305" s="27"/>
    </row>
    <row r="306" ht="14.25" customHeight="1">
      <c r="J306" s="14"/>
      <c r="K306" s="8"/>
      <c r="L306" s="27"/>
    </row>
    <row r="307" ht="14.25" customHeight="1">
      <c r="J307" s="14"/>
      <c r="K307" s="8"/>
      <c r="L307" s="27"/>
    </row>
    <row r="308" ht="14.25" customHeight="1">
      <c r="J308" s="14"/>
      <c r="K308" s="8"/>
      <c r="L308" s="27"/>
    </row>
    <row r="309" ht="14.25" customHeight="1">
      <c r="J309" s="14"/>
      <c r="K309" s="8"/>
      <c r="L309" s="27"/>
    </row>
    <row r="310" ht="14.25" customHeight="1">
      <c r="J310" s="14"/>
      <c r="K310" s="8"/>
      <c r="L310" s="27"/>
    </row>
    <row r="311" ht="14.25" customHeight="1">
      <c r="J311" s="14"/>
      <c r="K311" s="8"/>
      <c r="L311" s="27"/>
    </row>
    <row r="312" ht="14.25" customHeight="1">
      <c r="J312" s="14"/>
      <c r="K312" s="8"/>
      <c r="L312" s="27"/>
    </row>
    <row r="313" ht="14.25" customHeight="1">
      <c r="J313" s="14"/>
      <c r="K313" s="8"/>
      <c r="L313" s="27"/>
    </row>
    <row r="314" ht="14.25" customHeight="1">
      <c r="J314" s="14"/>
      <c r="K314" s="8"/>
      <c r="L314" s="27"/>
    </row>
    <row r="315" ht="14.25" customHeight="1">
      <c r="J315" s="14"/>
      <c r="K315" s="8"/>
      <c r="L315" s="27"/>
    </row>
    <row r="316" ht="14.25" customHeight="1">
      <c r="J316" s="14"/>
      <c r="K316" s="8"/>
      <c r="L316" s="27"/>
    </row>
    <row r="317" ht="14.25" customHeight="1">
      <c r="J317" s="14"/>
      <c r="K317" s="8"/>
      <c r="L317" s="27"/>
    </row>
    <row r="318" ht="14.25" customHeight="1">
      <c r="J318" s="14"/>
      <c r="K318" s="8"/>
      <c r="L318" s="27"/>
    </row>
    <row r="319" ht="14.25" customHeight="1">
      <c r="J319" s="14"/>
      <c r="K319" s="8"/>
      <c r="L319" s="27"/>
    </row>
    <row r="320" ht="14.25" customHeight="1">
      <c r="J320" s="14"/>
      <c r="K320" s="8"/>
      <c r="L320" s="27"/>
    </row>
    <row r="321" ht="14.25" customHeight="1">
      <c r="J321" s="14"/>
      <c r="K321" s="8"/>
      <c r="L321" s="27"/>
    </row>
    <row r="322" ht="14.25" customHeight="1">
      <c r="J322" s="14"/>
      <c r="K322" s="8"/>
      <c r="L322" s="27"/>
    </row>
    <row r="323" ht="14.25" customHeight="1">
      <c r="J323" s="14"/>
      <c r="K323" s="8"/>
      <c r="L323" s="27"/>
    </row>
    <row r="324" ht="14.25" customHeight="1">
      <c r="J324" s="14"/>
      <c r="K324" s="8"/>
      <c r="L324" s="27"/>
    </row>
    <row r="325" ht="14.25" customHeight="1">
      <c r="J325" s="14"/>
      <c r="K325" s="8"/>
      <c r="L325" s="27"/>
    </row>
    <row r="326" ht="14.25" customHeight="1">
      <c r="J326" s="14"/>
      <c r="K326" s="8"/>
      <c r="L326" s="27"/>
    </row>
    <row r="327" ht="14.25" customHeight="1">
      <c r="J327" s="14"/>
      <c r="K327" s="8"/>
      <c r="L327" s="27"/>
    </row>
    <row r="328" ht="14.25" customHeight="1">
      <c r="J328" s="14"/>
      <c r="K328" s="8"/>
      <c r="L328" s="27"/>
    </row>
    <row r="329" ht="14.25" customHeight="1">
      <c r="J329" s="14"/>
      <c r="K329" s="8"/>
      <c r="L329" s="27"/>
    </row>
    <row r="330" ht="14.25" customHeight="1">
      <c r="J330" s="14"/>
      <c r="K330" s="8"/>
      <c r="L330" s="27"/>
    </row>
    <row r="331" ht="14.25" customHeight="1">
      <c r="J331" s="14"/>
      <c r="K331" s="8"/>
      <c r="L331" s="27"/>
    </row>
    <row r="332" ht="14.25" customHeight="1">
      <c r="J332" s="14"/>
      <c r="K332" s="8"/>
      <c r="L332" s="27"/>
    </row>
    <row r="333" ht="14.25" customHeight="1">
      <c r="J333" s="14"/>
      <c r="K333" s="8"/>
      <c r="L333" s="27"/>
    </row>
    <row r="334" ht="14.25" customHeight="1">
      <c r="J334" s="14"/>
      <c r="K334" s="8"/>
      <c r="L334" s="27"/>
    </row>
    <row r="335" ht="14.25" customHeight="1">
      <c r="J335" s="14"/>
      <c r="K335" s="8"/>
      <c r="L335" s="27"/>
    </row>
    <row r="336" ht="14.25" customHeight="1">
      <c r="J336" s="14"/>
      <c r="K336" s="8"/>
      <c r="L336" s="27"/>
    </row>
    <row r="337" ht="14.25" customHeight="1">
      <c r="J337" s="14"/>
      <c r="K337" s="8"/>
      <c r="L337" s="27"/>
    </row>
    <row r="338" ht="14.25" customHeight="1">
      <c r="J338" s="14"/>
      <c r="K338" s="8"/>
      <c r="L338" s="27"/>
    </row>
    <row r="339" ht="14.25" customHeight="1">
      <c r="J339" s="14"/>
      <c r="K339" s="8"/>
      <c r="L339" s="27"/>
    </row>
    <row r="340" ht="14.25" customHeight="1">
      <c r="J340" s="14"/>
      <c r="K340" s="8"/>
      <c r="L340" s="27"/>
    </row>
    <row r="341" ht="14.25" customHeight="1">
      <c r="J341" s="14"/>
      <c r="K341" s="8"/>
      <c r="L341" s="27"/>
    </row>
    <row r="342" ht="14.25" customHeight="1">
      <c r="J342" s="14"/>
      <c r="K342" s="8"/>
      <c r="L342" s="27"/>
    </row>
    <row r="343" ht="14.25" customHeight="1">
      <c r="J343" s="14"/>
      <c r="K343" s="8"/>
      <c r="L343" s="27"/>
    </row>
    <row r="344" ht="14.25" customHeight="1">
      <c r="J344" s="14"/>
      <c r="K344" s="8"/>
      <c r="L344" s="27"/>
    </row>
    <row r="345" ht="14.25" customHeight="1">
      <c r="J345" s="14"/>
      <c r="K345" s="8"/>
      <c r="L345" s="27"/>
    </row>
    <row r="346" ht="14.25" customHeight="1">
      <c r="J346" s="14"/>
      <c r="K346" s="8"/>
      <c r="L346" s="27"/>
    </row>
    <row r="347" ht="14.25" customHeight="1">
      <c r="J347" s="14"/>
      <c r="K347" s="8"/>
      <c r="L347" s="27"/>
    </row>
    <row r="348" ht="14.25" customHeight="1">
      <c r="J348" s="14"/>
      <c r="K348" s="8"/>
      <c r="L348" s="27"/>
    </row>
    <row r="349" ht="14.25" customHeight="1">
      <c r="J349" s="14"/>
      <c r="K349" s="8"/>
      <c r="L349" s="27"/>
    </row>
    <row r="350" ht="14.25" customHeight="1">
      <c r="J350" s="14"/>
      <c r="K350" s="8"/>
      <c r="L350" s="27"/>
    </row>
    <row r="351" ht="14.25" customHeight="1">
      <c r="J351" s="14"/>
      <c r="K351" s="8"/>
      <c r="L351" s="27"/>
    </row>
    <row r="352" ht="14.25" customHeight="1">
      <c r="J352" s="14"/>
      <c r="K352" s="8"/>
      <c r="L352" s="27"/>
    </row>
    <row r="353" ht="14.25" customHeight="1">
      <c r="J353" s="14"/>
      <c r="K353" s="8"/>
      <c r="L353" s="27"/>
    </row>
    <row r="354" ht="14.25" customHeight="1">
      <c r="J354" s="14"/>
      <c r="K354" s="8"/>
      <c r="L354" s="27"/>
    </row>
    <row r="355" ht="14.25" customHeight="1">
      <c r="J355" s="14"/>
      <c r="K355" s="8"/>
      <c r="L355" s="27"/>
    </row>
    <row r="356" ht="14.25" customHeight="1">
      <c r="J356" s="14"/>
      <c r="K356" s="8"/>
      <c r="L356" s="27"/>
    </row>
    <row r="357" ht="14.25" customHeight="1">
      <c r="J357" s="14"/>
      <c r="K357" s="8"/>
      <c r="L357" s="27"/>
    </row>
    <row r="358" ht="14.25" customHeight="1">
      <c r="J358" s="14"/>
      <c r="K358" s="8"/>
      <c r="L358" s="27"/>
    </row>
    <row r="359" ht="14.25" customHeight="1">
      <c r="J359" s="14"/>
      <c r="K359" s="8"/>
      <c r="L359" s="27"/>
    </row>
    <row r="360" ht="14.25" customHeight="1">
      <c r="J360" s="14"/>
      <c r="K360" s="8"/>
      <c r="L360" s="27"/>
    </row>
    <row r="361" ht="14.25" customHeight="1">
      <c r="J361" s="14"/>
      <c r="K361" s="8"/>
      <c r="L361" s="27"/>
    </row>
    <row r="362" ht="14.25" customHeight="1">
      <c r="J362" s="14"/>
      <c r="K362" s="8"/>
      <c r="L362" s="27"/>
    </row>
    <row r="363" ht="14.25" customHeight="1">
      <c r="J363" s="14"/>
      <c r="K363" s="8"/>
      <c r="L363" s="27"/>
    </row>
    <row r="364" ht="14.25" customHeight="1">
      <c r="J364" s="14"/>
      <c r="K364" s="8"/>
      <c r="L364" s="27"/>
    </row>
    <row r="365" ht="14.25" customHeight="1">
      <c r="J365" s="14"/>
      <c r="K365" s="8"/>
      <c r="L365" s="27"/>
    </row>
    <row r="366" ht="14.25" customHeight="1">
      <c r="J366" s="14"/>
      <c r="K366" s="8"/>
      <c r="L366" s="27"/>
    </row>
    <row r="367" ht="14.25" customHeight="1">
      <c r="J367" s="14"/>
      <c r="K367" s="8"/>
      <c r="L367" s="27"/>
    </row>
    <row r="368" ht="14.25" customHeight="1">
      <c r="J368" s="14"/>
      <c r="K368" s="8"/>
      <c r="L368" s="27"/>
    </row>
    <row r="369" ht="14.25" customHeight="1">
      <c r="J369" s="14"/>
      <c r="K369" s="8"/>
      <c r="L369" s="27"/>
    </row>
    <row r="370" ht="14.25" customHeight="1">
      <c r="J370" s="14"/>
      <c r="K370" s="8"/>
      <c r="L370" s="27"/>
    </row>
    <row r="371" ht="14.25" customHeight="1">
      <c r="J371" s="14"/>
      <c r="K371" s="8"/>
      <c r="L371" s="27"/>
    </row>
    <row r="372" ht="14.25" customHeight="1">
      <c r="J372" s="14"/>
      <c r="K372" s="8"/>
      <c r="L372" s="27"/>
    </row>
    <row r="373" ht="14.25" customHeight="1">
      <c r="J373" s="14"/>
      <c r="K373" s="8"/>
      <c r="L373" s="27"/>
    </row>
    <row r="374" ht="14.25" customHeight="1">
      <c r="J374" s="14"/>
      <c r="K374" s="8"/>
      <c r="L374" s="27"/>
    </row>
    <row r="375" ht="14.25" customHeight="1">
      <c r="J375" s="14"/>
      <c r="K375" s="8"/>
      <c r="L375" s="27"/>
    </row>
    <row r="376" ht="14.25" customHeight="1">
      <c r="J376" s="14"/>
      <c r="K376" s="8"/>
      <c r="L376" s="27"/>
    </row>
    <row r="377" ht="14.25" customHeight="1">
      <c r="J377" s="14"/>
      <c r="K377" s="8"/>
      <c r="L377" s="27"/>
    </row>
    <row r="378" ht="14.25" customHeight="1">
      <c r="J378" s="14"/>
      <c r="K378" s="8"/>
      <c r="L378" s="27"/>
    </row>
    <row r="379" ht="14.25" customHeight="1">
      <c r="J379" s="14"/>
      <c r="K379" s="8"/>
      <c r="L379" s="27"/>
    </row>
    <row r="380" ht="14.25" customHeight="1">
      <c r="J380" s="14"/>
      <c r="K380" s="8"/>
      <c r="L380" s="27"/>
    </row>
    <row r="381" ht="14.25" customHeight="1">
      <c r="J381" s="14"/>
      <c r="K381" s="8"/>
      <c r="L381" s="27"/>
    </row>
    <row r="382" ht="14.25" customHeight="1">
      <c r="J382" s="14"/>
      <c r="K382" s="8"/>
      <c r="L382" s="27"/>
    </row>
    <row r="383" ht="14.25" customHeight="1">
      <c r="J383" s="14"/>
      <c r="K383" s="8"/>
      <c r="L383" s="27"/>
    </row>
    <row r="384" ht="14.25" customHeight="1">
      <c r="J384" s="14"/>
      <c r="K384" s="8"/>
      <c r="L384" s="27"/>
    </row>
    <row r="385" ht="14.25" customHeight="1">
      <c r="J385" s="14"/>
      <c r="K385" s="8"/>
      <c r="L385" s="27"/>
    </row>
    <row r="386" ht="14.25" customHeight="1">
      <c r="J386" s="14"/>
      <c r="K386" s="8"/>
      <c r="L386" s="27"/>
    </row>
    <row r="387" ht="14.25" customHeight="1">
      <c r="J387" s="14"/>
      <c r="K387" s="8"/>
      <c r="L387" s="27"/>
    </row>
    <row r="388" ht="14.25" customHeight="1">
      <c r="J388" s="14"/>
      <c r="K388" s="8"/>
      <c r="L388" s="27"/>
    </row>
    <row r="389" ht="14.25" customHeight="1">
      <c r="J389" s="14"/>
      <c r="K389" s="8"/>
      <c r="L389" s="27"/>
    </row>
    <row r="390" ht="14.25" customHeight="1">
      <c r="J390" s="14"/>
      <c r="K390" s="8"/>
      <c r="L390" s="27"/>
    </row>
    <row r="391" ht="14.25" customHeight="1">
      <c r="J391" s="14"/>
      <c r="K391" s="8"/>
      <c r="L391" s="27"/>
    </row>
    <row r="392" ht="14.25" customHeight="1">
      <c r="J392" s="14"/>
      <c r="K392" s="8"/>
      <c r="L392" s="27"/>
    </row>
    <row r="393" ht="14.25" customHeight="1">
      <c r="J393" s="14"/>
      <c r="K393" s="8"/>
      <c r="L393" s="27"/>
    </row>
    <row r="394" ht="14.25" customHeight="1">
      <c r="J394" s="14"/>
      <c r="K394" s="8"/>
      <c r="L394" s="27"/>
    </row>
    <row r="395" ht="14.25" customHeight="1">
      <c r="J395" s="14"/>
      <c r="K395" s="8"/>
      <c r="L395" s="27"/>
    </row>
    <row r="396" ht="14.25" customHeight="1">
      <c r="J396" s="14"/>
      <c r="K396" s="8"/>
      <c r="L396" s="27"/>
    </row>
    <row r="397" ht="14.25" customHeight="1">
      <c r="J397" s="14"/>
      <c r="K397" s="8"/>
      <c r="L397" s="27"/>
    </row>
    <row r="398" ht="14.25" customHeight="1">
      <c r="J398" s="14"/>
      <c r="K398" s="8"/>
      <c r="L398" s="27"/>
    </row>
    <row r="399" ht="14.25" customHeight="1">
      <c r="J399" s="14"/>
      <c r="K399" s="8"/>
      <c r="L399" s="27"/>
    </row>
    <row r="400" ht="14.25" customHeight="1">
      <c r="J400" s="14"/>
      <c r="K400" s="8"/>
      <c r="L400" s="27"/>
    </row>
    <row r="401" ht="14.25" customHeight="1">
      <c r="J401" s="14"/>
      <c r="K401" s="8"/>
      <c r="L401" s="27"/>
    </row>
    <row r="402" ht="14.25" customHeight="1">
      <c r="J402" s="14"/>
      <c r="K402" s="8"/>
      <c r="L402" s="27"/>
    </row>
    <row r="403" ht="14.25" customHeight="1">
      <c r="J403" s="14"/>
      <c r="K403" s="8"/>
      <c r="L403" s="27"/>
    </row>
    <row r="404" ht="14.25" customHeight="1">
      <c r="J404" s="14"/>
      <c r="K404" s="8"/>
      <c r="L404" s="27"/>
    </row>
    <row r="405" ht="14.25" customHeight="1">
      <c r="J405" s="14"/>
      <c r="K405" s="8"/>
      <c r="L405" s="27"/>
    </row>
    <row r="406" ht="14.25" customHeight="1">
      <c r="J406" s="14"/>
      <c r="K406" s="8"/>
      <c r="L406" s="27"/>
    </row>
    <row r="407" ht="14.25" customHeight="1">
      <c r="J407" s="14"/>
      <c r="K407" s="8"/>
      <c r="L407" s="27"/>
    </row>
    <row r="408" ht="14.25" customHeight="1">
      <c r="J408" s="14"/>
      <c r="K408" s="8"/>
      <c r="L408" s="27"/>
    </row>
    <row r="409" ht="14.25" customHeight="1">
      <c r="J409" s="14"/>
      <c r="K409" s="8"/>
      <c r="L409" s="27"/>
    </row>
    <row r="410" ht="14.25" customHeight="1">
      <c r="J410" s="14"/>
      <c r="K410" s="8"/>
      <c r="L410" s="27"/>
    </row>
    <row r="411" ht="14.25" customHeight="1">
      <c r="J411" s="14"/>
      <c r="K411" s="8"/>
      <c r="L411" s="27"/>
    </row>
    <row r="412" ht="14.25" customHeight="1">
      <c r="J412" s="14"/>
      <c r="K412" s="8"/>
      <c r="L412" s="27"/>
    </row>
    <row r="413" ht="14.25" customHeight="1">
      <c r="J413" s="14"/>
      <c r="K413" s="8"/>
      <c r="L413" s="27"/>
    </row>
    <row r="414" ht="14.25" customHeight="1">
      <c r="J414" s="14"/>
      <c r="K414" s="8"/>
      <c r="L414" s="27"/>
    </row>
    <row r="415" ht="14.25" customHeight="1">
      <c r="J415" s="14"/>
      <c r="K415" s="8"/>
      <c r="L415" s="27"/>
    </row>
    <row r="416" ht="14.25" customHeight="1">
      <c r="J416" s="14"/>
      <c r="K416" s="8"/>
      <c r="L416" s="27"/>
    </row>
    <row r="417" ht="14.25" customHeight="1">
      <c r="J417" s="14"/>
      <c r="K417" s="8"/>
      <c r="L417" s="27"/>
    </row>
    <row r="418" ht="14.25" customHeight="1">
      <c r="J418" s="14"/>
      <c r="K418" s="8"/>
      <c r="L418" s="27"/>
    </row>
    <row r="419" ht="14.25" customHeight="1">
      <c r="J419" s="14"/>
      <c r="K419" s="8"/>
      <c r="L419" s="27"/>
    </row>
    <row r="420" ht="14.25" customHeight="1">
      <c r="J420" s="14"/>
      <c r="K420" s="8"/>
      <c r="L420" s="27"/>
    </row>
    <row r="421" ht="14.25" customHeight="1">
      <c r="J421" s="14"/>
      <c r="K421" s="8"/>
      <c r="L421" s="27"/>
    </row>
    <row r="422" ht="14.25" customHeight="1">
      <c r="J422" s="14"/>
      <c r="K422" s="8"/>
      <c r="L422" s="27"/>
    </row>
    <row r="423" ht="14.25" customHeight="1">
      <c r="J423" s="14"/>
      <c r="K423" s="8"/>
      <c r="L423" s="27"/>
    </row>
    <row r="424" ht="14.25" customHeight="1">
      <c r="J424" s="14"/>
      <c r="K424" s="8"/>
      <c r="L424" s="27"/>
    </row>
    <row r="425" ht="14.25" customHeight="1">
      <c r="J425" s="14"/>
      <c r="K425" s="8"/>
      <c r="L425" s="27"/>
    </row>
    <row r="426" ht="14.25" customHeight="1">
      <c r="J426" s="14"/>
      <c r="K426" s="8"/>
      <c r="L426" s="27"/>
    </row>
    <row r="427" ht="14.25" customHeight="1">
      <c r="J427" s="14"/>
      <c r="K427" s="8"/>
      <c r="L427" s="27"/>
    </row>
    <row r="428" ht="14.25" customHeight="1">
      <c r="J428" s="14"/>
      <c r="K428" s="8"/>
      <c r="L428" s="27"/>
    </row>
    <row r="429" ht="14.25" customHeight="1">
      <c r="J429" s="14"/>
      <c r="K429" s="8"/>
      <c r="L429" s="27"/>
    </row>
    <row r="430" ht="14.25" customHeight="1">
      <c r="J430" s="14"/>
      <c r="K430" s="8"/>
      <c r="L430" s="27"/>
    </row>
    <row r="431" ht="14.25" customHeight="1">
      <c r="J431" s="14"/>
      <c r="K431" s="8"/>
      <c r="L431" s="27"/>
    </row>
    <row r="432" ht="14.25" customHeight="1">
      <c r="J432" s="14"/>
      <c r="K432" s="8"/>
      <c r="L432" s="27"/>
    </row>
    <row r="433" ht="14.25" customHeight="1">
      <c r="J433" s="14"/>
      <c r="K433" s="8"/>
      <c r="L433" s="27"/>
    </row>
    <row r="434" ht="14.25" customHeight="1">
      <c r="J434" s="14"/>
      <c r="K434" s="8"/>
      <c r="L434" s="27"/>
    </row>
    <row r="435" ht="14.25" customHeight="1">
      <c r="J435" s="14"/>
      <c r="K435" s="8"/>
      <c r="L435" s="27"/>
    </row>
    <row r="436" ht="14.25" customHeight="1">
      <c r="J436" s="14"/>
      <c r="K436" s="8"/>
      <c r="L436" s="27"/>
    </row>
    <row r="437" ht="14.25" customHeight="1">
      <c r="J437" s="14"/>
      <c r="K437" s="8"/>
      <c r="L437" s="27"/>
    </row>
    <row r="438" ht="14.25" customHeight="1">
      <c r="J438" s="14"/>
      <c r="K438" s="8"/>
      <c r="L438" s="27"/>
    </row>
    <row r="439" ht="14.25" customHeight="1">
      <c r="J439" s="14"/>
      <c r="K439" s="8"/>
      <c r="L439" s="27"/>
    </row>
    <row r="440" ht="14.25" customHeight="1">
      <c r="J440" s="14"/>
      <c r="K440" s="8"/>
      <c r="L440" s="27"/>
    </row>
    <row r="441" ht="14.25" customHeight="1">
      <c r="J441" s="14"/>
      <c r="K441" s="8"/>
      <c r="L441" s="27"/>
    </row>
    <row r="442" ht="14.25" customHeight="1">
      <c r="J442" s="14"/>
      <c r="K442" s="8"/>
      <c r="L442" s="27"/>
    </row>
    <row r="443" ht="14.25" customHeight="1">
      <c r="J443" s="14"/>
      <c r="K443" s="8"/>
      <c r="L443" s="27"/>
    </row>
    <row r="444" ht="14.25" customHeight="1">
      <c r="J444" s="14"/>
      <c r="K444" s="8"/>
      <c r="L444" s="27"/>
    </row>
    <row r="445" ht="14.25" customHeight="1">
      <c r="J445" s="14"/>
      <c r="K445" s="8"/>
      <c r="L445" s="27"/>
    </row>
    <row r="446" ht="14.25" customHeight="1">
      <c r="J446" s="14"/>
      <c r="K446" s="8"/>
      <c r="L446" s="27"/>
    </row>
    <row r="447" ht="14.25" customHeight="1">
      <c r="J447" s="14"/>
      <c r="K447" s="8"/>
      <c r="L447" s="27"/>
    </row>
    <row r="448" ht="14.25" customHeight="1">
      <c r="J448" s="14"/>
      <c r="K448" s="8"/>
      <c r="L448" s="27"/>
    </row>
    <row r="449" ht="14.25" customHeight="1">
      <c r="J449" s="14"/>
      <c r="K449" s="8"/>
      <c r="L449" s="27"/>
    </row>
    <row r="450" ht="14.25" customHeight="1">
      <c r="J450" s="14"/>
      <c r="K450" s="8"/>
      <c r="L450" s="27"/>
    </row>
    <row r="451" ht="14.25" customHeight="1">
      <c r="J451" s="14"/>
      <c r="K451" s="8"/>
      <c r="L451" s="27"/>
    </row>
    <row r="452" ht="14.25" customHeight="1">
      <c r="J452" s="14"/>
      <c r="K452" s="8"/>
      <c r="L452" s="27"/>
    </row>
    <row r="453" ht="14.25" customHeight="1">
      <c r="J453" s="14"/>
      <c r="K453" s="8"/>
      <c r="L453" s="27"/>
    </row>
    <row r="454" ht="14.25" customHeight="1">
      <c r="J454" s="14"/>
      <c r="K454" s="8"/>
      <c r="L454" s="27"/>
    </row>
    <row r="455" ht="14.25" customHeight="1">
      <c r="J455" s="14"/>
      <c r="K455" s="8"/>
      <c r="L455" s="27"/>
    </row>
    <row r="456" ht="14.25" customHeight="1">
      <c r="J456" s="14"/>
      <c r="K456" s="8"/>
      <c r="L456" s="27"/>
    </row>
    <row r="457" ht="14.25" customHeight="1">
      <c r="J457" s="14"/>
      <c r="K457" s="8"/>
      <c r="L457" s="27"/>
    </row>
    <row r="458" ht="14.25" customHeight="1">
      <c r="J458" s="14"/>
      <c r="K458" s="8"/>
      <c r="L458" s="27"/>
    </row>
    <row r="459" ht="14.25" customHeight="1">
      <c r="J459" s="14"/>
      <c r="K459" s="8"/>
      <c r="L459" s="27"/>
    </row>
    <row r="460" ht="14.25" customHeight="1">
      <c r="J460" s="14"/>
      <c r="K460" s="8"/>
      <c r="L460" s="27"/>
    </row>
    <row r="461" ht="14.25" customHeight="1">
      <c r="J461" s="14"/>
      <c r="K461" s="8"/>
      <c r="L461" s="27"/>
    </row>
    <row r="462" ht="14.25" customHeight="1">
      <c r="J462" s="14"/>
      <c r="K462" s="8"/>
      <c r="L462" s="27"/>
    </row>
    <row r="463" ht="14.25" customHeight="1">
      <c r="J463" s="14"/>
      <c r="K463" s="8"/>
      <c r="L463" s="27"/>
    </row>
    <row r="464" ht="14.25" customHeight="1">
      <c r="J464" s="14"/>
      <c r="K464" s="8"/>
      <c r="L464" s="27"/>
    </row>
    <row r="465" ht="14.25" customHeight="1">
      <c r="J465" s="14"/>
      <c r="K465" s="8"/>
      <c r="L465" s="27"/>
    </row>
    <row r="466" ht="14.25" customHeight="1">
      <c r="J466" s="14"/>
      <c r="K466" s="8"/>
      <c r="L466" s="27"/>
    </row>
    <row r="467" ht="14.25" customHeight="1">
      <c r="J467" s="14"/>
      <c r="K467" s="8"/>
      <c r="L467" s="27"/>
    </row>
    <row r="468" ht="14.25" customHeight="1">
      <c r="J468" s="14"/>
      <c r="K468" s="8"/>
      <c r="L468" s="27"/>
    </row>
    <row r="469" ht="14.25" customHeight="1">
      <c r="J469" s="14"/>
      <c r="K469" s="8"/>
      <c r="L469" s="27"/>
    </row>
    <row r="470" ht="14.25" customHeight="1">
      <c r="J470" s="14"/>
      <c r="K470" s="8"/>
      <c r="L470" s="27"/>
    </row>
    <row r="471" ht="14.25" customHeight="1">
      <c r="J471" s="14"/>
      <c r="K471" s="8"/>
      <c r="L471" s="27"/>
    </row>
    <row r="472" ht="14.25" customHeight="1">
      <c r="J472" s="14"/>
      <c r="K472" s="8"/>
      <c r="L472" s="27"/>
    </row>
    <row r="473" ht="14.25" customHeight="1">
      <c r="J473" s="14"/>
      <c r="K473" s="8"/>
      <c r="L473" s="27"/>
    </row>
    <row r="474" ht="14.25" customHeight="1">
      <c r="J474" s="14"/>
      <c r="K474" s="8"/>
      <c r="L474" s="27"/>
    </row>
    <row r="475" ht="14.25" customHeight="1">
      <c r="J475" s="14"/>
      <c r="K475" s="8"/>
      <c r="L475" s="27"/>
    </row>
    <row r="476" ht="14.25" customHeight="1">
      <c r="J476" s="14"/>
      <c r="K476" s="8"/>
      <c r="L476" s="27"/>
    </row>
    <row r="477" ht="14.25" customHeight="1">
      <c r="J477" s="14"/>
      <c r="K477" s="8"/>
      <c r="L477" s="27"/>
    </row>
    <row r="478" ht="14.25" customHeight="1">
      <c r="J478" s="14"/>
      <c r="K478" s="8"/>
      <c r="L478" s="27"/>
    </row>
    <row r="479" ht="14.25" customHeight="1">
      <c r="J479" s="14"/>
      <c r="K479" s="8"/>
      <c r="L479" s="27"/>
    </row>
    <row r="480" ht="14.25" customHeight="1">
      <c r="J480" s="14"/>
      <c r="K480" s="8"/>
      <c r="L480" s="27"/>
    </row>
    <row r="481" ht="14.25" customHeight="1">
      <c r="J481" s="14"/>
      <c r="K481" s="8"/>
      <c r="L481" s="27"/>
    </row>
    <row r="482" ht="14.25" customHeight="1">
      <c r="J482" s="14"/>
      <c r="K482" s="8"/>
      <c r="L482" s="27"/>
    </row>
    <row r="483" ht="14.25" customHeight="1">
      <c r="J483" s="14"/>
      <c r="K483" s="8"/>
      <c r="L483" s="27"/>
    </row>
    <row r="484" ht="14.25" customHeight="1">
      <c r="J484" s="14"/>
      <c r="K484" s="8"/>
      <c r="L484" s="27"/>
    </row>
    <row r="485" ht="14.25" customHeight="1">
      <c r="J485" s="14"/>
      <c r="K485" s="8"/>
      <c r="L485" s="27"/>
    </row>
    <row r="486" ht="14.25" customHeight="1">
      <c r="J486" s="14"/>
      <c r="K486" s="8"/>
      <c r="L486" s="27"/>
    </row>
    <row r="487" ht="14.25" customHeight="1">
      <c r="J487" s="14"/>
      <c r="K487" s="8"/>
      <c r="L487" s="27"/>
    </row>
    <row r="488" ht="14.25" customHeight="1">
      <c r="J488" s="14"/>
      <c r="K488" s="8"/>
      <c r="L488" s="27"/>
    </row>
    <row r="489" ht="14.25" customHeight="1">
      <c r="J489" s="14"/>
      <c r="K489" s="8"/>
      <c r="L489" s="27"/>
    </row>
    <row r="490" ht="14.25" customHeight="1">
      <c r="J490" s="14"/>
      <c r="K490" s="8"/>
      <c r="L490" s="27"/>
    </row>
    <row r="491" ht="14.25" customHeight="1">
      <c r="J491" s="14"/>
      <c r="K491" s="8"/>
      <c r="L491" s="27"/>
    </row>
    <row r="492" ht="14.25" customHeight="1">
      <c r="J492" s="14"/>
      <c r="K492" s="8"/>
      <c r="L492" s="27"/>
    </row>
    <row r="493" ht="14.25" customHeight="1">
      <c r="J493" s="14"/>
      <c r="K493" s="8"/>
      <c r="L493" s="27"/>
    </row>
    <row r="494" ht="14.25" customHeight="1">
      <c r="J494" s="14"/>
      <c r="K494" s="8"/>
      <c r="L494" s="27"/>
    </row>
    <row r="495" ht="14.25" customHeight="1">
      <c r="J495" s="14"/>
      <c r="K495" s="8"/>
      <c r="L495" s="27"/>
    </row>
    <row r="496" ht="14.25" customHeight="1">
      <c r="J496" s="14"/>
      <c r="K496" s="8"/>
      <c r="L496" s="27"/>
    </row>
    <row r="497" ht="14.25" customHeight="1">
      <c r="J497" s="14"/>
      <c r="K497" s="8"/>
      <c r="L497" s="27"/>
    </row>
    <row r="498" ht="14.25" customHeight="1">
      <c r="J498" s="14"/>
      <c r="K498" s="8"/>
      <c r="L498" s="27"/>
    </row>
    <row r="499" ht="14.25" customHeight="1">
      <c r="J499" s="14"/>
      <c r="K499" s="8"/>
      <c r="L499" s="27"/>
    </row>
    <row r="500" ht="14.25" customHeight="1">
      <c r="J500" s="14"/>
      <c r="K500" s="8"/>
      <c r="L500" s="27"/>
    </row>
    <row r="501" ht="14.25" customHeight="1">
      <c r="J501" s="14"/>
      <c r="K501" s="8"/>
      <c r="L501" s="27"/>
    </row>
    <row r="502" ht="14.25" customHeight="1">
      <c r="J502" s="14"/>
      <c r="K502" s="8"/>
      <c r="L502" s="27"/>
    </row>
    <row r="503" ht="14.25" customHeight="1">
      <c r="J503" s="14"/>
      <c r="K503" s="8"/>
      <c r="L503" s="27"/>
    </row>
    <row r="504" ht="14.25" customHeight="1">
      <c r="J504" s="14"/>
      <c r="K504" s="8"/>
      <c r="L504" s="27"/>
    </row>
    <row r="505" ht="14.25" customHeight="1">
      <c r="J505" s="14"/>
      <c r="K505" s="8"/>
      <c r="L505" s="27"/>
    </row>
    <row r="506" ht="14.25" customHeight="1">
      <c r="J506" s="14"/>
      <c r="K506" s="8"/>
      <c r="L506" s="27"/>
    </row>
    <row r="507" ht="14.25" customHeight="1">
      <c r="J507" s="14"/>
      <c r="K507" s="8"/>
      <c r="L507" s="27"/>
    </row>
    <row r="508" ht="14.25" customHeight="1">
      <c r="J508" s="14"/>
      <c r="K508" s="8"/>
      <c r="L508" s="27"/>
    </row>
    <row r="509" ht="14.25" customHeight="1">
      <c r="J509" s="14"/>
      <c r="K509" s="8"/>
      <c r="L509" s="27"/>
    </row>
    <row r="510" ht="14.25" customHeight="1">
      <c r="J510" s="14"/>
      <c r="K510" s="8"/>
      <c r="L510" s="27"/>
    </row>
    <row r="511" ht="14.25" customHeight="1">
      <c r="J511" s="14"/>
      <c r="K511" s="8"/>
      <c r="L511" s="27"/>
    </row>
    <row r="512" ht="14.25" customHeight="1">
      <c r="J512" s="14"/>
      <c r="K512" s="8"/>
      <c r="L512" s="27"/>
    </row>
    <row r="513" ht="14.25" customHeight="1">
      <c r="J513" s="14"/>
      <c r="K513" s="8"/>
      <c r="L513" s="27"/>
    </row>
    <row r="514" ht="14.25" customHeight="1">
      <c r="J514" s="14"/>
      <c r="K514" s="8"/>
      <c r="L514" s="27"/>
    </row>
    <row r="515" ht="14.25" customHeight="1">
      <c r="J515" s="14"/>
      <c r="K515" s="8"/>
      <c r="L515" s="27"/>
    </row>
    <row r="516" ht="14.25" customHeight="1">
      <c r="J516" s="14"/>
      <c r="K516" s="8"/>
      <c r="L516" s="27"/>
    </row>
    <row r="517" ht="14.25" customHeight="1">
      <c r="J517" s="14"/>
      <c r="K517" s="8"/>
      <c r="L517" s="27"/>
    </row>
    <row r="518" ht="14.25" customHeight="1">
      <c r="J518" s="14"/>
      <c r="K518" s="8"/>
      <c r="L518" s="27"/>
    </row>
    <row r="519" ht="14.25" customHeight="1">
      <c r="J519" s="14"/>
      <c r="K519" s="8"/>
      <c r="L519" s="27"/>
    </row>
    <row r="520" ht="14.25" customHeight="1">
      <c r="J520" s="14"/>
      <c r="K520" s="8"/>
      <c r="L520" s="27"/>
    </row>
    <row r="521" ht="14.25" customHeight="1">
      <c r="J521" s="14"/>
      <c r="K521" s="8"/>
      <c r="L521" s="27"/>
    </row>
    <row r="522" ht="14.25" customHeight="1">
      <c r="J522" s="14"/>
      <c r="K522" s="8"/>
      <c r="L522" s="27"/>
    </row>
    <row r="523" ht="14.25" customHeight="1">
      <c r="J523" s="14"/>
      <c r="K523" s="8"/>
      <c r="L523" s="27"/>
    </row>
    <row r="524" ht="14.25" customHeight="1">
      <c r="J524" s="14"/>
      <c r="K524" s="8"/>
      <c r="L524" s="27"/>
    </row>
    <row r="525" ht="14.25" customHeight="1">
      <c r="J525" s="14"/>
      <c r="K525" s="8"/>
      <c r="L525" s="27"/>
    </row>
    <row r="526" ht="14.25" customHeight="1">
      <c r="J526" s="14"/>
      <c r="K526" s="8"/>
      <c r="L526" s="27"/>
    </row>
    <row r="527" ht="14.25" customHeight="1">
      <c r="J527" s="14"/>
      <c r="K527" s="8"/>
      <c r="L527" s="27"/>
    </row>
    <row r="528" ht="14.25" customHeight="1">
      <c r="J528" s="14"/>
      <c r="K528" s="8"/>
      <c r="L528" s="27"/>
    </row>
    <row r="529" ht="14.25" customHeight="1">
      <c r="J529" s="14"/>
      <c r="K529" s="8"/>
      <c r="L529" s="27"/>
    </row>
    <row r="530" ht="14.25" customHeight="1">
      <c r="J530" s="14"/>
      <c r="K530" s="8"/>
      <c r="L530" s="27"/>
    </row>
    <row r="531" ht="14.25" customHeight="1">
      <c r="J531" s="14"/>
      <c r="K531" s="8"/>
      <c r="L531" s="27"/>
    </row>
    <row r="532" ht="14.25" customHeight="1">
      <c r="J532" s="14"/>
      <c r="K532" s="8"/>
      <c r="L532" s="27"/>
    </row>
    <row r="533" ht="14.25" customHeight="1">
      <c r="J533" s="14"/>
      <c r="K533" s="8"/>
      <c r="L533" s="27"/>
    </row>
    <row r="534" ht="14.25" customHeight="1">
      <c r="J534" s="14"/>
      <c r="K534" s="8"/>
      <c r="L534" s="27"/>
    </row>
    <row r="535" ht="14.25" customHeight="1">
      <c r="J535" s="14"/>
      <c r="K535" s="8"/>
      <c r="L535" s="27"/>
    </row>
    <row r="536" ht="14.25" customHeight="1">
      <c r="J536" s="14"/>
      <c r="K536" s="8"/>
      <c r="L536" s="27"/>
    </row>
    <row r="537" ht="14.25" customHeight="1">
      <c r="J537" s="14"/>
      <c r="K537" s="8"/>
      <c r="L537" s="27"/>
    </row>
    <row r="538" ht="14.25" customHeight="1">
      <c r="J538" s="14"/>
      <c r="K538" s="8"/>
      <c r="L538" s="27"/>
    </row>
    <row r="539" ht="14.25" customHeight="1">
      <c r="J539" s="14"/>
      <c r="K539" s="8"/>
      <c r="L539" s="27"/>
    </row>
    <row r="540" ht="14.25" customHeight="1">
      <c r="J540" s="14"/>
      <c r="K540" s="8"/>
      <c r="L540" s="27"/>
    </row>
    <row r="541" ht="14.25" customHeight="1">
      <c r="J541" s="14"/>
      <c r="K541" s="8"/>
      <c r="L541" s="27"/>
    </row>
    <row r="542" ht="14.25" customHeight="1">
      <c r="J542" s="14"/>
      <c r="K542" s="8"/>
      <c r="L542" s="27"/>
    </row>
    <row r="543" ht="14.25" customHeight="1">
      <c r="J543" s="14"/>
      <c r="K543" s="8"/>
      <c r="L543" s="27"/>
    </row>
    <row r="544" ht="14.25" customHeight="1">
      <c r="J544" s="14"/>
      <c r="K544" s="8"/>
      <c r="L544" s="27"/>
    </row>
    <row r="545" ht="14.25" customHeight="1">
      <c r="J545" s="14"/>
      <c r="K545" s="8"/>
      <c r="L545" s="27"/>
    </row>
    <row r="546" ht="14.25" customHeight="1">
      <c r="J546" s="14"/>
      <c r="K546" s="8"/>
      <c r="L546" s="27"/>
    </row>
    <row r="547" ht="14.25" customHeight="1">
      <c r="J547" s="14"/>
      <c r="K547" s="8"/>
      <c r="L547" s="27"/>
    </row>
    <row r="548" ht="14.25" customHeight="1">
      <c r="J548" s="14"/>
      <c r="K548" s="8"/>
      <c r="L548" s="27"/>
    </row>
    <row r="549" ht="14.25" customHeight="1">
      <c r="J549" s="14"/>
      <c r="K549" s="8"/>
      <c r="L549" s="27"/>
    </row>
    <row r="550" ht="14.25" customHeight="1">
      <c r="J550" s="14"/>
      <c r="K550" s="8"/>
      <c r="L550" s="27"/>
    </row>
    <row r="551" ht="14.25" customHeight="1">
      <c r="J551" s="14"/>
      <c r="K551" s="8"/>
      <c r="L551" s="27"/>
    </row>
    <row r="552" ht="14.25" customHeight="1">
      <c r="J552" s="14"/>
      <c r="K552" s="8"/>
      <c r="L552" s="27"/>
    </row>
    <row r="553" ht="14.25" customHeight="1">
      <c r="J553" s="14"/>
      <c r="K553" s="8"/>
      <c r="L553" s="27"/>
    </row>
    <row r="554" ht="14.25" customHeight="1">
      <c r="J554" s="14"/>
      <c r="K554" s="8"/>
      <c r="L554" s="27"/>
    </row>
    <row r="555" ht="14.25" customHeight="1">
      <c r="J555" s="14"/>
      <c r="K555" s="8"/>
      <c r="L555" s="27"/>
    </row>
    <row r="556" ht="14.25" customHeight="1">
      <c r="J556" s="14"/>
      <c r="K556" s="8"/>
      <c r="L556" s="27"/>
    </row>
    <row r="557" ht="14.25" customHeight="1">
      <c r="J557" s="14"/>
      <c r="K557" s="8"/>
      <c r="L557" s="27"/>
    </row>
    <row r="558" ht="14.25" customHeight="1">
      <c r="J558" s="14"/>
      <c r="K558" s="8"/>
      <c r="L558" s="27"/>
    </row>
    <row r="559" ht="14.25" customHeight="1">
      <c r="J559" s="14"/>
      <c r="K559" s="8"/>
      <c r="L559" s="27"/>
    </row>
    <row r="560" ht="14.25" customHeight="1">
      <c r="J560" s="14"/>
      <c r="K560" s="8"/>
      <c r="L560" s="27"/>
    </row>
    <row r="561" ht="14.25" customHeight="1">
      <c r="J561" s="14"/>
      <c r="K561" s="8"/>
      <c r="L561" s="27"/>
    </row>
    <row r="562" ht="14.25" customHeight="1">
      <c r="J562" s="14"/>
      <c r="K562" s="8"/>
      <c r="L562" s="27"/>
    </row>
    <row r="563" ht="14.25" customHeight="1">
      <c r="J563" s="14"/>
      <c r="K563" s="8"/>
      <c r="L563" s="27"/>
    </row>
    <row r="564" ht="14.25" customHeight="1">
      <c r="J564" s="14"/>
      <c r="K564" s="8"/>
      <c r="L564" s="27"/>
    </row>
    <row r="565" ht="14.25" customHeight="1">
      <c r="J565" s="14"/>
      <c r="K565" s="8"/>
      <c r="L565" s="27"/>
    </row>
    <row r="566" ht="14.25" customHeight="1">
      <c r="J566" s="14"/>
      <c r="K566" s="8"/>
      <c r="L566" s="27"/>
    </row>
    <row r="567" ht="14.25" customHeight="1">
      <c r="J567" s="14"/>
      <c r="K567" s="8"/>
      <c r="L567" s="27"/>
    </row>
    <row r="568" ht="14.25" customHeight="1">
      <c r="J568" s="14"/>
      <c r="K568" s="8"/>
      <c r="L568" s="27"/>
    </row>
    <row r="569" ht="14.25" customHeight="1">
      <c r="J569" s="14"/>
      <c r="K569" s="8"/>
      <c r="L569" s="27"/>
    </row>
    <row r="570" ht="14.25" customHeight="1">
      <c r="J570" s="14"/>
      <c r="K570" s="8"/>
      <c r="L570" s="27"/>
    </row>
    <row r="571" ht="14.25" customHeight="1">
      <c r="J571" s="14"/>
      <c r="K571" s="8"/>
      <c r="L571" s="27"/>
    </row>
    <row r="572" ht="14.25" customHeight="1">
      <c r="J572" s="14"/>
      <c r="K572" s="8"/>
      <c r="L572" s="27"/>
    </row>
    <row r="573" ht="14.25" customHeight="1">
      <c r="J573" s="14"/>
      <c r="K573" s="8"/>
      <c r="L573" s="27"/>
    </row>
    <row r="574" ht="14.25" customHeight="1">
      <c r="J574" s="14"/>
      <c r="K574" s="8"/>
      <c r="L574" s="27"/>
    </row>
    <row r="575" ht="14.25" customHeight="1">
      <c r="J575" s="14"/>
      <c r="K575" s="8"/>
      <c r="L575" s="27"/>
    </row>
    <row r="576" ht="14.25" customHeight="1">
      <c r="J576" s="14"/>
      <c r="K576" s="8"/>
      <c r="L576" s="27"/>
    </row>
    <row r="577" ht="14.25" customHeight="1">
      <c r="J577" s="14"/>
      <c r="K577" s="8"/>
      <c r="L577" s="27"/>
    </row>
    <row r="578" ht="14.25" customHeight="1">
      <c r="J578" s="14"/>
      <c r="K578" s="8"/>
      <c r="L578" s="27"/>
    </row>
    <row r="579" ht="14.25" customHeight="1">
      <c r="J579" s="14"/>
      <c r="K579" s="8"/>
      <c r="L579" s="27"/>
    </row>
    <row r="580" ht="14.25" customHeight="1">
      <c r="J580" s="14"/>
      <c r="K580" s="8"/>
      <c r="L580" s="27"/>
    </row>
    <row r="581" ht="14.25" customHeight="1">
      <c r="J581" s="14"/>
      <c r="K581" s="8"/>
      <c r="L581" s="27"/>
    </row>
    <row r="582" ht="14.25" customHeight="1">
      <c r="J582" s="14"/>
      <c r="K582" s="8"/>
      <c r="L582" s="27"/>
    </row>
    <row r="583" ht="14.25" customHeight="1">
      <c r="J583" s="14"/>
      <c r="K583" s="8"/>
      <c r="L583" s="27"/>
    </row>
    <row r="584" ht="14.25" customHeight="1">
      <c r="J584" s="14"/>
      <c r="K584" s="8"/>
      <c r="L584" s="27"/>
    </row>
    <row r="585" ht="14.25" customHeight="1">
      <c r="J585" s="14"/>
      <c r="K585" s="8"/>
      <c r="L585" s="27"/>
    </row>
    <row r="586" ht="14.25" customHeight="1">
      <c r="J586" s="14"/>
      <c r="K586" s="8"/>
      <c r="L586" s="27"/>
    </row>
    <row r="587" ht="14.25" customHeight="1">
      <c r="J587" s="14"/>
      <c r="K587" s="8"/>
      <c r="L587" s="27"/>
    </row>
    <row r="588" ht="14.25" customHeight="1">
      <c r="J588" s="14"/>
      <c r="K588" s="8"/>
      <c r="L588" s="27"/>
    </row>
    <row r="589" ht="14.25" customHeight="1">
      <c r="J589" s="14"/>
      <c r="K589" s="8"/>
      <c r="L589" s="27"/>
    </row>
    <row r="590" ht="14.25" customHeight="1">
      <c r="J590" s="14"/>
      <c r="K590" s="8"/>
      <c r="L590" s="27"/>
    </row>
    <row r="591" ht="14.25" customHeight="1">
      <c r="J591" s="14"/>
      <c r="K591" s="8"/>
      <c r="L591" s="27"/>
    </row>
    <row r="592" ht="14.25" customHeight="1">
      <c r="J592" s="14"/>
      <c r="K592" s="8"/>
      <c r="L592" s="27"/>
    </row>
    <row r="593" ht="14.25" customHeight="1">
      <c r="J593" s="14"/>
      <c r="K593" s="8"/>
      <c r="L593" s="27"/>
    </row>
    <row r="594" ht="14.25" customHeight="1">
      <c r="J594" s="14"/>
      <c r="K594" s="8"/>
      <c r="L594" s="27"/>
    </row>
    <row r="595" ht="14.25" customHeight="1">
      <c r="J595" s="14"/>
      <c r="K595" s="8"/>
      <c r="L595" s="27"/>
    </row>
    <row r="596" ht="14.25" customHeight="1">
      <c r="J596" s="14"/>
      <c r="K596" s="8"/>
      <c r="L596" s="27"/>
    </row>
    <row r="597" ht="14.25" customHeight="1">
      <c r="J597" s="14"/>
      <c r="K597" s="8"/>
      <c r="L597" s="27"/>
    </row>
    <row r="598" ht="14.25" customHeight="1">
      <c r="J598" s="14"/>
      <c r="K598" s="8"/>
      <c r="L598" s="27"/>
    </row>
    <row r="599" ht="14.25" customHeight="1">
      <c r="J599" s="14"/>
      <c r="K599" s="8"/>
      <c r="L599" s="27"/>
    </row>
    <row r="600" ht="14.25" customHeight="1">
      <c r="J600" s="14"/>
      <c r="K600" s="8"/>
      <c r="L600" s="27"/>
    </row>
    <row r="601" ht="14.25" customHeight="1">
      <c r="J601" s="14"/>
      <c r="K601" s="8"/>
      <c r="L601" s="27"/>
    </row>
    <row r="602" ht="14.25" customHeight="1">
      <c r="J602" s="14"/>
      <c r="K602" s="8"/>
      <c r="L602" s="27"/>
    </row>
    <row r="603" ht="14.25" customHeight="1">
      <c r="J603" s="14"/>
      <c r="K603" s="8"/>
      <c r="L603" s="27"/>
    </row>
    <row r="604" ht="14.25" customHeight="1">
      <c r="J604" s="14"/>
      <c r="K604" s="8"/>
      <c r="L604" s="27"/>
    </row>
    <row r="605" ht="14.25" customHeight="1">
      <c r="J605" s="14"/>
      <c r="K605" s="8"/>
      <c r="L605" s="27"/>
    </row>
    <row r="606" ht="14.25" customHeight="1">
      <c r="J606" s="14"/>
      <c r="K606" s="8"/>
      <c r="L606" s="27"/>
    </row>
    <row r="607" ht="14.25" customHeight="1">
      <c r="J607" s="14"/>
      <c r="K607" s="8"/>
      <c r="L607" s="27"/>
    </row>
    <row r="608" ht="14.25" customHeight="1">
      <c r="J608" s="14"/>
      <c r="K608" s="8"/>
      <c r="L608" s="27"/>
    </row>
    <row r="609" ht="14.25" customHeight="1">
      <c r="J609" s="14"/>
      <c r="K609" s="8"/>
      <c r="L609" s="27"/>
    </row>
    <row r="610" ht="14.25" customHeight="1">
      <c r="J610" s="14"/>
      <c r="K610" s="8"/>
      <c r="L610" s="27"/>
    </row>
    <row r="611" ht="14.25" customHeight="1">
      <c r="J611" s="14"/>
      <c r="K611" s="8"/>
      <c r="L611" s="27"/>
    </row>
    <row r="612" ht="14.25" customHeight="1">
      <c r="J612" s="14"/>
      <c r="K612" s="8"/>
      <c r="L612" s="27"/>
    </row>
    <row r="613" ht="14.25" customHeight="1">
      <c r="J613" s="14"/>
      <c r="K613" s="8"/>
      <c r="L613" s="27"/>
    </row>
    <row r="614" ht="14.25" customHeight="1">
      <c r="J614" s="14"/>
      <c r="K614" s="8"/>
      <c r="L614" s="27"/>
    </row>
    <row r="615" ht="14.25" customHeight="1">
      <c r="J615" s="14"/>
      <c r="K615" s="8"/>
      <c r="L615" s="27"/>
    </row>
    <row r="616" ht="14.25" customHeight="1">
      <c r="J616" s="14"/>
      <c r="K616" s="8"/>
      <c r="L616" s="27"/>
    </row>
    <row r="617" ht="14.25" customHeight="1">
      <c r="J617" s="14"/>
      <c r="K617" s="8"/>
      <c r="L617" s="27"/>
    </row>
    <row r="618" ht="14.25" customHeight="1">
      <c r="J618" s="14"/>
      <c r="K618" s="8"/>
      <c r="L618" s="27"/>
    </row>
    <row r="619" ht="14.25" customHeight="1">
      <c r="J619" s="14"/>
      <c r="K619" s="8"/>
      <c r="L619" s="27"/>
    </row>
    <row r="620" ht="14.25" customHeight="1">
      <c r="J620" s="14"/>
      <c r="K620" s="8"/>
      <c r="L620" s="27"/>
    </row>
    <row r="621" ht="14.25" customHeight="1">
      <c r="J621" s="14"/>
      <c r="K621" s="8"/>
      <c r="L621" s="27"/>
    </row>
    <row r="622" ht="14.25" customHeight="1">
      <c r="J622" s="14"/>
      <c r="K622" s="8"/>
      <c r="L622" s="27"/>
    </row>
    <row r="623" ht="14.25" customHeight="1">
      <c r="J623" s="14"/>
      <c r="K623" s="8"/>
      <c r="L623" s="27"/>
    </row>
    <row r="624" ht="14.25" customHeight="1">
      <c r="J624" s="14"/>
      <c r="K624" s="8"/>
      <c r="L624" s="27"/>
    </row>
    <row r="625" ht="14.25" customHeight="1">
      <c r="J625" s="14"/>
      <c r="K625" s="8"/>
      <c r="L625" s="27"/>
    </row>
    <row r="626" ht="14.25" customHeight="1">
      <c r="J626" s="14"/>
      <c r="K626" s="8"/>
      <c r="L626" s="27"/>
    </row>
    <row r="627" ht="14.25" customHeight="1">
      <c r="J627" s="14"/>
      <c r="K627" s="8"/>
      <c r="L627" s="27"/>
    </row>
    <row r="628" ht="14.25" customHeight="1">
      <c r="J628" s="14"/>
      <c r="K628" s="8"/>
      <c r="L628" s="27"/>
    </row>
    <row r="629" ht="14.25" customHeight="1">
      <c r="J629" s="14"/>
      <c r="K629" s="8"/>
      <c r="L629" s="27"/>
    </row>
    <row r="630" ht="14.25" customHeight="1">
      <c r="J630" s="14"/>
      <c r="K630" s="8"/>
      <c r="L630" s="27"/>
    </row>
    <row r="631" ht="14.25" customHeight="1">
      <c r="J631" s="14"/>
      <c r="K631" s="8"/>
      <c r="L631" s="27"/>
    </row>
    <row r="632" ht="14.25" customHeight="1">
      <c r="J632" s="14"/>
      <c r="K632" s="8"/>
      <c r="L632" s="27"/>
    </row>
    <row r="633" ht="14.25" customHeight="1">
      <c r="J633" s="14"/>
      <c r="K633" s="8"/>
      <c r="L633" s="27"/>
    </row>
    <row r="634" ht="14.25" customHeight="1">
      <c r="J634" s="14"/>
      <c r="K634" s="8"/>
      <c r="L634" s="27"/>
    </row>
    <row r="635" ht="14.25" customHeight="1">
      <c r="J635" s="14"/>
      <c r="K635" s="8"/>
      <c r="L635" s="27"/>
    </row>
    <row r="636" ht="14.25" customHeight="1">
      <c r="J636" s="14"/>
      <c r="K636" s="8"/>
      <c r="L636" s="27"/>
    </row>
    <row r="637" ht="14.25" customHeight="1">
      <c r="J637" s="14"/>
      <c r="K637" s="8"/>
      <c r="L637" s="27"/>
    </row>
    <row r="638" ht="14.25" customHeight="1">
      <c r="J638" s="14"/>
      <c r="K638" s="8"/>
      <c r="L638" s="27"/>
    </row>
    <row r="639" ht="14.25" customHeight="1">
      <c r="J639" s="14"/>
      <c r="K639" s="8"/>
      <c r="L639" s="27"/>
    </row>
    <row r="640" ht="14.25" customHeight="1">
      <c r="J640" s="14"/>
      <c r="K640" s="8"/>
      <c r="L640" s="27"/>
    </row>
    <row r="641" ht="14.25" customHeight="1">
      <c r="J641" s="14"/>
      <c r="K641" s="8"/>
      <c r="L641" s="27"/>
    </row>
    <row r="642" ht="14.25" customHeight="1">
      <c r="J642" s="14"/>
      <c r="K642" s="8"/>
      <c r="L642" s="27"/>
    </row>
    <row r="643" ht="14.25" customHeight="1">
      <c r="J643" s="14"/>
      <c r="K643" s="8"/>
      <c r="L643" s="27"/>
    </row>
    <row r="644" ht="14.25" customHeight="1">
      <c r="J644" s="14"/>
      <c r="K644" s="8"/>
      <c r="L644" s="27"/>
    </row>
    <row r="645" ht="14.25" customHeight="1">
      <c r="J645" s="14"/>
      <c r="K645" s="8"/>
      <c r="L645" s="27"/>
    </row>
    <row r="646" ht="14.25" customHeight="1">
      <c r="J646" s="14"/>
      <c r="K646" s="8"/>
      <c r="L646" s="27"/>
    </row>
    <row r="647" ht="14.25" customHeight="1">
      <c r="J647" s="14"/>
      <c r="K647" s="8"/>
      <c r="L647" s="27"/>
    </row>
    <row r="648" ht="14.25" customHeight="1">
      <c r="J648" s="14"/>
      <c r="K648" s="8"/>
      <c r="L648" s="27"/>
    </row>
    <row r="649" ht="14.25" customHeight="1">
      <c r="J649" s="14"/>
      <c r="K649" s="8"/>
      <c r="L649" s="27"/>
    </row>
    <row r="650" ht="14.25" customHeight="1">
      <c r="J650" s="14"/>
      <c r="K650" s="8"/>
      <c r="L650" s="27"/>
    </row>
    <row r="651" ht="14.25" customHeight="1">
      <c r="J651" s="14"/>
      <c r="K651" s="8"/>
      <c r="L651" s="27"/>
    </row>
    <row r="652" ht="14.25" customHeight="1">
      <c r="J652" s="14"/>
      <c r="K652" s="8"/>
      <c r="L652" s="27"/>
    </row>
    <row r="653" ht="14.25" customHeight="1">
      <c r="J653" s="14"/>
      <c r="K653" s="8"/>
      <c r="L653" s="27"/>
    </row>
    <row r="654" ht="14.25" customHeight="1">
      <c r="J654" s="14"/>
      <c r="K654" s="8"/>
      <c r="L654" s="27"/>
    </row>
    <row r="655" ht="14.25" customHeight="1">
      <c r="J655" s="14"/>
      <c r="K655" s="8"/>
      <c r="L655" s="27"/>
    </row>
    <row r="656" ht="14.25" customHeight="1">
      <c r="J656" s="14"/>
      <c r="K656" s="8"/>
      <c r="L656" s="27"/>
    </row>
    <row r="657" ht="14.25" customHeight="1">
      <c r="J657" s="14"/>
      <c r="K657" s="8"/>
      <c r="L657" s="27"/>
    </row>
    <row r="658" ht="14.25" customHeight="1">
      <c r="J658" s="14"/>
      <c r="K658" s="8"/>
      <c r="L658" s="27"/>
    </row>
    <row r="659" ht="14.25" customHeight="1">
      <c r="J659" s="14"/>
      <c r="K659" s="8"/>
      <c r="L659" s="27"/>
    </row>
    <row r="660" ht="14.25" customHeight="1">
      <c r="J660" s="14"/>
      <c r="K660" s="8"/>
      <c r="L660" s="27"/>
    </row>
    <row r="661" ht="14.25" customHeight="1">
      <c r="J661" s="14"/>
      <c r="K661" s="8"/>
      <c r="L661" s="27"/>
    </row>
    <row r="662" ht="14.25" customHeight="1">
      <c r="J662" s="14"/>
      <c r="K662" s="8"/>
      <c r="L662" s="27"/>
    </row>
    <row r="663" ht="14.25" customHeight="1">
      <c r="J663" s="14"/>
      <c r="K663" s="8"/>
      <c r="L663" s="27"/>
    </row>
    <row r="664" ht="14.25" customHeight="1">
      <c r="J664" s="14"/>
      <c r="K664" s="8"/>
      <c r="L664" s="27"/>
    </row>
    <row r="665" ht="14.25" customHeight="1">
      <c r="J665" s="14"/>
      <c r="K665" s="8"/>
      <c r="L665" s="27"/>
    </row>
    <row r="666" ht="14.25" customHeight="1">
      <c r="J666" s="14"/>
      <c r="K666" s="8"/>
      <c r="L666" s="27"/>
    </row>
    <row r="667" ht="14.25" customHeight="1">
      <c r="J667" s="14"/>
      <c r="K667" s="8"/>
      <c r="L667" s="27"/>
    </row>
    <row r="668" ht="14.25" customHeight="1">
      <c r="J668" s="14"/>
      <c r="K668" s="8"/>
      <c r="L668" s="27"/>
    </row>
    <row r="669" ht="14.25" customHeight="1">
      <c r="J669" s="14"/>
      <c r="K669" s="8"/>
      <c r="L669" s="27"/>
    </row>
    <row r="670" ht="14.25" customHeight="1">
      <c r="J670" s="14"/>
      <c r="K670" s="8"/>
      <c r="L670" s="27"/>
    </row>
    <row r="671" ht="14.25" customHeight="1">
      <c r="J671" s="14"/>
      <c r="K671" s="8"/>
      <c r="L671" s="27"/>
    </row>
    <row r="672" ht="14.25" customHeight="1">
      <c r="J672" s="14"/>
      <c r="K672" s="8"/>
      <c r="L672" s="27"/>
    </row>
    <row r="673" ht="14.25" customHeight="1">
      <c r="J673" s="14"/>
      <c r="K673" s="8"/>
      <c r="L673" s="27"/>
    </row>
    <row r="674" ht="14.25" customHeight="1">
      <c r="J674" s="14"/>
      <c r="K674" s="8"/>
      <c r="L674" s="27"/>
    </row>
    <row r="675" ht="14.25" customHeight="1">
      <c r="J675" s="14"/>
      <c r="K675" s="8"/>
      <c r="L675" s="27"/>
    </row>
    <row r="676" ht="14.25" customHeight="1">
      <c r="J676" s="14"/>
      <c r="K676" s="8"/>
      <c r="L676" s="27"/>
    </row>
    <row r="677" ht="14.25" customHeight="1">
      <c r="J677" s="14"/>
      <c r="K677" s="8"/>
      <c r="L677" s="27"/>
    </row>
    <row r="678" ht="14.25" customHeight="1">
      <c r="J678" s="14"/>
      <c r="K678" s="8"/>
      <c r="L678" s="27"/>
    </row>
    <row r="679" ht="14.25" customHeight="1">
      <c r="J679" s="14"/>
      <c r="K679" s="8"/>
      <c r="L679" s="27"/>
    </row>
    <row r="680" ht="14.25" customHeight="1">
      <c r="J680" s="14"/>
      <c r="K680" s="8"/>
      <c r="L680" s="27"/>
    </row>
    <row r="681" ht="14.25" customHeight="1">
      <c r="J681" s="14"/>
      <c r="K681" s="8"/>
      <c r="L681" s="27"/>
    </row>
    <row r="682" ht="14.25" customHeight="1">
      <c r="J682" s="14"/>
      <c r="K682" s="8"/>
      <c r="L682" s="27"/>
    </row>
    <row r="683" ht="14.25" customHeight="1">
      <c r="J683" s="14"/>
      <c r="K683" s="8"/>
      <c r="L683" s="27"/>
    </row>
    <row r="684" ht="14.25" customHeight="1">
      <c r="J684" s="14"/>
      <c r="K684" s="8"/>
      <c r="L684" s="27"/>
    </row>
    <row r="685" ht="14.25" customHeight="1">
      <c r="J685" s="14"/>
      <c r="K685" s="8"/>
      <c r="L685" s="27"/>
    </row>
    <row r="686" ht="14.25" customHeight="1">
      <c r="J686" s="14"/>
      <c r="K686" s="8"/>
      <c r="L686" s="27"/>
    </row>
    <row r="687" ht="14.25" customHeight="1">
      <c r="J687" s="14"/>
      <c r="K687" s="8"/>
      <c r="L687" s="27"/>
    </row>
    <row r="688" ht="14.25" customHeight="1">
      <c r="J688" s="14"/>
      <c r="K688" s="8"/>
      <c r="L688" s="27"/>
    </row>
    <row r="689" ht="14.25" customHeight="1">
      <c r="J689" s="14"/>
      <c r="K689" s="8"/>
      <c r="L689" s="27"/>
    </row>
    <row r="690" ht="14.25" customHeight="1">
      <c r="J690" s="14"/>
      <c r="K690" s="8"/>
      <c r="L690" s="27"/>
    </row>
    <row r="691" ht="14.25" customHeight="1">
      <c r="J691" s="14"/>
      <c r="K691" s="8"/>
      <c r="L691" s="27"/>
    </row>
    <row r="692" ht="14.25" customHeight="1">
      <c r="J692" s="14"/>
      <c r="K692" s="8"/>
      <c r="L692" s="27"/>
    </row>
    <row r="693" ht="14.25" customHeight="1">
      <c r="J693" s="14"/>
      <c r="K693" s="8"/>
      <c r="L693" s="27"/>
    </row>
    <row r="694" ht="14.25" customHeight="1">
      <c r="J694" s="14"/>
      <c r="K694" s="8"/>
      <c r="L694" s="27"/>
    </row>
    <row r="695" ht="14.25" customHeight="1">
      <c r="J695" s="14"/>
      <c r="K695" s="8"/>
      <c r="L695" s="27"/>
    </row>
    <row r="696" ht="14.25" customHeight="1">
      <c r="J696" s="14"/>
      <c r="K696" s="8"/>
      <c r="L696" s="27"/>
    </row>
    <row r="697" ht="14.25" customHeight="1">
      <c r="J697" s="14"/>
      <c r="K697" s="8"/>
      <c r="L697" s="27"/>
    </row>
    <row r="698" ht="14.25" customHeight="1">
      <c r="J698" s="14"/>
      <c r="K698" s="8"/>
      <c r="L698" s="27"/>
    </row>
    <row r="699" ht="14.25" customHeight="1">
      <c r="J699" s="14"/>
      <c r="K699" s="8"/>
      <c r="L699" s="27"/>
    </row>
    <row r="700" ht="14.25" customHeight="1">
      <c r="J700" s="14"/>
      <c r="K700" s="8"/>
      <c r="L700" s="27"/>
    </row>
    <row r="701" ht="14.25" customHeight="1">
      <c r="J701" s="14"/>
      <c r="K701" s="8"/>
      <c r="L701" s="27"/>
    </row>
    <row r="702" ht="14.25" customHeight="1">
      <c r="J702" s="14"/>
      <c r="K702" s="8"/>
      <c r="L702" s="27"/>
    </row>
    <row r="703" ht="14.25" customHeight="1">
      <c r="J703" s="14"/>
      <c r="K703" s="8"/>
      <c r="L703" s="27"/>
    </row>
    <row r="704" ht="14.25" customHeight="1">
      <c r="J704" s="14"/>
      <c r="K704" s="8"/>
      <c r="L704" s="27"/>
    </row>
    <row r="705" ht="14.25" customHeight="1">
      <c r="J705" s="14"/>
      <c r="K705" s="8"/>
      <c r="L705" s="27"/>
    </row>
    <row r="706" ht="14.25" customHeight="1">
      <c r="J706" s="14"/>
      <c r="K706" s="8"/>
      <c r="L706" s="27"/>
    </row>
    <row r="707" ht="14.25" customHeight="1">
      <c r="J707" s="14"/>
      <c r="K707" s="8"/>
      <c r="L707" s="27"/>
    </row>
    <row r="708" ht="14.25" customHeight="1">
      <c r="J708" s="14"/>
      <c r="K708" s="8"/>
      <c r="L708" s="27"/>
    </row>
    <row r="709" ht="14.25" customHeight="1">
      <c r="J709" s="14"/>
      <c r="K709" s="8"/>
      <c r="L709" s="27"/>
    </row>
    <row r="710" ht="14.25" customHeight="1">
      <c r="J710" s="14"/>
      <c r="K710" s="8"/>
      <c r="L710" s="27"/>
    </row>
    <row r="711" ht="14.25" customHeight="1">
      <c r="J711" s="14"/>
      <c r="K711" s="8"/>
      <c r="L711" s="27"/>
    </row>
    <row r="712" ht="14.25" customHeight="1">
      <c r="J712" s="14"/>
      <c r="K712" s="8"/>
      <c r="L712" s="27"/>
    </row>
    <row r="713" ht="14.25" customHeight="1">
      <c r="J713" s="14"/>
      <c r="K713" s="8"/>
      <c r="L713" s="27"/>
    </row>
    <row r="714" ht="14.25" customHeight="1">
      <c r="J714" s="14"/>
      <c r="K714" s="8"/>
      <c r="L714" s="27"/>
    </row>
    <row r="715" ht="14.25" customHeight="1">
      <c r="J715" s="14"/>
      <c r="K715" s="8"/>
      <c r="L715" s="27"/>
    </row>
    <row r="716" ht="14.25" customHeight="1">
      <c r="J716" s="14"/>
      <c r="K716" s="8"/>
      <c r="L716" s="27"/>
    </row>
    <row r="717" ht="14.25" customHeight="1">
      <c r="J717" s="14"/>
      <c r="K717" s="8"/>
      <c r="L717" s="27"/>
    </row>
    <row r="718" ht="14.25" customHeight="1">
      <c r="J718" s="14"/>
      <c r="K718" s="8"/>
      <c r="L718" s="27"/>
    </row>
    <row r="719" ht="14.25" customHeight="1">
      <c r="J719" s="14"/>
      <c r="K719" s="8"/>
      <c r="L719" s="27"/>
    </row>
    <row r="720" ht="14.25" customHeight="1">
      <c r="J720" s="14"/>
      <c r="K720" s="8"/>
      <c r="L720" s="27"/>
    </row>
    <row r="721" ht="14.25" customHeight="1">
      <c r="J721" s="14"/>
      <c r="K721" s="8"/>
      <c r="L721" s="27"/>
    </row>
    <row r="722" ht="14.25" customHeight="1">
      <c r="J722" s="14"/>
      <c r="K722" s="8"/>
      <c r="L722" s="27"/>
    </row>
    <row r="723" ht="14.25" customHeight="1">
      <c r="J723" s="14"/>
      <c r="K723" s="8"/>
      <c r="L723" s="27"/>
    </row>
    <row r="724" ht="14.25" customHeight="1">
      <c r="J724" s="14"/>
      <c r="K724" s="8"/>
      <c r="L724" s="27"/>
    </row>
    <row r="725" ht="14.25" customHeight="1">
      <c r="J725" s="14"/>
      <c r="K725" s="8"/>
      <c r="L725" s="27"/>
    </row>
    <row r="726" ht="14.25" customHeight="1">
      <c r="J726" s="14"/>
      <c r="K726" s="8"/>
      <c r="L726" s="27"/>
    </row>
    <row r="727" ht="14.25" customHeight="1">
      <c r="J727" s="14"/>
      <c r="K727" s="8"/>
      <c r="L727" s="27"/>
    </row>
    <row r="728" ht="14.25" customHeight="1">
      <c r="J728" s="14"/>
      <c r="K728" s="8"/>
      <c r="L728" s="27"/>
    </row>
    <row r="729" ht="14.25" customHeight="1">
      <c r="J729" s="14"/>
      <c r="K729" s="8"/>
      <c r="L729" s="27"/>
    </row>
    <row r="730" ht="14.25" customHeight="1">
      <c r="J730" s="14"/>
      <c r="K730" s="8"/>
      <c r="L730" s="27"/>
    </row>
    <row r="731" ht="14.25" customHeight="1">
      <c r="J731" s="14"/>
      <c r="K731" s="8"/>
      <c r="L731" s="27"/>
    </row>
    <row r="732" ht="14.25" customHeight="1">
      <c r="J732" s="14"/>
      <c r="K732" s="8"/>
      <c r="L732" s="27"/>
    </row>
    <row r="733" ht="14.25" customHeight="1">
      <c r="J733" s="14"/>
      <c r="K733" s="8"/>
      <c r="L733" s="27"/>
    </row>
    <row r="734" ht="14.25" customHeight="1">
      <c r="J734" s="14"/>
      <c r="K734" s="8"/>
      <c r="L734" s="27"/>
    </row>
    <row r="735" ht="14.25" customHeight="1">
      <c r="J735" s="14"/>
      <c r="K735" s="8"/>
      <c r="L735" s="27"/>
    </row>
    <row r="736" ht="14.25" customHeight="1">
      <c r="J736" s="14"/>
      <c r="K736" s="8"/>
      <c r="L736" s="27"/>
    </row>
    <row r="737" ht="14.25" customHeight="1">
      <c r="J737" s="14"/>
      <c r="K737" s="8"/>
      <c r="L737" s="27"/>
    </row>
    <row r="738" ht="14.25" customHeight="1">
      <c r="J738" s="14"/>
      <c r="K738" s="8"/>
      <c r="L738" s="27"/>
    </row>
    <row r="739" ht="14.25" customHeight="1">
      <c r="J739" s="14"/>
      <c r="K739" s="8"/>
      <c r="L739" s="27"/>
    </row>
    <row r="740" ht="14.25" customHeight="1">
      <c r="J740" s="14"/>
      <c r="K740" s="8"/>
      <c r="L740" s="27"/>
    </row>
    <row r="741" ht="14.25" customHeight="1">
      <c r="J741" s="14"/>
      <c r="K741" s="8"/>
      <c r="L741" s="27"/>
    </row>
    <row r="742" ht="14.25" customHeight="1">
      <c r="J742" s="14"/>
      <c r="K742" s="8"/>
      <c r="L742" s="27"/>
    </row>
    <row r="743" ht="14.25" customHeight="1">
      <c r="J743" s="14"/>
      <c r="K743" s="8"/>
      <c r="L743" s="27"/>
    </row>
    <row r="744" ht="14.25" customHeight="1">
      <c r="J744" s="14"/>
      <c r="K744" s="8"/>
      <c r="L744" s="27"/>
    </row>
    <row r="745" ht="14.25" customHeight="1">
      <c r="J745" s="14"/>
      <c r="K745" s="8"/>
      <c r="L745" s="27"/>
    </row>
    <row r="746" ht="14.25" customHeight="1">
      <c r="J746" s="14"/>
      <c r="K746" s="8"/>
      <c r="L746" s="27"/>
    </row>
    <row r="747" ht="14.25" customHeight="1">
      <c r="J747" s="14"/>
      <c r="K747" s="8"/>
      <c r="L747" s="27"/>
    </row>
    <row r="748" ht="14.25" customHeight="1">
      <c r="J748" s="14"/>
      <c r="K748" s="8"/>
      <c r="L748" s="27"/>
    </row>
    <row r="749" ht="14.25" customHeight="1">
      <c r="J749" s="14"/>
      <c r="K749" s="8"/>
      <c r="L749" s="27"/>
    </row>
    <row r="750" ht="14.25" customHeight="1">
      <c r="J750" s="14"/>
      <c r="K750" s="8"/>
      <c r="L750" s="27"/>
    </row>
    <row r="751" ht="14.25" customHeight="1">
      <c r="J751" s="14"/>
      <c r="K751" s="8"/>
      <c r="L751" s="27"/>
    </row>
    <row r="752" ht="14.25" customHeight="1">
      <c r="J752" s="14"/>
      <c r="K752" s="8"/>
      <c r="L752" s="27"/>
    </row>
    <row r="753" ht="14.25" customHeight="1">
      <c r="J753" s="14"/>
      <c r="K753" s="8"/>
      <c r="L753" s="27"/>
    </row>
    <row r="754" ht="14.25" customHeight="1">
      <c r="J754" s="14"/>
      <c r="K754" s="8"/>
      <c r="L754" s="27"/>
    </row>
    <row r="755" ht="14.25" customHeight="1">
      <c r="J755" s="14"/>
      <c r="K755" s="8"/>
      <c r="L755" s="27"/>
    </row>
    <row r="756" ht="14.25" customHeight="1">
      <c r="J756" s="14"/>
      <c r="K756" s="8"/>
      <c r="L756" s="27"/>
    </row>
    <row r="757" ht="14.25" customHeight="1">
      <c r="J757" s="14"/>
      <c r="K757" s="8"/>
      <c r="L757" s="27"/>
    </row>
    <row r="758" ht="14.25" customHeight="1">
      <c r="J758" s="14"/>
      <c r="K758" s="8"/>
      <c r="L758" s="27"/>
    </row>
    <row r="759" ht="14.25" customHeight="1">
      <c r="J759" s="14"/>
      <c r="K759" s="8"/>
      <c r="L759" s="27"/>
    </row>
    <row r="760" ht="14.25" customHeight="1">
      <c r="J760" s="14"/>
      <c r="K760" s="8"/>
      <c r="L760" s="27"/>
    </row>
    <row r="761" ht="14.25" customHeight="1">
      <c r="J761" s="14"/>
      <c r="K761" s="8"/>
      <c r="L761" s="27"/>
    </row>
    <row r="762" ht="14.25" customHeight="1">
      <c r="J762" s="14"/>
      <c r="K762" s="8"/>
      <c r="L762" s="27"/>
    </row>
    <row r="763" ht="14.25" customHeight="1">
      <c r="J763" s="14"/>
      <c r="K763" s="8"/>
      <c r="L763" s="27"/>
    </row>
    <row r="764" ht="14.25" customHeight="1">
      <c r="J764" s="14"/>
      <c r="K764" s="8"/>
      <c r="L764" s="27"/>
    </row>
    <row r="765" ht="14.25" customHeight="1">
      <c r="J765" s="14"/>
      <c r="K765" s="8"/>
      <c r="L765" s="27"/>
    </row>
    <row r="766" ht="14.25" customHeight="1">
      <c r="J766" s="14"/>
      <c r="K766" s="8"/>
      <c r="L766" s="27"/>
    </row>
    <row r="767" ht="14.25" customHeight="1">
      <c r="J767" s="14"/>
      <c r="K767" s="8"/>
      <c r="L767" s="27"/>
    </row>
    <row r="768" ht="14.25" customHeight="1">
      <c r="J768" s="14"/>
      <c r="K768" s="8"/>
      <c r="L768" s="27"/>
    </row>
    <row r="769" ht="14.25" customHeight="1">
      <c r="J769" s="14"/>
      <c r="K769" s="8"/>
      <c r="L769" s="27"/>
    </row>
    <row r="770" ht="14.25" customHeight="1">
      <c r="J770" s="14"/>
      <c r="K770" s="8"/>
      <c r="L770" s="27"/>
    </row>
    <row r="771" ht="14.25" customHeight="1">
      <c r="J771" s="14"/>
      <c r="K771" s="8"/>
      <c r="L771" s="27"/>
    </row>
    <row r="772" ht="14.25" customHeight="1">
      <c r="J772" s="14"/>
      <c r="K772" s="8"/>
      <c r="L772" s="27"/>
    </row>
    <row r="773" ht="14.25" customHeight="1">
      <c r="J773" s="14"/>
      <c r="K773" s="8"/>
      <c r="L773" s="27"/>
    </row>
    <row r="774" ht="14.25" customHeight="1">
      <c r="J774" s="14"/>
      <c r="K774" s="8"/>
      <c r="L774" s="27"/>
    </row>
    <row r="775" ht="14.25" customHeight="1">
      <c r="J775" s="14"/>
      <c r="K775" s="8"/>
      <c r="L775" s="27"/>
    </row>
    <row r="776" ht="14.25" customHeight="1">
      <c r="J776" s="14"/>
      <c r="K776" s="8"/>
      <c r="L776" s="27"/>
    </row>
    <row r="777" ht="14.25" customHeight="1">
      <c r="J777" s="14"/>
      <c r="K777" s="8"/>
      <c r="L777" s="27"/>
    </row>
    <row r="778" ht="14.25" customHeight="1">
      <c r="J778" s="14"/>
      <c r="K778" s="8"/>
      <c r="L778" s="27"/>
    </row>
    <row r="779" ht="14.25" customHeight="1">
      <c r="J779" s="14"/>
      <c r="K779" s="8"/>
      <c r="L779" s="27"/>
    </row>
    <row r="780" ht="14.25" customHeight="1">
      <c r="J780" s="14"/>
      <c r="K780" s="8"/>
      <c r="L780" s="27"/>
    </row>
    <row r="781" ht="14.25" customHeight="1">
      <c r="J781" s="14"/>
      <c r="K781" s="8"/>
      <c r="L781" s="27"/>
    </row>
    <row r="782" ht="14.25" customHeight="1">
      <c r="J782" s="14"/>
      <c r="K782" s="8"/>
      <c r="L782" s="27"/>
    </row>
    <row r="783" ht="14.25" customHeight="1">
      <c r="J783" s="14"/>
      <c r="K783" s="8"/>
      <c r="L783" s="27"/>
    </row>
    <row r="784" ht="14.25" customHeight="1">
      <c r="J784" s="14"/>
      <c r="K784" s="8"/>
      <c r="L784" s="27"/>
    </row>
    <row r="785" ht="14.25" customHeight="1">
      <c r="J785" s="14"/>
      <c r="K785" s="8"/>
      <c r="L785" s="27"/>
    </row>
    <row r="786" ht="14.25" customHeight="1">
      <c r="J786" s="14"/>
      <c r="K786" s="8"/>
      <c r="L786" s="27"/>
    </row>
    <row r="787" ht="14.25" customHeight="1">
      <c r="J787" s="14"/>
      <c r="K787" s="8"/>
      <c r="L787" s="27"/>
    </row>
    <row r="788" ht="14.25" customHeight="1">
      <c r="J788" s="14"/>
      <c r="K788" s="8"/>
      <c r="L788" s="27"/>
    </row>
    <row r="789" ht="14.25" customHeight="1">
      <c r="J789" s="14"/>
      <c r="K789" s="8"/>
      <c r="L789" s="27"/>
    </row>
    <row r="790" ht="14.25" customHeight="1">
      <c r="J790" s="14"/>
      <c r="K790" s="8"/>
      <c r="L790" s="27"/>
    </row>
    <row r="791" ht="14.25" customHeight="1">
      <c r="J791" s="14"/>
      <c r="K791" s="8"/>
      <c r="L791" s="27"/>
    </row>
    <row r="792" ht="14.25" customHeight="1">
      <c r="J792" s="14"/>
      <c r="K792" s="8"/>
      <c r="L792" s="27"/>
    </row>
    <row r="793" ht="14.25" customHeight="1">
      <c r="J793" s="14"/>
      <c r="K793" s="8"/>
      <c r="L793" s="27"/>
    </row>
    <row r="794" ht="14.25" customHeight="1">
      <c r="J794" s="14"/>
      <c r="K794" s="8"/>
      <c r="L794" s="27"/>
    </row>
    <row r="795" ht="14.25" customHeight="1">
      <c r="J795" s="14"/>
      <c r="K795" s="8"/>
      <c r="L795" s="27"/>
    </row>
    <row r="796" ht="14.25" customHeight="1">
      <c r="J796" s="14"/>
      <c r="K796" s="8"/>
      <c r="L796" s="27"/>
    </row>
    <row r="797" ht="14.25" customHeight="1">
      <c r="J797" s="14"/>
      <c r="K797" s="8"/>
      <c r="L797" s="27"/>
    </row>
    <row r="798" ht="14.25" customHeight="1">
      <c r="J798" s="14"/>
      <c r="K798" s="8"/>
      <c r="L798" s="27"/>
    </row>
    <row r="799" ht="14.25" customHeight="1">
      <c r="J799" s="14"/>
      <c r="K799" s="8"/>
      <c r="L799" s="27"/>
    </row>
    <row r="800" ht="14.25" customHeight="1">
      <c r="J800" s="14"/>
      <c r="K800" s="8"/>
      <c r="L800" s="27"/>
    </row>
    <row r="801" ht="14.25" customHeight="1">
      <c r="J801" s="14"/>
      <c r="K801" s="8"/>
      <c r="L801" s="27"/>
    </row>
    <row r="802" ht="14.25" customHeight="1">
      <c r="J802" s="14"/>
      <c r="K802" s="8"/>
      <c r="L802" s="27"/>
    </row>
    <row r="803" ht="14.25" customHeight="1">
      <c r="J803" s="14"/>
      <c r="K803" s="8"/>
      <c r="L803" s="27"/>
    </row>
    <row r="804" ht="14.25" customHeight="1">
      <c r="J804" s="14"/>
      <c r="K804" s="8"/>
      <c r="L804" s="27"/>
    </row>
    <row r="805" ht="14.25" customHeight="1">
      <c r="J805" s="14"/>
      <c r="K805" s="8"/>
      <c r="L805" s="27"/>
    </row>
    <row r="806" ht="14.25" customHeight="1">
      <c r="J806" s="14"/>
      <c r="K806" s="8"/>
      <c r="L806" s="27"/>
    </row>
    <row r="807" ht="14.25" customHeight="1">
      <c r="J807" s="14"/>
      <c r="K807" s="8"/>
      <c r="L807" s="27"/>
    </row>
    <row r="808" ht="14.25" customHeight="1">
      <c r="J808" s="14"/>
      <c r="K808" s="8"/>
      <c r="L808" s="27"/>
    </row>
    <row r="809" ht="14.25" customHeight="1">
      <c r="J809" s="14"/>
      <c r="K809" s="8"/>
      <c r="L809" s="27"/>
    </row>
    <row r="810" ht="14.25" customHeight="1">
      <c r="J810" s="14"/>
      <c r="K810" s="8"/>
      <c r="L810" s="27"/>
    </row>
    <row r="811" ht="14.25" customHeight="1">
      <c r="J811" s="14"/>
      <c r="K811" s="8"/>
      <c r="L811" s="27"/>
    </row>
    <row r="812" ht="14.25" customHeight="1">
      <c r="J812" s="14"/>
      <c r="K812" s="8"/>
      <c r="L812" s="27"/>
    </row>
    <row r="813" ht="14.25" customHeight="1">
      <c r="J813" s="14"/>
      <c r="K813" s="8"/>
      <c r="L813" s="27"/>
    </row>
    <row r="814" ht="14.25" customHeight="1">
      <c r="J814" s="14"/>
      <c r="K814" s="8"/>
      <c r="L814" s="27"/>
    </row>
    <row r="815" ht="14.25" customHeight="1">
      <c r="J815" s="14"/>
      <c r="K815" s="8"/>
      <c r="L815" s="27"/>
    </row>
    <row r="816" ht="14.25" customHeight="1">
      <c r="J816" s="14"/>
      <c r="K816" s="8"/>
      <c r="L816" s="27"/>
    </row>
    <row r="817" ht="14.25" customHeight="1">
      <c r="J817" s="14"/>
      <c r="K817" s="8"/>
      <c r="L817" s="27"/>
    </row>
    <row r="818" ht="14.25" customHeight="1">
      <c r="J818" s="14"/>
      <c r="K818" s="8"/>
      <c r="L818" s="27"/>
    </row>
    <row r="819" ht="14.25" customHeight="1">
      <c r="J819" s="14"/>
      <c r="K819" s="8"/>
      <c r="L819" s="27"/>
    </row>
    <row r="820" ht="14.25" customHeight="1">
      <c r="J820" s="14"/>
      <c r="K820" s="8"/>
      <c r="L820" s="27"/>
    </row>
    <row r="821" ht="14.25" customHeight="1">
      <c r="J821" s="14"/>
      <c r="K821" s="8"/>
      <c r="L821" s="27"/>
    </row>
    <row r="822" ht="14.25" customHeight="1">
      <c r="J822" s="14"/>
      <c r="K822" s="8"/>
      <c r="L822" s="27"/>
    </row>
    <row r="823" ht="14.25" customHeight="1">
      <c r="J823" s="14"/>
      <c r="K823" s="8"/>
      <c r="L823" s="27"/>
    </row>
    <row r="824" ht="14.25" customHeight="1">
      <c r="J824" s="14"/>
      <c r="K824" s="8"/>
      <c r="L824" s="27"/>
    </row>
    <row r="825" ht="14.25" customHeight="1">
      <c r="J825" s="14"/>
      <c r="K825" s="8"/>
      <c r="L825" s="27"/>
    </row>
    <row r="826" ht="14.25" customHeight="1">
      <c r="J826" s="14"/>
      <c r="K826" s="8"/>
      <c r="L826" s="27"/>
    </row>
    <row r="827" ht="14.25" customHeight="1">
      <c r="J827" s="14"/>
      <c r="K827" s="8"/>
      <c r="L827" s="27"/>
    </row>
    <row r="828" ht="14.25" customHeight="1">
      <c r="J828" s="14"/>
      <c r="K828" s="8"/>
      <c r="L828" s="27"/>
    </row>
    <row r="829" ht="14.25" customHeight="1">
      <c r="J829" s="14"/>
      <c r="K829" s="8"/>
      <c r="L829" s="27"/>
    </row>
    <row r="830" ht="14.25" customHeight="1">
      <c r="J830" s="14"/>
      <c r="K830" s="8"/>
      <c r="L830" s="27"/>
    </row>
    <row r="831" ht="14.25" customHeight="1">
      <c r="J831" s="14"/>
      <c r="K831" s="8"/>
      <c r="L831" s="27"/>
    </row>
    <row r="832" ht="14.25" customHeight="1">
      <c r="J832" s="14"/>
      <c r="K832" s="8"/>
      <c r="L832" s="27"/>
    </row>
    <row r="833" ht="14.25" customHeight="1">
      <c r="J833" s="14"/>
      <c r="K833" s="8"/>
      <c r="L833" s="27"/>
    </row>
    <row r="834" ht="14.25" customHeight="1">
      <c r="J834" s="14"/>
      <c r="K834" s="8"/>
      <c r="L834" s="27"/>
    </row>
    <row r="835" ht="14.25" customHeight="1">
      <c r="J835" s="14"/>
      <c r="K835" s="8"/>
      <c r="L835" s="27"/>
    </row>
    <row r="836" ht="14.25" customHeight="1">
      <c r="J836" s="14"/>
      <c r="K836" s="8"/>
      <c r="L836" s="27"/>
    </row>
    <row r="837" ht="14.25" customHeight="1">
      <c r="J837" s="14"/>
      <c r="K837" s="8"/>
      <c r="L837" s="27"/>
    </row>
    <row r="838" ht="14.25" customHeight="1">
      <c r="J838" s="14"/>
      <c r="K838" s="8"/>
      <c r="L838" s="27"/>
    </row>
    <row r="839" ht="14.25" customHeight="1">
      <c r="J839" s="14"/>
      <c r="K839" s="8"/>
      <c r="L839" s="27"/>
    </row>
    <row r="840" ht="14.25" customHeight="1">
      <c r="J840" s="14"/>
      <c r="K840" s="8"/>
      <c r="L840" s="27"/>
    </row>
    <row r="841" ht="14.25" customHeight="1">
      <c r="J841" s="14"/>
      <c r="K841" s="8"/>
      <c r="L841" s="27"/>
    </row>
    <row r="842" ht="14.25" customHeight="1">
      <c r="J842" s="14"/>
      <c r="K842" s="8"/>
      <c r="L842" s="27"/>
    </row>
    <row r="843" ht="14.25" customHeight="1">
      <c r="J843" s="14"/>
      <c r="K843" s="8"/>
      <c r="L843" s="27"/>
    </row>
    <row r="844" ht="14.25" customHeight="1">
      <c r="J844" s="14"/>
      <c r="K844" s="8"/>
      <c r="L844" s="27"/>
    </row>
    <row r="845" ht="14.25" customHeight="1">
      <c r="J845" s="14"/>
      <c r="K845" s="8"/>
      <c r="L845" s="27"/>
    </row>
    <row r="846" ht="14.25" customHeight="1">
      <c r="J846" s="14"/>
      <c r="K846" s="8"/>
      <c r="L846" s="27"/>
    </row>
    <row r="847" ht="14.25" customHeight="1">
      <c r="J847" s="14"/>
      <c r="K847" s="8"/>
      <c r="L847" s="27"/>
    </row>
    <row r="848" ht="14.25" customHeight="1">
      <c r="J848" s="14"/>
      <c r="K848" s="8"/>
      <c r="L848" s="27"/>
    </row>
    <row r="849" ht="14.25" customHeight="1">
      <c r="J849" s="14"/>
      <c r="K849" s="8"/>
      <c r="L849" s="27"/>
    </row>
    <row r="850" ht="14.25" customHeight="1">
      <c r="J850" s="14"/>
      <c r="K850" s="8"/>
      <c r="L850" s="27"/>
    </row>
    <row r="851" ht="14.25" customHeight="1">
      <c r="J851" s="14"/>
      <c r="K851" s="8"/>
      <c r="L851" s="27"/>
    </row>
    <row r="852" ht="14.25" customHeight="1">
      <c r="J852" s="14"/>
      <c r="K852" s="8"/>
      <c r="L852" s="27"/>
    </row>
    <row r="853" ht="14.25" customHeight="1">
      <c r="J853" s="14"/>
      <c r="K853" s="8"/>
      <c r="L853" s="27"/>
    </row>
    <row r="854" ht="14.25" customHeight="1">
      <c r="J854" s="14"/>
      <c r="K854" s="8"/>
      <c r="L854" s="27"/>
    </row>
    <row r="855" ht="14.25" customHeight="1">
      <c r="J855" s="14"/>
      <c r="K855" s="8"/>
      <c r="L855" s="27"/>
    </row>
    <row r="856" ht="14.25" customHeight="1">
      <c r="J856" s="14"/>
      <c r="K856" s="8"/>
      <c r="L856" s="27"/>
    </row>
    <row r="857" ht="14.25" customHeight="1">
      <c r="J857" s="14"/>
      <c r="K857" s="8"/>
      <c r="L857" s="27"/>
    </row>
    <row r="858" ht="14.25" customHeight="1">
      <c r="J858" s="14"/>
      <c r="K858" s="8"/>
      <c r="L858" s="27"/>
    </row>
    <row r="859" ht="14.25" customHeight="1">
      <c r="J859" s="14"/>
      <c r="K859" s="8"/>
      <c r="L859" s="27"/>
    </row>
    <row r="860" ht="14.25" customHeight="1">
      <c r="J860" s="14"/>
      <c r="K860" s="8"/>
      <c r="L860" s="27"/>
    </row>
    <row r="861" ht="14.25" customHeight="1">
      <c r="J861" s="14"/>
      <c r="K861" s="8"/>
      <c r="L861" s="27"/>
    </row>
    <row r="862" ht="14.25" customHeight="1">
      <c r="J862" s="14"/>
      <c r="K862" s="8"/>
      <c r="L862" s="27"/>
    </row>
    <row r="863" ht="14.25" customHeight="1">
      <c r="J863" s="14"/>
      <c r="K863" s="8"/>
      <c r="L863" s="27"/>
    </row>
    <row r="864" ht="14.25" customHeight="1">
      <c r="J864" s="14"/>
      <c r="K864" s="8"/>
      <c r="L864" s="27"/>
    </row>
    <row r="865" ht="14.25" customHeight="1">
      <c r="J865" s="14"/>
      <c r="K865" s="8"/>
      <c r="L865" s="27"/>
    </row>
    <row r="866" ht="14.25" customHeight="1">
      <c r="J866" s="14"/>
      <c r="K866" s="8"/>
      <c r="L866" s="27"/>
    </row>
    <row r="867" ht="14.25" customHeight="1">
      <c r="J867" s="14"/>
      <c r="K867" s="8"/>
      <c r="L867" s="27"/>
    </row>
    <row r="868" ht="14.25" customHeight="1">
      <c r="J868" s="14"/>
      <c r="K868" s="8"/>
      <c r="L868" s="27"/>
    </row>
    <row r="869" ht="14.25" customHeight="1">
      <c r="J869" s="14"/>
      <c r="K869" s="8"/>
      <c r="L869" s="27"/>
    </row>
    <row r="870" ht="14.25" customHeight="1">
      <c r="J870" s="14"/>
      <c r="K870" s="8"/>
      <c r="L870" s="27"/>
    </row>
    <row r="871" ht="14.25" customHeight="1">
      <c r="J871" s="14"/>
      <c r="K871" s="8"/>
      <c r="L871" s="27"/>
    </row>
    <row r="872" ht="14.25" customHeight="1">
      <c r="J872" s="14"/>
      <c r="K872" s="8"/>
      <c r="L872" s="27"/>
    </row>
    <row r="873" ht="14.25" customHeight="1">
      <c r="J873" s="14"/>
      <c r="K873" s="8"/>
      <c r="L873" s="27"/>
    </row>
    <row r="874" ht="14.25" customHeight="1">
      <c r="J874" s="14"/>
      <c r="K874" s="8"/>
      <c r="L874" s="27"/>
    </row>
    <row r="875" ht="14.25" customHeight="1">
      <c r="J875" s="14"/>
      <c r="K875" s="8"/>
      <c r="L875" s="27"/>
    </row>
    <row r="876" ht="14.25" customHeight="1">
      <c r="J876" s="14"/>
      <c r="K876" s="8"/>
      <c r="L876" s="27"/>
    </row>
    <row r="877" ht="14.25" customHeight="1">
      <c r="J877" s="14"/>
      <c r="K877" s="8"/>
      <c r="L877" s="27"/>
    </row>
    <row r="878" ht="14.25" customHeight="1">
      <c r="J878" s="14"/>
      <c r="K878" s="8"/>
      <c r="L878" s="27"/>
    </row>
    <row r="879" ht="14.25" customHeight="1">
      <c r="J879" s="14"/>
      <c r="K879" s="8"/>
      <c r="L879" s="27"/>
    </row>
    <row r="880" ht="14.25" customHeight="1">
      <c r="J880" s="14"/>
      <c r="K880" s="8"/>
      <c r="L880" s="27"/>
    </row>
    <row r="881" ht="14.25" customHeight="1">
      <c r="J881" s="14"/>
      <c r="K881" s="8"/>
      <c r="L881" s="27"/>
    </row>
    <row r="882" ht="14.25" customHeight="1">
      <c r="J882" s="14"/>
      <c r="K882" s="8"/>
      <c r="L882" s="27"/>
    </row>
    <row r="883" ht="14.25" customHeight="1">
      <c r="J883" s="14"/>
      <c r="K883" s="8"/>
      <c r="L883" s="27"/>
    </row>
    <row r="884" ht="14.25" customHeight="1">
      <c r="J884" s="14"/>
      <c r="K884" s="8"/>
      <c r="L884" s="27"/>
    </row>
    <row r="885" ht="14.25" customHeight="1">
      <c r="J885" s="14"/>
      <c r="K885" s="8"/>
      <c r="L885" s="27"/>
    </row>
    <row r="886" ht="14.25" customHeight="1">
      <c r="J886" s="14"/>
      <c r="K886" s="8"/>
      <c r="L886" s="27"/>
    </row>
    <row r="887" ht="14.25" customHeight="1">
      <c r="J887" s="14"/>
      <c r="K887" s="8"/>
      <c r="L887" s="27"/>
    </row>
    <row r="888" ht="14.25" customHeight="1">
      <c r="J888" s="14"/>
      <c r="K888" s="8"/>
      <c r="L888" s="27"/>
    </row>
    <row r="889" ht="14.25" customHeight="1">
      <c r="J889" s="14"/>
      <c r="K889" s="8"/>
      <c r="L889" s="27"/>
    </row>
    <row r="890" ht="14.25" customHeight="1">
      <c r="J890" s="14"/>
      <c r="K890" s="8"/>
      <c r="L890" s="27"/>
    </row>
    <row r="891" ht="14.25" customHeight="1">
      <c r="J891" s="14"/>
      <c r="K891" s="8"/>
      <c r="L891" s="27"/>
    </row>
    <row r="892" ht="14.25" customHeight="1">
      <c r="J892" s="14"/>
      <c r="K892" s="8"/>
      <c r="L892" s="27"/>
    </row>
    <row r="893" ht="14.25" customHeight="1">
      <c r="J893" s="14"/>
      <c r="K893" s="8"/>
      <c r="L893" s="27"/>
    </row>
    <row r="894" ht="14.25" customHeight="1">
      <c r="J894" s="14"/>
      <c r="K894" s="8"/>
      <c r="L894" s="27"/>
    </row>
    <row r="895" ht="14.25" customHeight="1">
      <c r="J895" s="14"/>
      <c r="K895" s="8"/>
      <c r="L895" s="27"/>
    </row>
    <row r="896" ht="14.25" customHeight="1">
      <c r="J896" s="14"/>
      <c r="K896" s="8"/>
      <c r="L896" s="27"/>
    </row>
    <row r="897" ht="14.25" customHeight="1">
      <c r="J897" s="14"/>
      <c r="K897" s="8"/>
      <c r="L897" s="27"/>
    </row>
    <row r="898" ht="14.25" customHeight="1">
      <c r="J898" s="14"/>
      <c r="K898" s="8"/>
      <c r="L898" s="27"/>
    </row>
    <row r="899" ht="14.25" customHeight="1">
      <c r="J899" s="14"/>
      <c r="K899" s="8"/>
      <c r="L899" s="27"/>
    </row>
    <row r="900" ht="14.25" customHeight="1">
      <c r="J900" s="14"/>
      <c r="K900" s="8"/>
      <c r="L900" s="27"/>
    </row>
    <row r="901" ht="14.25" customHeight="1">
      <c r="J901" s="14"/>
      <c r="K901" s="8"/>
      <c r="L901" s="27"/>
    </row>
    <row r="902" ht="14.25" customHeight="1">
      <c r="J902" s="14"/>
      <c r="K902" s="8"/>
      <c r="L902" s="27"/>
    </row>
    <row r="903" ht="14.25" customHeight="1">
      <c r="J903" s="14"/>
      <c r="K903" s="8"/>
      <c r="L903" s="27"/>
    </row>
    <row r="904" ht="14.25" customHeight="1">
      <c r="J904" s="14"/>
      <c r="K904" s="8"/>
      <c r="L904" s="27"/>
    </row>
    <row r="905" ht="14.25" customHeight="1">
      <c r="J905" s="14"/>
      <c r="K905" s="8"/>
      <c r="L905" s="27"/>
    </row>
    <row r="906" ht="14.25" customHeight="1">
      <c r="J906" s="14"/>
      <c r="K906" s="8"/>
      <c r="L906" s="27"/>
    </row>
    <row r="907" ht="14.25" customHeight="1">
      <c r="J907" s="14"/>
      <c r="K907" s="8"/>
      <c r="L907" s="27"/>
    </row>
    <row r="908" ht="14.25" customHeight="1">
      <c r="J908" s="14"/>
      <c r="K908" s="8"/>
      <c r="L908" s="27"/>
    </row>
    <row r="909" ht="14.25" customHeight="1">
      <c r="J909" s="14"/>
      <c r="K909" s="8"/>
      <c r="L909" s="27"/>
    </row>
    <row r="910" ht="14.25" customHeight="1">
      <c r="J910" s="14"/>
      <c r="K910" s="8"/>
      <c r="L910" s="27"/>
    </row>
    <row r="911" ht="14.25" customHeight="1">
      <c r="J911" s="14"/>
      <c r="K911" s="8"/>
      <c r="L911" s="27"/>
    </row>
    <row r="912" ht="14.25" customHeight="1">
      <c r="J912" s="14"/>
      <c r="K912" s="8"/>
      <c r="L912" s="27"/>
    </row>
    <row r="913" ht="14.25" customHeight="1">
      <c r="J913" s="14"/>
      <c r="K913" s="8"/>
      <c r="L913" s="27"/>
    </row>
    <row r="914" ht="14.25" customHeight="1">
      <c r="J914" s="14"/>
      <c r="K914" s="8"/>
      <c r="L914" s="27"/>
    </row>
    <row r="915" ht="14.25" customHeight="1">
      <c r="J915" s="14"/>
      <c r="K915" s="8"/>
      <c r="L915" s="27"/>
    </row>
    <row r="916" ht="14.25" customHeight="1">
      <c r="J916" s="14"/>
      <c r="K916" s="8"/>
      <c r="L916" s="27"/>
    </row>
    <row r="917" ht="14.25" customHeight="1">
      <c r="J917" s="14"/>
      <c r="K917" s="8"/>
      <c r="L917" s="27"/>
    </row>
    <row r="918" ht="14.25" customHeight="1">
      <c r="J918" s="14"/>
      <c r="K918" s="8"/>
      <c r="L918" s="27"/>
    </row>
    <row r="919" ht="14.25" customHeight="1">
      <c r="J919" s="14"/>
      <c r="K919" s="8"/>
      <c r="L919" s="27"/>
    </row>
    <row r="920" ht="14.25" customHeight="1">
      <c r="J920" s="14"/>
      <c r="K920" s="8"/>
      <c r="L920" s="27"/>
    </row>
    <row r="921" ht="14.25" customHeight="1">
      <c r="J921" s="14"/>
      <c r="K921" s="8"/>
      <c r="L921" s="27"/>
    </row>
    <row r="922" ht="14.25" customHeight="1">
      <c r="J922" s="14"/>
      <c r="K922" s="8"/>
      <c r="L922" s="27"/>
    </row>
    <row r="923" ht="14.25" customHeight="1">
      <c r="J923" s="14"/>
      <c r="K923" s="8"/>
      <c r="L923" s="27"/>
    </row>
    <row r="924" ht="14.25" customHeight="1">
      <c r="J924" s="14"/>
      <c r="K924" s="8"/>
      <c r="L924" s="27"/>
    </row>
    <row r="925" ht="14.25" customHeight="1">
      <c r="J925" s="14"/>
      <c r="K925" s="8"/>
      <c r="L925" s="27"/>
    </row>
    <row r="926" ht="14.25" customHeight="1">
      <c r="J926" s="14"/>
      <c r="K926" s="8"/>
      <c r="L926" s="27"/>
    </row>
    <row r="927" ht="14.25" customHeight="1">
      <c r="J927" s="14"/>
      <c r="K927" s="8"/>
      <c r="L927" s="27"/>
    </row>
    <row r="928" ht="14.25" customHeight="1">
      <c r="J928" s="14"/>
      <c r="K928" s="8"/>
      <c r="L928" s="27"/>
    </row>
    <row r="929" ht="14.25" customHeight="1">
      <c r="J929" s="14"/>
      <c r="K929" s="8"/>
      <c r="L929" s="27"/>
    </row>
    <row r="930" ht="14.25" customHeight="1">
      <c r="J930" s="14"/>
      <c r="K930" s="8"/>
      <c r="L930" s="27"/>
    </row>
    <row r="931" ht="14.25" customHeight="1">
      <c r="J931" s="14"/>
      <c r="K931" s="8"/>
      <c r="L931" s="27"/>
    </row>
    <row r="932" ht="14.25" customHeight="1">
      <c r="J932" s="14"/>
      <c r="K932" s="8"/>
      <c r="L932" s="27"/>
    </row>
    <row r="933" ht="14.25" customHeight="1">
      <c r="J933" s="14"/>
      <c r="K933" s="8"/>
      <c r="L933" s="27"/>
    </row>
    <row r="934" ht="14.25" customHeight="1">
      <c r="J934" s="14"/>
      <c r="K934" s="8"/>
      <c r="L934" s="27"/>
    </row>
    <row r="935" ht="14.25" customHeight="1">
      <c r="J935" s="14"/>
      <c r="K935" s="8"/>
      <c r="L935" s="27"/>
    </row>
    <row r="936" ht="14.25" customHeight="1">
      <c r="J936" s="14"/>
      <c r="K936" s="8"/>
      <c r="L936" s="27"/>
    </row>
    <row r="937" ht="14.25" customHeight="1">
      <c r="J937" s="14"/>
      <c r="K937" s="8"/>
      <c r="L937" s="27"/>
    </row>
    <row r="938" ht="14.25" customHeight="1">
      <c r="J938" s="14"/>
      <c r="K938" s="8"/>
      <c r="L938" s="27"/>
    </row>
    <row r="939" ht="14.25" customHeight="1">
      <c r="J939" s="14"/>
      <c r="K939" s="8"/>
      <c r="L939" s="27"/>
    </row>
    <row r="940" ht="14.25" customHeight="1">
      <c r="J940" s="14"/>
      <c r="K940" s="8"/>
      <c r="L940" s="27"/>
    </row>
    <row r="941" ht="14.25" customHeight="1">
      <c r="J941" s="14"/>
      <c r="K941" s="8"/>
      <c r="L941" s="27"/>
    </row>
    <row r="942" ht="14.25" customHeight="1">
      <c r="J942" s="14"/>
      <c r="K942" s="8"/>
      <c r="L942" s="27"/>
    </row>
    <row r="943" ht="14.25" customHeight="1">
      <c r="J943" s="14"/>
      <c r="K943" s="8"/>
      <c r="L943" s="27"/>
    </row>
    <row r="944" ht="14.25" customHeight="1">
      <c r="J944" s="14"/>
      <c r="K944" s="8"/>
      <c r="L944" s="27"/>
    </row>
    <row r="945" ht="14.25" customHeight="1">
      <c r="J945" s="14"/>
      <c r="K945" s="8"/>
      <c r="L945" s="27"/>
    </row>
    <row r="946" ht="14.25" customHeight="1">
      <c r="J946" s="14"/>
      <c r="K946" s="8"/>
      <c r="L946" s="27"/>
    </row>
    <row r="947" ht="14.25" customHeight="1">
      <c r="J947" s="14"/>
      <c r="K947" s="8"/>
      <c r="L947" s="27"/>
    </row>
    <row r="948" ht="14.25" customHeight="1">
      <c r="J948" s="14"/>
      <c r="K948" s="8"/>
      <c r="L948" s="27"/>
    </row>
    <row r="949" ht="14.25" customHeight="1">
      <c r="J949" s="14"/>
      <c r="K949" s="8"/>
      <c r="L949" s="27"/>
    </row>
    <row r="950" ht="14.25" customHeight="1">
      <c r="J950" s="14"/>
      <c r="K950" s="8"/>
      <c r="L950" s="27"/>
    </row>
    <row r="951" ht="14.25" customHeight="1">
      <c r="J951" s="14"/>
      <c r="K951" s="8"/>
      <c r="L951" s="27"/>
    </row>
    <row r="952" ht="14.25" customHeight="1">
      <c r="J952" s="14"/>
      <c r="K952" s="8"/>
      <c r="L952" s="27"/>
    </row>
    <row r="953" ht="14.25" customHeight="1">
      <c r="J953" s="14"/>
      <c r="K953" s="8"/>
      <c r="L953" s="27"/>
    </row>
    <row r="954" ht="14.25" customHeight="1">
      <c r="J954" s="14"/>
      <c r="K954" s="8"/>
      <c r="L954" s="27"/>
    </row>
    <row r="955" ht="14.25" customHeight="1">
      <c r="J955" s="14"/>
      <c r="K955" s="8"/>
      <c r="L955" s="27"/>
    </row>
    <row r="956" ht="14.25" customHeight="1">
      <c r="J956" s="14"/>
      <c r="K956" s="8"/>
      <c r="L956" s="27"/>
    </row>
    <row r="957" ht="14.25" customHeight="1">
      <c r="J957" s="14"/>
      <c r="K957" s="8"/>
      <c r="L957" s="27"/>
    </row>
    <row r="958" ht="14.25" customHeight="1">
      <c r="J958" s="14"/>
      <c r="K958" s="8"/>
      <c r="L958" s="27"/>
    </row>
    <row r="959" ht="14.25" customHeight="1">
      <c r="J959" s="14"/>
      <c r="K959" s="8"/>
      <c r="L959" s="27"/>
    </row>
    <row r="960" ht="14.25" customHeight="1">
      <c r="J960" s="14"/>
      <c r="K960" s="8"/>
      <c r="L960" s="27"/>
    </row>
    <row r="961" ht="14.25" customHeight="1">
      <c r="J961" s="14"/>
      <c r="K961" s="8"/>
      <c r="L961" s="27"/>
    </row>
    <row r="962" ht="14.25" customHeight="1">
      <c r="J962" s="14"/>
      <c r="K962" s="8"/>
      <c r="L962" s="27"/>
    </row>
    <row r="963" ht="14.25" customHeight="1">
      <c r="J963" s="14"/>
      <c r="K963" s="8"/>
      <c r="L963" s="27"/>
    </row>
    <row r="964" ht="14.25" customHeight="1">
      <c r="J964" s="14"/>
      <c r="K964" s="8"/>
      <c r="L964" s="27"/>
    </row>
    <row r="965" ht="14.25" customHeight="1">
      <c r="J965" s="14"/>
      <c r="K965" s="8"/>
      <c r="L965" s="27"/>
    </row>
    <row r="966" ht="14.25" customHeight="1">
      <c r="J966" s="14"/>
      <c r="K966" s="8"/>
      <c r="L966" s="27"/>
    </row>
    <row r="967" ht="14.25" customHeight="1">
      <c r="J967" s="14"/>
      <c r="K967" s="8"/>
      <c r="L967" s="27"/>
    </row>
    <row r="968" ht="14.25" customHeight="1">
      <c r="J968" s="14"/>
      <c r="K968" s="8"/>
      <c r="L968" s="27"/>
    </row>
    <row r="969" ht="14.25" customHeight="1">
      <c r="J969" s="14"/>
      <c r="K969" s="8"/>
      <c r="L969" s="27"/>
    </row>
    <row r="970" ht="14.25" customHeight="1">
      <c r="J970" s="14"/>
      <c r="K970" s="8"/>
      <c r="L970" s="27"/>
    </row>
    <row r="971" ht="14.25" customHeight="1">
      <c r="J971" s="14"/>
      <c r="K971" s="8"/>
      <c r="L971" s="27"/>
    </row>
    <row r="972" ht="14.25" customHeight="1">
      <c r="J972" s="14"/>
      <c r="K972" s="8"/>
      <c r="L972" s="27"/>
    </row>
    <row r="973" ht="14.25" customHeight="1">
      <c r="J973" s="14"/>
      <c r="K973" s="8"/>
      <c r="L973" s="27"/>
    </row>
    <row r="974" ht="14.25" customHeight="1">
      <c r="J974" s="14"/>
      <c r="K974" s="8"/>
      <c r="L974" s="27"/>
    </row>
    <row r="975" ht="14.25" customHeight="1">
      <c r="J975" s="14"/>
      <c r="K975" s="8"/>
      <c r="L975" s="27"/>
    </row>
    <row r="976" ht="14.25" customHeight="1">
      <c r="J976" s="14"/>
      <c r="K976" s="8"/>
      <c r="L976" s="27"/>
    </row>
    <row r="977" ht="14.25" customHeight="1">
      <c r="J977" s="14"/>
      <c r="K977" s="8"/>
      <c r="L977" s="27"/>
    </row>
    <row r="978" ht="14.25" customHeight="1">
      <c r="J978" s="14"/>
      <c r="K978" s="8"/>
      <c r="L978" s="27"/>
    </row>
    <row r="979" ht="14.25" customHeight="1">
      <c r="J979" s="14"/>
      <c r="K979" s="8"/>
      <c r="L979" s="27"/>
    </row>
    <row r="980" ht="14.25" customHeight="1">
      <c r="J980" s="14"/>
      <c r="K980" s="8"/>
      <c r="L980" s="27"/>
    </row>
    <row r="981" ht="14.25" customHeight="1">
      <c r="J981" s="14"/>
      <c r="K981" s="8"/>
      <c r="L981" s="27"/>
    </row>
    <row r="982" ht="14.25" customHeight="1">
      <c r="J982" s="14"/>
      <c r="K982" s="8"/>
      <c r="L982" s="27"/>
    </row>
    <row r="983" ht="14.25" customHeight="1">
      <c r="J983" s="14"/>
      <c r="K983" s="8"/>
      <c r="L983" s="27"/>
    </row>
    <row r="984" ht="14.25" customHeight="1">
      <c r="J984" s="14"/>
      <c r="K984" s="8"/>
      <c r="L984" s="27"/>
    </row>
    <row r="985" ht="14.25" customHeight="1">
      <c r="J985" s="14"/>
      <c r="K985" s="8"/>
      <c r="L985" s="27"/>
    </row>
    <row r="986" ht="14.25" customHeight="1">
      <c r="J986" s="14"/>
      <c r="K986" s="8"/>
      <c r="L986" s="27"/>
    </row>
    <row r="987" ht="14.25" customHeight="1">
      <c r="J987" s="14"/>
      <c r="K987" s="8"/>
      <c r="L987" s="27"/>
    </row>
    <row r="988" ht="14.25" customHeight="1">
      <c r="J988" s="14"/>
      <c r="K988" s="8"/>
      <c r="L988" s="27"/>
    </row>
    <row r="989" ht="14.25" customHeight="1">
      <c r="J989" s="14"/>
      <c r="K989" s="8"/>
      <c r="L989" s="27"/>
    </row>
    <row r="990" ht="14.25" customHeight="1">
      <c r="J990" s="14"/>
      <c r="K990" s="8"/>
      <c r="L990" s="27"/>
    </row>
    <row r="991" ht="14.25" customHeight="1">
      <c r="J991" s="14"/>
      <c r="K991" s="8"/>
      <c r="L991" s="27"/>
    </row>
    <row r="992" ht="14.25" customHeight="1">
      <c r="J992" s="14"/>
      <c r="K992" s="8"/>
      <c r="L992" s="27"/>
    </row>
    <row r="993" ht="14.25" customHeight="1">
      <c r="J993" s="14"/>
      <c r="K993" s="8"/>
      <c r="L993" s="27"/>
    </row>
    <row r="994" ht="14.25" customHeight="1">
      <c r="J994" s="14"/>
      <c r="K994" s="8"/>
      <c r="L994" s="27"/>
    </row>
    <row r="995" ht="14.25" customHeight="1">
      <c r="J995" s="14"/>
      <c r="K995" s="8"/>
      <c r="L995" s="27"/>
    </row>
    <row r="996" ht="14.25" customHeight="1">
      <c r="J996" s="14"/>
      <c r="K996" s="8"/>
      <c r="L996" s="27"/>
    </row>
    <row r="997" ht="14.25" customHeight="1">
      <c r="J997" s="14"/>
      <c r="K997" s="8"/>
      <c r="L997" s="27"/>
    </row>
    <row r="998" ht="14.25" customHeight="1">
      <c r="J998" s="14"/>
      <c r="K998" s="8"/>
      <c r="L998" s="27"/>
    </row>
    <row r="999" ht="14.25" customHeight="1">
      <c r="J999" s="14"/>
      <c r="K999" s="8"/>
      <c r="L999" s="27"/>
    </row>
    <row r="1000" ht="14.25" customHeight="1">
      <c r="J1000" s="14"/>
      <c r="K1000" s="8"/>
      <c r="L1000" s="2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2026-06-03T15:33:26Z</dcterms:created>
</cp:coreProperties>
</file>