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SUS\Documents\"/>
    </mc:Choice>
  </mc:AlternateContent>
  <xr:revisionPtr revIDLastSave="0" documentId="8_{C1435F2D-5A0A-42A4-B765-C57DCD3C0837}" xr6:coauthVersionLast="47" xr6:coauthVersionMax="47" xr10:uidLastSave="{00000000-0000-0000-0000-000000000000}"/>
  <bookViews>
    <workbookView xWindow="-108" yWindow="-108" windowWidth="23256" windowHeight="12456" activeTab="8" xr2:uid="{FCEFCA60-96C0-46A9-990A-3D46B02565CA}"/>
  </bookViews>
  <sheets>
    <sheet name="Q2" sheetId="2" r:id="rId1"/>
    <sheet name="Q4" sheetId="3" r:id="rId2"/>
    <sheet name="Q6" sheetId="5" r:id="rId3"/>
    <sheet name="Q7" sheetId="6" r:id="rId4"/>
    <sheet name="Q8" sheetId="7" r:id="rId5"/>
    <sheet name="Q9" sheetId="8" r:id="rId6"/>
    <sheet name="Q10" sheetId="9" r:id="rId7"/>
    <sheet name="Q11" sheetId="10" r:id="rId8"/>
    <sheet name="Q12" sheetId="11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E9" i="11" l="1"/>
  <c r="E8" i="11"/>
  <c r="E2" i="11"/>
  <c r="E3" i="11"/>
  <c r="E4" i="11"/>
  <c r="E5" i="11"/>
  <c r="E6" i="11"/>
  <c r="E7" i="11"/>
  <c r="I3" i="10"/>
  <c r="I4" i="10"/>
  <c r="I5" i="10"/>
  <c r="I6" i="10"/>
  <c r="I7" i="10"/>
  <c r="I8" i="10"/>
  <c r="I9" i="10"/>
  <c r="I10" i="10"/>
  <c r="I11" i="10"/>
  <c r="I2" i="10"/>
  <c r="H3" i="10"/>
  <c r="H4" i="10"/>
  <c r="H5" i="10"/>
  <c r="H6" i="10"/>
  <c r="H7" i="10"/>
  <c r="H8" i="10"/>
  <c r="H9" i="10"/>
  <c r="H10" i="10"/>
  <c r="H11" i="10"/>
  <c r="H2" i="10"/>
  <c r="G2" i="10"/>
  <c r="G4" i="10"/>
  <c r="G5" i="10"/>
  <c r="G6" i="10"/>
  <c r="G7" i="10"/>
  <c r="G8" i="10"/>
  <c r="G9" i="10"/>
  <c r="G10" i="10"/>
  <c r="G11" i="10"/>
  <c r="G3" i="10"/>
  <c r="G2" i="8"/>
  <c r="G3" i="8"/>
  <c r="G4" i="8"/>
  <c r="G5" i="8"/>
  <c r="G6" i="8"/>
  <c r="G7" i="8"/>
  <c r="G8" i="8"/>
  <c r="G9" i="8"/>
  <c r="G10" i="8"/>
  <c r="G11" i="8"/>
  <c r="F2" i="8"/>
  <c r="F3" i="8"/>
  <c r="F4" i="8"/>
  <c r="F5" i="8"/>
  <c r="F6" i="8"/>
  <c r="F7" i="8"/>
  <c r="F8" i="8"/>
  <c r="F9" i="8"/>
  <c r="F10" i="8"/>
  <c r="F11" i="8"/>
  <c r="G3" i="6"/>
  <c r="G4" i="6"/>
  <c r="G5" i="6"/>
  <c r="G6" i="6"/>
  <c r="G7" i="6"/>
  <c r="G8" i="6"/>
  <c r="G9" i="6"/>
  <c r="G10" i="6"/>
  <c r="G11" i="6"/>
  <c r="G2" i="6"/>
  <c r="F3" i="6"/>
  <c r="F4" i="6"/>
  <c r="F5" i="6"/>
  <c r="F6" i="6"/>
  <c r="F7" i="6"/>
  <c r="F8" i="6"/>
  <c r="F9" i="6"/>
  <c r="F10" i="6"/>
  <c r="F11" i="6"/>
  <c r="F2" i="6"/>
  <c r="N3" i="3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2" i="3"/>
  <c r="M3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L2" i="3" a="1"/>
  <c r="L2" i="3" s="1"/>
  <c r="L3" i="3" a="1"/>
  <c r="L3" i="3" s="1"/>
  <c r="L4" i="3" a="1"/>
  <c r="L4" i="3" s="1"/>
  <c r="L5" i="3" a="1"/>
  <c r="L5" i="3" s="1"/>
  <c r="L6" i="3" a="1"/>
  <c r="L6" i="3" s="1"/>
  <c r="L7" i="3" a="1"/>
  <c r="L7" i="3" s="1"/>
  <c r="L8" i="3" a="1"/>
  <c r="L8" i="3" s="1"/>
  <c r="L9" i="3" a="1"/>
  <c r="L9" i="3" s="1"/>
  <c r="L10" i="3" a="1"/>
  <c r="L10" i="3" s="1"/>
  <c r="L11" i="3" a="1"/>
  <c r="L11" i="3" s="1"/>
  <c r="L12" i="3" a="1"/>
  <c r="L12" i="3" s="1"/>
  <c r="L13" i="3" a="1"/>
  <c r="L13" i="3"/>
  <c r="L14" i="3" a="1"/>
  <c r="L14" i="3" s="1"/>
  <c r="L15" i="3" a="1"/>
  <c r="L15" i="3"/>
  <c r="L16" i="3" a="1"/>
  <c r="L16" i="3" s="1"/>
  <c r="K3" i="3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2" i="3"/>
  <c r="J7" i="3"/>
  <c r="J3" i="3"/>
  <c r="J4" i="3"/>
  <c r="J5" i="3"/>
  <c r="J6" i="3"/>
  <c r="J8" i="3"/>
  <c r="J9" i="3"/>
  <c r="J10" i="3"/>
  <c r="J11" i="3"/>
  <c r="J12" i="3"/>
  <c r="J13" i="3"/>
  <c r="J14" i="3"/>
  <c r="J15" i="3"/>
  <c r="J16" i="3"/>
  <c r="J2" i="3"/>
  <c r="I11" i="3"/>
  <c r="I12" i="3"/>
  <c r="I13" i="3"/>
  <c r="I14" i="3"/>
  <c r="I15" i="3"/>
  <c r="I16" i="3"/>
  <c r="I3" i="3"/>
  <c r="I4" i="3"/>
  <c r="I5" i="3"/>
  <c r="I6" i="3"/>
  <c r="I7" i="3"/>
  <c r="I8" i="3"/>
  <c r="I9" i="3"/>
  <c r="I10" i="3"/>
  <c r="I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<sst xmlns="http://schemas.openxmlformats.org/spreadsheetml/2006/main" count="292" uniqueCount="109">
  <si>
    <t>Customer Name</t>
  </si>
  <si>
    <t>Product Name</t>
  </si>
  <si>
    <t>Category</t>
  </si>
  <si>
    <t>Quantity</t>
  </si>
  <si>
    <t>Unit Price ($)</t>
  </si>
  <si>
    <t>Jane Smith</t>
  </si>
  <si>
    <t>Shoes</t>
  </si>
  <si>
    <t>Electronics</t>
  </si>
  <si>
    <t>Isabella Moore</t>
  </si>
  <si>
    <t>Laptop</t>
  </si>
  <si>
    <t>Daniel Davis</t>
  </si>
  <si>
    <t>Sofa</t>
  </si>
  <si>
    <t>Clothing</t>
  </si>
  <si>
    <t>Alex Moore</t>
  </si>
  <si>
    <t>Michael Johnson</t>
  </si>
  <si>
    <t>Table Lamp</t>
  </si>
  <si>
    <t>Home Decor</t>
  </si>
  <si>
    <t>Daniel Johnson</t>
  </si>
  <si>
    <t>Backpack</t>
  </si>
  <si>
    <t>Isabella Davis</t>
  </si>
  <si>
    <t>Headphones</t>
  </si>
  <si>
    <t>Jane Davis</t>
  </si>
  <si>
    <t>Alex Wilson</t>
  </si>
  <si>
    <t>T-shirt</t>
  </si>
  <si>
    <t>Unit Price</t>
  </si>
  <si>
    <t>Order Date</t>
  </si>
  <si>
    <t>Rahul Sharma</t>
  </si>
  <si>
    <t>electronics</t>
  </si>
  <si>
    <t>rahul sharma</t>
  </si>
  <si>
    <t>ELECTRONICS</t>
  </si>
  <si>
    <t>Priya Mehta</t>
  </si>
  <si>
    <t>Mobile</t>
  </si>
  <si>
    <t>Amit Singh</t>
  </si>
  <si>
    <t>furniture</t>
  </si>
  <si>
    <t>Sofa Set</t>
  </si>
  <si>
    <t>Furniture</t>
  </si>
  <si>
    <t>Neha Verma</t>
  </si>
  <si>
    <t>Table</t>
  </si>
  <si>
    <t>three</t>
  </si>
  <si>
    <t>Rohit Kumar</t>
  </si>
  <si>
    <t>Chair</t>
  </si>
  <si>
    <t>Sneha Patil</t>
  </si>
  <si>
    <t>TV</t>
  </si>
  <si>
    <t>Arjun Das</t>
  </si>
  <si>
    <t>30-02-2024</t>
  </si>
  <si>
    <t>29-02-2023</t>
  </si>
  <si>
    <t>Emily Clark</t>
  </si>
  <si>
    <t>Watch</t>
  </si>
  <si>
    <t>NULL</t>
  </si>
  <si>
    <t>Ryan Lee</t>
  </si>
  <si>
    <t>Phone</t>
  </si>
  <si>
    <t>Sophia Brown</t>
  </si>
  <si>
    <t>New_Name</t>
  </si>
  <si>
    <t>Product_Name</t>
  </si>
  <si>
    <t>Unit_price</t>
  </si>
  <si>
    <t>Order_date</t>
  </si>
  <si>
    <t>Sales Amount</t>
  </si>
  <si>
    <t>Target</t>
  </si>
  <si>
    <t>Profit</t>
  </si>
  <si>
    <t>Accessories</t>
  </si>
  <si>
    <t>Travel</t>
  </si>
  <si>
    <t>Fashion</t>
  </si>
  <si>
    <t>Product</t>
  </si>
  <si>
    <t>Total Amount</t>
  </si>
  <si>
    <t>Correct Total Amount</t>
  </si>
  <si>
    <t>Comparison</t>
  </si>
  <si>
    <t xml:space="preserve">Rahul Sharma </t>
  </si>
  <si>
    <t xml:space="preserve"> Delhi</t>
  </si>
  <si>
    <t xml:space="preserve">Priya Mehta </t>
  </si>
  <si>
    <t xml:space="preserve"> Mumbai</t>
  </si>
  <si>
    <t xml:space="preserve">Amit Singh </t>
  </si>
  <si>
    <t xml:space="preserve"> Pune</t>
  </si>
  <si>
    <t xml:space="preserve">Neha Verma </t>
  </si>
  <si>
    <t xml:space="preserve"> Bangalore</t>
  </si>
  <si>
    <t xml:space="preserve">Rohit Kumar </t>
  </si>
  <si>
    <t xml:space="preserve">Sneha Patil </t>
  </si>
  <si>
    <t xml:space="preserve">Arjun Das </t>
  </si>
  <si>
    <t xml:space="preserve"> Kolkata</t>
  </si>
  <si>
    <t xml:space="preserve">Emily Clark </t>
  </si>
  <si>
    <t xml:space="preserve"> Chennai</t>
  </si>
  <si>
    <t xml:space="preserve">Ryan Lee </t>
  </si>
  <si>
    <t xml:space="preserve"> Hyderabad</t>
  </si>
  <si>
    <t xml:space="preserve">Sophia Brown </t>
  </si>
  <si>
    <t>City</t>
  </si>
  <si>
    <t>Name</t>
  </si>
  <si>
    <t xml:space="preserve">Laptop </t>
  </si>
  <si>
    <t xml:space="preserve"> Electronics</t>
  </si>
  <si>
    <t xml:space="preserve">Mobile </t>
  </si>
  <si>
    <t xml:space="preserve">Sofa </t>
  </si>
  <si>
    <t xml:space="preserve"> Furniture</t>
  </si>
  <si>
    <t xml:space="preserve">Table </t>
  </si>
  <si>
    <t xml:space="preserve">Chair </t>
  </si>
  <si>
    <t xml:space="preserve">TV </t>
  </si>
  <si>
    <t xml:space="preserve">Watch </t>
  </si>
  <si>
    <t xml:space="preserve"> Accessories</t>
  </si>
  <si>
    <t xml:space="preserve">Phone </t>
  </si>
  <si>
    <t xml:space="preserve">Product </t>
  </si>
  <si>
    <t>Unit price</t>
  </si>
  <si>
    <t>Discount (%)</t>
  </si>
  <si>
    <t>Missing</t>
  </si>
  <si>
    <t>New_unit_price</t>
  </si>
  <si>
    <t>New_Discount</t>
  </si>
  <si>
    <t>Delhi</t>
  </si>
  <si>
    <t>Mumbai</t>
  </si>
  <si>
    <t>Pune</t>
  </si>
  <si>
    <t>Total Sales</t>
  </si>
  <si>
    <t>Test User</t>
  </si>
  <si>
    <t>Test User2</t>
  </si>
  <si>
    <t>Mouse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</si>
</sst>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2"/>
      <color rgb="FF000000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Calibri"/>
      <family val="2"/>
    </font>
    <font>
      <sz val="10"/>
      <color theme="1"/>
      <name val="Calibri"/>
      <family val="2"/>
    </font>
    <font>
      <sz val="11"/>
      <color theme="1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6B26B"/>
        <bgColor indexed="64"/>
      </patternFill>
    </fill>
    <fill>
      <patternFill patternType="solid">
        <fgColor rgb="FFFFF2CC"/>
        <bgColor indexed="64"/>
      </patternFill>
    </fill>
  </fills>
  <borders count="2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rgb="FFCCCCCC"/>
      </left>
      <right style="medium">
        <color rgb="FFCCCCCC"/>
      </right>
      <top/>
      <bottom/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/>
      <top/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45">
    <xf numFmtId="0" fontId="0" fillId="0" borderId="0" xfId="0"/>
    <xf numFmtId="0" fontId="2" fillId="2" borderId="1" xfId="0" applyFont="1" applyFill="1" applyBorder="1" applyAlignment="1">
      <alignment vertical="center" wrapText="1"/>
    </xf>
    <xf numFmtId="0" fontId="2" fillId="3" borderId="1" xfId="0" applyFont="1" applyFill="1" applyBorder="1" applyAlignment="1">
      <alignment vertical="center" wrapText="1"/>
    </xf>
    <xf numFmtId="0" fontId="0" fillId="3" borderId="1" xfId="0" applyFill="1" applyBorder="1" applyAlignment="1">
      <alignment wrapText="1"/>
    </xf>
    <xf numFmtId="0" fontId="3" fillId="0" borderId="2" xfId="0" applyFont="1" applyBorder="1" applyAlignment="1">
      <alignment horizontal="center" wrapText="1"/>
    </xf>
    <xf numFmtId="0" fontId="4" fillId="0" borderId="2" xfId="0" applyFont="1" applyBorder="1" applyAlignment="1">
      <alignment wrapText="1"/>
    </xf>
    <xf numFmtId="0" fontId="4" fillId="0" borderId="2" xfId="0" applyFont="1" applyBorder="1" applyAlignment="1">
      <alignment horizontal="right" wrapText="1"/>
    </xf>
    <xf numFmtId="14" fontId="0" fillId="0" borderId="0" xfId="0" applyNumberFormat="1"/>
    <xf numFmtId="14" fontId="4" fillId="0" borderId="2" xfId="0" applyNumberFormat="1" applyFont="1" applyBorder="1" applyAlignment="1">
      <alignment horizontal="right" wrapText="1"/>
    </xf>
    <xf numFmtId="14" fontId="4" fillId="0" borderId="2" xfId="0" applyNumberFormat="1" applyFont="1" applyBorder="1" applyAlignment="1">
      <alignment wrapText="1"/>
    </xf>
    <xf numFmtId="0" fontId="1" fillId="0" borderId="0" xfId="0" applyFont="1"/>
    <xf numFmtId="1" fontId="0" fillId="0" borderId="0" xfId="0" applyNumberFormat="1"/>
    <xf numFmtId="14" fontId="3" fillId="0" borderId="2" xfId="0" applyNumberFormat="1" applyFont="1" applyBorder="1" applyAlignment="1">
      <alignment horizontal="center" wrapText="1"/>
    </xf>
    <xf numFmtId="0" fontId="3" fillId="0" borderId="4" xfId="0" applyFont="1" applyBorder="1" applyAlignment="1">
      <alignment horizontal="center" wrapText="1"/>
    </xf>
    <xf numFmtId="0" fontId="3" fillId="0" borderId="5" xfId="0" applyFont="1" applyBorder="1" applyAlignment="1">
      <alignment horizontal="center" wrapText="1"/>
    </xf>
    <xf numFmtId="1" fontId="3" fillId="0" borderId="5" xfId="0" applyNumberFormat="1" applyFont="1" applyBorder="1" applyAlignment="1">
      <alignment horizontal="center" wrapText="1"/>
    </xf>
    <xf numFmtId="0" fontId="3" fillId="0" borderId="6" xfId="0" applyFont="1" applyBorder="1" applyAlignment="1">
      <alignment horizontal="center" wrapText="1"/>
    </xf>
    <xf numFmtId="0" fontId="0" fillId="0" borderId="7" xfId="0" applyBorder="1"/>
    <xf numFmtId="0" fontId="0" fillId="0" borderId="3" xfId="0" applyBorder="1"/>
    <xf numFmtId="1" fontId="4" fillId="0" borderId="3" xfId="0" applyNumberFormat="1" applyFont="1" applyBorder="1" applyAlignment="1">
      <alignment horizontal="right" wrapText="1"/>
    </xf>
    <xf numFmtId="14" fontId="0" fillId="0" borderId="8" xfId="0" applyNumberFormat="1" applyBorder="1"/>
    <xf numFmtId="0" fontId="0" fillId="0" borderId="9" xfId="0" applyBorder="1"/>
    <xf numFmtId="0" fontId="0" fillId="0" borderId="10" xfId="0" applyBorder="1"/>
    <xf numFmtId="1" fontId="4" fillId="0" borderId="10" xfId="0" applyNumberFormat="1" applyFont="1" applyBorder="1" applyAlignment="1">
      <alignment horizontal="right" wrapText="1"/>
    </xf>
    <xf numFmtId="14" fontId="0" fillId="0" borderId="11" xfId="0" applyNumberFormat="1" applyBorder="1"/>
    <xf numFmtId="0" fontId="3" fillId="0" borderId="12" xfId="0" applyFont="1" applyBorder="1" applyAlignment="1">
      <alignment horizontal="center" wrapText="1"/>
    </xf>
    <xf numFmtId="0" fontId="4" fillId="0" borderId="13" xfId="0" applyFont="1" applyBorder="1" applyAlignment="1">
      <alignment wrapText="1"/>
    </xf>
    <xf numFmtId="0" fontId="4" fillId="0" borderId="14" xfId="0" applyFont="1" applyBorder="1" applyAlignment="1">
      <alignment horizontal="right" wrapText="1"/>
    </xf>
    <xf numFmtId="0" fontId="4" fillId="0" borderId="14" xfId="0" applyFont="1" applyBorder="1" applyAlignment="1">
      <alignment wrapText="1"/>
    </xf>
    <xf numFmtId="0" fontId="3" fillId="0" borderId="15" xfId="0" applyFont="1" applyBorder="1" applyAlignment="1">
      <alignment horizontal="center" wrapText="1"/>
    </xf>
    <xf numFmtId="0" fontId="3" fillId="0" borderId="16" xfId="0" applyFont="1" applyBorder="1" applyAlignment="1">
      <alignment horizontal="center" wrapText="1"/>
    </xf>
    <xf numFmtId="0" fontId="3" fillId="0" borderId="17" xfId="0" applyFont="1" applyBorder="1" applyAlignment="1">
      <alignment horizontal="center" wrapText="1"/>
    </xf>
    <xf numFmtId="0" fontId="4" fillId="0" borderId="18" xfId="0" applyFont="1" applyBorder="1" applyAlignment="1">
      <alignment wrapText="1"/>
    </xf>
    <xf numFmtId="0" fontId="4" fillId="0" borderId="19" xfId="0" applyFont="1" applyBorder="1" applyAlignment="1">
      <alignment wrapText="1"/>
    </xf>
    <xf numFmtId="0" fontId="4" fillId="0" borderId="19" xfId="0" applyFont="1" applyBorder="1" applyAlignment="1">
      <alignment horizontal="right" wrapText="1"/>
    </xf>
    <xf numFmtId="0" fontId="4" fillId="0" borderId="20" xfId="0" applyFont="1" applyBorder="1" applyAlignment="1">
      <alignment wrapText="1"/>
    </xf>
    <xf numFmtId="0" fontId="4" fillId="0" borderId="2" xfId="0" applyFont="1" applyBorder="1" applyAlignment="1">
      <alignment horizontal="center" wrapText="1"/>
    </xf>
    <xf numFmtId="0" fontId="5" fillId="0" borderId="21" xfId="0" applyFont="1" applyBorder="1" applyAlignment="1">
      <alignment horizontal="center" vertical="center" wrapText="1"/>
    </xf>
    <xf numFmtId="0" fontId="5" fillId="0" borderId="21" xfId="0" applyFont="1" applyFill="1" applyBorder="1" applyAlignment="1">
      <alignment horizontal="center" vertical="center" wrapText="1"/>
    </xf>
    <xf numFmtId="0" fontId="6" fillId="0" borderId="21" xfId="0" applyFont="1" applyBorder="1" applyAlignment="1">
      <alignment horizontal="center" vertical="center" wrapText="1"/>
    </xf>
    <xf numFmtId="0" fontId="7" fillId="0" borderId="21" xfId="0" applyFont="1" applyBorder="1" applyAlignment="1">
      <alignment horizontal="center"/>
    </xf>
    <xf numFmtId="0" fontId="6" fillId="0" borderId="22" xfId="0" applyFont="1" applyBorder="1" applyAlignment="1">
      <alignment horizontal="center" vertical="center" wrapText="1"/>
    </xf>
    <xf numFmtId="0" fontId="7" fillId="0" borderId="22" xfId="0" applyFont="1" applyBorder="1" applyAlignment="1">
      <alignment horizontal="center"/>
    </xf>
    <xf numFmtId="0" fontId="6" fillId="0" borderId="3" xfId="0" applyFont="1" applyFill="1" applyBorder="1" applyAlignment="1">
      <alignment horizontal="center" vertical="center" wrapText="1"/>
    </xf>
    <xf numFmtId="0" fontId="7" fillId="0" borderId="3" xfId="0" applyFont="1" applyFill="1" applyBorder="1" applyAlignment="1">
      <alignment horizontal="center"/>
    </xf>
  </cellXfs>
  <cellStyles count="1">
    <cellStyle name="Normal" xfId="0" builtinId="0"/>
  </cellStyles>
  <dxfs count="31"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 patternType="solid">
          <fgColor theme="0"/>
          <bgColor rgb="FFFF3737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right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right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right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/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border outline="0">
        <top style="medium">
          <color rgb="FFCCCCCC"/>
        </top>
      </border>
    </dxf>
    <dxf>
      <border outline="0">
        <bottom style="medium">
          <color rgb="FFCCCCCC"/>
        </bottom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numFmt numFmtId="19" formatCode="dd/mm/yyyy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" formatCode="0"/>
      <alignment horizontal="righ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colors>
    <mruColors>
      <color rgb="FFFF5050"/>
      <color rgb="FFFF373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063B2ED-A7CD-4CDC-8726-6E900ECD796D}" name="Table1" displayName="Table1" ref="I1:N16" totalsRowShown="0" headerRowDxfId="30" headerRowBorderDxfId="29" tableBorderDxfId="28" totalsRowBorderDxfId="27">
  <autoFilter ref="I1:N16" xr:uid="{B063B2ED-A7CD-4CDC-8726-6E900ECD796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88F89BBA-BC7E-43CA-A005-CDCB7C805BE4}" name="New_Name" dataDxfId="26">
      <calculatedColumnFormula>TRIM(PROPER(A2))</calculatedColumnFormula>
    </tableColumn>
    <tableColumn id="2" xr3:uid="{C514357C-1026-4231-BAEF-9F1B61C5FF49}" name="Product_Name" dataDxfId="25">
      <calculatedColumnFormula>TRIM(PROPER(B2))</calculatedColumnFormula>
    </tableColumn>
    <tableColumn id="3" xr3:uid="{9CAD3E5D-D7BA-4997-94BB-1C8B7D916394}" name="Category" dataDxfId="24">
      <calculatedColumnFormula>TRIM(PROPER(C2))</calculatedColumnFormula>
    </tableColumn>
    <tableColumn id="4" xr3:uid="{E91FE2BD-A9B7-4888-B13B-05F110DA7E4E}" name="Quantity" dataDxfId="23">
      <calculatedColumnFormula array="1">ABS(IFERROR(VALUE(D2),
_xlfn.SWITCH(LOWER(TRIM(D2)),
"one",1,
"two",2,
"three",3,
"four",4,
"five",5,
"six",6,
"seven",7,
"eight",8,
"nine",9,
"ten",10)))</calculatedColumnFormula>
    </tableColumn>
    <tableColumn id="5" xr3:uid="{ACCED8C2-CD47-416C-9A33-1DB1BBCB0F92}" name="Unit_price" dataDxfId="22">
      <calculatedColumnFormula>_xlfn.NUMBERVALUE(E2)</calculatedColumnFormula>
    </tableColumn>
    <tableColumn id="6" xr3:uid="{50771FE2-91FA-4D9A-B426-B86CC3A1007E}" name="Order_date" dataDxfId="21">
      <calculatedColumnFormula>IF(F2 = "NULL", "Unknown_date", F2)</calculatedColumnFormula>
    </tableColumn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EDE49AA-0117-4709-B2C2-44F4FEC5A7A0}" name="Table2" displayName="Table2" ref="A1:G11" totalsRowShown="0" headerRowDxfId="12" headerRowBorderDxfId="19" tableBorderDxfId="20" totalsRowBorderDxfId="18">
  <autoFilter ref="A1:G11" xr:uid="{DEDE49AA-0117-4709-B2C2-44F4FEC5A7A0}"/>
  <tableColumns count="7">
    <tableColumn id="1" xr3:uid="{14F99B9A-861C-4AAC-823A-E56601B9EA7F}" name="Customer Name" dataDxfId="17"/>
    <tableColumn id="2" xr3:uid="{05039917-72E8-41A9-96E7-16F554713023}" name="Product" dataDxfId="16"/>
    <tableColumn id="3" xr3:uid="{BF82F7BD-60E2-47C4-AB70-F514A79D5FCA}" name="Quantity" dataDxfId="15"/>
    <tableColumn id="4" xr3:uid="{D00D654F-7417-414A-944C-A0CCC3E916B1}" name="Unit Price" dataDxfId="14"/>
    <tableColumn id="5" xr3:uid="{6CC156E7-6D4D-4FBC-972B-867794B9895D}" name="Discount (%)" dataDxfId="13"/>
    <tableColumn id="6" xr3:uid="{B9895804-ECDC-421D-BFCD-6E6B6F887D51}" name="New_unit_price" dataDxfId="11">
      <calculatedColumnFormula>IF(ISNUMBER(D2),D2,"Invalid")</calculatedColumnFormula>
    </tableColumn>
    <tableColumn id="7" xr3:uid="{B4C6B1E1-262A-4616-9E01-F7B534952D03}" name="New_Discount" dataDxfId="10">
      <calculatedColumnFormula>IF(E2="",0,E2)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D8CECA-5B88-4B27-A366-01B4727E19A1}">
  <sheetPr codeName="Sheet1"/>
  <dimension ref="A1:E10"/>
  <sheetViews>
    <sheetView workbookViewId="0">
      <selection activeCell="B17" sqref="B17"/>
    </sheetView>
  </sheetViews>
  <sheetFormatPr defaultRowHeight="14.4" x14ac:dyDescent="0.3"/>
  <cols>
    <col min="1" max="1" width="18.77734375" customWidth="1"/>
    <col min="2" max="2" width="13.77734375" customWidth="1"/>
    <col min="3" max="3" width="15.6640625" customWidth="1"/>
    <col min="4" max="4" width="18.21875" customWidth="1"/>
    <col min="5" max="5" width="30.33203125" customWidth="1"/>
  </cols>
  <sheetData>
    <row r="1" spans="1:5" ht="45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ht="15" x14ac:dyDescent="0.3">
      <c r="A2" s="2" t="s">
        <v>5</v>
      </c>
      <c r="B2" s="2" t="s">
        <v>6</v>
      </c>
      <c r="C2" s="2" t="s">
        <v>7</v>
      </c>
      <c r="D2" s="3">
        <v>10</v>
      </c>
      <c r="E2" s="2">
        <v>81</v>
      </c>
    </row>
    <row r="3" spans="1:5" ht="15" x14ac:dyDescent="0.3">
      <c r="A3" s="2" t="s">
        <v>8</v>
      </c>
      <c r="B3" s="2" t="s">
        <v>9</v>
      </c>
      <c r="C3" s="2" t="s">
        <v>7</v>
      </c>
      <c r="D3" s="3">
        <v>5</v>
      </c>
      <c r="E3" s="2">
        <v>121</v>
      </c>
    </row>
    <row r="4" spans="1:5" ht="15" x14ac:dyDescent="0.3">
      <c r="A4" s="2" t="s">
        <v>10</v>
      </c>
      <c r="B4" s="2" t="s">
        <v>11</v>
      </c>
      <c r="C4" s="2" t="s">
        <v>12</v>
      </c>
      <c r="D4" s="3">
        <v>2</v>
      </c>
      <c r="E4" s="2">
        <v>239</v>
      </c>
    </row>
    <row r="5" spans="1:5" ht="15" x14ac:dyDescent="0.3">
      <c r="A5" s="2" t="s">
        <v>13</v>
      </c>
      <c r="B5" s="2" t="s">
        <v>6</v>
      </c>
      <c r="C5" s="2" t="s">
        <v>7</v>
      </c>
      <c r="D5" s="3">
        <v>3</v>
      </c>
      <c r="E5" s="2">
        <v>500</v>
      </c>
    </row>
    <row r="6" spans="1:5" ht="15" x14ac:dyDescent="0.3">
      <c r="A6" s="2" t="s">
        <v>14</v>
      </c>
      <c r="B6" s="2" t="s">
        <v>15</v>
      </c>
      <c r="C6" s="2" t="s">
        <v>16</v>
      </c>
      <c r="D6" s="3">
        <v>1</v>
      </c>
      <c r="E6" s="2">
        <v>423</v>
      </c>
    </row>
    <row r="7" spans="1:5" ht="15" x14ac:dyDescent="0.3">
      <c r="A7" s="2" t="s">
        <v>17</v>
      </c>
      <c r="B7" s="2" t="s">
        <v>18</v>
      </c>
      <c r="C7" s="2" t="s">
        <v>7</v>
      </c>
      <c r="D7" s="3">
        <v>5</v>
      </c>
      <c r="E7" s="2">
        <v>160</v>
      </c>
    </row>
    <row r="8" spans="1:5" ht="15" x14ac:dyDescent="0.3">
      <c r="A8" s="2" t="s">
        <v>19</v>
      </c>
      <c r="B8" s="2" t="s">
        <v>20</v>
      </c>
      <c r="C8" s="2" t="s">
        <v>7</v>
      </c>
      <c r="D8" s="3">
        <v>6</v>
      </c>
      <c r="E8" s="2">
        <v>348</v>
      </c>
    </row>
    <row r="9" spans="1:5" ht="15" x14ac:dyDescent="0.3">
      <c r="A9" s="2" t="s">
        <v>21</v>
      </c>
      <c r="B9" s="2" t="s">
        <v>20</v>
      </c>
      <c r="C9" s="2" t="s">
        <v>7</v>
      </c>
      <c r="D9" s="3">
        <v>9</v>
      </c>
      <c r="E9" s="2">
        <v>152</v>
      </c>
    </row>
    <row r="10" spans="1:5" ht="15" x14ac:dyDescent="0.3">
      <c r="A10" s="2" t="s">
        <v>22</v>
      </c>
      <c r="B10" s="2" t="s">
        <v>23</v>
      </c>
      <c r="C10" s="2" t="s">
        <v>16</v>
      </c>
      <c r="D10" s="3">
        <v>8</v>
      </c>
      <c r="E10" s="2">
        <v>369</v>
      </c>
    </row>
  </sheetData>
  <dataValidations count="1">
    <dataValidation type="whole" allowBlank="1" showInputMessage="1" showErrorMessage="1" errorTitle="Invalid input!" error="The quantity must be a whole number between 1 and 10 " promptTitle="Quantity Input" prompt="Please enter a whole number between 1 and 10" sqref="D2:D10" xr:uid="{B856356E-7D51-498B-82AA-DEE6FDEB3599}">
      <formula1>1</formula1>
      <formula2>10</formula2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9BF2AC-55FA-49A4-80F8-F7C4F50BDF8F}">
  <sheetPr codeName="Sheet2"/>
  <dimension ref="A1:N19"/>
  <sheetViews>
    <sheetView workbookViewId="0">
      <selection activeCell="M23" sqref="M23"/>
    </sheetView>
  </sheetViews>
  <sheetFormatPr defaultRowHeight="14.4" x14ac:dyDescent="0.3"/>
  <cols>
    <col min="1" max="1" width="15.21875" customWidth="1"/>
    <col min="2" max="2" width="15" customWidth="1"/>
    <col min="3" max="3" width="11.88671875" customWidth="1"/>
    <col min="4" max="4" width="11.6640625" customWidth="1"/>
    <col min="5" max="5" width="12.44140625" customWidth="1"/>
    <col min="6" max="6" width="13.77734375" style="7" customWidth="1"/>
    <col min="7" max="8" width="13.88671875" customWidth="1"/>
    <col min="9" max="9" width="19.21875" customWidth="1"/>
    <col min="10" max="10" width="15.77734375" customWidth="1"/>
    <col min="11" max="11" width="12.6640625" customWidth="1"/>
    <col min="12" max="12" width="11.6640625" style="11" customWidth="1"/>
    <col min="13" max="13" width="11.77734375" customWidth="1"/>
    <col min="14" max="14" width="13.77734375" customWidth="1"/>
  </cols>
  <sheetData>
    <row r="1" spans="1:14" ht="15" thickBot="1" x14ac:dyDescent="0.35">
      <c r="A1" s="4" t="s">
        <v>0</v>
      </c>
      <c r="B1" s="4" t="s">
        <v>1</v>
      </c>
      <c r="C1" s="4" t="s">
        <v>2</v>
      </c>
      <c r="D1" s="4" t="s">
        <v>3</v>
      </c>
      <c r="E1" s="4" t="s">
        <v>24</v>
      </c>
      <c r="F1" s="12" t="s">
        <v>25</v>
      </c>
      <c r="G1" s="10"/>
      <c r="H1" s="10"/>
      <c r="I1" s="13" t="s">
        <v>52</v>
      </c>
      <c r="J1" s="14" t="s">
        <v>53</v>
      </c>
      <c r="K1" s="14" t="s">
        <v>2</v>
      </c>
      <c r="L1" s="15" t="s">
        <v>3</v>
      </c>
      <c r="M1" s="14" t="s">
        <v>54</v>
      </c>
      <c r="N1" s="16" t="s">
        <v>55</v>
      </c>
    </row>
    <row r="2" spans="1:14" ht="15" thickBot="1" x14ac:dyDescent="0.35">
      <c r="A2" s="5" t="s">
        <v>26</v>
      </c>
      <c r="B2" s="5" t="s">
        <v>9</v>
      </c>
      <c r="C2" s="5" t="s">
        <v>27</v>
      </c>
      <c r="D2" s="6">
        <v>2</v>
      </c>
      <c r="E2" s="6">
        <v>55000</v>
      </c>
      <c r="F2" s="8">
        <v>45303</v>
      </c>
      <c r="I2" s="17" t="str">
        <f t="shared" ref="I2:I16" si="0">TRIM(PROPER(A2))</f>
        <v>Rahul Sharma</v>
      </c>
      <c r="J2" s="18" t="str">
        <f t="shared" ref="J2:J16" si="1">TRIM(PROPER(B2))</f>
        <v>Laptop</v>
      </c>
      <c r="K2" s="18" t="str">
        <f t="shared" ref="K2:K16" si="2">TRIM(PROPER(C2))</f>
        <v>Electronics</v>
      </c>
      <c r="L2" s="19" cm="1">
        <f t="array" ref="L2">ABS(IFERROR(VALUE(D2),
_xlfn.SWITCH(LOWER(TRIM(D2)),
"one",1,
"two",2,
"three",3,
"four",4,
"five",5,
"six",6,
"seven",7,
"eight",8,
"nine",9,
"ten",10)))</f>
        <v>2</v>
      </c>
      <c r="M2" s="18"/>
      <c r="N2" s="20">
        <f t="shared" ref="N2:N16" si="3">IF(F2 = "NULL", "Unknown_date", F2)</f>
        <v>45303</v>
      </c>
    </row>
    <row r="3" spans="1:14" ht="15" thickBot="1" x14ac:dyDescent="0.35">
      <c r="A3" s="5" t="s">
        <v>26</v>
      </c>
      <c r="B3" s="5" t="s">
        <v>9</v>
      </c>
      <c r="C3" s="5" t="s">
        <v>7</v>
      </c>
      <c r="D3" s="6">
        <v>2</v>
      </c>
      <c r="E3" s="6">
        <v>55000</v>
      </c>
      <c r="F3" s="8">
        <v>45303</v>
      </c>
      <c r="I3" s="17" t="str">
        <f t="shared" si="0"/>
        <v>Rahul Sharma</v>
      </c>
      <c r="J3" s="18" t="str">
        <f t="shared" si="1"/>
        <v>Laptop</v>
      </c>
      <c r="K3" s="18" t="str">
        <f t="shared" si="2"/>
        <v>Electronics</v>
      </c>
      <c r="L3" s="19" cm="1">
        <f t="array" ref="L3">ABS(IFERROR(VALUE(D3),
_xlfn.SWITCH(LOWER(TRIM(D3)),
"one",1,
"two",2,
"three",3,
"four",4,
"five",5,
"six",6,
"seven",7,
"eight",8,
"nine",9,
"ten",10)))</f>
        <v>2</v>
      </c>
      <c r="M3" s="18">
        <f t="shared" ref="M3:M16" si="4">_xlfn.NUMBERVALUE(E3)</f>
        <v>55000</v>
      </c>
      <c r="N3" s="20">
        <f t="shared" si="3"/>
        <v>45303</v>
      </c>
    </row>
    <row r="4" spans="1:14" ht="27.6" thickBot="1" x14ac:dyDescent="0.35">
      <c r="A4" s="5" t="s">
        <v>28</v>
      </c>
      <c r="B4" s="5" t="s">
        <v>9</v>
      </c>
      <c r="C4" s="5" t="s">
        <v>29</v>
      </c>
      <c r="D4" s="6">
        <v>2</v>
      </c>
      <c r="E4" s="6">
        <v>55000</v>
      </c>
      <c r="F4" s="8">
        <v>45303</v>
      </c>
      <c r="I4" s="17" t="str">
        <f t="shared" si="0"/>
        <v>Rahul Sharma</v>
      </c>
      <c r="J4" s="18" t="str">
        <f t="shared" si="1"/>
        <v>Laptop</v>
      </c>
      <c r="K4" s="18" t="str">
        <f t="shared" si="2"/>
        <v>Electronics</v>
      </c>
      <c r="L4" s="19" cm="1">
        <f t="array" ref="L4">ABS(IFERROR(VALUE(D4),
_xlfn.SWITCH(LOWER(TRIM(D4)),
"one",1,
"two",2,
"three",3,
"four",4,
"five",5,
"six",6,
"seven",7,
"eight",8,
"nine",9,
"ten",10)))</f>
        <v>2</v>
      </c>
      <c r="M4" s="18">
        <f t="shared" si="4"/>
        <v>55000</v>
      </c>
      <c r="N4" s="20">
        <f t="shared" si="3"/>
        <v>45303</v>
      </c>
    </row>
    <row r="5" spans="1:14" ht="15" thickBot="1" x14ac:dyDescent="0.35">
      <c r="A5" s="5" t="s">
        <v>30</v>
      </c>
      <c r="B5" s="5" t="s">
        <v>31</v>
      </c>
      <c r="C5" s="5" t="s">
        <v>7</v>
      </c>
      <c r="D5" s="5"/>
      <c r="E5" s="6">
        <v>20000</v>
      </c>
      <c r="F5" s="9">
        <v>45337</v>
      </c>
      <c r="I5" s="17" t="str">
        <f t="shared" si="0"/>
        <v>Priya Mehta</v>
      </c>
      <c r="J5" s="18" t="str">
        <f t="shared" si="1"/>
        <v>Mobile</v>
      </c>
      <c r="K5" s="18" t="str">
        <f t="shared" si="2"/>
        <v>Electronics</v>
      </c>
      <c r="L5" s="19" cm="1">
        <f t="array" ref="L5">ABS(IFERROR(VALUE(D5),
_xlfn.SWITCH(LOWER(TRIM(D5)),
"one",1,
"two",2,
"three",3,
"four",4,
"five",5,
"six",6,
"seven",7,
"eight",8,
"nine",9,
"ten",10)))</f>
        <v>0</v>
      </c>
      <c r="M5" s="18">
        <f t="shared" si="4"/>
        <v>20000</v>
      </c>
      <c r="N5" s="20">
        <f t="shared" si="3"/>
        <v>45337</v>
      </c>
    </row>
    <row r="6" spans="1:14" ht="15" thickBot="1" x14ac:dyDescent="0.35">
      <c r="A6" s="5" t="s">
        <v>30</v>
      </c>
      <c r="B6" s="5" t="s">
        <v>31</v>
      </c>
      <c r="C6" s="5" t="s">
        <v>7</v>
      </c>
      <c r="D6" s="6">
        <v>-1</v>
      </c>
      <c r="E6" s="6">
        <v>20000</v>
      </c>
      <c r="F6" s="9">
        <v>45337</v>
      </c>
      <c r="I6" s="17" t="str">
        <f t="shared" si="0"/>
        <v>Priya Mehta</v>
      </c>
      <c r="J6" s="18" t="str">
        <f t="shared" si="1"/>
        <v>Mobile</v>
      </c>
      <c r="K6" s="18" t="str">
        <f t="shared" si="2"/>
        <v>Electronics</v>
      </c>
      <c r="L6" s="19" cm="1">
        <f t="array" ref="L6">ABS(IFERROR(VALUE(D6),
_xlfn.SWITCH(LOWER(TRIM(D6)),
"one",1,
"two",2,
"three",3,
"four",4,
"five",5,
"six",6,
"seven",7,
"eight",8,
"nine",9,
"ten",10)))</f>
        <v>1</v>
      </c>
      <c r="M6" s="18">
        <f t="shared" si="4"/>
        <v>20000</v>
      </c>
      <c r="N6" s="20">
        <f t="shared" si="3"/>
        <v>45337</v>
      </c>
    </row>
    <row r="7" spans="1:14" ht="15" thickBot="1" x14ac:dyDescent="0.35">
      <c r="A7" s="5" t="s">
        <v>32</v>
      </c>
      <c r="B7" s="5" t="s">
        <v>11</v>
      </c>
      <c r="C7" s="5" t="s">
        <v>33</v>
      </c>
      <c r="D7" s="6">
        <v>1</v>
      </c>
      <c r="E7" s="6">
        <v>30000</v>
      </c>
      <c r="F7" s="9">
        <v>45340</v>
      </c>
      <c r="I7" s="17" t="str">
        <f t="shared" si="0"/>
        <v>Amit Singh</v>
      </c>
      <c r="J7" s="18" t="str">
        <f t="shared" si="1"/>
        <v>Sofa</v>
      </c>
      <c r="K7" s="18" t="str">
        <f t="shared" si="2"/>
        <v>Furniture</v>
      </c>
      <c r="L7" s="19" cm="1">
        <f t="array" ref="L7">ABS(IFERROR(VALUE(D7),
_xlfn.SWITCH(LOWER(TRIM(D7)),
"one",1,
"two",2,
"three",3,
"four",4,
"five",5,
"six",6,
"seven",7,
"eight",8,
"nine",9,
"ten",10)))</f>
        <v>1</v>
      </c>
      <c r="M7" s="18">
        <f t="shared" si="4"/>
        <v>30000</v>
      </c>
      <c r="N7" s="20">
        <f t="shared" si="3"/>
        <v>45340</v>
      </c>
    </row>
    <row r="8" spans="1:14" ht="15" thickBot="1" x14ac:dyDescent="0.35">
      <c r="A8" s="5" t="s">
        <v>32</v>
      </c>
      <c r="B8" s="5" t="s">
        <v>34</v>
      </c>
      <c r="C8" s="5" t="s">
        <v>35</v>
      </c>
      <c r="D8" s="6">
        <v>1</v>
      </c>
      <c r="E8" s="6">
        <v>30000</v>
      </c>
      <c r="F8" s="9">
        <v>45340</v>
      </c>
      <c r="I8" s="17" t="str">
        <f t="shared" si="0"/>
        <v>Amit Singh</v>
      </c>
      <c r="J8" s="18" t="str">
        <f t="shared" si="1"/>
        <v>Sofa Set</v>
      </c>
      <c r="K8" s="18" t="str">
        <f t="shared" si="2"/>
        <v>Furniture</v>
      </c>
      <c r="L8" s="19" cm="1">
        <f t="array" ref="L8">ABS(IFERROR(VALUE(D8),
_xlfn.SWITCH(LOWER(TRIM(D8)),
"one",1,
"two",2,
"three",3,
"four",4,
"five",5,
"six",6,
"seven",7,
"eight",8,
"nine",9,
"ten",10)))</f>
        <v>1</v>
      </c>
      <c r="M8" s="18">
        <f t="shared" si="4"/>
        <v>30000</v>
      </c>
      <c r="N8" s="20">
        <f t="shared" si="3"/>
        <v>45340</v>
      </c>
    </row>
    <row r="9" spans="1:14" ht="15" thickBot="1" x14ac:dyDescent="0.35">
      <c r="A9" s="5" t="s">
        <v>36</v>
      </c>
      <c r="B9" s="5" t="s">
        <v>37</v>
      </c>
      <c r="C9" s="5" t="s">
        <v>35</v>
      </c>
      <c r="D9" s="6">
        <v>3</v>
      </c>
      <c r="E9" s="5"/>
      <c r="F9" s="9">
        <v>45342</v>
      </c>
      <c r="I9" s="17" t="str">
        <f t="shared" si="0"/>
        <v>Neha Verma</v>
      </c>
      <c r="J9" s="18" t="str">
        <f t="shared" si="1"/>
        <v>Table</v>
      </c>
      <c r="K9" s="18" t="str">
        <f t="shared" si="2"/>
        <v>Furniture</v>
      </c>
      <c r="L9" s="19" cm="1">
        <f t="array" ref="L9">ABS(IFERROR(VALUE(D9),
_xlfn.SWITCH(LOWER(TRIM(D9)),
"one",1,
"two",2,
"three",3,
"four",4,
"five",5,
"six",6,
"seven",7,
"eight",8,
"nine",9,
"ten",10)))</f>
        <v>3</v>
      </c>
      <c r="M9" s="18">
        <f t="shared" si="4"/>
        <v>0</v>
      </c>
      <c r="N9" s="20">
        <f t="shared" si="3"/>
        <v>45342</v>
      </c>
    </row>
    <row r="10" spans="1:14" ht="15" thickBot="1" x14ac:dyDescent="0.35">
      <c r="A10" s="5" t="s">
        <v>36</v>
      </c>
      <c r="B10" s="5" t="s">
        <v>37</v>
      </c>
      <c r="C10" s="5" t="s">
        <v>35</v>
      </c>
      <c r="D10" s="5" t="s">
        <v>38</v>
      </c>
      <c r="E10" s="6">
        <v>15000</v>
      </c>
      <c r="F10" s="9">
        <v>45342</v>
      </c>
      <c r="I10" s="17" t="str">
        <f t="shared" si="0"/>
        <v>Neha Verma</v>
      </c>
      <c r="J10" s="18" t="str">
        <f t="shared" si="1"/>
        <v>Table</v>
      </c>
      <c r="K10" s="18" t="str">
        <f t="shared" si="2"/>
        <v>Furniture</v>
      </c>
      <c r="L10" s="19" cm="1">
        <f t="array" ref="L10">ABS(IFERROR(VALUE(D10),
_xlfn.SWITCH(LOWER(TRIM(D10)),
"one",1,
"two",2,
"three",3,
"four",4,
"five",5,
"six",6,
"seven",7,
"eight",8,
"nine",9,
"ten",10)))</f>
        <v>3</v>
      </c>
      <c r="M10" s="18">
        <f t="shared" si="4"/>
        <v>15000</v>
      </c>
      <c r="N10" s="20">
        <f t="shared" si="3"/>
        <v>45342</v>
      </c>
    </row>
    <row r="11" spans="1:14" ht="15" thickBot="1" x14ac:dyDescent="0.35">
      <c r="A11" s="5" t="s">
        <v>39</v>
      </c>
      <c r="B11" s="5" t="s">
        <v>40</v>
      </c>
      <c r="C11" s="5" t="s">
        <v>35</v>
      </c>
      <c r="D11" s="6">
        <v>5</v>
      </c>
      <c r="E11" s="6">
        <v>5000</v>
      </c>
      <c r="F11" s="9">
        <v>45344</v>
      </c>
      <c r="I11" s="17" t="str">
        <f t="shared" si="0"/>
        <v>Rohit Kumar</v>
      </c>
      <c r="J11" s="18" t="str">
        <f t="shared" si="1"/>
        <v>Chair</v>
      </c>
      <c r="K11" s="18" t="str">
        <f t="shared" si="2"/>
        <v>Furniture</v>
      </c>
      <c r="L11" s="19" cm="1">
        <f t="array" ref="L11">ABS(IFERROR(VALUE(D11),
_xlfn.SWITCH(LOWER(TRIM(D11)),
"one",1,
"two",2,
"three",3,
"four",4,
"five",5,
"six",6,
"seven",7,
"eight",8,
"nine",9,
"ten",10)))</f>
        <v>5</v>
      </c>
      <c r="M11" s="18">
        <f t="shared" si="4"/>
        <v>5000</v>
      </c>
      <c r="N11" s="20">
        <f t="shared" si="3"/>
        <v>45344</v>
      </c>
    </row>
    <row r="12" spans="1:14" ht="15" thickBot="1" x14ac:dyDescent="0.35">
      <c r="A12" s="5" t="s">
        <v>39</v>
      </c>
      <c r="B12" s="5" t="s">
        <v>40</v>
      </c>
      <c r="C12" s="5" t="s">
        <v>35</v>
      </c>
      <c r="D12" s="6">
        <v>5</v>
      </c>
      <c r="E12" s="6">
        <v>5000</v>
      </c>
      <c r="F12" s="9">
        <v>45344</v>
      </c>
      <c r="I12" s="17" t="str">
        <f t="shared" si="0"/>
        <v>Rohit Kumar</v>
      </c>
      <c r="J12" s="18" t="str">
        <f t="shared" si="1"/>
        <v>Chair</v>
      </c>
      <c r="K12" s="18" t="str">
        <f t="shared" si="2"/>
        <v>Furniture</v>
      </c>
      <c r="L12" s="19" cm="1">
        <f t="array" ref="L12">ABS(IFERROR(VALUE(D12),
_xlfn.SWITCH(LOWER(TRIM(D12)),
"one",1,
"two",2,
"three",3,
"four",4,
"five",5,
"six",6,
"seven",7,
"eight",8,
"nine",9,
"ten",10)))</f>
        <v>5</v>
      </c>
      <c r="M12" s="18">
        <f t="shared" si="4"/>
        <v>5000</v>
      </c>
      <c r="N12" s="20">
        <f t="shared" si="3"/>
        <v>45344</v>
      </c>
    </row>
    <row r="13" spans="1:14" ht="15" thickBot="1" x14ac:dyDescent="0.35">
      <c r="A13" s="5" t="s">
        <v>41</v>
      </c>
      <c r="B13" s="5" t="s">
        <v>42</v>
      </c>
      <c r="C13" s="5" t="s">
        <v>7</v>
      </c>
      <c r="D13" s="6">
        <v>1</v>
      </c>
      <c r="E13" s="6">
        <v>40000</v>
      </c>
      <c r="F13" s="9">
        <v>45347</v>
      </c>
      <c r="I13" s="17" t="str">
        <f t="shared" si="0"/>
        <v>Sneha Patil</v>
      </c>
      <c r="J13" s="18" t="str">
        <f t="shared" si="1"/>
        <v>Tv</v>
      </c>
      <c r="K13" s="18" t="str">
        <f t="shared" si="2"/>
        <v>Electronics</v>
      </c>
      <c r="L13" s="19" cm="1">
        <f t="array" ref="L13">ABS(IFERROR(VALUE(D13),
_xlfn.SWITCH(LOWER(TRIM(D13)),
"one",1,
"two",2,
"three",3,
"four",4,
"five",5,
"six",6,
"seven",7,
"eight",8,
"nine",9,
"ten",10)))</f>
        <v>1</v>
      </c>
      <c r="M13" s="18">
        <f t="shared" si="4"/>
        <v>40000</v>
      </c>
      <c r="N13" s="20">
        <f t="shared" si="3"/>
        <v>45347</v>
      </c>
    </row>
    <row r="14" spans="1:14" ht="15" thickBot="1" x14ac:dyDescent="0.35">
      <c r="A14" s="5" t="s">
        <v>41</v>
      </c>
      <c r="B14" s="5" t="s">
        <v>42</v>
      </c>
      <c r="C14" s="5" t="s">
        <v>27</v>
      </c>
      <c r="D14" s="6">
        <v>1</v>
      </c>
      <c r="E14" s="6">
        <v>40000</v>
      </c>
      <c r="F14" s="9">
        <v>45347</v>
      </c>
      <c r="I14" s="17" t="str">
        <f t="shared" si="0"/>
        <v>Sneha Patil</v>
      </c>
      <c r="J14" s="18" t="str">
        <f t="shared" si="1"/>
        <v>Tv</v>
      </c>
      <c r="K14" s="18" t="str">
        <f t="shared" si="2"/>
        <v>Electronics</v>
      </c>
      <c r="L14" s="19" cm="1">
        <f t="array" ref="L14">ABS(IFERROR(VALUE(D14),
_xlfn.SWITCH(LOWER(TRIM(D14)),
"one",1,
"two",2,
"three",3,
"four",4,
"five",5,
"six",6,
"seven",7,
"eight",8,
"nine",9,
"ten",10)))</f>
        <v>1</v>
      </c>
      <c r="M14" s="18">
        <f t="shared" si="4"/>
        <v>40000</v>
      </c>
      <c r="N14" s="20">
        <f t="shared" si="3"/>
        <v>45347</v>
      </c>
    </row>
    <row r="15" spans="1:14" ht="15" thickBot="1" x14ac:dyDescent="0.35">
      <c r="A15" s="5" t="s">
        <v>43</v>
      </c>
      <c r="B15" s="5" t="s">
        <v>9</v>
      </c>
      <c r="C15" s="5" t="s">
        <v>7</v>
      </c>
      <c r="D15" s="6">
        <v>10</v>
      </c>
      <c r="E15" s="6">
        <v>55000</v>
      </c>
      <c r="F15" s="9" t="s">
        <v>44</v>
      </c>
      <c r="I15" s="17" t="str">
        <f t="shared" si="0"/>
        <v>Arjun Das</v>
      </c>
      <c r="J15" s="18" t="str">
        <f t="shared" si="1"/>
        <v>Laptop</v>
      </c>
      <c r="K15" s="18" t="str">
        <f t="shared" si="2"/>
        <v>Electronics</v>
      </c>
      <c r="L15" s="19" cm="1">
        <f t="array" ref="L15">ABS(IFERROR(VALUE(D15),
_xlfn.SWITCH(LOWER(TRIM(D15)),
"one",1,
"two",2,
"three",3,
"four",4,
"five",5,
"six",6,
"seven",7,
"eight",8,
"nine",9,
"ten",10)))</f>
        <v>10</v>
      </c>
      <c r="M15" s="18">
        <f t="shared" si="4"/>
        <v>55000</v>
      </c>
      <c r="N15" s="20" t="str">
        <f t="shared" si="3"/>
        <v>30-02-2024</v>
      </c>
    </row>
    <row r="16" spans="1:14" ht="15" thickBot="1" x14ac:dyDescent="0.35">
      <c r="A16" s="5" t="s">
        <v>43</v>
      </c>
      <c r="B16" s="5" t="s">
        <v>9</v>
      </c>
      <c r="C16" s="5" t="s">
        <v>7</v>
      </c>
      <c r="D16" s="6">
        <v>10</v>
      </c>
      <c r="E16" s="6">
        <v>55000</v>
      </c>
      <c r="F16" s="9" t="s">
        <v>45</v>
      </c>
      <c r="I16" s="21" t="str">
        <f t="shared" si="0"/>
        <v>Arjun Das</v>
      </c>
      <c r="J16" s="22" t="str">
        <f t="shared" si="1"/>
        <v>Laptop</v>
      </c>
      <c r="K16" s="22" t="str">
        <f t="shared" si="2"/>
        <v>Electronics</v>
      </c>
      <c r="L16" s="23" cm="1">
        <f t="array" ref="L16">ABS(IFERROR(VALUE(D16),
_xlfn.SWITCH(LOWER(TRIM(D16)),
"one",1,
"two",2,
"three",3,
"four",4,
"five",5,
"six",6,
"seven",7,
"eight",8,
"nine",9,
"ten",10)))</f>
        <v>10</v>
      </c>
      <c r="M16" s="22">
        <f t="shared" si="4"/>
        <v>55000</v>
      </c>
      <c r="N16" s="24" t="str">
        <f t="shared" si="3"/>
        <v>29-02-2023</v>
      </c>
    </row>
    <row r="17" spans="1:12" ht="15" thickBot="1" x14ac:dyDescent="0.35">
      <c r="A17" s="5" t="s">
        <v>46</v>
      </c>
      <c r="B17" s="5" t="s">
        <v>47</v>
      </c>
      <c r="C17" s="5" t="s">
        <v>7</v>
      </c>
      <c r="D17" s="6">
        <v>2</v>
      </c>
      <c r="E17" s="6">
        <v>3000</v>
      </c>
      <c r="F17" s="9" t="s">
        <v>48</v>
      </c>
      <c r="L17"/>
    </row>
    <row r="18" spans="1:12" ht="15" thickBot="1" x14ac:dyDescent="0.35">
      <c r="A18" s="5" t="s">
        <v>49</v>
      </c>
      <c r="B18" s="5" t="s">
        <v>50</v>
      </c>
      <c r="C18" s="5" t="s">
        <v>7</v>
      </c>
      <c r="D18" s="6">
        <v>4</v>
      </c>
      <c r="E18" s="5">
        <v>20000</v>
      </c>
      <c r="F18" s="9">
        <v>45350</v>
      </c>
      <c r="L18"/>
    </row>
    <row r="19" spans="1:12" ht="15" thickBot="1" x14ac:dyDescent="0.35">
      <c r="A19" s="5" t="s">
        <v>51</v>
      </c>
      <c r="B19" s="5" t="s">
        <v>11</v>
      </c>
      <c r="C19" s="5" t="s">
        <v>12</v>
      </c>
      <c r="D19" s="6">
        <v>2</v>
      </c>
      <c r="E19" s="6">
        <v>25000</v>
      </c>
      <c r="F19" s="9">
        <v>45349</v>
      </c>
      <c r="L19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A7144-BFE7-461D-9737-2A351A8D5B7F}">
  <sheetPr codeName="Sheet3"/>
  <dimension ref="A1:E11"/>
  <sheetViews>
    <sheetView workbookViewId="0">
      <selection activeCell="E22" sqref="E22"/>
    </sheetView>
  </sheetViews>
  <sheetFormatPr defaultRowHeight="14.4" x14ac:dyDescent="0.3"/>
  <cols>
    <col min="1" max="1" width="10.88671875" customWidth="1"/>
    <col min="2" max="2" width="12.21875" customWidth="1"/>
  </cols>
  <sheetData>
    <row r="1" spans="1:5" ht="27.6" thickBot="1" x14ac:dyDescent="0.35">
      <c r="A1" s="4" t="s">
        <v>1</v>
      </c>
      <c r="B1" s="4" t="s">
        <v>2</v>
      </c>
      <c r="C1" s="4" t="s">
        <v>56</v>
      </c>
      <c r="D1" s="4" t="s">
        <v>57</v>
      </c>
      <c r="E1" s="4" t="s">
        <v>58</v>
      </c>
    </row>
    <row r="2" spans="1:5" ht="27.6" thickBot="1" x14ac:dyDescent="0.35">
      <c r="A2" s="5" t="s">
        <v>9</v>
      </c>
      <c r="B2" s="5" t="s">
        <v>7</v>
      </c>
      <c r="C2" s="6">
        <v>55000</v>
      </c>
      <c r="D2" s="6">
        <v>60000</v>
      </c>
      <c r="E2" s="6">
        <v>8000</v>
      </c>
    </row>
    <row r="3" spans="1:5" ht="27.6" thickBot="1" x14ac:dyDescent="0.35">
      <c r="A3" s="5" t="s">
        <v>31</v>
      </c>
      <c r="B3" s="5" t="s">
        <v>7</v>
      </c>
      <c r="C3" s="6">
        <v>20000</v>
      </c>
      <c r="D3" s="6">
        <v>18000</v>
      </c>
      <c r="E3" s="6">
        <v>-2000</v>
      </c>
    </row>
    <row r="4" spans="1:5" ht="15" thickBot="1" x14ac:dyDescent="0.35">
      <c r="A4" s="5" t="s">
        <v>11</v>
      </c>
      <c r="B4" s="5" t="s">
        <v>35</v>
      </c>
      <c r="C4" s="6">
        <v>30000</v>
      </c>
      <c r="D4" s="6">
        <v>25000</v>
      </c>
      <c r="E4" s="6">
        <v>5000</v>
      </c>
    </row>
    <row r="5" spans="1:5" ht="15" thickBot="1" x14ac:dyDescent="0.35">
      <c r="A5" s="5" t="s">
        <v>40</v>
      </c>
      <c r="B5" s="5" t="s">
        <v>35</v>
      </c>
      <c r="C5" s="6">
        <v>15000</v>
      </c>
      <c r="D5" s="6">
        <v>20000</v>
      </c>
      <c r="E5" s="6">
        <v>-1000</v>
      </c>
    </row>
    <row r="6" spans="1:5" ht="27.6" thickBot="1" x14ac:dyDescent="0.35">
      <c r="A6" s="5" t="s">
        <v>42</v>
      </c>
      <c r="B6" s="5" t="s">
        <v>7</v>
      </c>
      <c r="C6" s="6">
        <v>40000</v>
      </c>
      <c r="D6" s="6">
        <v>40000</v>
      </c>
      <c r="E6" s="6">
        <v>7000</v>
      </c>
    </row>
    <row r="7" spans="1:5" ht="15" thickBot="1" x14ac:dyDescent="0.35">
      <c r="A7" s="5" t="s">
        <v>37</v>
      </c>
      <c r="B7" s="5" t="s">
        <v>35</v>
      </c>
      <c r="C7" s="6">
        <v>12000</v>
      </c>
      <c r="D7" s="6">
        <v>15000</v>
      </c>
      <c r="E7" s="6">
        <v>2000</v>
      </c>
    </row>
    <row r="8" spans="1:5" ht="27.6" thickBot="1" x14ac:dyDescent="0.35">
      <c r="A8" s="5" t="s">
        <v>47</v>
      </c>
      <c r="B8" s="5" t="s">
        <v>59</v>
      </c>
      <c r="C8" s="6">
        <v>8000</v>
      </c>
      <c r="D8" s="6">
        <v>10000</v>
      </c>
      <c r="E8" s="6">
        <v>-500</v>
      </c>
    </row>
    <row r="9" spans="1:5" ht="27.6" thickBot="1" x14ac:dyDescent="0.35">
      <c r="A9" s="5" t="s">
        <v>20</v>
      </c>
      <c r="B9" s="5" t="s">
        <v>7</v>
      </c>
      <c r="C9" s="6">
        <v>15000</v>
      </c>
      <c r="D9" s="6">
        <v>12000</v>
      </c>
      <c r="E9" s="6">
        <v>3000</v>
      </c>
    </row>
    <row r="10" spans="1:5" ht="27.6" thickBot="1" x14ac:dyDescent="0.35">
      <c r="A10" s="5" t="s">
        <v>18</v>
      </c>
      <c r="B10" s="5" t="s">
        <v>60</v>
      </c>
      <c r="C10" s="6">
        <v>9000</v>
      </c>
      <c r="D10" s="6">
        <v>9000</v>
      </c>
      <c r="E10" s="6">
        <v>1000</v>
      </c>
    </row>
    <row r="11" spans="1:5" ht="15" thickBot="1" x14ac:dyDescent="0.35">
      <c r="A11" s="5" t="s">
        <v>6</v>
      </c>
      <c r="B11" s="5" t="s">
        <v>61</v>
      </c>
      <c r="C11" s="6">
        <v>7000</v>
      </c>
      <c r="D11" s="6">
        <v>8500</v>
      </c>
      <c r="E11" s="6">
        <v>-700</v>
      </c>
    </row>
  </sheetData>
  <conditionalFormatting sqref="C2:C11">
    <cfRule type="expression" dxfId="9" priority="2">
      <formula>C2&gt;D2</formula>
    </cfRule>
    <cfRule type="expression" dxfId="8" priority="4">
      <formula>C2 = D2</formula>
    </cfRule>
    <cfRule type="expression" dxfId="7" priority="5">
      <formula>C2&lt;D2</formula>
    </cfRule>
  </conditionalFormatting>
  <conditionalFormatting sqref="E2:E11">
    <cfRule type="expression" dxfId="6" priority="1">
      <formula>E2&lt;0</formula>
    </cfRule>
  </conditionalFormatting>
  <conditionalFormatting sqref="E15">
    <cfRule type="expression" dxfId="5" priority="3">
      <formula xml:space="preserve"> C2 &gt;D2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6B9AB-E94D-496D-BE20-F754F97C32A8}">
  <sheetPr codeName="Sheet4"/>
  <dimension ref="A1:G11"/>
  <sheetViews>
    <sheetView workbookViewId="0">
      <selection activeCell="C16" sqref="C16"/>
    </sheetView>
  </sheetViews>
  <sheetFormatPr defaultRowHeight="14.4" x14ac:dyDescent="0.3"/>
  <cols>
    <col min="1" max="1" width="8.88671875" customWidth="1"/>
    <col min="3" max="5" width="8.88671875" customWidth="1"/>
    <col min="6" max="6" width="14" customWidth="1"/>
    <col min="7" max="7" width="12.21875" customWidth="1"/>
  </cols>
  <sheetData>
    <row r="1" spans="1:7" ht="27.6" thickBot="1" x14ac:dyDescent="0.35">
      <c r="A1" s="4" t="s">
        <v>0</v>
      </c>
      <c r="B1" s="4" t="s">
        <v>62</v>
      </c>
      <c r="C1" s="4" t="s">
        <v>3</v>
      </c>
      <c r="D1" s="4" t="s">
        <v>24</v>
      </c>
      <c r="E1" s="4" t="s">
        <v>63</v>
      </c>
      <c r="F1" s="25" t="s">
        <v>64</v>
      </c>
      <c r="G1" s="25" t="s">
        <v>65</v>
      </c>
    </row>
    <row r="2" spans="1:7" ht="27.6" thickBot="1" x14ac:dyDescent="0.35">
      <c r="A2" s="5" t="s">
        <v>26</v>
      </c>
      <c r="B2" s="5" t="s">
        <v>9</v>
      </c>
      <c r="C2" s="6">
        <v>2</v>
      </c>
      <c r="D2" s="6">
        <v>55000</v>
      </c>
      <c r="E2" s="6">
        <v>110000</v>
      </c>
      <c r="F2">
        <f>C2*D2</f>
        <v>110000</v>
      </c>
      <c r="G2" t="str">
        <f>IF(E2=F2,"Correct","Incorrect")</f>
        <v>Correct</v>
      </c>
    </row>
    <row r="3" spans="1:7" ht="27.6" thickBot="1" x14ac:dyDescent="0.35">
      <c r="A3" s="5" t="s">
        <v>30</v>
      </c>
      <c r="B3" s="5" t="s">
        <v>31</v>
      </c>
      <c r="C3" s="6">
        <v>3</v>
      </c>
      <c r="D3" s="6">
        <v>20000</v>
      </c>
      <c r="E3" s="6">
        <v>60000</v>
      </c>
      <c r="F3">
        <f t="shared" ref="F3:F11" si="0">C3*D3</f>
        <v>60000</v>
      </c>
      <c r="G3" t="str">
        <f t="shared" ref="G3:G11" si="1">IF(E3=F3,"Correct","Incorrect")</f>
        <v>Correct</v>
      </c>
    </row>
    <row r="4" spans="1:7" ht="27.6" thickBot="1" x14ac:dyDescent="0.35">
      <c r="A4" s="5" t="s">
        <v>32</v>
      </c>
      <c r="B4" s="5" t="s">
        <v>11</v>
      </c>
      <c r="C4" s="6">
        <v>1</v>
      </c>
      <c r="D4" s="6">
        <v>30000</v>
      </c>
      <c r="E4" s="6">
        <v>25000</v>
      </c>
      <c r="F4">
        <f t="shared" si="0"/>
        <v>30000</v>
      </c>
      <c r="G4" t="str">
        <f t="shared" si="1"/>
        <v>Incorrect</v>
      </c>
    </row>
    <row r="5" spans="1:7" ht="27.6" thickBot="1" x14ac:dyDescent="0.35">
      <c r="A5" s="5" t="s">
        <v>36</v>
      </c>
      <c r="B5" s="5" t="s">
        <v>37</v>
      </c>
      <c r="C5" s="6">
        <v>4</v>
      </c>
      <c r="D5" s="6">
        <v>15000</v>
      </c>
      <c r="E5" s="6">
        <v>60000</v>
      </c>
      <c r="F5">
        <f t="shared" si="0"/>
        <v>60000</v>
      </c>
      <c r="G5" t="str">
        <f t="shared" si="1"/>
        <v>Correct</v>
      </c>
    </row>
    <row r="6" spans="1:7" ht="27.6" thickBot="1" x14ac:dyDescent="0.35">
      <c r="A6" s="5" t="s">
        <v>39</v>
      </c>
      <c r="B6" s="5" t="s">
        <v>40</v>
      </c>
      <c r="C6" s="6">
        <v>5</v>
      </c>
      <c r="D6" s="6">
        <v>5000</v>
      </c>
      <c r="E6" s="6">
        <v>25000</v>
      </c>
      <c r="F6">
        <f t="shared" si="0"/>
        <v>25000</v>
      </c>
      <c r="G6" t="str">
        <f t="shared" si="1"/>
        <v>Correct</v>
      </c>
    </row>
    <row r="7" spans="1:7" ht="27.6" thickBot="1" x14ac:dyDescent="0.35">
      <c r="A7" s="5" t="s">
        <v>41</v>
      </c>
      <c r="B7" s="5" t="s">
        <v>42</v>
      </c>
      <c r="C7" s="6">
        <v>2</v>
      </c>
      <c r="D7" s="6">
        <v>40000</v>
      </c>
      <c r="E7" s="6">
        <v>90000</v>
      </c>
      <c r="F7">
        <f t="shared" si="0"/>
        <v>80000</v>
      </c>
      <c r="G7" t="str">
        <f t="shared" si="1"/>
        <v>Incorrect</v>
      </c>
    </row>
    <row r="8" spans="1:7" ht="27.6" thickBot="1" x14ac:dyDescent="0.35">
      <c r="A8" s="5" t="s">
        <v>43</v>
      </c>
      <c r="B8" s="5" t="s">
        <v>9</v>
      </c>
      <c r="C8" s="6">
        <v>3</v>
      </c>
      <c r="D8" s="6">
        <v>55000</v>
      </c>
      <c r="E8" s="6">
        <v>165000</v>
      </c>
      <c r="F8">
        <f t="shared" si="0"/>
        <v>165000</v>
      </c>
      <c r="G8" t="str">
        <f t="shared" si="1"/>
        <v>Correct</v>
      </c>
    </row>
    <row r="9" spans="1:7" ht="27.6" thickBot="1" x14ac:dyDescent="0.35">
      <c r="A9" s="5" t="s">
        <v>46</v>
      </c>
      <c r="B9" s="5" t="s">
        <v>47</v>
      </c>
      <c r="C9" s="6">
        <v>2</v>
      </c>
      <c r="D9" s="6">
        <v>3000</v>
      </c>
      <c r="E9" s="6">
        <v>5000</v>
      </c>
      <c r="F9">
        <f t="shared" si="0"/>
        <v>6000</v>
      </c>
      <c r="G9" t="str">
        <f t="shared" si="1"/>
        <v>Incorrect</v>
      </c>
    </row>
    <row r="10" spans="1:7" ht="15" thickBot="1" x14ac:dyDescent="0.35">
      <c r="A10" s="5" t="s">
        <v>49</v>
      </c>
      <c r="B10" s="5" t="s">
        <v>50</v>
      </c>
      <c r="C10" s="6">
        <v>4</v>
      </c>
      <c r="D10" s="6">
        <v>20000</v>
      </c>
      <c r="E10" s="6">
        <v>80000</v>
      </c>
      <c r="F10">
        <f t="shared" si="0"/>
        <v>80000</v>
      </c>
      <c r="G10" t="str">
        <f t="shared" si="1"/>
        <v>Correct</v>
      </c>
    </row>
    <row r="11" spans="1:7" ht="27.6" thickBot="1" x14ac:dyDescent="0.35">
      <c r="A11" s="5" t="s">
        <v>51</v>
      </c>
      <c r="B11" s="5" t="s">
        <v>11</v>
      </c>
      <c r="C11" s="6">
        <v>2</v>
      </c>
      <c r="D11" s="6">
        <v>25000</v>
      </c>
      <c r="E11" s="6">
        <v>60000</v>
      </c>
      <c r="F11">
        <f t="shared" si="0"/>
        <v>50000</v>
      </c>
      <c r="G11" t="str">
        <f t="shared" si="1"/>
        <v>Incorrect</v>
      </c>
    </row>
  </sheetData>
  <conditionalFormatting sqref="E2:E11">
    <cfRule type="expression" dxfId="4" priority="1">
      <formula>$G2 = "Incorrect"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C551CB-A0ED-46B9-A048-BE2343E0762B}">
  <sheetPr codeName="Sheet5"/>
  <dimension ref="A1:F11"/>
  <sheetViews>
    <sheetView workbookViewId="0">
      <selection activeCell="B23" sqref="B23"/>
    </sheetView>
  </sheetViews>
  <sheetFormatPr defaultRowHeight="14.4" x14ac:dyDescent="0.3"/>
  <cols>
    <col min="1" max="2" width="27.5546875" customWidth="1"/>
    <col min="3" max="3" width="26.44140625" customWidth="1"/>
    <col min="4" max="4" width="25.21875" customWidth="1"/>
  </cols>
  <sheetData>
    <row r="1" spans="1:6" ht="15" thickBot="1" x14ac:dyDescent="0.35">
      <c r="A1" s="4" t="s">
        <v>84</v>
      </c>
      <c r="B1" s="4" t="s">
        <v>83</v>
      </c>
      <c r="C1" s="4" t="s">
        <v>96</v>
      </c>
      <c r="D1" s="4" t="s">
        <v>2</v>
      </c>
      <c r="E1" s="4" t="s">
        <v>3</v>
      </c>
      <c r="F1" s="10" t="s">
        <v>97</v>
      </c>
    </row>
    <row r="2" spans="1:6" ht="15" thickBot="1" x14ac:dyDescent="0.35">
      <c r="A2" s="5" t="s">
        <v>66</v>
      </c>
      <c r="B2" s="5" t="s">
        <v>67</v>
      </c>
      <c r="C2" s="5" t="s">
        <v>85</v>
      </c>
      <c r="D2" s="5" t="s">
        <v>86</v>
      </c>
      <c r="E2" s="5">
        <v>2</v>
      </c>
      <c r="F2">
        <v>55000</v>
      </c>
    </row>
    <row r="3" spans="1:6" ht="15" thickBot="1" x14ac:dyDescent="0.35">
      <c r="A3" s="5" t="s">
        <v>68</v>
      </c>
      <c r="B3" s="5" t="s">
        <v>69</v>
      </c>
      <c r="C3" s="5" t="s">
        <v>87</v>
      </c>
      <c r="D3" s="5" t="s">
        <v>86</v>
      </c>
      <c r="E3" s="5">
        <v>3</v>
      </c>
      <c r="F3">
        <v>20000</v>
      </c>
    </row>
    <row r="4" spans="1:6" ht="15" thickBot="1" x14ac:dyDescent="0.35">
      <c r="A4" s="5" t="s">
        <v>70</v>
      </c>
      <c r="B4" s="5" t="s">
        <v>71</v>
      </c>
      <c r="C4" s="5" t="s">
        <v>88</v>
      </c>
      <c r="D4" s="5" t="s">
        <v>89</v>
      </c>
      <c r="E4" s="5">
        <v>1</v>
      </c>
      <c r="F4">
        <v>30000</v>
      </c>
    </row>
    <row r="5" spans="1:6" ht="15" thickBot="1" x14ac:dyDescent="0.35">
      <c r="A5" s="5" t="s">
        <v>72</v>
      </c>
      <c r="B5" s="5" t="s">
        <v>73</v>
      </c>
      <c r="C5" s="5" t="s">
        <v>90</v>
      </c>
      <c r="D5" s="5" t="s">
        <v>89</v>
      </c>
      <c r="E5" s="5">
        <v>4</v>
      </c>
      <c r="F5">
        <v>15000</v>
      </c>
    </row>
    <row r="6" spans="1:6" ht="15" thickBot="1" x14ac:dyDescent="0.35">
      <c r="A6" s="5" t="s">
        <v>74</v>
      </c>
      <c r="B6" s="5" t="s">
        <v>67</v>
      </c>
      <c r="C6" s="5" t="s">
        <v>91</v>
      </c>
      <c r="D6" s="5" t="s">
        <v>89</v>
      </c>
      <c r="E6" s="5">
        <v>5</v>
      </c>
      <c r="F6">
        <v>5000</v>
      </c>
    </row>
    <row r="7" spans="1:6" ht="15" thickBot="1" x14ac:dyDescent="0.35">
      <c r="A7" s="5" t="s">
        <v>75</v>
      </c>
      <c r="B7" s="5" t="s">
        <v>69</v>
      </c>
      <c r="C7" s="5" t="s">
        <v>92</v>
      </c>
      <c r="D7" s="5" t="s">
        <v>86</v>
      </c>
      <c r="E7" s="5">
        <v>2</v>
      </c>
      <c r="F7">
        <v>40000</v>
      </c>
    </row>
    <row r="8" spans="1:6" ht="15" thickBot="1" x14ac:dyDescent="0.35">
      <c r="A8" s="5" t="s">
        <v>76</v>
      </c>
      <c r="B8" s="5" t="s">
        <v>77</v>
      </c>
      <c r="C8" s="5" t="s">
        <v>85</v>
      </c>
      <c r="D8" s="5" t="s">
        <v>86</v>
      </c>
      <c r="E8" s="5">
        <v>3</v>
      </c>
      <c r="F8">
        <v>55000</v>
      </c>
    </row>
    <row r="9" spans="1:6" ht="15" thickBot="1" x14ac:dyDescent="0.35">
      <c r="A9" s="5" t="s">
        <v>78</v>
      </c>
      <c r="B9" s="5" t="s">
        <v>79</v>
      </c>
      <c r="C9" s="5" t="s">
        <v>93</v>
      </c>
      <c r="D9" s="5" t="s">
        <v>94</v>
      </c>
      <c r="E9" s="5">
        <v>2</v>
      </c>
      <c r="F9">
        <v>3000</v>
      </c>
    </row>
    <row r="10" spans="1:6" ht="15" thickBot="1" x14ac:dyDescent="0.35">
      <c r="A10" s="5" t="s">
        <v>80</v>
      </c>
      <c r="B10" s="5" t="s">
        <v>81</v>
      </c>
      <c r="C10" s="5" t="s">
        <v>95</v>
      </c>
      <c r="D10" s="5" t="s">
        <v>86</v>
      </c>
      <c r="E10" s="5">
        <v>4</v>
      </c>
      <c r="F10">
        <v>20000</v>
      </c>
    </row>
    <row r="11" spans="1:6" ht="15" thickBot="1" x14ac:dyDescent="0.35">
      <c r="A11" s="5" t="s">
        <v>82</v>
      </c>
      <c r="B11" s="5" t="s">
        <v>71</v>
      </c>
      <c r="C11" s="5" t="s">
        <v>88</v>
      </c>
      <c r="D11" s="5" t="s">
        <v>89</v>
      </c>
      <c r="E11" s="5">
        <v>2</v>
      </c>
      <c r="F11">
        <v>25000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8E880-AA68-44FB-B948-E903A9E0C46E}">
  <sheetPr codeName="Sheet6"/>
  <dimension ref="A1:G11"/>
  <sheetViews>
    <sheetView workbookViewId="0">
      <selection activeCell="C20" sqref="C20"/>
    </sheetView>
  </sheetViews>
  <sheetFormatPr defaultRowHeight="14.4" x14ac:dyDescent="0.3"/>
  <cols>
    <col min="1" max="1" width="16.88671875" customWidth="1"/>
    <col min="2" max="2" width="9.88671875" customWidth="1"/>
    <col min="3" max="3" width="10.33203125" customWidth="1"/>
    <col min="4" max="4" width="11.44140625" customWidth="1"/>
    <col min="5" max="5" width="14.33203125" customWidth="1"/>
    <col min="6" max="6" width="15.21875" customWidth="1"/>
    <col min="7" max="7" width="14.5546875" customWidth="1"/>
  </cols>
  <sheetData>
    <row r="1" spans="1:7" ht="27.6" thickBot="1" x14ac:dyDescent="0.35">
      <c r="A1" s="29" t="s">
        <v>0</v>
      </c>
      <c r="B1" s="30" t="s">
        <v>62</v>
      </c>
      <c r="C1" s="30" t="s">
        <v>3</v>
      </c>
      <c r="D1" s="30" t="s">
        <v>24</v>
      </c>
      <c r="E1" s="31" t="s">
        <v>98</v>
      </c>
      <c r="F1" s="30" t="s">
        <v>100</v>
      </c>
      <c r="G1" s="30" t="s">
        <v>101</v>
      </c>
    </row>
    <row r="2" spans="1:7" ht="15" thickBot="1" x14ac:dyDescent="0.35">
      <c r="A2" s="26" t="s">
        <v>26</v>
      </c>
      <c r="B2" s="5" t="s">
        <v>9</v>
      </c>
      <c r="C2" s="6">
        <v>2</v>
      </c>
      <c r="D2" s="6">
        <v>55000</v>
      </c>
      <c r="E2" s="27">
        <v>10</v>
      </c>
      <c r="F2">
        <f t="shared" ref="F2:F11" si="0">IF(ISNUMBER(D2),D2,"Invalid")</f>
        <v>55000</v>
      </c>
      <c r="G2">
        <f t="shared" ref="G2:G11" si="1">IF(E2="",0,E2)</f>
        <v>10</v>
      </c>
    </row>
    <row r="3" spans="1:7" ht="15" thickBot="1" x14ac:dyDescent="0.35">
      <c r="A3" s="26" t="s">
        <v>30</v>
      </c>
      <c r="B3" s="5" t="s">
        <v>31</v>
      </c>
      <c r="C3" s="5" t="s">
        <v>99</v>
      </c>
      <c r="D3" s="6">
        <v>20000</v>
      </c>
      <c r="E3" s="27">
        <v>5</v>
      </c>
      <c r="F3">
        <f t="shared" si="0"/>
        <v>20000</v>
      </c>
      <c r="G3">
        <f t="shared" si="1"/>
        <v>5</v>
      </c>
    </row>
    <row r="4" spans="1:7" ht="15" thickBot="1" x14ac:dyDescent="0.35">
      <c r="A4" s="26" t="s">
        <v>32</v>
      </c>
      <c r="B4" s="5" t="s">
        <v>11</v>
      </c>
      <c r="C4" s="6">
        <v>1</v>
      </c>
      <c r="D4" s="6">
        <v>30000</v>
      </c>
      <c r="E4" s="28"/>
      <c r="F4">
        <f t="shared" si="0"/>
        <v>30000</v>
      </c>
      <c r="G4">
        <f t="shared" si="1"/>
        <v>0</v>
      </c>
    </row>
    <row r="5" spans="1:7" ht="27.6" thickBot="1" x14ac:dyDescent="0.35">
      <c r="A5" s="26" t="s">
        <v>36</v>
      </c>
      <c r="B5" s="5" t="s">
        <v>37</v>
      </c>
      <c r="C5" s="6">
        <v>4</v>
      </c>
      <c r="D5" s="5"/>
      <c r="E5" s="27">
        <v>8</v>
      </c>
      <c r="F5" t="str">
        <f t="shared" si="0"/>
        <v>Invalid</v>
      </c>
      <c r="G5">
        <f t="shared" si="1"/>
        <v>8</v>
      </c>
    </row>
    <row r="6" spans="1:7" ht="15" thickBot="1" x14ac:dyDescent="0.35">
      <c r="A6" s="26" t="s">
        <v>39</v>
      </c>
      <c r="B6" s="5" t="s">
        <v>40</v>
      </c>
      <c r="C6" s="6">
        <v>5</v>
      </c>
      <c r="D6" s="6">
        <v>5000</v>
      </c>
      <c r="E6" s="27">
        <v>0</v>
      </c>
      <c r="F6">
        <f t="shared" si="0"/>
        <v>5000</v>
      </c>
      <c r="G6">
        <f t="shared" si="1"/>
        <v>0</v>
      </c>
    </row>
    <row r="7" spans="1:7" ht="15" thickBot="1" x14ac:dyDescent="0.35">
      <c r="A7" s="26" t="s">
        <v>41</v>
      </c>
      <c r="B7" s="5" t="s">
        <v>42</v>
      </c>
      <c r="C7" s="5" t="s">
        <v>99</v>
      </c>
      <c r="D7" s="6">
        <v>40000</v>
      </c>
      <c r="E7" s="27">
        <v>12</v>
      </c>
      <c r="F7">
        <f t="shared" si="0"/>
        <v>40000</v>
      </c>
      <c r="G7">
        <f t="shared" si="1"/>
        <v>12</v>
      </c>
    </row>
    <row r="8" spans="1:7" ht="15" thickBot="1" x14ac:dyDescent="0.35">
      <c r="A8" s="26" t="s">
        <v>43</v>
      </c>
      <c r="B8" s="5" t="s">
        <v>9</v>
      </c>
      <c r="C8" s="6">
        <v>3</v>
      </c>
      <c r="D8" s="6">
        <v>55000</v>
      </c>
      <c r="E8" s="28"/>
      <c r="F8">
        <f t="shared" si="0"/>
        <v>55000</v>
      </c>
      <c r="G8">
        <f t="shared" si="1"/>
        <v>0</v>
      </c>
    </row>
    <row r="9" spans="1:7" ht="15" thickBot="1" x14ac:dyDescent="0.35">
      <c r="A9" s="26" t="s">
        <v>46</v>
      </c>
      <c r="B9" s="5" t="s">
        <v>47</v>
      </c>
      <c r="C9" s="6">
        <v>2</v>
      </c>
      <c r="D9" s="6">
        <v>3000</v>
      </c>
      <c r="E9" s="27">
        <v>5</v>
      </c>
      <c r="F9">
        <f t="shared" si="0"/>
        <v>3000</v>
      </c>
      <c r="G9">
        <f t="shared" si="1"/>
        <v>5</v>
      </c>
    </row>
    <row r="10" spans="1:7" ht="15" thickBot="1" x14ac:dyDescent="0.35">
      <c r="A10" s="26" t="s">
        <v>49</v>
      </c>
      <c r="B10" s="5" t="s">
        <v>50</v>
      </c>
      <c r="C10" s="5" t="s">
        <v>99</v>
      </c>
      <c r="D10" s="6">
        <v>20000</v>
      </c>
      <c r="E10" s="27">
        <v>10</v>
      </c>
      <c r="F10">
        <f t="shared" si="0"/>
        <v>20000</v>
      </c>
      <c r="G10">
        <f t="shared" si="1"/>
        <v>10</v>
      </c>
    </row>
    <row r="11" spans="1:7" x14ac:dyDescent="0.3">
      <c r="A11" s="32" t="s">
        <v>51</v>
      </c>
      <c r="B11" s="33" t="s">
        <v>11</v>
      </c>
      <c r="C11" s="34">
        <v>2</v>
      </c>
      <c r="D11" s="34">
        <v>25000</v>
      </c>
      <c r="E11" s="35"/>
      <c r="F11">
        <f t="shared" si="0"/>
        <v>25000</v>
      </c>
      <c r="G11">
        <f t="shared" si="1"/>
        <v>0</v>
      </c>
    </row>
  </sheetData>
  <conditionalFormatting sqref="C2:C11">
    <cfRule type="expression" dxfId="3" priority="2">
      <formula xml:space="preserve"> C2 = "Missing"</formula>
    </cfRule>
  </conditionalFormatting>
  <conditionalFormatting sqref="F2:F11">
    <cfRule type="expression" dxfId="2" priority="1">
      <formula xml:space="preserve"> F2 = "Invalid"</formula>
    </cfRule>
  </conditionalFormatting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4F182-E7BE-46D2-BC08-0D689058E77E}">
  <sheetPr codeName="Sheet7"/>
  <dimension ref="A1:D4"/>
  <sheetViews>
    <sheetView workbookViewId="0">
      <selection activeCell="E23" sqref="E23"/>
    </sheetView>
  </sheetViews>
  <sheetFormatPr defaultRowHeight="14.4" x14ac:dyDescent="0.3"/>
  <cols>
    <col min="1" max="1" width="16.6640625" customWidth="1"/>
    <col min="5" max="5" width="11.21875" customWidth="1"/>
  </cols>
  <sheetData>
    <row r="1" spans="1:4" ht="15" thickBot="1" x14ac:dyDescent="0.35">
      <c r="A1" s="4" t="s">
        <v>0</v>
      </c>
      <c r="B1" s="4" t="s">
        <v>62</v>
      </c>
      <c r="C1" s="4" t="s">
        <v>83</v>
      </c>
      <c r="D1" s="4" t="s">
        <v>3</v>
      </c>
    </row>
    <row r="2" spans="1:4" ht="15" thickBot="1" x14ac:dyDescent="0.35">
      <c r="A2" s="5" t="s">
        <v>26</v>
      </c>
      <c r="B2" s="5" t="s">
        <v>9</v>
      </c>
      <c r="C2" s="5" t="s">
        <v>102</v>
      </c>
      <c r="D2" s="6">
        <v>2</v>
      </c>
    </row>
    <row r="3" spans="1:4" ht="15" thickBot="1" x14ac:dyDescent="0.35">
      <c r="A3" s="5" t="s">
        <v>30</v>
      </c>
      <c r="B3" s="5" t="s">
        <v>31</v>
      </c>
      <c r="C3" s="5" t="s">
        <v>103</v>
      </c>
      <c r="D3" s="6">
        <v>3</v>
      </c>
    </row>
    <row r="4" spans="1:4" ht="15" thickBot="1" x14ac:dyDescent="0.35">
      <c r="A4" s="5" t="s">
        <v>32</v>
      </c>
      <c r="B4" s="5" t="s">
        <v>11</v>
      </c>
      <c r="C4" s="5" t="s">
        <v>104</v>
      </c>
      <c r="D4" s="6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2B155-AD40-4F1F-A8A6-0E135C64C96E}">
  <sheetPr codeName="Sheet8"/>
  <dimension ref="A1:I11"/>
  <sheetViews>
    <sheetView workbookViewId="0">
      <selection activeCell="B20" sqref="B20"/>
    </sheetView>
  </sheetViews>
  <sheetFormatPr defaultRowHeight="14.4" x14ac:dyDescent="0.3"/>
  <cols>
    <col min="1" max="1" width="18.77734375" customWidth="1"/>
    <col min="6" max="6" width="11.6640625" customWidth="1"/>
  </cols>
  <sheetData>
    <row r="1" spans="1:9" ht="27.6" thickBot="1" x14ac:dyDescent="0.35">
      <c r="A1" s="4" t="s">
        <v>0</v>
      </c>
      <c r="B1" s="4" t="s">
        <v>3</v>
      </c>
      <c r="C1" s="4" t="s">
        <v>24</v>
      </c>
      <c r="D1" s="4" t="s">
        <v>63</v>
      </c>
      <c r="F1" s="4" t="s">
        <v>0</v>
      </c>
      <c r="G1" s="4" t="s">
        <v>3</v>
      </c>
      <c r="H1" s="4" t="s">
        <v>24</v>
      </c>
      <c r="I1" s="4" t="s">
        <v>63</v>
      </c>
    </row>
    <row r="2" spans="1:9" ht="27.6" thickBot="1" x14ac:dyDescent="0.35">
      <c r="A2" s="5" t="s">
        <v>26</v>
      </c>
      <c r="B2" s="6">
        <v>2</v>
      </c>
      <c r="C2" s="6">
        <v>55000</v>
      </c>
      <c r="D2" s="6">
        <v>110000</v>
      </c>
      <c r="F2" s="5" t="s">
        <v>26</v>
      </c>
      <c r="G2" s="6">
        <f>IF(B2="","Missing",B2)</f>
        <v>2</v>
      </c>
      <c r="H2" s="6">
        <f>IF(C2="","Missing",C2)</f>
        <v>55000</v>
      </c>
      <c r="I2" s="6">
        <f>IF(AND(ISNUMBER(B2),ISNUMBER(C2)),B2*C2,"Invalid")</f>
        <v>110000</v>
      </c>
    </row>
    <row r="3" spans="1:9" ht="15" thickBot="1" x14ac:dyDescent="0.35">
      <c r="A3" s="5" t="s">
        <v>30</v>
      </c>
      <c r="B3" s="5"/>
      <c r="C3" s="6">
        <v>20000</v>
      </c>
      <c r="D3" s="36" t="e">
        <v>#VALUE!</v>
      </c>
      <c r="F3" s="5" t="s">
        <v>30</v>
      </c>
      <c r="G3" s="6" t="str">
        <f>IF(B3="","Missing",B3)</f>
        <v>Missing</v>
      </c>
      <c r="H3" s="6">
        <f t="shared" ref="H3:H11" si="0">IF(C3="","Missing",C3)</f>
        <v>20000</v>
      </c>
      <c r="I3" s="6" t="str">
        <f t="shared" ref="I3:I11" si="1">IF(AND(ISNUMBER(B3),ISNUMBER(C3)),B3*C3,"Invalid")</f>
        <v>Invalid</v>
      </c>
    </row>
    <row r="4" spans="1:9" ht="15" thickBot="1" x14ac:dyDescent="0.35">
      <c r="A4" s="5" t="s">
        <v>32</v>
      </c>
      <c r="B4" s="6">
        <v>1</v>
      </c>
      <c r="C4" s="6">
        <v>30000</v>
      </c>
      <c r="D4" s="6">
        <v>30000</v>
      </c>
      <c r="F4" s="5" t="s">
        <v>32</v>
      </c>
      <c r="G4" s="6">
        <f t="shared" ref="G4:G11" si="2">IF(B4="","Missing",B4)</f>
        <v>1</v>
      </c>
      <c r="H4" s="6">
        <f t="shared" si="0"/>
        <v>30000</v>
      </c>
      <c r="I4" s="6">
        <f t="shared" si="1"/>
        <v>30000</v>
      </c>
    </row>
    <row r="5" spans="1:9" ht="15" thickBot="1" x14ac:dyDescent="0.35">
      <c r="A5" s="5" t="s">
        <v>36</v>
      </c>
      <c r="B5" s="6">
        <v>4</v>
      </c>
      <c r="C5" s="5"/>
      <c r="D5" s="36" t="e">
        <v>#VALUE!</v>
      </c>
      <c r="F5" s="5" t="s">
        <v>36</v>
      </c>
      <c r="G5" s="6">
        <f t="shared" si="2"/>
        <v>4</v>
      </c>
      <c r="H5" s="6" t="str">
        <f t="shared" si="0"/>
        <v>Missing</v>
      </c>
      <c r="I5" s="6" t="str">
        <f t="shared" si="1"/>
        <v>Invalid</v>
      </c>
    </row>
    <row r="6" spans="1:9" ht="15" thickBot="1" x14ac:dyDescent="0.35">
      <c r="A6" s="5" t="s">
        <v>39</v>
      </c>
      <c r="B6" s="6">
        <v>5</v>
      </c>
      <c r="C6" s="6">
        <v>5000</v>
      </c>
      <c r="D6" s="6">
        <v>25000</v>
      </c>
      <c r="F6" s="5" t="s">
        <v>39</v>
      </c>
      <c r="G6" s="6">
        <f t="shared" si="2"/>
        <v>5</v>
      </c>
      <c r="H6" s="6">
        <f t="shared" si="0"/>
        <v>5000</v>
      </c>
      <c r="I6" s="6">
        <f t="shared" si="1"/>
        <v>25000</v>
      </c>
    </row>
    <row r="7" spans="1:9" ht="15" thickBot="1" x14ac:dyDescent="0.35">
      <c r="A7" s="5" t="s">
        <v>41</v>
      </c>
      <c r="B7" s="5">
        <v>2</v>
      </c>
      <c r="C7" s="6">
        <v>40000</v>
      </c>
      <c r="D7" s="36" t="e">
        <v>#VALUE!</v>
      </c>
      <c r="F7" s="5" t="s">
        <v>41</v>
      </c>
      <c r="G7" s="6">
        <f t="shared" si="2"/>
        <v>2</v>
      </c>
      <c r="H7" s="6">
        <f t="shared" si="0"/>
        <v>40000</v>
      </c>
      <c r="I7" s="6">
        <f t="shared" si="1"/>
        <v>80000</v>
      </c>
    </row>
    <row r="8" spans="1:9" ht="15" thickBot="1" x14ac:dyDescent="0.35">
      <c r="A8" s="5" t="s">
        <v>43</v>
      </c>
      <c r="B8" s="6">
        <v>3</v>
      </c>
      <c r="C8" s="6">
        <v>55000</v>
      </c>
      <c r="D8" s="6">
        <v>165000</v>
      </c>
      <c r="F8" s="5" t="s">
        <v>43</v>
      </c>
      <c r="G8" s="6">
        <f t="shared" si="2"/>
        <v>3</v>
      </c>
      <c r="H8" s="6">
        <f t="shared" si="0"/>
        <v>55000</v>
      </c>
      <c r="I8" s="6">
        <f t="shared" si="1"/>
        <v>165000</v>
      </c>
    </row>
    <row r="9" spans="1:9" ht="15" thickBot="1" x14ac:dyDescent="0.35">
      <c r="A9" s="5" t="s">
        <v>46</v>
      </c>
      <c r="B9" s="6">
        <v>2</v>
      </c>
      <c r="C9" s="6">
        <v>3000</v>
      </c>
      <c r="D9" s="6">
        <v>6000</v>
      </c>
      <c r="F9" s="5" t="s">
        <v>46</v>
      </c>
      <c r="G9" s="6">
        <f t="shared" si="2"/>
        <v>2</v>
      </c>
      <c r="H9" s="6">
        <f t="shared" si="0"/>
        <v>3000</v>
      </c>
      <c r="I9" s="6">
        <f t="shared" si="1"/>
        <v>6000</v>
      </c>
    </row>
    <row r="10" spans="1:9" ht="15" thickBot="1" x14ac:dyDescent="0.35">
      <c r="A10" s="5" t="s">
        <v>49</v>
      </c>
      <c r="B10" s="6">
        <v>4</v>
      </c>
      <c r="C10" s="5">
        <v>20000</v>
      </c>
      <c r="D10" s="36" t="e">
        <v>#VALUE!</v>
      </c>
      <c r="F10" s="5" t="s">
        <v>49</v>
      </c>
      <c r="G10" s="6">
        <f t="shared" si="2"/>
        <v>4</v>
      </c>
      <c r="H10" s="6">
        <f t="shared" si="0"/>
        <v>20000</v>
      </c>
      <c r="I10" s="6">
        <f t="shared" si="1"/>
        <v>80000</v>
      </c>
    </row>
    <row r="11" spans="1:9" ht="27.6" thickBot="1" x14ac:dyDescent="0.35">
      <c r="A11" s="5" t="s">
        <v>51</v>
      </c>
      <c r="B11" s="6">
        <v>2</v>
      </c>
      <c r="C11" s="6">
        <v>25000</v>
      </c>
      <c r="D11" s="6">
        <v>50000</v>
      </c>
      <c r="F11" s="5" t="s">
        <v>51</v>
      </c>
      <c r="G11" s="6">
        <f t="shared" si="2"/>
        <v>2</v>
      </c>
      <c r="H11" s="6">
        <f t="shared" si="0"/>
        <v>25000</v>
      </c>
      <c r="I11" s="6">
        <f t="shared" si="1"/>
        <v>50000</v>
      </c>
    </row>
  </sheetData>
  <conditionalFormatting sqref="I2:I11">
    <cfRule type="expression" dxfId="0" priority="1">
      <formula xml:space="preserve"> I2 = "Invalid"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471241-7F23-43AF-A0E1-F1CCE4CE8AB8}">
  <sheetPr codeName="Sheet9"/>
  <dimension ref="A1:E9"/>
  <sheetViews>
    <sheetView tabSelected="1" topLeftCell="B1" workbookViewId="0">
      <selection activeCell="E20" sqref="E20"/>
    </sheetView>
  </sheetViews>
  <sheetFormatPr defaultRowHeight="14.4" x14ac:dyDescent="0.3"/>
  <cols>
    <col min="1" max="1" width="13.88671875" bestFit="1" customWidth="1"/>
    <col min="2" max="2" width="7.109375" bestFit="1" customWidth="1"/>
    <col min="3" max="3" width="7.88671875" bestFit="1" customWidth="1"/>
    <col min="4" max="4" width="8.6640625" bestFit="1" customWidth="1"/>
    <col min="5" max="5" width="7" bestFit="1" customWidth="1"/>
  </cols>
  <sheetData>
    <row r="1" spans="1:5" s="10" customFormat="1" ht="27.6" x14ac:dyDescent="0.3">
      <c r="A1" s="37" t="s">
        <v>0</v>
      </c>
      <c r="B1" s="37" t="s">
        <v>62</v>
      </c>
      <c r="C1" s="37" t="s">
        <v>3</v>
      </c>
      <c r="D1" s="37" t="s">
        <v>24</v>
      </c>
      <c r="E1" s="38" t="s">
        <v>105</v>
      </c>
    </row>
    <row r="2" spans="1:5" x14ac:dyDescent="0.3">
      <c r="A2" s="39" t="s">
        <v>26</v>
      </c>
      <c r="B2" s="39" t="s">
        <v>9</v>
      </c>
      <c r="C2" s="39">
        <v>2</v>
      </c>
      <c r="D2" s="39">
        <v>55000</v>
      </c>
      <c r="E2" s="40">
        <f t="shared" ref="E2:E9" si="0">C2*D2</f>
        <v>110000</v>
      </c>
    </row>
    <row r="3" spans="1:5" x14ac:dyDescent="0.3">
      <c r="A3" s="39" t="s">
        <v>30</v>
      </c>
      <c r="B3" s="39" t="s">
        <v>31</v>
      </c>
      <c r="C3" s="39">
        <v>3</v>
      </c>
      <c r="D3" s="39">
        <v>20000</v>
      </c>
      <c r="E3" s="40">
        <f t="shared" si="0"/>
        <v>60000</v>
      </c>
    </row>
    <row r="4" spans="1:5" x14ac:dyDescent="0.3">
      <c r="A4" s="39" t="s">
        <v>32</v>
      </c>
      <c r="B4" s="39" t="s">
        <v>11</v>
      </c>
      <c r="C4" s="39">
        <v>1</v>
      </c>
      <c r="D4" s="39">
        <v>30000</v>
      </c>
      <c r="E4" s="40">
        <f t="shared" si="0"/>
        <v>30000</v>
      </c>
    </row>
    <row r="5" spans="1:5" x14ac:dyDescent="0.3">
      <c r="A5" s="39" t="s">
        <v>36</v>
      </c>
      <c r="B5" s="39" t="s">
        <v>37</v>
      </c>
      <c r="C5" s="39">
        <v>4</v>
      </c>
      <c r="D5" s="39">
        <v>15000</v>
      </c>
      <c r="E5" s="40">
        <f t="shared" si="0"/>
        <v>60000</v>
      </c>
    </row>
    <row r="6" spans="1:5" x14ac:dyDescent="0.3">
      <c r="A6" s="39" t="s">
        <v>39</v>
      </c>
      <c r="B6" s="39" t="s">
        <v>40</v>
      </c>
      <c r="C6" s="39">
        <v>5</v>
      </c>
      <c r="D6" s="39">
        <v>5000</v>
      </c>
      <c r="E6" s="40">
        <f t="shared" si="0"/>
        <v>25000</v>
      </c>
    </row>
    <row r="7" spans="1:5" x14ac:dyDescent="0.3">
      <c r="A7" s="41" t="s">
        <v>41</v>
      </c>
      <c r="B7" s="41" t="s">
        <v>42</v>
      </c>
      <c r="C7" s="41">
        <v>2</v>
      </c>
      <c r="D7" s="41">
        <v>40000</v>
      </c>
      <c r="E7" s="42">
        <f t="shared" si="0"/>
        <v>80000</v>
      </c>
    </row>
    <row r="8" spans="1:5" x14ac:dyDescent="0.3">
      <c r="A8" s="43" t="s">
        <v>106</v>
      </c>
      <c r="B8" s="43" t="s">
        <v>42</v>
      </c>
      <c r="C8" s="43">
        <v>10</v>
      </c>
      <c r="D8" s="43">
        <v>1000</v>
      </c>
      <c r="E8" s="44">
        <f t="shared" si="0"/>
        <v>10000</v>
      </c>
    </row>
    <row r="9" spans="1:5" x14ac:dyDescent="0.3">
      <c r="A9" s="43" t="s">
        <v>107</v>
      </c>
      <c r="B9" s="43" t="s">
        <v>108</v>
      </c>
      <c r="C9" s="43">
        <v>5</v>
      </c>
      <c r="D9" s="43">
        <v>500</v>
      </c>
      <c r="E9" s="44">
        <f t="shared" si="0"/>
        <v>2500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Q2</vt:lpstr>
      <vt:lpstr>Q4</vt:lpstr>
      <vt:lpstr>Q6</vt:lpstr>
      <vt:lpstr>Q7</vt:lpstr>
      <vt:lpstr>Q8</vt:lpstr>
      <vt:lpstr>Q9</vt:lpstr>
      <vt:lpstr>Q10</vt:lpstr>
      <vt:lpstr>Q11</vt:lpstr>
      <vt:lpstr>Q12</vt:lpstr>
    </vt:vector>
  </TitlesOfParts>
  <Company>Shubham Chaudhary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copilot_demo</dc:creator>
  <cp:lastModifiedBy>copilot_demo</cp:lastModifiedBy>
  <dcterms:created xsi:type="dcterms:W3CDTF">2026-06-20T06:48:29Z</dcterms:created>
  <dcterms:modified xsi:type="dcterms:W3CDTF">2026-06-23T07:29:12Z</dcterms:modified>
</cp:coreProperties>
</file>