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pra\Downloads\"/>
    </mc:Choice>
  </mc:AlternateContent>
  <xr:revisionPtr revIDLastSave="0" documentId="13_ncr:1_{18E63405-4C0B-417D-AA20-5387F2593D4F}" xr6:coauthVersionLast="47" xr6:coauthVersionMax="47" xr10:uidLastSave="{00000000-0000-0000-0000-000000000000}"/>
  <bookViews>
    <workbookView xWindow="-110" yWindow="-110" windowWidth="19420" windowHeight="10300" activeTab="4" xr2:uid="{2065A66B-CA3A-45DA-92D0-C8933F8DC94D}"/>
  </bookViews>
  <sheets>
    <sheet name="Vlookup" sheetId="1" r:id="rId1"/>
    <sheet name="Xlookup" sheetId="2" r:id="rId2"/>
    <sheet name="Sumif" sheetId="3" r:id="rId3"/>
    <sheet name="Countif" sheetId="4" r:id="rId4"/>
    <sheet name="Averageif" sheetId="5" r:id="rId5"/>
    <sheet name="Other functions" sheetId="6" r:id="rId6"/>
    <sheet name="Sheet1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5" l="1"/>
  <c r="L7" i="2"/>
  <c r="H5" i="2"/>
  <c r="E7" i="7"/>
  <c r="L3" i="4"/>
  <c r="M4" i="2"/>
  <c r="B2" i="7"/>
  <c r="D4" i="6"/>
  <c r="C10" i="6"/>
  <c r="C13" i="6"/>
  <c r="I3" i="5"/>
  <c r="J3" i="5"/>
  <c r="G7" i="6"/>
  <c r="L11" i="6"/>
  <c r="J12" i="6"/>
  <c r="J11" i="6"/>
  <c r="I12" i="6"/>
  <c r="I11" i="6"/>
  <c r="D7" i="6"/>
  <c r="H6" i="1"/>
  <c r="I3" i="4"/>
  <c r="I2" i="4"/>
  <c r="I4" i="3"/>
  <c r="I3" i="3"/>
  <c r="H3" i="3"/>
  <c r="H4" i="3"/>
  <c r="I6" i="1"/>
  <c r="I5" i="1"/>
  <c r="I4" i="1"/>
  <c r="H4" i="1"/>
  <c r="H5" i="1"/>
</calcChain>
</file>

<file path=xl/sharedStrings.xml><?xml version="1.0" encoding="utf-8"?>
<sst xmlns="http://schemas.openxmlformats.org/spreadsheetml/2006/main" count="100" uniqueCount="41">
  <si>
    <t>ID</t>
  </si>
  <si>
    <t>Name</t>
  </si>
  <si>
    <t>A</t>
  </si>
  <si>
    <t>B</t>
  </si>
  <si>
    <t>C</t>
  </si>
  <si>
    <t>D</t>
  </si>
  <si>
    <t>marks</t>
  </si>
  <si>
    <t>Vlookup</t>
  </si>
  <si>
    <t>Marks</t>
  </si>
  <si>
    <t>Gender</t>
  </si>
  <si>
    <t>F</t>
  </si>
  <si>
    <t>M</t>
  </si>
  <si>
    <t>Xlookup</t>
  </si>
  <si>
    <t>Can lookup left/right and top/bottom</t>
  </si>
  <si>
    <t>Can lookup lonely columns to the right</t>
  </si>
  <si>
    <t>Abhishek</t>
  </si>
  <si>
    <t>Praveen</t>
  </si>
  <si>
    <t>Total Marks</t>
  </si>
  <si>
    <t>others</t>
  </si>
  <si>
    <t>Age</t>
  </si>
  <si>
    <t>Total Age</t>
  </si>
  <si>
    <t>Counts</t>
  </si>
  <si>
    <t>Average Marks</t>
  </si>
  <si>
    <t>N1</t>
  </si>
  <si>
    <t>N2</t>
  </si>
  <si>
    <t>Division</t>
  </si>
  <si>
    <t>Iferror</t>
  </si>
  <si>
    <t>Round</t>
  </si>
  <si>
    <t>Abs</t>
  </si>
  <si>
    <t>Power</t>
  </si>
  <si>
    <t>Actual Value</t>
  </si>
  <si>
    <t>Projected Value</t>
  </si>
  <si>
    <t>Error</t>
  </si>
  <si>
    <t>Abs error</t>
  </si>
  <si>
    <t>SUMIF($D$4:$D$7,H3,$E$4:$E$7)</t>
  </si>
  <si>
    <t>AVERAGEIF($D$4:$D$7,$H$3,$E$4:$E$7)</t>
  </si>
  <si>
    <t>Combine custome_name and region and form a new column . eg. Amit sharma(North)...sir iss question me bracket me north nhi aa rhi h</t>
  </si>
  <si>
    <t>First Name</t>
  </si>
  <si>
    <t>Mitali</t>
  </si>
  <si>
    <t>region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</si>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</sst>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/>
    <xf numFmtId="0" fontId="1" fillId="3" borderId="1" xfId="0" applyFont="1" applyFill="1" applyBorder="1"/>
    <xf numFmtId="14" fontId="0" fillId="0" borderId="0" xfId="0" applyNumberFormat="1"/>
    <xf numFmtId="2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38B8E-26BB-459E-AFEB-1F2CC3D80926}">
  <dimension ref="B1:J45"/>
  <sheetViews>
    <sheetView topLeftCell="A2" zoomScale="183" workbookViewId="0">
      <selection activeCell="H7" sqref="H7"/>
    </sheetView>
  </sheetViews>
  <sheetFormatPr defaultRowHeight="14.5" x14ac:dyDescent="0.35"/>
  <sheetData>
    <row r="1" spans="2:10" x14ac:dyDescent="0.35">
      <c r="G1" t="s">
        <v>7</v>
      </c>
      <c r="H1" t="s">
        <v>14</v>
      </c>
    </row>
    <row r="3" spans="2:10" x14ac:dyDescent="0.35">
      <c r="B3" s="1" t="s">
        <v>9</v>
      </c>
      <c r="C3" s="2" t="s">
        <v>0</v>
      </c>
      <c r="D3" s="2" t="s">
        <v>1</v>
      </c>
      <c r="E3" s="2" t="s">
        <v>6</v>
      </c>
      <c r="G3" s="2" t="s">
        <v>0</v>
      </c>
      <c r="H3" s="2" t="s">
        <v>1</v>
      </c>
      <c r="I3" s="4" t="s">
        <v>6</v>
      </c>
      <c r="J3" s="4" t="s">
        <v>9</v>
      </c>
    </row>
    <row r="4" spans="2:10" x14ac:dyDescent="0.35">
      <c r="B4" s="1" t="s">
        <v>10</v>
      </c>
      <c r="C4" s="2">
        <v>2</v>
      </c>
      <c r="D4" s="2" t="s">
        <v>2</v>
      </c>
      <c r="E4" s="2">
        <v>20</v>
      </c>
      <c r="G4" s="1">
        <v>2</v>
      </c>
      <c r="H4" s="1" t="str">
        <f>VLOOKUP(G4,$C$4:$D$8,2,0)</f>
        <v>A</v>
      </c>
      <c r="I4">
        <f>VLOOKUP(G4,$C$4:$E$8,3,0)</f>
        <v>20</v>
      </c>
    </row>
    <row r="5" spans="2:10" x14ac:dyDescent="0.35">
      <c r="B5" s="1" t="s">
        <v>10</v>
      </c>
      <c r="C5" s="2">
        <v>2</v>
      </c>
      <c r="D5" s="2" t="s">
        <v>3</v>
      </c>
      <c r="E5" s="2">
        <v>30</v>
      </c>
      <c r="G5" s="1">
        <v>4</v>
      </c>
      <c r="H5" s="1" t="str">
        <f t="shared" ref="H5" si="0">VLOOKUP(G5,$C$4:$D$8,2,0)</f>
        <v>D</v>
      </c>
      <c r="I5">
        <f t="shared" ref="I5:I6" si="1">VLOOKUP(G5,$C$4:$E$8,3,0)</f>
        <v>50</v>
      </c>
    </row>
    <row r="6" spans="2:10" x14ac:dyDescent="0.35">
      <c r="B6" s="1" t="s">
        <v>11</v>
      </c>
      <c r="C6" s="2">
        <v>3</v>
      </c>
      <c r="D6" s="2" t="s">
        <v>4</v>
      </c>
      <c r="E6" s="2">
        <v>40</v>
      </c>
      <c r="G6" s="1">
        <v>3</v>
      </c>
      <c r="H6" s="1" t="str">
        <f>IFERROR(VLOOKUP(G6,$C$4:$D$8,2,0),"Not found")</f>
        <v>C</v>
      </c>
      <c r="I6">
        <f t="shared" si="1"/>
        <v>40</v>
      </c>
    </row>
    <row r="7" spans="2:10" x14ac:dyDescent="0.35">
      <c r="B7" s="1" t="s">
        <v>11</v>
      </c>
      <c r="C7" s="3">
        <v>4</v>
      </c>
      <c r="D7" s="3" t="s">
        <v>5</v>
      </c>
      <c r="E7" s="2">
        <v>50</v>
      </c>
    </row>
    <row r="8" spans="2:10" x14ac:dyDescent="0.35">
      <c r="B8" s="1" t="s">
        <v>11</v>
      </c>
      <c r="C8" s="3">
        <v>6</v>
      </c>
      <c r="D8" s="3" t="s">
        <v>2</v>
      </c>
      <c r="E8" s="2">
        <v>20</v>
      </c>
    </row>
    <row r="9" spans="2:10" x14ac:dyDescent="0.35">
      <c r="C9" s="2"/>
      <c r="D9" s="2"/>
      <c r="E9" s="2"/>
    </row>
    <row r="10" spans="2:10" x14ac:dyDescent="0.35">
      <c r="C10" s="2"/>
      <c r="D10" s="2"/>
      <c r="E10" s="2"/>
    </row>
    <row r="11" spans="2:10" x14ac:dyDescent="0.35">
      <c r="C11" s="2"/>
      <c r="D11" s="2"/>
      <c r="E11" s="2"/>
    </row>
    <row r="12" spans="2:10" x14ac:dyDescent="0.35">
      <c r="C12" s="2"/>
      <c r="D12" s="2"/>
      <c r="E12" s="2"/>
    </row>
    <row r="13" spans="2:10" x14ac:dyDescent="0.35">
      <c r="C13" s="2" t="s">
        <v>0</v>
      </c>
      <c r="D13" s="2"/>
      <c r="E13" s="2"/>
    </row>
    <row r="14" spans="2:10" x14ac:dyDescent="0.35">
      <c r="C14" s="2">
        <v>1</v>
      </c>
      <c r="D14" s="2"/>
      <c r="E14" s="2"/>
    </row>
    <row r="15" spans="2:10" x14ac:dyDescent="0.35">
      <c r="C15" s="2">
        <v>2</v>
      </c>
      <c r="D15" s="2"/>
      <c r="E15" s="2"/>
    </row>
    <row r="16" spans="2:10" x14ac:dyDescent="0.35">
      <c r="C16" s="2">
        <v>3</v>
      </c>
      <c r="D16" s="2"/>
      <c r="E16" s="2"/>
    </row>
    <row r="17" spans="3:5" x14ac:dyDescent="0.35">
      <c r="C17" s="2">
        <v>4</v>
      </c>
      <c r="D17" s="2"/>
      <c r="E17" s="2"/>
    </row>
    <row r="18" spans="3:5" x14ac:dyDescent="0.35">
      <c r="C18" s="2"/>
      <c r="D18" s="2"/>
      <c r="E18" s="2"/>
    </row>
    <row r="19" spans="3:5" x14ac:dyDescent="0.35">
      <c r="C19" s="2"/>
      <c r="D19" s="2"/>
      <c r="E19" s="2"/>
    </row>
    <row r="20" spans="3:5" x14ac:dyDescent="0.35">
      <c r="C20" s="2"/>
      <c r="D20" s="2"/>
      <c r="E20" s="2"/>
    </row>
    <row r="21" spans="3:5" x14ac:dyDescent="0.35">
      <c r="C21" s="2"/>
      <c r="D21" s="2"/>
      <c r="E21" s="2"/>
    </row>
    <row r="22" spans="3:5" x14ac:dyDescent="0.35">
      <c r="C22" s="2"/>
      <c r="D22" s="2"/>
      <c r="E22" s="2"/>
    </row>
    <row r="23" spans="3:5" x14ac:dyDescent="0.35">
      <c r="C23" s="2"/>
      <c r="D23" s="2"/>
      <c r="E23" s="2"/>
    </row>
    <row r="24" spans="3:5" x14ac:dyDescent="0.35">
      <c r="C24" s="2"/>
      <c r="D24" s="2"/>
      <c r="E24" s="2"/>
    </row>
    <row r="25" spans="3:5" x14ac:dyDescent="0.35">
      <c r="C25" s="2"/>
      <c r="D25" s="2"/>
      <c r="E25" s="2"/>
    </row>
    <row r="26" spans="3:5" x14ac:dyDescent="0.35">
      <c r="C26" s="2"/>
      <c r="D26" s="2"/>
      <c r="E26" s="2"/>
    </row>
    <row r="27" spans="3:5" x14ac:dyDescent="0.35">
      <c r="C27" s="2"/>
      <c r="D27" s="2"/>
      <c r="E27" s="2"/>
    </row>
    <row r="28" spans="3:5" x14ac:dyDescent="0.35">
      <c r="C28" s="2"/>
      <c r="D28" s="2"/>
      <c r="E28" s="2"/>
    </row>
    <row r="29" spans="3:5" x14ac:dyDescent="0.35">
      <c r="C29" s="2"/>
      <c r="D29" s="2"/>
      <c r="E29" s="2"/>
    </row>
    <row r="30" spans="3:5" x14ac:dyDescent="0.35">
      <c r="C30" s="2"/>
      <c r="D30" s="2"/>
      <c r="E30" s="2"/>
    </row>
    <row r="31" spans="3:5" x14ac:dyDescent="0.35">
      <c r="C31" s="2"/>
      <c r="D31" s="2"/>
      <c r="E31" s="2"/>
    </row>
    <row r="32" spans="3:5" x14ac:dyDescent="0.35">
      <c r="C32" s="2"/>
      <c r="D32" s="2"/>
      <c r="E32" s="2"/>
    </row>
    <row r="33" spans="3:5" x14ac:dyDescent="0.35">
      <c r="C33" s="2"/>
      <c r="D33" s="2"/>
      <c r="E33" s="2"/>
    </row>
    <row r="34" spans="3:5" x14ac:dyDescent="0.35">
      <c r="C34" s="2"/>
      <c r="D34" s="2"/>
      <c r="E34" s="2"/>
    </row>
    <row r="35" spans="3:5" x14ac:dyDescent="0.35">
      <c r="C35" s="2"/>
      <c r="D35" s="2"/>
      <c r="E35" s="2"/>
    </row>
    <row r="36" spans="3:5" x14ac:dyDescent="0.35">
      <c r="C36" s="2"/>
      <c r="D36" s="2"/>
      <c r="E36" s="2"/>
    </row>
    <row r="37" spans="3:5" x14ac:dyDescent="0.35">
      <c r="C37" s="2"/>
      <c r="D37" s="2"/>
      <c r="E37" s="2"/>
    </row>
    <row r="38" spans="3:5" x14ac:dyDescent="0.35">
      <c r="C38" s="2"/>
      <c r="D38" s="2"/>
      <c r="E38" s="2"/>
    </row>
    <row r="39" spans="3:5" x14ac:dyDescent="0.35">
      <c r="C39" s="2"/>
      <c r="D39" s="2"/>
      <c r="E39" s="2"/>
    </row>
    <row r="40" spans="3:5" x14ac:dyDescent="0.35">
      <c r="C40" s="2"/>
      <c r="D40" s="2"/>
      <c r="E40" s="2"/>
    </row>
    <row r="41" spans="3:5" x14ac:dyDescent="0.35">
      <c r="C41" s="2"/>
      <c r="D41" s="2"/>
      <c r="E41" s="2"/>
    </row>
    <row r="42" spans="3:5" x14ac:dyDescent="0.35">
      <c r="C42" s="2"/>
      <c r="D42" s="2"/>
      <c r="E42" s="2"/>
    </row>
    <row r="43" spans="3:5" x14ac:dyDescent="0.35">
      <c r="C43" s="2"/>
      <c r="D43" s="2"/>
      <c r="E43" s="2"/>
    </row>
    <row r="44" spans="3:5" x14ac:dyDescent="0.35">
      <c r="C44" s="2"/>
      <c r="D44" s="2"/>
      <c r="E44" s="2"/>
    </row>
    <row r="45" spans="3:5" x14ac:dyDescent="0.35">
      <c r="C45" s="2"/>
      <c r="D45" s="2"/>
      <c r="E4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1D469-487F-4A41-9435-4CFC9F3B6816}">
  <dimension ref="B2:P10"/>
  <sheetViews>
    <sheetView topLeftCell="J3" zoomScale="208" zoomScaleNormal="208" workbookViewId="0">
      <selection activeCell="L7" sqref="L7"/>
    </sheetView>
  </sheetViews>
  <sheetFormatPr defaultRowHeight="14.5" x14ac:dyDescent="0.35"/>
  <cols>
    <col min="11" max="11" width="11.26953125" customWidth="1"/>
    <col min="12" max="12" width="6" customWidth="1"/>
  </cols>
  <sheetData>
    <row r="2" spans="2:16" x14ac:dyDescent="0.35">
      <c r="G2" t="s">
        <v>12</v>
      </c>
      <c r="H2" t="s">
        <v>13</v>
      </c>
    </row>
    <row r="3" spans="2:16" x14ac:dyDescent="0.35">
      <c r="P3" t="s">
        <v>1</v>
      </c>
    </row>
    <row r="4" spans="2:16" x14ac:dyDescent="0.35">
      <c r="B4" s="1" t="s">
        <v>9</v>
      </c>
      <c r="C4" s="2" t="s">
        <v>0</v>
      </c>
      <c r="D4" s="2" t="s">
        <v>1</v>
      </c>
      <c r="E4" s="2" t="s">
        <v>6</v>
      </c>
      <c r="G4" s="2" t="s">
        <v>0</v>
      </c>
      <c r="H4" s="2" t="s">
        <v>9</v>
      </c>
      <c r="I4" s="4"/>
      <c r="J4" s="4"/>
      <c r="K4">
        <v>100</v>
      </c>
      <c r="L4">
        <v>2</v>
      </c>
      <c r="M4">
        <f>IFERROR(K4/L4,0)</f>
        <v>50</v>
      </c>
      <c r="P4" t="s">
        <v>15</v>
      </c>
    </row>
    <row r="5" spans="2:16" x14ac:dyDescent="0.35">
      <c r="B5" s="1" t="s">
        <v>10</v>
      </c>
      <c r="C5" s="2">
        <v>2</v>
      </c>
      <c r="D5" s="2" t="s">
        <v>2</v>
      </c>
      <c r="E5" s="2">
        <v>20</v>
      </c>
      <c r="G5" s="1">
        <v>2</v>
      </c>
      <c r="H5" s="1" t="str">
        <f>_xlfn.XLOOKUP(G5,$C$5:$C$9,$B$5:$B$9)</f>
        <v>F</v>
      </c>
      <c r="P5" t="s">
        <v>16</v>
      </c>
    </row>
    <row r="6" spans="2:16" x14ac:dyDescent="0.35">
      <c r="B6" s="1" t="s">
        <v>11</v>
      </c>
      <c r="C6" s="2">
        <v>2</v>
      </c>
      <c r="D6" s="2" t="s">
        <v>3</v>
      </c>
      <c r="E6" s="2">
        <v>30</v>
      </c>
      <c r="G6" s="1">
        <v>4</v>
      </c>
      <c r="H6" s="1"/>
    </row>
    <row r="7" spans="2:16" x14ac:dyDescent="0.35">
      <c r="B7" s="1" t="s">
        <v>11</v>
      </c>
      <c r="C7" s="2">
        <v>3</v>
      </c>
      <c r="D7" s="2" t="s">
        <v>4</v>
      </c>
      <c r="E7" s="2">
        <v>40</v>
      </c>
      <c r="G7" s="1">
        <v>3</v>
      </c>
      <c r="H7" s="1"/>
      <c r="K7">
        <v>72.822339999999997</v>
      </c>
      <c r="L7">
        <f>ROUND(K7,2)</f>
        <v>72.819999999999993</v>
      </c>
    </row>
    <row r="8" spans="2:16" x14ac:dyDescent="0.35">
      <c r="B8" s="1" t="s">
        <v>10</v>
      </c>
      <c r="C8" s="3">
        <v>4</v>
      </c>
      <c r="D8" s="3" t="s">
        <v>5</v>
      </c>
      <c r="E8" s="2">
        <v>50</v>
      </c>
    </row>
    <row r="9" spans="2:16" x14ac:dyDescent="0.35">
      <c r="B9" s="1" t="s">
        <v>11</v>
      </c>
      <c r="C9" s="3">
        <v>6</v>
      </c>
      <c r="D9" s="3" t="s">
        <v>2</v>
      </c>
      <c r="E9" s="2">
        <v>20</v>
      </c>
    </row>
    <row r="10" spans="2:16" x14ac:dyDescent="0.35">
      <c r="C10" s="2"/>
      <c r="D10" s="2"/>
      <c r="E1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9F348-9D47-4E97-A989-3A7F90BB1286}">
  <dimension ref="B2:I7"/>
  <sheetViews>
    <sheetView topLeftCell="A2" zoomScale="165" workbookViewId="0">
      <selection activeCell="B2" sqref="B2:I7"/>
    </sheetView>
  </sheetViews>
  <sheetFormatPr defaultRowHeight="14.5" x14ac:dyDescent="0.35"/>
  <cols>
    <col min="8" max="8" width="10.6328125" bestFit="1" customWidth="1"/>
    <col min="9" max="9" width="8.54296875" bestFit="1" customWidth="1"/>
  </cols>
  <sheetData>
    <row r="2" spans="2:9" x14ac:dyDescent="0.35">
      <c r="G2" s="1"/>
      <c r="H2" s="5" t="s">
        <v>17</v>
      </c>
      <c r="I2" s="5" t="s">
        <v>20</v>
      </c>
    </row>
    <row r="3" spans="2:9" x14ac:dyDescent="0.35">
      <c r="B3" s="5" t="s">
        <v>0</v>
      </c>
      <c r="C3" s="5" t="s">
        <v>9</v>
      </c>
      <c r="D3" s="6" t="s">
        <v>8</v>
      </c>
      <c r="E3" s="6" t="s">
        <v>19</v>
      </c>
      <c r="G3" s="5" t="s">
        <v>10</v>
      </c>
      <c r="H3" s="1">
        <f>SUMIF($C$4:$C$7,G3,$D$4:$D$7)</f>
        <v>140</v>
      </c>
      <c r="I3" s="1">
        <f>SUMIF($C$4:$C$7,G3,$E$4:$E$7)</f>
        <v>49</v>
      </c>
    </row>
    <row r="4" spans="2:9" x14ac:dyDescent="0.35">
      <c r="B4" s="1">
        <v>1</v>
      </c>
      <c r="C4" s="1" t="s">
        <v>10</v>
      </c>
      <c r="D4" s="1">
        <v>60</v>
      </c>
      <c r="E4" s="1">
        <v>23</v>
      </c>
      <c r="G4" s="5" t="s">
        <v>11</v>
      </c>
      <c r="H4" s="1">
        <f>SUMIF($C$4:$C$7,G4,$D$4:$D$7)</f>
        <v>160</v>
      </c>
      <c r="I4" s="1">
        <f>SUMIF($C$4:$C$7,G4,$E$4:$E$7)</f>
        <v>53</v>
      </c>
    </row>
    <row r="5" spans="2:9" x14ac:dyDescent="0.35">
      <c r="B5" s="1">
        <v>2</v>
      </c>
      <c r="C5" s="1" t="s">
        <v>11</v>
      </c>
      <c r="D5" s="1">
        <v>70</v>
      </c>
      <c r="E5" s="1">
        <v>25</v>
      </c>
    </row>
    <row r="6" spans="2:9" x14ac:dyDescent="0.35">
      <c r="B6" s="1">
        <v>3</v>
      </c>
      <c r="C6" s="1" t="s">
        <v>10</v>
      </c>
      <c r="D6" s="1">
        <v>80</v>
      </c>
      <c r="E6" s="1">
        <v>26</v>
      </c>
    </row>
    <row r="7" spans="2:9" x14ac:dyDescent="0.35">
      <c r="B7" s="1">
        <v>4</v>
      </c>
      <c r="C7" s="1" t="s">
        <v>11</v>
      </c>
      <c r="D7" s="1">
        <v>90</v>
      </c>
      <c r="E7" s="1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4EB30-B516-4CA6-802F-F84DAD06D702}">
  <dimension ref="B1:L6"/>
  <sheetViews>
    <sheetView topLeftCell="C2" zoomScale="135" workbookViewId="0">
      <selection activeCell="I3" sqref="I3"/>
    </sheetView>
  </sheetViews>
  <sheetFormatPr defaultRowHeight="14.5" x14ac:dyDescent="0.35"/>
  <cols>
    <col min="12" max="12" width="10.26953125" customWidth="1"/>
  </cols>
  <sheetData>
    <row r="1" spans="2:12" x14ac:dyDescent="0.35">
      <c r="H1" s="1"/>
      <c r="I1" s="5" t="s">
        <v>21</v>
      </c>
    </row>
    <row r="2" spans="2:12" x14ac:dyDescent="0.35">
      <c r="B2" s="5" t="s">
        <v>0</v>
      </c>
      <c r="C2" s="5" t="s">
        <v>9</v>
      </c>
      <c r="D2" s="6" t="s">
        <v>8</v>
      </c>
      <c r="E2" s="6" t="s">
        <v>19</v>
      </c>
      <c r="H2" s="5" t="s">
        <v>10</v>
      </c>
      <c r="I2" s="1">
        <f>COUNTIF($C$3:$C$6,H2)</f>
        <v>3</v>
      </c>
    </row>
    <row r="3" spans="2:12" x14ac:dyDescent="0.35">
      <c r="B3" s="1">
        <v>1</v>
      </c>
      <c r="C3" s="1" t="s">
        <v>10</v>
      </c>
      <c r="D3" s="1">
        <v>60</v>
      </c>
      <c r="E3" s="1">
        <v>23</v>
      </c>
      <c r="H3" s="5" t="s">
        <v>18</v>
      </c>
      <c r="I3" s="1">
        <f>COUNTIF($C$3:$C$6,H3)</f>
        <v>0</v>
      </c>
      <c r="L3" s="11">
        <f ca="1">NOW()</f>
        <v>46305.766178935184</v>
      </c>
    </row>
    <row r="4" spans="2:12" x14ac:dyDescent="0.35">
      <c r="B4" s="1">
        <v>2</v>
      </c>
      <c r="C4" s="1" t="s">
        <v>11</v>
      </c>
      <c r="D4" s="1">
        <v>70</v>
      </c>
      <c r="E4" s="1">
        <v>25</v>
      </c>
    </row>
    <row r="5" spans="2:12" x14ac:dyDescent="0.35">
      <c r="B5" s="1">
        <v>3</v>
      </c>
      <c r="C5" s="1" t="s">
        <v>10</v>
      </c>
      <c r="D5" s="1">
        <v>80</v>
      </c>
      <c r="E5" s="1">
        <v>26</v>
      </c>
    </row>
    <row r="6" spans="2:12" x14ac:dyDescent="0.35">
      <c r="B6" s="1">
        <v>4</v>
      </c>
      <c r="C6" s="1" t="s">
        <v>10</v>
      </c>
      <c r="D6" s="1">
        <v>90</v>
      </c>
      <c r="E6" s="1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14F9D-FC1C-4CB7-BB70-8C3B9834247F}">
  <dimension ref="C2:J12"/>
  <sheetViews>
    <sheetView tabSelected="1" topLeftCell="B2" zoomScale="138" workbookViewId="0">
      <selection activeCell="E10" sqref="E10"/>
    </sheetView>
  </sheetViews>
  <sheetFormatPr defaultRowHeight="14.5" x14ac:dyDescent="0.35"/>
  <cols>
    <col min="9" max="9" width="13.36328125" bestFit="1" customWidth="1"/>
    <col min="10" max="10" width="11.08984375" bestFit="1" customWidth="1"/>
  </cols>
  <sheetData>
    <row r="2" spans="3:10" x14ac:dyDescent="0.35">
      <c r="H2" s="1"/>
      <c r="I2" s="5" t="s">
        <v>22</v>
      </c>
      <c r="J2" s="5" t="s">
        <v>17</v>
      </c>
    </row>
    <row r="3" spans="3:10" x14ac:dyDescent="0.35">
      <c r="C3" s="5" t="s">
        <v>0</v>
      </c>
      <c r="D3" s="9" t="s">
        <v>9</v>
      </c>
      <c r="E3" s="6" t="s">
        <v>8</v>
      </c>
      <c r="F3" s="6" t="s">
        <v>19</v>
      </c>
      <c r="H3" s="5" t="s">
        <v>10</v>
      </c>
      <c r="I3" s="1">
        <f>AVERAGEIF($D$4:$D$7,$H$3,$E$4:$E$7)</f>
        <v>70</v>
      </c>
      <c r="J3" s="1">
        <f>SUMIF($D$4:$D$7,H3,$E$4:$E$7)</f>
        <v>140</v>
      </c>
    </row>
    <row r="4" spans="3:10" x14ac:dyDescent="0.35">
      <c r="C4" s="1">
        <v>1</v>
      </c>
      <c r="D4" s="8" t="s">
        <v>10</v>
      </c>
      <c r="E4" s="1">
        <v>60</v>
      </c>
      <c r="F4" s="1">
        <v>23</v>
      </c>
      <c r="H4" s="5" t="s">
        <v>11</v>
      </c>
      <c r="I4" s="1"/>
      <c r="J4" s="1"/>
    </row>
    <row r="5" spans="3:10" x14ac:dyDescent="0.35">
      <c r="C5" s="1">
        <v>2</v>
      </c>
      <c r="D5" s="1" t="s">
        <v>11</v>
      </c>
      <c r="E5" s="1">
        <v>70</v>
      </c>
      <c r="F5" s="1">
        <v>25</v>
      </c>
    </row>
    <row r="6" spans="3:10" x14ac:dyDescent="0.35">
      <c r="C6" s="1">
        <v>3</v>
      </c>
      <c r="D6" s="8" t="s">
        <v>10</v>
      </c>
      <c r="E6" s="1">
        <v>80</v>
      </c>
      <c r="F6" s="1">
        <v>26</v>
      </c>
      <c r="J6" t="s">
        <v>34</v>
      </c>
    </row>
    <row r="7" spans="3:10" x14ac:dyDescent="0.35">
      <c r="C7" s="1">
        <v>4</v>
      </c>
      <c r="D7" s="1" t="s">
        <v>11</v>
      </c>
      <c r="E7" s="1">
        <v>90</v>
      </c>
      <c r="F7" s="1">
        <v>28</v>
      </c>
      <c r="J7" t="s">
        <v>35</v>
      </c>
    </row>
    <row r="10" spans="3:10" x14ac:dyDescent="0.35">
      <c r="D10">
        <v>77</v>
      </c>
      <c r="E10">
        <f>ROUND(AVERAGE(D10:D12),2)</f>
        <v>87.67</v>
      </c>
    </row>
    <row r="11" spans="3:10" x14ac:dyDescent="0.35">
      <c r="D11">
        <v>87</v>
      </c>
    </row>
    <row r="12" spans="3:10" x14ac:dyDescent="0.35">
      <c r="D12">
        <v>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9BB6D-BD6B-4CC6-8F28-D3507674665F}">
  <dimension ref="A3:L13"/>
  <sheetViews>
    <sheetView zoomScale="254" workbookViewId="0"/>
  </sheetViews>
  <sheetFormatPr defaultRowHeight="14.5" x14ac:dyDescent="0.35"/>
  <cols>
    <col min="4" max="4" width="17.54296875" bestFit="1" customWidth="1"/>
    <col min="7" max="7" width="11.08984375" bestFit="1" customWidth="1"/>
    <col min="8" max="8" width="13.81640625" bestFit="1" customWidth="1"/>
  </cols>
  <sheetData>
    <row r="3" spans="1:12" x14ac:dyDescent="0.35">
      <c r="A3" t="s">
        <v>26</v>
      </c>
      <c r="B3" s="7" t="s">
        <v>23</v>
      </c>
      <c r="C3" s="7" t="s">
        <v>24</v>
      </c>
      <c r="D3" s="7" t="s">
        <v>25</v>
      </c>
    </row>
    <row r="4" spans="1:12" x14ac:dyDescent="0.35">
      <c r="B4" s="7">
        <v>100</v>
      </c>
      <c r="C4" s="7">
        <v>5</v>
      </c>
      <c r="D4" s="7">
        <f>IFERROR(B4/C4,"Dont divide by zero")</f>
        <v>20</v>
      </c>
    </row>
    <row r="5" spans="1:12" x14ac:dyDescent="0.35">
      <c r="B5" s="7"/>
      <c r="C5" s="7"/>
      <c r="D5" s="7"/>
    </row>
    <row r="6" spans="1:12" x14ac:dyDescent="0.35">
      <c r="B6" s="7" t="s">
        <v>23</v>
      </c>
      <c r="C6" s="7" t="s">
        <v>24</v>
      </c>
      <c r="D6" s="7"/>
    </row>
    <row r="7" spans="1:12" x14ac:dyDescent="0.35">
      <c r="A7" t="s">
        <v>27</v>
      </c>
      <c r="B7" s="7">
        <v>110</v>
      </c>
      <c r="C7" s="7">
        <v>7.5</v>
      </c>
      <c r="D7" s="7">
        <f>ROUND(B7/C7,3)</f>
        <v>14.667</v>
      </c>
      <c r="F7">
        <v>44.534545645645998</v>
      </c>
      <c r="G7">
        <f>ROUND(F7,2)</f>
        <v>44.53</v>
      </c>
    </row>
    <row r="9" spans="1:12" x14ac:dyDescent="0.35">
      <c r="B9" t="s">
        <v>23</v>
      </c>
      <c r="C9" t="s">
        <v>28</v>
      </c>
    </row>
    <row r="10" spans="1:12" x14ac:dyDescent="0.35">
      <c r="A10" t="s">
        <v>28</v>
      </c>
      <c r="B10">
        <v>-100</v>
      </c>
      <c r="C10">
        <f>ABS(B10)</f>
        <v>100</v>
      </c>
      <c r="G10" t="s">
        <v>30</v>
      </c>
      <c r="H10" t="s">
        <v>31</v>
      </c>
      <c r="I10" t="s">
        <v>32</v>
      </c>
      <c r="J10" t="s">
        <v>33</v>
      </c>
    </row>
    <row r="11" spans="1:12" x14ac:dyDescent="0.35">
      <c r="G11">
        <v>30</v>
      </c>
      <c r="H11">
        <v>50</v>
      </c>
      <c r="I11">
        <f>G11-H11</f>
        <v>-20</v>
      </c>
      <c r="J11">
        <f>ABS(I11)</f>
        <v>20</v>
      </c>
      <c r="L11">
        <f>SUM(J11:J12)</f>
        <v>40</v>
      </c>
    </row>
    <row r="12" spans="1:12" x14ac:dyDescent="0.35">
      <c r="B12" t="s">
        <v>23</v>
      </c>
      <c r="G12">
        <v>80</v>
      </c>
      <c r="H12">
        <v>60</v>
      </c>
      <c r="I12">
        <f>G12-H12</f>
        <v>20</v>
      </c>
      <c r="J12">
        <f>ABS(I12)</f>
        <v>20</v>
      </c>
    </row>
    <row r="13" spans="1:12" x14ac:dyDescent="0.35">
      <c r="A13" t="s">
        <v>29</v>
      </c>
      <c r="B13">
        <v>5</v>
      </c>
      <c r="C13">
        <f>POWER(B13,5)</f>
        <v>3125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AA712-A5C7-482D-BD0D-864BB3C90A2F}">
  <dimension ref="B2:E7"/>
  <sheetViews>
    <sheetView zoomScale="143" workbookViewId="0">
      <selection activeCell="E9" sqref="E9"/>
    </sheetView>
  </sheetViews>
  <sheetFormatPr defaultRowHeight="14.5" x14ac:dyDescent="0.35"/>
  <cols>
    <col min="2" max="2" width="10.453125" bestFit="1" customWidth="1"/>
  </cols>
  <sheetData>
    <row r="2" spans="2:5" x14ac:dyDescent="0.35">
      <c r="B2" s="10">
        <f>DATE(2026,10,10)</f>
        <v>46305</v>
      </c>
    </row>
    <row r="4" spans="2:5" ht="16.5" x14ac:dyDescent="0.45">
      <c r="B4" s="12" t="s">
        <v>36</v>
      </c>
    </row>
    <row r="6" spans="2:5" x14ac:dyDescent="0.35">
      <c r="B6" t="s">
        <v>37</v>
      </c>
      <c r="C6" t="s">
        <v>39</v>
      </c>
    </row>
    <row r="7" spans="2:5" x14ac:dyDescent="0.35">
      <c r="B7" t="s">
        <v>38</v>
      </c>
      <c r="C7" t="s">
        <v>40</v>
      </c>
      <c r="E7" t="str">
        <f>_xlfn.CONCAT(B7,"(",C7,")")</f>
        <v>Mitali(North)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Vlookup</vt:lpstr>
      <vt:lpstr>Xlookup</vt:lpstr>
      <vt:lpstr>Sumif</vt:lpstr>
      <vt:lpstr>Countif</vt:lpstr>
      <vt:lpstr>Averageif</vt:lpstr>
      <vt:lpstr>Other functions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punia</dc:creator>
  <cp:lastModifiedBy>praveen punia</cp:lastModifiedBy>
  <dcterms:created xsi:type="dcterms:W3CDTF">2026-10-10T06:59:19Z</dcterms:created>
  <dcterms:modified xsi:type="dcterms:W3CDTF">2026-10-10T12:58:45Z</dcterms:modified>
</cp:coreProperties>
</file>